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Stays" sheetId="3" state="visible" r:id="rId3"/>
    <sheet name="ED" sheetId="4" state="visible" r:id="rId4"/>
    <sheet name="Meds" sheetId="5" state="visible" r:id="rId5"/>
    <sheet name="Bonus" sheetId="6" state="visible" r:id="rId6"/>
    <sheet name="Answer Key" sheetId="7" state="hidden" r:id="rId7"/>
    <sheet name="Bonus Key" sheetId="8" state="hidden" r:id="rId8"/>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yyyy-mm-dd"/>
    <numFmt numFmtId="165" formatCode="mm/dd/yyyy"/>
    <numFmt numFmtId="166" formatCode="0.0"/>
    <numFmt numFmtId="167" formatCode="yyyy-mm-dd h:mm:ss"/>
    <numFmt numFmtId="168" formatCode="mm/dd/yyyy hh:mm"/>
    <numFmt numFmtId="169" formatCode="0.0%"/>
  </numFmts>
  <fonts count="17">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46">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3" borderId="2" applyAlignment="1" pivotButton="0" quotePrefix="0" xfId="0">
      <alignment horizontal="right" vertical="top"/>
    </xf>
    <xf numFmtId="0" fontId="1" fillId="0" borderId="1" applyAlignment="1" pivotButton="0" quotePrefix="0" xfId="0">
      <alignment vertical="top"/>
    </xf>
    <xf numFmtId="4" fontId="0" fillId="3" borderId="2" applyAlignment="1" pivotButton="0" quotePrefix="0" xfId="0">
      <alignment horizontal="right" vertical="top"/>
    </xf>
    <xf numFmtId="3" fontId="0" fillId="3" borderId="2" applyAlignment="1" pivotButton="0" quotePrefix="0" xfId="0">
      <alignment horizontal="right" vertical="top"/>
    </xf>
    <xf numFmtId="0" fontId="11" fillId="6" borderId="1" applyAlignment="1" pivotButton="0" quotePrefix="0" xfId="0">
      <alignment horizontal="right" vertical="top"/>
    </xf>
    <xf numFmtId="0" fontId="0" fillId="3" borderId="2" applyAlignment="1" pivotButton="0" quotePrefix="0" xfId="0">
      <alignment horizontal="left" vertical="top"/>
    </xf>
    <xf numFmtId="0" fontId="1" fillId="0" borderId="0" pivotButton="0" quotePrefix="0" xfId="0"/>
    <xf numFmtId="0" fontId="2" fillId="2" borderId="0" pivotButton="0" quotePrefix="0" xfId="0"/>
    <xf numFmtId="165" fontId="0" fillId="0" borderId="0" pivotButton="0" quotePrefix="0" xfId="0"/>
    <xf numFmtId="166" fontId="0" fillId="0" borderId="0" pivotButton="0" quotePrefix="0" xfId="0"/>
    <xf numFmtId="4" fontId="0" fillId="0" borderId="0" pivotButton="0" quotePrefix="0" xfId="0"/>
    <xf numFmtId="1" fontId="0" fillId="3" borderId="0" pivotButton="0" quotePrefix="0" xfId="0"/>
    <xf numFmtId="168" fontId="0" fillId="0" borderId="0" pivotButton="0" quotePrefix="0" xfId="0"/>
    <xf numFmtId="169" fontId="0" fillId="3" borderId="2" applyAlignment="1" pivotButton="0" quotePrefix="0" xfId="0">
      <alignment horizontal="right" vertical="top"/>
    </xf>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4" fontId="1" fillId="0" borderId="1" applyAlignment="1" pivotButton="0" quotePrefix="0" xfId="0">
      <alignment vertical="top" wrapText="1"/>
    </xf>
    <xf numFmtId="4" fontId="0" fillId="0" borderId="1" applyAlignment="1" pivotButton="0" quotePrefix="0" xfId="0">
      <alignment vertical="top" wrapText="1"/>
    </xf>
    <xf numFmtId="3" fontId="1" fillId="0" borderId="1" applyAlignment="1" pivotButton="0" quotePrefix="0" xfId="0">
      <alignment vertical="top" wrapText="1"/>
    </xf>
    <xf numFmtId="3" fontId="0" fillId="0" borderId="1" applyAlignment="1" pivotButton="0" quotePrefix="0" xfId="0">
      <alignment vertical="top" wrapText="1"/>
    </xf>
    <xf numFmtId="169" fontId="1" fillId="0" borderId="1" applyAlignment="1" pivotButton="0" quotePrefix="0" xfId="0">
      <alignment vertical="top" wrapText="1"/>
    </xf>
    <xf numFmtId="169"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 Id="rIdXlcMeta" Type="http://schemas.openxmlformats.org/officeDocument/2006/relationships/sheetMetadata" Target="metadata.xml"/></Relationships>
</file>

<file path=xl/tables/table1.xml><?xml version="1.0" encoding="utf-8"?>
<table xmlns="http://schemas.openxmlformats.org/spreadsheetml/2006/main" id="1" name="tblStays" displayName="tblStays" ref="A1:K574" headerRowCount="1">
  <autoFilter ref="A1:K574"/>
  <tableColumns count="11">
    <tableColumn id="1" name="EncounterID"/>
    <tableColumn id="2" name="Unit"/>
    <tableColumn id="3" name="AdmitDate"/>
    <tableColumn id="4" name="DischargeDate"/>
    <tableColumn id="5" name="Age"/>
    <tableColumn id="6" name="PrimaryDxCode"/>
    <tableColumn id="7" name="DxDescription"/>
    <tableColumn id="8" name="ExpectedLOS"/>
    <tableColumn id="9" name="LOSDays"/>
    <tableColumn id="10" name="TotalCharges"/>
    <tableColumn id="11" name="AgeBand"/>
  </tableColumns>
  <tableStyleInfo name="TableStyleMedium2" showRowStripes="1"/>
</table>
</file>

<file path=xl/tables/table2.xml><?xml version="1.0" encoding="utf-8"?>
<table xmlns="http://schemas.openxmlformats.org/spreadsheetml/2006/main" id="2" name="tblED" displayName="tblED" ref="A1:H786" headerRowCount="1">
  <autoFilter ref="A1:H786"/>
  <tableColumns count="8">
    <tableColumn id="1" name="EDVisitID"/>
    <tableColumn id="2" name="ArrivalDateTime"/>
    <tableColumn id="3" name="ArrivalMode"/>
    <tableColumn id="4" name="ESILevel"/>
    <tableColumn id="5" name="ChiefComplaint"/>
    <tableColumn id="6" name="EDDisposition"/>
    <tableColumn id="7" name="DoorToProviderMin"/>
    <tableColumn id="8" name="EDLOSMin"/>
  </tableColumns>
  <tableStyleInfo name="TableStyleMedium2" showRowStripes="1"/>
</table>
</file>

<file path=xl/tables/table3.xml><?xml version="1.0" encoding="utf-8"?>
<table xmlns="http://schemas.openxmlformats.org/spreadsheetml/2006/main" id="3" name="tblMeds" displayName="tblMeds" ref="A1:I389" headerRowCount="1">
  <autoFilter ref="A1:I389"/>
  <tableColumns count="9">
    <tableColumn id="1" name="MedOrderID"/>
    <tableColumn id="2" name="EncounterID"/>
    <tableColumn id="3" name="OrderDateTime"/>
    <tableColumn id="4" name="MedicationName"/>
    <tableColumn id="5" name="Dose"/>
    <tableColumn id="6" name="Route"/>
    <tableColumn id="7" name="Frequency"/>
    <tableColumn id="8" name="DosesDispensed"/>
    <tableColumn id="9" name="UnitCos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001F4E79"/>
    <outlinePr summaryBelow="1" summaryRight="1"/>
    <pageSetUpPr fitToPage="1"/>
  </sheetPr>
  <dimension ref="B2:C33"/>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2.4</t>
        </is>
      </c>
    </row>
    <row r="3">
      <c r="B3" s="2" t="inlineStr">
        <is>
          <t>Math &amp; Statistical Functions</t>
        </is>
      </c>
    </row>
    <row r="4">
      <c r="B4" s="3" t="inlineStr">
        <is>
          <t>Beginner → Intermediate  ·  about 100 minutes  ·  Bluestone Health System (fictional)</t>
        </is>
      </c>
    </row>
    <row r="6">
      <c r="B6" s="4" t="inlineStr">
        <is>
          <t>What you'll learn</t>
        </is>
      </c>
      <c r="C6" s="5" t="n"/>
    </row>
    <row r="7" ht="18" customHeight="1">
      <c r="B7" s="6" t="inlineStr">
        <is>
          <t>•</t>
        </is>
      </c>
      <c r="C7" s="7" t="inlineStr">
        <is>
          <t>Round correctly with ROUND, ROUNDUP, ROUNDDOWN, MROUND, CEILING.MATH, and FLOOR.MATH</t>
        </is>
      </c>
    </row>
    <row r="8" ht="18" customHeight="1">
      <c r="B8" s="6" t="inlineStr">
        <is>
          <t>•</t>
        </is>
      </c>
      <c r="C8" s="7" t="inlineStr">
        <is>
          <t>Use INT, TRUNC, MOD, ABS, and SUMPRODUCT</t>
        </is>
      </c>
    </row>
    <row r="9" ht="18" customHeight="1">
      <c r="B9" s="6" t="inlineStr">
        <is>
          <t>•</t>
        </is>
      </c>
      <c r="C9" s="7" t="inlineStr">
        <is>
          <t>Describe data with MEDIAN, MODE, STDEV, PERCENTILE, and QUARTILE — and know when the mean misleads</t>
        </is>
      </c>
    </row>
    <row r="10" ht="18" customHeight="1">
      <c r="B10" s="6" t="inlineStr">
        <is>
          <t>•</t>
        </is>
      </c>
      <c r="C10" s="7" t="inlineStr">
        <is>
          <t>Rank and pick extremes with RANK.EQ, LARGE, and SMALL</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https://github.com/lmansf/learn-excel/tree/main/02-formulas-functions/04-math-statistical-functions</t>
        </is>
      </c>
    </row>
    <row r="14" ht="33" customHeight="1">
      <c r="B14" s="8" t="inlineStr">
        <is>
          <t>2. Practice</t>
        </is>
      </c>
      <c r="C14" s="7" t="inlineStr">
        <is>
          <t>Go to the 'Practice' sheet. Type a formula or value into each yellow cell. For task 10, fill the yellow AgeBand column on the Stays sheet instead, and the task's gray cell on Practice reads it.</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18" customHeight="1">
      <c r="B18" s="8" t="inlineStr">
        <is>
          <t>Note</t>
        </is>
      </c>
      <c r="C18" s="7" t="inlineStr">
        <is>
          <t>The vancomycin vial rule in this lesson is a simplified teaching assumption, not pharmacy guidance.</t>
        </is>
      </c>
    </row>
    <row r="20">
      <c r="B20" s="4" t="inlineStr">
        <is>
          <t>Color legend</t>
        </is>
      </c>
      <c r="C20" s="5" t="n"/>
    </row>
    <row r="21" ht="18" customHeight="1">
      <c r="B21" s="9" t="inlineStr">
        <is>
          <t>Yellow cell</t>
        </is>
      </c>
      <c r="C21" s="7" t="inlineStr">
        <is>
          <t>Your answer goes here.</t>
        </is>
      </c>
    </row>
    <row r="22" ht="18" customHeight="1">
      <c r="B22" s="10" t="inlineStr">
        <is>
          <t>Gray cell</t>
        </is>
      </c>
      <c r="C22" s="7" t="inlineStr">
        <is>
          <t>Pre-filled summary formula. It reads the work you did on another sheet, so don't type over it.</t>
        </is>
      </c>
    </row>
    <row r="23" ht="18" customHeight="1">
      <c r="B23" s="11" t="inlineStr">
        <is>
          <t>✔ Correct</t>
        </is>
      </c>
      <c r="C23" s="7" t="inlineStr">
        <is>
          <t>Your answer matches the key.</t>
        </is>
      </c>
    </row>
    <row r="24" ht="18" customHeight="1">
      <c r="B24" s="12" t="inlineStr">
        <is>
          <t>✘ Not yet</t>
        </is>
      </c>
      <c r="C24" s="7" t="inlineStr">
        <is>
          <t>Not matching yet. Check the hint and try again.</t>
        </is>
      </c>
    </row>
    <row r="26">
      <c r="B26" s="4" t="inlineStr">
        <is>
          <t>Sheets in this workbook</t>
        </is>
      </c>
      <c r="C26" s="5" t="n"/>
    </row>
    <row r="27" ht="18" customHeight="1">
      <c r="B27" s="8" t="inlineStr">
        <is>
          <t>Practice</t>
        </is>
      </c>
      <c r="C27" s="7" t="inlineStr">
        <is>
          <t>13 practice tasks, each with a Check cell.</t>
        </is>
      </c>
    </row>
    <row r="28" ht="18" customHeight="1">
      <c r="B28" s="8" t="inlineStr">
        <is>
          <t>Stays</t>
        </is>
      </c>
      <c r="C28" s="7" t="inlineStr">
        <is>
          <t>Data: 573 rows, in the Excel Table 'tblStays'</t>
        </is>
      </c>
    </row>
    <row r="29" ht="18" customHeight="1">
      <c r="B29" s="8" t="inlineStr">
        <is>
          <t>ED</t>
        </is>
      </c>
      <c r="C29" s="7" t="inlineStr">
        <is>
          <t>Data: 785 rows, in the Excel Table 'tblED'</t>
        </is>
      </c>
    </row>
    <row r="30" ht="18" customHeight="1">
      <c r="B30" s="8" t="inlineStr">
        <is>
          <t>Meds</t>
        </is>
      </c>
      <c r="C30" s="7" t="inlineStr">
        <is>
          <t>Data: 388 rows, in the Excel Table 'tblMeds'</t>
        </is>
      </c>
    </row>
    <row r="31" ht="18" customHeight="1">
      <c r="B31" s="8" t="inlineStr">
        <is>
          <t>Bonus</t>
        </is>
      </c>
      <c r="C31" s="7" t="inlineStr">
        <is>
          <t>The bonus challenge (5 parts).</t>
        </is>
      </c>
    </row>
    <row r="32" ht="63" customHeight="1">
      <c r="B32" s="8" t="inlineStr">
        <is>
          <t>About the data</t>
        </is>
      </c>
      <c r="C32" s="7" t="inlineStr">
        <is>
          <t>All 573 inpatient stays discharged from Bluestone Memorial Hospital in Q4 2025 (October–December), with age, length of stay, expected length of stay, and charges. All 785 emergency department visits at Bluestone Memorial in November–December 2025, with wait and length-of-stay minutes. The 388 medication orders written for that quarter's Medical-Surgical 5 East stays.</t>
        </is>
      </c>
    </row>
    <row r="33" ht="18" customHeight="1">
      <c r="B33" s="8" t="inlineStr">
        <is>
          <t>Disclaimer</t>
        </is>
      </c>
      <c r="C33"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2.4 · Practice</t>
        </is>
      </c>
    </row>
    <row r="2" ht="49" customHeight="1">
      <c r="A2" s="14" t="inlineStr">
        <is>
          <t>Tasks use three data sheets. Stays holds 573 inpatient stays (rows 2–574), ED holds 785 visits (rows 2–786), and Meds holds 388 medication orders (rows 2–389). Reference a column's data rows, like Stays!J2:J574, rather than a whole column like J:J, because the header text in row 1 breaks the row-by-row math in SUMPRODUCT. Structured references such as tblStays[TotalCharges] work too. When a task asks you to round, round with a function so the stored value matches, not just the display.</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30" customHeight="1">
      <c r="A6" s="18" t="inlineStr">
        <is>
          <t>1</t>
        </is>
      </c>
      <c r="B6" s="19" t="inlineStr">
        <is>
          <t>What is the most common ESI triage level among the ED visits?</t>
        </is>
      </c>
      <c r="C6" s="20" t="inlineStr">
        <is>
          <t>MODE.SNGL</t>
        </is>
      </c>
      <c r="D6" s="21" t="n"/>
      <c r="E6" s="22">
        <f>IF(IFERROR(D6="",FALSE),"",IF(IFERROR(AND(ISNUMBER(D6),OR(ABS(D6-'Answer Key'!$C$5)&lt;=0.0001)),FALSE),"✔ Correct","✘ Not yet"))</f>
        <v/>
      </c>
    </row>
    <row r="7" ht="36" customHeight="1">
      <c r="A7" s="18" t="inlineStr">
        <is>
          <t>2</t>
        </is>
      </c>
      <c r="B7" s="19" t="inlineStr">
        <is>
          <t>How much higher is the mean (average) TotalCharges per stay than the median TotalCharges? Enter the difference in dollars, to the cent.</t>
        </is>
      </c>
      <c r="C7" s="20" t="inlineStr">
        <is>
          <t>AVERAGE(…) − MEDIAN(…)</t>
        </is>
      </c>
      <c r="D7" s="23" t="n"/>
      <c r="E7" s="22">
        <f>IF(IFERROR(D7="",FALSE),"",IF(IFERROR(AND(ISNUMBER(D7),OR(ABS(D7-'Answer Key'!$C$6)&lt;=0.0051)),FALSE),"✔ Correct","✘ Not yet"))</f>
        <v/>
      </c>
    </row>
    <row r="8" ht="36" customHeight="1">
      <c r="A8" s="18" t="inlineStr">
        <is>
          <t>3</t>
        </is>
      </c>
      <c r="B8" s="19" t="inlineStr">
        <is>
          <t>What is the sample standard deviation of TotalCharges, rounded to the nearest $100 with ROUND?</t>
        </is>
      </c>
      <c r="C8" s="20" t="inlineStr">
        <is>
          <t>STDEV.S, then ROUND with a negative num_digits</t>
        </is>
      </c>
      <c r="D8" s="24" t="n"/>
      <c r="E8" s="22">
        <f>IF(IFERROR(D8="",FALSE),"",IF(IFERROR(AND(ISNUMBER(D8),OR(ABS(D8-'Answer Key'!$C$7)&lt;=0.0001)),FALSE),"✔ Correct","✘ Not yet"))</f>
        <v/>
      </c>
    </row>
    <row r="9" ht="81" customHeight="1">
      <c r="A9" s="18" t="inlineStr">
        <is>
          <t>4</t>
        </is>
      </c>
      <c r="B9" s="19" t="inlineStr">
        <is>
          <t>ED leaders review the three longest ED visits for boarding delays, where an admitted patient waits in the ED for an inpatient bed. They report each visit's length of stay in whole hours and count any started hour as a full hour. Find the 3rd-longest EDLOSMin on the ED sheet, convert it to hours, and round it up to a whole number of hours with ROUNDUP.</t>
        </is>
      </c>
      <c r="C9" s="20" t="inlineStr">
        <is>
          <t>LARGE(array, k) finds the visit. Divide by 60, then ROUNDUP(…, 0)</t>
        </is>
      </c>
      <c r="D9" s="21" t="n"/>
      <c r="E9" s="22">
        <f>IF(IFERROR(D9="",FALSE),"",IF(IFERROR(AND(ISNUMBER(D9),OR(ABS(D9-'Answer Key'!$C$8)&lt;=0.0001)),FALSE),"✔ Correct","✘ Not yet"))</f>
        <v/>
      </c>
    </row>
    <row r="10" ht="51" customHeight="1">
      <c r="A10" s="18" t="inlineStr">
        <is>
          <t>5</t>
        </is>
      </c>
      <c r="B10" s="19" t="inlineStr">
        <is>
          <t>The charge-capture team audits the cheapest stays, because an unusually low charge often means some charges were never posted. What is the 3rd-lowest TotalCharges?</t>
        </is>
      </c>
      <c r="C10" s="20" t="inlineStr">
        <is>
          <t>SMALL is LARGE's mirror image</t>
        </is>
      </c>
      <c r="D10" s="23" t="n"/>
      <c r="E10" s="22">
        <f>IF(IFERROR(D10="",FALSE),"",IF(IFERROR(AND(ISNUMBER(D10),OR(ABS(D10-'Answer Key'!$C$9)&lt;=0.0051)),FALSE),"✔ Correct","✘ Not yet"))</f>
        <v/>
      </c>
    </row>
    <row r="11" ht="36" customHeight="1">
      <c r="A11" s="18" t="inlineStr">
        <is>
          <t>6</t>
        </is>
      </c>
      <c r="B11" s="19" t="inlineStr">
        <is>
          <t>Encounter ENC119052 (Stays row 70) stayed 10 days. Rank its LOSDays among all 573 stays with RANK.EQ, where the longest stay is rank 1.</t>
        </is>
      </c>
      <c r="C11" s="20" t="inlineStr">
        <is>
          <t>RANK.EQ(number, ref). Leaving out order ranks the largest value as 1</t>
        </is>
      </c>
      <c r="D11" s="21" t="n"/>
      <c r="E11" s="22">
        <f>IF(IFERROR(D11="",FALSE),"",IF(IFERROR(AND(ISNUMBER(D11),OR(ABS(D11-'Answer Key'!$C$10)&lt;=0.0001)),FALSE),"✔ Correct","✘ Not yet"))</f>
        <v/>
      </c>
    </row>
    <row r="12" ht="51" customHeight="1">
      <c r="A12" s="18" t="inlineStr">
        <is>
          <t>7</t>
        </is>
      </c>
      <c r="B12" s="19" t="inlineStr">
        <is>
          <t>Ninety percent of the patients who saw a provider waited at most how many minutes? Calculate the 90th percentile of DoorToProviderMin. (The 16 blank cells are patients who left without being seen.)</t>
        </is>
      </c>
      <c r="C12" s="20" t="inlineStr">
        <is>
          <t>PERCENTILE.INC(array, 0.9)</t>
        </is>
      </c>
      <c r="D12" s="21" t="n"/>
      <c r="E12" s="22">
        <f>IF(IFERROR(D12="",FALSE),"",IF(IFERROR(AND(ISNUMBER(D12),OR(ABS(D12-'Answer Key'!$C$11)&lt;=0.0001)),FALSE),"✔ Correct","✘ Not yet"))</f>
        <v/>
      </c>
    </row>
    <row r="13" ht="36" customHeight="1">
      <c r="A13" s="18" t="inlineStr">
        <is>
          <t>8</t>
        </is>
      </c>
      <c r="B13" s="19" t="inlineStr">
        <is>
          <t>What is the interquartile range (IQR = Q3 − Q1) of EDLOSMin, in minutes? Use QUARTILE.INC.</t>
        </is>
      </c>
      <c r="C13" s="20" t="inlineStr">
        <is>
          <t>QUARTILE.INC(array, 3) − QUARTILE.INC(array, 1)</t>
        </is>
      </c>
      <c r="D13" s="21" t="n"/>
      <c r="E13" s="22">
        <f>IF(IFERROR(D13="",FALSE),"",IF(IFERROR(AND(ISNUMBER(D13),OR(ABS(D13-'Answer Key'!$C$12)&lt;=0.0001)),FALSE),"✔ Correct","✘ Not yet"))</f>
        <v/>
      </c>
    </row>
    <row r="14" ht="51" customHeight="1">
      <c r="A14" s="18" t="inlineStr">
        <is>
          <t>9</t>
        </is>
      </c>
      <c r="B14" s="19" t="inlineStr">
        <is>
          <t>What was the total acquisition cost of the medications dispensed for the 5 East stays? Multiply each order's DosesDispensed by its UnitCost and add up all the orders, in one formula. Enter the total in dollars, to the cent.</t>
        </is>
      </c>
      <c r="C14" s="20" t="inlineStr">
        <is>
          <t>SUMPRODUCT(array1, array2)</t>
        </is>
      </c>
      <c r="D14" s="23" t="n"/>
      <c r="E14" s="22">
        <f>IF(IFERROR(D14="",FALSE),"",IF(IFERROR(AND(ISNUMBER(D14),OR(ABS(D14-'Answer Key'!$C$13)&lt;=0.0051)),FALSE),"✔ Correct","✘ Not yet"))</f>
        <v/>
      </c>
    </row>
    <row r="15" ht="81" customHeight="1">
      <c r="A15" s="18" t="inlineStr">
        <is>
          <t>10</t>
        </is>
      </c>
      <c r="B15" s="19" t="inlineStr">
        <is>
          <t>Fill the yellow AgeBand column on the Stays sheet with each stay's 10-year age band using FLOOR.MATH, so age 78 becomes 70 and age 80 becomes 80. Type the formula in K2. Stays is an Excel Table, so Excel fills the formula down the whole column for you. If it doesn't, double-click the fill handle. The gray cell counts the stays in the 80–89 band.</t>
        </is>
      </c>
      <c r="C15" s="20" t="inlineStr">
        <is>
          <t>FLOOR.MATH(number, significance) rounds down to a multiple</t>
        </is>
      </c>
      <c r="D15" cm="1" s="25">
        <f t="array" ref="D15">IF(COUNT(Stays!$K$2:$K$574)=0,"",COUNTIF(Stays!$K$2:$K$574,80))</f>
        <v/>
      </c>
      <c r="E15" s="22">
        <f>IF(IFERROR(D15="",FALSE),"",IF(IFERROR(AND(ISNUMBER(D15),OR(ABS(D15-'Answer Key'!$C$14)&lt;=0.0001)),FALSE),"✔ Correct","✘ Not yet"))</f>
        <v/>
      </c>
    </row>
    <row r="16" ht="66" customHeight="1">
      <c r="A16" s="18" t="inlineStr">
        <is>
          <t>11</t>
        </is>
      </c>
      <c r="B16" s="19" t="inlineStr">
        <is>
          <t>Order RX824601 (Meds row 255) is vancomycin 1,250 mg every 12 hours, with 24 doses dispensed. Assume the IV room mixes every dose from 500 mg single-dose vials and throws away whatever is left in an opened vial. How many vials did this order use?</t>
        </is>
      </c>
      <c r="C16" s="20" t="inlineStr">
        <is>
          <t>Work out vials per dose first: round 1,250 mg UP to a whole number of 500 mg vials with CEILING.MATH (or ROUNDUP)</t>
        </is>
      </c>
      <c r="D16" s="21" t="n"/>
      <c r="E16" s="22">
        <f>IF(IFERROR(D16="",FALSE),"",IF(IFERROR(AND(ISNUMBER(D16),OR(ABS(D16-'Answer Key'!$C$15)&lt;=0.0001)),FALSE),"✔ Correct","✘ Not yet"))</f>
        <v/>
      </c>
    </row>
    <row r="17" ht="51" customHeight="1">
      <c r="A17" s="18" t="inlineStr">
        <is>
          <t>12</t>
        </is>
      </c>
      <c r="B17" s="19" t="inlineStr">
        <is>
          <t>Case managers call a stay "on target" when its LOSDays is within 1 day of its ExpectedLOS in either direction (a difference of 1.0 day or less, longer or shorter). How many of the 573 stays were on target? Use one formula.</t>
        </is>
      </c>
      <c r="C17" s="20" t="inlineStr">
        <is>
          <t>ABS makes −0.9 and +0.9 the same distance. Count TRUE results with SUMPRODUCT(--(…)) from Lesson 2.1</t>
        </is>
      </c>
      <c r="D17" s="21" t="n"/>
      <c r="E17" s="22">
        <f>IF(IFERROR(D17="",FALSE),"",IF(IFERROR(AND(ISNUMBER(D17),OR(ABS(D17-'Answer Key'!$C$16)&lt;=0.0001)),FALSE),"✔ Correct","✘ Not yet"))</f>
        <v/>
      </c>
    </row>
    <row r="18" ht="66" customHeight="1">
      <c r="A18" s="18" t="inlineStr">
        <is>
          <t>13</t>
        </is>
      </c>
      <c r="B18" s="19" t="inlineStr">
        <is>
          <t>The ED status board rounds each visit's length of stay to the nearest 15 minutes and shows it as hours and minutes, like "6 h 45 min". What does it show for visit ED211176 (ED row 2, EDLOSMin = 624)? Build the text with one formula that refers to the EDLOSMin cell.</t>
        </is>
      </c>
      <c r="C18" s="20" t="inlineStr">
        <is>
          <t>MROUND to 15 first. Then INT(minutes/60) gives hours and MOD(minutes,60) gives the minutes left over. Join with &amp;</t>
        </is>
      </c>
      <c r="D18" s="26" t="n"/>
      <c r="E18" s="22">
        <f>IF(IFERROR(D18="",FALSE),"",IF(IFERROR(OR(LOWER(TRIM(D18&amp;""))=LOWER(TRIM('Answer Key'!$C$17&amp;"")),LOWER(TRIM(D18&amp;""))="10h 30min",LOWER(TRIM(D18&amp;""))="10h30min",LOWER(TRIM(D18&amp;""))="10 h 30 m",LOWER(TRIM(D18&amp;""))="10h 30m",LOWER(TRIM(D18&amp;""))="10h30m",LOWER(TRIM(D18&amp;""))="10 hr 30 min",LOWER(TRIM(D18&amp;""))="10 h 30 mins",LOWER(TRIM(D18&amp;""))="10 hrs 30 min"),FALSE),"✔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K574"/>
  <sheetViews>
    <sheetView tabSelected="0" workbookViewId="0">
      <pane ySplit="1" topLeftCell="A2" activePane="bottomLeft" state="frozen"/>
      <selection pane="bottomLeft" activeCell="A1" sqref="A1"/>
    </sheetView>
  </sheetViews>
  <sheetFormatPr baseColWidth="8" defaultRowHeight="15"/>
  <cols>
    <col width="13" customWidth="1" min="1" max="1"/>
    <col width="26" customWidth="1" min="2" max="2"/>
    <col width="12" customWidth="1" min="3" max="3"/>
    <col width="15" customWidth="1" min="4" max="4"/>
    <col width="9" customWidth="1" min="5" max="5"/>
    <col width="15" customWidth="1" min="6" max="6"/>
    <col width="44" customWidth="1" min="7" max="7"/>
    <col width="13" customWidth="1" min="8" max="8"/>
    <col width="9" customWidth="1" min="9" max="9"/>
    <col width="14" customWidth="1" min="10" max="10"/>
    <col width="11" customWidth="1" min="11" max="11"/>
  </cols>
  <sheetData>
    <row r="1">
      <c r="A1" s="27" t="inlineStr">
        <is>
          <t>EncounterID</t>
        </is>
      </c>
      <c r="B1" s="27" t="inlineStr">
        <is>
          <t>Unit</t>
        </is>
      </c>
      <c r="C1" s="27" t="inlineStr">
        <is>
          <t>AdmitDate</t>
        </is>
      </c>
      <c r="D1" s="27" t="inlineStr">
        <is>
          <t>DischargeDate</t>
        </is>
      </c>
      <c r="E1" s="27" t="inlineStr">
        <is>
          <t>Age</t>
        </is>
      </c>
      <c r="F1" s="27" t="inlineStr">
        <is>
          <t>PrimaryDxCode</t>
        </is>
      </c>
      <c r="G1" s="27" t="inlineStr">
        <is>
          <t>DxDescription</t>
        </is>
      </c>
      <c r="H1" s="27" t="inlineStr">
        <is>
          <t>ExpectedLOS</t>
        </is>
      </c>
      <c r="I1" s="27" t="inlineStr">
        <is>
          <t>LOSDays</t>
        </is>
      </c>
      <c r="J1" s="27" t="inlineStr">
        <is>
          <t>TotalCharges</t>
        </is>
      </c>
      <c r="K1" s="28" t="inlineStr">
        <is>
          <t>AgeBand</t>
        </is>
      </c>
    </row>
    <row r="2">
      <c r="A2" t="inlineStr">
        <is>
          <t>ENC118816</t>
        </is>
      </c>
      <c r="B2" t="inlineStr">
        <is>
          <t>Medical-Surgical 4 West</t>
        </is>
      </c>
      <c r="C2" s="29" t="n">
        <v>45928</v>
      </c>
      <c r="D2" s="29" t="n">
        <v>45931</v>
      </c>
      <c r="E2" t="n">
        <v>86</v>
      </c>
      <c r="F2" t="inlineStr">
        <is>
          <t>A41.9</t>
        </is>
      </c>
      <c r="G2" t="inlineStr">
        <is>
          <t>Sepsis, unspecified organism</t>
        </is>
      </c>
      <c r="H2" s="30" t="n">
        <v>5</v>
      </c>
      <c r="I2" t="n">
        <v>3</v>
      </c>
      <c r="J2" s="31" t="n">
        <v>32556.4</v>
      </c>
      <c r="K2" s="32" t="n"/>
    </row>
    <row r="3">
      <c r="A3" t="inlineStr">
        <is>
          <t>ENC118667</t>
        </is>
      </c>
      <c r="B3" t="inlineStr">
        <is>
          <t>Medical-Surgical 5 East</t>
        </is>
      </c>
      <c r="C3" s="29" t="n">
        <v>45922</v>
      </c>
      <c r="D3" s="29" t="n">
        <v>45931</v>
      </c>
      <c r="E3" t="n">
        <v>47</v>
      </c>
      <c r="F3" t="inlineStr">
        <is>
          <t>J18.9</t>
        </is>
      </c>
      <c r="G3" t="inlineStr">
        <is>
          <t>Pneumonia, unspecified organism</t>
        </is>
      </c>
      <c r="H3" s="30" t="n">
        <v>3.9</v>
      </c>
      <c r="I3" t="n">
        <v>9</v>
      </c>
      <c r="J3" s="31" t="n">
        <v>37997.22</v>
      </c>
      <c r="K3" s="32" t="n"/>
    </row>
    <row r="4">
      <c r="A4" t="inlineStr">
        <is>
          <t>ENC118807</t>
        </is>
      </c>
      <c r="B4" t="inlineStr">
        <is>
          <t>Medical-Surgical 5 East</t>
        </is>
      </c>
      <c r="C4" s="29" t="n">
        <v>45928</v>
      </c>
      <c r="D4" s="29" t="n">
        <v>45931</v>
      </c>
      <c r="E4" t="n">
        <v>79</v>
      </c>
      <c r="F4" t="inlineStr">
        <is>
          <t>J18.9</t>
        </is>
      </c>
      <c r="G4" t="inlineStr">
        <is>
          <t>Pneumonia, unspecified organism</t>
        </is>
      </c>
      <c r="H4" s="30" t="n">
        <v>3.9</v>
      </c>
      <c r="I4" t="n">
        <v>3</v>
      </c>
      <c r="J4" s="31" t="n">
        <v>17390.75</v>
      </c>
      <c r="K4" s="32" t="n"/>
    </row>
    <row r="5">
      <c r="A5" t="inlineStr">
        <is>
          <t>ENC118810</t>
        </is>
      </c>
      <c r="B5" t="inlineStr">
        <is>
          <t>Labor &amp; Delivery</t>
        </is>
      </c>
      <c r="C5" s="29" t="n">
        <v>45928</v>
      </c>
      <c r="D5" s="29" t="n">
        <v>45932</v>
      </c>
      <c r="E5" t="n">
        <v>19</v>
      </c>
      <c r="F5" t="inlineStr">
        <is>
          <t>O80</t>
        </is>
      </c>
      <c r="G5" t="inlineStr">
        <is>
          <t>Encounter for full-term uncomplicated delivery</t>
        </is>
      </c>
      <c r="H5" s="30" t="n">
        <v>2</v>
      </c>
      <c r="I5" t="n">
        <v>4</v>
      </c>
      <c r="J5" s="31" t="n">
        <v>22833.96</v>
      </c>
      <c r="K5" s="32" t="n"/>
    </row>
    <row r="6">
      <c r="A6" t="inlineStr">
        <is>
          <t>ENC118634</t>
        </is>
      </c>
      <c r="B6" t="inlineStr">
        <is>
          <t>Medical-Surgical 4 West</t>
        </is>
      </c>
      <c r="C6" s="29" t="n">
        <v>45921</v>
      </c>
      <c r="D6" s="29" t="n">
        <v>45932</v>
      </c>
      <c r="E6" t="n">
        <v>56</v>
      </c>
      <c r="F6" t="inlineStr">
        <is>
          <t>A41.9</t>
        </is>
      </c>
      <c r="G6" t="inlineStr">
        <is>
          <t>Sepsis, unspecified organism</t>
        </is>
      </c>
      <c r="H6" s="30" t="n">
        <v>5</v>
      </c>
      <c r="I6" t="n">
        <v>11</v>
      </c>
      <c r="J6" s="31" t="n">
        <v>83723.83</v>
      </c>
      <c r="K6" s="32" t="n"/>
    </row>
    <row r="7">
      <c r="A7" t="inlineStr">
        <is>
          <t>ENC118779</t>
        </is>
      </c>
      <c r="B7" t="inlineStr">
        <is>
          <t>Medical-Surgical 5 East</t>
        </is>
      </c>
      <c r="C7" s="29" t="n">
        <v>45926</v>
      </c>
      <c r="D7" s="29" t="n">
        <v>45932</v>
      </c>
      <c r="E7" t="n">
        <v>79</v>
      </c>
      <c r="F7" t="inlineStr">
        <is>
          <t>N39.0</t>
        </is>
      </c>
      <c r="G7" t="inlineStr">
        <is>
          <t>Urinary tract infection, site not specified</t>
        </is>
      </c>
      <c r="H7" s="30" t="n">
        <v>3.1</v>
      </c>
      <c r="I7" t="n">
        <v>6</v>
      </c>
      <c r="J7" s="31" t="n">
        <v>26261.44</v>
      </c>
      <c r="K7" s="32" t="n"/>
    </row>
    <row r="8">
      <c r="A8" t="inlineStr">
        <is>
          <t>ENC118701</t>
        </is>
      </c>
      <c r="B8" t="inlineStr">
        <is>
          <t>Medical-Surgical 4 West</t>
        </is>
      </c>
      <c r="C8" s="29" t="n">
        <v>45923</v>
      </c>
      <c r="D8" s="29" t="n">
        <v>45932</v>
      </c>
      <c r="E8" t="n">
        <v>69</v>
      </c>
      <c r="F8" t="inlineStr">
        <is>
          <t>U07.1</t>
        </is>
      </c>
      <c r="G8" t="inlineStr">
        <is>
          <t>COVID-19</t>
        </is>
      </c>
      <c r="H8" s="30" t="n">
        <v>4.4</v>
      </c>
      <c r="I8" t="n">
        <v>9</v>
      </c>
      <c r="J8" s="31" t="n">
        <v>34519.59</v>
      </c>
      <c r="K8" s="32" t="n"/>
    </row>
    <row r="9">
      <c r="A9" t="inlineStr">
        <is>
          <t>ENC118877</t>
        </is>
      </c>
      <c r="B9" t="inlineStr">
        <is>
          <t>Medical-Surgical 5 East</t>
        </is>
      </c>
      <c r="C9" s="29" t="n">
        <v>45930</v>
      </c>
      <c r="D9" s="29" t="n">
        <v>45932</v>
      </c>
      <c r="E9" t="n">
        <v>49</v>
      </c>
      <c r="F9" t="inlineStr">
        <is>
          <t>K35.80</t>
        </is>
      </c>
      <c r="G9" t="inlineStr">
        <is>
          <t>Unspecified acute appendicitis</t>
        </is>
      </c>
      <c r="H9" s="30" t="n">
        <v>2</v>
      </c>
      <c r="I9" t="n">
        <v>2</v>
      </c>
      <c r="J9" s="31" t="n">
        <v>24246.5</v>
      </c>
      <c r="K9" s="32" t="n"/>
    </row>
    <row r="10">
      <c r="A10" t="inlineStr">
        <is>
          <t>ENC118823</t>
        </is>
      </c>
      <c r="B10" t="inlineStr">
        <is>
          <t>Labor &amp; Delivery</t>
        </is>
      </c>
      <c r="C10" s="29" t="n">
        <v>45928</v>
      </c>
      <c r="D10" s="29" t="n">
        <v>45932</v>
      </c>
      <c r="E10" t="n">
        <v>38</v>
      </c>
      <c r="F10" t="inlineStr">
        <is>
          <t>O82</t>
        </is>
      </c>
      <c r="G10" t="inlineStr">
        <is>
          <t>Encounter for cesarean delivery without indication</t>
        </is>
      </c>
      <c r="H10" s="30" t="n">
        <v>2.9</v>
      </c>
      <c r="I10" t="n">
        <v>4</v>
      </c>
      <c r="J10" s="31" t="n">
        <v>36519.04</v>
      </c>
      <c r="K10" s="32" t="n"/>
    </row>
    <row r="11">
      <c r="A11" t="inlineStr">
        <is>
          <t>ENC118855</t>
        </is>
      </c>
      <c r="B11" t="inlineStr">
        <is>
          <t>Orthopedics &amp; Spine</t>
        </is>
      </c>
      <c r="C11" s="29" t="n">
        <v>45930</v>
      </c>
      <c r="D11" s="29" t="n">
        <v>45933</v>
      </c>
      <c r="E11" t="n">
        <v>56</v>
      </c>
      <c r="F11" t="inlineStr">
        <is>
          <t>S72.001A</t>
        </is>
      </c>
      <c r="G11" t="inlineStr">
        <is>
          <t>Fracture of unspecified part of neck of right femur, initial encounter</t>
        </is>
      </c>
      <c r="H11" s="30" t="n">
        <v>4.6</v>
      </c>
      <c r="I11" t="n">
        <v>3</v>
      </c>
      <c r="J11" s="31" t="n">
        <v>66398.97</v>
      </c>
      <c r="K11" s="32" t="n"/>
    </row>
    <row r="12">
      <c r="A12" t="inlineStr">
        <is>
          <t>ENC118944</t>
        </is>
      </c>
      <c r="B12" t="inlineStr">
        <is>
          <t>Medical-Surgical 4 West</t>
        </is>
      </c>
      <c r="C12" s="29" t="n">
        <v>45932</v>
      </c>
      <c r="D12" s="29" t="n">
        <v>45933</v>
      </c>
      <c r="E12" t="n">
        <v>65</v>
      </c>
      <c r="F12" t="inlineStr">
        <is>
          <t>N39.0</t>
        </is>
      </c>
      <c r="G12" t="inlineStr">
        <is>
          <t>Urinary tract infection, site not specified</t>
        </is>
      </c>
      <c r="H12" s="30" t="n">
        <v>3.1</v>
      </c>
      <c r="I12" t="n">
        <v>1</v>
      </c>
      <c r="J12" s="31" t="n">
        <v>10798.46</v>
      </c>
      <c r="K12" s="32" t="n"/>
    </row>
    <row r="13">
      <c r="A13" t="inlineStr">
        <is>
          <t>ENC118818</t>
        </is>
      </c>
      <c r="B13" t="inlineStr">
        <is>
          <t>Medical-Surgical 5 East</t>
        </is>
      </c>
      <c r="C13" s="29" t="n">
        <v>45928</v>
      </c>
      <c r="D13" s="29" t="n">
        <v>45933</v>
      </c>
      <c r="E13" t="n">
        <v>78</v>
      </c>
      <c r="F13" t="inlineStr">
        <is>
          <t>L03.115</t>
        </is>
      </c>
      <c r="G13" t="inlineStr">
        <is>
          <t>Cellulitis of right lower limb</t>
        </is>
      </c>
      <c r="H13" s="30" t="n">
        <v>3.4</v>
      </c>
      <c r="I13" t="n">
        <v>5</v>
      </c>
      <c r="J13" s="31" t="n">
        <v>19559.83</v>
      </c>
      <c r="K13" s="32" t="n"/>
    </row>
    <row r="14">
      <c r="A14" t="inlineStr">
        <is>
          <t>ENC118802</t>
        </is>
      </c>
      <c r="B14" t="inlineStr">
        <is>
          <t>Medical-Surgical 4 West</t>
        </is>
      </c>
      <c r="C14" s="29" t="n">
        <v>45927</v>
      </c>
      <c r="D14" s="29" t="n">
        <v>45933</v>
      </c>
      <c r="E14" t="n">
        <v>73</v>
      </c>
      <c r="F14" t="inlineStr">
        <is>
          <t>J44.1</t>
        </is>
      </c>
      <c r="G14" t="inlineStr">
        <is>
          <t>Chronic obstructive pulmonary disease with (acute) exacerbation</t>
        </is>
      </c>
      <c r="H14" s="30" t="n">
        <v>3.4</v>
      </c>
      <c r="I14" t="n">
        <v>6</v>
      </c>
      <c r="J14" s="31" t="n">
        <v>29479.52</v>
      </c>
      <c r="K14" s="32" t="n"/>
    </row>
    <row r="15">
      <c r="A15" t="inlineStr">
        <is>
          <t>ENC118908</t>
        </is>
      </c>
      <c r="B15" t="inlineStr">
        <is>
          <t>Medical-Surgical 4 West</t>
        </is>
      </c>
      <c r="C15" s="29" t="n">
        <v>45931</v>
      </c>
      <c r="D15" s="29" t="n">
        <v>45933</v>
      </c>
      <c r="E15" t="n">
        <v>79</v>
      </c>
      <c r="F15" t="inlineStr">
        <is>
          <t>N17.9</t>
        </is>
      </c>
      <c r="G15" t="inlineStr">
        <is>
          <t>Acute kidney failure, unspecified</t>
        </is>
      </c>
      <c r="H15" s="30" t="n">
        <v>3.9</v>
      </c>
      <c r="I15" t="n">
        <v>2</v>
      </c>
      <c r="J15" s="31" t="n">
        <v>18329.77</v>
      </c>
      <c r="K15" s="32" t="n"/>
    </row>
    <row r="16">
      <c r="A16" t="inlineStr">
        <is>
          <t>ENC118887</t>
        </is>
      </c>
      <c r="B16" t="inlineStr">
        <is>
          <t>Orthopedics &amp; Spine</t>
        </is>
      </c>
      <c r="C16" s="29" t="n">
        <v>45931</v>
      </c>
      <c r="D16" s="29" t="n">
        <v>45933</v>
      </c>
      <c r="E16" t="n">
        <v>47</v>
      </c>
      <c r="F16" t="inlineStr">
        <is>
          <t>M16.11</t>
        </is>
      </c>
      <c r="G16" t="inlineStr">
        <is>
          <t>Unilateral primary osteoarthritis, right hip</t>
        </is>
      </c>
      <c r="H16" s="30" t="n">
        <v>2.1</v>
      </c>
      <c r="I16" t="n">
        <v>2</v>
      </c>
      <c r="J16" s="31" t="n">
        <v>57899.39</v>
      </c>
      <c r="K16" s="32" t="n"/>
    </row>
    <row r="17">
      <c r="A17" t="inlineStr">
        <is>
          <t>ENC118806</t>
        </is>
      </c>
      <c r="B17" t="inlineStr">
        <is>
          <t>Cardiac Step-Down</t>
        </is>
      </c>
      <c r="C17" s="29" t="n">
        <v>45928</v>
      </c>
      <c r="D17" s="29" t="n">
        <v>45934</v>
      </c>
      <c r="E17" t="n">
        <v>91</v>
      </c>
      <c r="F17" t="inlineStr">
        <is>
          <t>I21.4</t>
        </is>
      </c>
      <c r="G17" t="inlineStr">
        <is>
          <t>Non-ST elevation (NSTEMI) myocardial infarction</t>
        </is>
      </c>
      <c r="H17" s="30" t="n">
        <v>3.4</v>
      </c>
      <c r="I17" t="n">
        <v>6</v>
      </c>
      <c r="J17" s="31" t="n">
        <v>55783.14</v>
      </c>
      <c r="K17" s="32" t="n"/>
    </row>
    <row r="18">
      <c r="A18" t="inlineStr">
        <is>
          <t>ENC118947</t>
        </is>
      </c>
      <c r="B18" t="inlineStr">
        <is>
          <t>Labor &amp; Delivery</t>
        </is>
      </c>
      <c r="C18" s="29" t="n">
        <v>45932</v>
      </c>
      <c r="D18" s="29" t="n">
        <v>45934</v>
      </c>
      <c r="E18" t="n">
        <v>37</v>
      </c>
      <c r="F18" t="inlineStr">
        <is>
          <t>O80</t>
        </is>
      </c>
      <c r="G18" t="inlineStr">
        <is>
          <t>Encounter for full-term uncomplicated delivery</t>
        </is>
      </c>
      <c r="H18" s="30" t="n">
        <v>2</v>
      </c>
      <c r="I18" t="n">
        <v>2</v>
      </c>
      <c r="J18" s="31" t="n">
        <v>19844.9</v>
      </c>
      <c r="K18" s="32" t="n"/>
    </row>
    <row r="19">
      <c r="A19" t="inlineStr">
        <is>
          <t>ENC118625</t>
        </is>
      </c>
      <c r="B19" t="inlineStr">
        <is>
          <t>Behavioral Health</t>
        </is>
      </c>
      <c r="C19" s="29" t="n">
        <v>45921</v>
      </c>
      <c r="D19" s="29" t="n">
        <v>45934</v>
      </c>
      <c r="E19" t="n">
        <v>46</v>
      </c>
      <c r="F19" t="inlineStr">
        <is>
          <t>F20.9</t>
        </is>
      </c>
      <c r="G19" t="inlineStr">
        <is>
          <t>Schizophrenia, unspecified</t>
        </is>
      </c>
      <c r="H19" s="30" t="n">
        <v>8.9</v>
      </c>
      <c r="I19" t="n">
        <v>13</v>
      </c>
      <c r="J19" s="31" t="n">
        <v>32241.36</v>
      </c>
      <c r="K19" s="32" t="n"/>
    </row>
    <row r="20">
      <c r="A20" t="inlineStr">
        <is>
          <t>ENC118824</t>
        </is>
      </c>
      <c r="B20" t="inlineStr">
        <is>
          <t>Labor &amp; Delivery</t>
        </is>
      </c>
      <c r="C20" s="29" t="n">
        <v>45928</v>
      </c>
      <c r="D20" s="29" t="n">
        <v>45934</v>
      </c>
      <c r="E20" t="n">
        <v>35</v>
      </c>
      <c r="F20" t="inlineStr">
        <is>
          <t>O82</t>
        </is>
      </c>
      <c r="G20" t="inlineStr">
        <is>
          <t>Encounter for cesarean delivery without indication</t>
        </is>
      </c>
      <c r="H20" s="30" t="n">
        <v>2.9</v>
      </c>
      <c r="I20" t="n">
        <v>6</v>
      </c>
      <c r="J20" s="31" t="n">
        <v>19463.64</v>
      </c>
      <c r="K20" s="32" t="n"/>
    </row>
    <row r="21">
      <c r="A21" t="inlineStr">
        <is>
          <t>ENC118899</t>
        </is>
      </c>
      <c r="B21" t="inlineStr">
        <is>
          <t>Labor &amp; Delivery</t>
        </is>
      </c>
      <c r="C21" s="29" t="n">
        <v>45931</v>
      </c>
      <c r="D21" s="29" t="n">
        <v>45934</v>
      </c>
      <c r="E21" t="n">
        <v>28</v>
      </c>
      <c r="F21" t="inlineStr">
        <is>
          <t>O82</t>
        </is>
      </c>
      <c r="G21" t="inlineStr">
        <is>
          <t>Encounter for cesarean delivery without indication</t>
        </is>
      </c>
      <c r="H21" s="30" t="n">
        <v>2.9</v>
      </c>
      <c r="I21" t="n">
        <v>3</v>
      </c>
      <c r="J21" s="31" t="n">
        <v>23965.69</v>
      </c>
      <c r="K21" s="32" t="n"/>
    </row>
    <row r="22">
      <c r="A22" t="inlineStr">
        <is>
          <t>ENC118917</t>
        </is>
      </c>
      <c r="B22" t="inlineStr">
        <is>
          <t>Orthopedics &amp; Spine</t>
        </is>
      </c>
      <c r="C22" s="29" t="n">
        <v>45932</v>
      </c>
      <c r="D22" s="29" t="n">
        <v>45934</v>
      </c>
      <c r="E22" t="n">
        <v>69</v>
      </c>
      <c r="F22" t="inlineStr">
        <is>
          <t>M17.11</t>
        </is>
      </c>
      <c r="G22" t="inlineStr">
        <is>
          <t>Unilateral primary osteoarthritis, right knee</t>
        </is>
      </c>
      <c r="H22" s="30" t="n">
        <v>2</v>
      </c>
      <c r="I22" t="n">
        <v>2</v>
      </c>
      <c r="J22" s="31" t="n">
        <v>71072.36</v>
      </c>
      <c r="K22" s="32" t="n"/>
    </row>
    <row r="23">
      <c r="A23" t="inlineStr">
        <is>
          <t>ENC118949</t>
        </is>
      </c>
      <c r="B23" t="inlineStr">
        <is>
          <t>Cardiac Step-Down</t>
        </is>
      </c>
      <c r="C23" s="29" t="n">
        <v>45933</v>
      </c>
      <c r="D23" s="29" t="n">
        <v>45935</v>
      </c>
      <c r="E23" t="n">
        <v>72</v>
      </c>
      <c r="F23" t="inlineStr">
        <is>
          <t>I50.9</t>
        </is>
      </c>
      <c r="G23" t="inlineStr">
        <is>
          <t>Heart failure, unspecified</t>
        </is>
      </c>
      <c r="H23" s="30" t="n">
        <v>4.1</v>
      </c>
      <c r="I23" t="n">
        <v>2</v>
      </c>
      <c r="J23" s="31" t="n">
        <v>17345.51</v>
      </c>
      <c r="K23" s="32" t="n"/>
    </row>
    <row r="24">
      <c r="A24" t="inlineStr">
        <is>
          <t>ENC118915</t>
        </is>
      </c>
      <c r="B24" t="inlineStr">
        <is>
          <t>Medical-Surgical 5 East</t>
        </is>
      </c>
      <c r="C24" s="29" t="n">
        <v>45931</v>
      </c>
      <c r="D24" s="29" t="n">
        <v>45935</v>
      </c>
      <c r="E24" t="n">
        <v>69</v>
      </c>
      <c r="F24" t="inlineStr">
        <is>
          <t>J44.1</t>
        </is>
      </c>
      <c r="G24" t="inlineStr">
        <is>
          <t>Chronic obstructive pulmonary disease with (acute) exacerbation</t>
        </is>
      </c>
      <c r="H24" s="30" t="n">
        <v>3.4</v>
      </c>
      <c r="I24" t="n">
        <v>4</v>
      </c>
      <c r="J24" s="31" t="n">
        <v>23060.38</v>
      </c>
      <c r="K24" s="32" t="n"/>
    </row>
    <row r="25">
      <c r="A25" t="inlineStr">
        <is>
          <t>ENC118890</t>
        </is>
      </c>
      <c r="B25" t="inlineStr">
        <is>
          <t>Oncology</t>
        </is>
      </c>
      <c r="C25" s="29" t="n">
        <v>45931</v>
      </c>
      <c r="D25" s="29" t="n">
        <v>45935</v>
      </c>
      <c r="E25" t="n">
        <v>70</v>
      </c>
      <c r="F25" t="inlineStr">
        <is>
          <t>C34.90</t>
        </is>
      </c>
      <c r="G25" t="inlineStr">
        <is>
          <t>Malignant neoplasm of unspecified part of unspecified bronchus or lung</t>
        </is>
      </c>
      <c r="H25" s="30" t="n">
        <v>5</v>
      </c>
      <c r="I25" t="n">
        <v>4</v>
      </c>
      <c r="J25" s="31" t="n">
        <v>31210.95</v>
      </c>
      <c r="K25" s="32" t="n"/>
    </row>
    <row r="26">
      <c r="A26" t="inlineStr">
        <is>
          <t>ENC118800</t>
        </is>
      </c>
      <c r="B26" t="inlineStr">
        <is>
          <t>Intensive Care Unit</t>
        </is>
      </c>
      <c r="C26" s="29" t="n">
        <v>45927</v>
      </c>
      <c r="D26" s="29" t="n">
        <v>45936</v>
      </c>
      <c r="E26" t="n">
        <v>36</v>
      </c>
      <c r="F26" t="inlineStr">
        <is>
          <t>J96.01</t>
        </is>
      </c>
      <c r="G26" t="inlineStr">
        <is>
          <t>Acute respiratory failure with hypoxia</t>
        </is>
      </c>
      <c r="H26" s="30" t="n">
        <v>4.8</v>
      </c>
      <c r="I26" t="n">
        <v>9</v>
      </c>
      <c r="J26" s="31" t="n">
        <v>124038.01</v>
      </c>
      <c r="K26" s="32" t="n"/>
    </row>
    <row r="27">
      <c r="A27" t="inlineStr">
        <is>
          <t>ENC118988</t>
        </is>
      </c>
      <c r="B27" t="inlineStr">
        <is>
          <t>Medical-Surgical 4 West</t>
        </is>
      </c>
      <c r="C27" s="29" t="n">
        <v>45934</v>
      </c>
      <c r="D27" s="29" t="n">
        <v>45936</v>
      </c>
      <c r="E27" t="n">
        <v>54</v>
      </c>
      <c r="F27" t="inlineStr">
        <is>
          <t>E11.65</t>
        </is>
      </c>
      <c r="G27" t="inlineStr">
        <is>
          <t>Type 2 diabetes mellitus with hyperglycemia</t>
        </is>
      </c>
      <c r="H27" s="30" t="n">
        <v>3</v>
      </c>
      <c r="I27" t="n">
        <v>2</v>
      </c>
      <c r="J27" s="31" t="n">
        <v>8970.870000000001</v>
      </c>
      <c r="K27" s="32" t="n"/>
    </row>
    <row r="28">
      <c r="A28" t="inlineStr">
        <is>
          <t>ENC118957</t>
        </is>
      </c>
      <c r="B28" t="inlineStr">
        <is>
          <t>Cardiac Step-Down</t>
        </is>
      </c>
      <c r="C28" s="29" t="n">
        <v>45933</v>
      </c>
      <c r="D28" s="29" t="n">
        <v>45936</v>
      </c>
      <c r="E28" t="n">
        <v>48</v>
      </c>
      <c r="F28" t="inlineStr">
        <is>
          <t>I21.4</t>
        </is>
      </c>
      <c r="G28" t="inlineStr">
        <is>
          <t>Non-ST elevation (NSTEMI) myocardial infarction</t>
        </is>
      </c>
      <c r="H28" s="30" t="n">
        <v>3.4</v>
      </c>
      <c r="I28" t="n">
        <v>3</v>
      </c>
      <c r="J28" s="31" t="n">
        <v>46643.38</v>
      </c>
      <c r="K28" s="32" t="n"/>
    </row>
    <row r="29">
      <c r="A29" t="inlineStr">
        <is>
          <t>ENC118934</t>
        </is>
      </c>
      <c r="B29" t="inlineStr">
        <is>
          <t>Medical-Surgical 5 East</t>
        </is>
      </c>
      <c r="C29" s="29" t="n">
        <v>45932</v>
      </c>
      <c r="D29" s="29" t="n">
        <v>45936</v>
      </c>
      <c r="E29" t="n">
        <v>50</v>
      </c>
      <c r="F29" t="inlineStr">
        <is>
          <t>N17.9</t>
        </is>
      </c>
      <c r="G29" t="inlineStr">
        <is>
          <t>Acute kidney failure, unspecified</t>
        </is>
      </c>
      <c r="H29" s="30" t="n">
        <v>3.9</v>
      </c>
      <c r="I29" t="n">
        <v>4</v>
      </c>
      <c r="J29" s="31" t="n">
        <v>30419.26</v>
      </c>
      <c r="K29" s="32" t="n"/>
    </row>
    <row r="30">
      <c r="A30" t="inlineStr">
        <is>
          <t>ENC118976</t>
        </is>
      </c>
      <c r="B30" t="inlineStr">
        <is>
          <t>Medical-Surgical 4 West</t>
        </is>
      </c>
      <c r="C30" s="29" t="n">
        <v>45933</v>
      </c>
      <c r="D30" s="29" t="n">
        <v>45937</v>
      </c>
      <c r="E30" t="n">
        <v>53</v>
      </c>
      <c r="F30" t="inlineStr">
        <is>
          <t>J18.9</t>
        </is>
      </c>
      <c r="G30" t="inlineStr">
        <is>
          <t>Pneumonia, unspecified organism</t>
        </is>
      </c>
      <c r="H30" s="30" t="n">
        <v>3.9</v>
      </c>
      <c r="I30" t="n">
        <v>4</v>
      </c>
      <c r="J30" s="31" t="n">
        <v>17254.19</v>
      </c>
      <c r="K30" s="32" t="n"/>
    </row>
    <row r="31">
      <c r="A31" t="inlineStr">
        <is>
          <t>ENC118977</t>
        </is>
      </c>
      <c r="B31" t="inlineStr">
        <is>
          <t>Neuroscience &amp; Stroke</t>
        </is>
      </c>
      <c r="C31" s="29" t="n">
        <v>45933</v>
      </c>
      <c r="D31" s="29" t="n">
        <v>45937</v>
      </c>
      <c r="E31" t="n">
        <v>75</v>
      </c>
      <c r="F31" t="inlineStr">
        <is>
          <t>G40.909</t>
        </is>
      </c>
      <c r="G31" t="inlineStr">
        <is>
          <t>Epilepsy, unspecified, not intractable, without status epilepticus</t>
        </is>
      </c>
      <c r="H31" s="30" t="n">
        <v>2.5</v>
      </c>
      <c r="I31" t="n">
        <v>4</v>
      </c>
      <c r="J31" s="31" t="n">
        <v>24384.42</v>
      </c>
      <c r="K31" s="32" t="n"/>
    </row>
    <row r="32">
      <c r="A32" t="inlineStr">
        <is>
          <t>ENC118978</t>
        </is>
      </c>
      <c r="B32" t="inlineStr">
        <is>
          <t>Medical-Surgical 5 East</t>
        </is>
      </c>
      <c r="C32" s="29" t="n">
        <v>45934</v>
      </c>
      <c r="D32" s="29" t="n">
        <v>45937</v>
      </c>
      <c r="E32" t="n">
        <v>46</v>
      </c>
      <c r="F32" t="inlineStr">
        <is>
          <t>J45.909</t>
        </is>
      </c>
      <c r="G32" t="inlineStr">
        <is>
          <t>Unspecified asthma, uncomplicated</t>
        </is>
      </c>
      <c r="H32" s="30" t="n">
        <v>2.1</v>
      </c>
      <c r="I32" t="n">
        <v>3</v>
      </c>
      <c r="J32" s="31" t="n">
        <v>20244.34</v>
      </c>
      <c r="K32" s="32" t="n"/>
    </row>
    <row r="33">
      <c r="A33" t="inlineStr">
        <is>
          <t>ENC118981</t>
        </is>
      </c>
      <c r="B33" t="inlineStr">
        <is>
          <t>Medical-Surgical 4 West</t>
        </is>
      </c>
      <c r="C33" s="29" t="n">
        <v>45934</v>
      </c>
      <c r="D33" s="29" t="n">
        <v>45937</v>
      </c>
      <c r="E33" t="n">
        <v>56</v>
      </c>
      <c r="F33" t="inlineStr">
        <is>
          <t>A41.9</t>
        </is>
      </c>
      <c r="G33" t="inlineStr">
        <is>
          <t>Sepsis, unspecified organism</t>
        </is>
      </c>
      <c r="H33" s="30" t="n">
        <v>5</v>
      </c>
      <c r="I33" t="n">
        <v>3</v>
      </c>
      <c r="J33" s="31" t="n">
        <v>48194.08</v>
      </c>
      <c r="K33" s="32" t="n"/>
    </row>
    <row r="34">
      <c r="A34" t="inlineStr">
        <is>
          <t>ENC118991</t>
        </is>
      </c>
      <c r="B34" t="inlineStr">
        <is>
          <t>Neuroscience &amp; Stroke</t>
        </is>
      </c>
      <c r="C34" s="29" t="n">
        <v>45934</v>
      </c>
      <c r="D34" s="29" t="n">
        <v>45937</v>
      </c>
      <c r="E34" t="n">
        <v>78</v>
      </c>
      <c r="F34" t="inlineStr">
        <is>
          <t>I63.9</t>
        </is>
      </c>
      <c r="G34" t="inlineStr">
        <is>
          <t>Cerebral infarction, unspecified</t>
        </is>
      </c>
      <c r="H34" s="30" t="n">
        <v>4.2</v>
      </c>
      <c r="I34" t="n">
        <v>3</v>
      </c>
      <c r="J34" s="31" t="n">
        <v>22218.82</v>
      </c>
      <c r="K34" s="32" t="n"/>
    </row>
    <row r="35">
      <c r="A35" t="inlineStr">
        <is>
          <t>ENC119034</t>
        </is>
      </c>
      <c r="B35" t="inlineStr">
        <is>
          <t>Medical-Surgical 5 East</t>
        </is>
      </c>
      <c r="C35" s="29" t="n">
        <v>45936</v>
      </c>
      <c r="D35" s="29" t="n">
        <v>45938</v>
      </c>
      <c r="E35" t="n">
        <v>55</v>
      </c>
      <c r="F35" t="inlineStr">
        <is>
          <t>R55</t>
        </is>
      </c>
      <c r="G35" t="inlineStr">
        <is>
          <t>Syncope and collapse</t>
        </is>
      </c>
      <c r="H35" s="30" t="n">
        <v>2</v>
      </c>
      <c r="I35" t="n">
        <v>2</v>
      </c>
      <c r="J35" s="31" t="n">
        <v>10088.05</v>
      </c>
      <c r="K35" s="32" t="n"/>
    </row>
    <row r="36">
      <c r="A36" t="inlineStr">
        <is>
          <t>ENC119006</t>
        </is>
      </c>
      <c r="B36" t="inlineStr">
        <is>
          <t>Medical-Surgical 4 West</t>
        </is>
      </c>
      <c r="C36" s="29" t="n">
        <v>45935</v>
      </c>
      <c r="D36" s="29" t="n">
        <v>45938</v>
      </c>
      <c r="E36" t="n">
        <v>55</v>
      </c>
      <c r="F36" t="inlineStr">
        <is>
          <t>J18.9</t>
        </is>
      </c>
      <c r="G36" t="inlineStr">
        <is>
          <t>Pneumonia, unspecified organism</t>
        </is>
      </c>
      <c r="H36" s="30" t="n">
        <v>3.9</v>
      </c>
      <c r="I36" t="n">
        <v>3</v>
      </c>
      <c r="J36" s="31" t="n">
        <v>13685.3</v>
      </c>
      <c r="K36" s="32" t="n"/>
    </row>
    <row r="37">
      <c r="A37" t="inlineStr">
        <is>
          <t>ENC118886</t>
        </is>
      </c>
      <c r="B37" t="inlineStr">
        <is>
          <t>Behavioral Health</t>
        </is>
      </c>
      <c r="C37" s="29" t="n">
        <v>45931</v>
      </c>
      <c r="D37" s="29" t="n">
        <v>45939</v>
      </c>
      <c r="E37" t="n">
        <v>33</v>
      </c>
      <c r="F37" t="inlineStr">
        <is>
          <t>F20.9</t>
        </is>
      </c>
      <c r="G37" t="inlineStr">
        <is>
          <t>Schizophrenia, unspecified</t>
        </is>
      </c>
      <c r="H37" s="30" t="n">
        <v>8.9</v>
      </c>
      <c r="I37" t="n">
        <v>8</v>
      </c>
      <c r="J37" s="31" t="n">
        <v>19247.02</v>
      </c>
      <c r="K37" s="32" t="n"/>
    </row>
    <row r="38">
      <c r="A38" t="inlineStr">
        <is>
          <t>ENC119086</t>
        </is>
      </c>
      <c r="B38" t="inlineStr">
        <is>
          <t>Orthopedics &amp; Spine</t>
        </is>
      </c>
      <c r="C38" s="29" t="n">
        <v>45938</v>
      </c>
      <c r="D38" s="29" t="n">
        <v>45940</v>
      </c>
      <c r="E38" t="n">
        <v>73</v>
      </c>
      <c r="F38" t="inlineStr">
        <is>
          <t>M17.11</t>
        </is>
      </c>
      <c r="G38" t="inlineStr">
        <is>
          <t>Unilateral primary osteoarthritis, right knee</t>
        </is>
      </c>
      <c r="H38" s="30" t="n">
        <v>2</v>
      </c>
      <c r="I38" t="n">
        <v>2</v>
      </c>
      <c r="J38" s="31" t="n">
        <v>51588.84</v>
      </c>
      <c r="K38" s="32" t="n"/>
    </row>
    <row r="39">
      <c r="A39" t="inlineStr">
        <is>
          <t>ENC119017</t>
        </is>
      </c>
      <c r="B39" t="inlineStr">
        <is>
          <t>Intensive Care Unit</t>
        </is>
      </c>
      <c r="C39" s="29" t="n">
        <v>45936</v>
      </c>
      <c r="D39" s="29" t="n">
        <v>45940</v>
      </c>
      <c r="E39" t="n">
        <v>77</v>
      </c>
      <c r="F39" t="inlineStr">
        <is>
          <t>J96.01</t>
        </is>
      </c>
      <c r="G39" t="inlineStr">
        <is>
          <t>Acute respiratory failure with hypoxia</t>
        </is>
      </c>
      <c r="H39" s="30" t="n">
        <v>4.8</v>
      </c>
      <c r="I39" t="n">
        <v>4</v>
      </c>
      <c r="J39" s="31" t="n">
        <v>60532.88</v>
      </c>
      <c r="K39" s="32" t="n"/>
    </row>
    <row r="40">
      <c r="A40" t="inlineStr">
        <is>
          <t>ENC119117</t>
        </is>
      </c>
      <c r="B40" t="inlineStr">
        <is>
          <t>Medical-Surgical 4 West</t>
        </is>
      </c>
      <c r="C40" s="29" t="n">
        <v>45938</v>
      </c>
      <c r="D40" s="29" t="n">
        <v>45940</v>
      </c>
      <c r="E40" t="n">
        <v>47</v>
      </c>
      <c r="F40" t="inlineStr">
        <is>
          <t>E11.65</t>
        </is>
      </c>
      <c r="G40" t="inlineStr">
        <is>
          <t>Type 2 diabetes mellitus with hyperglycemia</t>
        </is>
      </c>
      <c r="H40" s="30" t="n">
        <v>3</v>
      </c>
      <c r="I40" t="n">
        <v>2</v>
      </c>
      <c r="J40" s="31" t="n">
        <v>21811.1</v>
      </c>
      <c r="K40" s="32" t="n"/>
    </row>
    <row r="41">
      <c r="A41" t="inlineStr">
        <is>
          <t>ENC119048</t>
        </is>
      </c>
      <c r="B41" t="inlineStr">
        <is>
          <t>Cardiac Step-Down</t>
        </is>
      </c>
      <c r="C41" s="29" t="n">
        <v>45936</v>
      </c>
      <c r="D41" s="29" t="n">
        <v>45940</v>
      </c>
      <c r="E41" t="n">
        <v>79</v>
      </c>
      <c r="F41" t="inlineStr">
        <is>
          <t>I21.4</t>
        </is>
      </c>
      <c r="G41" t="inlineStr">
        <is>
          <t>Non-ST elevation (NSTEMI) myocardial infarction</t>
        </is>
      </c>
      <c r="H41" s="30" t="n">
        <v>3.4</v>
      </c>
      <c r="I41" t="n">
        <v>4</v>
      </c>
      <c r="J41" s="31" t="n">
        <v>48597.98</v>
      </c>
      <c r="K41" s="32" t="n"/>
    </row>
    <row r="42">
      <c r="A42" t="inlineStr">
        <is>
          <t>ENC119073</t>
        </is>
      </c>
      <c r="B42" t="inlineStr">
        <is>
          <t>Medical-Surgical 4 West</t>
        </is>
      </c>
      <c r="C42" s="29" t="n">
        <v>45937</v>
      </c>
      <c r="D42" s="29" t="n">
        <v>45940</v>
      </c>
      <c r="E42" t="n">
        <v>50</v>
      </c>
      <c r="F42" t="inlineStr">
        <is>
          <t>N39.0</t>
        </is>
      </c>
      <c r="G42" t="inlineStr">
        <is>
          <t>Urinary tract infection, site not specified</t>
        </is>
      </c>
      <c r="H42" s="30" t="n">
        <v>3.1</v>
      </c>
      <c r="I42" t="n">
        <v>3</v>
      </c>
      <c r="J42" s="31" t="n">
        <v>12045.86</v>
      </c>
      <c r="K42" s="32" t="n"/>
    </row>
    <row r="43">
      <c r="A43" t="inlineStr">
        <is>
          <t>ENC119022</t>
        </is>
      </c>
      <c r="B43" t="inlineStr">
        <is>
          <t>Neuroscience &amp; Stroke</t>
        </is>
      </c>
      <c r="C43" s="29" t="n">
        <v>45936</v>
      </c>
      <c r="D43" s="29" t="n">
        <v>45941</v>
      </c>
      <c r="E43" t="n">
        <v>72</v>
      </c>
      <c r="F43" t="inlineStr">
        <is>
          <t>I63.9</t>
        </is>
      </c>
      <c r="G43" t="inlineStr">
        <is>
          <t>Cerebral infarction, unspecified</t>
        </is>
      </c>
      <c r="H43" s="30" t="n">
        <v>4.2</v>
      </c>
      <c r="I43" t="n">
        <v>5</v>
      </c>
      <c r="J43" s="31" t="n">
        <v>36121.68</v>
      </c>
      <c r="K43" s="32" t="n"/>
    </row>
    <row r="44">
      <c r="A44" t="inlineStr">
        <is>
          <t>ENC119121</t>
        </is>
      </c>
      <c r="B44" t="inlineStr">
        <is>
          <t>Medical-Surgical 4 West</t>
        </is>
      </c>
      <c r="C44" s="29" t="n">
        <v>45938</v>
      </c>
      <c r="D44" s="29" t="n">
        <v>45941</v>
      </c>
      <c r="E44" t="n">
        <v>69</v>
      </c>
      <c r="F44" t="inlineStr">
        <is>
          <t>K92.2</t>
        </is>
      </c>
      <c r="G44" t="inlineStr">
        <is>
          <t>Gastrointestinal hemorrhage, unspecified</t>
        </is>
      </c>
      <c r="H44" s="30" t="n">
        <v>3.5</v>
      </c>
      <c r="I44" t="n">
        <v>3</v>
      </c>
      <c r="J44" s="31" t="n">
        <v>16383.23</v>
      </c>
      <c r="K44" s="32" t="n"/>
    </row>
    <row r="45">
      <c r="A45" t="inlineStr">
        <is>
          <t>ENC119103</t>
        </is>
      </c>
      <c r="B45" t="inlineStr">
        <is>
          <t>Medical-Surgical 5 East</t>
        </is>
      </c>
      <c r="C45" s="29" t="n">
        <v>45938</v>
      </c>
      <c r="D45" s="29" t="n">
        <v>45941</v>
      </c>
      <c r="E45" t="n">
        <v>72</v>
      </c>
      <c r="F45" t="inlineStr">
        <is>
          <t>E11.65</t>
        </is>
      </c>
      <c r="G45" t="inlineStr">
        <is>
          <t>Type 2 diabetes mellitus with hyperglycemia</t>
        </is>
      </c>
      <c r="H45" s="30" t="n">
        <v>3</v>
      </c>
      <c r="I45" t="n">
        <v>3</v>
      </c>
      <c r="J45" s="31" t="n">
        <v>12794.3</v>
      </c>
      <c r="K45" s="32" t="n"/>
    </row>
    <row r="46">
      <c r="A46" t="inlineStr">
        <is>
          <t>ENC119128</t>
        </is>
      </c>
      <c r="B46" t="inlineStr">
        <is>
          <t>Orthopedics &amp; Spine</t>
        </is>
      </c>
      <c r="C46" s="29" t="n">
        <v>45939</v>
      </c>
      <c r="D46" s="29" t="n">
        <v>45941</v>
      </c>
      <c r="E46" t="n">
        <v>60</v>
      </c>
      <c r="F46" t="inlineStr">
        <is>
          <t>M16.11</t>
        </is>
      </c>
      <c r="G46" t="inlineStr">
        <is>
          <t>Unilateral primary osteoarthritis, right hip</t>
        </is>
      </c>
      <c r="H46" s="30" t="n">
        <v>2.1</v>
      </c>
      <c r="I46" t="n">
        <v>2</v>
      </c>
      <c r="J46" s="31" t="n">
        <v>52368.24</v>
      </c>
      <c r="K46" s="32" t="n"/>
    </row>
    <row r="47">
      <c r="A47" t="inlineStr">
        <is>
          <t>ENC118969</t>
        </is>
      </c>
      <c r="B47" t="inlineStr">
        <is>
          <t>Behavioral Health</t>
        </is>
      </c>
      <c r="C47" s="29" t="n">
        <v>45933</v>
      </c>
      <c r="D47" s="29" t="n">
        <v>45941</v>
      </c>
      <c r="E47" t="n">
        <v>26</v>
      </c>
      <c r="F47" t="inlineStr">
        <is>
          <t>F32.9</t>
        </is>
      </c>
      <c r="G47" t="inlineStr">
        <is>
          <t>Major depressive disorder, single episode, unspecified</t>
        </is>
      </c>
      <c r="H47" s="30" t="n">
        <v>6.8</v>
      </c>
      <c r="I47" t="n">
        <v>8</v>
      </c>
      <c r="J47" s="31" t="n">
        <v>21351.39</v>
      </c>
      <c r="K47" s="32" t="n"/>
    </row>
    <row r="48">
      <c r="A48" t="inlineStr">
        <is>
          <t>ENC119109</t>
        </is>
      </c>
      <c r="B48" t="inlineStr">
        <is>
          <t>Medical-Surgical 4 West</t>
        </is>
      </c>
      <c r="C48" s="29" t="n">
        <v>45938</v>
      </c>
      <c r="D48" s="29" t="n">
        <v>45941</v>
      </c>
      <c r="E48" t="n">
        <v>53</v>
      </c>
      <c r="F48" t="inlineStr">
        <is>
          <t>J44.1</t>
        </is>
      </c>
      <c r="G48" t="inlineStr">
        <is>
          <t>Chronic obstructive pulmonary disease with (acute) exacerbation</t>
        </is>
      </c>
      <c r="H48" s="30" t="n">
        <v>3.4</v>
      </c>
      <c r="I48" t="n">
        <v>3</v>
      </c>
      <c r="J48" s="31" t="n">
        <v>17548.01</v>
      </c>
      <c r="K48" s="32" t="n"/>
    </row>
    <row r="49">
      <c r="A49" t="inlineStr">
        <is>
          <t>ENC119088</t>
        </is>
      </c>
      <c r="B49" t="inlineStr">
        <is>
          <t>Medical-Surgical 4 West</t>
        </is>
      </c>
      <c r="C49" s="29" t="n">
        <v>45938</v>
      </c>
      <c r="D49" s="29" t="n">
        <v>45941</v>
      </c>
      <c r="E49" t="n">
        <v>69</v>
      </c>
      <c r="F49" t="inlineStr">
        <is>
          <t>E86.0</t>
        </is>
      </c>
      <c r="G49" t="inlineStr">
        <is>
          <t>Dehydration</t>
        </is>
      </c>
      <c r="H49" s="30" t="n">
        <v>2.4</v>
      </c>
      <c r="I49" t="n">
        <v>3</v>
      </c>
      <c r="J49" s="31" t="n">
        <v>17514.94</v>
      </c>
      <c r="K49" s="32" t="n"/>
    </row>
    <row r="50">
      <c r="A50" t="inlineStr">
        <is>
          <t>ENC118948</t>
        </is>
      </c>
      <c r="B50" t="inlineStr">
        <is>
          <t>Medical-Surgical 4 West</t>
        </is>
      </c>
      <c r="C50" s="29" t="n">
        <v>45932</v>
      </c>
      <c r="D50" s="29" t="n">
        <v>45941</v>
      </c>
      <c r="E50" t="n">
        <v>20</v>
      </c>
      <c r="F50" t="inlineStr">
        <is>
          <t>J18.9</t>
        </is>
      </c>
      <c r="G50" t="inlineStr">
        <is>
          <t>Pneumonia, unspecified organism</t>
        </is>
      </c>
      <c r="H50" s="30" t="n">
        <v>3.9</v>
      </c>
      <c r="I50" t="n">
        <v>9</v>
      </c>
      <c r="J50" s="31" t="n">
        <v>39899.7</v>
      </c>
      <c r="K50" s="32" t="n"/>
    </row>
    <row r="51">
      <c r="A51" t="inlineStr">
        <is>
          <t>ENC119012</t>
        </is>
      </c>
      <c r="B51" t="inlineStr">
        <is>
          <t>Medical-Surgical 4 West</t>
        </is>
      </c>
      <c r="C51" s="29" t="n">
        <v>45935</v>
      </c>
      <c r="D51" s="29" t="n">
        <v>45941</v>
      </c>
      <c r="E51" t="n">
        <v>63</v>
      </c>
      <c r="F51" t="inlineStr">
        <is>
          <t>L03.115</t>
        </is>
      </c>
      <c r="G51" t="inlineStr">
        <is>
          <t>Cellulitis of right lower limb</t>
        </is>
      </c>
      <c r="H51" s="30" t="n">
        <v>3.4</v>
      </c>
      <c r="I51" t="n">
        <v>6</v>
      </c>
      <c r="J51" s="31" t="n">
        <v>26847.58</v>
      </c>
      <c r="K51" s="32" t="n"/>
    </row>
    <row r="52">
      <c r="A52" t="inlineStr">
        <is>
          <t>ENC119081</t>
        </is>
      </c>
      <c r="B52" t="inlineStr">
        <is>
          <t>Labor &amp; Delivery</t>
        </is>
      </c>
      <c r="C52" s="29" t="n">
        <v>45938</v>
      </c>
      <c r="D52" s="29" t="n">
        <v>45942</v>
      </c>
      <c r="E52" t="n">
        <v>39</v>
      </c>
      <c r="F52" t="inlineStr">
        <is>
          <t>O82</t>
        </is>
      </c>
      <c r="G52" t="inlineStr">
        <is>
          <t>Encounter for cesarean delivery without indication</t>
        </is>
      </c>
      <c r="H52" s="30" t="n">
        <v>2.9</v>
      </c>
      <c r="I52" t="n">
        <v>4</v>
      </c>
      <c r="J52" s="31" t="n">
        <v>24779.45</v>
      </c>
      <c r="K52" s="32" t="n"/>
    </row>
    <row r="53">
      <c r="A53" t="inlineStr">
        <is>
          <t>ENC119174</t>
        </is>
      </c>
      <c r="B53" t="inlineStr">
        <is>
          <t>Medical-Surgical 5 East</t>
        </is>
      </c>
      <c r="C53" s="29" t="n">
        <v>45940</v>
      </c>
      <c r="D53" s="29" t="n">
        <v>45942</v>
      </c>
      <c r="E53" t="n">
        <v>65</v>
      </c>
      <c r="F53" t="inlineStr">
        <is>
          <t>E11.65</t>
        </is>
      </c>
      <c r="G53" t="inlineStr">
        <is>
          <t>Type 2 diabetes mellitus with hyperglycemia</t>
        </is>
      </c>
      <c r="H53" s="30" t="n">
        <v>3</v>
      </c>
      <c r="I53" t="n">
        <v>2</v>
      </c>
      <c r="J53" s="31" t="n">
        <v>13547.96</v>
      </c>
      <c r="K53" s="32" t="n"/>
    </row>
    <row r="54">
      <c r="A54" t="inlineStr">
        <is>
          <t>ENC119042</t>
        </is>
      </c>
      <c r="B54" t="inlineStr">
        <is>
          <t>Cardiac Step-Down</t>
        </is>
      </c>
      <c r="C54" s="29" t="n">
        <v>45936</v>
      </c>
      <c r="D54" s="29" t="n">
        <v>45942</v>
      </c>
      <c r="E54" t="n">
        <v>42</v>
      </c>
      <c r="F54" t="inlineStr">
        <is>
          <t>I21.4</t>
        </is>
      </c>
      <c r="G54" t="inlineStr">
        <is>
          <t>Non-ST elevation (NSTEMI) myocardial infarction</t>
        </is>
      </c>
      <c r="H54" s="30" t="n">
        <v>3.4</v>
      </c>
      <c r="I54" t="n">
        <v>6</v>
      </c>
      <c r="J54" s="31" t="n">
        <v>79443.41</v>
      </c>
      <c r="K54" s="32" t="n"/>
    </row>
    <row r="55">
      <c r="A55" t="inlineStr">
        <is>
          <t>ENC119015</t>
        </is>
      </c>
      <c r="B55" t="inlineStr">
        <is>
          <t>Medical-Surgical 5 East</t>
        </is>
      </c>
      <c r="C55" s="29" t="n">
        <v>45935</v>
      </c>
      <c r="D55" s="29" t="n">
        <v>45942</v>
      </c>
      <c r="E55" t="n">
        <v>55</v>
      </c>
      <c r="F55" t="inlineStr">
        <is>
          <t>A41.9</t>
        </is>
      </c>
      <c r="G55" t="inlineStr">
        <is>
          <t>Sepsis, unspecified organism</t>
        </is>
      </c>
      <c r="H55" s="30" t="n">
        <v>5</v>
      </c>
      <c r="I55" t="n">
        <v>7</v>
      </c>
      <c r="J55" s="31" t="n">
        <v>62387.48</v>
      </c>
      <c r="K55" s="32" t="n"/>
    </row>
    <row r="56">
      <c r="A56" t="inlineStr">
        <is>
          <t>ENC119024</t>
        </is>
      </c>
      <c r="B56" t="inlineStr">
        <is>
          <t>Cardiac Step-Down</t>
        </is>
      </c>
      <c r="C56" s="29" t="n">
        <v>45936</v>
      </c>
      <c r="D56" s="29" t="n">
        <v>45942</v>
      </c>
      <c r="E56" t="n">
        <v>57</v>
      </c>
      <c r="F56" t="inlineStr">
        <is>
          <t>I48.91</t>
        </is>
      </c>
      <c r="G56" t="inlineStr">
        <is>
          <t>Unspecified atrial fibrillation</t>
        </is>
      </c>
      <c r="H56" s="30" t="n">
        <v>2.9</v>
      </c>
      <c r="I56" t="n">
        <v>6</v>
      </c>
      <c r="J56" s="31" t="n">
        <v>22818.56</v>
      </c>
      <c r="K56" s="32" t="n"/>
    </row>
    <row r="57">
      <c r="A57" t="inlineStr">
        <is>
          <t>ENC119116</t>
        </is>
      </c>
      <c r="B57" t="inlineStr">
        <is>
          <t>Medical-Surgical 5 East</t>
        </is>
      </c>
      <c r="C57" s="29" t="n">
        <v>45938</v>
      </c>
      <c r="D57" s="29" t="n">
        <v>45942</v>
      </c>
      <c r="E57" t="n">
        <v>62</v>
      </c>
      <c r="F57" t="inlineStr">
        <is>
          <t>N39.0</t>
        </is>
      </c>
      <c r="G57" t="inlineStr">
        <is>
          <t>Urinary tract infection, site not specified</t>
        </is>
      </c>
      <c r="H57" s="30" t="n">
        <v>3.1</v>
      </c>
      <c r="I57" t="n">
        <v>4</v>
      </c>
      <c r="J57" s="31" t="n">
        <v>21837.19</v>
      </c>
      <c r="K57" s="32" t="n"/>
    </row>
    <row r="58">
      <c r="A58" t="inlineStr">
        <is>
          <t>ENC119185</t>
        </is>
      </c>
      <c r="B58" t="inlineStr">
        <is>
          <t>Labor &amp; Delivery</t>
        </is>
      </c>
      <c r="C58" s="29" t="n">
        <v>45941</v>
      </c>
      <c r="D58" s="29" t="n">
        <v>45943</v>
      </c>
      <c r="E58" t="n">
        <v>19</v>
      </c>
      <c r="F58" t="inlineStr">
        <is>
          <t>O80</t>
        </is>
      </c>
      <c r="G58" t="inlineStr">
        <is>
          <t>Encounter for full-term uncomplicated delivery</t>
        </is>
      </c>
      <c r="H58" s="30" t="n">
        <v>2</v>
      </c>
      <c r="I58" t="n">
        <v>2</v>
      </c>
      <c r="J58" s="31" t="n">
        <v>17117.24</v>
      </c>
      <c r="K58" s="32" t="n"/>
    </row>
    <row r="59">
      <c r="A59" t="inlineStr">
        <is>
          <t>ENC119183</t>
        </is>
      </c>
      <c r="B59" t="inlineStr">
        <is>
          <t>Labor &amp; Delivery</t>
        </is>
      </c>
      <c r="C59" s="29" t="n">
        <v>45941</v>
      </c>
      <c r="D59" s="29" t="n">
        <v>45943</v>
      </c>
      <c r="E59" t="n">
        <v>18</v>
      </c>
      <c r="F59" t="inlineStr">
        <is>
          <t>O80</t>
        </is>
      </c>
      <c r="G59" t="inlineStr">
        <is>
          <t>Encounter for full-term uncomplicated delivery</t>
        </is>
      </c>
      <c r="H59" s="30" t="n">
        <v>2</v>
      </c>
      <c r="I59" t="n">
        <v>2</v>
      </c>
      <c r="J59" s="31" t="n">
        <v>15694.06</v>
      </c>
      <c r="K59" s="32" t="n"/>
    </row>
    <row r="60">
      <c r="A60" t="inlineStr">
        <is>
          <t>ENC119193</t>
        </is>
      </c>
      <c r="B60" t="inlineStr">
        <is>
          <t>Labor &amp; Delivery</t>
        </is>
      </c>
      <c r="C60" s="29" t="n">
        <v>45941</v>
      </c>
      <c r="D60" s="29" t="n">
        <v>45943</v>
      </c>
      <c r="E60" t="n">
        <v>36</v>
      </c>
      <c r="F60" t="inlineStr">
        <is>
          <t>O80</t>
        </is>
      </c>
      <c r="G60" t="inlineStr">
        <is>
          <t>Encounter for full-term uncomplicated delivery</t>
        </is>
      </c>
      <c r="H60" s="30" t="n">
        <v>2</v>
      </c>
      <c r="I60" t="n">
        <v>2</v>
      </c>
      <c r="J60" s="31" t="n">
        <v>13135.87</v>
      </c>
      <c r="K60" s="32" t="n"/>
    </row>
    <row r="61">
      <c r="A61" t="inlineStr">
        <is>
          <t>ENC119194</t>
        </is>
      </c>
      <c r="B61" t="inlineStr">
        <is>
          <t>Labor &amp; Delivery</t>
        </is>
      </c>
      <c r="C61" s="29" t="n">
        <v>45941</v>
      </c>
      <c r="D61" s="29" t="n">
        <v>45943</v>
      </c>
      <c r="E61" t="n">
        <v>36</v>
      </c>
      <c r="F61" t="inlineStr">
        <is>
          <t>O80</t>
        </is>
      </c>
      <c r="G61" t="inlineStr">
        <is>
          <t>Encounter for full-term uncomplicated delivery</t>
        </is>
      </c>
      <c r="H61" s="30" t="n">
        <v>2</v>
      </c>
      <c r="I61" t="n">
        <v>2</v>
      </c>
      <c r="J61" s="31" t="n">
        <v>11378.74</v>
      </c>
      <c r="K61" s="32" t="n"/>
    </row>
    <row r="62">
      <c r="A62" t="inlineStr">
        <is>
          <t>ENC118995</t>
        </is>
      </c>
      <c r="B62" t="inlineStr">
        <is>
          <t>Medical-Surgical 5 East</t>
        </is>
      </c>
      <c r="C62" s="29" t="n">
        <v>45934</v>
      </c>
      <c r="D62" s="29" t="n">
        <v>45943</v>
      </c>
      <c r="E62" t="n">
        <v>54</v>
      </c>
      <c r="F62" t="inlineStr">
        <is>
          <t>J18.9</t>
        </is>
      </c>
      <c r="G62" t="inlineStr">
        <is>
          <t>Pneumonia, unspecified organism</t>
        </is>
      </c>
      <c r="H62" s="30" t="n">
        <v>3.9</v>
      </c>
      <c r="I62" t="n">
        <v>9</v>
      </c>
      <c r="J62" s="31" t="n">
        <v>37647.77</v>
      </c>
      <c r="K62" s="32" t="n"/>
    </row>
    <row r="63">
      <c r="A63" t="inlineStr">
        <is>
          <t>ENC119180</t>
        </is>
      </c>
      <c r="B63" t="inlineStr">
        <is>
          <t>Labor &amp; Delivery</t>
        </is>
      </c>
      <c r="C63" s="29" t="n">
        <v>45940</v>
      </c>
      <c r="D63" s="29" t="n">
        <v>45944</v>
      </c>
      <c r="E63" t="n">
        <v>41</v>
      </c>
      <c r="F63" t="inlineStr">
        <is>
          <t>O82</t>
        </is>
      </c>
      <c r="G63" t="inlineStr">
        <is>
          <t>Encounter for cesarean delivery without indication</t>
        </is>
      </c>
      <c r="H63" s="30" t="n">
        <v>2.9</v>
      </c>
      <c r="I63" t="n">
        <v>4</v>
      </c>
      <c r="J63" s="31" t="n">
        <v>22194.94</v>
      </c>
      <c r="K63" s="32" t="n"/>
    </row>
    <row r="64">
      <c r="A64" t="inlineStr">
        <is>
          <t>ENC119092</t>
        </is>
      </c>
      <c r="B64" t="inlineStr">
        <is>
          <t>Behavioral Health</t>
        </is>
      </c>
      <c r="C64" s="29" t="n">
        <v>45938</v>
      </c>
      <c r="D64" s="29" t="n">
        <v>45944</v>
      </c>
      <c r="E64" t="n">
        <v>33</v>
      </c>
      <c r="F64" t="inlineStr">
        <is>
          <t>F32.9</t>
        </is>
      </c>
      <c r="G64" t="inlineStr">
        <is>
          <t>Major depressive disorder, single episode, unspecified</t>
        </is>
      </c>
      <c r="H64" s="30" t="n">
        <v>6.8</v>
      </c>
      <c r="I64" t="n">
        <v>6</v>
      </c>
      <c r="J64" s="31" t="n">
        <v>23599.94</v>
      </c>
      <c r="K64" s="32" t="n"/>
    </row>
    <row r="65">
      <c r="A65" t="inlineStr">
        <is>
          <t>ENC119019</t>
        </is>
      </c>
      <c r="B65" t="inlineStr">
        <is>
          <t>Cardiac Step-Down</t>
        </is>
      </c>
      <c r="C65" s="29" t="n">
        <v>45936</v>
      </c>
      <c r="D65" s="29" t="n">
        <v>45945</v>
      </c>
      <c r="E65" t="n">
        <v>80</v>
      </c>
      <c r="F65" t="inlineStr">
        <is>
          <t>I50.9</t>
        </is>
      </c>
      <c r="G65" t="inlineStr">
        <is>
          <t>Heart failure, unspecified</t>
        </is>
      </c>
      <c r="H65" s="30" t="n">
        <v>4.1</v>
      </c>
      <c r="I65" t="n">
        <v>9</v>
      </c>
      <c r="J65" s="31" t="n">
        <v>50422.54</v>
      </c>
      <c r="K65" s="32" t="n"/>
    </row>
    <row r="66">
      <c r="A66" t="inlineStr">
        <is>
          <t>ENC119168</t>
        </is>
      </c>
      <c r="B66" t="inlineStr">
        <is>
          <t>Medical-Surgical 4 West</t>
        </is>
      </c>
      <c r="C66" s="29" t="n">
        <v>45940</v>
      </c>
      <c r="D66" s="29" t="n">
        <v>45945</v>
      </c>
      <c r="E66" t="n">
        <v>46</v>
      </c>
      <c r="F66" t="inlineStr">
        <is>
          <t>L03.115</t>
        </is>
      </c>
      <c r="G66" t="inlineStr">
        <is>
          <t>Cellulitis of right lower limb</t>
        </is>
      </c>
      <c r="H66" s="30" t="n">
        <v>3.4</v>
      </c>
      <c r="I66" t="n">
        <v>5</v>
      </c>
      <c r="J66" s="31" t="n">
        <v>20652.24</v>
      </c>
      <c r="K66" s="32" t="n"/>
    </row>
    <row r="67">
      <c r="A67" t="inlineStr">
        <is>
          <t>ENC119217</t>
        </is>
      </c>
      <c r="B67" t="inlineStr">
        <is>
          <t>Pediatrics</t>
        </is>
      </c>
      <c r="C67" s="29" t="n">
        <v>45943</v>
      </c>
      <c r="D67" s="29" t="n">
        <v>45945</v>
      </c>
      <c r="E67" t="n">
        <v>1</v>
      </c>
      <c r="F67" t="inlineStr">
        <is>
          <t>J21.9</t>
        </is>
      </c>
      <c r="G67" t="inlineStr">
        <is>
          <t>Acute bronchiolitis, unspecified</t>
        </is>
      </c>
      <c r="H67" s="30" t="n">
        <v>2.4</v>
      </c>
      <c r="I67" t="n">
        <v>2</v>
      </c>
      <c r="J67" s="31" t="n">
        <v>14556.03</v>
      </c>
      <c r="K67" s="32" t="n"/>
    </row>
    <row r="68">
      <c r="A68" t="inlineStr">
        <is>
          <t>ENC119216</t>
        </is>
      </c>
      <c r="B68" t="inlineStr">
        <is>
          <t>Medical-Surgical 4 West</t>
        </is>
      </c>
      <c r="C68" s="29" t="n">
        <v>45943</v>
      </c>
      <c r="D68" s="29" t="n">
        <v>45946</v>
      </c>
      <c r="E68" t="n">
        <v>16</v>
      </c>
      <c r="F68" t="inlineStr">
        <is>
          <t>N39.0</t>
        </is>
      </c>
      <c r="G68" t="inlineStr">
        <is>
          <t>Urinary tract infection, site not specified</t>
        </is>
      </c>
      <c r="H68" s="30" t="n">
        <v>3.1</v>
      </c>
      <c r="I68" t="n">
        <v>3</v>
      </c>
      <c r="J68" s="31" t="n">
        <v>14529.77</v>
      </c>
      <c r="K68" s="32" t="n"/>
    </row>
    <row r="69">
      <c r="A69" t="inlineStr">
        <is>
          <t>ENC119206</t>
        </is>
      </c>
      <c r="B69" t="inlineStr">
        <is>
          <t>Medical-Surgical 4 West</t>
        </is>
      </c>
      <c r="C69" s="29" t="n">
        <v>45942</v>
      </c>
      <c r="D69" s="29" t="n">
        <v>45946</v>
      </c>
      <c r="E69" t="n">
        <v>59</v>
      </c>
      <c r="F69" t="inlineStr">
        <is>
          <t>N39.0</t>
        </is>
      </c>
      <c r="G69" t="inlineStr">
        <is>
          <t>Urinary tract infection, site not specified</t>
        </is>
      </c>
      <c r="H69" s="30" t="n">
        <v>3.1</v>
      </c>
      <c r="I69" t="n">
        <v>4</v>
      </c>
      <c r="J69" s="31" t="n">
        <v>19494.87</v>
      </c>
      <c r="K69" s="32" t="n"/>
    </row>
    <row r="70">
      <c r="A70" t="inlineStr">
        <is>
          <t>ENC119052</t>
        </is>
      </c>
      <c r="B70" t="inlineStr">
        <is>
          <t>Neuroscience &amp; Stroke</t>
        </is>
      </c>
      <c r="C70" s="29" t="n">
        <v>45936</v>
      </c>
      <c r="D70" s="29" t="n">
        <v>45946</v>
      </c>
      <c r="E70" t="n">
        <v>71</v>
      </c>
      <c r="F70" t="inlineStr">
        <is>
          <t>I63.9</t>
        </is>
      </c>
      <c r="G70" t="inlineStr">
        <is>
          <t>Cerebral infarction, unspecified</t>
        </is>
      </c>
      <c r="H70" s="30" t="n">
        <v>4.2</v>
      </c>
      <c r="I70" t="n">
        <v>10</v>
      </c>
      <c r="J70" s="31" t="n">
        <v>48699.89</v>
      </c>
      <c r="K70" s="32" t="n"/>
    </row>
    <row r="71">
      <c r="A71" t="inlineStr">
        <is>
          <t>ENC119102</t>
        </is>
      </c>
      <c r="B71" t="inlineStr">
        <is>
          <t>Intensive Care Unit</t>
        </is>
      </c>
      <c r="C71" s="29" t="n">
        <v>45938</v>
      </c>
      <c r="D71" s="29" t="n">
        <v>45946</v>
      </c>
      <c r="E71" t="n">
        <v>49</v>
      </c>
      <c r="F71" t="inlineStr">
        <is>
          <t>J96.01</t>
        </is>
      </c>
      <c r="G71" t="inlineStr">
        <is>
          <t>Acute respiratory failure with hypoxia</t>
        </is>
      </c>
      <c r="H71" s="30" t="n">
        <v>4.8</v>
      </c>
      <c r="I71" t="n">
        <v>8</v>
      </c>
      <c r="J71" s="31" t="n">
        <v>88714.67</v>
      </c>
      <c r="K71" s="32" t="n"/>
    </row>
    <row r="72">
      <c r="A72" t="inlineStr">
        <is>
          <t>ENC119215</t>
        </is>
      </c>
      <c r="B72" t="inlineStr">
        <is>
          <t>Neuroscience &amp; Stroke</t>
        </is>
      </c>
      <c r="C72" s="29" t="n">
        <v>45943</v>
      </c>
      <c r="D72" s="29" t="n">
        <v>45946</v>
      </c>
      <c r="E72" t="n">
        <v>16</v>
      </c>
      <c r="F72" t="inlineStr">
        <is>
          <t>G40.909</t>
        </is>
      </c>
      <c r="G72" t="inlineStr">
        <is>
          <t>Epilepsy, unspecified, not intractable, without status epilepticus</t>
        </is>
      </c>
      <c r="H72" s="30" t="n">
        <v>2.5</v>
      </c>
      <c r="I72" t="n">
        <v>3</v>
      </c>
      <c r="J72" s="31" t="n">
        <v>20400.05</v>
      </c>
      <c r="K72" s="32" t="n"/>
    </row>
    <row r="73">
      <c r="A73" t="inlineStr">
        <is>
          <t>ENC119214</t>
        </is>
      </c>
      <c r="B73" t="inlineStr">
        <is>
          <t>Medical-Surgical 5 East</t>
        </is>
      </c>
      <c r="C73" s="29" t="n">
        <v>45943</v>
      </c>
      <c r="D73" s="29" t="n">
        <v>45946</v>
      </c>
      <c r="E73" t="n">
        <v>87</v>
      </c>
      <c r="F73" t="inlineStr">
        <is>
          <t>J18.9</t>
        </is>
      </c>
      <c r="G73" t="inlineStr">
        <is>
          <t>Pneumonia, unspecified organism</t>
        </is>
      </c>
      <c r="H73" s="30" t="n">
        <v>3.9</v>
      </c>
      <c r="I73" t="n">
        <v>3</v>
      </c>
      <c r="J73" s="31" t="n">
        <v>21258.08</v>
      </c>
      <c r="K73" s="32" t="n"/>
    </row>
    <row r="74">
      <c r="A74" t="inlineStr">
        <is>
          <t>ENC119184</t>
        </is>
      </c>
      <c r="B74" t="inlineStr">
        <is>
          <t>Medical-Surgical 4 West</t>
        </is>
      </c>
      <c r="C74" s="29" t="n">
        <v>45941</v>
      </c>
      <c r="D74" s="29" t="n">
        <v>45947</v>
      </c>
      <c r="E74" t="n">
        <v>55</v>
      </c>
      <c r="F74" t="inlineStr">
        <is>
          <t>K92.2</t>
        </is>
      </c>
      <c r="G74" t="inlineStr">
        <is>
          <t>Gastrointestinal hemorrhage, unspecified</t>
        </is>
      </c>
      <c r="H74" s="30" t="n">
        <v>3.5</v>
      </c>
      <c r="I74" t="n">
        <v>6</v>
      </c>
      <c r="J74" s="31" t="n">
        <v>28712.68</v>
      </c>
      <c r="K74" s="32" t="n"/>
    </row>
    <row r="75">
      <c r="A75" t="inlineStr">
        <is>
          <t>ENC119248</t>
        </is>
      </c>
      <c r="B75" t="inlineStr">
        <is>
          <t>Medical-Surgical 5 East</t>
        </is>
      </c>
      <c r="C75" s="29" t="n">
        <v>45944</v>
      </c>
      <c r="D75" s="29" t="n">
        <v>45947</v>
      </c>
      <c r="E75" t="n">
        <v>34</v>
      </c>
      <c r="F75" t="inlineStr">
        <is>
          <t>K35.80</t>
        </is>
      </c>
      <c r="G75" t="inlineStr">
        <is>
          <t>Unspecified acute appendicitis</t>
        </is>
      </c>
      <c r="H75" s="30" t="n">
        <v>2</v>
      </c>
      <c r="I75" t="n">
        <v>3</v>
      </c>
      <c r="J75" s="31" t="n">
        <v>26649.65</v>
      </c>
      <c r="K75" s="32" t="n"/>
    </row>
    <row r="76">
      <c r="A76" t="inlineStr">
        <is>
          <t>ENC119287</t>
        </is>
      </c>
      <c r="B76" t="inlineStr">
        <is>
          <t>Medical-Surgical 4 West</t>
        </is>
      </c>
      <c r="C76" s="29" t="n">
        <v>45945</v>
      </c>
      <c r="D76" s="29" t="n">
        <v>45947</v>
      </c>
      <c r="E76" t="n">
        <v>45</v>
      </c>
      <c r="F76" t="inlineStr">
        <is>
          <t>K92.2</t>
        </is>
      </c>
      <c r="G76" t="inlineStr">
        <is>
          <t>Gastrointestinal hemorrhage, unspecified</t>
        </is>
      </c>
      <c r="H76" s="30" t="n">
        <v>3.5</v>
      </c>
      <c r="I76" t="n">
        <v>2</v>
      </c>
      <c r="J76" s="31" t="n">
        <v>11908.97</v>
      </c>
      <c r="K76" s="32" t="n"/>
    </row>
    <row r="77">
      <c r="A77" t="inlineStr">
        <is>
          <t>ENC119300</t>
        </is>
      </c>
      <c r="B77" t="inlineStr">
        <is>
          <t>Medical-Surgical 4 West</t>
        </is>
      </c>
      <c r="C77" s="29" t="n">
        <v>45945</v>
      </c>
      <c r="D77" s="29" t="n">
        <v>45947</v>
      </c>
      <c r="E77" t="n">
        <v>87</v>
      </c>
      <c r="F77" t="inlineStr">
        <is>
          <t>J44.1</t>
        </is>
      </c>
      <c r="G77" t="inlineStr">
        <is>
          <t>Chronic obstructive pulmonary disease with (acute) exacerbation</t>
        </is>
      </c>
      <c r="H77" s="30" t="n">
        <v>3.4</v>
      </c>
      <c r="I77" t="n">
        <v>2</v>
      </c>
      <c r="J77" s="31" t="n">
        <v>9934.09</v>
      </c>
      <c r="K77" s="32" t="n"/>
    </row>
    <row r="78">
      <c r="A78" t="inlineStr">
        <is>
          <t>ENC119082</t>
        </is>
      </c>
      <c r="B78" t="inlineStr">
        <is>
          <t>Medical-Surgical 4 West</t>
        </is>
      </c>
      <c r="C78" s="29" t="n">
        <v>45938</v>
      </c>
      <c r="D78" s="29" t="n">
        <v>45947</v>
      </c>
      <c r="E78" t="n">
        <v>20</v>
      </c>
      <c r="F78" t="inlineStr">
        <is>
          <t>N39.0</t>
        </is>
      </c>
      <c r="G78" t="inlineStr">
        <is>
          <t>Urinary tract infection, site not specified</t>
        </is>
      </c>
      <c r="H78" s="30" t="n">
        <v>3.1</v>
      </c>
      <c r="I78" t="n">
        <v>9</v>
      </c>
      <c r="J78" s="31" t="n">
        <v>36424.21</v>
      </c>
      <c r="K78" s="32" t="n"/>
    </row>
    <row r="79">
      <c r="A79" t="inlineStr">
        <is>
          <t>ENC119209</t>
        </is>
      </c>
      <c r="B79" t="inlineStr">
        <is>
          <t>Neuroscience &amp; Stroke</t>
        </is>
      </c>
      <c r="C79" s="29" t="n">
        <v>45942</v>
      </c>
      <c r="D79" s="29" t="n">
        <v>45947</v>
      </c>
      <c r="E79" t="n">
        <v>69</v>
      </c>
      <c r="F79" t="inlineStr">
        <is>
          <t>I63.9</t>
        </is>
      </c>
      <c r="G79" t="inlineStr">
        <is>
          <t>Cerebral infarction, unspecified</t>
        </is>
      </c>
      <c r="H79" s="30" t="n">
        <v>4.2</v>
      </c>
      <c r="I79" t="n">
        <v>5</v>
      </c>
      <c r="J79" s="31" t="n">
        <v>31944.42</v>
      </c>
      <c r="K79" s="32" t="n"/>
    </row>
    <row r="80">
      <c r="A80" t="inlineStr">
        <is>
          <t>ENC119349</t>
        </is>
      </c>
      <c r="B80" t="inlineStr">
        <is>
          <t>Medical-Surgical 4 West</t>
        </is>
      </c>
      <c r="C80" s="29" t="n">
        <v>45946</v>
      </c>
      <c r="D80" s="29" t="n">
        <v>45948</v>
      </c>
      <c r="E80" t="n">
        <v>54</v>
      </c>
      <c r="F80" t="inlineStr">
        <is>
          <t>J44.1</t>
        </is>
      </c>
      <c r="G80" t="inlineStr">
        <is>
          <t>Chronic obstructive pulmonary disease with (acute) exacerbation</t>
        </is>
      </c>
      <c r="H80" s="30" t="n">
        <v>3.4</v>
      </c>
      <c r="I80" t="n">
        <v>2</v>
      </c>
      <c r="J80" s="31" t="n">
        <v>14296.75</v>
      </c>
      <c r="K80" s="32" t="n"/>
    </row>
    <row r="81">
      <c r="A81" t="inlineStr">
        <is>
          <t>ENC119123</t>
        </is>
      </c>
      <c r="B81" t="inlineStr">
        <is>
          <t>Medical-Surgical 4 West</t>
        </is>
      </c>
      <c r="C81" s="29" t="n">
        <v>45939</v>
      </c>
      <c r="D81" s="29" t="n">
        <v>45948</v>
      </c>
      <c r="E81" t="n">
        <v>58</v>
      </c>
      <c r="F81" t="inlineStr">
        <is>
          <t>A41.9</t>
        </is>
      </c>
      <c r="G81" t="inlineStr">
        <is>
          <t>Sepsis, unspecified organism</t>
        </is>
      </c>
      <c r="H81" s="30" t="n">
        <v>5</v>
      </c>
      <c r="I81" t="n">
        <v>9</v>
      </c>
      <c r="J81" s="31" t="n">
        <v>90164.63</v>
      </c>
      <c r="K81" s="32" t="n"/>
    </row>
    <row r="82">
      <c r="A82" t="inlineStr">
        <is>
          <t>ENC119245</t>
        </is>
      </c>
      <c r="B82" t="inlineStr">
        <is>
          <t>Cardiac Step-Down</t>
        </is>
      </c>
      <c r="C82" s="29" t="n">
        <v>45943</v>
      </c>
      <c r="D82" s="29" t="n">
        <v>45948</v>
      </c>
      <c r="E82" t="n">
        <v>95</v>
      </c>
      <c r="F82" t="inlineStr">
        <is>
          <t>I50.9</t>
        </is>
      </c>
      <c r="G82" t="inlineStr">
        <is>
          <t>Heart failure, unspecified</t>
        </is>
      </c>
      <c r="H82" s="30" t="n">
        <v>4.1</v>
      </c>
      <c r="I82" t="n">
        <v>5</v>
      </c>
      <c r="J82" s="31" t="n">
        <v>43291.48</v>
      </c>
      <c r="K82" s="32" t="n"/>
    </row>
    <row r="83">
      <c r="A83" t="inlineStr">
        <is>
          <t>ENC119281</t>
        </is>
      </c>
      <c r="B83" t="inlineStr">
        <is>
          <t>Orthopedics &amp; Spine</t>
        </is>
      </c>
      <c r="C83" s="29" t="n">
        <v>45944</v>
      </c>
      <c r="D83" s="29" t="n">
        <v>45948</v>
      </c>
      <c r="E83" t="n">
        <v>57</v>
      </c>
      <c r="F83" t="inlineStr">
        <is>
          <t>S72.001A</t>
        </is>
      </c>
      <c r="G83" t="inlineStr">
        <is>
          <t>Fracture of unspecified part of neck of right femur, initial encounter</t>
        </is>
      </c>
      <c r="H83" s="30" t="n">
        <v>4.6</v>
      </c>
      <c r="I83" t="n">
        <v>4</v>
      </c>
      <c r="J83" s="31" t="n">
        <v>44772.24</v>
      </c>
      <c r="K83" s="32" t="n"/>
    </row>
    <row r="84">
      <c r="A84" t="inlineStr">
        <is>
          <t>ENC119390</t>
        </is>
      </c>
      <c r="B84" t="inlineStr">
        <is>
          <t>Labor &amp; Delivery</t>
        </is>
      </c>
      <c r="C84" s="29" t="n">
        <v>45948</v>
      </c>
      <c r="D84" s="29" t="n">
        <v>45949</v>
      </c>
      <c r="E84" t="n">
        <v>41</v>
      </c>
      <c r="F84" t="inlineStr">
        <is>
          <t>O80</t>
        </is>
      </c>
      <c r="G84" t="inlineStr">
        <is>
          <t>Encounter for full-term uncomplicated delivery</t>
        </is>
      </c>
      <c r="H84" s="30" t="n">
        <v>2</v>
      </c>
      <c r="I84" t="n">
        <v>1</v>
      </c>
      <c r="J84" s="31" t="n">
        <v>13727.34</v>
      </c>
      <c r="K84" s="32" t="n"/>
    </row>
    <row r="85">
      <c r="A85" t="inlineStr">
        <is>
          <t>ENC119356</t>
        </is>
      </c>
      <c r="B85" t="inlineStr">
        <is>
          <t>Medical-Surgical 5 East</t>
        </is>
      </c>
      <c r="C85" s="29" t="n">
        <v>45947</v>
      </c>
      <c r="D85" s="29" t="n">
        <v>45949</v>
      </c>
      <c r="E85" t="n">
        <v>37</v>
      </c>
      <c r="F85" t="inlineStr">
        <is>
          <t>N39.0</t>
        </is>
      </c>
      <c r="G85" t="inlineStr">
        <is>
          <t>Urinary tract infection, site not specified</t>
        </is>
      </c>
      <c r="H85" s="30" t="n">
        <v>3.1</v>
      </c>
      <c r="I85" t="n">
        <v>2</v>
      </c>
      <c r="J85" s="31" t="n">
        <v>8777.26</v>
      </c>
      <c r="K85" s="32" t="n"/>
    </row>
    <row r="86">
      <c r="A86" t="inlineStr">
        <is>
          <t>ENC119274</t>
        </is>
      </c>
      <c r="B86" t="inlineStr">
        <is>
          <t>Medical-Surgical 5 East</t>
        </is>
      </c>
      <c r="C86" s="29" t="n">
        <v>45944</v>
      </c>
      <c r="D86" s="29" t="n">
        <v>45949</v>
      </c>
      <c r="E86" t="n">
        <v>79</v>
      </c>
      <c r="F86" t="inlineStr">
        <is>
          <t>N39.0</t>
        </is>
      </c>
      <c r="G86" t="inlineStr">
        <is>
          <t>Urinary tract infection, site not specified</t>
        </is>
      </c>
      <c r="H86" s="30" t="n">
        <v>3.1</v>
      </c>
      <c r="I86" t="n">
        <v>5</v>
      </c>
      <c r="J86" s="31" t="n">
        <v>21791</v>
      </c>
      <c r="K86" s="32" t="n"/>
    </row>
    <row r="87">
      <c r="A87" t="inlineStr">
        <is>
          <t>ENC119301</t>
        </is>
      </c>
      <c r="B87" t="inlineStr">
        <is>
          <t>Cardiac Step-Down</t>
        </is>
      </c>
      <c r="C87" s="29" t="n">
        <v>45945</v>
      </c>
      <c r="D87" s="29" t="n">
        <v>45949</v>
      </c>
      <c r="E87" t="n">
        <v>58</v>
      </c>
      <c r="F87" t="inlineStr">
        <is>
          <t>I48.91</t>
        </is>
      </c>
      <c r="G87" t="inlineStr">
        <is>
          <t>Unspecified atrial fibrillation</t>
        </is>
      </c>
      <c r="H87" s="30" t="n">
        <v>2.9</v>
      </c>
      <c r="I87" t="n">
        <v>4</v>
      </c>
      <c r="J87" s="31" t="n">
        <v>20797.71</v>
      </c>
      <c r="K87" s="32" t="n"/>
    </row>
    <row r="88">
      <c r="A88" t="inlineStr">
        <is>
          <t>ENC119391</t>
        </is>
      </c>
      <c r="B88" t="inlineStr">
        <is>
          <t>Labor &amp; Delivery</t>
        </is>
      </c>
      <c r="C88" s="29" t="n">
        <v>45948</v>
      </c>
      <c r="D88" s="29" t="n">
        <v>45950</v>
      </c>
      <c r="E88" t="n">
        <v>30</v>
      </c>
      <c r="F88" t="inlineStr">
        <is>
          <t>O82</t>
        </is>
      </c>
      <c r="G88" t="inlineStr">
        <is>
          <t>Encounter for cesarean delivery without indication</t>
        </is>
      </c>
      <c r="H88" s="30" t="n">
        <v>2.9</v>
      </c>
      <c r="I88" t="n">
        <v>2</v>
      </c>
      <c r="J88" s="31" t="n">
        <v>19857.78</v>
      </c>
      <c r="K88" s="32" t="n"/>
    </row>
    <row r="89">
      <c r="A89" t="inlineStr">
        <is>
          <t>ENC119338</t>
        </is>
      </c>
      <c r="B89" t="inlineStr">
        <is>
          <t>Cardiac Step-Down</t>
        </is>
      </c>
      <c r="C89" s="29" t="n">
        <v>45946</v>
      </c>
      <c r="D89" s="29" t="n">
        <v>45950</v>
      </c>
      <c r="E89" t="n">
        <v>58</v>
      </c>
      <c r="F89" t="inlineStr">
        <is>
          <t>I21.4</t>
        </is>
      </c>
      <c r="G89" t="inlineStr">
        <is>
          <t>Non-ST elevation (NSTEMI) myocardial infarction</t>
        </is>
      </c>
      <c r="H89" s="30" t="n">
        <v>3.4</v>
      </c>
      <c r="I89" t="n">
        <v>4</v>
      </c>
      <c r="J89" s="31" t="n">
        <v>75961.39</v>
      </c>
      <c r="K89" s="32" t="n"/>
    </row>
    <row r="90">
      <c r="A90" t="inlineStr">
        <is>
          <t>ENC119236</t>
        </is>
      </c>
      <c r="B90" t="inlineStr">
        <is>
          <t>Medical-Surgical 4 West</t>
        </is>
      </c>
      <c r="C90" s="29" t="n">
        <v>45943</v>
      </c>
      <c r="D90" s="29" t="n">
        <v>45950</v>
      </c>
      <c r="E90" t="n">
        <v>76</v>
      </c>
      <c r="F90" t="inlineStr">
        <is>
          <t>J44.1</t>
        </is>
      </c>
      <c r="G90" t="inlineStr">
        <is>
          <t>Chronic obstructive pulmonary disease with (acute) exacerbation</t>
        </is>
      </c>
      <c r="H90" s="30" t="n">
        <v>3.4</v>
      </c>
      <c r="I90" t="n">
        <v>7</v>
      </c>
      <c r="J90" s="31" t="n">
        <v>22946.99</v>
      </c>
      <c r="K90" s="32" t="n"/>
    </row>
    <row r="91">
      <c r="A91" t="inlineStr">
        <is>
          <t>ENC119285</t>
        </is>
      </c>
      <c r="B91" t="inlineStr">
        <is>
          <t>Intensive Care Unit</t>
        </is>
      </c>
      <c r="C91" s="29" t="n">
        <v>45944</v>
      </c>
      <c r="D91" s="29" t="n">
        <v>45950</v>
      </c>
      <c r="E91" t="n">
        <v>61</v>
      </c>
      <c r="F91" t="inlineStr">
        <is>
          <t>A41.9</t>
        </is>
      </c>
      <c r="G91" t="inlineStr">
        <is>
          <t>Sepsis, unspecified organism</t>
        </is>
      </c>
      <c r="H91" s="30" t="n">
        <v>5</v>
      </c>
      <c r="I91" t="n">
        <v>6</v>
      </c>
      <c r="J91" s="31" t="n">
        <v>66530.28</v>
      </c>
      <c r="K91" s="32" t="n"/>
    </row>
    <row r="92">
      <c r="A92" t="inlineStr">
        <is>
          <t>ENC119271</t>
        </is>
      </c>
      <c r="B92" t="inlineStr">
        <is>
          <t>Medical-Surgical 5 East</t>
        </is>
      </c>
      <c r="C92" s="29" t="n">
        <v>45944</v>
      </c>
      <c r="D92" s="29" t="n">
        <v>45950</v>
      </c>
      <c r="E92" t="n">
        <v>65</v>
      </c>
      <c r="F92" t="inlineStr">
        <is>
          <t>J44.1</t>
        </is>
      </c>
      <c r="G92" t="inlineStr">
        <is>
          <t>Chronic obstructive pulmonary disease with (acute) exacerbation</t>
        </is>
      </c>
      <c r="H92" s="30" t="n">
        <v>3.4</v>
      </c>
      <c r="I92" t="n">
        <v>6</v>
      </c>
      <c r="J92" s="31" t="n">
        <v>12869.99</v>
      </c>
      <c r="K92" s="32" t="n"/>
    </row>
    <row r="93">
      <c r="A93" t="inlineStr">
        <is>
          <t>ENC119350</t>
        </is>
      </c>
      <c r="B93" t="inlineStr">
        <is>
          <t>Medical-Surgical 5 East</t>
        </is>
      </c>
      <c r="C93" s="29" t="n">
        <v>45947</v>
      </c>
      <c r="D93" s="29" t="n">
        <v>45950</v>
      </c>
      <c r="E93" t="n">
        <v>10</v>
      </c>
      <c r="F93" t="inlineStr">
        <is>
          <t>K35.80</t>
        </is>
      </c>
      <c r="G93" t="inlineStr">
        <is>
          <t>Unspecified acute appendicitis</t>
        </is>
      </c>
      <c r="H93" s="30" t="n">
        <v>2</v>
      </c>
      <c r="I93" t="n">
        <v>3</v>
      </c>
      <c r="J93" s="31" t="n">
        <v>32211.37</v>
      </c>
      <c r="K93" s="32" t="n"/>
    </row>
    <row r="94">
      <c r="A94" t="inlineStr">
        <is>
          <t>ENC119351</t>
        </is>
      </c>
      <c r="B94" t="inlineStr">
        <is>
          <t>Intensive Care Unit</t>
        </is>
      </c>
      <c r="C94" s="29" t="n">
        <v>45947</v>
      </c>
      <c r="D94" s="29" t="n">
        <v>45951</v>
      </c>
      <c r="E94" t="n">
        <v>53</v>
      </c>
      <c r="F94" t="inlineStr">
        <is>
          <t>A41.9</t>
        </is>
      </c>
      <c r="G94" t="inlineStr">
        <is>
          <t>Sepsis, unspecified organism</t>
        </is>
      </c>
      <c r="H94" s="30" t="n">
        <v>5</v>
      </c>
      <c r="I94" t="n">
        <v>4</v>
      </c>
      <c r="J94" s="31" t="n">
        <v>39547.93</v>
      </c>
      <c r="K94" s="32" t="n"/>
    </row>
    <row r="95">
      <c r="A95" t="inlineStr">
        <is>
          <t>ENC119401</t>
        </is>
      </c>
      <c r="B95" t="inlineStr">
        <is>
          <t>Labor &amp; Delivery</t>
        </is>
      </c>
      <c r="C95" s="29" t="n">
        <v>45949</v>
      </c>
      <c r="D95" s="29" t="n">
        <v>45951</v>
      </c>
      <c r="E95" t="n">
        <v>41</v>
      </c>
      <c r="F95" t="inlineStr">
        <is>
          <t>O80</t>
        </is>
      </c>
      <c r="G95" t="inlineStr">
        <is>
          <t>Encounter for full-term uncomplicated delivery</t>
        </is>
      </c>
      <c r="H95" s="30" t="n">
        <v>2</v>
      </c>
      <c r="I95" t="n">
        <v>2</v>
      </c>
      <c r="J95" s="31" t="n">
        <v>13541</v>
      </c>
      <c r="K95" s="32" t="n"/>
    </row>
    <row r="96">
      <c r="A96" t="inlineStr">
        <is>
          <t>ENC119318</t>
        </is>
      </c>
      <c r="B96" t="inlineStr">
        <is>
          <t>Medical-Surgical 5 East</t>
        </is>
      </c>
      <c r="C96" s="29" t="n">
        <v>45946</v>
      </c>
      <c r="D96" s="29" t="n">
        <v>45951</v>
      </c>
      <c r="E96" t="n">
        <v>38</v>
      </c>
      <c r="F96" t="inlineStr">
        <is>
          <t>E86.0</t>
        </is>
      </c>
      <c r="G96" t="inlineStr">
        <is>
          <t>Dehydration</t>
        </is>
      </c>
      <c r="H96" s="30" t="n">
        <v>2.4</v>
      </c>
      <c r="I96" t="n">
        <v>5</v>
      </c>
      <c r="J96" s="31" t="n">
        <v>13357.39</v>
      </c>
      <c r="K96" s="32" t="n"/>
    </row>
    <row r="97">
      <c r="A97" t="inlineStr">
        <is>
          <t>ENC119205</t>
        </is>
      </c>
      <c r="B97" t="inlineStr">
        <is>
          <t>Medical-Surgical 4 West</t>
        </is>
      </c>
      <c r="C97" s="29" t="n">
        <v>45942</v>
      </c>
      <c r="D97" s="29" t="n">
        <v>45951</v>
      </c>
      <c r="E97" t="n">
        <v>99</v>
      </c>
      <c r="F97" t="inlineStr">
        <is>
          <t>A41.9</t>
        </is>
      </c>
      <c r="G97" t="inlineStr">
        <is>
          <t>Sepsis, unspecified organism</t>
        </is>
      </c>
      <c r="H97" s="30" t="n">
        <v>5</v>
      </c>
      <c r="I97" t="n">
        <v>9</v>
      </c>
      <c r="J97" s="31" t="n">
        <v>68139.23</v>
      </c>
      <c r="K97" s="32" t="n"/>
    </row>
    <row r="98">
      <c r="A98" t="inlineStr">
        <is>
          <t>ENC119346</t>
        </is>
      </c>
      <c r="B98" t="inlineStr">
        <is>
          <t>Cardiac Step-Down</t>
        </is>
      </c>
      <c r="C98" s="29" t="n">
        <v>45946</v>
      </c>
      <c r="D98" s="29" t="n">
        <v>45951</v>
      </c>
      <c r="E98" t="n">
        <v>71</v>
      </c>
      <c r="F98" t="inlineStr">
        <is>
          <t>I50.9</t>
        </is>
      </c>
      <c r="G98" t="inlineStr">
        <is>
          <t>Heart failure, unspecified</t>
        </is>
      </c>
      <c r="H98" s="30" t="n">
        <v>4.1</v>
      </c>
      <c r="I98" t="n">
        <v>5</v>
      </c>
      <c r="J98" s="31" t="n">
        <v>37640.56</v>
      </c>
      <c r="K98" s="32" t="n"/>
    </row>
    <row r="99">
      <c r="A99" t="inlineStr">
        <is>
          <t>ENC119327</t>
        </is>
      </c>
      <c r="B99" t="inlineStr">
        <is>
          <t>Medical-Surgical 5 East</t>
        </is>
      </c>
      <c r="C99" s="29" t="n">
        <v>45946</v>
      </c>
      <c r="D99" s="29" t="n">
        <v>45951</v>
      </c>
      <c r="E99" t="n">
        <v>18</v>
      </c>
      <c r="F99" t="inlineStr">
        <is>
          <t>J45.909</t>
        </is>
      </c>
      <c r="G99" t="inlineStr">
        <is>
          <t>Unspecified asthma, uncomplicated</t>
        </is>
      </c>
      <c r="H99" s="30" t="n">
        <v>2.1</v>
      </c>
      <c r="I99" t="n">
        <v>5</v>
      </c>
      <c r="J99" s="31" t="n">
        <v>15350.19</v>
      </c>
      <c r="K99" s="32" t="n"/>
    </row>
    <row r="100">
      <c r="A100" t="inlineStr">
        <is>
          <t>ENC119289</t>
        </is>
      </c>
      <c r="B100" t="inlineStr">
        <is>
          <t>Medical-Surgical 5 East</t>
        </is>
      </c>
      <c r="C100" s="29" t="n">
        <v>45944</v>
      </c>
      <c r="D100" s="29" t="n">
        <v>45951</v>
      </c>
      <c r="E100" t="n">
        <v>72</v>
      </c>
      <c r="F100" t="inlineStr">
        <is>
          <t>A41.9</t>
        </is>
      </c>
      <c r="G100" t="inlineStr">
        <is>
          <t>Sepsis, unspecified organism</t>
        </is>
      </c>
      <c r="H100" s="30" t="n">
        <v>5</v>
      </c>
      <c r="I100" t="n">
        <v>7</v>
      </c>
      <c r="J100" s="31" t="n">
        <v>70827.64999999999</v>
      </c>
      <c r="K100" s="32" t="n"/>
    </row>
    <row r="101">
      <c r="A101" t="inlineStr">
        <is>
          <t>ENC119207</t>
        </is>
      </c>
      <c r="B101" t="inlineStr">
        <is>
          <t>Behavioral Health</t>
        </is>
      </c>
      <c r="C101" s="29" t="n">
        <v>45942</v>
      </c>
      <c r="D101" s="29" t="n">
        <v>45951</v>
      </c>
      <c r="E101" t="n">
        <v>18</v>
      </c>
      <c r="F101" t="inlineStr">
        <is>
          <t>F32.9</t>
        </is>
      </c>
      <c r="G101" t="inlineStr">
        <is>
          <t>Major depressive disorder, single episode, unspecified</t>
        </is>
      </c>
      <c r="H101" s="30" t="n">
        <v>6.8</v>
      </c>
      <c r="I101" t="n">
        <v>9</v>
      </c>
      <c r="J101" s="31" t="n">
        <v>22203.32</v>
      </c>
      <c r="K101" s="32" t="n"/>
    </row>
    <row r="102">
      <c r="A102" t="inlineStr">
        <is>
          <t>ENC119243</t>
        </is>
      </c>
      <c r="B102" t="inlineStr">
        <is>
          <t>Medical-Surgical 4 West</t>
        </is>
      </c>
      <c r="C102" s="29" t="n">
        <v>45943</v>
      </c>
      <c r="D102" s="29" t="n">
        <v>45952</v>
      </c>
      <c r="E102" t="n">
        <v>45</v>
      </c>
      <c r="F102" t="inlineStr">
        <is>
          <t>N17.9</t>
        </is>
      </c>
      <c r="G102" t="inlineStr">
        <is>
          <t>Acute kidney failure, unspecified</t>
        </is>
      </c>
      <c r="H102" s="30" t="n">
        <v>3.9</v>
      </c>
      <c r="I102" t="n">
        <v>9</v>
      </c>
      <c r="J102" s="31" t="n">
        <v>20032.94</v>
      </c>
      <c r="K102" s="32" t="n"/>
    </row>
    <row r="103">
      <c r="A103" t="inlineStr">
        <is>
          <t>ENC119259</t>
        </is>
      </c>
      <c r="B103" t="inlineStr">
        <is>
          <t>Behavioral Health</t>
        </is>
      </c>
      <c r="C103" s="29" t="n">
        <v>45944</v>
      </c>
      <c r="D103" s="29" t="n">
        <v>45952</v>
      </c>
      <c r="E103" t="n">
        <v>56</v>
      </c>
      <c r="F103" t="inlineStr">
        <is>
          <t>F20.9</t>
        </is>
      </c>
      <c r="G103" t="inlineStr">
        <is>
          <t>Schizophrenia, unspecified</t>
        </is>
      </c>
      <c r="H103" s="30" t="n">
        <v>8.9</v>
      </c>
      <c r="I103" t="n">
        <v>8</v>
      </c>
      <c r="J103" s="31" t="n">
        <v>15486.98</v>
      </c>
      <c r="K103" s="32" t="n"/>
    </row>
    <row r="104">
      <c r="A104" t="inlineStr">
        <is>
          <t>ENC119428</t>
        </is>
      </c>
      <c r="B104" t="inlineStr">
        <is>
          <t>Medical-Surgical 4 West</t>
        </is>
      </c>
      <c r="C104" s="29" t="n">
        <v>45950</v>
      </c>
      <c r="D104" s="29" t="n">
        <v>45952</v>
      </c>
      <c r="E104" t="n">
        <v>77</v>
      </c>
      <c r="F104" t="inlineStr">
        <is>
          <t>K80.20</t>
        </is>
      </c>
      <c r="G104" t="inlineStr">
        <is>
          <t>Calculus of gallbladder without cholecystitis without obstruction</t>
        </is>
      </c>
      <c r="H104" s="30" t="n">
        <v>1.9</v>
      </c>
      <c r="I104" t="n">
        <v>2</v>
      </c>
      <c r="J104" s="31" t="n">
        <v>34477.57</v>
      </c>
      <c r="K104" s="32" t="n"/>
    </row>
    <row r="105">
      <c r="A105" t="inlineStr">
        <is>
          <t>ENC119477</t>
        </is>
      </c>
      <c r="B105" t="inlineStr">
        <is>
          <t>Medical-Surgical 4 West</t>
        </is>
      </c>
      <c r="C105" s="29" t="n">
        <v>45951</v>
      </c>
      <c r="D105" s="29" t="n">
        <v>45953</v>
      </c>
      <c r="E105" t="n">
        <v>78</v>
      </c>
      <c r="F105" t="inlineStr">
        <is>
          <t>E11.65</t>
        </is>
      </c>
      <c r="G105" t="inlineStr">
        <is>
          <t>Type 2 diabetes mellitus with hyperglycemia</t>
        </is>
      </c>
      <c r="H105" s="30" t="n">
        <v>3</v>
      </c>
      <c r="I105" t="n">
        <v>2</v>
      </c>
      <c r="J105" s="31" t="n">
        <v>11202.23</v>
      </c>
      <c r="K105" s="32" t="n"/>
    </row>
    <row r="106">
      <c r="A106" t="inlineStr">
        <is>
          <t>ENC119177</t>
        </is>
      </c>
      <c r="B106" t="inlineStr">
        <is>
          <t>Behavioral Health</t>
        </is>
      </c>
      <c r="C106" s="29" t="n">
        <v>45940</v>
      </c>
      <c r="D106" s="29" t="n">
        <v>45953</v>
      </c>
      <c r="E106" t="n">
        <v>77</v>
      </c>
      <c r="F106" t="inlineStr">
        <is>
          <t>F32.9</t>
        </is>
      </c>
      <c r="G106" t="inlineStr">
        <is>
          <t>Major depressive disorder, single episode, unspecified</t>
        </is>
      </c>
      <c r="H106" s="30" t="n">
        <v>6.8</v>
      </c>
      <c r="I106" t="n">
        <v>13</v>
      </c>
      <c r="J106" s="31" t="n">
        <v>30663.64</v>
      </c>
      <c r="K106" s="32" t="n"/>
    </row>
    <row r="107">
      <c r="A107" t="inlineStr">
        <is>
          <t>ENC119229</t>
        </is>
      </c>
      <c r="B107" t="inlineStr">
        <is>
          <t>Medical-Surgical 4 West</t>
        </is>
      </c>
      <c r="C107" s="29" t="n">
        <v>45943</v>
      </c>
      <c r="D107" s="29" t="n">
        <v>45953</v>
      </c>
      <c r="E107" t="n">
        <v>87</v>
      </c>
      <c r="F107" t="inlineStr">
        <is>
          <t>J44.1</t>
        </is>
      </c>
      <c r="G107" t="inlineStr">
        <is>
          <t>Chronic obstructive pulmonary disease with (acute) exacerbation</t>
        </is>
      </c>
      <c r="H107" s="30" t="n">
        <v>3.4</v>
      </c>
      <c r="I107" t="n">
        <v>10</v>
      </c>
      <c r="J107" s="31" t="n">
        <v>41905.32</v>
      </c>
      <c r="K107" s="32" t="n"/>
    </row>
    <row r="108">
      <c r="A108" t="inlineStr">
        <is>
          <t>ENC119433</t>
        </is>
      </c>
      <c r="B108" t="inlineStr">
        <is>
          <t>Medical-Surgical 5 East</t>
        </is>
      </c>
      <c r="C108" s="29" t="n">
        <v>45950</v>
      </c>
      <c r="D108" s="29" t="n">
        <v>45953</v>
      </c>
      <c r="E108" t="n">
        <v>68</v>
      </c>
      <c r="F108" t="inlineStr">
        <is>
          <t>N17.9</t>
        </is>
      </c>
      <c r="G108" t="inlineStr">
        <is>
          <t>Acute kidney failure, unspecified</t>
        </is>
      </c>
      <c r="H108" s="30" t="n">
        <v>3.9</v>
      </c>
      <c r="I108" t="n">
        <v>3</v>
      </c>
      <c r="J108" s="31" t="n">
        <v>12170</v>
      </c>
      <c r="K108" s="32" t="n"/>
    </row>
    <row r="109">
      <c r="A109" t="inlineStr">
        <is>
          <t>ENC119392</t>
        </is>
      </c>
      <c r="B109" t="inlineStr">
        <is>
          <t>Medical-Surgical 5 East</t>
        </is>
      </c>
      <c r="C109" s="29" t="n">
        <v>45948</v>
      </c>
      <c r="D109" s="29" t="n">
        <v>45953</v>
      </c>
      <c r="E109" t="n">
        <v>27</v>
      </c>
      <c r="F109" t="inlineStr">
        <is>
          <t>A41.9</t>
        </is>
      </c>
      <c r="G109" t="inlineStr">
        <is>
          <t>Sepsis, unspecified organism</t>
        </is>
      </c>
      <c r="H109" s="30" t="n">
        <v>5</v>
      </c>
      <c r="I109" t="n">
        <v>5</v>
      </c>
      <c r="J109" s="31" t="n">
        <v>50919.05</v>
      </c>
      <c r="K109" s="32" t="n"/>
    </row>
    <row r="110">
      <c r="A110" t="inlineStr">
        <is>
          <t>ENC119382</t>
        </is>
      </c>
      <c r="B110" t="inlineStr">
        <is>
          <t>Medical-Surgical 5 East</t>
        </is>
      </c>
      <c r="C110" s="29" t="n">
        <v>45948</v>
      </c>
      <c r="D110" s="29" t="n">
        <v>45953</v>
      </c>
      <c r="E110" t="n">
        <v>78</v>
      </c>
      <c r="F110" t="inlineStr">
        <is>
          <t>K56.609</t>
        </is>
      </c>
      <c r="G110" t="inlineStr">
        <is>
          <t>Unspecified intestinal obstruction</t>
        </is>
      </c>
      <c r="H110" s="30" t="n">
        <v>4.6</v>
      </c>
      <c r="I110" t="n">
        <v>5</v>
      </c>
      <c r="J110" s="31" t="n">
        <v>36691.4</v>
      </c>
      <c r="K110" s="32" t="n"/>
    </row>
    <row r="111">
      <c r="A111" t="inlineStr">
        <is>
          <t>ENC119410</t>
        </is>
      </c>
      <c r="B111" t="inlineStr">
        <is>
          <t>Oncology</t>
        </is>
      </c>
      <c r="C111" s="29" t="n">
        <v>45950</v>
      </c>
      <c r="D111" s="29" t="n">
        <v>45954</v>
      </c>
      <c r="E111" t="n">
        <v>76</v>
      </c>
      <c r="F111" t="inlineStr">
        <is>
          <t>C50.911</t>
        </is>
      </c>
      <c r="G111" t="inlineStr">
        <is>
          <t>Malignant neoplasm of unspecified site of right female breast</t>
        </is>
      </c>
      <c r="H111" s="30" t="n">
        <v>3</v>
      </c>
      <c r="I111" t="n">
        <v>4</v>
      </c>
      <c r="J111" s="31" t="n">
        <v>38945.72</v>
      </c>
      <c r="K111" s="32" t="n"/>
    </row>
    <row r="112">
      <c r="A112" t="inlineStr">
        <is>
          <t>ENC119481</t>
        </is>
      </c>
      <c r="B112" t="inlineStr">
        <is>
          <t>Labor &amp; Delivery</t>
        </is>
      </c>
      <c r="C112" s="29" t="n">
        <v>45952</v>
      </c>
      <c r="D112" s="29" t="n">
        <v>45954</v>
      </c>
      <c r="E112" t="n">
        <v>23</v>
      </c>
      <c r="F112" t="inlineStr">
        <is>
          <t>O80</t>
        </is>
      </c>
      <c r="G112" t="inlineStr">
        <is>
          <t>Encounter for full-term uncomplicated delivery</t>
        </is>
      </c>
      <c r="H112" s="30" t="n">
        <v>2</v>
      </c>
      <c r="I112" t="n">
        <v>2</v>
      </c>
      <c r="J112" s="31" t="n">
        <v>15520.03</v>
      </c>
      <c r="K112" s="32" t="n"/>
    </row>
    <row r="113">
      <c r="A113" t="inlineStr">
        <is>
          <t>ENC119526</t>
        </is>
      </c>
      <c r="B113" t="inlineStr">
        <is>
          <t>Medical-Surgical 4 West</t>
        </is>
      </c>
      <c r="C113" s="29" t="n">
        <v>45953</v>
      </c>
      <c r="D113" s="29" t="n">
        <v>45954</v>
      </c>
      <c r="E113" t="n">
        <v>53</v>
      </c>
      <c r="F113" t="inlineStr">
        <is>
          <t>K35.80</t>
        </is>
      </c>
      <c r="G113" t="inlineStr">
        <is>
          <t>Unspecified acute appendicitis</t>
        </is>
      </c>
      <c r="H113" s="30" t="n">
        <v>2</v>
      </c>
      <c r="I113" t="n">
        <v>1</v>
      </c>
      <c r="J113" s="31" t="n">
        <v>27436.42</v>
      </c>
      <c r="K113" s="32" t="n"/>
    </row>
    <row r="114">
      <c r="A114" t="inlineStr">
        <is>
          <t>ENC119456</t>
        </is>
      </c>
      <c r="B114" t="inlineStr">
        <is>
          <t>Medical-Surgical 5 East</t>
        </is>
      </c>
      <c r="C114" s="29" t="n">
        <v>45951</v>
      </c>
      <c r="D114" s="29" t="n">
        <v>45954</v>
      </c>
      <c r="E114" t="n">
        <v>29</v>
      </c>
      <c r="F114" t="inlineStr">
        <is>
          <t>K35.80</t>
        </is>
      </c>
      <c r="G114" t="inlineStr">
        <is>
          <t>Unspecified acute appendicitis</t>
        </is>
      </c>
      <c r="H114" s="30" t="n">
        <v>2</v>
      </c>
      <c r="I114" t="n">
        <v>3</v>
      </c>
      <c r="J114" s="31" t="n">
        <v>36554.37</v>
      </c>
      <c r="K114" s="32" t="n"/>
    </row>
    <row r="115">
      <c r="A115" t="inlineStr">
        <is>
          <t>ENC119502</t>
        </is>
      </c>
      <c r="B115" t="inlineStr">
        <is>
          <t>Medical-Surgical 5 East</t>
        </is>
      </c>
      <c r="C115" s="29" t="n">
        <v>45952</v>
      </c>
      <c r="D115" s="29" t="n">
        <v>45954</v>
      </c>
      <c r="E115" t="n">
        <v>72</v>
      </c>
      <c r="F115" t="inlineStr">
        <is>
          <t>E11.65</t>
        </is>
      </c>
      <c r="G115" t="inlineStr">
        <is>
          <t>Type 2 diabetes mellitus with hyperglycemia</t>
        </is>
      </c>
      <c r="H115" s="30" t="n">
        <v>3</v>
      </c>
      <c r="I115" t="n">
        <v>2</v>
      </c>
      <c r="J115" s="31" t="n">
        <v>13185.11</v>
      </c>
      <c r="K115" s="32" t="n"/>
    </row>
    <row r="116">
      <c r="A116" t="inlineStr">
        <is>
          <t>ENC119421</t>
        </is>
      </c>
      <c r="B116" t="inlineStr">
        <is>
          <t>Medical-Surgical 5 East</t>
        </is>
      </c>
      <c r="C116" s="29" t="n">
        <v>45950</v>
      </c>
      <c r="D116" s="29" t="n">
        <v>45954</v>
      </c>
      <c r="E116" t="n">
        <v>17</v>
      </c>
      <c r="F116" t="inlineStr">
        <is>
          <t>A41.9</t>
        </is>
      </c>
      <c r="G116" t="inlineStr">
        <is>
          <t>Sepsis, unspecified organism</t>
        </is>
      </c>
      <c r="H116" s="30" t="n">
        <v>5</v>
      </c>
      <c r="I116" t="n">
        <v>4</v>
      </c>
      <c r="J116" s="31" t="n">
        <v>43737.93</v>
      </c>
      <c r="K116" s="32" t="n"/>
    </row>
    <row r="117">
      <c r="A117" t="inlineStr">
        <is>
          <t>ENC119449</t>
        </is>
      </c>
      <c r="B117" t="inlineStr">
        <is>
          <t>Medical-Surgical 5 East</t>
        </is>
      </c>
      <c r="C117" s="29" t="n">
        <v>45951</v>
      </c>
      <c r="D117" s="29" t="n">
        <v>45954</v>
      </c>
      <c r="E117" t="n">
        <v>56</v>
      </c>
      <c r="F117" t="inlineStr">
        <is>
          <t>K92.2</t>
        </is>
      </c>
      <c r="G117" t="inlineStr">
        <is>
          <t>Gastrointestinal hemorrhage, unspecified</t>
        </is>
      </c>
      <c r="H117" s="30" t="n">
        <v>3.5</v>
      </c>
      <c r="I117" t="n">
        <v>3</v>
      </c>
      <c r="J117" s="31" t="n">
        <v>14666.98</v>
      </c>
      <c r="K117" s="32" t="n"/>
    </row>
    <row r="118">
      <c r="A118" t="inlineStr">
        <is>
          <t>ENC119424</t>
        </is>
      </c>
      <c r="B118" t="inlineStr">
        <is>
          <t>Medical-Surgical 4 West</t>
        </is>
      </c>
      <c r="C118" s="29" t="n">
        <v>45950</v>
      </c>
      <c r="D118" s="29" t="n">
        <v>45954</v>
      </c>
      <c r="E118" t="n">
        <v>70</v>
      </c>
      <c r="F118" t="inlineStr">
        <is>
          <t>N17.9</t>
        </is>
      </c>
      <c r="G118" t="inlineStr">
        <is>
          <t>Acute kidney failure, unspecified</t>
        </is>
      </c>
      <c r="H118" s="30" t="n">
        <v>3.9</v>
      </c>
      <c r="I118" t="n">
        <v>4</v>
      </c>
      <c r="J118" s="31" t="n">
        <v>16898.93</v>
      </c>
      <c r="K118" s="32" t="n"/>
    </row>
    <row r="119">
      <c r="A119" t="inlineStr">
        <is>
          <t>ENC119398</t>
        </is>
      </c>
      <c r="B119" t="inlineStr">
        <is>
          <t>Medical-Surgical 5 East</t>
        </is>
      </c>
      <c r="C119" s="29" t="n">
        <v>45948</v>
      </c>
      <c r="D119" s="29" t="n">
        <v>45955</v>
      </c>
      <c r="E119" t="n">
        <v>65</v>
      </c>
      <c r="F119" t="inlineStr">
        <is>
          <t>F10.239</t>
        </is>
      </c>
      <c r="G119" t="inlineStr">
        <is>
          <t>Alcohol dependence with withdrawal, unspecified</t>
        </is>
      </c>
      <c r="H119" s="30" t="n">
        <v>3.6</v>
      </c>
      <c r="I119" t="n">
        <v>7</v>
      </c>
      <c r="J119" s="31" t="n">
        <v>40449.16</v>
      </c>
      <c r="K119" s="32" t="n"/>
    </row>
    <row r="120">
      <c r="A120" t="inlineStr">
        <is>
          <t>ENC119420</t>
        </is>
      </c>
      <c r="B120" t="inlineStr">
        <is>
          <t>Medical-Surgical 4 West</t>
        </is>
      </c>
      <c r="C120" s="29" t="n">
        <v>45950</v>
      </c>
      <c r="D120" s="29" t="n">
        <v>45955</v>
      </c>
      <c r="E120" t="n">
        <v>27</v>
      </c>
      <c r="F120" t="inlineStr">
        <is>
          <t>E11.65</t>
        </is>
      </c>
      <c r="G120" t="inlineStr">
        <is>
          <t>Type 2 diabetes mellitus with hyperglycemia</t>
        </is>
      </c>
      <c r="H120" s="30" t="n">
        <v>3</v>
      </c>
      <c r="I120" t="n">
        <v>5</v>
      </c>
      <c r="J120" s="31" t="n">
        <v>12978.76</v>
      </c>
      <c r="K120" s="32" t="n"/>
    </row>
    <row r="121">
      <c r="A121" t="inlineStr">
        <is>
          <t>ENC119539</t>
        </is>
      </c>
      <c r="B121" t="inlineStr">
        <is>
          <t>Medical-Surgical 4 West</t>
        </is>
      </c>
      <c r="C121" s="29" t="n">
        <v>45953</v>
      </c>
      <c r="D121" s="29" t="n">
        <v>45955</v>
      </c>
      <c r="E121" t="n">
        <v>51</v>
      </c>
      <c r="F121" t="inlineStr">
        <is>
          <t>E86.0</t>
        </is>
      </c>
      <c r="G121" t="inlineStr">
        <is>
          <t>Dehydration</t>
        </is>
      </c>
      <c r="H121" s="30" t="n">
        <v>2.4</v>
      </c>
      <c r="I121" t="n">
        <v>2</v>
      </c>
      <c r="J121" s="31" t="n">
        <v>10890.91</v>
      </c>
      <c r="K121" s="32" t="n"/>
    </row>
    <row r="122">
      <c r="A122" t="inlineStr">
        <is>
          <t>ENC119500</t>
        </is>
      </c>
      <c r="B122" t="inlineStr">
        <is>
          <t>Medical-Surgical 4 West</t>
        </is>
      </c>
      <c r="C122" s="29" t="n">
        <v>45952</v>
      </c>
      <c r="D122" s="29" t="n">
        <v>45955</v>
      </c>
      <c r="E122" t="n">
        <v>87</v>
      </c>
      <c r="F122" t="inlineStr">
        <is>
          <t>K92.2</t>
        </is>
      </c>
      <c r="G122" t="inlineStr">
        <is>
          <t>Gastrointestinal hemorrhage, unspecified</t>
        </is>
      </c>
      <c r="H122" s="30" t="n">
        <v>3.5</v>
      </c>
      <c r="I122" t="n">
        <v>3</v>
      </c>
      <c r="J122" s="31" t="n">
        <v>11073.11</v>
      </c>
      <c r="K122" s="32" t="n"/>
    </row>
    <row r="123">
      <c r="A123" t="inlineStr">
        <is>
          <t>ENC119337</t>
        </is>
      </c>
      <c r="B123" t="inlineStr">
        <is>
          <t>Medical-Surgical 5 East</t>
        </is>
      </c>
      <c r="C123" s="29" t="n">
        <v>45946</v>
      </c>
      <c r="D123" s="29" t="n">
        <v>45955</v>
      </c>
      <c r="E123" t="n">
        <v>73</v>
      </c>
      <c r="F123" t="inlineStr">
        <is>
          <t>N17.9</t>
        </is>
      </c>
      <c r="G123" t="inlineStr">
        <is>
          <t>Acute kidney failure, unspecified</t>
        </is>
      </c>
      <c r="H123" s="30" t="n">
        <v>3.9</v>
      </c>
      <c r="I123" t="n">
        <v>9</v>
      </c>
      <c r="J123" s="31" t="n">
        <v>34455.09</v>
      </c>
      <c r="K123" s="32" t="n"/>
    </row>
    <row r="124">
      <c r="A124" t="inlineStr">
        <is>
          <t>ENC119510</t>
        </is>
      </c>
      <c r="B124" t="inlineStr">
        <is>
          <t>Medical-Surgical 4 West</t>
        </is>
      </c>
      <c r="C124" s="29" t="n">
        <v>45952</v>
      </c>
      <c r="D124" s="29" t="n">
        <v>45955</v>
      </c>
      <c r="E124" t="n">
        <v>67</v>
      </c>
      <c r="F124" t="inlineStr">
        <is>
          <t>E86.0</t>
        </is>
      </c>
      <c r="G124" t="inlineStr">
        <is>
          <t>Dehydration</t>
        </is>
      </c>
      <c r="H124" s="30" t="n">
        <v>2.4</v>
      </c>
      <c r="I124" t="n">
        <v>3</v>
      </c>
      <c r="J124" s="31" t="n">
        <v>22991.99</v>
      </c>
      <c r="K124" s="32" t="n"/>
    </row>
    <row r="125">
      <c r="A125" t="inlineStr">
        <is>
          <t>ENC119582</t>
        </is>
      </c>
      <c r="B125" t="inlineStr">
        <is>
          <t>Labor &amp; Delivery</t>
        </is>
      </c>
      <c r="C125" s="29" t="n">
        <v>45954</v>
      </c>
      <c r="D125" s="29" t="n">
        <v>45956</v>
      </c>
      <c r="E125" t="n">
        <v>21</v>
      </c>
      <c r="F125" t="inlineStr">
        <is>
          <t>O82</t>
        </is>
      </c>
      <c r="G125" t="inlineStr">
        <is>
          <t>Encounter for cesarean delivery without indication</t>
        </is>
      </c>
      <c r="H125" s="30" t="n">
        <v>2.9</v>
      </c>
      <c r="I125" t="n">
        <v>2</v>
      </c>
      <c r="J125" s="31" t="n">
        <v>17937.37</v>
      </c>
      <c r="K125" s="32" t="n"/>
    </row>
    <row r="126">
      <c r="A126" t="inlineStr">
        <is>
          <t>ENC119549</t>
        </is>
      </c>
      <c r="B126" t="inlineStr">
        <is>
          <t>Medical-Surgical 5 East</t>
        </is>
      </c>
      <c r="C126" s="29" t="n">
        <v>45953</v>
      </c>
      <c r="D126" s="29" t="n">
        <v>45956</v>
      </c>
      <c r="E126" t="n">
        <v>72</v>
      </c>
      <c r="F126" t="inlineStr">
        <is>
          <t>K92.2</t>
        </is>
      </c>
      <c r="G126" t="inlineStr">
        <is>
          <t>Gastrointestinal hemorrhage, unspecified</t>
        </is>
      </c>
      <c r="H126" s="30" t="n">
        <v>3.5</v>
      </c>
      <c r="I126" t="n">
        <v>3</v>
      </c>
      <c r="J126" s="31" t="n">
        <v>20382</v>
      </c>
      <c r="K126" s="32" t="n"/>
    </row>
    <row r="127">
      <c r="A127" t="inlineStr">
        <is>
          <t>ENC119494</t>
        </is>
      </c>
      <c r="B127" t="inlineStr">
        <is>
          <t>Cardiac Step-Down</t>
        </is>
      </c>
      <c r="C127" s="29" t="n">
        <v>45952</v>
      </c>
      <c r="D127" s="29" t="n">
        <v>45956</v>
      </c>
      <c r="E127" t="n">
        <v>78</v>
      </c>
      <c r="F127" t="inlineStr">
        <is>
          <t>I50.9</t>
        </is>
      </c>
      <c r="G127" t="inlineStr">
        <is>
          <t>Heart failure, unspecified</t>
        </is>
      </c>
      <c r="H127" s="30" t="n">
        <v>4.1</v>
      </c>
      <c r="I127" t="n">
        <v>4</v>
      </c>
      <c r="J127" s="31" t="n">
        <v>22545.04</v>
      </c>
      <c r="K127" s="32" t="n"/>
    </row>
    <row r="128">
      <c r="A128" t="inlineStr">
        <is>
          <t>ENC119592</t>
        </is>
      </c>
      <c r="B128" t="inlineStr">
        <is>
          <t>Cardiac Step-Down</t>
        </is>
      </c>
      <c r="C128" s="29" t="n">
        <v>45955</v>
      </c>
      <c r="D128" s="29" t="n">
        <v>45957</v>
      </c>
      <c r="E128" t="n">
        <v>58</v>
      </c>
      <c r="F128" t="inlineStr">
        <is>
          <t>I50.9</t>
        </is>
      </c>
      <c r="G128" t="inlineStr">
        <is>
          <t>Heart failure, unspecified</t>
        </is>
      </c>
      <c r="H128" s="30" t="n">
        <v>4.1</v>
      </c>
      <c r="I128" t="n">
        <v>2</v>
      </c>
      <c r="J128" s="31" t="n">
        <v>19469.24</v>
      </c>
      <c r="K128" s="32" t="n"/>
    </row>
    <row r="129">
      <c r="A129" t="inlineStr">
        <is>
          <t>ENC119509</t>
        </is>
      </c>
      <c r="B129" t="inlineStr">
        <is>
          <t>Cardiac Step-Down</t>
        </is>
      </c>
      <c r="C129" s="29" t="n">
        <v>45952</v>
      </c>
      <c r="D129" s="29" t="n">
        <v>45957</v>
      </c>
      <c r="E129" t="n">
        <v>66</v>
      </c>
      <c r="F129" t="inlineStr">
        <is>
          <t>I50.9</t>
        </is>
      </c>
      <c r="G129" t="inlineStr">
        <is>
          <t>Heart failure, unspecified</t>
        </is>
      </c>
      <c r="H129" s="30" t="n">
        <v>4.1</v>
      </c>
      <c r="I129" t="n">
        <v>5</v>
      </c>
      <c r="J129" s="31" t="n">
        <v>31211.37</v>
      </c>
      <c r="K129" s="32" t="n"/>
    </row>
    <row r="130">
      <c r="A130" t="inlineStr">
        <is>
          <t>ENC119444</t>
        </is>
      </c>
      <c r="B130" t="inlineStr">
        <is>
          <t>Intensive Care Unit</t>
        </is>
      </c>
      <c r="C130" s="29" t="n">
        <v>45950</v>
      </c>
      <c r="D130" s="29" t="n">
        <v>45957</v>
      </c>
      <c r="E130" t="n">
        <v>65</v>
      </c>
      <c r="F130" t="inlineStr">
        <is>
          <t>A41.9</t>
        </is>
      </c>
      <c r="G130" t="inlineStr">
        <is>
          <t>Sepsis, unspecified organism</t>
        </is>
      </c>
      <c r="H130" s="30" t="n">
        <v>5</v>
      </c>
      <c r="I130" t="n">
        <v>7</v>
      </c>
      <c r="J130" s="31" t="n">
        <v>109542.49</v>
      </c>
      <c r="K130" s="32" t="n"/>
    </row>
    <row r="131">
      <c r="A131" t="inlineStr">
        <is>
          <t>ENC119537</t>
        </is>
      </c>
      <c r="B131" t="inlineStr">
        <is>
          <t>Medical-Surgical 4 West</t>
        </is>
      </c>
      <c r="C131" s="29" t="n">
        <v>45953</v>
      </c>
      <c r="D131" s="29" t="n">
        <v>45957</v>
      </c>
      <c r="E131" t="n">
        <v>73</v>
      </c>
      <c r="F131" t="inlineStr">
        <is>
          <t>E11.65</t>
        </is>
      </c>
      <c r="G131" t="inlineStr">
        <is>
          <t>Type 2 diabetes mellitus with hyperglycemia</t>
        </is>
      </c>
      <c r="H131" s="30" t="n">
        <v>3</v>
      </c>
      <c r="I131" t="n">
        <v>4</v>
      </c>
      <c r="J131" s="31" t="n">
        <v>27122.41</v>
      </c>
      <c r="K131" s="32" t="n"/>
    </row>
    <row r="132">
      <c r="A132" t="inlineStr">
        <is>
          <t>ENC119380</t>
        </is>
      </c>
      <c r="B132" t="inlineStr">
        <is>
          <t>Behavioral Health</t>
        </is>
      </c>
      <c r="C132" s="29" t="n">
        <v>45947</v>
      </c>
      <c r="D132" s="29" t="n">
        <v>45957</v>
      </c>
      <c r="E132" t="n">
        <v>68</v>
      </c>
      <c r="F132" t="inlineStr">
        <is>
          <t>F20.9</t>
        </is>
      </c>
      <c r="G132" t="inlineStr">
        <is>
          <t>Schizophrenia, unspecified</t>
        </is>
      </c>
      <c r="H132" s="30" t="n">
        <v>8.9</v>
      </c>
      <c r="I132" t="n">
        <v>10</v>
      </c>
      <c r="J132" s="31" t="n">
        <v>35744.88</v>
      </c>
      <c r="K132" s="32" t="n"/>
    </row>
    <row r="133">
      <c r="A133" t="inlineStr">
        <is>
          <t>ENC119475</t>
        </is>
      </c>
      <c r="B133" t="inlineStr">
        <is>
          <t>Oncology</t>
        </is>
      </c>
      <c r="C133" s="29" t="n">
        <v>45951</v>
      </c>
      <c r="D133" s="29" t="n">
        <v>45958</v>
      </c>
      <c r="E133" t="n">
        <v>78</v>
      </c>
      <c r="F133" t="inlineStr">
        <is>
          <t>D70.1</t>
        </is>
      </c>
      <c r="G133" t="inlineStr">
        <is>
          <t>Agranulocytosis secondary to cancer chemotherapy</t>
        </is>
      </c>
      <c r="H133" s="30" t="n">
        <v>4.5</v>
      </c>
      <c r="I133" t="n">
        <v>7</v>
      </c>
      <c r="J133" s="31" t="n">
        <v>51909.87</v>
      </c>
      <c r="K133" s="32" t="n"/>
    </row>
    <row r="134">
      <c r="A134" t="inlineStr">
        <is>
          <t>ENC119600</t>
        </is>
      </c>
      <c r="B134" t="inlineStr">
        <is>
          <t>Cardiac Step-Down</t>
        </is>
      </c>
      <c r="C134" s="29" t="n">
        <v>45956</v>
      </c>
      <c r="D134" s="29" t="n">
        <v>45958</v>
      </c>
      <c r="E134" t="n">
        <v>61</v>
      </c>
      <c r="F134" t="inlineStr">
        <is>
          <t>I50.9</t>
        </is>
      </c>
      <c r="G134" t="inlineStr">
        <is>
          <t>Heart failure, unspecified</t>
        </is>
      </c>
      <c r="H134" s="30" t="n">
        <v>4.1</v>
      </c>
      <c r="I134" t="n">
        <v>2</v>
      </c>
      <c r="J134" s="31" t="n">
        <v>12410.87</v>
      </c>
      <c r="K134" s="32" t="n"/>
    </row>
    <row r="135">
      <c r="A135" t="inlineStr">
        <is>
          <t>ENC119389</t>
        </is>
      </c>
      <c r="B135" t="inlineStr">
        <is>
          <t>Intensive Care Unit</t>
        </is>
      </c>
      <c r="C135" s="29" t="n">
        <v>45948</v>
      </c>
      <c r="D135" s="29" t="n">
        <v>45958</v>
      </c>
      <c r="E135" t="n">
        <v>57</v>
      </c>
      <c r="F135" t="inlineStr">
        <is>
          <t>A41.9</t>
        </is>
      </c>
      <c r="G135" t="inlineStr">
        <is>
          <t>Sepsis, unspecified organism</t>
        </is>
      </c>
      <c r="H135" s="30" t="n">
        <v>5</v>
      </c>
      <c r="I135" t="n">
        <v>10</v>
      </c>
      <c r="J135" s="31" t="n">
        <v>77522.95</v>
      </c>
      <c r="K135" s="32" t="n"/>
    </row>
    <row r="136">
      <c r="A136" t="inlineStr">
        <is>
          <t>ENC119612</t>
        </is>
      </c>
      <c r="B136" t="inlineStr">
        <is>
          <t>Labor &amp; Delivery</t>
        </is>
      </c>
      <c r="C136" s="29" t="n">
        <v>45956</v>
      </c>
      <c r="D136" s="29" t="n">
        <v>45958</v>
      </c>
      <c r="E136" t="n">
        <v>41</v>
      </c>
      <c r="F136" t="inlineStr">
        <is>
          <t>O82</t>
        </is>
      </c>
      <c r="G136" t="inlineStr">
        <is>
          <t>Encounter for cesarean delivery without indication</t>
        </is>
      </c>
      <c r="H136" s="30" t="n">
        <v>2.9</v>
      </c>
      <c r="I136" t="n">
        <v>2</v>
      </c>
      <c r="J136" s="31" t="n">
        <v>26633.55</v>
      </c>
      <c r="K136" s="32" t="n"/>
    </row>
    <row r="137">
      <c r="A137" t="inlineStr">
        <is>
          <t>ENC119445</t>
        </is>
      </c>
      <c r="B137" t="inlineStr">
        <is>
          <t>Labor &amp; Delivery</t>
        </is>
      </c>
      <c r="C137" s="29" t="n">
        <v>45950</v>
      </c>
      <c r="D137" s="29" t="n">
        <v>45958</v>
      </c>
      <c r="E137" t="n">
        <v>36</v>
      </c>
      <c r="F137" t="inlineStr">
        <is>
          <t>O82</t>
        </is>
      </c>
      <c r="G137" t="inlineStr">
        <is>
          <t>Encounter for cesarean delivery without indication</t>
        </is>
      </c>
      <c r="H137" s="30" t="n">
        <v>2.9</v>
      </c>
      <c r="I137" t="n">
        <v>8</v>
      </c>
      <c r="J137" s="31" t="n">
        <v>48990.64</v>
      </c>
      <c r="K137" s="32" t="n"/>
    </row>
    <row r="138">
      <c r="A138" t="inlineStr">
        <is>
          <t>ENC119618</t>
        </is>
      </c>
      <c r="B138" t="inlineStr">
        <is>
          <t>Orthopedics &amp; Spine</t>
        </is>
      </c>
      <c r="C138" s="29" t="n">
        <v>45957</v>
      </c>
      <c r="D138" s="29" t="n">
        <v>45959</v>
      </c>
      <c r="E138" t="n">
        <v>63</v>
      </c>
      <c r="F138" t="inlineStr">
        <is>
          <t>M17.11</t>
        </is>
      </c>
      <c r="G138" t="inlineStr">
        <is>
          <t>Unilateral primary osteoarthritis, right knee</t>
        </is>
      </c>
      <c r="H138" s="30" t="n">
        <v>2</v>
      </c>
      <c r="I138" t="n">
        <v>2</v>
      </c>
      <c r="J138" s="31" t="n">
        <v>46570.37</v>
      </c>
      <c r="K138" s="32" t="n"/>
    </row>
    <row r="139">
      <c r="A139" t="inlineStr">
        <is>
          <t>ENC119647</t>
        </is>
      </c>
      <c r="B139" t="inlineStr">
        <is>
          <t>Orthopedics &amp; Spine</t>
        </is>
      </c>
      <c r="C139" s="29" t="n">
        <v>45958</v>
      </c>
      <c r="D139" s="29" t="n">
        <v>45959</v>
      </c>
      <c r="E139" t="n">
        <v>49</v>
      </c>
      <c r="F139" t="inlineStr">
        <is>
          <t>M17.11</t>
        </is>
      </c>
      <c r="G139" t="inlineStr">
        <is>
          <t>Unilateral primary osteoarthritis, right knee</t>
        </is>
      </c>
      <c r="H139" s="30" t="n">
        <v>2</v>
      </c>
      <c r="I139" t="n">
        <v>1</v>
      </c>
      <c r="J139" s="31" t="n">
        <v>43468.31</v>
      </c>
      <c r="K139" s="32" t="n"/>
    </row>
    <row r="140">
      <c r="A140" t="inlineStr">
        <is>
          <t>ENC119480</t>
        </is>
      </c>
      <c r="B140" t="inlineStr">
        <is>
          <t>Intensive Care Unit</t>
        </is>
      </c>
      <c r="C140" s="29" t="n">
        <v>45952</v>
      </c>
      <c r="D140" s="29" t="n">
        <v>45959</v>
      </c>
      <c r="E140" t="n">
        <v>55</v>
      </c>
      <c r="F140" t="inlineStr">
        <is>
          <t>J96.01</t>
        </is>
      </c>
      <c r="G140" t="inlineStr">
        <is>
          <t>Acute respiratory failure with hypoxia</t>
        </is>
      </c>
      <c r="H140" s="30" t="n">
        <v>4.8</v>
      </c>
      <c r="I140" t="n">
        <v>7</v>
      </c>
      <c r="J140" s="31" t="n">
        <v>60667.62</v>
      </c>
      <c r="K140" s="32" t="n"/>
    </row>
    <row r="141">
      <c r="A141" t="inlineStr">
        <is>
          <t>ENC119580</t>
        </is>
      </c>
      <c r="B141" t="inlineStr">
        <is>
          <t>Orthopedics &amp; Spine</t>
        </is>
      </c>
      <c r="C141" s="29" t="n">
        <v>45954</v>
      </c>
      <c r="D141" s="29" t="n">
        <v>45959</v>
      </c>
      <c r="E141" t="n">
        <v>77</v>
      </c>
      <c r="F141" t="inlineStr">
        <is>
          <t>S72.001A</t>
        </is>
      </c>
      <c r="G141" t="inlineStr">
        <is>
          <t>Fracture of unspecified part of neck of right femur, initial encounter</t>
        </is>
      </c>
      <c r="H141" s="30" t="n">
        <v>4.6</v>
      </c>
      <c r="I141" t="n">
        <v>5</v>
      </c>
      <c r="J141" s="31" t="n">
        <v>89181.78</v>
      </c>
      <c r="K141" s="32" t="n"/>
    </row>
    <row r="142">
      <c r="A142" t="inlineStr">
        <is>
          <t>ENC119459</t>
        </is>
      </c>
      <c r="B142" t="inlineStr">
        <is>
          <t>Medical-Surgical 4 West</t>
        </is>
      </c>
      <c r="C142" s="29" t="n">
        <v>45951</v>
      </c>
      <c r="D142" s="29" t="n">
        <v>45959</v>
      </c>
      <c r="E142" t="n">
        <v>73</v>
      </c>
      <c r="F142" t="inlineStr">
        <is>
          <t>K92.2</t>
        </is>
      </c>
      <c r="G142" t="inlineStr">
        <is>
          <t>Gastrointestinal hemorrhage, unspecified</t>
        </is>
      </c>
      <c r="H142" s="30" t="n">
        <v>3.5</v>
      </c>
      <c r="I142" t="n">
        <v>8</v>
      </c>
      <c r="J142" s="31" t="n">
        <v>39775.84</v>
      </c>
      <c r="K142" s="32" t="n"/>
    </row>
    <row r="143">
      <c r="A143" t="inlineStr">
        <is>
          <t>ENC119584</t>
        </is>
      </c>
      <c r="B143" t="inlineStr">
        <is>
          <t>Medical-Surgical 4 West</t>
        </is>
      </c>
      <c r="C143" s="29" t="n">
        <v>45954</v>
      </c>
      <c r="D143" s="29" t="n">
        <v>45959</v>
      </c>
      <c r="E143" t="n">
        <v>44</v>
      </c>
      <c r="F143" t="inlineStr">
        <is>
          <t>E86.0</t>
        </is>
      </c>
      <c r="G143" t="inlineStr">
        <is>
          <t>Dehydration</t>
        </is>
      </c>
      <c r="H143" s="30" t="n">
        <v>2.4</v>
      </c>
      <c r="I143" t="n">
        <v>5</v>
      </c>
      <c r="J143" s="31" t="n">
        <v>18441.18</v>
      </c>
      <c r="K143" s="32" t="n"/>
    </row>
    <row r="144">
      <c r="A144" t="inlineStr">
        <is>
          <t>ENC119488</t>
        </is>
      </c>
      <c r="B144" t="inlineStr">
        <is>
          <t>Medical-Surgical 4 West</t>
        </is>
      </c>
      <c r="C144" s="29" t="n">
        <v>45952</v>
      </c>
      <c r="D144" s="29" t="n">
        <v>45959</v>
      </c>
      <c r="E144" t="n">
        <v>56</v>
      </c>
      <c r="F144" t="inlineStr">
        <is>
          <t>A41.9</t>
        </is>
      </c>
      <c r="G144" t="inlineStr">
        <is>
          <t>Sepsis, unspecified organism</t>
        </is>
      </c>
      <c r="H144" s="30" t="n">
        <v>5</v>
      </c>
      <c r="I144" t="n">
        <v>7</v>
      </c>
      <c r="J144" s="31" t="n">
        <v>78093.03999999999</v>
      </c>
      <c r="K144" s="32" t="n"/>
    </row>
    <row r="145">
      <c r="A145" t="inlineStr">
        <is>
          <t>ENC119693</t>
        </is>
      </c>
      <c r="B145" t="inlineStr">
        <is>
          <t>Labor &amp; Delivery</t>
        </is>
      </c>
      <c r="C145" s="29" t="n">
        <v>45959</v>
      </c>
      <c r="D145" s="29" t="n">
        <v>45960</v>
      </c>
      <c r="E145" t="n">
        <v>43</v>
      </c>
      <c r="F145" t="inlineStr">
        <is>
          <t>O80</t>
        </is>
      </c>
      <c r="G145" t="inlineStr">
        <is>
          <t>Encounter for full-term uncomplicated delivery</t>
        </is>
      </c>
      <c r="H145" s="30" t="n">
        <v>2</v>
      </c>
      <c r="I145" t="n">
        <v>1</v>
      </c>
      <c r="J145" s="31" t="n">
        <v>14542.91</v>
      </c>
      <c r="K145" s="32" t="n"/>
    </row>
    <row r="146">
      <c r="A146" t="inlineStr">
        <is>
          <t>ENC119467</t>
        </is>
      </c>
      <c r="B146" t="inlineStr">
        <is>
          <t>Cardiac Step-Down</t>
        </is>
      </c>
      <c r="C146" s="29" t="n">
        <v>45951</v>
      </c>
      <c r="D146" s="29" t="n">
        <v>45960</v>
      </c>
      <c r="E146" t="n">
        <v>78</v>
      </c>
      <c r="F146" t="inlineStr">
        <is>
          <t>I50.9</t>
        </is>
      </c>
      <c r="G146" t="inlineStr">
        <is>
          <t>Heart failure, unspecified</t>
        </is>
      </c>
      <c r="H146" s="30" t="n">
        <v>4.1</v>
      </c>
      <c r="I146" t="n">
        <v>9</v>
      </c>
      <c r="J146" s="31" t="n">
        <v>75980.69</v>
      </c>
      <c r="K146" s="32" t="n"/>
    </row>
    <row r="147">
      <c r="A147" t="inlineStr">
        <is>
          <t>ENC119614</t>
        </is>
      </c>
      <c r="B147" t="inlineStr">
        <is>
          <t>Medical-Surgical 4 West</t>
        </is>
      </c>
      <c r="C147" s="29" t="n">
        <v>45957</v>
      </c>
      <c r="D147" s="29" t="n">
        <v>45960</v>
      </c>
      <c r="E147" t="n">
        <v>57</v>
      </c>
      <c r="F147" t="inlineStr">
        <is>
          <t>J45.909</t>
        </is>
      </c>
      <c r="G147" t="inlineStr">
        <is>
          <t>Unspecified asthma, uncomplicated</t>
        </is>
      </c>
      <c r="H147" s="30" t="n">
        <v>2.1</v>
      </c>
      <c r="I147" t="n">
        <v>3</v>
      </c>
      <c r="J147" s="31" t="n">
        <v>14720.24</v>
      </c>
      <c r="K147" s="32" t="n"/>
    </row>
    <row r="148">
      <c r="A148" t="inlineStr">
        <is>
          <t>ENC119677</t>
        </is>
      </c>
      <c r="B148" t="inlineStr">
        <is>
          <t>Neuroscience &amp; Stroke</t>
        </is>
      </c>
      <c r="C148" s="29" t="n">
        <v>45958</v>
      </c>
      <c r="D148" s="29" t="n">
        <v>45960</v>
      </c>
      <c r="E148" t="n">
        <v>51</v>
      </c>
      <c r="F148" t="inlineStr">
        <is>
          <t>G40.909</t>
        </is>
      </c>
      <c r="G148" t="inlineStr">
        <is>
          <t>Epilepsy, unspecified, not intractable, without status epilepticus</t>
        </is>
      </c>
      <c r="H148" s="30" t="n">
        <v>2.5</v>
      </c>
      <c r="I148" t="n">
        <v>2</v>
      </c>
      <c r="J148" s="31" t="n">
        <v>17228.74</v>
      </c>
      <c r="K148" s="32" t="n"/>
    </row>
    <row r="149">
      <c r="A149" t="inlineStr">
        <is>
          <t>ENC119335</t>
        </is>
      </c>
      <c r="B149" t="inlineStr">
        <is>
          <t>Behavioral Health</t>
        </is>
      </c>
      <c r="C149" s="29" t="n">
        <v>45946</v>
      </c>
      <c r="D149" s="29" t="n">
        <v>45960</v>
      </c>
      <c r="E149" t="n">
        <v>26</v>
      </c>
      <c r="F149" t="inlineStr">
        <is>
          <t>F32.9</t>
        </is>
      </c>
      <c r="G149" t="inlineStr">
        <is>
          <t>Major depressive disorder, single episode, unspecified</t>
        </is>
      </c>
      <c r="H149" s="30" t="n">
        <v>6.8</v>
      </c>
      <c r="I149" t="n">
        <v>14</v>
      </c>
      <c r="J149" s="31" t="n">
        <v>40224.78</v>
      </c>
      <c r="K149" s="32" t="n"/>
    </row>
    <row r="150">
      <c r="A150" t="inlineStr">
        <is>
          <t>ENC119606</t>
        </is>
      </c>
      <c r="B150" t="inlineStr">
        <is>
          <t>Neuroscience &amp; Stroke</t>
        </is>
      </c>
      <c r="C150" s="29" t="n">
        <v>45956</v>
      </c>
      <c r="D150" s="29" t="n">
        <v>45960</v>
      </c>
      <c r="E150" t="n">
        <v>98</v>
      </c>
      <c r="F150" t="inlineStr">
        <is>
          <t>I63.9</t>
        </is>
      </c>
      <c r="G150" t="inlineStr">
        <is>
          <t>Cerebral infarction, unspecified</t>
        </is>
      </c>
      <c r="H150" s="30" t="n">
        <v>4.2</v>
      </c>
      <c r="I150" t="n">
        <v>4</v>
      </c>
      <c r="J150" s="31" t="n">
        <v>11301.21</v>
      </c>
      <c r="K150" s="32" t="n"/>
    </row>
    <row r="151">
      <c r="A151" t="inlineStr">
        <is>
          <t>ENC119564</t>
        </is>
      </c>
      <c r="B151" t="inlineStr">
        <is>
          <t>Neuroscience &amp; Stroke</t>
        </is>
      </c>
      <c r="C151" s="29" t="n">
        <v>45954</v>
      </c>
      <c r="D151" s="29" t="n">
        <v>45961</v>
      </c>
      <c r="E151" t="n">
        <v>87</v>
      </c>
      <c r="F151" t="inlineStr">
        <is>
          <t>I63.9</t>
        </is>
      </c>
      <c r="G151" t="inlineStr">
        <is>
          <t>Cerebral infarction, unspecified</t>
        </is>
      </c>
      <c r="H151" s="30" t="n">
        <v>4.2</v>
      </c>
      <c r="I151" t="n">
        <v>7</v>
      </c>
      <c r="J151" s="31" t="n">
        <v>33948.19</v>
      </c>
      <c r="K151" s="32" t="n"/>
    </row>
    <row r="152">
      <c r="A152" t="inlineStr">
        <is>
          <t>ENC119514</t>
        </is>
      </c>
      <c r="B152" t="inlineStr">
        <is>
          <t>Medical-Surgical 4 West</t>
        </is>
      </c>
      <c r="C152" s="29" t="n">
        <v>45952</v>
      </c>
      <c r="D152" s="29" t="n">
        <v>45961</v>
      </c>
      <c r="E152" t="n">
        <v>96</v>
      </c>
      <c r="F152" t="inlineStr">
        <is>
          <t>J96.01</t>
        </is>
      </c>
      <c r="G152" t="inlineStr">
        <is>
          <t>Acute respiratory failure with hypoxia</t>
        </is>
      </c>
      <c r="H152" s="30" t="n">
        <v>4.8</v>
      </c>
      <c r="I152" t="n">
        <v>9</v>
      </c>
      <c r="J152" s="31" t="n">
        <v>101921.1</v>
      </c>
      <c r="K152" s="32" t="n"/>
    </row>
    <row r="153">
      <c r="A153" t="inlineStr">
        <is>
          <t>ENC119608</t>
        </is>
      </c>
      <c r="B153" t="inlineStr">
        <is>
          <t>Medical-Surgical 5 East</t>
        </is>
      </c>
      <c r="C153" s="29" t="n">
        <v>45956</v>
      </c>
      <c r="D153" s="29" t="n">
        <v>45961</v>
      </c>
      <c r="E153" t="n">
        <v>65</v>
      </c>
      <c r="F153" t="inlineStr">
        <is>
          <t>F10.239</t>
        </is>
      </c>
      <c r="G153" t="inlineStr">
        <is>
          <t>Alcohol dependence with withdrawal, unspecified</t>
        </is>
      </c>
      <c r="H153" s="30" t="n">
        <v>3.6</v>
      </c>
      <c r="I153" t="n">
        <v>5</v>
      </c>
      <c r="J153" s="31" t="n">
        <v>22252.29</v>
      </c>
      <c r="K153" s="32" t="n"/>
    </row>
    <row r="154">
      <c r="A154" t="inlineStr">
        <is>
          <t>ENC119479</t>
        </is>
      </c>
      <c r="B154" t="inlineStr">
        <is>
          <t>Medical-Surgical 4 West</t>
        </is>
      </c>
      <c r="C154" s="29" t="n">
        <v>45952</v>
      </c>
      <c r="D154" s="29" t="n">
        <v>45961</v>
      </c>
      <c r="E154" t="n">
        <v>56</v>
      </c>
      <c r="F154" t="inlineStr">
        <is>
          <t>J18.9</t>
        </is>
      </c>
      <c r="G154" t="inlineStr">
        <is>
          <t>Pneumonia, unspecified organism</t>
        </is>
      </c>
      <c r="H154" s="30" t="n">
        <v>3.9</v>
      </c>
      <c r="I154" t="n">
        <v>9</v>
      </c>
      <c r="J154" s="31" t="n">
        <v>21596.3</v>
      </c>
      <c r="K154" s="32" t="n"/>
    </row>
    <row r="155">
      <c r="A155" t="inlineStr">
        <is>
          <t>ENC119688</t>
        </is>
      </c>
      <c r="B155" t="inlineStr">
        <is>
          <t>Medical-Surgical 4 West</t>
        </is>
      </c>
      <c r="C155" s="29" t="n">
        <v>45959</v>
      </c>
      <c r="D155" s="29" t="n">
        <v>45962</v>
      </c>
      <c r="E155" t="n">
        <v>79</v>
      </c>
      <c r="F155" t="inlineStr">
        <is>
          <t>N17.9</t>
        </is>
      </c>
      <c r="G155" t="inlineStr">
        <is>
          <t>Acute kidney failure, unspecified</t>
        </is>
      </c>
      <c r="H155" s="30" t="n">
        <v>3.9</v>
      </c>
      <c r="I155" t="n">
        <v>3</v>
      </c>
      <c r="J155" s="31" t="n">
        <v>15183.01</v>
      </c>
      <c r="K155" s="32" t="n"/>
    </row>
    <row r="156">
      <c r="A156" t="inlineStr">
        <is>
          <t>ENC119581</t>
        </is>
      </c>
      <c r="B156" t="inlineStr">
        <is>
          <t>Oncology</t>
        </is>
      </c>
      <c r="C156" s="29" t="n">
        <v>45954</v>
      </c>
      <c r="D156" s="29" t="n">
        <v>45962</v>
      </c>
      <c r="E156" t="n">
        <v>62</v>
      </c>
      <c r="F156" t="inlineStr">
        <is>
          <t>D70.1</t>
        </is>
      </c>
      <c r="G156" t="inlineStr">
        <is>
          <t>Agranulocytosis secondary to cancer chemotherapy</t>
        </is>
      </c>
      <c r="H156" s="30" t="n">
        <v>4.5</v>
      </c>
      <c r="I156" t="n">
        <v>8</v>
      </c>
      <c r="J156" s="31" t="n">
        <v>24956.68</v>
      </c>
      <c r="K156" s="32" t="n"/>
    </row>
    <row r="157">
      <c r="A157" t="inlineStr">
        <is>
          <t>ENC119704</t>
        </is>
      </c>
      <c r="B157" t="inlineStr">
        <is>
          <t>Medical-Surgical 5 East</t>
        </is>
      </c>
      <c r="C157" s="29" t="n">
        <v>45959</v>
      </c>
      <c r="D157" s="29" t="n">
        <v>45962</v>
      </c>
      <c r="E157" t="n">
        <v>72</v>
      </c>
      <c r="F157" t="inlineStr">
        <is>
          <t>J44.1</t>
        </is>
      </c>
      <c r="G157" t="inlineStr">
        <is>
          <t>Chronic obstructive pulmonary disease with (acute) exacerbation</t>
        </is>
      </c>
      <c r="H157" s="30" t="n">
        <v>3.4</v>
      </c>
      <c r="I157" t="n">
        <v>3</v>
      </c>
      <c r="J157" s="31" t="n">
        <v>21626.53</v>
      </c>
      <c r="K157" s="32" t="n"/>
    </row>
    <row r="158">
      <c r="A158" t="inlineStr">
        <is>
          <t>ENC119695</t>
        </is>
      </c>
      <c r="B158" t="inlineStr">
        <is>
          <t>Labor &amp; Delivery</t>
        </is>
      </c>
      <c r="C158" s="29" t="n">
        <v>45959</v>
      </c>
      <c r="D158" s="29" t="n">
        <v>45962</v>
      </c>
      <c r="E158" t="n">
        <v>30</v>
      </c>
      <c r="F158" t="inlineStr">
        <is>
          <t>O82</t>
        </is>
      </c>
      <c r="G158" t="inlineStr">
        <is>
          <t>Encounter for cesarean delivery without indication</t>
        </is>
      </c>
      <c r="H158" s="30" t="n">
        <v>2.9</v>
      </c>
      <c r="I158" t="n">
        <v>3</v>
      </c>
      <c r="J158" s="31" t="n">
        <v>26543.02</v>
      </c>
      <c r="K158" s="32" t="n"/>
    </row>
    <row r="159">
      <c r="A159" t="inlineStr">
        <is>
          <t>ENC119762</t>
        </is>
      </c>
      <c r="B159" t="inlineStr">
        <is>
          <t>Cardiac Step-Down</t>
        </is>
      </c>
      <c r="C159" s="29" t="n">
        <v>45961</v>
      </c>
      <c r="D159" s="29" t="n">
        <v>45962</v>
      </c>
      <c r="E159" t="n">
        <v>70</v>
      </c>
      <c r="F159" t="inlineStr">
        <is>
          <t>I21.4</t>
        </is>
      </c>
      <c r="G159" t="inlineStr">
        <is>
          <t>Non-ST elevation (NSTEMI) myocardial infarction</t>
        </is>
      </c>
      <c r="H159" s="30" t="n">
        <v>3.4</v>
      </c>
      <c r="I159" t="n">
        <v>1</v>
      </c>
      <c r="J159" s="31" t="n">
        <v>60321.28</v>
      </c>
      <c r="K159" s="32" t="n"/>
    </row>
    <row r="160">
      <c r="A160" t="inlineStr">
        <is>
          <t>ENC119763</t>
        </is>
      </c>
      <c r="B160" t="inlineStr">
        <is>
          <t>Orthopedics &amp; Spine</t>
        </is>
      </c>
      <c r="C160" s="29" t="n">
        <v>45961</v>
      </c>
      <c r="D160" s="29" t="n">
        <v>45963</v>
      </c>
      <c r="E160" t="n">
        <v>81</v>
      </c>
      <c r="F160" t="inlineStr">
        <is>
          <t>M17.11</t>
        </is>
      </c>
      <c r="G160" t="inlineStr">
        <is>
          <t>Unilateral primary osteoarthritis, right knee</t>
        </is>
      </c>
      <c r="H160" s="30" t="n">
        <v>2</v>
      </c>
      <c r="I160" t="n">
        <v>2</v>
      </c>
      <c r="J160" s="31" t="n">
        <v>52881.07</v>
      </c>
      <c r="K160" s="32" t="n"/>
    </row>
    <row r="161">
      <c r="A161" t="inlineStr">
        <is>
          <t>ENC119778</t>
        </is>
      </c>
      <c r="B161" t="inlineStr">
        <is>
          <t>Medical-Surgical 4 West</t>
        </is>
      </c>
      <c r="C161" s="29" t="n">
        <v>45961</v>
      </c>
      <c r="D161" s="29" t="n">
        <v>45963</v>
      </c>
      <c r="E161" t="n">
        <v>43</v>
      </c>
      <c r="F161" t="inlineStr">
        <is>
          <t>F10.239</t>
        </is>
      </c>
      <c r="G161" t="inlineStr">
        <is>
          <t>Alcohol dependence with withdrawal, unspecified</t>
        </is>
      </c>
      <c r="H161" s="30" t="n">
        <v>3.6</v>
      </c>
      <c r="I161" t="n">
        <v>2</v>
      </c>
      <c r="J161" s="31" t="n">
        <v>7156.13</v>
      </c>
      <c r="K161" s="32" t="n"/>
    </row>
    <row r="162">
      <c r="A162" t="inlineStr">
        <is>
          <t>ENC119809</t>
        </is>
      </c>
      <c r="B162" t="inlineStr">
        <is>
          <t>Medical-Surgical 4 West</t>
        </is>
      </c>
      <c r="C162" s="29" t="n">
        <v>45962</v>
      </c>
      <c r="D162" s="29" t="n">
        <v>45963</v>
      </c>
      <c r="E162" t="n">
        <v>73</v>
      </c>
      <c r="F162" t="inlineStr">
        <is>
          <t>N17.9</t>
        </is>
      </c>
      <c r="G162" t="inlineStr">
        <is>
          <t>Acute kidney failure, unspecified</t>
        </is>
      </c>
      <c r="H162" s="30" t="n">
        <v>3.9</v>
      </c>
      <c r="I162" t="n">
        <v>1</v>
      </c>
      <c r="J162" s="31" t="n">
        <v>7066.93</v>
      </c>
      <c r="K162" s="32" t="n"/>
    </row>
    <row r="163">
      <c r="A163" t="inlineStr">
        <is>
          <t>ENC119701</t>
        </is>
      </c>
      <c r="B163" t="inlineStr">
        <is>
          <t>Labor &amp; Delivery</t>
        </is>
      </c>
      <c r="C163" s="29" t="n">
        <v>45959</v>
      </c>
      <c r="D163" s="29" t="n">
        <v>45963</v>
      </c>
      <c r="E163" t="n">
        <v>33</v>
      </c>
      <c r="F163" t="inlineStr">
        <is>
          <t>O80</t>
        </is>
      </c>
      <c r="G163" t="inlineStr">
        <is>
          <t>Encounter for full-term uncomplicated delivery</t>
        </is>
      </c>
      <c r="H163" s="30" t="n">
        <v>2</v>
      </c>
      <c r="I163" t="n">
        <v>4</v>
      </c>
      <c r="J163" s="31" t="n">
        <v>27649.6</v>
      </c>
      <c r="K163" s="32" t="n"/>
    </row>
    <row r="164">
      <c r="A164" t="inlineStr">
        <is>
          <t>ENC119685</t>
        </is>
      </c>
      <c r="B164" t="inlineStr">
        <is>
          <t>Medical-Surgical 5 East</t>
        </is>
      </c>
      <c r="C164" s="29" t="n">
        <v>45958</v>
      </c>
      <c r="D164" s="29" t="n">
        <v>45963</v>
      </c>
      <c r="E164" t="n">
        <v>69</v>
      </c>
      <c r="F164" t="inlineStr">
        <is>
          <t>K92.2</t>
        </is>
      </c>
      <c r="G164" t="inlineStr">
        <is>
          <t>Gastrointestinal hemorrhage, unspecified</t>
        </is>
      </c>
      <c r="H164" s="30" t="n">
        <v>3.5</v>
      </c>
      <c r="I164" t="n">
        <v>5</v>
      </c>
      <c r="J164" s="31" t="n">
        <v>18289.11</v>
      </c>
      <c r="K164" s="32" t="n"/>
    </row>
    <row r="165">
      <c r="A165" t="inlineStr">
        <is>
          <t>ENC119772</t>
        </is>
      </c>
      <c r="B165" t="inlineStr">
        <is>
          <t>Labor &amp; Delivery</t>
        </is>
      </c>
      <c r="C165" s="29" t="n">
        <v>45961</v>
      </c>
      <c r="D165" s="29" t="n">
        <v>45963</v>
      </c>
      <c r="E165" t="n">
        <v>43</v>
      </c>
      <c r="F165" t="inlineStr">
        <is>
          <t>O80</t>
        </is>
      </c>
      <c r="G165" t="inlineStr">
        <is>
          <t>Encounter for full-term uncomplicated delivery</t>
        </is>
      </c>
      <c r="H165" s="30" t="n">
        <v>2</v>
      </c>
      <c r="I165" t="n">
        <v>2</v>
      </c>
      <c r="J165" s="31" t="n">
        <v>16690.57</v>
      </c>
      <c r="K165" s="32" t="n"/>
    </row>
    <row r="166">
      <c r="A166" t="inlineStr">
        <is>
          <t>ENC119729</t>
        </is>
      </c>
      <c r="B166" t="inlineStr">
        <is>
          <t>Medical-Surgical 5 East</t>
        </is>
      </c>
      <c r="C166" s="29" t="n">
        <v>45960</v>
      </c>
      <c r="D166" s="29" t="n">
        <v>45963</v>
      </c>
      <c r="E166" t="n">
        <v>30</v>
      </c>
      <c r="F166" t="inlineStr">
        <is>
          <t>F10.239</t>
        </is>
      </c>
      <c r="G166" t="inlineStr">
        <is>
          <t>Alcohol dependence with withdrawal, unspecified</t>
        </is>
      </c>
      <c r="H166" s="30" t="n">
        <v>3.6</v>
      </c>
      <c r="I166" t="n">
        <v>3</v>
      </c>
      <c r="J166" s="31" t="n">
        <v>16541.44</v>
      </c>
      <c r="K166" s="32" t="n"/>
    </row>
    <row r="167">
      <c r="A167" t="inlineStr">
        <is>
          <t>ENC119628</t>
        </is>
      </c>
      <c r="B167" t="inlineStr">
        <is>
          <t>Medical-Surgical 5 East</t>
        </is>
      </c>
      <c r="C167" s="29" t="n">
        <v>45957</v>
      </c>
      <c r="D167" s="29" t="n">
        <v>45964</v>
      </c>
      <c r="E167" t="n">
        <v>63</v>
      </c>
      <c r="F167" t="inlineStr">
        <is>
          <t>A41.9</t>
        </is>
      </c>
      <c r="G167" t="inlineStr">
        <is>
          <t>Sepsis, unspecified organism</t>
        </is>
      </c>
      <c r="H167" s="30" t="n">
        <v>5</v>
      </c>
      <c r="I167" t="n">
        <v>7</v>
      </c>
      <c r="J167" s="31" t="n">
        <v>80936.42</v>
      </c>
      <c r="K167" s="32" t="n"/>
    </row>
    <row r="168">
      <c r="A168" t="inlineStr">
        <is>
          <t>ENC119595</t>
        </is>
      </c>
      <c r="B168" t="inlineStr">
        <is>
          <t>Intensive Care Unit</t>
        </is>
      </c>
      <c r="C168" s="29" t="n">
        <v>45955</v>
      </c>
      <c r="D168" s="29" t="n">
        <v>45964</v>
      </c>
      <c r="E168" t="n">
        <v>81</v>
      </c>
      <c r="F168" t="inlineStr">
        <is>
          <t>J96.01</t>
        </is>
      </c>
      <c r="G168" t="inlineStr">
        <is>
          <t>Acute respiratory failure with hypoxia</t>
        </is>
      </c>
      <c r="H168" s="30" t="n">
        <v>4.8</v>
      </c>
      <c r="I168" t="n">
        <v>9</v>
      </c>
      <c r="J168" s="31" t="n">
        <v>101532.82</v>
      </c>
      <c r="K168" s="32" t="n"/>
    </row>
    <row r="169">
      <c r="A169" t="inlineStr">
        <is>
          <t>ENC119684</t>
        </is>
      </c>
      <c r="B169" t="inlineStr">
        <is>
          <t>Cardiac Step-Down</t>
        </is>
      </c>
      <c r="C169" s="29" t="n">
        <v>45958</v>
      </c>
      <c r="D169" s="29" t="n">
        <v>45964</v>
      </c>
      <c r="E169" t="n">
        <v>68</v>
      </c>
      <c r="F169" t="inlineStr">
        <is>
          <t>I48.91</t>
        </is>
      </c>
      <c r="G169" t="inlineStr">
        <is>
          <t>Unspecified atrial fibrillation</t>
        </is>
      </c>
      <c r="H169" s="30" t="n">
        <v>2.9</v>
      </c>
      <c r="I169" t="n">
        <v>6</v>
      </c>
      <c r="J169" s="31" t="n">
        <v>38888.99</v>
      </c>
      <c r="K169" s="32" t="n"/>
    </row>
    <row r="170">
      <c r="A170" t="inlineStr">
        <is>
          <t>ENC119786</t>
        </is>
      </c>
      <c r="B170" t="inlineStr">
        <is>
          <t>Oncology</t>
        </is>
      </c>
      <c r="C170" s="29" t="n">
        <v>45961</v>
      </c>
      <c r="D170" s="29" t="n">
        <v>45964</v>
      </c>
      <c r="E170" t="n">
        <v>64</v>
      </c>
      <c r="F170" t="inlineStr">
        <is>
          <t>C34.90</t>
        </is>
      </c>
      <c r="G170" t="inlineStr">
        <is>
          <t>Malignant neoplasm of unspecified part of unspecified bronchus or lung</t>
        </is>
      </c>
      <c r="H170" s="30" t="n">
        <v>5</v>
      </c>
      <c r="I170" t="n">
        <v>3</v>
      </c>
      <c r="J170" s="31" t="n">
        <v>17056.46</v>
      </c>
      <c r="K170" s="32" t="n"/>
    </row>
    <row r="171">
      <c r="A171" t="inlineStr">
        <is>
          <t>ENC119620</t>
        </is>
      </c>
      <c r="B171" t="inlineStr">
        <is>
          <t>Medical-Surgical 4 West</t>
        </is>
      </c>
      <c r="C171" s="29" t="n">
        <v>45957</v>
      </c>
      <c r="D171" s="29" t="n">
        <v>45964</v>
      </c>
      <c r="E171" t="n">
        <v>87</v>
      </c>
      <c r="F171" t="inlineStr">
        <is>
          <t>J44.1</t>
        </is>
      </c>
      <c r="G171" t="inlineStr">
        <is>
          <t>Chronic obstructive pulmonary disease with (acute) exacerbation</t>
        </is>
      </c>
      <c r="H171" s="30" t="n">
        <v>3.4</v>
      </c>
      <c r="I171" t="n">
        <v>7</v>
      </c>
      <c r="J171" s="31" t="n">
        <v>30567.28</v>
      </c>
      <c r="K171" s="32" t="n"/>
    </row>
    <row r="172">
      <c r="A172" t="inlineStr">
        <is>
          <t>ENC119402</t>
        </is>
      </c>
      <c r="B172" t="inlineStr">
        <is>
          <t>Orthopedics &amp; Spine</t>
        </is>
      </c>
      <c r="C172" s="29" t="n">
        <v>45949</v>
      </c>
      <c r="D172" s="29" t="n">
        <v>45964</v>
      </c>
      <c r="E172" t="n">
        <v>85</v>
      </c>
      <c r="F172" t="inlineStr">
        <is>
          <t>S72.001A</t>
        </is>
      </c>
      <c r="G172" t="inlineStr">
        <is>
          <t>Fracture of unspecified part of neck of right femur, initial encounter</t>
        </is>
      </c>
      <c r="H172" s="30" t="n">
        <v>4.6</v>
      </c>
      <c r="I172" t="n">
        <v>15</v>
      </c>
      <c r="J172" s="31" t="n">
        <v>80643.50999999999</v>
      </c>
      <c r="K172" s="32" t="n"/>
    </row>
    <row r="173">
      <c r="A173" t="inlineStr">
        <is>
          <t>ENC119603</t>
        </is>
      </c>
      <c r="B173" t="inlineStr">
        <is>
          <t>Neuroscience &amp; Stroke</t>
        </is>
      </c>
      <c r="C173" s="29" t="n">
        <v>45956</v>
      </c>
      <c r="D173" s="29" t="n">
        <v>45964</v>
      </c>
      <c r="E173" t="n">
        <v>69</v>
      </c>
      <c r="F173" t="inlineStr">
        <is>
          <t>I63.9</t>
        </is>
      </c>
      <c r="G173" t="inlineStr">
        <is>
          <t>Cerebral infarction, unspecified</t>
        </is>
      </c>
      <c r="H173" s="30" t="n">
        <v>4.2</v>
      </c>
      <c r="I173" t="n">
        <v>8</v>
      </c>
      <c r="J173" s="31" t="n">
        <v>39743.28</v>
      </c>
      <c r="K173" s="32" t="n"/>
    </row>
    <row r="174">
      <c r="A174" t="inlineStr">
        <is>
          <t>ENC119751</t>
        </is>
      </c>
      <c r="B174" t="inlineStr">
        <is>
          <t>Medical-Surgical 5 East</t>
        </is>
      </c>
      <c r="C174" s="29" t="n">
        <v>45960</v>
      </c>
      <c r="D174" s="29" t="n">
        <v>45965</v>
      </c>
      <c r="E174" t="n">
        <v>42</v>
      </c>
      <c r="F174" t="inlineStr">
        <is>
          <t>N39.0</t>
        </is>
      </c>
      <c r="G174" t="inlineStr">
        <is>
          <t>Urinary tract infection, site not specified</t>
        </is>
      </c>
      <c r="H174" s="30" t="n">
        <v>3.1</v>
      </c>
      <c r="I174" t="n">
        <v>5</v>
      </c>
      <c r="J174" s="31" t="n">
        <v>18623.01</v>
      </c>
      <c r="K174" s="32" t="n"/>
    </row>
    <row r="175">
      <c r="A175" t="inlineStr">
        <is>
          <t>ENC119797</t>
        </is>
      </c>
      <c r="B175" t="inlineStr">
        <is>
          <t>Cardiac Step-Down</t>
        </is>
      </c>
      <c r="C175" s="29" t="n">
        <v>45961</v>
      </c>
      <c r="D175" s="29" t="n">
        <v>45965</v>
      </c>
      <c r="E175" t="n">
        <v>91</v>
      </c>
      <c r="F175" t="inlineStr">
        <is>
          <t>I50.9</t>
        </is>
      </c>
      <c r="G175" t="inlineStr">
        <is>
          <t>Heart failure, unspecified</t>
        </is>
      </c>
      <c r="H175" s="30" t="n">
        <v>4.1</v>
      </c>
      <c r="I175" t="n">
        <v>4</v>
      </c>
      <c r="J175" s="31" t="n">
        <v>32507.94</v>
      </c>
      <c r="K175" s="32" t="n"/>
    </row>
    <row r="176">
      <c r="A176" t="inlineStr">
        <is>
          <t>ENC119833</t>
        </is>
      </c>
      <c r="B176" t="inlineStr">
        <is>
          <t>Medical-Surgical 5 East</t>
        </is>
      </c>
      <c r="C176" s="29" t="n">
        <v>45964</v>
      </c>
      <c r="D176" s="29" t="n">
        <v>45966</v>
      </c>
      <c r="E176" t="n">
        <v>68</v>
      </c>
      <c r="F176" t="inlineStr">
        <is>
          <t>N17.9</t>
        </is>
      </c>
      <c r="G176" t="inlineStr">
        <is>
          <t>Acute kidney failure, unspecified</t>
        </is>
      </c>
      <c r="H176" s="30" t="n">
        <v>3.9</v>
      </c>
      <c r="I176" t="n">
        <v>2</v>
      </c>
      <c r="J176" s="31" t="n">
        <v>15131.96</v>
      </c>
      <c r="K176" s="32" t="n"/>
    </row>
    <row r="177">
      <c r="A177" t="inlineStr">
        <is>
          <t>ENC119728</t>
        </is>
      </c>
      <c r="B177" t="inlineStr">
        <is>
          <t>Medical-Surgical 5 East</t>
        </is>
      </c>
      <c r="C177" s="29" t="n">
        <v>45960</v>
      </c>
      <c r="D177" s="29" t="n">
        <v>45966</v>
      </c>
      <c r="E177" t="n">
        <v>65</v>
      </c>
      <c r="F177" t="inlineStr">
        <is>
          <t>F10.239</t>
        </is>
      </c>
      <c r="G177" t="inlineStr">
        <is>
          <t>Alcohol dependence with withdrawal, unspecified</t>
        </is>
      </c>
      <c r="H177" s="30" t="n">
        <v>3.6</v>
      </c>
      <c r="I177" t="n">
        <v>6</v>
      </c>
      <c r="J177" s="31" t="n">
        <v>33754.39</v>
      </c>
      <c r="K177" s="32" t="n"/>
    </row>
    <row r="178">
      <c r="A178" t="inlineStr">
        <is>
          <t>ENC119759</t>
        </is>
      </c>
      <c r="B178" t="inlineStr">
        <is>
          <t>Intensive Care Unit</t>
        </is>
      </c>
      <c r="C178" s="29" t="n">
        <v>45961</v>
      </c>
      <c r="D178" s="29" t="n">
        <v>45966</v>
      </c>
      <c r="E178" t="n">
        <v>19</v>
      </c>
      <c r="F178" t="inlineStr">
        <is>
          <t>A41.9</t>
        </is>
      </c>
      <c r="G178" t="inlineStr">
        <is>
          <t>Sepsis, unspecified organism</t>
        </is>
      </c>
      <c r="H178" s="30" t="n">
        <v>5</v>
      </c>
      <c r="I178" t="n">
        <v>5</v>
      </c>
      <c r="J178" s="31" t="n">
        <v>55119.67</v>
      </c>
      <c r="K178" s="32" t="n"/>
    </row>
    <row r="179">
      <c r="A179" t="inlineStr">
        <is>
          <t>ENC119805</t>
        </is>
      </c>
      <c r="B179" t="inlineStr">
        <is>
          <t>Medical-Surgical 5 East</t>
        </is>
      </c>
      <c r="C179" s="29" t="n">
        <v>45962</v>
      </c>
      <c r="D179" s="29" t="n">
        <v>45966</v>
      </c>
      <c r="E179" t="n">
        <v>54</v>
      </c>
      <c r="F179" t="inlineStr">
        <is>
          <t>U07.1</t>
        </is>
      </c>
      <c r="G179" t="inlineStr">
        <is>
          <t>COVID-19</t>
        </is>
      </c>
      <c r="H179" s="30" t="n">
        <v>4.4</v>
      </c>
      <c r="I179" t="n">
        <v>4</v>
      </c>
      <c r="J179" s="31" t="n">
        <v>15742.42</v>
      </c>
      <c r="K179" s="32" t="n"/>
    </row>
    <row r="180">
      <c r="A180" t="inlineStr">
        <is>
          <t>ENC119824</t>
        </is>
      </c>
      <c r="B180" t="inlineStr">
        <is>
          <t>Medical-Surgical 4 West</t>
        </is>
      </c>
      <c r="C180" s="29" t="n">
        <v>45963</v>
      </c>
      <c r="D180" s="29" t="n">
        <v>45966</v>
      </c>
      <c r="E180" t="n">
        <v>70</v>
      </c>
      <c r="F180" t="inlineStr">
        <is>
          <t>A41.9</t>
        </is>
      </c>
      <c r="G180" t="inlineStr">
        <is>
          <t>Sepsis, unspecified organism</t>
        </is>
      </c>
      <c r="H180" s="30" t="n">
        <v>5</v>
      </c>
      <c r="I180" t="n">
        <v>3</v>
      </c>
      <c r="J180" s="31" t="n">
        <v>41999.67</v>
      </c>
      <c r="K180" s="32" t="n"/>
    </row>
    <row r="181">
      <c r="A181" t="inlineStr">
        <is>
          <t>ENC119835</t>
        </is>
      </c>
      <c r="B181" t="inlineStr">
        <is>
          <t>Labor &amp; Delivery</t>
        </is>
      </c>
      <c r="C181" s="29" t="n">
        <v>45964</v>
      </c>
      <c r="D181" s="29" t="n">
        <v>45967</v>
      </c>
      <c r="E181" t="n">
        <v>39</v>
      </c>
      <c r="F181" t="inlineStr">
        <is>
          <t>O82</t>
        </is>
      </c>
      <c r="G181" t="inlineStr">
        <is>
          <t>Encounter for cesarean delivery without indication</t>
        </is>
      </c>
      <c r="H181" s="30" t="n">
        <v>2.9</v>
      </c>
      <c r="I181" t="n">
        <v>3</v>
      </c>
      <c r="J181" s="31" t="n">
        <v>25888.75</v>
      </c>
      <c r="K181" s="32" t="n"/>
    </row>
    <row r="182">
      <c r="A182" t="inlineStr">
        <is>
          <t>ENC119875</t>
        </is>
      </c>
      <c r="B182" t="inlineStr">
        <is>
          <t>Orthopedics &amp; Spine</t>
        </is>
      </c>
      <c r="C182" s="29" t="n">
        <v>45965</v>
      </c>
      <c r="D182" s="29" t="n">
        <v>45967</v>
      </c>
      <c r="E182" t="n">
        <v>69</v>
      </c>
      <c r="F182" t="inlineStr">
        <is>
          <t>M16.11</t>
        </is>
      </c>
      <c r="G182" t="inlineStr">
        <is>
          <t>Unilateral primary osteoarthritis, right hip</t>
        </is>
      </c>
      <c r="H182" s="30" t="n">
        <v>2.1</v>
      </c>
      <c r="I182" t="n">
        <v>2</v>
      </c>
      <c r="J182" s="31" t="n">
        <v>61626.4</v>
      </c>
      <c r="K182" s="32" t="n"/>
    </row>
    <row r="183">
      <c r="A183" t="inlineStr">
        <is>
          <t>ENC119694</t>
        </is>
      </c>
      <c r="B183" t="inlineStr">
        <is>
          <t>Medical-Surgical 4 West</t>
        </is>
      </c>
      <c r="C183" s="29" t="n">
        <v>45959</v>
      </c>
      <c r="D183" s="29" t="n">
        <v>45967</v>
      </c>
      <c r="E183" t="n">
        <v>90</v>
      </c>
      <c r="F183" t="inlineStr">
        <is>
          <t>N17.9</t>
        </is>
      </c>
      <c r="G183" t="inlineStr">
        <is>
          <t>Acute kidney failure, unspecified</t>
        </is>
      </c>
      <c r="H183" s="30" t="n">
        <v>3.9</v>
      </c>
      <c r="I183" t="n">
        <v>8</v>
      </c>
      <c r="J183" s="31" t="n">
        <v>26274.46</v>
      </c>
      <c r="K183" s="32" t="n"/>
    </row>
    <row r="184">
      <c r="A184" t="inlineStr">
        <is>
          <t>ENC119821</t>
        </is>
      </c>
      <c r="B184" t="inlineStr">
        <is>
          <t>Medical-Surgical 5 East</t>
        </is>
      </c>
      <c r="C184" s="29" t="n">
        <v>45963</v>
      </c>
      <c r="D184" s="29" t="n">
        <v>45967</v>
      </c>
      <c r="E184" t="n">
        <v>68</v>
      </c>
      <c r="F184" t="inlineStr">
        <is>
          <t>F10.239</t>
        </is>
      </c>
      <c r="G184" t="inlineStr">
        <is>
          <t>Alcohol dependence with withdrawal, unspecified</t>
        </is>
      </c>
      <c r="H184" s="30" t="n">
        <v>3.6</v>
      </c>
      <c r="I184" t="n">
        <v>4</v>
      </c>
      <c r="J184" s="31" t="n">
        <v>16614</v>
      </c>
      <c r="K184" s="32" t="n"/>
    </row>
    <row r="185">
      <c r="A185" t="inlineStr">
        <is>
          <t>ENC119839</t>
        </is>
      </c>
      <c r="B185" t="inlineStr">
        <is>
          <t>Medical-Surgical 4 West</t>
        </is>
      </c>
      <c r="C185" s="29" t="n">
        <v>45964</v>
      </c>
      <c r="D185" s="29" t="n">
        <v>45967</v>
      </c>
      <c r="E185" t="n">
        <v>75</v>
      </c>
      <c r="F185" t="inlineStr">
        <is>
          <t>J44.1</t>
        </is>
      </c>
      <c r="G185" t="inlineStr">
        <is>
          <t>Chronic obstructive pulmonary disease with (acute) exacerbation</t>
        </is>
      </c>
      <c r="H185" s="30" t="n">
        <v>3.4</v>
      </c>
      <c r="I185" t="n">
        <v>3</v>
      </c>
      <c r="J185" s="31" t="n">
        <v>16573.8</v>
      </c>
      <c r="K185" s="32" t="n"/>
    </row>
    <row r="186">
      <c r="A186" t="inlineStr">
        <is>
          <t>ENC119829</t>
        </is>
      </c>
      <c r="B186" t="inlineStr">
        <is>
          <t>Cardiac Step-Down</t>
        </is>
      </c>
      <c r="C186" s="29" t="n">
        <v>45964</v>
      </c>
      <c r="D186" s="29" t="n">
        <v>45967</v>
      </c>
      <c r="E186" t="n">
        <v>78</v>
      </c>
      <c r="F186" t="inlineStr">
        <is>
          <t>I48.91</t>
        </is>
      </c>
      <c r="G186" t="inlineStr">
        <is>
          <t>Unspecified atrial fibrillation</t>
        </is>
      </c>
      <c r="H186" s="30" t="n">
        <v>2.9</v>
      </c>
      <c r="I186" t="n">
        <v>3</v>
      </c>
      <c r="J186" s="31" t="n">
        <v>24408.5</v>
      </c>
      <c r="K186" s="32" t="n"/>
    </row>
    <row r="187">
      <c r="A187" t="inlineStr">
        <is>
          <t>ENC119980</t>
        </is>
      </c>
      <c r="B187" t="inlineStr">
        <is>
          <t>Cardiac Step-Down</t>
        </is>
      </c>
      <c r="C187" s="29" t="n">
        <v>45967</v>
      </c>
      <c r="D187" s="29" t="n">
        <v>45968</v>
      </c>
      <c r="E187" t="n">
        <v>54</v>
      </c>
      <c r="F187" t="inlineStr">
        <is>
          <t>I21.4</t>
        </is>
      </c>
      <c r="G187" t="inlineStr">
        <is>
          <t>Non-ST elevation (NSTEMI) myocardial infarction</t>
        </is>
      </c>
      <c r="H187" s="30" t="n">
        <v>3.4</v>
      </c>
      <c r="I187" t="n">
        <v>1</v>
      </c>
      <c r="J187" s="31" t="n">
        <v>28784.08</v>
      </c>
      <c r="K187" s="32" t="n"/>
    </row>
    <row r="188">
      <c r="A188" t="inlineStr">
        <is>
          <t>ENC119914</t>
        </is>
      </c>
      <c r="B188" t="inlineStr">
        <is>
          <t>Medical-Surgical 4 West</t>
        </is>
      </c>
      <c r="C188" s="29" t="n">
        <v>45966</v>
      </c>
      <c r="D188" s="29" t="n">
        <v>45968</v>
      </c>
      <c r="E188" t="n">
        <v>51</v>
      </c>
      <c r="F188" t="inlineStr">
        <is>
          <t>K35.80</t>
        </is>
      </c>
      <c r="G188" t="inlineStr">
        <is>
          <t>Unspecified acute appendicitis</t>
        </is>
      </c>
      <c r="H188" s="30" t="n">
        <v>2</v>
      </c>
      <c r="I188" t="n">
        <v>2</v>
      </c>
      <c r="J188" s="31" t="n">
        <v>37229.25</v>
      </c>
      <c r="K188" s="32" t="n"/>
    </row>
    <row r="189">
      <c r="A189" t="inlineStr">
        <is>
          <t>ENC119739</t>
        </is>
      </c>
      <c r="B189" t="inlineStr">
        <is>
          <t>Oncology</t>
        </is>
      </c>
      <c r="C189" s="29" t="n">
        <v>45960</v>
      </c>
      <c r="D189" s="29" t="n">
        <v>45968</v>
      </c>
      <c r="E189" t="n">
        <v>64</v>
      </c>
      <c r="F189" t="inlineStr">
        <is>
          <t>C34.90</t>
        </is>
      </c>
      <c r="G189" t="inlineStr">
        <is>
          <t>Malignant neoplasm of unspecified part of unspecified bronchus or lung</t>
        </is>
      </c>
      <c r="H189" s="30" t="n">
        <v>5</v>
      </c>
      <c r="I189" t="n">
        <v>8</v>
      </c>
      <c r="J189" s="31" t="n">
        <v>27284.74</v>
      </c>
      <c r="K189" s="32" t="n"/>
    </row>
    <row r="190">
      <c r="A190" t="inlineStr">
        <is>
          <t>ENC119900</t>
        </is>
      </c>
      <c r="B190" t="inlineStr">
        <is>
          <t>Labor &amp; Delivery</t>
        </is>
      </c>
      <c r="C190" s="29" t="n">
        <v>45965</v>
      </c>
      <c r="D190" s="29" t="n">
        <v>45968</v>
      </c>
      <c r="E190" t="n">
        <v>32</v>
      </c>
      <c r="F190" t="inlineStr">
        <is>
          <t>O82</t>
        </is>
      </c>
      <c r="G190" t="inlineStr">
        <is>
          <t>Encounter for cesarean delivery without indication</t>
        </is>
      </c>
      <c r="H190" s="30" t="n">
        <v>2.9</v>
      </c>
      <c r="I190" t="n">
        <v>3</v>
      </c>
      <c r="J190" s="31" t="n">
        <v>26595.44</v>
      </c>
      <c r="K190" s="32" t="n"/>
    </row>
    <row r="191">
      <c r="A191" t="inlineStr">
        <is>
          <t>ENC119953</t>
        </is>
      </c>
      <c r="B191" t="inlineStr">
        <is>
          <t>Labor &amp; Delivery</t>
        </is>
      </c>
      <c r="C191" s="29" t="n">
        <v>45966</v>
      </c>
      <c r="D191" s="29" t="n">
        <v>45968</v>
      </c>
      <c r="E191" t="n">
        <v>20</v>
      </c>
      <c r="F191" t="inlineStr">
        <is>
          <t>O80</t>
        </is>
      </c>
      <c r="G191" t="inlineStr">
        <is>
          <t>Encounter for full-term uncomplicated delivery</t>
        </is>
      </c>
      <c r="H191" s="30" t="n">
        <v>2</v>
      </c>
      <c r="I191" t="n">
        <v>2</v>
      </c>
      <c r="J191" s="31" t="n">
        <v>19295.99</v>
      </c>
      <c r="K191" s="32" t="n"/>
    </row>
    <row r="192">
      <c r="A192" t="inlineStr">
        <is>
          <t>ENC119951</t>
        </is>
      </c>
      <c r="B192" t="inlineStr">
        <is>
          <t>Labor &amp; Delivery</t>
        </is>
      </c>
      <c r="C192" s="29" t="n">
        <v>45966</v>
      </c>
      <c r="D192" s="29" t="n">
        <v>45968</v>
      </c>
      <c r="E192" t="n">
        <v>34</v>
      </c>
      <c r="F192" t="inlineStr">
        <is>
          <t>O80</t>
        </is>
      </c>
      <c r="G192" t="inlineStr">
        <is>
          <t>Encounter for full-term uncomplicated delivery</t>
        </is>
      </c>
      <c r="H192" s="30" t="n">
        <v>2</v>
      </c>
      <c r="I192" t="n">
        <v>2</v>
      </c>
      <c r="J192" s="31" t="n">
        <v>11939.37</v>
      </c>
      <c r="K192" s="32" t="n"/>
    </row>
    <row r="193">
      <c r="A193" t="inlineStr">
        <is>
          <t>ENC119919</t>
        </is>
      </c>
      <c r="B193" t="inlineStr">
        <is>
          <t>Medical-Surgical 4 West</t>
        </is>
      </c>
      <c r="C193" s="29" t="n">
        <v>45966</v>
      </c>
      <c r="D193" s="29" t="n">
        <v>45968</v>
      </c>
      <c r="E193" t="n">
        <v>99</v>
      </c>
      <c r="F193" t="inlineStr">
        <is>
          <t>K92.2</t>
        </is>
      </c>
      <c r="G193" t="inlineStr">
        <is>
          <t>Gastrointestinal hemorrhage, unspecified</t>
        </is>
      </c>
      <c r="H193" s="30" t="n">
        <v>3.5</v>
      </c>
      <c r="I193" t="n">
        <v>2</v>
      </c>
      <c r="J193" s="31" t="n">
        <v>11746.79</v>
      </c>
      <c r="K193" s="32" t="n"/>
    </row>
    <row r="194">
      <c r="A194" t="inlineStr">
        <is>
          <t>ENC119935</t>
        </is>
      </c>
      <c r="B194" t="inlineStr">
        <is>
          <t>Medical-Surgical 5 East</t>
        </is>
      </c>
      <c r="C194" s="29" t="n">
        <v>45966</v>
      </c>
      <c r="D194" s="29" t="n">
        <v>45969</v>
      </c>
      <c r="E194" t="n">
        <v>52</v>
      </c>
      <c r="F194" t="inlineStr">
        <is>
          <t>J44.1</t>
        </is>
      </c>
      <c r="G194" t="inlineStr">
        <is>
          <t>Chronic obstructive pulmonary disease with (acute) exacerbation</t>
        </is>
      </c>
      <c r="H194" s="30" t="n">
        <v>3.4</v>
      </c>
      <c r="I194" t="n">
        <v>3</v>
      </c>
      <c r="J194" s="31" t="n">
        <v>18401.93</v>
      </c>
      <c r="K194" s="32" t="n"/>
    </row>
    <row r="195">
      <c r="A195" t="inlineStr">
        <is>
          <t>ENC119834</t>
        </is>
      </c>
      <c r="B195" t="inlineStr">
        <is>
          <t>Neuroscience &amp; Stroke</t>
        </is>
      </c>
      <c r="C195" s="29" t="n">
        <v>45964</v>
      </c>
      <c r="D195" s="29" t="n">
        <v>45969</v>
      </c>
      <c r="E195" t="n">
        <v>82</v>
      </c>
      <c r="F195" t="inlineStr">
        <is>
          <t>I63.9</t>
        </is>
      </c>
      <c r="G195" t="inlineStr">
        <is>
          <t>Cerebral infarction, unspecified</t>
        </is>
      </c>
      <c r="H195" s="30" t="n">
        <v>4.2</v>
      </c>
      <c r="I195" t="n">
        <v>5</v>
      </c>
      <c r="J195" s="31" t="n">
        <v>28168.53</v>
      </c>
      <c r="K195" s="32" t="n"/>
    </row>
    <row r="196">
      <c r="A196" t="inlineStr">
        <is>
          <t>ENC119836</t>
        </is>
      </c>
      <c r="B196" t="inlineStr">
        <is>
          <t>Medical-Surgical 5 East</t>
        </is>
      </c>
      <c r="C196" s="29" t="n">
        <v>45964</v>
      </c>
      <c r="D196" s="29" t="n">
        <v>45969</v>
      </c>
      <c r="E196" t="n">
        <v>77</v>
      </c>
      <c r="F196" t="inlineStr">
        <is>
          <t>K92.2</t>
        </is>
      </c>
      <c r="G196" t="inlineStr">
        <is>
          <t>Gastrointestinal hemorrhage, unspecified</t>
        </is>
      </c>
      <c r="H196" s="30" t="n">
        <v>3.5</v>
      </c>
      <c r="I196" t="n">
        <v>5</v>
      </c>
      <c r="J196" s="31" t="n">
        <v>21629.92</v>
      </c>
      <c r="K196" s="32" t="n"/>
    </row>
    <row r="197">
      <c r="A197" t="inlineStr">
        <is>
          <t>ENC119978</t>
        </is>
      </c>
      <c r="B197" t="inlineStr">
        <is>
          <t>Medical-Surgical 5 East</t>
        </is>
      </c>
      <c r="C197" s="29" t="n">
        <v>45967</v>
      </c>
      <c r="D197" s="29" t="n">
        <v>45970</v>
      </c>
      <c r="E197" t="n">
        <v>18</v>
      </c>
      <c r="F197" t="inlineStr">
        <is>
          <t>N39.0</t>
        </is>
      </c>
      <c r="G197" t="inlineStr">
        <is>
          <t>Urinary tract infection, site not specified</t>
        </is>
      </c>
      <c r="H197" s="30" t="n">
        <v>3.1</v>
      </c>
      <c r="I197" t="n">
        <v>3</v>
      </c>
      <c r="J197" s="31" t="n">
        <v>12617.53</v>
      </c>
      <c r="K197" s="32" t="n"/>
    </row>
    <row r="198">
      <c r="A198" t="inlineStr">
        <is>
          <t>ENC119912</t>
        </is>
      </c>
      <c r="B198" t="inlineStr">
        <is>
          <t>Labor &amp; Delivery</t>
        </is>
      </c>
      <c r="C198" s="29" t="n">
        <v>45966</v>
      </c>
      <c r="D198" s="29" t="n">
        <v>45970</v>
      </c>
      <c r="E198" t="n">
        <v>23</v>
      </c>
      <c r="F198" t="inlineStr">
        <is>
          <t>O82</t>
        </is>
      </c>
      <c r="G198" t="inlineStr">
        <is>
          <t>Encounter for cesarean delivery without indication</t>
        </is>
      </c>
      <c r="H198" s="30" t="n">
        <v>2.9</v>
      </c>
      <c r="I198" t="n">
        <v>4</v>
      </c>
      <c r="J198" s="31" t="n">
        <v>38058.49</v>
      </c>
      <c r="K198" s="32" t="n"/>
    </row>
    <row r="199">
      <c r="A199" t="inlineStr">
        <is>
          <t>ENC119718</t>
        </is>
      </c>
      <c r="B199" t="inlineStr">
        <is>
          <t>Neuroscience &amp; Stroke</t>
        </is>
      </c>
      <c r="C199" s="29" t="n">
        <v>45959</v>
      </c>
      <c r="D199" s="29" t="n">
        <v>45970</v>
      </c>
      <c r="E199" t="n">
        <v>68</v>
      </c>
      <c r="F199" t="inlineStr">
        <is>
          <t>I63.9</t>
        </is>
      </c>
      <c r="G199" t="inlineStr">
        <is>
          <t>Cerebral infarction, unspecified</t>
        </is>
      </c>
      <c r="H199" s="30" t="n">
        <v>4.2</v>
      </c>
      <c r="I199" t="n">
        <v>11</v>
      </c>
      <c r="J199" s="31" t="n">
        <v>64673.13</v>
      </c>
      <c r="K199" s="32" t="n"/>
    </row>
    <row r="200">
      <c r="A200" t="inlineStr">
        <is>
          <t>ENC119945</t>
        </is>
      </c>
      <c r="B200" t="inlineStr">
        <is>
          <t>Labor &amp; Delivery</t>
        </is>
      </c>
      <c r="C200" s="29" t="n">
        <v>45966</v>
      </c>
      <c r="D200" s="29" t="n">
        <v>45970</v>
      </c>
      <c r="E200" t="n">
        <v>36</v>
      </c>
      <c r="F200" t="inlineStr">
        <is>
          <t>O82</t>
        </is>
      </c>
      <c r="G200" t="inlineStr">
        <is>
          <t>Encounter for cesarean delivery without indication</t>
        </is>
      </c>
      <c r="H200" s="30" t="n">
        <v>2.9</v>
      </c>
      <c r="I200" t="n">
        <v>4</v>
      </c>
      <c r="J200" s="31" t="n">
        <v>32545.21</v>
      </c>
      <c r="K200" s="32" t="n"/>
    </row>
    <row r="201">
      <c r="A201" t="inlineStr">
        <is>
          <t>ENC119938</t>
        </is>
      </c>
      <c r="B201" t="inlineStr">
        <is>
          <t>Medical-Surgical 5 East</t>
        </is>
      </c>
      <c r="C201" s="29" t="n">
        <v>45966</v>
      </c>
      <c r="D201" s="29" t="n">
        <v>45970</v>
      </c>
      <c r="E201" t="n">
        <v>83</v>
      </c>
      <c r="F201" t="inlineStr">
        <is>
          <t>J18.9</t>
        </is>
      </c>
      <c r="G201" t="inlineStr">
        <is>
          <t>Pneumonia, unspecified organism</t>
        </is>
      </c>
      <c r="H201" s="30" t="n">
        <v>3.9</v>
      </c>
      <c r="I201" t="n">
        <v>4</v>
      </c>
      <c r="J201" s="31" t="n">
        <v>15573.26</v>
      </c>
      <c r="K201" s="32" t="n"/>
    </row>
    <row r="202">
      <c r="A202" t="inlineStr">
        <is>
          <t>ENC120005</t>
        </is>
      </c>
      <c r="B202" t="inlineStr">
        <is>
          <t>Medical-Surgical 4 West</t>
        </is>
      </c>
      <c r="C202" s="29" t="n">
        <v>45968</v>
      </c>
      <c r="D202" s="29" t="n">
        <v>45971</v>
      </c>
      <c r="E202" t="n">
        <v>46</v>
      </c>
      <c r="F202" t="inlineStr">
        <is>
          <t>J44.1</t>
        </is>
      </c>
      <c r="G202" t="inlineStr">
        <is>
          <t>Chronic obstructive pulmonary disease with (acute) exacerbation</t>
        </is>
      </c>
      <c r="H202" s="30" t="n">
        <v>3.4</v>
      </c>
      <c r="I202" t="n">
        <v>3</v>
      </c>
      <c r="J202" s="31" t="n">
        <v>17647.18</v>
      </c>
      <c r="K202" s="32" t="n"/>
    </row>
    <row r="203">
      <c r="A203" t="inlineStr">
        <is>
          <t>ENC119916</t>
        </is>
      </c>
      <c r="B203" t="inlineStr">
        <is>
          <t>Labor &amp; Delivery</t>
        </is>
      </c>
      <c r="C203" s="29" t="n">
        <v>45966</v>
      </c>
      <c r="D203" s="29" t="n">
        <v>45971</v>
      </c>
      <c r="E203" t="n">
        <v>41</v>
      </c>
      <c r="F203" t="inlineStr">
        <is>
          <t>O82</t>
        </is>
      </c>
      <c r="G203" t="inlineStr">
        <is>
          <t>Encounter for cesarean delivery without indication</t>
        </is>
      </c>
      <c r="H203" s="30" t="n">
        <v>2.9</v>
      </c>
      <c r="I203" t="n">
        <v>5</v>
      </c>
      <c r="J203" s="31" t="n">
        <v>32986.86</v>
      </c>
      <c r="K203" s="32" t="n"/>
    </row>
    <row r="204">
      <c r="A204" t="inlineStr">
        <is>
          <t>ENC119994</t>
        </is>
      </c>
      <c r="B204" t="inlineStr">
        <is>
          <t>Oncology</t>
        </is>
      </c>
      <c r="C204" s="29" t="n">
        <v>45968</v>
      </c>
      <c r="D204" s="29" t="n">
        <v>45971</v>
      </c>
      <c r="E204" t="n">
        <v>47</v>
      </c>
      <c r="F204" t="inlineStr">
        <is>
          <t>D70.1</t>
        </is>
      </c>
      <c r="G204" t="inlineStr">
        <is>
          <t>Agranulocytosis secondary to cancer chemotherapy</t>
        </is>
      </c>
      <c r="H204" s="30" t="n">
        <v>4.5</v>
      </c>
      <c r="I204" t="n">
        <v>3</v>
      </c>
      <c r="J204" s="31" t="n">
        <v>19715.84</v>
      </c>
      <c r="K204" s="32" t="n"/>
    </row>
    <row r="205">
      <c r="A205" t="inlineStr">
        <is>
          <t>ENC120035</t>
        </is>
      </c>
      <c r="B205" t="inlineStr">
        <is>
          <t>Cardiac Step-Down</t>
        </is>
      </c>
      <c r="C205" s="29" t="n">
        <v>45970</v>
      </c>
      <c r="D205" s="29" t="n">
        <v>45971</v>
      </c>
      <c r="E205" t="n">
        <v>65</v>
      </c>
      <c r="F205" t="inlineStr">
        <is>
          <t>I48.91</t>
        </is>
      </c>
      <c r="G205" t="inlineStr">
        <is>
          <t>Unspecified atrial fibrillation</t>
        </is>
      </c>
      <c r="H205" s="30" t="n">
        <v>2.9</v>
      </c>
      <c r="I205" t="n">
        <v>1</v>
      </c>
      <c r="J205" s="31" t="n">
        <v>7000.75</v>
      </c>
      <c r="K205" s="32" t="n"/>
    </row>
    <row r="206">
      <c r="A206" t="inlineStr">
        <is>
          <t>ENC119920</t>
        </is>
      </c>
      <c r="B206" t="inlineStr">
        <is>
          <t>Medical-Surgical 4 West</t>
        </is>
      </c>
      <c r="C206" s="29" t="n">
        <v>45966</v>
      </c>
      <c r="D206" s="29" t="n">
        <v>45971</v>
      </c>
      <c r="E206" t="n">
        <v>40</v>
      </c>
      <c r="F206" t="inlineStr">
        <is>
          <t>A41.9</t>
        </is>
      </c>
      <c r="G206" t="inlineStr">
        <is>
          <t>Sepsis, unspecified organism</t>
        </is>
      </c>
      <c r="H206" s="30" t="n">
        <v>5</v>
      </c>
      <c r="I206" t="n">
        <v>5</v>
      </c>
      <c r="J206" s="31" t="n">
        <v>44838.88</v>
      </c>
      <c r="K206" s="32" t="n"/>
    </row>
    <row r="207">
      <c r="A207" t="inlineStr">
        <is>
          <t>ENC120008</t>
        </is>
      </c>
      <c r="B207" t="inlineStr">
        <is>
          <t>Cardiac Step-Down</t>
        </is>
      </c>
      <c r="C207" s="29" t="n">
        <v>45968</v>
      </c>
      <c r="D207" s="29" t="n">
        <v>45971</v>
      </c>
      <c r="E207" t="n">
        <v>70</v>
      </c>
      <c r="F207" t="inlineStr">
        <is>
          <t>I50.9</t>
        </is>
      </c>
      <c r="G207" t="inlineStr">
        <is>
          <t>Heart failure, unspecified</t>
        </is>
      </c>
      <c r="H207" s="30" t="n">
        <v>4.1</v>
      </c>
      <c r="I207" t="n">
        <v>3</v>
      </c>
      <c r="J207" s="31" t="n">
        <v>11937.93</v>
      </c>
      <c r="K207" s="32" t="n"/>
    </row>
    <row r="208">
      <c r="A208" t="inlineStr">
        <is>
          <t>ENC120020</t>
        </is>
      </c>
      <c r="B208" t="inlineStr">
        <is>
          <t>Pediatrics</t>
        </is>
      </c>
      <c r="C208" s="29" t="n">
        <v>45969</v>
      </c>
      <c r="D208" s="29" t="n">
        <v>45971</v>
      </c>
      <c r="E208" t="n">
        <v>2</v>
      </c>
      <c r="F208" t="inlineStr">
        <is>
          <t>J21.9</t>
        </is>
      </c>
      <c r="G208" t="inlineStr">
        <is>
          <t>Acute bronchiolitis, unspecified</t>
        </is>
      </c>
      <c r="H208" s="30" t="n">
        <v>2.4</v>
      </c>
      <c r="I208" t="n">
        <v>2</v>
      </c>
      <c r="J208" s="31" t="n">
        <v>15301.59</v>
      </c>
      <c r="K208" s="32" t="n"/>
    </row>
    <row r="209">
      <c r="A209" t="inlineStr">
        <is>
          <t>ENC120033</t>
        </is>
      </c>
      <c r="B209" t="inlineStr">
        <is>
          <t>Medical-Surgical 4 West</t>
        </is>
      </c>
      <c r="C209" s="29" t="n">
        <v>45969</v>
      </c>
      <c r="D209" s="29" t="n">
        <v>45971</v>
      </c>
      <c r="E209" t="n">
        <v>74</v>
      </c>
      <c r="F209" t="inlineStr">
        <is>
          <t>F10.239</t>
        </is>
      </c>
      <c r="G209" t="inlineStr">
        <is>
          <t>Alcohol dependence with withdrawal, unspecified</t>
        </is>
      </c>
      <c r="H209" s="30" t="n">
        <v>3.6</v>
      </c>
      <c r="I209" t="n">
        <v>2</v>
      </c>
      <c r="J209" s="31" t="n">
        <v>13137.55</v>
      </c>
      <c r="K209" s="32" t="n"/>
    </row>
    <row r="210">
      <c r="A210" t="inlineStr">
        <is>
          <t>ENC120015</t>
        </is>
      </c>
      <c r="B210" t="inlineStr">
        <is>
          <t>Medical-Surgical 4 West</t>
        </is>
      </c>
      <c r="C210" s="29" t="n">
        <v>45969</v>
      </c>
      <c r="D210" s="29" t="n">
        <v>45971</v>
      </c>
      <c r="E210" t="n">
        <v>77</v>
      </c>
      <c r="F210" t="inlineStr">
        <is>
          <t>K92.2</t>
        </is>
      </c>
      <c r="G210" t="inlineStr">
        <is>
          <t>Gastrointestinal hemorrhage, unspecified</t>
        </is>
      </c>
      <c r="H210" s="30" t="n">
        <v>3.5</v>
      </c>
      <c r="I210" t="n">
        <v>2</v>
      </c>
      <c r="J210" s="31" t="n">
        <v>8966.530000000001</v>
      </c>
      <c r="K210" s="32" t="n"/>
    </row>
    <row r="211">
      <c r="A211" t="inlineStr">
        <is>
          <t>ENC119785</t>
        </is>
      </c>
      <c r="B211" t="inlineStr">
        <is>
          <t>Medical-Surgical 4 West</t>
        </is>
      </c>
      <c r="C211" s="29" t="n">
        <v>45961</v>
      </c>
      <c r="D211" s="29" t="n">
        <v>45971</v>
      </c>
      <c r="E211" t="n">
        <v>68</v>
      </c>
      <c r="F211" t="inlineStr">
        <is>
          <t>A41.9</t>
        </is>
      </c>
      <c r="G211" t="inlineStr">
        <is>
          <t>Sepsis, unspecified organism</t>
        </is>
      </c>
      <c r="H211" s="30" t="n">
        <v>5</v>
      </c>
      <c r="I211" t="n">
        <v>10</v>
      </c>
      <c r="J211" s="31" t="n">
        <v>120420.37</v>
      </c>
      <c r="K211" s="32" t="n"/>
    </row>
    <row r="212">
      <c r="A212" t="inlineStr">
        <is>
          <t>ENC119874</t>
        </is>
      </c>
      <c r="B212" t="inlineStr">
        <is>
          <t>Medical-Surgical 5 East</t>
        </is>
      </c>
      <c r="C212" s="29" t="n">
        <v>45965</v>
      </c>
      <c r="D212" s="29" t="n">
        <v>45971</v>
      </c>
      <c r="E212" t="n">
        <v>98</v>
      </c>
      <c r="F212" t="inlineStr">
        <is>
          <t>J18.9</t>
        </is>
      </c>
      <c r="G212" t="inlineStr">
        <is>
          <t>Pneumonia, unspecified organism</t>
        </is>
      </c>
      <c r="H212" s="30" t="n">
        <v>3.9</v>
      </c>
      <c r="I212" t="n">
        <v>6</v>
      </c>
      <c r="J212" s="31" t="n">
        <v>33527.87</v>
      </c>
      <c r="K212" s="32" t="n"/>
    </row>
    <row r="213">
      <c r="A213" t="inlineStr">
        <is>
          <t>ENC120013</t>
        </is>
      </c>
      <c r="B213" t="inlineStr">
        <is>
          <t>Medical-Surgical 5 East</t>
        </is>
      </c>
      <c r="C213" s="29" t="n">
        <v>45969</v>
      </c>
      <c r="D213" s="29" t="n">
        <v>45971</v>
      </c>
      <c r="E213" t="n">
        <v>70</v>
      </c>
      <c r="F213" t="inlineStr">
        <is>
          <t>F10.239</t>
        </is>
      </c>
      <c r="G213" t="inlineStr">
        <is>
          <t>Alcohol dependence with withdrawal, unspecified</t>
        </is>
      </c>
      <c r="H213" s="30" t="n">
        <v>3.6</v>
      </c>
      <c r="I213" t="n">
        <v>2</v>
      </c>
      <c r="J213" s="31" t="n">
        <v>11617.26</v>
      </c>
      <c r="K213" s="32" t="n"/>
    </row>
    <row r="214">
      <c r="A214" t="inlineStr">
        <is>
          <t>ENC119958</t>
        </is>
      </c>
      <c r="B214" t="inlineStr">
        <is>
          <t>Behavioral Health</t>
        </is>
      </c>
      <c r="C214" s="29" t="n">
        <v>45966</v>
      </c>
      <c r="D214" s="29" t="n">
        <v>45972</v>
      </c>
      <c r="E214" t="n">
        <v>32</v>
      </c>
      <c r="F214" t="inlineStr">
        <is>
          <t>F32.9</t>
        </is>
      </c>
      <c r="G214" t="inlineStr">
        <is>
          <t>Major depressive disorder, single episode, unspecified</t>
        </is>
      </c>
      <c r="H214" s="30" t="n">
        <v>6.8</v>
      </c>
      <c r="I214" t="n">
        <v>6</v>
      </c>
      <c r="J214" s="31" t="n">
        <v>24355.21</v>
      </c>
      <c r="K214" s="32" t="n"/>
    </row>
    <row r="215">
      <c r="A215" t="inlineStr">
        <is>
          <t>ENC120053</t>
        </is>
      </c>
      <c r="B215" t="inlineStr">
        <is>
          <t>Medical-Surgical 5 East</t>
        </is>
      </c>
      <c r="C215" s="29" t="n">
        <v>45970</v>
      </c>
      <c r="D215" s="29" t="n">
        <v>45972</v>
      </c>
      <c r="E215" t="n">
        <v>71</v>
      </c>
      <c r="F215" t="inlineStr">
        <is>
          <t>E11.65</t>
        </is>
      </c>
      <c r="G215" t="inlineStr">
        <is>
          <t>Type 2 diabetes mellitus with hyperglycemia</t>
        </is>
      </c>
      <c r="H215" s="30" t="n">
        <v>3</v>
      </c>
      <c r="I215" t="n">
        <v>2</v>
      </c>
      <c r="J215" s="31" t="n">
        <v>12837.92</v>
      </c>
      <c r="K215" s="32" t="n"/>
    </row>
    <row r="216">
      <c r="A216" t="inlineStr">
        <is>
          <t>ENC120012</t>
        </is>
      </c>
      <c r="B216" t="inlineStr">
        <is>
          <t>Medical-Surgical 5 East</t>
        </is>
      </c>
      <c r="C216" s="29" t="n">
        <v>45968</v>
      </c>
      <c r="D216" s="29" t="n">
        <v>45972</v>
      </c>
      <c r="E216" t="n">
        <v>38</v>
      </c>
      <c r="F216" t="inlineStr">
        <is>
          <t>A41.9</t>
        </is>
      </c>
      <c r="G216" t="inlineStr">
        <is>
          <t>Sepsis, unspecified organism</t>
        </is>
      </c>
      <c r="H216" s="30" t="n">
        <v>5</v>
      </c>
      <c r="I216" t="n">
        <v>4</v>
      </c>
      <c r="J216" s="31" t="n">
        <v>48517.39</v>
      </c>
      <c r="K216" s="32" t="n"/>
    </row>
    <row r="217">
      <c r="A217" t="inlineStr">
        <is>
          <t>ENC120027</t>
        </is>
      </c>
      <c r="B217" t="inlineStr">
        <is>
          <t>Medical-Surgical 5 East</t>
        </is>
      </c>
      <c r="C217" s="29" t="n">
        <v>45969</v>
      </c>
      <c r="D217" s="29" t="n">
        <v>45972</v>
      </c>
      <c r="E217" t="n">
        <v>35</v>
      </c>
      <c r="F217" t="inlineStr">
        <is>
          <t>K80.20</t>
        </is>
      </c>
      <c r="G217" t="inlineStr">
        <is>
          <t>Calculus of gallbladder without cholecystitis without obstruction</t>
        </is>
      </c>
      <c r="H217" s="30" t="n">
        <v>1.9</v>
      </c>
      <c r="I217" t="n">
        <v>3</v>
      </c>
      <c r="J217" s="31" t="n">
        <v>32528.61</v>
      </c>
      <c r="K217" s="32" t="n"/>
    </row>
    <row r="218">
      <c r="A218" t="inlineStr">
        <is>
          <t>ENC119956</t>
        </is>
      </c>
      <c r="B218" t="inlineStr">
        <is>
          <t>Intensive Care Unit</t>
        </is>
      </c>
      <c r="C218" s="29" t="n">
        <v>45966</v>
      </c>
      <c r="D218" s="29" t="n">
        <v>45972</v>
      </c>
      <c r="E218" t="n">
        <v>59</v>
      </c>
      <c r="F218" t="inlineStr">
        <is>
          <t>J96.01</t>
        </is>
      </c>
      <c r="G218" t="inlineStr">
        <is>
          <t>Acute respiratory failure with hypoxia</t>
        </is>
      </c>
      <c r="H218" s="30" t="n">
        <v>4.8</v>
      </c>
      <c r="I218" t="n">
        <v>6</v>
      </c>
      <c r="J218" s="31" t="n">
        <v>87110.78999999999</v>
      </c>
      <c r="K218" s="32" t="n"/>
    </row>
    <row r="219">
      <c r="A219" t="inlineStr">
        <is>
          <t>ENC120011</t>
        </is>
      </c>
      <c r="B219" t="inlineStr">
        <is>
          <t>Medical-Surgical 4 West</t>
        </is>
      </c>
      <c r="C219" s="29" t="n">
        <v>45969</v>
      </c>
      <c r="D219" s="29" t="n">
        <v>45972</v>
      </c>
      <c r="E219" t="n">
        <v>59</v>
      </c>
      <c r="F219" t="inlineStr">
        <is>
          <t>J44.1</t>
        </is>
      </c>
      <c r="G219" t="inlineStr">
        <is>
          <t>Chronic obstructive pulmonary disease with (acute) exacerbation</t>
        </is>
      </c>
      <c r="H219" s="30" t="n">
        <v>3.4</v>
      </c>
      <c r="I219" t="n">
        <v>3</v>
      </c>
      <c r="J219" s="31" t="n">
        <v>20820.36</v>
      </c>
      <c r="K219" s="32" t="n"/>
    </row>
    <row r="220">
      <c r="A220" t="inlineStr">
        <is>
          <t>ENC120042</t>
        </is>
      </c>
      <c r="B220" t="inlineStr">
        <is>
          <t>Cardiac Step-Down</t>
        </is>
      </c>
      <c r="C220" s="29" t="n">
        <v>45970</v>
      </c>
      <c r="D220" s="29" t="n">
        <v>45973</v>
      </c>
      <c r="E220" t="n">
        <v>70</v>
      </c>
      <c r="F220" t="inlineStr">
        <is>
          <t>I50.9</t>
        </is>
      </c>
      <c r="G220" t="inlineStr">
        <is>
          <t>Heart failure, unspecified</t>
        </is>
      </c>
      <c r="H220" s="30" t="n">
        <v>4.1</v>
      </c>
      <c r="I220" t="n">
        <v>3</v>
      </c>
      <c r="J220" s="31" t="n">
        <v>26807.81</v>
      </c>
      <c r="K220" s="32" t="n"/>
    </row>
    <row r="221">
      <c r="A221" t="inlineStr">
        <is>
          <t>ENC119974</t>
        </is>
      </c>
      <c r="B221" t="inlineStr">
        <is>
          <t>Medical-Surgical 4 West</t>
        </is>
      </c>
      <c r="C221" s="29" t="n">
        <v>45967</v>
      </c>
      <c r="D221" s="29" t="n">
        <v>45973</v>
      </c>
      <c r="E221" t="n">
        <v>79</v>
      </c>
      <c r="F221" t="inlineStr">
        <is>
          <t>J18.9</t>
        </is>
      </c>
      <c r="G221" t="inlineStr">
        <is>
          <t>Pneumonia, unspecified organism</t>
        </is>
      </c>
      <c r="H221" s="30" t="n">
        <v>3.9</v>
      </c>
      <c r="I221" t="n">
        <v>6</v>
      </c>
      <c r="J221" s="31" t="n">
        <v>20465.11</v>
      </c>
      <c r="K221" s="32" t="n"/>
    </row>
    <row r="222">
      <c r="A222" t="inlineStr">
        <is>
          <t>ENC119971</t>
        </is>
      </c>
      <c r="B222" t="inlineStr">
        <is>
          <t>Cardiac Step-Down</t>
        </is>
      </c>
      <c r="C222" s="29" t="n">
        <v>45967</v>
      </c>
      <c r="D222" s="29" t="n">
        <v>45973</v>
      </c>
      <c r="E222" t="n">
        <v>78</v>
      </c>
      <c r="F222" t="inlineStr">
        <is>
          <t>I50.9</t>
        </is>
      </c>
      <c r="G222" t="inlineStr">
        <is>
          <t>Heart failure, unspecified</t>
        </is>
      </c>
      <c r="H222" s="30" t="n">
        <v>4.1</v>
      </c>
      <c r="I222" t="n">
        <v>6</v>
      </c>
      <c r="J222" s="31" t="n">
        <v>39606.07</v>
      </c>
      <c r="K222" s="32" t="n"/>
    </row>
    <row r="223">
      <c r="A223" t="inlineStr">
        <is>
          <t>ENC120055</t>
        </is>
      </c>
      <c r="B223" t="inlineStr">
        <is>
          <t>Orthopedics &amp; Spine</t>
        </is>
      </c>
      <c r="C223" s="29" t="n">
        <v>45971</v>
      </c>
      <c r="D223" s="29" t="n">
        <v>45973</v>
      </c>
      <c r="E223" t="n">
        <v>75</v>
      </c>
      <c r="F223" t="inlineStr">
        <is>
          <t>M16.11</t>
        </is>
      </c>
      <c r="G223" t="inlineStr">
        <is>
          <t>Unilateral primary osteoarthritis, right hip</t>
        </is>
      </c>
      <c r="H223" s="30" t="n">
        <v>2.1</v>
      </c>
      <c r="I223" t="n">
        <v>2</v>
      </c>
      <c r="J223" s="31" t="n">
        <v>89046.84</v>
      </c>
      <c r="K223" s="32" t="n"/>
    </row>
    <row r="224">
      <c r="A224" t="inlineStr">
        <is>
          <t>ENC120103</t>
        </is>
      </c>
      <c r="B224" t="inlineStr">
        <is>
          <t>Orthopedics &amp; Spine</t>
        </is>
      </c>
      <c r="C224" s="29" t="n">
        <v>45972</v>
      </c>
      <c r="D224" s="29" t="n">
        <v>45973</v>
      </c>
      <c r="E224" t="n">
        <v>72</v>
      </c>
      <c r="F224" t="inlineStr">
        <is>
          <t>M16.11</t>
        </is>
      </c>
      <c r="G224" t="inlineStr">
        <is>
          <t>Unilateral primary osteoarthritis, right hip</t>
        </is>
      </c>
      <c r="H224" s="30" t="n">
        <v>2.1</v>
      </c>
      <c r="I224" t="n">
        <v>1</v>
      </c>
      <c r="J224" s="31" t="n">
        <v>49661.81</v>
      </c>
      <c r="K224" s="32" t="n"/>
    </row>
    <row r="225">
      <c r="A225" t="inlineStr">
        <is>
          <t>ENC120028</t>
        </is>
      </c>
      <c r="B225" t="inlineStr">
        <is>
          <t>Medical-Surgical 5 East</t>
        </is>
      </c>
      <c r="C225" s="29" t="n">
        <v>45969</v>
      </c>
      <c r="D225" s="29" t="n">
        <v>45973</v>
      </c>
      <c r="E225" t="n">
        <v>73</v>
      </c>
      <c r="F225" t="inlineStr">
        <is>
          <t>E86.0</t>
        </is>
      </c>
      <c r="G225" t="inlineStr">
        <is>
          <t>Dehydration</t>
        </is>
      </c>
      <c r="H225" s="30" t="n">
        <v>2.4</v>
      </c>
      <c r="I225" t="n">
        <v>4</v>
      </c>
      <c r="J225" s="31" t="n">
        <v>17604.41</v>
      </c>
      <c r="K225" s="32" t="n"/>
    </row>
    <row r="226">
      <c r="A226" t="inlineStr">
        <is>
          <t>ENC120030</t>
        </is>
      </c>
      <c r="B226" t="inlineStr">
        <is>
          <t>Oncology</t>
        </is>
      </c>
      <c r="C226" s="29" t="n">
        <v>45969</v>
      </c>
      <c r="D226" s="29" t="n">
        <v>45973</v>
      </c>
      <c r="E226" t="n">
        <v>34</v>
      </c>
      <c r="F226" t="inlineStr">
        <is>
          <t>D70.1</t>
        </is>
      </c>
      <c r="G226" t="inlineStr">
        <is>
          <t>Agranulocytosis secondary to cancer chemotherapy</t>
        </is>
      </c>
      <c r="H226" s="30" t="n">
        <v>4.5</v>
      </c>
      <c r="I226" t="n">
        <v>4</v>
      </c>
      <c r="J226" s="31" t="n">
        <v>14862.69</v>
      </c>
      <c r="K226" s="32" t="n"/>
    </row>
    <row r="227">
      <c r="A227" t="inlineStr">
        <is>
          <t>ENC120101</t>
        </is>
      </c>
      <c r="B227" t="inlineStr">
        <is>
          <t>Labor &amp; Delivery</t>
        </is>
      </c>
      <c r="C227" s="29" t="n">
        <v>45972</v>
      </c>
      <c r="D227" s="29" t="n">
        <v>45973</v>
      </c>
      <c r="E227" t="n">
        <v>23</v>
      </c>
      <c r="F227" t="inlineStr">
        <is>
          <t>O80</t>
        </is>
      </c>
      <c r="G227" t="inlineStr">
        <is>
          <t>Encounter for full-term uncomplicated delivery</t>
        </is>
      </c>
      <c r="H227" s="30" t="n">
        <v>2</v>
      </c>
      <c r="I227" t="n">
        <v>1</v>
      </c>
      <c r="J227" s="31" t="n">
        <v>17209.2</v>
      </c>
      <c r="K227" s="32" t="n"/>
    </row>
    <row r="228">
      <c r="A228" t="inlineStr">
        <is>
          <t>ENC119862</t>
        </is>
      </c>
      <c r="B228" t="inlineStr">
        <is>
          <t>Medical-Surgical 5 East</t>
        </is>
      </c>
      <c r="C228" s="29" t="n">
        <v>45964</v>
      </c>
      <c r="D228" s="29" t="n">
        <v>45973</v>
      </c>
      <c r="E228" t="n">
        <v>65</v>
      </c>
      <c r="F228" t="inlineStr">
        <is>
          <t>N17.9</t>
        </is>
      </c>
      <c r="G228" t="inlineStr">
        <is>
          <t>Acute kidney failure, unspecified</t>
        </is>
      </c>
      <c r="H228" s="30" t="n">
        <v>3.9</v>
      </c>
      <c r="I228" t="n">
        <v>9</v>
      </c>
      <c r="J228" s="31" t="n">
        <v>22794.03</v>
      </c>
      <c r="K228" s="32" t="n"/>
    </row>
    <row r="229">
      <c r="A229" t="inlineStr">
        <is>
          <t>ENC119861</t>
        </is>
      </c>
      <c r="B229" t="inlineStr">
        <is>
          <t>Medical-Surgical 5 East</t>
        </is>
      </c>
      <c r="C229" s="29" t="n">
        <v>45964</v>
      </c>
      <c r="D229" s="29" t="n">
        <v>45973</v>
      </c>
      <c r="E229" t="n">
        <v>44</v>
      </c>
      <c r="F229" t="inlineStr">
        <is>
          <t>U07.1</t>
        </is>
      </c>
      <c r="G229" t="inlineStr">
        <is>
          <t>COVID-19</t>
        </is>
      </c>
      <c r="H229" s="30" t="n">
        <v>4.4</v>
      </c>
      <c r="I229" t="n">
        <v>9</v>
      </c>
      <c r="J229" s="31" t="n">
        <v>37972.43</v>
      </c>
      <c r="K229" s="32" t="n"/>
    </row>
    <row r="230">
      <c r="A230" t="inlineStr">
        <is>
          <t>ENC120098</t>
        </is>
      </c>
      <c r="B230" t="inlineStr">
        <is>
          <t>Medical-Surgical 5 East</t>
        </is>
      </c>
      <c r="C230" s="29" t="n">
        <v>45971</v>
      </c>
      <c r="D230" s="29" t="n">
        <v>45974</v>
      </c>
      <c r="E230" t="n">
        <v>54</v>
      </c>
      <c r="F230" t="inlineStr">
        <is>
          <t>J44.1</t>
        </is>
      </c>
      <c r="G230" t="inlineStr">
        <is>
          <t>Chronic obstructive pulmonary disease with (acute) exacerbation</t>
        </is>
      </c>
      <c r="H230" s="30" t="n">
        <v>3.4</v>
      </c>
      <c r="I230" t="n">
        <v>3</v>
      </c>
      <c r="J230" s="31" t="n">
        <v>17851.5</v>
      </c>
      <c r="K230" s="32" t="n"/>
    </row>
    <row r="231">
      <c r="A231" t="inlineStr">
        <is>
          <t>ENC120045</t>
        </is>
      </c>
      <c r="B231" t="inlineStr">
        <is>
          <t>Medical-Surgical 5 East</t>
        </is>
      </c>
      <c r="C231" s="29" t="n">
        <v>45970</v>
      </c>
      <c r="D231" s="29" t="n">
        <v>45974</v>
      </c>
      <c r="E231" t="n">
        <v>55</v>
      </c>
      <c r="F231" t="inlineStr">
        <is>
          <t>J18.9</t>
        </is>
      </c>
      <c r="G231" t="inlineStr">
        <is>
          <t>Pneumonia, unspecified organism</t>
        </is>
      </c>
      <c r="H231" s="30" t="n">
        <v>3.9</v>
      </c>
      <c r="I231" t="n">
        <v>4</v>
      </c>
      <c r="J231" s="31" t="n">
        <v>13734.68</v>
      </c>
      <c r="K231" s="32" t="n"/>
    </row>
    <row r="232">
      <c r="A232" t="inlineStr">
        <is>
          <t>ENC119903</t>
        </is>
      </c>
      <c r="B232" t="inlineStr">
        <is>
          <t>Medical-Surgical 4 West</t>
        </is>
      </c>
      <c r="C232" s="29" t="n">
        <v>45965</v>
      </c>
      <c r="D232" s="29" t="n">
        <v>45974</v>
      </c>
      <c r="E232" t="n">
        <v>96</v>
      </c>
      <c r="F232" t="inlineStr">
        <is>
          <t>A41.9</t>
        </is>
      </c>
      <c r="G232" t="inlineStr">
        <is>
          <t>Sepsis, unspecified organism</t>
        </is>
      </c>
      <c r="H232" s="30" t="n">
        <v>5</v>
      </c>
      <c r="I232" t="n">
        <v>9</v>
      </c>
      <c r="J232" s="31" t="n">
        <v>85651.53999999999</v>
      </c>
      <c r="K232" s="32" t="n"/>
    </row>
    <row r="233">
      <c r="A233" t="inlineStr">
        <is>
          <t>ENC120024</t>
        </is>
      </c>
      <c r="B233" t="inlineStr">
        <is>
          <t>Medical-Surgical 5 East</t>
        </is>
      </c>
      <c r="C233" s="29" t="n">
        <v>45969</v>
      </c>
      <c r="D233" s="29" t="n">
        <v>45974</v>
      </c>
      <c r="E233" t="n">
        <v>69</v>
      </c>
      <c r="F233" t="inlineStr">
        <is>
          <t>J18.9</t>
        </is>
      </c>
      <c r="G233" t="inlineStr">
        <is>
          <t>Pneumonia, unspecified organism</t>
        </is>
      </c>
      <c r="H233" s="30" t="n">
        <v>3.9</v>
      </c>
      <c r="I233" t="n">
        <v>5</v>
      </c>
      <c r="J233" s="31" t="n">
        <v>29291.28</v>
      </c>
      <c r="K233" s="32" t="n"/>
    </row>
    <row r="234">
      <c r="A234" t="inlineStr">
        <is>
          <t>ENC120074</t>
        </is>
      </c>
      <c r="B234" t="inlineStr">
        <is>
          <t>Medical-Surgical 5 East</t>
        </is>
      </c>
      <c r="C234" s="29" t="n">
        <v>45971</v>
      </c>
      <c r="D234" s="29" t="n">
        <v>45974</v>
      </c>
      <c r="E234" t="n">
        <v>11</v>
      </c>
      <c r="F234" t="inlineStr">
        <is>
          <t>J18.9</t>
        </is>
      </c>
      <c r="G234" t="inlineStr">
        <is>
          <t>Pneumonia, unspecified organism</t>
        </is>
      </c>
      <c r="H234" s="30" t="n">
        <v>3.9</v>
      </c>
      <c r="I234" t="n">
        <v>3</v>
      </c>
      <c r="J234" s="31" t="n">
        <v>11512.9</v>
      </c>
      <c r="K234" s="32" t="n"/>
    </row>
    <row r="235">
      <c r="A235" t="inlineStr">
        <is>
          <t>ENC120121</t>
        </is>
      </c>
      <c r="B235" t="inlineStr">
        <is>
          <t>Medical-Surgical 4 West</t>
        </is>
      </c>
      <c r="C235" s="29" t="n">
        <v>45972</v>
      </c>
      <c r="D235" s="29" t="n">
        <v>45974</v>
      </c>
      <c r="E235" t="n">
        <v>60</v>
      </c>
      <c r="F235" t="inlineStr">
        <is>
          <t>J44.1</t>
        </is>
      </c>
      <c r="G235" t="inlineStr">
        <is>
          <t>Chronic obstructive pulmonary disease with (acute) exacerbation</t>
        </is>
      </c>
      <c r="H235" s="30" t="n">
        <v>3.4</v>
      </c>
      <c r="I235" t="n">
        <v>2</v>
      </c>
      <c r="J235" s="31" t="n">
        <v>14637.14</v>
      </c>
      <c r="K235" s="32" t="n"/>
    </row>
    <row r="236">
      <c r="A236" t="inlineStr">
        <is>
          <t>ENC120139</t>
        </is>
      </c>
      <c r="B236" t="inlineStr">
        <is>
          <t>Medical-Surgical 5 East</t>
        </is>
      </c>
      <c r="C236" s="29" t="n">
        <v>45973</v>
      </c>
      <c r="D236" s="29" t="n">
        <v>45975</v>
      </c>
      <c r="E236" t="n">
        <v>67</v>
      </c>
      <c r="F236" t="inlineStr">
        <is>
          <t>J18.9</t>
        </is>
      </c>
      <c r="G236" t="inlineStr">
        <is>
          <t>Pneumonia, unspecified organism</t>
        </is>
      </c>
      <c r="H236" s="30" t="n">
        <v>3.9</v>
      </c>
      <c r="I236" t="n">
        <v>2</v>
      </c>
      <c r="J236" s="31" t="n">
        <v>8303.68</v>
      </c>
      <c r="K236" s="32" t="n"/>
    </row>
    <row r="237">
      <c r="A237" t="inlineStr">
        <is>
          <t>ENC120001</t>
        </is>
      </c>
      <c r="B237" t="inlineStr">
        <is>
          <t>Medical-Surgical 4 West</t>
        </is>
      </c>
      <c r="C237" s="29" t="n">
        <v>45968</v>
      </c>
      <c r="D237" s="29" t="n">
        <v>45975</v>
      </c>
      <c r="E237" t="n">
        <v>95</v>
      </c>
      <c r="F237" t="inlineStr">
        <is>
          <t>E11.65</t>
        </is>
      </c>
      <c r="G237" t="inlineStr">
        <is>
          <t>Type 2 diabetes mellitus with hyperglycemia</t>
        </is>
      </c>
      <c r="H237" s="30" t="n">
        <v>3</v>
      </c>
      <c r="I237" t="n">
        <v>7</v>
      </c>
      <c r="J237" s="31" t="n">
        <v>18859.68</v>
      </c>
      <c r="K237" s="32" t="n"/>
    </row>
    <row r="238">
      <c r="A238" t="inlineStr">
        <is>
          <t>ENC120054</t>
        </is>
      </c>
      <c r="B238" t="inlineStr">
        <is>
          <t>Labor &amp; Delivery</t>
        </is>
      </c>
      <c r="C238" s="29" t="n">
        <v>45970</v>
      </c>
      <c r="D238" s="29" t="n">
        <v>45975</v>
      </c>
      <c r="E238" t="n">
        <v>44</v>
      </c>
      <c r="F238" t="inlineStr">
        <is>
          <t>O80</t>
        </is>
      </c>
      <c r="G238" t="inlineStr">
        <is>
          <t>Encounter for full-term uncomplicated delivery</t>
        </is>
      </c>
      <c r="H238" s="30" t="n">
        <v>2</v>
      </c>
      <c r="I238" t="n">
        <v>5</v>
      </c>
      <c r="J238" s="31" t="n">
        <v>26695.91</v>
      </c>
      <c r="K238" s="32" t="n"/>
    </row>
    <row r="239">
      <c r="A239" t="inlineStr">
        <is>
          <t>ENC119972</t>
        </is>
      </c>
      <c r="B239" t="inlineStr">
        <is>
          <t>Medical-Surgical 5 East</t>
        </is>
      </c>
      <c r="C239" s="29" t="n">
        <v>45967</v>
      </c>
      <c r="D239" s="29" t="n">
        <v>45975</v>
      </c>
      <c r="E239" t="n">
        <v>75</v>
      </c>
      <c r="F239" t="inlineStr">
        <is>
          <t>U07.1</t>
        </is>
      </c>
      <c r="G239" t="inlineStr">
        <is>
          <t>COVID-19</t>
        </is>
      </c>
      <c r="H239" s="30" t="n">
        <v>4.4</v>
      </c>
      <c r="I239" t="n">
        <v>8</v>
      </c>
      <c r="J239" s="31" t="n">
        <v>32891.34</v>
      </c>
      <c r="K239" s="32" t="n"/>
    </row>
    <row r="240">
      <c r="A240" t="inlineStr">
        <is>
          <t>ENC120078</t>
        </is>
      </c>
      <c r="B240" t="inlineStr">
        <is>
          <t>Cardiac Step-Down</t>
        </is>
      </c>
      <c r="C240" s="29" t="n">
        <v>45971</v>
      </c>
      <c r="D240" s="29" t="n">
        <v>45975</v>
      </c>
      <c r="E240" t="n">
        <v>57</v>
      </c>
      <c r="F240" t="inlineStr">
        <is>
          <t>I50.9</t>
        </is>
      </c>
      <c r="G240" t="inlineStr">
        <is>
          <t>Heart failure, unspecified</t>
        </is>
      </c>
      <c r="H240" s="30" t="n">
        <v>4.1</v>
      </c>
      <c r="I240" t="n">
        <v>4</v>
      </c>
      <c r="J240" s="31" t="n">
        <v>32148.29</v>
      </c>
      <c r="K240" s="32" t="n"/>
    </row>
    <row r="241">
      <c r="A241" t="inlineStr">
        <is>
          <t>ENC120051</t>
        </is>
      </c>
      <c r="B241" t="inlineStr">
        <is>
          <t>Medical-Surgical 4 West</t>
        </is>
      </c>
      <c r="C241" s="29" t="n">
        <v>45970</v>
      </c>
      <c r="D241" s="29" t="n">
        <v>45975</v>
      </c>
      <c r="E241" t="n">
        <v>77</v>
      </c>
      <c r="F241" t="inlineStr">
        <is>
          <t>J18.9</t>
        </is>
      </c>
      <c r="G241" t="inlineStr">
        <is>
          <t>Pneumonia, unspecified organism</t>
        </is>
      </c>
      <c r="H241" s="30" t="n">
        <v>3.9</v>
      </c>
      <c r="I241" t="n">
        <v>5</v>
      </c>
      <c r="J241" s="31" t="n">
        <v>19977.46</v>
      </c>
      <c r="K241" s="32" t="n"/>
    </row>
    <row r="242">
      <c r="A242" t="inlineStr">
        <is>
          <t>ENC120052</t>
        </is>
      </c>
      <c r="B242" t="inlineStr">
        <is>
          <t>Medical-Surgical 4 West</t>
        </is>
      </c>
      <c r="C242" s="29" t="n">
        <v>45970</v>
      </c>
      <c r="D242" s="29" t="n">
        <v>45975</v>
      </c>
      <c r="E242" t="n">
        <v>77</v>
      </c>
      <c r="F242" t="inlineStr">
        <is>
          <t>J18.9</t>
        </is>
      </c>
      <c r="G242" t="inlineStr">
        <is>
          <t>Pneumonia, unspecified organism</t>
        </is>
      </c>
      <c r="H242" s="30" t="n">
        <v>3.9</v>
      </c>
      <c r="I242" t="n">
        <v>5</v>
      </c>
      <c r="J242" s="31" t="n">
        <v>31557.6</v>
      </c>
      <c r="K242" s="32" t="n"/>
    </row>
    <row r="243">
      <c r="A243" t="inlineStr">
        <is>
          <t>ENC120007</t>
        </is>
      </c>
      <c r="B243" t="inlineStr">
        <is>
          <t>Medical-Surgical 4 West</t>
        </is>
      </c>
      <c r="C243" s="29" t="n">
        <v>45968</v>
      </c>
      <c r="D243" s="29" t="n">
        <v>45976</v>
      </c>
      <c r="E243" t="n">
        <v>87</v>
      </c>
      <c r="F243" t="inlineStr">
        <is>
          <t>N17.9</t>
        </is>
      </c>
      <c r="G243" t="inlineStr">
        <is>
          <t>Acute kidney failure, unspecified</t>
        </is>
      </c>
      <c r="H243" s="30" t="n">
        <v>3.9</v>
      </c>
      <c r="I243" t="n">
        <v>8</v>
      </c>
      <c r="J243" s="31" t="n">
        <v>30149.72</v>
      </c>
      <c r="K243" s="32" t="n"/>
    </row>
    <row r="244">
      <c r="A244" t="inlineStr">
        <is>
          <t>ENC120234</t>
        </is>
      </c>
      <c r="B244" t="inlineStr">
        <is>
          <t>Pediatrics</t>
        </is>
      </c>
      <c r="C244" s="29" t="n">
        <v>45975</v>
      </c>
      <c r="D244" s="29" t="n">
        <v>45976</v>
      </c>
      <c r="E244" t="n">
        <v>1</v>
      </c>
      <c r="F244" t="inlineStr">
        <is>
          <t>J21.9</t>
        </is>
      </c>
      <c r="G244" t="inlineStr">
        <is>
          <t>Acute bronchiolitis, unspecified</t>
        </is>
      </c>
      <c r="H244" s="30" t="n">
        <v>2.4</v>
      </c>
      <c r="I244" t="n">
        <v>1</v>
      </c>
      <c r="J244" s="31" t="n">
        <v>3900.73</v>
      </c>
      <c r="K244" s="32" t="n"/>
    </row>
    <row r="245">
      <c r="A245" t="inlineStr">
        <is>
          <t>ENC120180</t>
        </is>
      </c>
      <c r="B245" t="inlineStr">
        <is>
          <t>Medical-Surgical 4 West</t>
        </is>
      </c>
      <c r="C245" s="29" t="n">
        <v>45974</v>
      </c>
      <c r="D245" s="29" t="n">
        <v>45976</v>
      </c>
      <c r="E245" t="n">
        <v>63</v>
      </c>
      <c r="F245" t="inlineStr">
        <is>
          <t>J18.9</t>
        </is>
      </c>
      <c r="G245" t="inlineStr">
        <is>
          <t>Pneumonia, unspecified organism</t>
        </is>
      </c>
      <c r="H245" s="30" t="n">
        <v>3.9</v>
      </c>
      <c r="I245" t="n">
        <v>2</v>
      </c>
      <c r="J245" s="31" t="n">
        <v>11765.66</v>
      </c>
      <c r="K245" s="32" t="n"/>
    </row>
    <row r="246">
      <c r="A246" t="inlineStr">
        <is>
          <t>ENC120211</t>
        </is>
      </c>
      <c r="B246" t="inlineStr">
        <is>
          <t>Medical-Surgical 4 West</t>
        </is>
      </c>
      <c r="C246" s="29" t="n">
        <v>45974</v>
      </c>
      <c r="D246" s="29" t="n">
        <v>45976</v>
      </c>
      <c r="E246" t="n">
        <v>54</v>
      </c>
      <c r="F246" t="inlineStr">
        <is>
          <t>J18.9</t>
        </is>
      </c>
      <c r="G246" t="inlineStr">
        <is>
          <t>Pneumonia, unspecified organism</t>
        </is>
      </c>
      <c r="H246" s="30" t="n">
        <v>3.9</v>
      </c>
      <c r="I246" t="n">
        <v>2</v>
      </c>
      <c r="J246" s="31" t="n">
        <v>15881.16</v>
      </c>
      <c r="K246" s="32" t="n"/>
    </row>
    <row r="247">
      <c r="A247" t="inlineStr">
        <is>
          <t>ENC120143</t>
        </is>
      </c>
      <c r="B247" t="inlineStr">
        <is>
          <t>Medical-Surgical 5 East</t>
        </is>
      </c>
      <c r="C247" s="29" t="n">
        <v>45973</v>
      </c>
      <c r="D247" s="29" t="n">
        <v>45976</v>
      </c>
      <c r="E247" t="n">
        <v>47</v>
      </c>
      <c r="F247" t="inlineStr">
        <is>
          <t>J18.9</t>
        </is>
      </c>
      <c r="G247" t="inlineStr">
        <is>
          <t>Pneumonia, unspecified organism</t>
        </is>
      </c>
      <c r="H247" s="30" t="n">
        <v>3.9</v>
      </c>
      <c r="I247" t="n">
        <v>3</v>
      </c>
      <c r="J247" s="31" t="n">
        <v>18862.26</v>
      </c>
      <c r="K247" s="32" t="n"/>
    </row>
    <row r="248">
      <c r="A248" t="inlineStr">
        <is>
          <t>ENC120243</t>
        </is>
      </c>
      <c r="B248" t="inlineStr">
        <is>
          <t>Labor &amp; Delivery</t>
        </is>
      </c>
      <c r="C248" s="29" t="n">
        <v>45976</v>
      </c>
      <c r="D248" s="29" t="n">
        <v>45977</v>
      </c>
      <c r="E248" t="n">
        <v>29</v>
      </c>
      <c r="F248" t="inlineStr">
        <is>
          <t>O80</t>
        </is>
      </c>
      <c r="G248" t="inlineStr">
        <is>
          <t>Encounter for full-term uncomplicated delivery</t>
        </is>
      </c>
      <c r="H248" s="30" t="n">
        <v>2</v>
      </c>
      <c r="I248" t="n">
        <v>1</v>
      </c>
      <c r="J248" s="31" t="n">
        <v>10411.56</v>
      </c>
      <c r="K248" s="32" t="n"/>
    </row>
    <row r="249">
      <c r="A249" t="inlineStr">
        <is>
          <t>ENC120214</t>
        </is>
      </c>
      <c r="B249" t="inlineStr">
        <is>
          <t>Orthopedics &amp; Spine</t>
        </is>
      </c>
      <c r="C249" s="29" t="n">
        <v>45975</v>
      </c>
      <c r="D249" s="29" t="n">
        <v>45977</v>
      </c>
      <c r="E249" t="n">
        <v>58</v>
      </c>
      <c r="F249" t="inlineStr">
        <is>
          <t>M17.11</t>
        </is>
      </c>
      <c r="G249" t="inlineStr">
        <is>
          <t>Unilateral primary osteoarthritis, right knee</t>
        </is>
      </c>
      <c r="H249" s="30" t="n">
        <v>2</v>
      </c>
      <c r="I249" t="n">
        <v>2</v>
      </c>
      <c r="J249" s="31" t="n">
        <v>55698.39</v>
      </c>
      <c r="K249" s="32" t="n"/>
    </row>
    <row r="250">
      <c r="A250" t="inlineStr">
        <is>
          <t>ENC120213</t>
        </is>
      </c>
      <c r="B250" t="inlineStr">
        <is>
          <t>Orthopedics &amp; Spine</t>
        </is>
      </c>
      <c r="C250" s="29" t="n">
        <v>45975</v>
      </c>
      <c r="D250" s="29" t="n">
        <v>45977</v>
      </c>
      <c r="E250" t="n">
        <v>64</v>
      </c>
      <c r="F250" t="inlineStr">
        <is>
          <t>M16.11</t>
        </is>
      </c>
      <c r="G250" t="inlineStr">
        <is>
          <t>Unilateral primary osteoarthritis, right hip</t>
        </is>
      </c>
      <c r="H250" s="30" t="n">
        <v>2.1</v>
      </c>
      <c r="I250" t="n">
        <v>2</v>
      </c>
      <c r="J250" s="31" t="n">
        <v>62751.62</v>
      </c>
      <c r="K250" s="32" t="n"/>
    </row>
    <row r="251">
      <c r="A251" t="inlineStr">
        <is>
          <t>ENC120174</t>
        </is>
      </c>
      <c r="B251" t="inlineStr">
        <is>
          <t>Medical-Surgical 4 West</t>
        </is>
      </c>
      <c r="C251" s="29" t="n">
        <v>45974</v>
      </c>
      <c r="D251" s="29" t="n">
        <v>45977</v>
      </c>
      <c r="E251" t="n">
        <v>70</v>
      </c>
      <c r="F251" t="inlineStr">
        <is>
          <t>A41.9</t>
        </is>
      </c>
      <c r="G251" t="inlineStr">
        <is>
          <t>Sepsis, unspecified organism</t>
        </is>
      </c>
      <c r="H251" s="30" t="n">
        <v>5</v>
      </c>
      <c r="I251" t="n">
        <v>3</v>
      </c>
      <c r="J251" s="31" t="n">
        <v>29547.35</v>
      </c>
      <c r="K251" s="32" t="n"/>
    </row>
    <row r="252">
      <c r="A252" t="inlineStr">
        <is>
          <t>ENC120203</t>
        </is>
      </c>
      <c r="B252" t="inlineStr">
        <is>
          <t>Medical-Surgical 5 East</t>
        </is>
      </c>
      <c r="C252" s="29" t="n">
        <v>45974</v>
      </c>
      <c r="D252" s="29" t="n">
        <v>45977</v>
      </c>
      <c r="E252" t="n">
        <v>54</v>
      </c>
      <c r="F252" t="inlineStr">
        <is>
          <t>N39.0</t>
        </is>
      </c>
      <c r="G252" t="inlineStr">
        <is>
          <t>Urinary tract infection, site not specified</t>
        </is>
      </c>
      <c r="H252" s="30" t="n">
        <v>3.1</v>
      </c>
      <c r="I252" t="n">
        <v>3</v>
      </c>
      <c r="J252" s="31" t="n">
        <v>24418.98</v>
      </c>
      <c r="K252" s="32" t="n"/>
    </row>
    <row r="253">
      <c r="A253" t="inlineStr">
        <is>
          <t>ENC120206</t>
        </is>
      </c>
      <c r="B253" t="inlineStr">
        <is>
          <t>Medical-Surgical 5 East</t>
        </is>
      </c>
      <c r="C253" s="29" t="n">
        <v>45974</v>
      </c>
      <c r="D253" s="29" t="n">
        <v>45978</v>
      </c>
      <c r="E253" t="n">
        <v>70</v>
      </c>
      <c r="F253" t="inlineStr">
        <is>
          <t>N17.9</t>
        </is>
      </c>
      <c r="G253" t="inlineStr">
        <is>
          <t>Acute kidney failure, unspecified</t>
        </is>
      </c>
      <c r="H253" s="30" t="n">
        <v>3.9</v>
      </c>
      <c r="I253" t="n">
        <v>4</v>
      </c>
      <c r="J253" s="31" t="n">
        <v>16534.01</v>
      </c>
      <c r="K253" s="32" t="n"/>
    </row>
    <row r="254">
      <c r="A254" t="inlineStr">
        <is>
          <t>ENC120071</t>
        </is>
      </c>
      <c r="B254" t="inlineStr">
        <is>
          <t>Intensive Care Unit</t>
        </is>
      </c>
      <c r="C254" s="29" t="n">
        <v>45971</v>
      </c>
      <c r="D254" s="29" t="n">
        <v>45978</v>
      </c>
      <c r="E254" t="n">
        <v>90</v>
      </c>
      <c r="F254" t="inlineStr">
        <is>
          <t>A41.9</t>
        </is>
      </c>
      <c r="G254" t="inlineStr">
        <is>
          <t>Sepsis, unspecified organism</t>
        </is>
      </c>
      <c r="H254" s="30" t="n">
        <v>5</v>
      </c>
      <c r="I254" t="n">
        <v>7</v>
      </c>
      <c r="J254" s="31" t="n">
        <v>66862.75</v>
      </c>
      <c r="K254" s="32" t="n"/>
    </row>
    <row r="255">
      <c r="A255" t="inlineStr">
        <is>
          <t>ENC120096</t>
        </is>
      </c>
      <c r="B255" t="inlineStr">
        <is>
          <t>Oncology</t>
        </is>
      </c>
      <c r="C255" s="29" t="n">
        <v>45972</v>
      </c>
      <c r="D255" s="29" t="n">
        <v>45978</v>
      </c>
      <c r="E255" t="n">
        <v>58</v>
      </c>
      <c r="F255" t="inlineStr">
        <is>
          <t>C50.911</t>
        </is>
      </c>
      <c r="G255" t="inlineStr">
        <is>
          <t>Malignant neoplasm of unspecified site of right female breast</t>
        </is>
      </c>
      <c r="H255" s="30" t="n">
        <v>3</v>
      </c>
      <c r="I255" t="n">
        <v>6</v>
      </c>
      <c r="J255" s="31" t="n">
        <v>37927.71</v>
      </c>
      <c r="K255" s="32" t="n"/>
    </row>
    <row r="256">
      <c r="A256" t="inlineStr">
        <is>
          <t>ENC120197</t>
        </is>
      </c>
      <c r="B256" t="inlineStr">
        <is>
          <t>Medical-Surgical 5 East</t>
        </is>
      </c>
      <c r="C256" s="29" t="n">
        <v>45974</v>
      </c>
      <c r="D256" s="29" t="n">
        <v>45978</v>
      </c>
      <c r="E256" t="n">
        <v>61</v>
      </c>
      <c r="F256" t="inlineStr">
        <is>
          <t>J18.9</t>
        </is>
      </c>
      <c r="G256" t="inlineStr">
        <is>
          <t>Pneumonia, unspecified organism</t>
        </is>
      </c>
      <c r="H256" s="30" t="n">
        <v>3.9</v>
      </c>
      <c r="I256" t="n">
        <v>4</v>
      </c>
      <c r="J256" s="31" t="n">
        <v>17339.35</v>
      </c>
      <c r="K256" s="32" t="n"/>
    </row>
    <row r="257">
      <c r="A257" t="inlineStr">
        <is>
          <t>ENC120069</t>
        </is>
      </c>
      <c r="B257" t="inlineStr">
        <is>
          <t>Cardiac Step-Down</t>
        </is>
      </c>
      <c r="C257" s="29" t="n">
        <v>45971</v>
      </c>
      <c r="D257" s="29" t="n">
        <v>45978</v>
      </c>
      <c r="E257" t="n">
        <v>74</v>
      </c>
      <c r="F257" t="inlineStr">
        <is>
          <t>I50.9</t>
        </is>
      </c>
      <c r="G257" t="inlineStr">
        <is>
          <t>Heart failure, unspecified</t>
        </is>
      </c>
      <c r="H257" s="30" t="n">
        <v>4.1</v>
      </c>
      <c r="I257" t="n">
        <v>7</v>
      </c>
      <c r="J257" s="31" t="n">
        <v>51004.99</v>
      </c>
      <c r="K257" s="32" t="n"/>
    </row>
    <row r="258">
      <c r="A258" t="inlineStr">
        <is>
          <t>ENC120032</t>
        </is>
      </c>
      <c r="B258" t="inlineStr">
        <is>
          <t>Cardiac Step-Down</t>
        </is>
      </c>
      <c r="C258" s="29" t="n">
        <v>45969</v>
      </c>
      <c r="D258" s="29" t="n">
        <v>45979</v>
      </c>
      <c r="E258" t="n">
        <v>91</v>
      </c>
      <c r="F258" t="inlineStr">
        <is>
          <t>I50.9</t>
        </is>
      </c>
      <c r="G258" t="inlineStr">
        <is>
          <t>Heart failure, unspecified</t>
        </is>
      </c>
      <c r="H258" s="30" t="n">
        <v>4.1</v>
      </c>
      <c r="I258" t="n">
        <v>10</v>
      </c>
      <c r="J258" s="31" t="n">
        <v>53222.14</v>
      </c>
      <c r="K258" s="32" t="n"/>
    </row>
    <row r="259">
      <c r="A259" t="inlineStr">
        <is>
          <t>ENC120059</t>
        </is>
      </c>
      <c r="B259" t="inlineStr">
        <is>
          <t>Medical-Surgical 4 West</t>
        </is>
      </c>
      <c r="C259" s="29" t="n">
        <v>45971</v>
      </c>
      <c r="D259" s="29" t="n">
        <v>45979</v>
      </c>
      <c r="E259" t="n">
        <v>43</v>
      </c>
      <c r="F259" t="inlineStr">
        <is>
          <t>K56.609</t>
        </is>
      </c>
      <c r="G259" t="inlineStr">
        <is>
          <t>Unspecified intestinal obstruction</t>
        </is>
      </c>
      <c r="H259" s="30" t="n">
        <v>4.6</v>
      </c>
      <c r="I259" t="n">
        <v>8</v>
      </c>
      <c r="J259" s="31" t="n">
        <v>37418.27</v>
      </c>
      <c r="K259" s="32" t="n"/>
    </row>
    <row r="260">
      <c r="A260" t="inlineStr">
        <is>
          <t>ENC120209</t>
        </is>
      </c>
      <c r="B260" t="inlineStr">
        <is>
          <t>Oncology</t>
        </is>
      </c>
      <c r="C260" s="29" t="n">
        <v>45974</v>
      </c>
      <c r="D260" s="29" t="n">
        <v>45979</v>
      </c>
      <c r="E260" t="n">
        <v>59</v>
      </c>
      <c r="F260" t="inlineStr">
        <is>
          <t>C34.90</t>
        </is>
      </c>
      <c r="G260" t="inlineStr">
        <is>
          <t>Malignant neoplasm of unspecified part of unspecified bronchus or lung</t>
        </is>
      </c>
      <c r="H260" s="30" t="n">
        <v>5</v>
      </c>
      <c r="I260" t="n">
        <v>5</v>
      </c>
      <c r="J260" s="31" t="n">
        <v>25595.67</v>
      </c>
      <c r="K260" s="32" t="n"/>
    </row>
    <row r="261">
      <c r="A261" t="inlineStr">
        <is>
          <t>ENC120198</t>
        </is>
      </c>
      <c r="B261" t="inlineStr">
        <is>
          <t>Medical-Surgical 5 East</t>
        </is>
      </c>
      <c r="C261" s="29" t="n">
        <v>45974</v>
      </c>
      <c r="D261" s="29" t="n">
        <v>45979</v>
      </c>
      <c r="E261" t="n">
        <v>54</v>
      </c>
      <c r="F261" t="inlineStr">
        <is>
          <t>N17.9</t>
        </is>
      </c>
      <c r="G261" t="inlineStr">
        <is>
          <t>Acute kidney failure, unspecified</t>
        </is>
      </c>
      <c r="H261" s="30" t="n">
        <v>3.9</v>
      </c>
      <c r="I261" t="n">
        <v>5</v>
      </c>
      <c r="J261" s="31" t="n">
        <v>18695.74</v>
      </c>
      <c r="K261" s="32" t="n"/>
    </row>
    <row r="262">
      <c r="A262" t="inlineStr">
        <is>
          <t>ENC120231</t>
        </is>
      </c>
      <c r="B262" t="inlineStr">
        <is>
          <t>Medical-Surgical 5 East</t>
        </is>
      </c>
      <c r="C262" s="29" t="n">
        <v>45975</v>
      </c>
      <c r="D262" s="29" t="n">
        <v>45979</v>
      </c>
      <c r="E262" t="n">
        <v>36</v>
      </c>
      <c r="F262" t="inlineStr">
        <is>
          <t>K56.609</t>
        </is>
      </c>
      <c r="G262" t="inlineStr">
        <is>
          <t>Unspecified intestinal obstruction</t>
        </is>
      </c>
      <c r="H262" s="30" t="n">
        <v>4.6</v>
      </c>
      <c r="I262" t="n">
        <v>4</v>
      </c>
      <c r="J262" s="31" t="n">
        <v>21484.12</v>
      </c>
      <c r="K262" s="32" t="n"/>
    </row>
    <row r="263">
      <c r="A263" t="inlineStr">
        <is>
          <t>ENC120253</t>
        </is>
      </c>
      <c r="B263" t="inlineStr">
        <is>
          <t>Medical-Surgical 5 East</t>
        </is>
      </c>
      <c r="C263" s="29" t="n">
        <v>45976</v>
      </c>
      <c r="D263" s="29" t="n">
        <v>45979</v>
      </c>
      <c r="E263" t="n">
        <v>6</v>
      </c>
      <c r="F263" t="inlineStr">
        <is>
          <t>K35.80</t>
        </is>
      </c>
      <c r="G263" t="inlineStr">
        <is>
          <t>Unspecified acute appendicitis</t>
        </is>
      </c>
      <c r="H263" s="30" t="n">
        <v>2</v>
      </c>
      <c r="I263" t="n">
        <v>3</v>
      </c>
      <c r="J263" s="31" t="n">
        <v>37335.58</v>
      </c>
      <c r="K263" s="32" t="n"/>
    </row>
    <row r="264">
      <c r="A264" t="inlineStr">
        <is>
          <t>ENC120275</t>
        </is>
      </c>
      <c r="B264" t="inlineStr">
        <is>
          <t>Medical-Surgical 4 West</t>
        </is>
      </c>
      <c r="C264" s="29" t="n">
        <v>45977</v>
      </c>
      <c r="D264" s="29" t="n">
        <v>45979</v>
      </c>
      <c r="E264" t="n">
        <v>71</v>
      </c>
      <c r="F264" t="inlineStr">
        <is>
          <t>K80.20</t>
        </is>
      </c>
      <c r="G264" t="inlineStr">
        <is>
          <t>Calculus of gallbladder without cholecystitis without obstruction</t>
        </is>
      </c>
      <c r="H264" s="30" t="n">
        <v>1.9</v>
      </c>
      <c r="I264" t="n">
        <v>2</v>
      </c>
      <c r="J264" s="31" t="n">
        <v>27500.87</v>
      </c>
      <c r="K264" s="32" t="n"/>
    </row>
    <row r="265">
      <c r="A265" t="inlineStr">
        <is>
          <t>ENC120265</t>
        </is>
      </c>
      <c r="B265" t="inlineStr">
        <is>
          <t>Medical-Surgical 4 West</t>
        </is>
      </c>
      <c r="C265" s="29" t="n">
        <v>45977</v>
      </c>
      <c r="D265" s="29" t="n">
        <v>45979</v>
      </c>
      <c r="E265" t="n">
        <v>61</v>
      </c>
      <c r="F265" t="inlineStr">
        <is>
          <t>E87.1</t>
        </is>
      </c>
      <c r="G265" t="inlineStr">
        <is>
          <t>Hypo-osmolality and hyponatremia</t>
        </is>
      </c>
      <c r="H265" s="30" t="n">
        <v>3.2</v>
      </c>
      <c r="I265" t="n">
        <v>2</v>
      </c>
      <c r="J265" s="31" t="n">
        <v>8107.81</v>
      </c>
      <c r="K265" s="32" t="n"/>
    </row>
    <row r="266">
      <c r="A266" t="inlineStr">
        <is>
          <t>ENC120246</t>
        </is>
      </c>
      <c r="B266" t="inlineStr">
        <is>
          <t>Pediatrics</t>
        </is>
      </c>
      <c r="C266" s="29" t="n">
        <v>45976</v>
      </c>
      <c r="D266" s="29" t="n">
        <v>45980</v>
      </c>
      <c r="E266" t="n">
        <v>2</v>
      </c>
      <c r="F266" t="inlineStr">
        <is>
          <t>J21.9</t>
        </is>
      </c>
      <c r="G266" t="inlineStr">
        <is>
          <t>Acute bronchiolitis, unspecified</t>
        </is>
      </c>
      <c r="H266" s="30" t="n">
        <v>2.4</v>
      </c>
      <c r="I266" t="n">
        <v>4</v>
      </c>
      <c r="J266" s="31" t="n">
        <v>27896.24</v>
      </c>
      <c r="K266" s="32" t="n"/>
    </row>
    <row r="267">
      <c r="A267" t="inlineStr">
        <is>
          <t>ENC120177</t>
        </is>
      </c>
      <c r="B267" t="inlineStr">
        <is>
          <t>Cardiac Step-Down</t>
        </is>
      </c>
      <c r="C267" s="29" t="n">
        <v>45974</v>
      </c>
      <c r="D267" s="29" t="n">
        <v>45980</v>
      </c>
      <c r="E267" t="n">
        <v>47</v>
      </c>
      <c r="F267" t="inlineStr">
        <is>
          <t>I21.4</t>
        </is>
      </c>
      <c r="G267" t="inlineStr">
        <is>
          <t>Non-ST elevation (NSTEMI) myocardial infarction</t>
        </is>
      </c>
      <c r="H267" s="30" t="n">
        <v>3.4</v>
      </c>
      <c r="I267" t="n">
        <v>6</v>
      </c>
      <c r="J267" s="31" t="n">
        <v>112236.92</v>
      </c>
      <c r="K267" s="32" t="n"/>
    </row>
    <row r="268">
      <c r="A268" t="inlineStr">
        <is>
          <t>ENC120207</t>
        </is>
      </c>
      <c r="B268" t="inlineStr">
        <is>
          <t>Medical-Surgical 4 West</t>
        </is>
      </c>
      <c r="C268" s="29" t="n">
        <v>45974</v>
      </c>
      <c r="D268" s="29" t="n">
        <v>45980</v>
      </c>
      <c r="E268" t="n">
        <v>77</v>
      </c>
      <c r="F268" t="inlineStr">
        <is>
          <t>K92.2</t>
        </is>
      </c>
      <c r="G268" t="inlineStr">
        <is>
          <t>Gastrointestinal hemorrhage, unspecified</t>
        </is>
      </c>
      <c r="H268" s="30" t="n">
        <v>3.5</v>
      </c>
      <c r="I268" t="n">
        <v>6</v>
      </c>
      <c r="J268" s="31" t="n">
        <v>20174.44</v>
      </c>
      <c r="K268" s="32" t="n"/>
    </row>
    <row r="269">
      <c r="A269" t="inlineStr">
        <is>
          <t>ENC120276</t>
        </is>
      </c>
      <c r="B269" t="inlineStr">
        <is>
          <t>Neuroscience &amp; Stroke</t>
        </is>
      </c>
      <c r="C269" s="29" t="n">
        <v>45977</v>
      </c>
      <c r="D269" s="29" t="n">
        <v>45980</v>
      </c>
      <c r="E269" t="n">
        <v>22</v>
      </c>
      <c r="F269" t="inlineStr">
        <is>
          <t>G40.909</t>
        </is>
      </c>
      <c r="G269" t="inlineStr">
        <is>
          <t>Epilepsy, unspecified, not intractable, without status epilepticus</t>
        </is>
      </c>
      <c r="H269" s="30" t="n">
        <v>2.5</v>
      </c>
      <c r="I269" t="n">
        <v>3</v>
      </c>
      <c r="J269" s="31" t="n">
        <v>16683.21</v>
      </c>
      <c r="K269" s="32" t="n"/>
    </row>
    <row r="270">
      <c r="A270" t="inlineStr">
        <is>
          <t>ENC120280</t>
        </is>
      </c>
      <c r="B270" t="inlineStr">
        <is>
          <t>Labor &amp; Delivery</t>
        </is>
      </c>
      <c r="C270" s="29" t="n">
        <v>45978</v>
      </c>
      <c r="D270" s="29" t="n">
        <v>45981</v>
      </c>
      <c r="E270" t="n">
        <v>39</v>
      </c>
      <c r="F270" t="inlineStr">
        <is>
          <t>O82</t>
        </is>
      </c>
      <c r="G270" t="inlineStr">
        <is>
          <t>Encounter for cesarean delivery without indication</t>
        </is>
      </c>
      <c r="H270" s="30" t="n">
        <v>2.9</v>
      </c>
      <c r="I270" t="n">
        <v>3</v>
      </c>
      <c r="J270" s="31" t="n">
        <v>18590.61</v>
      </c>
      <c r="K270" s="32" t="n"/>
    </row>
    <row r="271">
      <c r="A271" t="inlineStr">
        <is>
          <t>ENC120167</t>
        </is>
      </c>
      <c r="B271" t="inlineStr">
        <is>
          <t>Medical-Surgical 4 West</t>
        </is>
      </c>
      <c r="C271" s="29" t="n">
        <v>45973</v>
      </c>
      <c r="D271" s="29" t="n">
        <v>45981</v>
      </c>
      <c r="E271" t="n">
        <v>88</v>
      </c>
      <c r="F271" t="inlineStr">
        <is>
          <t>J18.9</t>
        </is>
      </c>
      <c r="G271" t="inlineStr">
        <is>
          <t>Pneumonia, unspecified organism</t>
        </is>
      </c>
      <c r="H271" s="30" t="n">
        <v>3.9</v>
      </c>
      <c r="I271" t="n">
        <v>8</v>
      </c>
      <c r="J271" s="31" t="n">
        <v>22569.43</v>
      </c>
      <c r="K271" s="32" t="n"/>
    </row>
    <row r="272">
      <c r="A272" t="inlineStr">
        <is>
          <t>ENC120356</t>
        </is>
      </c>
      <c r="B272" t="inlineStr">
        <is>
          <t>Medical-Surgical 4 West</t>
        </is>
      </c>
      <c r="C272" s="29" t="n">
        <v>45979</v>
      </c>
      <c r="D272" s="29" t="n">
        <v>45981</v>
      </c>
      <c r="E272" t="n">
        <v>84</v>
      </c>
      <c r="F272" t="inlineStr">
        <is>
          <t>K92.2</t>
        </is>
      </c>
      <c r="G272" t="inlineStr">
        <is>
          <t>Gastrointestinal hemorrhage, unspecified</t>
        </is>
      </c>
      <c r="H272" s="30" t="n">
        <v>3.5</v>
      </c>
      <c r="I272" t="n">
        <v>2</v>
      </c>
      <c r="J272" s="31" t="n">
        <v>10326.8</v>
      </c>
      <c r="K272" s="32" t="n"/>
    </row>
    <row r="273">
      <c r="A273" t="inlineStr">
        <is>
          <t>ENC120039</t>
        </is>
      </c>
      <c r="B273" t="inlineStr">
        <is>
          <t>Oncology</t>
        </is>
      </c>
      <c r="C273" s="29" t="n">
        <v>45970</v>
      </c>
      <c r="D273" s="29" t="n">
        <v>45981</v>
      </c>
      <c r="E273" t="n">
        <v>82</v>
      </c>
      <c r="F273" t="inlineStr">
        <is>
          <t>C34.90</t>
        </is>
      </c>
      <c r="G273" t="inlineStr">
        <is>
          <t>Malignant neoplasm of unspecified part of unspecified bronchus or lung</t>
        </is>
      </c>
      <c r="H273" s="30" t="n">
        <v>5</v>
      </c>
      <c r="I273" t="n">
        <v>11</v>
      </c>
      <c r="J273" s="31" t="n">
        <v>66195.42999999999</v>
      </c>
      <c r="K273" s="32" t="n"/>
    </row>
    <row r="274">
      <c r="A274" t="inlineStr">
        <is>
          <t>ENC120285</t>
        </is>
      </c>
      <c r="B274" t="inlineStr">
        <is>
          <t>Labor &amp; Delivery</t>
        </is>
      </c>
      <c r="C274" s="29" t="n">
        <v>45978</v>
      </c>
      <c r="D274" s="29" t="n">
        <v>45981</v>
      </c>
      <c r="E274" t="n">
        <v>21</v>
      </c>
      <c r="F274" t="inlineStr">
        <is>
          <t>O80</t>
        </is>
      </c>
      <c r="G274" t="inlineStr">
        <is>
          <t>Encounter for full-term uncomplicated delivery</t>
        </is>
      </c>
      <c r="H274" s="30" t="n">
        <v>2</v>
      </c>
      <c r="I274" t="n">
        <v>3</v>
      </c>
      <c r="J274" s="31" t="n">
        <v>17431.22</v>
      </c>
      <c r="K274" s="32" t="n"/>
    </row>
    <row r="275">
      <c r="A275" t="inlineStr">
        <is>
          <t>ENC120114</t>
        </is>
      </c>
      <c r="B275" t="inlineStr">
        <is>
          <t>Medical-Surgical 4 West</t>
        </is>
      </c>
      <c r="C275" s="29" t="n">
        <v>45972</v>
      </c>
      <c r="D275" s="29" t="n">
        <v>45981</v>
      </c>
      <c r="E275" t="n">
        <v>78</v>
      </c>
      <c r="F275" t="inlineStr">
        <is>
          <t>A41.9</t>
        </is>
      </c>
      <c r="G275" t="inlineStr">
        <is>
          <t>Sepsis, unspecified organism</t>
        </is>
      </c>
      <c r="H275" s="30" t="n">
        <v>5</v>
      </c>
      <c r="I275" t="n">
        <v>9</v>
      </c>
      <c r="J275" s="31" t="n">
        <v>118837.48</v>
      </c>
      <c r="K275" s="32" t="n"/>
    </row>
    <row r="276">
      <c r="A276" t="inlineStr">
        <is>
          <t>ENC120252</t>
        </is>
      </c>
      <c r="B276" t="inlineStr">
        <is>
          <t>Medical-Surgical 5 East</t>
        </is>
      </c>
      <c r="C276" s="29" t="n">
        <v>45976</v>
      </c>
      <c r="D276" s="29" t="n">
        <v>45981</v>
      </c>
      <c r="E276" t="n">
        <v>77</v>
      </c>
      <c r="F276" t="inlineStr">
        <is>
          <t>E87.1</t>
        </is>
      </c>
      <c r="G276" t="inlineStr">
        <is>
          <t>Hypo-osmolality and hyponatremia</t>
        </is>
      </c>
      <c r="H276" s="30" t="n">
        <v>3.2</v>
      </c>
      <c r="I276" t="n">
        <v>5</v>
      </c>
      <c r="J276" s="31" t="n">
        <v>19936.6</v>
      </c>
      <c r="K276" s="32" t="n"/>
    </row>
    <row r="277">
      <c r="A277" t="inlineStr">
        <is>
          <t>ENC120251</t>
        </is>
      </c>
      <c r="B277" t="inlineStr">
        <is>
          <t>Oncology</t>
        </is>
      </c>
      <c r="C277" s="29" t="n">
        <v>45976</v>
      </c>
      <c r="D277" s="29" t="n">
        <v>45982</v>
      </c>
      <c r="E277" t="n">
        <v>79</v>
      </c>
      <c r="F277" t="inlineStr">
        <is>
          <t>D70.1</t>
        </is>
      </c>
      <c r="G277" t="inlineStr">
        <is>
          <t>Agranulocytosis secondary to cancer chemotherapy</t>
        </is>
      </c>
      <c r="H277" s="30" t="n">
        <v>4.5</v>
      </c>
      <c r="I277" t="n">
        <v>6</v>
      </c>
      <c r="J277" s="31" t="n">
        <v>39628.05</v>
      </c>
      <c r="K277" s="32" t="n"/>
    </row>
    <row r="278">
      <c r="A278" t="inlineStr">
        <is>
          <t>ENC120049</t>
        </is>
      </c>
      <c r="B278" t="inlineStr">
        <is>
          <t>Medical-Surgical 4 West</t>
        </is>
      </c>
      <c r="C278" s="29" t="n">
        <v>45970</v>
      </c>
      <c r="D278" s="29" t="n">
        <v>45982</v>
      </c>
      <c r="E278" t="n">
        <v>52</v>
      </c>
      <c r="F278" t="inlineStr">
        <is>
          <t>A41.9</t>
        </is>
      </c>
      <c r="G278" t="inlineStr">
        <is>
          <t>Sepsis, unspecified organism</t>
        </is>
      </c>
      <c r="H278" s="30" t="n">
        <v>5</v>
      </c>
      <c r="I278" t="n">
        <v>12</v>
      </c>
      <c r="J278" s="31" t="n">
        <v>135289.93</v>
      </c>
      <c r="K278" s="32" t="n"/>
    </row>
    <row r="279">
      <c r="A279" t="inlineStr">
        <is>
          <t>ENC120268</t>
        </is>
      </c>
      <c r="B279" t="inlineStr">
        <is>
          <t>Medical-Surgical 5 East</t>
        </is>
      </c>
      <c r="C279" s="29" t="n">
        <v>45977</v>
      </c>
      <c r="D279" s="29" t="n">
        <v>45982</v>
      </c>
      <c r="E279" t="n">
        <v>63</v>
      </c>
      <c r="F279" t="inlineStr">
        <is>
          <t>J18.9</t>
        </is>
      </c>
      <c r="G279" t="inlineStr">
        <is>
          <t>Pneumonia, unspecified organism</t>
        </is>
      </c>
      <c r="H279" s="30" t="n">
        <v>3.9</v>
      </c>
      <c r="I279" t="n">
        <v>5</v>
      </c>
      <c r="J279" s="31" t="n">
        <v>22212.86</v>
      </c>
      <c r="K279" s="32" t="n"/>
    </row>
    <row r="280">
      <c r="A280" t="inlineStr">
        <is>
          <t>ENC120348</t>
        </is>
      </c>
      <c r="B280" t="inlineStr">
        <is>
          <t>Medical-Surgical 4 West</t>
        </is>
      </c>
      <c r="C280" s="29" t="n">
        <v>45979</v>
      </c>
      <c r="D280" s="29" t="n">
        <v>45982</v>
      </c>
      <c r="E280" t="n">
        <v>52</v>
      </c>
      <c r="F280" t="inlineStr">
        <is>
          <t>J44.1</t>
        </is>
      </c>
      <c r="G280" t="inlineStr">
        <is>
          <t>Chronic obstructive pulmonary disease with (acute) exacerbation</t>
        </is>
      </c>
      <c r="H280" s="30" t="n">
        <v>3.4</v>
      </c>
      <c r="I280" t="n">
        <v>3</v>
      </c>
      <c r="J280" s="31" t="n">
        <v>14328.6</v>
      </c>
      <c r="K280" s="32" t="n"/>
    </row>
    <row r="281">
      <c r="A281" t="inlineStr">
        <is>
          <t>ENC120176</t>
        </is>
      </c>
      <c r="B281" t="inlineStr">
        <is>
          <t>Behavioral Health</t>
        </is>
      </c>
      <c r="C281" s="29" t="n">
        <v>45974</v>
      </c>
      <c r="D281" s="29" t="n">
        <v>45982</v>
      </c>
      <c r="E281" t="n">
        <v>24</v>
      </c>
      <c r="F281" t="inlineStr">
        <is>
          <t>F20.9</t>
        </is>
      </c>
      <c r="G281" t="inlineStr">
        <is>
          <t>Schizophrenia, unspecified</t>
        </is>
      </c>
      <c r="H281" s="30" t="n">
        <v>8.9</v>
      </c>
      <c r="I281" t="n">
        <v>8</v>
      </c>
      <c r="J281" s="31" t="n">
        <v>26938.04</v>
      </c>
      <c r="K281" s="32" t="n"/>
    </row>
    <row r="282">
      <c r="A282" t="inlineStr">
        <is>
          <t>ENC120386</t>
        </is>
      </c>
      <c r="B282" t="inlineStr">
        <is>
          <t>Pediatrics</t>
        </is>
      </c>
      <c r="C282" s="29" t="n">
        <v>45980</v>
      </c>
      <c r="D282" s="29" t="n">
        <v>45982</v>
      </c>
      <c r="E282" t="n">
        <v>2</v>
      </c>
      <c r="F282" t="inlineStr">
        <is>
          <t>J21.9</t>
        </is>
      </c>
      <c r="G282" t="inlineStr">
        <is>
          <t>Acute bronchiolitis, unspecified</t>
        </is>
      </c>
      <c r="H282" s="30" t="n">
        <v>2.4</v>
      </c>
      <c r="I282" t="n">
        <v>2</v>
      </c>
      <c r="J282" s="31" t="n">
        <v>9073.719999999999</v>
      </c>
      <c r="K282" s="32" t="n"/>
    </row>
    <row r="283">
      <c r="A283" t="inlineStr">
        <is>
          <t>ENC120266</t>
        </is>
      </c>
      <c r="B283" t="inlineStr">
        <is>
          <t>Oncology</t>
        </is>
      </c>
      <c r="C283" s="29" t="n">
        <v>45977</v>
      </c>
      <c r="D283" s="29" t="n">
        <v>45982</v>
      </c>
      <c r="E283" t="n">
        <v>67</v>
      </c>
      <c r="F283" t="inlineStr">
        <is>
          <t>C34.90</t>
        </is>
      </c>
      <c r="G283" t="inlineStr">
        <is>
          <t>Malignant neoplasm of unspecified part of unspecified bronchus or lung</t>
        </is>
      </c>
      <c r="H283" s="30" t="n">
        <v>5</v>
      </c>
      <c r="I283" t="n">
        <v>5</v>
      </c>
      <c r="J283" s="31" t="n">
        <v>40787.44</v>
      </c>
      <c r="K283" s="32" t="n"/>
    </row>
    <row r="284">
      <c r="A284" t="inlineStr">
        <is>
          <t>ENC120403</t>
        </is>
      </c>
      <c r="B284" t="inlineStr">
        <is>
          <t>Labor &amp; Delivery</t>
        </is>
      </c>
      <c r="C284" s="29" t="n">
        <v>45981</v>
      </c>
      <c r="D284" s="29" t="n">
        <v>45982</v>
      </c>
      <c r="E284" t="n">
        <v>42</v>
      </c>
      <c r="F284" t="inlineStr">
        <is>
          <t>O80</t>
        </is>
      </c>
      <c r="G284" t="inlineStr">
        <is>
          <t>Encounter for full-term uncomplicated delivery</t>
        </is>
      </c>
      <c r="H284" s="30" t="n">
        <v>2</v>
      </c>
      <c r="I284" t="n">
        <v>1</v>
      </c>
      <c r="J284" s="31" t="n">
        <v>17816.62</v>
      </c>
      <c r="K284" s="32" t="n"/>
    </row>
    <row r="285">
      <c r="A285" t="inlineStr">
        <is>
          <t>ENC120316</t>
        </is>
      </c>
      <c r="B285" t="inlineStr">
        <is>
          <t>Medical-Surgical 4 West</t>
        </is>
      </c>
      <c r="C285" s="29" t="n">
        <v>45978</v>
      </c>
      <c r="D285" s="29" t="n">
        <v>45983</v>
      </c>
      <c r="E285" t="n">
        <v>76</v>
      </c>
      <c r="F285" t="inlineStr">
        <is>
          <t>J18.9</t>
        </is>
      </c>
      <c r="G285" t="inlineStr">
        <is>
          <t>Pneumonia, unspecified organism</t>
        </is>
      </c>
      <c r="H285" s="30" t="n">
        <v>3.9</v>
      </c>
      <c r="I285" t="n">
        <v>5</v>
      </c>
      <c r="J285" s="31" t="n">
        <v>18713.94</v>
      </c>
      <c r="K285" s="32" t="n"/>
    </row>
    <row r="286">
      <c r="A286" t="inlineStr">
        <is>
          <t>ENC120430</t>
        </is>
      </c>
      <c r="B286" t="inlineStr">
        <is>
          <t>Medical-Surgical 4 West</t>
        </is>
      </c>
      <c r="C286" s="29" t="n">
        <v>45981</v>
      </c>
      <c r="D286" s="29" t="n">
        <v>45983</v>
      </c>
      <c r="E286" t="n">
        <v>56</v>
      </c>
      <c r="F286" t="inlineStr">
        <is>
          <t>J18.9</t>
        </is>
      </c>
      <c r="G286" t="inlineStr">
        <is>
          <t>Pneumonia, unspecified organism</t>
        </is>
      </c>
      <c r="H286" s="30" t="n">
        <v>3.9</v>
      </c>
      <c r="I286" t="n">
        <v>2</v>
      </c>
      <c r="J286" s="31" t="n">
        <v>23664.31</v>
      </c>
      <c r="K286" s="32" t="n"/>
    </row>
    <row r="287">
      <c r="A287" t="inlineStr">
        <is>
          <t>ENC120438</t>
        </is>
      </c>
      <c r="B287" t="inlineStr">
        <is>
          <t>Medical-Surgical 4 West</t>
        </is>
      </c>
      <c r="C287" s="29" t="n">
        <v>45981</v>
      </c>
      <c r="D287" s="29" t="n">
        <v>45983</v>
      </c>
      <c r="E287" t="n">
        <v>29</v>
      </c>
      <c r="F287" t="inlineStr">
        <is>
          <t>E11.65</t>
        </is>
      </c>
      <c r="G287" t="inlineStr">
        <is>
          <t>Type 2 diabetes mellitus with hyperglycemia</t>
        </is>
      </c>
      <c r="H287" s="30" t="n">
        <v>3</v>
      </c>
      <c r="I287" t="n">
        <v>2</v>
      </c>
      <c r="J287" s="31" t="n">
        <v>9099.51</v>
      </c>
      <c r="K287" s="32" t="n"/>
    </row>
    <row r="288">
      <c r="A288" t="inlineStr">
        <is>
          <t>ENC120424</t>
        </is>
      </c>
      <c r="B288" t="inlineStr">
        <is>
          <t>Medical-Surgical 5 East</t>
        </is>
      </c>
      <c r="C288" s="29" t="n">
        <v>45981</v>
      </c>
      <c r="D288" s="29" t="n">
        <v>45983</v>
      </c>
      <c r="E288" t="n">
        <v>28</v>
      </c>
      <c r="F288" t="inlineStr">
        <is>
          <t>J18.9</t>
        </is>
      </c>
      <c r="G288" t="inlineStr">
        <is>
          <t>Pneumonia, unspecified organism</t>
        </is>
      </c>
      <c r="H288" s="30" t="n">
        <v>3.9</v>
      </c>
      <c r="I288" t="n">
        <v>2</v>
      </c>
      <c r="J288" s="31" t="n">
        <v>12051.23</v>
      </c>
      <c r="K288" s="32" t="n"/>
    </row>
    <row r="289">
      <c r="A289" t="inlineStr">
        <is>
          <t>ENC120241</t>
        </is>
      </c>
      <c r="B289" t="inlineStr">
        <is>
          <t>Behavioral Health</t>
        </is>
      </c>
      <c r="C289" s="29" t="n">
        <v>45976</v>
      </c>
      <c r="D289" s="29" t="n">
        <v>45983</v>
      </c>
      <c r="E289" t="n">
        <v>39</v>
      </c>
      <c r="F289" t="inlineStr">
        <is>
          <t>F32.9</t>
        </is>
      </c>
      <c r="G289" t="inlineStr">
        <is>
          <t>Major depressive disorder, single episode, unspecified</t>
        </is>
      </c>
      <c r="H289" s="30" t="n">
        <v>6.8</v>
      </c>
      <c r="I289" t="n">
        <v>7</v>
      </c>
      <c r="J289" s="31" t="n">
        <v>40032.3</v>
      </c>
      <c r="K289" s="32" t="n"/>
    </row>
    <row r="290">
      <c r="A290" t="inlineStr">
        <is>
          <t>ENC120445</t>
        </is>
      </c>
      <c r="B290" t="inlineStr">
        <is>
          <t>Medical-Surgical 5 East</t>
        </is>
      </c>
      <c r="C290" s="29" t="n">
        <v>45982</v>
      </c>
      <c r="D290" s="29" t="n">
        <v>45983</v>
      </c>
      <c r="E290" t="n">
        <v>42</v>
      </c>
      <c r="F290" t="inlineStr">
        <is>
          <t>K80.20</t>
        </is>
      </c>
      <c r="G290" t="inlineStr">
        <is>
          <t>Calculus of gallbladder without cholecystitis without obstruction</t>
        </is>
      </c>
      <c r="H290" s="30" t="n">
        <v>1.9</v>
      </c>
      <c r="I290" t="n">
        <v>1</v>
      </c>
      <c r="J290" s="31" t="n">
        <v>31652.61</v>
      </c>
      <c r="K290" s="32" t="n"/>
    </row>
    <row r="291">
      <c r="A291" t="inlineStr">
        <is>
          <t>ENC120355</t>
        </is>
      </c>
      <c r="B291" t="inlineStr">
        <is>
          <t>Medical-Surgical 4 West</t>
        </is>
      </c>
      <c r="C291" s="29" t="n">
        <v>45979</v>
      </c>
      <c r="D291" s="29" t="n">
        <v>45983</v>
      </c>
      <c r="E291" t="n">
        <v>68</v>
      </c>
      <c r="F291" t="inlineStr">
        <is>
          <t>J18.9</t>
        </is>
      </c>
      <c r="G291" t="inlineStr">
        <is>
          <t>Pneumonia, unspecified organism</t>
        </is>
      </c>
      <c r="H291" s="30" t="n">
        <v>3.9</v>
      </c>
      <c r="I291" t="n">
        <v>4</v>
      </c>
      <c r="J291" s="31" t="n">
        <v>16511.45</v>
      </c>
      <c r="K291" s="32" t="n"/>
    </row>
    <row r="292">
      <c r="A292" t="inlineStr">
        <is>
          <t>ENC120367</t>
        </is>
      </c>
      <c r="B292" t="inlineStr">
        <is>
          <t>Cardiac Step-Down</t>
        </is>
      </c>
      <c r="C292" s="29" t="n">
        <v>45980</v>
      </c>
      <c r="D292" s="29" t="n">
        <v>45983</v>
      </c>
      <c r="E292" t="n">
        <v>71</v>
      </c>
      <c r="F292" t="inlineStr">
        <is>
          <t>I50.9</t>
        </is>
      </c>
      <c r="G292" t="inlineStr">
        <is>
          <t>Heart failure, unspecified</t>
        </is>
      </c>
      <c r="H292" s="30" t="n">
        <v>4.1</v>
      </c>
      <c r="I292" t="n">
        <v>3</v>
      </c>
      <c r="J292" s="31" t="n">
        <v>26169.36</v>
      </c>
      <c r="K292" s="32" t="n"/>
    </row>
    <row r="293">
      <c r="A293" t="inlineStr">
        <is>
          <t>ENC120450</t>
        </is>
      </c>
      <c r="B293" t="inlineStr">
        <is>
          <t>Cardiac Step-Down</t>
        </is>
      </c>
      <c r="C293" s="29" t="n">
        <v>45982</v>
      </c>
      <c r="D293" s="29" t="n">
        <v>45983</v>
      </c>
      <c r="E293" t="n">
        <v>83</v>
      </c>
      <c r="F293" t="inlineStr">
        <is>
          <t>I21.4</t>
        </is>
      </c>
      <c r="G293" t="inlineStr">
        <is>
          <t>Non-ST elevation (NSTEMI) myocardial infarction</t>
        </is>
      </c>
      <c r="H293" s="30" t="n">
        <v>3.4</v>
      </c>
      <c r="I293" t="n">
        <v>1</v>
      </c>
      <c r="J293" s="31" t="n">
        <v>45997.01</v>
      </c>
      <c r="K293" s="32" t="n"/>
    </row>
    <row r="294">
      <c r="A294" t="inlineStr">
        <is>
          <t>ENC120294</t>
        </is>
      </c>
      <c r="B294" t="inlineStr">
        <is>
          <t>Intensive Care Unit</t>
        </is>
      </c>
      <c r="C294" s="29" t="n">
        <v>45978</v>
      </c>
      <c r="D294" s="29" t="n">
        <v>45984</v>
      </c>
      <c r="E294" t="n">
        <v>95</v>
      </c>
      <c r="F294" t="inlineStr">
        <is>
          <t>J96.01</t>
        </is>
      </c>
      <c r="G294" t="inlineStr">
        <is>
          <t>Acute respiratory failure with hypoxia</t>
        </is>
      </c>
      <c r="H294" s="30" t="n">
        <v>4.8</v>
      </c>
      <c r="I294" t="n">
        <v>6</v>
      </c>
      <c r="J294" s="31" t="n">
        <v>94149.39999999999</v>
      </c>
      <c r="K294" s="32" t="n"/>
    </row>
    <row r="295">
      <c r="A295" t="inlineStr">
        <is>
          <t>ENC120406</t>
        </is>
      </c>
      <c r="B295" t="inlineStr">
        <is>
          <t>Labor &amp; Delivery</t>
        </is>
      </c>
      <c r="C295" s="29" t="n">
        <v>45981</v>
      </c>
      <c r="D295" s="29" t="n">
        <v>45984</v>
      </c>
      <c r="E295" t="n">
        <v>29</v>
      </c>
      <c r="F295" t="inlineStr">
        <is>
          <t>O80</t>
        </is>
      </c>
      <c r="G295" t="inlineStr">
        <is>
          <t>Encounter for full-term uncomplicated delivery</t>
        </is>
      </c>
      <c r="H295" s="30" t="n">
        <v>2</v>
      </c>
      <c r="I295" t="n">
        <v>3</v>
      </c>
      <c r="J295" s="31" t="n">
        <v>19136.34</v>
      </c>
      <c r="K295" s="32" t="n"/>
    </row>
    <row r="296">
      <c r="A296" t="inlineStr">
        <is>
          <t>ENC120365</t>
        </is>
      </c>
      <c r="B296" t="inlineStr">
        <is>
          <t>Labor &amp; Delivery</t>
        </is>
      </c>
      <c r="C296" s="29" t="n">
        <v>45980</v>
      </c>
      <c r="D296" s="29" t="n">
        <v>45984</v>
      </c>
      <c r="E296" t="n">
        <v>32</v>
      </c>
      <c r="F296" t="inlineStr">
        <is>
          <t>O82</t>
        </is>
      </c>
      <c r="G296" t="inlineStr">
        <is>
          <t>Encounter for cesarean delivery without indication</t>
        </is>
      </c>
      <c r="H296" s="30" t="n">
        <v>2.9</v>
      </c>
      <c r="I296" t="n">
        <v>4</v>
      </c>
      <c r="J296" s="31" t="n">
        <v>27058.7</v>
      </c>
      <c r="K296" s="32" t="n"/>
    </row>
    <row r="297">
      <c r="A297" t="inlineStr">
        <is>
          <t>ENC120233</t>
        </is>
      </c>
      <c r="B297" t="inlineStr">
        <is>
          <t>Cardiac Step-Down</t>
        </is>
      </c>
      <c r="C297" s="29" t="n">
        <v>45975</v>
      </c>
      <c r="D297" s="29" t="n">
        <v>45984</v>
      </c>
      <c r="E297" t="n">
        <v>63</v>
      </c>
      <c r="F297" t="inlineStr">
        <is>
          <t>I50.9</t>
        </is>
      </c>
      <c r="G297" t="inlineStr">
        <is>
          <t>Heart failure, unspecified</t>
        </is>
      </c>
      <c r="H297" s="30" t="n">
        <v>4.1</v>
      </c>
      <c r="I297" t="n">
        <v>9</v>
      </c>
      <c r="J297" s="31" t="n">
        <v>38721.18</v>
      </c>
      <c r="K297" s="32" t="n"/>
    </row>
    <row r="298">
      <c r="A298" t="inlineStr">
        <is>
          <t>ENC120395</t>
        </is>
      </c>
      <c r="B298" t="inlineStr">
        <is>
          <t>Medical-Surgical 5 East</t>
        </is>
      </c>
      <c r="C298" s="29" t="n">
        <v>45980</v>
      </c>
      <c r="D298" s="29" t="n">
        <v>45984</v>
      </c>
      <c r="E298" t="n">
        <v>32</v>
      </c>
      <c r="F298" t="inlineStr">
        <is>
          <t>K56.609</t>
        </is>
      </c>
      <c r="G298" t="inlineStr">
        <is>
          <t>Unspecified intestinal obstruction</t>
        </is>
      </c>
      <c r="H298" s="30" t="n">
        <v>4.6</v>
      </c>
      <c r="I298" t="n">
        <v>4</v>
      </c>
      <c r="J298" s="31" t="n">
        <v>33881.11</v>
      </c>
      <c r="K298" s="32" t="n"/>
    </row>
    <row r="299">
      <c r="A299" t="inlineStr">
        <is>
          <t>ENC120380</t>
        </is>
      </c>
      <c r="B299" t="inlineStr">
        <is>
          <t>Medical-Surgical 4 West</t>
        </is>
      </c>
      <c r="C299" s="29" t="n">
        <v>45980</v>
      </c>
      <c r="D299" s="29" t="n">
        <v>45984</v>
      </c>
      <c r="E299" t="n">
        <v>63</v>
      </c>
      <c r="F299" t="inlineStr">
        <is>
          <t>J18.9</t>
        </is>
      </c>
      <c r="G299" t="inlineStr">
        <is>
          <t>Pneumonia, unspecified organism</t>
        </is>
      </c>
      <c r="H299" s="30" t="n">
        <v>3.9</v>
      </c>
      <c r="I299" t="n">
        <v>4</v>
      </c>
      <c r="J299" s="31" t="n">
        <v>16701.39</v>
      </c>
      <c r="K299" s="32" t="n"/>
    </row>
    <row r="300">
      <c r="A300" t="inlineStr">
        <is>
          <t>ENC120366</t>
        </is>
      </c>
      <c r="B300" t="inlineStr">
        <is>
          <t>Medical-Surgical 4 West</t>
        </is>
      </c>
      <c r="C300" s="29" t="n">
        <v>45980</v>
      </c>
      <c r="D300" s="29" t="n">
        <v>45984</v>
      </c>
      <c r="E300" t="n">
        <v>86</v>
      </c>
      <c r="F300" t="inlineStr">
        <is>
          <t>J44.1</t>
        </is>
      </c>
      <c r="G300" t="inlineStr">
        <is>
          <t>Chronic obstructive pulmonary disease with (acute) exacerbation</t>
        </is>
      </c>
      <c r="H300" s="30" t="n">
        <v>3.4</v>
      </c>
      <c r="I300" t="n">
        <v>4</v>
      </c>
      <c r="J300" s="31" t="n">
        <v>18498.12</v>
      </c>
      <c r="K300" s="32" t="n"/>
    </row>
    <row r="301">
      <c r="A301" t="inlineStr">
        <is>
          <t>ENC120328</t>
        </is>
      </c>
      <c r="B301" t="inlineStr">
        <is>
          <t>Intensive Care Unit</t>
        </is>
      </c>
      <c r="C301" s="29" t="n">
        <v>45979</v>
      </c>
      <c r="D301" s="29" t="n">
        <v>45985</v>
      </c>
      <c r="E301" t="n">
        <v>57</v>
      </c>
      <c r="F301" t="inlineStr">
        <is>
          <t>J96.01</t>
        </is>
      </c>
      <c r="G301" t="inlineStr">
        <is>
          <t>Acute respiratory failure with hypoxia</t>
        </is>
      </c>
      <c r="H301" s="30" t="n">
        <v>4.8</v>
      </c>
      <c r="I301" t="n">
        <v>6</v>
      </c>
      <c r="J301" s="31" t="n">
        <v>36810.63</v>
      </c>
      <c r="K301" s="32" t="n"/>
    </row>
    <row r="302">
      <c r="A302" t="inlineStr">
        <is>
          <t>ENC120487</t>
        </is>
      </c>
      <c r="B302" t="inlineStr">
        <is>
          <t>Medical-Surgical 4 West</t>
        </is>
      </c>
      <c r="C302" s="29" t="n">
        <v>45983</v>
      </c>
      <c r="D302" s="29" t="n">
        <v>45985</v>
      </c>
      <c r="E302" t="n">
        <v>77</v>
      </c>
      <c r="F302" t="inlineStr">
        <is>
          <t>K80.20</t>
        </is>
      </c>
      <c r="G302" t="inlineStr">
        <is>
          <t>Calculus of gallbladder without cholecystitis without obstruction</t>
        </is>
      </c>
      <c r="H302" s="30" t="n">
        <v>1.9</v>
      </c>
      <c r="I302" t="n">
        <v>2</v>
      </c>
      <c r="J302" s="31" t="n">
        <v>24544.58</v>
      </c>
      <c r="K302" s="32" t="n"/>
    </row>
    <row r="303">
      <c r="A303" t="inlineStr">
        <is>
          <t>ENC120309</t>
        </is>
      </c>
      <c r="B303" t="inlineStr">
        <is>
          <t>Medical-Surgical 4 West</t>
        </is>
      </c>
      <c r="C303" s="29" t="n">
        <v>45978</v>
      </c>
      <c r="D303" s="29" t="n">
        <v>45985</v>
      </c>
      <c r="E303" t="n">
        <v>81</v>
      </c>
      <c r="F303" t="inlineStr">
        <is>
          <t>J18.9</t>
        </is>
      </c>
      <c r="G303" t="inlineStr">
        <is>
          <t>Pneumonia, unspecified organism</t>
        </is>
      </c>
      <c r="H303" s="30" t="n">
        <v>3.9</v>
      </c>
      <c r="I303" t="n">
        <v>7</v>
      </c>
      <c r="J303" s="31" t="n">
        <v>22061.04</v>
      </c>
      <c r="K303" s="32" t="n"/>
    </row>
    <row r="304">
      <c r="A304" t="inlineStr">
        <is>
          <t>ENC120480</t>
        </is>
      </c>
      <c r="B304" t="inlineStr">
        <is>
          <t>Cardiac Step-Down</t>
        </is>
      </c>
      <c r="C304" s="29" t="n">
        <v>45983</v>
      </c>
      <c r="D304" s="29" t="n">
        <v>45985</v>
      </c>
      <c r="E304" t="n">
        <v>88</v>
      </c>
      <c r="F304" t="inlineStr">
        <is>
          <t>I50.9</t>
        </is>
      </c>
      <c r="G304" t="inlineStr">
        <is>
          <t>Heart failure, unspecified</t>
        </is>
      </c>
      <c r="H304" s="30" t="n">
        <v>4.1</v>
      </c>
      <c r="I304" t="n">
        <v>2</v>
      </c>
      <c r="J304" s="31" t="n">
        <v>16723.35</v>
      </c>
      <c r="K304" s="32" t="n"/>
    </row>
    <row r="305">
      <c r="A305" t="inlineStr">
        <is>
          <t>ENC120442</t>
        </is>
      </c>
      <c r="B305" t="inlineStr">
        <is>
          <t>Intensive Care Unit</t>
        </is>
      </c>
      <c r="C305" s="29" t="n">
        <v>45982</v>
      </c>
      <c r="D305" s="29" t="n">
        <v>45985</v>
      </c>
      <c r="E305" t="n">
        <v>96</v>
      </c>
      <c r="F305" t="inlineStr">
        <is>
          <t>A41.9</t>
        </is>
      </c>
      <c r="G305" t="inlineStr">
        <is>
          <t>Sepsis, unspecified organism</t>
        </is>
      </c>
      <c r="H305" s="30" t="n">
        <v>5</v>
      </c>
      <c r="I305" t="n">
        <v>3</v>
      </c>
      <c r="J305" s="31" t="n">
        <v>21383.36</v>
      </c>
      <c r="K305" s="32" t="n"/>
    </row>
    <row r="306">
      <c r="A306" t="inlineStr">
        <is>
          <t>ENC120344</t>
        </is>
      </c>
      <c r="B306" t="inlineStr">
        <is>
          <t>Behavioral Health</t>
        </is>
      </c>
      <c r="C306" s="29" t="n">
        <v>45979</v>
      </c>
      <c r="D306" s="29" t="n">
        <v>45985</v>
      </c>
      <c r="E306" t="n">
        <v>17</v>
      </c>
      <c r="F306" t="inlineStr">
        <is>
          <t>F32.9</t>
        </is>
      </c>
      <c r="G306" t="inlineStr">
        <is>
          <t>Major depressive disorder, single episode, unspecified</t>
        </is>
      </c>
      <c r="H306" s="30" t="n">
        <v>6.8</v>
      </c>
      <c r="I306" t="n">
        <v>6</v>
      </c>
      <c r="J306" s="31" t="n">
        <v>20477.16</v>
      </c>
      <c r="K306" s="32" t="n"/>
    </row>
    <row r="307">
      <c r="A307" t="inlineStr">
        <is>
          <t>ENC120453</t>
        </is>
      </c>
      <c r="B307" t="inlineStr">
        <is>
          <t>Pediatrics</t>
        </is>
      </c>
      <c r="C307" s="29" t="n">
        <v>45982</v>
      </c>
      <c r="D307" s="29" t="n">
        <v>45986</v>
      </c>
      <c r="E307" t="n">
        <v>2</v>
      </c>
      <c r="F307" t="inlineStr">
        <is>
          <t>J21.9</t>
        </is>
      </c>
      <c r="G307" t="inlineStr">
        <is>
          <t>Acute bronchiolitis, unspecified</t>
        </is>
      </c>
      <c r="H307" s="30" t="n">
        <v>2.4</v>
      </c>
      <c r="I307" t="n">
        <v>4</v>
      </c>
      <c r="J307" s="31" t="n">
        <v>20272.96</v>
      </c>
      <c r="K307" s="32" t="n"/>
    </row>
    <row r="308">
      <c r="A308" t="inlineStr">
        <is>
          <t>ENC120372</t>
        </is>
      </c>
      <c r="B308" t="inlineStr">
        <is>
          <t>Cardiac Step-Down</t>
        </is>
      </c>
      <c r="C308" s="29" t="n">
        <v>45980</v>
      </c>
      <c r="D308" s="29" t="n">
        <v>45986</v>
      </c>
      <c r="E308" t="n">
        <v>69</v>
      </c>
      <c r="F308" t="inlineStr">
        <is>
          <t>I50.9</t>
        </is>
      </c>
      <c r="G308" t="inlineStr">
        <is>
          <t>Heart failure, unspecified</t>
        </is>
      </c>
      <c r="H308" s="30" t="n">
        <v>4.1</v>
      </c>
      <c r="I308" t="n">
        <v>6</v>
      </c>
      <c r="J308" s="31" t="n">
        <v>31937.15</v>
      </c>
      <c r="K308" s="32" t="n"/>
    </row>
    <row r="309">
      <c r="A309" t="inlineStr">
        <is>
          <t>ENC120358</t>
        </is>
      </c>
      <c r="B309" t="inlineStr">
        <is>
          <t>Neuroscience &amp; Stroke</t>
        </is>
      </c>
      <c r="C309" s="29" t="n">
        <v>45979</v>
      </c>
      <c r="D309" s="29" t="n">
        <v>45986</v>
      </c>
      <c r="E309" t="n">
        <v>79</v>
      </c>
      <c r="F309" t="inlineStr">
        <is>
          <t>I63.9</t>
        </is>
      </c>
      <c r="G309" t="inlineStr">
        <is>
          <t>Cerebral infarction, unspecified</t>
        </is>
      </c>
      <c r="H309" s="30" t="n">
        <v>4.2</v>
      </c>
      <c r="I309" t="n">
        <v>7</v>
      </c>
      <c r="J309" s="31" t="n">
        <v>39446.77</v>
      </c>
      <c r="K309" s="32" t="n"/>
    </row>
    <row r="310">
      <c r="A310" t="inlineStr">
        <is>
          <t>ENC120162</t>
        </is>
      </c>
      <c r="B310" t="inlineStr">
        <is>
          <t>Behavioral Health</t>
        </is>
      </c>
      <c r="C310" s="29" t="n">
        <v>45973</v>
      </c>
      <c r="D310" s="29" t="n">
        <v>45986</v>
      </c>
      <c r="E310" t="n">
        <v>74</v>
      </c>
      <c r="F310" t="inlineStr">
        <is>
          <t>F32.9</t>
        </is>
      </c>
      <c r="G310" t="inlineStr">
        <is>
          <t>Major depressive disorder, single episode, unspecified</t>
        </is>
      </c>
      <c r="H310" s="30" t="n">
        <v>6.8</v>
      </c>
      <c r="I310" t="n">
        <v>13</v>
      </c>
      <c r="J310" s="31" t="n">
        <v>32870.43</v>
      </c>
      <c r="K310" s="32" t="n"/>
    </row>
    <row r="311">
      <c r="A311" t="inlineStr">
        <is>
          <t>ENC120352</t>
        </is>
      </c>
      <c r="B311" t="inlineStr">
        <is>
          <t>Cardiac Step-Down</t>
        </is>
      </c>
      <c r="C311" s="29" t="n">
        <v>45979</v>
      </c>
      <c r="D311" s="29" t="n">
        <v>45986</v>
      </c>
      <c r="E311" t="n">
        <v>89</v>
      </c>
      <c r="F311" t="inlineStr">
        <is>
          <t>I50.9</t>
        </is>
      </c>
      <c r="G311" t="inlineStr">
        <is>
          <t>Heart failure, unspecified</t>
        </is>
      </c>
      <c r="H311" s="30" t="n">
        <v>4.1</v>
      </c>
      <c r="I311" t="n">
        <v>7</v>
      </c>
      <c r="J311" s="31" t="n">
        <v>47428.89</v>
      </c>
      <c r="K311" s="32" t="n"/>
    </row>
    <row r="312">
      <c r="A312" t="inlineStr">
        <is>
          <t>ENC120499</t>
        </is>
      </c>
      <c r="B312" t="inlineStr">
        <is>
          <t>Pediatrics</t>
        </is>
      </c>
      <c r="C312" s="29" t="n">
        <v>45984</v>
      </c>
      <c r="D312" s="29" t="n">
        <v>45986</v>
      </c>
      <c r="E312" t="n">
        <v>3</v>
      </c>
      <c r="F312" t="inlineStr">
        <is>
          <t>J21.9</t>
        </is>
      </c>
      <c r="G312" t="inlineStr">
        <is>
          <t>Acute bronchiolitis, unspecified</t>
        </is>
      </c>
      <c r="H312" s="30" t="n">
        <v>2.4</v>
      </c>
      <c r="I312" t="n">
        <v>2</v>
      </c>
      <c r="J312" s="31" t="n">
        <v>15072.68</v>
      </c>
      <c r="K312" s="32" t="n"/>
    </row>
    <row r="313">
      <c r="A313" t="inlineStr">
        <is>
          <t>ENC120504</t>
        </is>
      </c>
      <c r="B313" t="inlineStr">
        <is>
          <t>Medical-Surgical 5 East</t>
        </is>
      </c>
      <c r="C313" s="29" t="n">
        <v>45984</v>
      </c>
      <c r="D313" s="29" t="n">
        <v>45987</v>
      </c>
      <c r="E313" t="n">
        <v>77</v>
      </c>
      <c r="F313" t="inlineStr">
        <is>
          <t>J18.9</t>
        </is>
      </c>
      <c r="G313" t="inlineStr">
        <is>
          <t>Pneumonia, unspecified organism</t>
        </is>
      </c>
      <c r="H313" s="30" t="n">
        <v>3.9</v>
      </c>
      <c r="I313" t="n">
        <v>3</v>
      </c>
      <c r="J313" s="31" t="n">
        <v>11951.44</v>
      </c>
      <c r="K313" s="32" t="n"/>
    </row>
    <row r="314">
      <c r="A314" t="inlineStr">
        <is>
          <t>ENC120515</t>
        </is>
      </c>
      <c r="B314" t="inlineStr">
        <is>
          <t>Labor &amp; Delivery</t>
        </is>
      </c>
      <c r="C314" s="29" t="n">
        <v>45985</v>
      </c>
      <c r="D314" s="29" t="n">
        <v>45987</v>
      </c>
      <c r="E314" t="n">
        <v>39</v>
      </c>
      <c r="F314" t="inlineStr">
        <is>
          <t>O80</t>
        </is>
      </c>
      <c r="G314" t="inlineStr">
        <is>
          <t>Encounter for full-term uncomplicated delivery</t>
        </is>
      </c>
      <c r="H314" s="30" t="n">
        <v>2</v>
      </c>
      <c r="I314" t="n">
        <v>2</v>
      </c>
      <c r="J314" s="31" t="n">
        <v>15697.74</v>
      </c>
      <c r="K314" s="32" t="n"/>
    </row>
    <row r="315">
      <c r="A315" t="inlineStr">
        <is>
          <t>ENC120498</t>
        </is>
      </c>
      <c r="B315" t="inlineStr">
        <is>
          <t>Pediatrics</t>
        </is>
      </c>
      <c r="C315" s="29" t="n">
        <v>45984</v>
      </c>
      <c r="D315" s="29" t="n">
        <v>45987</v>
      </c>
      <c r="E315" t="n">
        <v>3</v>
      </c>
      <c r="F315" t="inlineStr">
        <is>
          <t>J21.9</t>
        </is>
      </c>
      <c r="G315" t="inlineStr">
        <is>
          <t>Acute bronchiolitis, unspecified</t>
        </is>
      </c>
      <c r="H315" s="30" t="n">
        <v>2.4</v>
      </c>
      <c r="I315" t="n">
        <v>3</v>
      </c>
      <c r="J315" s="31" t="n">
        <v>15800.6</v>
      </c>
      <c r="K315" s="32" t="n"/>
    </row>
    <row r="316">
      <c r="A316" t="inlineStr">
        <is>
          <t>ENC120134</t>
        </is>
      </c>
      <c r="B316" t="inlineStr">
        <is>
          <t>Cardiac Step-Down</t>
        </is>
      </c>
      <c r="C316" s="29" t="n">
        <v>45972</v>
      </c>
      <c r="D316" s="29" t="n">
        <v>45987</v>
      </c>
      <c r="E316" t="n">
        <v>99</v>
      </c>
      <c r="F316" t="inlineStr">
        <is>
          <t>I50.9</t>
        </is>
      </c>
      <c r="G316" t="inlineStr">
        <is>
          <t>Heart failure, unspecified</t>
        </is>
      </c>
      <c r="H316" s="30" t="n">
        <v>4.1</v>
      </c>
      <c r="I316" t="n">
        <v>15</v>
      </c>
      <c r="J316" s="31" t="n">
        <v>108964.71</v>
      </c>
      <c r="K316" s="32" t="n"/>
    </row>
    <row r="317">
      <c r="A317" t="inlineStr">
        <is>
          <t>ENC120387</t>
        </is>
      </c>
      <c r="B317" t="inlineStr">
        <is>
          <t>Behavioral Health</t>
        </is>
      </c>
      <c r="C317" s="29" t="n">
        <v>45980</v>
      </c>
      <c r="D317" s="29" t="n">
        <v>45987</v>
      </c>
      <c r="E317" t="n">
        <v>77</v>
      </c>
      <c r="F317" t="inlineStr">
        <is>
          <t>F32.9</t>
        </is>
      </c>
      <c r="G317" t="inlineStr">
        <is>
          <t>Major depressive disorder, single episode, unspecified</t>
        </is>
      </c>
      <c r="H317" s="30" t="n">
        <v>6.8</v>
      </c>
      <c r="I317" t="n">
        <v>7</v>
      </c>
      <c r="J317" s="31" t="n">
        <v>22399.13</v>
      </c>
      <c r="K317" s="32" t="n"/>
    </row>
    <row r="318">
      <c r="A318" t="inlineStr">
        <is>
          <t>ENC120363</t>
        </is>
      </c>
      <c r="B318" t="inlineStr">
        <is>
          <t>Medical-Surgical 5 East</t>
        </is>
      </c>
      <c r="C318" s="29" t="n">
        <v>45979</v>
      </c>
      <c r="D318" s="29" t="n">
        <v>45987</v>
      </c>
      <c r="E318" t="n">
        <v>97</v>
      </c>
      <c r="F318" t="inlineStr">
        <is>
          <t>J96.01</t>
        </is>
      </c>
      <c r="G318" t="inlineStr">
        <is>
          <t>Acute respiratory failure with hypoxia</t>
        </is>
      </c>
      <c r="H318" s="30" t="n">
        <v>4.8</v>
      </c>
      <c r="I318" t="n">
        <v>8</v>
      </c>
      <c r="J318" s="31" t="n">
        <v>93121.73</v>
      </c>
      <c r="K318" s="32" t="n"/>
    </row>
    <row r="319">
      <c r="A319" t="inlineStr">
        <is>
          <t>ENC120475</t>
        </is>
      </c>
      <c r="B319" t="inlineStr">
        <is>
          <t>Neuroscience &amp; Stroke</t>
        </is>
      </c>
      <c r="C319" s="29" t="n">
        <v>45983</v>
      </c>
      <c r="D319" s="29" t="n">
        <v>45987</v>
      </c>
      <c r="E319" t="n">
        <v>11</v>
      </c>
      <c r="F319" t="inlineStr">
        <is>
          <t>G40.909</t>
        </is>
      </c>
      <c r="G319" t="inlineStr">
        <is>
          <t>Epilepsy, unspecified, not intractable, without status epilepticus</t>
        </is>
      </c>
      <c r="H319" s="30" t="n">
        <v>2.5</v>
      </c>
      <c r="I319" t="n">
        <v>4</v>
      </c>
      <c r="J319" s="31" t="n">
        <v>26693.74</v>
      </c>
      <c r="K319" s="32" t="n"/>
    </row>
    <row r="320">
      <c r="A320" t="inlineStr">
        <is>
          <t>ENC120585</t>
        </is>
      </c>
      <c r="B320" t="inlineStr">
        <is>
          <t>Cardiac Step-Down</t>
        </is>
      </c>
      <c r="C320" s="29" t="n">
        <v>45986</v>
      </c>
      <c r="D320" s="29" t="n">
        <v>45988</v>
      </c>
      <c r="E320" t="n">
        <v>54</v>
      </c>
      <c r="F320" t="inlineStr">
        <is>
          <t>I50.9</t>
        </is>
      </c>
      <c r="G320" t="inlineStr">
        <is>
          <t>Heart failure, unspecified</t>
        </is>
      </c>
      <c r="H320" s="30" t="n">
        <v>4.1</v>
      </c>
      <c r="I320" t="n">
        <v>2</v>
      </c>
      <c r="J320" s="31" t="n">
        <v>12848.99</v>
      </c>
      <c r="K320" s="32" t="n"/>
    </row>
    <row r="321">
      <c r="A321" t="inlineStr">
        <is>
          <t>ENC120340</t>
        </is>
      </c>
      <c r="B321" t="inlineStr">
        <is>
          <t>Intensive Care Unit</t>
        </is>
      </c>
      <c r="C321" s="29" t="n">
        <v>45979</v>
      </c>
      <c r="D321" s="29" t="n">
        <v>45988</v>
      </c>
      <c r="E321" t="n">
        <v>86</v>
      </c>
      <c r="F321" t="inlineStr">
        <is>
          <t>A41.9</t>
        </is>
      </c>
      <c r="G321" t="inlineStr">
        <is>
          <t>Sepsis, unspecified organism</t>
        </is>
      </c>
      <c r="H321" s="30" t="n">
        <v>5</v>
      </c>
      <c r="I321" t="n">
        <v>9</v>
      </c>
      <c r="J321" s="31" t="n">
        <v>93158.8</v>
      </c>
      <c r="K321" s="32" t="n"/>
    </row>
    <row r="322">
      <c r="A322" t="inlineStr">
        <is>
          <t>ENC120361</t>
        </is>
      </c>
      <c r="B322" t="inlineStr">
        <is>
          <t>Medical-Surgical 4 West</t>
        </is>
      </c>
      <c r="C322" s="29" t="n">
        <v>45979</v>
      </c>
      <c r="D322" s="29" t="n">
        <v>45988</v>
      </c>
      <c r="E322" t="n">
        <v>77</v>
      </c>
      <c r="F322" t="inlineStr">
        <is>
          <t>A41.9</t>
        </is>
      </c>
      <c r="G322" t="inlineStr">
        <is>
          <t>Sepsis, unspecified organism</t>
        </is>
      </c>
      <c r="H322" s="30" t="n">
        <v>5</v>
      </c>
      <c r="I322" t="n">
        <v>9</v>
      </c>
      <c r="J322" s="31" t="n">
        <v>71314.78</v>
      </c>
      <c r="K322" s="32" t="n"/>
    </row>
    <row r="323">
      <c r="A323" t="inlineStr">
        <is>
          <t>ENC120496</t>
        </is>
      </c>
      <c r="B323" t="inlineStr">
        <is>
          <t>Neuroscience &amp; Stroke</t>
        </is>
      </c>
      <c r="C323" s="29" t="n">
        <v>45984</v>
      </c>
      <c r="D323" s="29" t="n">
        <v>45988</v>
      </c>
      <c r="E323" t="n">
        <v>54</v>
      </c>
      <c r="F323" t="inlineStr">
        <is>
          <t>I63.9</t>
        </is>
      </c>
      <c r="G323" t="inlineStr">
        <is>
          <t>Cerebral infarction, unspecified</t>
        </is>
      </c>
      <c r="H323" s="30" t="n">
        <v>4.2</v>
      </c>
      <c r="I323" t="n">
        <v>4</v>
      </c>
      <c r="J323" s="31" t="n">
        <v>22034.62</v>
      </c>
      <c r="K323" s="32" t="n"/>
    </row>
    <row r="324">
      <c r="A324" t="inlineStr">
        <is>
          <t>ENC120519</t>
        </is>
      </c>
      <c r="B324" t="inlineStr">
        <is>
          <t>Medical-Surgical 5 East</t>
        </is>
      </c>
      <c r="C324" s="29" t="n">
        <v>45985</v>
      </c>
      <c r="D324" s="29" t="n">
        <v>45988</v>
      </c>
      <c r="E324" t="n">
        <v>80</v>
      </c>
      <c r="F324" t="inlineStr">
        <is>
          <t>K80.20</t>
        </is>
      </c>
      <c r="G324" t="inlineStr">
        <is>
          <t>Calculus of gallbladder without cholecystitis without obstruction</t>
        </is>
      </c>
      <c r="H324" s="30" t="n">
        <v>1.9</v>
      </c>
      <c r="I324" t="n">
        <v>3</v>
      </c>
      <c r="J324" s="31" t="n">
        <v>19926.53</v>
      </c>
      <c r="K324" s="32" t="n"/>
    </row>
    <row r="325">
      <c r="A325" t="inlineStr">
        <is>
          <t>ENC120490</t>
        </is>
      </c>
      <c r="B325" t="inlineStr">
        <is>
          <t>Medical-Surgical 5 East</t>
        </is>
      </c>
      <c r="C325" s="29" t="n">
        <v>45983</v>
      </c>
      <c r="D325" s="29" t="n">
        <v>45989</v>
      </c>
      <c r="E325" t="n">
        <v>66</v>
      </c>
      <c r="F325" t="inlineStr">
        <is>
          <t>N39.0</t>
        </is>
      </c>
      <c r="G325" t="inlineStr">
        <is>
          <t>Urinary tract infection, site not specified</t>
        </is>
      </c>
      <c r="H325" s="30" t="n">
        <v>3.1</v>
      </c>
      <c r="I325" t="n">
        <v>6</v>
      </c>
      <c r="J325" s="31" t="n">
        <v>48698.94</v>
      </c>
      <c r="K325" s="32" t="n"/>
    </row>
    <row r="326">
      <c r="A326" t="inlineStr">
        <is>
          <t>ENC120510</t>
        </is>
      </c>
      <c r="B326" t="inlineStr">
        <is>
          <t>Medical-Surgical 4 West</t>
        </is>
      </c>
      <c r="C326" s="29" t="n">
        <v>45984</v>
      </c>
      <c r="D326" s="29" t="n">
        <v>45989</v>
      </c>
      <c r="E326" t="n">
        <v>47</v>
      </c>
      <c r="F326" t="inlineStr">
        <is>
          <t>J18.9</t>
        </is>
      </c>
      <c r="G326" t="inlineStr">
        <is>
          <t>Pneumonia, unspecified organism</t>
        </is>
      </c>
      <c r="H326" s="30" t="n">
        <v>3.9</v>
      </c>
      <c r="I326" t="n">
        <v>5</v>
      </c>
      <c r="J326" s="31" t="n">
        <v>15186.03</v>
      </c>
      <c r="K326" s="32" t="n"/>
    </row>
    <row r="327">
      <c r="A327" t="inlineStr">
        <is>
          <t>ENC120418</t>
        </is>
      </c>
      <c r="B327" t="inlineStr">
        <is>
          <t>Behavioral Health</t>
        </is>
      </c>
      <c r="C327" s="29" t="n">
        <v>45981</v>
      </c>
      <c r="D327" s="29" t="n">
        <v>45989</v>
      </c>
      <c r="E327" t="n">
        <v>62</v>
      </c>
      <c r="F327" t="inlineStr">
        <is>
          <t>F32.9</t>
        </is>
      </c>
      <c r="G327" t="inlineStr">
        <is>
          <t>Major depressive disorder, single episode, unspecified</t>
        </is>
      </c>
      <c r="H327" s="30" t="n">
        <v>6.8</v>
      </c>
      <c r="I327" t="n">
        <v>8</v>
      </c>
      <c r="J327" s="31" t="n">
        <v>37597.45</v>
      </c>
      <c r="K327" s="32" t="n"/>
    </row>
    <row r="328">
      <c r="A328" t="inlineStr">
        <is>
          <t>ENC120464</t>
        </is>
      </c>
      <c r="B328" t="inlineStr">
        <is>
          <t>Orthopedics &amp; Spine</t>
        </is>
      </c>
      <c r="C328" s="29" t="n">
        <v>45982</v>
      </c>
      <c r="D328" s="29" t="n">
        <v>45989</v>
      </c>
      <c r="E328" t="n">
        <v>58</v>
      </c>
      <c r="F328" t="inlineStr">
        <is>
          <t>S72.001A</t>
        </is>
      </c>
      <c r="G328" t="inlineStr">
        <is>
          <t>Fracture of unspecified part of neck of right femur, initial encounter</t>
        </is>
      </c>
      <c r="H328" s="30" t="n">
        <v>4.6</v>
      </c>
      <c r="I328" t="n">
        <v>7</v>
      </c>
      <c r="J328" s="31" t="n">
        <v>65616.82000000001</v>
      </c>
      <c r="K328" s="32" t="n"/>
    </row>
    <row r="329">
      <c r="A329" t="inlineStr">
        <is>
          <t>ENC120573</t>
        </is>
      </c>
      <c r="B329" t="inlineStr">
        <is>
          <t>Medical-Surgical 5 East</t>
        </is>
      </c>
      <c r="C329" s="29" t="n">
        <v>45986</v>
      </c>
      <c r="D329" s="29" t="n">
        <v>45989</v>
      </c>
      <c r="E329" t="n">
        <v>75</v>
      </c>
      <c r="F329" t="inlineStr">
        <is>
          <t>J18.9</t>
        </is>
      </c>
      <c r="G329" t="inlineStr">
        <is>
          <t>Pneumonia, unspecified organism</t>
        </is>
      </c>
      <c r="H329" s="30" t="n">
        <v>3.9</v>
      </c>
      <c r="I329" t="n">
        <v>3</v>
      </c>
      <c r="J329" s="31" t="n">
        <v>24110.95</v>
      </c>
      <c r="K329" s="32" t="n"/>
    </row>
    <row r="330">
      <c r="A330" t="inlineStr">
        <is>
          <t>ENC120399</t>
        </is>
      </c>
      <c r="B330" t="inlineStr">
        <is>
          <t>Medical-Surgical 5 East</t>
        </is>
      </c>
      <c r="C330" s="29" t="n">
        <v>45980</v>
      </c>
      <c r="D330" s="29" t="n">
        <v>45989</v>
      </c>
      <c r="E330" t="n">
        <v>98</v>
      </c>
      <c r="F330" t="inlineStr">
        <is>
          <t>L03.115</t>
        </is>
      </c>
      <c r="G330" t="inlineStr">
        <is>
          <t>Cellulitis of right lower limb</t>
        </is>
      </c>
      <c r="H330" s="30" t="n">
        <v>3.4</v>
      </c>
      <c r="I330" t="n">
        <v>9</v>
      </c>
      <c r="J330" s="31" t="n">
        <v>33382.82</v>
      </c>
      <c r="K330" s="32" t="n"/>
    </row>
    <row r="331">
      <c r="A331" t="inlineStr">
        <is>
          <t>ENC120463</t>
        </is>
      </c>
      <c r="B331" t="inlineStr">
        <is>
          <t>Cardiac Step-Down</t>
        </is>
      </c>
      <c r="C331" s="29" t="n">
        <v>45982</v>
      </c>
      <c r="D331" s="29" t="n">
        <v>45990</v>
      </c>
      <c r="E331" t="n">
        <v>74</v>
      </c>
      <c r="F331" t="inlineStr">
        <is>
          <t>I50.9</t>
        </is>
      </c>
      <c r="G331" t="inlineStr">
        <is>
          <t>Heart failure, unspecified</t>
        </is>
      </c>
      <c r="H331" s="30" t="n">
        <v>4.1</v>
      </c>
      <c r="I331" t="n">
        <v>8</v>
      </c>
      <c r="J331" s="31" t="n">
        <v>53752.23</v>
      </c>
      <c r="K331" s="32" t="n"/>
    </row>
    <row r="332">
      <c r="A332" t="inlineStr">
        <is>
          <t>ENC120654</t>
        </is>
      </c>
      <c r="B332" t="inlineStr">
        <is>
          <t>Medical-Surgical 4 West</t>
        </is>
      </c>
      <c r="C332" s="29" t="n">
        <v>45989</v>
      </c>
      <c r="D332" s="29" t="n">
        <v>45990</v>
      </c>
      <c r="E332" t="n">
        <v>39</v>
      </c>
      <c r="F332" t="inlineStr">
        <is>
          <t>J18.9</t>
        </is>
      </c>
      <c r="G332" t="inlineStr">
        <is>
          <t>Pneumonia, unspecified organism</t>
        </is>
      </c>
      <c r="H332" s="30" t="n">
        <v>3.9</v>
      </c>
      <c r="I332" t="n">
        <v>1</v>
      </c>
      <c r="J332" s="31" t="n">
        <v>9884.24</v>
      </c>
      <c r="K332" s="32" t="n"/>
    </row>
    <row r="333">
      <c r="A333" t="inlineStr">
        <is>
          <t>ENC120588</t>
        </is>
      </c>
      <c r="B333" t="inlineStr">
        <is>
          <t>Intensive Care Unit</t>
        </is>
      </c>
      <c r="C333" s="29" t="n">
        <v>45987</v>
      </c>
      <c r="D333" s="29" t="n">
        <v>45990</v>
      </c>
      <c r="E333" t="n">
        <v>78</v>
      </c>
      <c r="F333" t="inlineStr">
        <is>
          <t>J96.01</t>
        </is>
      </c>
      <c r="G333" t="inlineStr">
        <is>
          <t>Acute respiratory failure with hypoxia</t>
        </is>
      </c>
      <c r="H333" s="30" t="n">
        <v>4.8</v>
      </c>
      <c r="I333" t="n">
        <v>3</v>
      </c>
      <c r="J333" s="31" t="n">
        <v>34198.88</v>
      </c>
      <c r="K333" s="32" t="n"/>
    </row>
    <row r="334">
      <c r="A334" t="inlineStr">
        <is>
          <t>ENC120571</t>
        </is>
      </c>
      <c r="B334" t="inlineStr">
        <is>
          <t>Cardiac Step-Down</t>
        </is>
      </c>
      <c r="C334" s="29" t="n">
        <v>45986</v>
      </c>
      <c r="D334" s="29" t="n">
        <v>45990</v>
      </c>
      <c r="E334" t="n">
        <v>73</v>
      </c>
      <c r="F334" t="inlineStr">
        <is>
          <t>I21.4</t>
        </is>
      </c>
      <c r="G334" t="inlineStr">
        <is>
          <t>Non-ST elevation (NSTEMI) myocardial infarction</t>
        </is>
      </c>
      <c r="H334" s="30" t="n">
        <v>3.4</v>
      </c>
      <c r="I334" t="n">
        <v>4</v>
      </c>
      <c r="J334" s="31" t="n">
        <v>83423.60000000001</v>
      </c>
      <c r="K334" s="32" t="n"/>
    </row>
    <row r="335">
      <c r="A335" t="inlineStr">
        <is>
          <t>ENC120495</t>
        </is>
      </c>
      <c r="B335" t="inlineStr">
        <is>
          <t>Cardiac Step-Down</t>
        </is>
      </c>
      <c r="C335" s="29" t="n">
        <v>45984</v>
      </c>
      <c r="D335" s="29" t="n">
        <v>45990</v>
      </c>
      <c r="E335" t="n">
        <v>74</v>
      </c>
      <c r="F335" t="inlineStr">
        <is>
          <t>I21.4</t>
        </is>
      </c>
      <c r="G335" t="inlineStr">
        <is>
          <t>Non-ST elevation (NSTEMI) myocardial infarction</t>
        </is>
      </c>
      <c r="H335" s="30" t="n">
        <v>3.4</v>
      </c>
      <c r="I335" t="n">
        <v>6</v>
      </c>
      <c r="J335" s="31" t="n">
        <v>79023.57000000001</v>
      </c>
      <c r="K335" s="32" t="n"/>
    </row>
    <row r="336">
      <c r="A336" t="inlineStr">
        <is>
          <t>ENC120634</t>
        </is>
      </c>
      <c r="B336" t="inlineStr">
        <is>
          <t>Medical-Surgical 4 West</t>
        </is>
      </c>
      <c r="C336" s="29" t="n">
        <v>45988</v>
      </c>
      <c r="D336" s="29" t="n">
        <v>45990</v>
      </c>
      <c r="E336" t="n">
        <v>58</v>
      </c>
      <c r="F336" t="inlineStr">
        <is>
          <t>N39.0</t>
        </is>
      </c>
      <c r="G336" t="inlineStr">
        <is>
          <t>Urinary tract infection, site not specified</t>
        </is>
      </c>
      <c r="H336" s="30" t="n">
        <v>3.1</v>
      </c>
      <c r="I336" t="n">
        <v>2</v>
      </c>
      <c r="J336" s="31" t="n">
        <v>7746.3</v>
      </c>
      <c r="K336" s="32" t="n"/>
    </row>
    <row r="337">
      <c r="A337" t="inlineStr">
        <is>
          <t>ENC120602</t>
        </is>
      </c>
      <c r="B337" t="inlineStr">
        <is>
          <t>Medical-Surgical 5 East</t>
        </is>
      </c>
      <c r="C337" s="29" t="n">
        <v>45987</v>
      </c>
      <c r="D337" s="29" t="n">
        <v>45990</v>
      </c>
      <c r="E337" t="n">
        <v>46</v>
      </c>
      <c r="F337" t="inlineStr">
        <is>
          <t>J18.9</t>
        </is>
      </c>
      <c r="G337" t="inlineStr">
        <is>
          <t>Pneumonia, unspecified organism</t>
        </is>
      </c>
      <c r="H337" s="30" t="n">
        <v>3.9</v>
      </c>
      <c r="I337" t="n">
        <v>3</v>
      </c>
      <c r="J337" s="31" t="n">
        <v>18309.48</v>
      </c>
      <c r="K337" s="32" t="n"/>
    </row>
    <row r="338">
      <c r="A338" t="inlineStr">
        <is>
          <t>ENC120640</t>
        </is>
      </c>
      <c r="B338" t="inlineStr">
        <is>
          <t>Medical-Surgical 5 East</t>
        </is>
      </c>
      <c r="C338" s="29" t="n">
        <v>45988</v>
      </c>
      <c r="D338" s="29" t="n">
        <v>45991</v>
      </c>
      <c r="E338" t="n">
        <v>57</v>
      </c>
      <c r="F338" t="inlineStr">
        <is>
          <t>J18.9</t>
        </is>
      </c>
      <c r="G338" t="inlineStr">
        <is>
          <t>Pneumonia, unspecified organism</t>
        </is>
      </c>
      <c r="H338" s="30" t="n">
        <v>3.9</v>
      </c>
      <c r="I338" t="n">
        <v>3</v>
      </c>
      <c r="J338" s="31" t="n">
        <v>13624.81</v>
      </c>
      <c r="K338" s="32" t="n"/>
    </row>
    <row r="339">
      <c r="A339" t="inlineStr">
        <is>
          <t>ENC120584</t>
        </is>
      </c>
      <c r="B339" t="inlineStr">
        <is>
          <t>Medical-Surgical 4 West</t>
        </is>
      </c>
      <c r="C339" s="29" t="n">
        <v>45986</v>
      </c>
      <c r="D339" s="29" t="n">
        <v>45991</v>
      </c>
      <c r="E339" t="n">
        <v>67</v>
      </c>
      <c r="F339" t="inlineStr">
        <is>
          <t>J44.1</t>
        </is>
      </c>
      <c r="G339" t="inlineStr">
        <is>
          <t>Chronic obstructive pulmonary disease with (acute) exacerbation</t>
        </is>
      </c>
      <c r="H339" s="30" t="n">
        <v>3.4</v>
      </c>
      <c r="I339" t="n">
        <v>5</v>
      </c>
      <c r="J339" s="31" t="n">
        <v>20355.66</v>
      </c>
      <c r="K339" s="32" t="n"/>
    </row>
    <row r="340">
      <c r="A340" t="inlineStr">
        <is>
          <t>ENC120556</t>
        </is>
      </c>
      <c r="B340" t="inlineStr">
        <is>
          <t>Medical-Surgical 4 West</t>
        </is>
      </c>
      <c r="C340" s="29" t="n">
        <v>45986</v>
      </c>
      <c r="D340" s="29" t="n">
        <v>45991</v>
      </c>
      <c r="E340" t="n">
        <v>72</v>
      </c>
      <c r="F340" t="inlineStr">
        <is>
          <t>J18.9</t>
        </is>
      </c>
      <c r="G340" t="inlineStr">
        <is>
          <t>Pneumonia, unspecified organism</t>
        </is>
      </c>
      <c r="H340" s="30" t="n">
        <v>3.9</v>
      </c>
      <c r="I340" t="n">
        <v>5</v>
      </c>
      <c r="J340" s="31" t="n">
        <v>27339.75</v>
      </c>
      <c r="K340" s="32" t="n"/>
    </row>
    <row r="341">
      <c r="A341" t="inlineStr">
        <is>
          <t>ENC120476</t>
        </is>
      </c>
      <c r="B341" t="inlineStr">
        <is>
          <t>Medical-Surgical 5 East</t>
        </is>
      </c>
      <c r="C341" s="29" t="n">
        <v>45983</v>
      </c>
      <c r="D341" s="29" t="n">
        <v>45991</v>
      </c>
      <c r="E341" t="n">
        <v>76</v>
      </c>
      <c r="F341" t="inlineStr">
        <is>
          <t>J18.9</t>
        </is>
      </c>
      <c r="G341" t="inlineStr">
        <is>
          <t>Pneumonia, unspecified organism</t>
        </is>
      </c>
      <c r="H341" s="30" t="n">
        <v>3.9</v>
      </c>
      <c r="I341" t="n">
        <v>8</v>
      </c>
      <c r="J341" s="31" t="n">
        <v>34018.73</v>
      </c>
      <c r="K341" s="32" t="n"/>
    </row>
    <row r="342">
      <c r="A342" t="inlineStr">
        <is>
          <t>ENC120643</t>
        </is>
      </c>
      <c r="B342" t="inlineStr">
        <is>
          <t>Medical-Surgical 5 East</t>
        </is>
      </c>
      <c r="C342" s="29" t="n">
        <v>45988</v>
      </c>
      <c r="D342" s="29" t="n">
        <v>45991</v>
      </c>
      <c r="E342" t="n">
        <v>29</v>
      </c>
      <c r="F342" t="inlineStr">
        <is>
          <t>J18.9</t>
        </is>
      </c>
      <c r="G342" t="inlineStr">
        <is>
          <t>Pneumonia, unspecified organism</t>
        </is>
      </c>
      <c r="H342" s="30" t="n">
        <v>3.9</v>
      </c>
      <c r="I342" t="n">
        <v>3</v>
      </c>
      <c r="J342" s="31" t="n">
        <v>14812.56</v>
      </c>
      <c r="K342" s="32" t="n"/>
    </row>
    <row r="343">
      <c r="A343" t="inlineStr">
        <is>
          <t>ENC120670</t>
        </is>
      </c>
      <c r="B343" t="inlineStr">
        <is>
          <t>Labor &amp; Delivery</t>
        </is>
      </c>
      <c r="C343" s="29" t="n">
        <v>45989</v>
      </c>
      <c r="D343" s="29" t="n">
        <v>45992</v>
      </c>
      <c r="E343" t="n">
        <v>26</v>
      </c>
      <c r="F343" t="inlineStr">
        <is>
          <t>O80</t>
        </is>
      </c>
      <c r="G343" t="inlineStr">
        <is>
          <t>Encounter for full-term uncomplicated delivery</t>
        </is>
      </c>
      <c r="H343" s="30" t="n">
        <v>2</v>
      </c>
      <c r="I343" t="n">
        <v>3</v>
      </c>
      <c r="J343" s="31" t="n">
        <v>19679.03</v>
      </c>
      <c r="K343" s="32" t="n"/>
    </row>
    <row r="344">
      <c r="A344" t="inlineStr">
        <is>
          <t>ENC120653</t>
        </is>
      </c>
      <c r="B344" t="inlineStr">
        <is>
          <t>Pediatrics</t>
        </is>
      </c>
      <c r="C344" s="29" t="n">
        <v>45989</v>
      </c>
      <c r="D344" s="29" t="n">
        <v>45992</v>
      </c>
      <c r="E344" t="n">
        <v>2</v>
      </c>
      <c r="F344" t="inlineStr">
        <is>
          <t>J21.9</t>
        </is>
      </c>
      <c r="G344" t="inlineStr">
        <is>
          <t>Acute bronchiolitis, unspecified</t>
        </is>
      </c>
      <c r="H344" s="30" t="n">
        <v>2.4</v>
      </c>
      <c r="I344" t="n">
        <v>3</v>
      </c>
      <c r="J344" s="31" t="n">
        <v>22757.18</v>
      </c>
      <c r="K344" s="32" t="n"/>
    </row>
    <row r="345">
      <c r="A345" t="inlineStr">
        <is>
          <t>ENC120691</t>
        </is>
      </c>
      <c r="B345" t="inlineStr">
        <is>
          <t>Labor &amp; Delivery</t>
        </is>
      </c>
      <c r="C345" s="29" t="n">
        <v>45990</v>
      </c>
      <c r="D345" s="29" t="n">
        <v>45992</v>
      </c>
      <c r="E345" t="n">
        <v>27</v>
      </c>
      <c r="F345" t="inlineStr">
        <is>
          <t>O82</t>
        </is>
      </c>
      <c r="G345" t="inlineStr">
        <is>
          <t>Encounter for cesarean delivery without indication</t>
        </is>
      </c>
      <c r="H345" s="30" t="n">
        <v>2.9</v>
      </c>
      <c r="I345" t="n">
        <v>2</v>
      </c>
      <c r="J345" s="31" t="n">
        <v>13574.18</v>
      </c>
      <c r="K345" s="32" t="n"/>
    </row>
    <row r="346">
      <c r="A346" t="inlineStr">
        <is>
          <t>ENC120551</t>
        </is>
      </c>
      <c r="B346" t="inlineStr">
        <is>
          <t>Medical-Surgical 4 West</t>
        </is>
      </c>
      <c r="C346" s="29" t="n">
        <v>45985</v>
      </c>
      <c r="D346" s="29" t="n">
        <v>45992</v>
      </c>
      <c r="E346" t="n">
        <v>75</v>
      </c>
      <c r="F346" t="inlineStr">
        <is>
          <t>J44.1</t>
        </is>
      </c>
      <c r="G346" t="inlineStr">
        <is>
          <t>Chronic obstructive pulmonary disease with (acute) exacerbation</t>
        </is>
      </c>
      <c r="H346" s="30" t="n">
        <v>3.4</v>
      </c>
      <c r="I346" t="n">
        <v>7</v>
      </c>
      <c r="J346" s="31" t="n">
        <v>27401.22</v>
      </c>
      <c r="K346" s="32" t="n"/>
    </row>
    <row r="347">
      <c r="A347" t="inlineStr">
        <is>
          <t>ENC120695</t>
        </is>
      </c>
      <c r="B347" t="inlineStr">
        <is>
          <t>Cardiac Step-Down</t>
        </is>
      </c>
      <c r="C347" s="29" t="n">
        <v>45990</v>
      </c>
      <c r="D347" s="29" t="n">
        <v>45992</v>
      </c>
      <c r="E347" t="n">
        <v>57</v>
      </c>
      <c r="F347" t="inlineStr">
        <is>
          <t>I50.9</t>
        </is>
      </c>
      <c r="G347" t="inlineStr">
        <is>
          <t>Heart failure, unspecified</t>
        </is>
      </c>
      <c r="H347" s="30" t="n">
        <v>4.1</v>
      </c>
      <c r="I347" t="n">
        <v>2</v>
      </c>
      <c r="J347" s="31" t="n">
        <v>13783.92</v>
      </c>
      <c r="K347" s="32" t="n"/>
    </row>
    <row r="348">
      <c r="A348" t="inlineStr">
        <is>
          <t>ENC120564</t>
        </is>
      </c>
      <c r="B348" t="inlineStr">
        <is>
          <t>Cardiac Step-Down</t>
        </is>
      </c>
      <c r="C348" s="29" t="n">
        <v>45986</v>
      </c>
      <c r="D348" s="29" t="n">
        <v>45992</v>
      </c>
      <c r="E348" t="n">
        <v>71</v>
      </c>
      <c r="F348" t="inlineStr">
        <is>
          <t>I50.9</t>
        </is>
      </c>
      <c r="G348" t="inlineStr">
        <is>
          <t>Heart failure, unspecified</t>
        </is>
      </c>
      <c r="H348" s="30" t="n">
        <v>4.1</v>
      </c>
      <c r="I348" t="n">
        <v>6</v>
      </c>
      <c r="J348" s="31" t="n">
        <v>40737.1</v>
      </c>
      <c r="K348" s="32" t="n"/>
    </row>
    <row r="349">
      <c r="A349" t="inlineStr">
        <is>
          <t>ENC120733</t>
        </is>
      </c>
      <c r="B349" t="inlineStr">
        <is>
          <t>Labor &amp; Delivery</t>
        </is>
      </c>
      <c r="C349" s="29" t="n">
        <v>45992</v>
      </c>
      <c r="D349" s="29" t="n">
        <v>45993</v>
      </c>
      <c r="E349" t="n">
        <v>30</v>
      </c>
      <c r="F349" t="inlineStr">
        <is>
          <t>O82</t>
        </is>
      </c>
      <c r="G349" t="inlineStr">
        <is>
          <t>Encounter for cesarean delivery without indication</t>
        </is>
      </c>
      <c r="H349" s="30" t="n">
        <v>2.9</v>
      </c>
      <c r="I349" t="n">
        <v>1</v>
      </c>
      <c r="J349" s="31" t="n">
        <v>14044.44</v>
      </c>
      <c r="K349" s="32" t="n"/>
    </row>
    <row r="350">
      <c r="A350" t="inlineStr">
        <is>
          <t>ENC120682</t>
        </is>
      </c>
      <c r="B350" t="inlineStr">
        <is>
          <t>Medical-Surgical 5 East</t>
        </is>
      </c>
      <c r="C350" s="29" t="n">
        <v>45989</v>
      </c>
      <c r="D350" s="29" t="n">
        <v>45993</v>
      </c>
      <c r="E350" t="n">
        <v>76</v>
      </c>
      <c r="F350" t="inlineStr">
        <is>
          <t>K35.80</t>
        </is>
      </c>
      <c r="G350" t="inlineStr">
        <is>
          <t>Unspecified acute appendicitis</t>
        </is>
      </c>
      <c r="H350" s="30" t="n">
        <v>2</v>
      </c>
      <c r="I350" t="n">
        <v>4</v>
      </c>
      <c r="J350" s="31" t="n">
        <v>41805.71</v>
      </c>
      <c r="K350" s="32" t="n"/>
    </row>
    <row r="351">
      <c r="A351" t="inlineStr">
        <is>
          <t>ENC120700</t>
        </is>
      </c>
      <c r="B351" t="inlineStr">
        <is>
          <t>Medical-Surgical 4 West</t>
        </is>
      </c>
      <c r="C351" s="29" t="n">
        <v>45990</v>
      </c>
      <c r="D351" s="29" t="n">
        <v>45993</v>
      </c>
      <c r="E351" t="n">
        <v>48</v>
      </c>
      <c r="F351" t="inlineStr">
        <is>
          <t>J44.1</t>
        </is>
      </c>
      <c r="G351" t="inlineStr">
        <is>
          <t>Chronic obstructive pulmonary disease with (acute) exacerbation</t>
        </is>
      </c>
      <c r="H351" s="30" t="n">
        <v>3.4</v>
      </c>
      <c r="I351" t="n">
        <v>3</v>
      </c>
      <c r="J351" s="31" t="n">
        <v>16484.27</v>
      </c>
      <c r="K351" s="32" t="n"/>
    </row>
    <row r="352">
      <c r="A352" t="inlineStr">
        <is>
          <t>ENC120652</t>
        </is>
      </c>
      <c r="B352" t="inlineStr">
        <is>
          <t>Medical-Surgical 4 West</t>
        </is>
      </c>
      <c r="C352" s="29" t="n">
        <v>45989</v>
      </c>
      <c r="D352" s="29" t="n">
        <v>45994</v>
      </c>
      <c r="E352" t="n">
        <v>50</v>
      </c>
      <c r="F352" t="inlineStr">
        <is>
          <t>J18.9</t>
        </is>
      </c>
      <c r="G352" t="inlineStr">
        <is>
          <t>Pneumonia, unspecified organism</t>
        </is>
      </c>
      <c r="H352" s="30" t="n">
        <v>3.9</v>
      </c>
      <c r="I352" t="n">
        <v>5</v>
      </c>
      <c r="J352" s="31" t="n">
        <v>26970.92</v>
      </c>
      <c r="K352" s="32" t="n"/>
    </row>
    <row r="353">
      <c r="A353" t="inlineStr">
        <is>
          <t>ENC120740</t>
        </is>
      </c>
      <c r="B353" t="inlineStr">
        <is>
          <t>Medical-Surgical 5 East</t>
        </is>
      </c>
      <c r="C353" s="29" t="n">
        <v>45992</v>
      </c>
      <c r="D353" s="29" t="n">
        <v>45994</v>
      </c>
      <c r="E353" t="n">
        <v>16</v>
      </c>
      <c r="F353" t="inlineStr">
        <is>
          <t>N39.0</t>
        </is>
      </c>
      <c r="G353" t="inlineStr">
        <is>
          <t>Urinary tract infection, site not specified</t>
        </is>
      </c>
      <c r="H353" s="30" t="n">
        <v>3.1</v>
      </c>
      <c r="I353" t="n">
        <v>2</v>
      </c>
      <c r="J353" s="31" t="n">
        <v>12385.25</v>
      </c>
      <c r="K353" s="32" t="n"/>
    </row>
    <row r="354">
      <c r="A354" t="inlineStr">
        <is>
          <t>ENC120610</t>
        </is>
      </c>
      <c r="B354" t="inlineStr">
        <is>
          <t>Medical-Surgical 4 West</t>
        </is>
      </c>
      <c r="C354" s="29" t="n">
        <v>45987</v>
      </c>
      <c r="D354" s="29" t="n">
        <v>45994</v>
      </c>
      <c r="E354" t="n">
        <v>98</v>
      </c>
      <c r="F354" t="inlineStr">
        <is>
          <t>J18.9</t>
        </is>
      </c>
      <c r="G354" t="inlineStr">
        <is>
          <t>Pneumonia, unspecified organism</t>
        </is>
      </c>
      <c r="H354" s="30" t="n">
        <v>3.9</v>
      </c>
      <c r="I354" t="n">
        <v>7</v>
      </c>
      <c r="J354" s="31" t="n">
        <v>22415.61</v>
      </c>
      <c r="K354" s="32" t="n"/>
    </row>
    <row r="355">
      <c r="A355" t="inlineStr">
        <is>
          <t>ENC120773</t>
        </is>
      </c>
      <c r="B355" t="inlineStr">
        <is>
          <t>Pediatrics</t>
        </is>
      </c>
      <c r="C355" s="29" t="n">
        <v>45992</v>
      </c>
      <c r="D355" s="29" t="n">
        <v>45994</v>
      </c>
      <c r="E355" t="n">
        <v>1</v>
      </c>
      <c r="F355" t="inlineStr">
        <is>
          <t>J21.9</t>
        </is>
      </c>
      <c r="G355" t="inlineStr">
        <is>
          <t>Acute bronchiolitis, unspecified</t>
        </is>
      </c>
      <c r="H355" s="30" t="n">
        <v>2.4</v>
      </c>
      <c r="I355" t="n">
        <v>2</v>
      </c>
      <c r="J355" s="31" t="n">
        <v>12668.32</v>
      </c>
      <c r="K355" s="32" t="n"/>
    </row>
    <row r="356">
      <c r="A356" t="inlineStr">
        <is>
          <t>ENC120714</t>
        </is>
      </c>
      <c r="B356" t="inlineStr">
        <is>
          <t>Oncology</t>
        </is>
      </c>
      <c r="C356" s="29" t="n">
        <v>45991</v>
      </c>
      <c r="D356" s="29" t="n">
        <v>45994</v>
      </c>
      <c r="E356" t="n">
        <v>67</v>
      </c>
      <c r="F356" t="inlineStr">
        <is>
          <t>C34.90</t>
        </is>
      </c>
      <c r="G356" t="inlineStr">
        <is>
          <t>Malignant neoplasm of unspecified part of unspecified bronchus or lung</t>
        </is>
      </c>
      <c r="H356" s="30" t="n">
        <v>5</v>
      </c>
      <c r="I356" t="n">
        <v>3</v>
      </c>
      <c r="J356" s="31" t="n">
        <v>14365.52</v>
      </c>
      <c r="K356" s="32" t="n"/>
    </row>
    <row r="357">
      <c r="A357" t="inlineStr">
        <is>
          <t>ENC120088</t>
        </is>
      </c>
      <c r="B357" t="inlineStr">
        <is>
          <t>Medical-Surgical 5 East</t>
        </is>
      </c>
      <c r="C357" s="29" t="n">
        <v>45971</v>
      </c>
      <c r="D357" s="29" t="n">
        <v>45994</v>
      </c>
      <c r="E357" t="n">
        <v>70</v>
      </c>
      <c r="F357" t="inlineStr">
        <is>
          <t>J18.9</t>
        </is>
      </c>
      <c r="G357" t="inlineStr">
        <is>
          <t>Pneumonia, unspecified organism</t>
        </is>
      </c>
      <c r="H357" s="30" t="n">
        <v>3.9</v>
      </c>
      <c r="I357" t="n">
        <v>23</v>
      </c>
      <c r="J357" s="31" t="n">
        <v>80275.45</v>
      </c>
      <c r="K357" s="32" t="n"/>
    </row>
    <row r="358">
      <c r="A358" t="inlineStr">
        <is>
          <t>ENC120685</t>
        </is>
      </c>
      <c r="B358" t="inlineStr">
        <is>
          <t>Medical-Surgical 5 East</t>
        </is>
      </c>
      <c r="C358" s="29" t="n">
        <v>45989</v>
      </c>
      <c r="D358" s="29" t="n">
        <v>45994</v>
      </c>
      <c r="E358" t="n">
        <v>49</v>
      </c>
      <c r="F358" t="inlineStr">
        <is>
          <t>J44.1</t>
        </is>
      </c>
      <c r="G358" t="inlineStr">
        <is>
          <t>Chronic obstructive pulmonary disease with (acute) exacerbation</t>
        </is>
      </c>
      <c r="H358" s="30" t="n">
        <v>3.4</v>
      </c>
      <c r="I358" t="n">
        <v>5</v>
      </c>
      <c r="J358" s="31" t="n">
        <v>23966.63</v>
      </c>
      <c r="K358" s="32" t="n"/>
    </row>
    <row r="359">
      <c r="A359" t="inlineStr">
        <is>
          <t>ENC120697</t>
        </is>
      </c>
      <c r="B359" t="inlineStr">
        <is>
          <t>Medical-Surgical 4 West</t>
        </is>
      </c>
      <c r="C359" s="29" t="n">
        <v>45990</v>
      </c>
      <c r="D359" s="29" t="n">
        <v>45994</v>
      </c>
      <c r="E359" t="n">
        <v>51</v>
      </c>
      <c r="F359" t="inlineStr">
        <is>
          <t>N17.9</t>
        </is>
      </c>
      <c r="G359" t="inlineStr">
        <is>
          <t>Acute kidney failure, unspecified</t>
        </is>
      </c>
      <c r="H359" s="30" t="n">
        <v>3.9</v>
      </c>
      <c r="I359" t="n">
        <v>4</v>
      </c>
      <c r="J359" s="31" t="n">
        <v>13470.65</v>
      </c>
      <c r="K359" s="32" t="n"/>
    </row>
    <row r="360">
      <c r="A360" t="inlineStr">
        <is>
          <t>ENC120782</t>
        </is>
      </c>
      <c r="B360" t="inlineStr">
        <is>
          <t>Orthopedics &amp; Spine</t>
        </is>
      </c>
      <c r="C360" s="29" t="n">
        <v>45993</v>
      </c>
      <c r="D360" s="29" t="n">
        <v>45994</v>
      </c>
      <c r="E360" t="n">
        <v>50</v>
      </c>
      <c r="F360" t="inlineStr">
        <is>
          <t>M17.11</t>
        </is>
      </c>
      <c r="G360" t="inlineStr">
        <is>
          <t>Unilateral primary osteoarthritis, right knee</t>
        </is>
      </c>
      <c r="H360" s="30" t="n">
        <v>2</v>
      </c>
      <c r="I360" t="n">
        <v>1</v>
      </c>
      <c r="J360" s="31" t="n">
        <v>58468.93</v>
      </c>
      <c r="K360" s="32" t="n"/>
    </row>
    <row r="361">
      <c r="A361" t="inlineStr">
        <is>
          <t>ENC120726</t>
        </is>
      </c>
      <c r="B361" t="inlineStr">
        <is>
          <t>Medical-Surgical 5 East</t>
        </is>
      </c>
      <c r="C361" s="29" t="n">
        <v>45991</v>
      </c>
      <c r="D361" s="29" t="n">
        <v>45995</v>
      </c>
      <c r="E361" t="n">
        <v>47</v>
      </c>
      <c r="F361" t="inlineStr">
        <is>
          <t>J18.9</t>
        </is>
      </c>
      <c r="G361" t="inlineStr">
        <is>
          <t>Pneumonia, unspecified organism</t>
        </is>
      </c>
      <c r="H361" s="30" t="n">
        <v>3.9</v>
      </c>
      <c r="I361" t="n">
        <v>4</v>
      </c>
      <c r="J361" s="31" t="n">
        <v>24170.55</v>
      </c>
      <c r="K361" s="32" t="n"/>
    </row>
    <row r="362">
      <c r="A362" t="inlineStr">
        <is>
          <t>ENC120742</t>
        </is>
      </c>
      <c r="B362" t="inlineStr">
        <is>
          <t>Cardiac Step-Down</t>
        </is>
      </c>
      <c r="C362" s="29" t="n">
        <v>45992</v>
      </c>
      <c r="D362" s="29" t="n">
        <v>45995</v>
      </c>
      <c r="E362" t="n">
        <v>88</v>
      </c>
      <c r="F362" t="inlineStr">
        <is>
          <t>I48.91</t>
        </is>
      </c>
      <c r="G362" t="inlineStr">
        <is>
          <t>Unspecified atrial fibrillation</t>
        </is>
      </c>
      <c r="H362" s="30" t="n">
        <v>2.9</v>
      </c>
      <c r="I362" t="n">
        <v>3</v>
      </c>
      <c r="J362" s="31" t="n">
        <v>18076.75</v>
      </c>
      <c r="K362" s="32" t="n"/>
    </row>
    <row r="363">
      <c r="A363" t="inlineStr">
        <is>
          <t>ENC120798</t>
        </is>
      </c>
      <c r="B363" t="inlineStr">
        <is>
          <t>Medical-Surgical 5 East</t>
        </is>
      </c>
      <c r="C363" s="29" t="n">
        <v>45993</v>
      </c>
      <c r="D363" s="29" t="n">
        <v>45995</v>
      </c>
      <c r="E363" t="n">
        <v>52</v>
      </c>
      <c r="F363" t="inlineStr">
        <is>
          <t>E11.65</t>
        </is>
      </c>
      <c r="G363" t="inlineStr">
        <is>
          <t>Type 2 diabetes mellitus with hyperglycemia</t>
        </is>
      </c>
      <c r="H363" s="30" t="n">
        <v>3</v>
      </c>
      <c r="I363" t="n">
        <v>2</v>
      </c>
      <c r="J363" s="31" t="n">
        <v>10610.25</v>
      </c>
      <c r="K363" s="32" t="n"/>
    </row>
    <row r="364">
      <c r="A364" t="inlineStr">
        <is>
          <t>ENC120780</t>
        </is>
      </c>
      <c r="B364" t="inlineStr">
        <is>
          <t>Medical-Surgical 5 East</t>
        </is>
      </c>
      <c r="C364" s="29" t="n">
        <v>45993</v>
      </c>
      <c r="D364" s="29" t="n">
        <v>45995</v>
      </c>
      <c r="E364" t="n">
        <v>37</v>
      </c>
      <c r="F364" t="inlineStr">
        <is>
          <t>K35.80</t>
        </is>
      </c>
      <c r="G364" t="inlineStr">
        <is>
          <t>Unspecified acute appendicitis</t>
        </is>
      </c>
      <c r="H364" s="30" t="n">
        <v>2</v>
      </c>
      <c r="I364" t="n">
        <v>2</v>
      </c>
      <c r="J364" s="31" t="n">
        <v>18447.55</v>
      </c>
      <c r="K364" s="32" t="n"/>
    </row>
    <row r="365">
      <c r="A365" t="inlineStr">
        <is>
          <t>ENC120707</t>
        </is>
      </c>
      <c r="B365" t="inlineStr">
        <is>
          <t>Cardiac Step-Down</t>
        </is>
      </c>
      <c r="C365" s="29" t="n">
        <v>45990</v>
      </c>
      <c r="D365" s="29" t="n">
        <v>45995</v>
      </c>
      <c r="E365" t="n">
        <v>80</v>
      </c>
      <c r="F365" t="inlineStr">
        <is>
          <t>I48.91</t>
        </is>
      </c>
      <c r="G365" t="inlineStr">
        <is>
          <t>Unspecified atrial fibrillation</t>
        </is>
      </c>
      <c r="H365" s="30" t="n">
        <v>2.9</v>
      </c>
      <c r="I365" t="n">
        <v>5</v>
      </c>
      <c r="J365" s="31" t="n">
        <v>30153.04</v>
      </c>
      <c r="K365" s="32" t="n"/>
    </row>
    <row r="366">
      <c r="A366" t="inlineStr">
        <is>
          <t>ENC120688</t>
        </is>
      </c>
      <c r="B366" t="inlineStr">
        <is>
          <t>Medical-Surgical 5 East</t>
        </is>
      </c>
      <c r="C366" s="29" t="n">
        <v>45989</v>
      </c>
      <c r="D366" s="29" t="n">
        <v>45995</v>
      </c>
      <c r="E366" t="n">
        <v>54</v>
      </c>
      <c r="F366" t="inlineStr">
        <is>
          <t>J44.1</t>
        </is>
      </c>
      <c r="G366" t="inlineStr">
        <is>
          <t>Chronic obstructive pulmonary disease with (acute) exacerbation</t>
        </is>
      </c>
      <c r="H366" s="30" t="n">
        <v>3.4</v>
      </c>
      <c r="I366" t="n">
        <v>6</v>
      </c>
      <c r="J366" s="31" t="n">
        <v>22356.16</v>
      </c>
      <c r="K366" s="32" t="n"/>
    </row>
    <row r="367">
      <c r="A367" t="inlineStr">
        <is>
          <t>ENC120842</t>
        </is>
      </c>
      <c r="B367" t="inlineStr">
        <is>
          <t>Labor &amp; Delivery</t>
        </is>
      </c>
      <c r="C367" s="29" t="n">
        <v>45994</v>
      </c>
      <c r="D367" s="29" t="n">
        <v>45996</v>
      </c>
      <c r="E367" t="n">
        <v>36</v>
      </c>
      <c r="F367" t="inlineStr">
        <is>
          <t>O80</t>
        </is>
      </c>
      <c r="G367" t="inlineStr">
        <is>
          <t>Encounter for full-term uncomplicated delivery</t>
        </is>
      </c>
      <c r="H367" s="30" t="n">
        <v>2</v>
      </c>
      <c r="I367" t="n">
        <v>2</v>
      </c>
      <c r="J367" s="31" t="n">
        <v>11957.61</v>
      </c>
      <c r="K367" s="32" t="n"/>
    </row>
    <row r="368">
      <c r="A368" t="inlineStr">
        <is>
          <t>ENC120828</t>
        </is>
      </c>
      <c r="B368" t="inlineStr">
        <is>
          <t>Orthopedics &amp; Spine</t>
        </is>
      </c>
      <c r="C368" s="29" t="n">
        <v>45994</v>
      </c>
      <c r="D368" s="29" t="n">
        <v>45996</v>
      </c>
      <c r="E368" t="n">
        <v>77</v>
      </c>
      <c r="F368" t="inlineStr">
        <is>
          <t>M17.11</t>
        </is>
      </c>
      <c r="G368" t="inlineStr">
        <is>
          <t>Unilateral primary osteoarthritis, right knee</t>
        </is>
      </c>
      <c r="H368" s="30" t="n">
        <v>2</v>
      </c>
      <c r="I368" t="n">
        <v>2</v>
      </c>
      <c r="J368" s="31" t="n">
        <v>51675.39</v>
      </c>
      <c r="K368" s="32" t="n"/>
    </row>
    <row r="369">
      <c r="A369" t="inlineStr">
        <is>
          <t>ENC120879</t>
        </is>
      </c>
      <c r="B369" t="inlineStr">
        <is>
          <t>Cardiac Step-Down</t>
        </is>
      </c>
      <c r="C369" s="29" t="n">
        <v>45995</v>
      </c>
      <c r="D369" s="29" t="n">
        <v>45996</v>
      </c>
      <c r="E369" t="n">
        <v>79</v>
      </c>
      <c r="F369" t="inlineStr">
        <is>
          <t>I21.4</t>
        </is>
      </c>
      <c r="G369" t="inlineStr">
        <is>
          <t>Non-ST elevation (NSTEMI) myocardial infarction</t>
        </is>
      </c>
      <c r="H369" s="30" t="n">
        <v>3.4</v>
      </c>
      <c r="I369" t="n">
        <v>1</v>
      </c>
      <c r="J369" s="31" t="n">
        <v>87366.21000000001</v>
      </c>
      <c r="K369" s="32" t="n"/>
    </row>
    <row r="370">
      <c r="A370" t="inlineStr">
        <is>
          <t>ENC120614</t>
        </is>
      </c>
      <c r="B370" t="inlineStr">
        <is>
          <t>Behavioral Health</t>
        </is>
      </c>
      <c r="C370" s="29" t="n">
        <v>45988</v>
      </c>
      <c r="D370" s="29" t="n">
        <v>45996</v>
      </c>
      <c r="E370" t="n">
        <v>86</v>
      </c>
      <c r="F370" t="inlineStr">
        <is>
          <t>F32.9</t>
        </is>
      </c>
      <c r="G370" t="inlineStr">
        <is>
          <t>Major depressive disorder, single episode, unspecified</t>
        </is>
      </c>
      <c r="H370" s="30" t="n">
        <v>6.8</v>
      </c>
      <c r="I370" t="n">
        <v>8</v>
      </c>
      <c r="J370" s="31" t="n">
        <v>17217.65</v>
      </c>
      <c r="K370" s="32" t="n"/>
    </row>
    <row r="371">
      <c r="A371" t="inlineStr">
        <is>
          <t>ENC120804</t>
        </is>
      </c>
      <c r="B371" t="inlineStr">
        <is>
          <t>Medical-Surgical 4 West</t>
        </is>
      </c>
      <c r="C371" s="29" t="n">
        <v>45993</v>
      </c>
      <c r="D371" s="29" t="n">
        <v>45996</v>
      </c>
      <c r="E371" t="n">
        <v>64</v>
      </c>
      <c r="F371" t="inlineStr">
        <is>
          <t>J18.9</t>
        </is>
      </c>
      <c r="G371" t="inlineStr">
        <is>
          <t>Pneumonia, unspecified organism</t>
        </is>
      </c>
      <c r="H371" s="30" t="n">
        <v>3.9</v>
      </c>
      <c r="I371" t="n">
        <v>3</v>
      </c>
      <c r="J371" s="31" t="n">
        <v>19391.83</v>
      </c>
      <c r="K371" s="32" t="n"/>
    </row>
    <row r="372">
      <c r="A372" t="inlineStr">
        <is>
          <t>ENC120694</t>
        </is>
      </c>
      <c r="B372" t="inlineStr">
        <is>
          <t>Cardiac Step-Down</t>
        </is>
      </c>
      <c r="C372" s="29" t="n">
        <v>45990</v>
      </c>
      <c r="D372" s="29" t="n">
        <v>45996</v>
      </c>
      <c r="E372" t="n">
        <v>63</v>
      </c>
      <c r="F372" t="inlineStr">
        <is>
          <t>I50.9</t>
        </is>
      </c>
      <c r="G372" t="inlineStr">
        <is>
          <t>Heart failure, unspecified</t>
        </is>
      </c>
      <c r="H372" s="30" t="n">
        <v>4.1</v>
      </c>
      <c r="I372" t="n">
        <v>6</v>
      </c>
      <c r="J372" s="31" t="n">
        <v>39570.57</v>
      </c>
      <c r="K372" s="32" t="n"/>
    </row>
    <row r="373">
      <c r="A373" t="inlineStr">
        <is>
          <t>ENC120902</t>
        </is>
      </c>
      <c r="B373" t="inlineStr">
        <is>
          <t>Neuroscience &amp; Stroke</t>
        </is>
      </c>
      <c r="C373" s="29" t="n">
        <v>45995</v>
      </c>
      <c r="D373" s="29" t="n">
        <v>45997</v>
      </c>
      <c r="E373" t="n">
        <v>62</v>
      </c>
      <c r="F373" t="inlineStr">
        <is>
          <t>I63.9</t>
        </is>
      </c>
      <c r="G373" t="inlineStr">
        <is>
          <t>Cerebral infarction, unspecified</t>
        </is>
      </c>
      <c r="H373" s="30" t="n">
        <v>4.2</v>
      </c>
      <c r="I373" t="n">
        <v>2</v>
      </c>
      <c r="J373" s="31" t="n">
        <v>14684.29</v>
      </c>
      <c r="K373" s="32" t="n"/>
    </row>
    <row r="374">
      <c r="A374" t="inlineStr">
        <is>
          <t>ENC120848</t>
        </is>
      </c>
      <c r="B374" t="inlineStr">
        <is>
          <t>Medical-Surgical 4 West</t>
        </is>
      </c>
      <c r="C374" s="29" t="n">
        <v>45994</v>
      </c>
      <c r="D374" s="29" t="n">
        <v>45997</v>
      </c>
      <c r="E374" t="n">
        <v>52</v>
      </c>
      <c r="F374" t="inlineStr">
        <is>
          <t>K35.80</t>
        </is>
      </c>
      <c r="G374" t="inlineStr">
        <is>
          <t>Unspecified acute appendicitis</t>
        </is>
      </c>
      <c r="H374" s="30" t="n">
        <v>2</v>
      </c>
      <c r="I374" t="n">
        <v>3</v>
      </c>
      <c r="J374" s="31" t="n">
        <v>43062.37</v>
      </c>
      <c r="K374" s="32" t="n"/>
    </row>
    <row r="375">
      <c r="A375" t="inlineStr">
        <is>
          <t>ENC120793</t>
        </is>
      </c>
      <c r="B375" t="inlineStr">
        <is>
          <t>Neuroscience &amp; Stroke</t>
        </is>
      </c>
      <c r="C375" s="29" t="n">
        <v>45993</v>
      </c>
      <c r="D375" s="29" t="n">
        <v>45997</v>
      </c>
      <c r="E375" t="n">
        <v>57</v>
      </c>
      <c r="F375" t="inlineStr">
        <is>
          <t>I63.9</t>
        </is>
      </c>
      <c r="G375" t="inlineStr">
        <is>
          <t>Cerebral infarction, unspecified</t>
        </is>
      </c>
      <c r="H375" s="30" t="n">
        <v>4.2</v>
      </c>
      <c r="I375" t="n">
        <v>4</v>
      </c>
      <c r="J375" s="31" t="n">
        <v>18155.14</v>
      </c>
      <c r="K375" s="32" t="n"/>
    </row>
    <row r="376">
      <c r="A376" t="inlineStr">
        <is>
          <t>ENC120587</t>
        </is>
      </c>
      <c r="B376" t="inlineStr">
        <is>
          <t>Intensive Care Unit</t>
        </is>
      </c>
      <c r="C376" s="29" t="n">
        <v>45986</v>
      </c>
      <c r="D376" s="29" t="n">
        <v>45997</v>
      </c>
      <c r="E376" t="n">
        <v>50</v>
      </c>
      <c r="F376" t="inlineStr">
        <is>
          <t>A41.9</t>
        </is>
      </c>
      <c r="G376" t="inlineStr">
        <is>
          <t>Sepsis, unspecified organism</t>
        </is>
      </c>
      <c r="H376" s="30" t="n">
        <v>5</v>
      </c>
      <c r="I376" t="n">
        <v>11</v>
      </c>
      <c r="J376" s="31" t="n">
        <v>94701.8</v>
      </c>
      <c r="K376" s="32" t="n"/>
    </row>
    <row r="377">
      <c r="A377" t="inlineStr">
        <is>
          <t>ENC120833</t>
        </is>
      </c>
      <c r="B377" t="inlineStr">
        <is>
          <t>Cardiac Step-Down</t>
        </is>
      </c>
      <c r="C377" s="29" t="n">
        <v>45994</v>
      </c>
      <c r="D377" s="29" t="n">
        <v>45997</v>
      </c>
      <c r="E377" t="n">
        <v>43</v>
      </c>
      <c r="F377" t="inlineStr">
        <is>
          <t>I21.4</t>
        </is>
      </c>
      <c r="G377" t="inlineStr">
        <is>
          <t>Non-ST elevation (NSTEMI) myocardial infarction</t>
        </is>
      </c>
      <c r="H377" s="30" t="n">
        <v>3.4</v>
      </c>
      <c r="I377" t="n">
        <v>3</v>
      </c>
      <c r="J377" s="31" t="n">
        <v>62660.37</v>
      </c>
      <c r="K377" s="32" t="n"/>
    </row>
    <row r="378">
      <c r="A378" t="inlineStr">
        <is>
          <t>ENC120749</t>
        </is>
      </c>
      <c r="B378" t="inlineStr">
        <is>
          <t>Intensive Care Unit</t>
        </is>
      </c>
      <c r="C378" s="29" t="n">
        <v>45992</v>
      </c>
      <c r="D378" s="29" t="n">
        <v>45997</v>
      </c>
      <c r="E378" t="n">
        <v>45</v>
      </c>
      <c r="F378" t="inlineStr">
        <is>
          <t>A41.9</t>
        </is>
      </c>
      <c r="G378" t="inlineStr">
        <is>
          <t>Sepsis, unspecified organism</t>
        </is>
      </c>
      <c r="H378" s="30" t="n">
        <v>5</v>
      </c>
      <c r="I378" t="n">
        <v>5</v>
      </c>
      <c r="J378" s="31" t="n">
        <v>84591.61</v>
      </c>
      <c r="K378" s="32" t="n"/>
    </row>
    <row r="379">
      <c r="A379" t="inlineStr">
        <is>
          <t>ENC120820</t>
        </is>
      </c>
      <c r="B379" t="inlineStr">
        <is>
          <t>Medical-Surgical 5 East</t>
        </is>
      </c>
      <c r="C379" s="29" t="n">
        <v>45993</v>
      </c>
      <c r="D379" s="29" t="n">
        <v>45997</v>
      </c>
      <c r="E379" t="n">
        <v>78</v>
      </c>
      <c r="F379" t="inlineStr">
        <is>
          <t>J44.1</t>
        </is>
      </c>
      <c r="G379" t="inlineStr">
        <is>
          <t>Chronic obstructive pulmonary disease with (acute) exacerbation</t>
        </is>
      </c>
      <c r="H379" s="30" t="n">
        <v>3.4</v>
      </c>
      <c r="I379" t="n">
        <v>4</v>
      </c>
      <c r="J379" s="31" t="n">
        <v>15297.83</v>
      </c>
      <c r="K379" s="32" t="n"/>
    </row>
    <row r="380">
      <c r="A380" t="inlineStr">
        <is>
          <t>ENC120769</t>
        </is>
      </c>
      <c r="B380" t="inlineStr">
        <is>
          <t>Medical-Surgical 5 East</t>
        </is>
      </c>
      <c r="C380" s="29" t="n">
        <v>45992</v>
      </c>
      <c r="D380" s="29" t="n">
        <v>45997</v>
      </c>
      <c r="E380" t="n">
        <v>41</v>
      </c>
      <c r="F380" t="inlineStr">
        <is>
          <t>J18.9</t>
        </is>
      </c>
      <c r="G380" t="inlineStr">
        <is>
          <t>Pneumonia, unspecified organism</t>
        </is>
      </c>
      <c r="H380" s="30" t="n">
        <v>3.9</v>
      </c>
      <c r="I380" t="n">
        <v>5</v>
      </c>
      <c r="J380" s="31" t="n">
        <v>25143.18</v>
      </c>
      <c r="K380" s="32" t="n"/>
    </row>
    <row r="381">
      <c r="A381" t="inlineStr">
        <is>
          <t>ENC120827</t>
        </is>
      </c>
      <c r="B381" t="inlineStr">
        <is>
          <t>Orthopedics &amp; Spine</t>
        </is>
      </c>
      <c r="C381" s="29" t="n">
        <v>45994</v>
      </c>
      <c r="D381" s="29" t="n">
        <v>45997</v>
      </c>
      <c r="E381" t="n">
        <v>55</v>
      </c>
      <c r="F381" t="inlineStr">
        <is>
          <t>M16.11</t>
        </is>
      </c>
      <c r="G381" t="inlineStr">
        <is>
          <t>Unilateral primary osteoarthritis, right hip</t>
        </is>
      </c>
      <c r="H381" s="30" t="n">
        <v>2.1</v>
      </c>
      <c r="I381" t="n">
        <v>3</v>
      </c>
      <c r="J381" s="31" t="n">
        <v>28038.25</v>
      </c>
      <c r="K381" s="32" t="n"/>
    </row>
    <row r="382">
      <c r="A382" t="inlineStr">
        <is>
          <t>ENC120681</t>
        </is>
      </c>
      <c r="B382" t="inlineStr">
        <is>
          <t>Medical-Surgical 4 West</t>
        </is>
      </c>
      <c r="C382" s="29" t="n">
        <v>45989</v>
      </c>
      <c r="D382" s="29" t="n">
        <v>45997</v>
      </c>
      <c r="E382" t="n">
        <v>91</v>
      </c>
      <c r="F382" t="inlineStr">
        <is>
          <t>J18.9</t>
        </is>
      </c>
      <c r="G382" t="inlineStr">
        <is>
          <t>Pneumonia, unspecified organism</t>
        </is>
      </c>
      <c r="H382" s="30" t="n">
        <v>3.9</v>
      </c>
      <c r="I382" t="n">
        <v>8</v>
      </c>
      <c r="J382" s="31" t="n">
        <v>42962.4</v>
      </c>
      <c r="K382" s="32" t="n"/>
    </row>
    <row r="383">
      <c r="A383" t="inlineStr">
        <is>
          <t>ENC120834</t>
        </is>
      </c>
      <c r="B383" t="inlineStr">
        <is>
          <t>Medical-Surgical 4 West</t>
        </is>
      </c>
      <c r="C383" s="29" t="n">
        <v>45994</v>
      </c>
      <c r="D383" s="29" t="n">
        <v>45997</v>
      </c>
      <c r="E383" t="n">
        <v>81</v>
      </c>
      <c r="F383" t="inlineStr">
        <is>
          <t>E87.1</t>
        </is>
      </c>
      <c r="G383" t="inlineStr">
        <is>
          <t>Hypo-osmolality and hyponatremia</t>
        </is>
      </c>
      <c r="H383" s="30" t="n">
        <v>3.2</v>
      </c>
      <c r="I383" t="n">
        <v>3</v>
      </c>
      <c r="J383" s="31" t="n">
        <v>12562.39</v>
      </c>
      <c r="K383" s="32" t="n"/>
    </row>
    <row r="384">
      <c r="A384" t="inlineStr">
        <is>
          <t>ENC120910</t>
        </is>
      </c>
      <c r="B384" t="inlineStr">
        <is>
          <t>Medical-Surgical 4 West</t>
        </is>
      </c>
      <c r="C384" s="29" t="n">
        <v>45996</v>
      </c>
      <c r="D384" s="29" t="n">
        <v>45998</v>
      </c>
      <c r="E384" t="n">
        <v>59</v>
      </c>
      <c r="F384" t="inlineStr">
        <is>
          <t>J45.909</t>
        </is>
      </c>
      <c r="G384" t="inlineStr">
        <is>
          <t>Unspecified asthma, uncomplicated</t>
        </is>
      </c>
      <c r="H384" s="30" t="n">
        <v>2.1</v>
      </c>
      <c r="I384" t="n">
        <v>2</v>
      </c>
      <c r="J384" s="31" t="n">
        <v>11609.9</v>
      </c>
      <c r="K384" s="32" t="n"/>
    </row>
    <row r="385">
      <c r="A385" t="inlineStr">
        <is>
          <t>ENC120719</t>
        </is>
      </c>
      <c r="B385" t="inlineStr">
        <is>
          <t>Oncology</t>
        </is>
      </c>
      <c r="C385" s="29" t="n">
        <v>45991</v>
      </c>
      <c r="D385" s="29" t="n">
        <v>45998</v>
      </c>
      <c r="E385" t="n">
        <v>52</v>
      </c>
      <c r="F385" t="inlineStr">
        <is>
          <t>D70.1</t>
        </is>
      </c>
      <c r="G385" t="inlineStr">
        <is>
          <t>Agranulocytosis secondary to cancer chemotherapy</t>
        </is>
      </c>
      <c r="H385" s="30" t="n">
        <v>4.5</v>
      </c>
      <c r="I385" t="n">
        <v>7</v>
      </c>
      <c r="J385" s="31" t="n">
        <v>40954.12</v>
      </c>
      <c r="K385" s="32" t="n"/>
    </row>
    <row r="386">
      <c r="A386" t="inlineStr">
        <is>
          <t>ENC120651</t>
        </is>
      </c>
      <c r="B386" t="inlineStr">
        <is>
          <t>Intensive Care Unit</t>
        </is>
      </c>
      <c r="C386" s="29" t="n">
        <v>45989</v>
      </c>
      <c r="D386" s="29" t="n">
        <v>45998</v>
      </c>
      <c r="E386" t="n">
        <v>76</v>
      </c>
      <c r="F386" t="inlineStr">
        <is>
          <t>J96.01</t>
        </is>
      </c>
      <c r="G386" t="inlineStr">
        <is>
          <t>Acute respiratory failure with hypoxia</t>
        </is>
      </c>
      <c r="H386" s="30" t="n">
        <v>4.8</v>
      </c>
      <c r="I386" t="n">
        <v>9</v>
      </c>
      <c r="J386" s="31" t="n">
        <v>90551.12</v>
      </c>
      <c r="K386" s="32" t="n"/>
    </row>
    <row r="387">
      <c r="A387" t="inlineStr">
        <is>
          <t>ENC120883</t>
        </is>
      </c>
      <c r="B387" t="inlineStr">
        <is>
          <t>Cardiac Step-Down</t>
        </is>
      </c>
      <c r="C387" s="29" t="n">
        <v>45995</v>
      </c>
      <c r="D387" s="29" t="n">
        <v>45998</v>
      </c>
      <c r="E387" t="n">
        <v>67</v>
      </c>
      <c r="F387" t="inlineStr">
        <is>
          <t>I48.91</t>
        </is>
      </c>
      <c r="G387" t="inlineStr">
        <is>
          <t>Unspecified atrial fibrillation</t>
        </is>
      </c>
      <c r="H387" s="30" t="n">
        <v>2.9</v>
      </c>
      <c r="I387" t="n">
        <v>3</v>
      </c>
      <c r="J387" s="31" t="n">
        <v>19388.36</v>
      </c>
      <c r="K387" s="32" t="n"/>
    </row>
    <row r="388">
      <c r="A388" t="inlineStr">
        <is>
          <t>ENC120712</t>
        </is>
      </c>
      <c r="B388" t="inlineStr">
        <is>
          <t>Labor &amp; Delivery</t>
        </is>
      </c>
      <c r="C388" s="29" t="n">
        <v>45991</v>
      </c>
      <c r="D388" s="29" t="n">
        <v>45998</v>
      </c>
      <c r="E388" t="n">
        <v>44</v>
      </c>
      <c r="F388" t="inlineStr">
        <is>
          <t>O82</t>
        </is>
      </c>
      <c r="G388" t="inlineStr">
        <is>
          <t>Encounter for cesarean delivery without indication</t>
        </is>
      </c>
      <c r="H388" s="30" t="n">
        <v>2.9</v>
      </c>
      <c r="I388" t="n">
        <v>7</v>
      </c>
      <c r="J388" s="31" t="n">
        <v>40674.74</v>
      </c>
      <c r="K388" s="32" t="n"/>
    </row>
    <row r="389">
      <c r="A389" t="inlineStr">
        <is>
          <t>ENC120952</t>
        </is>
      </c>
      <c r="B389" t="inlineStr">
        <is>
          <t>Labor &amp; Delivery</t>
        </is>
      </c>
      <c r="C389" s="29" t="n">
        <v>45996</v>
      </c>
      <c r="D389" s="29" t="n">
        <v>45998</v>
      </c>
      <c r="E389" t="n">
        <v>29</v>
      </c>
      <c r="F389" t="inlineStr">
        <is>
          <t>O80</t>
        </is>
      </c>
      <c r="G389" t="inlineStr">
        <is>
          <t>Encounter for full-term uncomplicated delivery</t>
        </is>
      </c>
      <c r="H389" s="30" t="n">
        <v>2</v>
      </c>
      <c r="I389" t="n">
        <v>2</v>
      </c>
      <c r="J389" s="31" t="n">
        <v>22680.52</v>
      </c>
      <c r="K389" s="32" t="n"/>
    </row>
    <row r="390">
      <c r="A390" t="inlineStr">
        <is>
          <t>ENC120907</t>
        </is>
      </c>
      <c r="B390" t="inlineStr">
        <is>
          <t>Medical-Surgical 5 East</t>
        </is>
      </c>
      <c r="C390" s="29" t="n">
        <v>45995</v>
      </c>
      <c r="D390" s="29" t="n">
        <v>45998</v>
      </c>
      <c r="E390" t="n">
        <v>30</v>
      </c>
      <c r="F390" t="inlineStr">
        <is>
          <t>N39.0</t>
        </is>
      </c>
      <c r="G390" t="inlineStr">
        <is>
          <t>Urinary tract infection, site not specified</t>
        </is>
      </c>
      <c r="H390" s="30" t="n">
        <v>3.1</v>
      </c>
      <c r="I390" t="n">
        <v>3</v>
      </c>
      <c r="J390" s="31" t="n">
        <v>15385.5</v>
      </c>
      <c r="K390" s="32" t="n"/>
    </row>
    <row r="391">
      <c r="A391" t="inlineStr">
        <is>
          <t>ENC120728</t>
        </is>
      </c>
      <c r="B391" t="inlineStr">
        <is>
          <t>Medical-Surgical 4 West</t>
        </is>
      </c>
      <c r="C391" s="29" t="n">
        <v>45991</v>
      </c>
      <c r="D391" s="29" t="n">
        <v>45998</v>
      </c>
      <c r="E391" t="n">
        <v>69</v>
      </c>
      <c r="F391" t="inlineStr">
        <is>
          <t>N17.9</t>
        </is>
      </c>
      <c r="G391" t="inlineStr">
        <is>
          <t>Acute kidney failure, unspecified</t>
        </is>
      </c>
      <c r="H391" s="30" t="n">
        <v>3.9</v>
      </c>
      <c r="I391" t="n">
        <v>7</v>
      </c>
      <c r="J391" s="31" t="n">
        <v>19984.78</v>
      </c>
      <c r="K391" s="32" t="n"/>
    </row>
    <row r="392">
      <c r="A392" t="inlineStr">
        <is>
          <t>ENC120779</t>
        </is>
      </c>
      <c r="B392" t="inlineStr">
        <is>
          <t>Neuroscience &amp; Stroke</t>
        </is>
      </c>
      <c r="C392" s="29" t="n">
        <v>45993</v>
      </c>
      <c r="D392" s="29" t="n">
        <v>45999</v>
      </c>
      <c r="E392" t="n">
        <v>98</v>
      </c>
      <c r="F392" t="inlineStr">
        <is>
          <t>I63.9</t>
        </is>
      </c>
      <c r="G392" t="inlineStr">
        <is>
          <t>Cerebral infarction, unspecified</t>
        </is>
      </c>
      <c r="H392" s="30" t="n">
        <v>4.2</v>
      </c>
      <c r="I392" t="n">
        <v>6</v>
      </c>
      <c r="J392" s="31" t="n">
        <v>27390.91</v>
      </c>
      <c r="K392" s="32" t="n"/>
    </row>
    <row r="393">
      <c r="A393" t="inlineStr">
        <is>
          <t>ENC120636</t>
        </is>
      </c>
      <c r="B393" t="inlineStr">
        <is>
          <t>Behavioral Health</t>
        </is>
      </c>
      <c r="C393" s="29" t="n">
        <v>45988</v>
      </c>
      <c r="D393" s="29" t="n">
        <v>45999</v>
      </c>
      <c r="E393" t="n">
        <v>58</v>
      </c>
      <c r="F393" t="inlineStr">
        <is>
          <t>F20.9</t>
        </is>
      </c>
      <c r="G393" t="inlineStr">
        <is>
          <t>Schizophrenia, unspecified</t>
        </is>
      </c>
      <c r="H393" s="30" t="n">
        <v>8.9</v>
      </c>
      <c r="I393" t="n">
        <v>11</v>
      </c>
      <c r="J393" s="31" t="n">
        <v>19859.65</v>
      </c>
      <c r="K393" s="32" t="n"/>
    </row>
    <row r="394">
      <c r="A394" t="inlineStr">
        <is>
          <t>ENC120770</t>
        </is>
      </c>
      <c r="B394" t="inlineStr">
        <is>
          <t>Medical-Surgical 5 East</t>
        </is>
      </c>
      <c r="C394" s="29" t="n">
        <v>45992</v>
      </c>
      <c r="D394" s="29" t="n">
        <v>45999</v>
      </c>
      <c r="E394" t="n">
        <v>87</v>
      </c>
      <c r="F394" t="inlineStr">
        <is>
          <t>J44.1</t>
        </is>
      </c>
      <c r="G394" t="inlineStr">
        <is>
          <t>Chronic obstructive pulmonary disease with (acute) exacerbation</t>
        </is>
      </c>
      <c r="H394" s="30" t="n">
        <v>3.4</v>
      </c>
      <c r="I394" t="n">
        <v>7</v>
      </c>
      <c r="J394" s="31" t="n">
        <v>36539.47</v>
      </c>
      <c r="K394" s="32" t="n"/>
    </row>
    <row r="395">
      <c r="A395" t="inlineStr">
        <is>
          <t>ENC120986</t>
        </is>
      </c>
      <c r="B395" t="inlineStr">
        <is>
          <t>Medical-Surgical 4 West</t>
        </is>
      </c>
      <c r="C395" s="29" t="n">
        <v>45998</v>
      </c>
      <c r="D395" s="29" t="n">
        <v>45999</v>
      </c>
      <c r="E395" t="n">
        <v>37</v>
      </c>
      <c r="F395" t="inlineStr">
        <is>
          <t>K80.20</t>
        </is>
      </c>
      <c r="G395" t="inlineStr">
        <is>
          <t>Calculus of gallbladder without cholecystitis without obstruction</t>
        </is>
      </c>
      <c r="H395" s="30" t="n">
        <v>1.9</v>
      </c>
      <c r="I395" t="n">
        <v>1</v>
      </c>
      <c r="J395" s="31" t="n">
        <v>22129.42</v>
      </c>
      <c r="K395" s="32" t="n"/>
    </row>
    <row r="396">
      <c r="A396" t="inlineStr">
        <is>
          <t>ENC120962</t>
        </is>
      </c>
      <c r="B396" t="inlineStr">
        <is>
          <t>Labor &amp; Delivery</t>
        </is>
      </c>
      <c r="C396" s="29" t="n">
        <v>45997</v>
      </c>
      <c r="D396" s="29" t="n">
        <v>45999</v>
      </c>
      <c r="E396" t="n">
        <v>41</v>
      </c>
      <c r="F396" t="inlineStr">
        <is>
          <t>O80</t>
        </is>
      </c>
      <c r="G396" t="inlineStr">
        <is>
          <t>Encounter for full-term uncomplicated delivery</t>
        </is>
      </c>
      <c r="H396" s="30" t="n">
        <v>2</v>
      </c>
      <c r="I396" t="n">
        <v>2</v>
      </c>
      <c r="J396" s="31" t="n">
        <v>18454.96</v>
      </c>
      <c r="K396" s="32" t="n"/>
    </row>
    <row r="397">
      <c r="A397" t="inlineStr">
        <is>
          <t>ENC120956</t>
        </is>
      </c>
      <c r="B397" t="inlineStr">
        <is>
          <t>Cardiac Step-Down</t>
        </is>
      </c>
      <c r="C397" s="29" t="n">
        <v>45997</v>
      </c>
      <c r="D397" s="29" t="n">
        <v>45999</v>
      </c>
      <c r="E397" t="n">
        <v>66</v>
      </c>
      <c r="F397" t="inlineStr">
        <is>
          <t>I50.9</t>
        </is>
      </c>
      <c r="G397" t="inlineStr">
        <is>
          <t>Heart failure, unspecified</t>
        </is>
      </c>
      <c r="H397" s="30" t="n">
        <v>4.1</v>
      </c>
      <c r="I397" t="n">
        <v>2</v>
      </c>
      <c r="J397" s="31" t="n">
        <v>21597.84</v>
      </c>
      <c r="K397" s="32" t="n"/>
    </row>
    <row r="398">
      <c r="A398" t="inlineStr">
        <is>
          <t>ENC120901</t>
        </is>
      </c>
      <c r="B398" t="inlineStr">
        <is>
          <t>Medical-Surgical 5 East</t>
        </is>
      </c>
      <c r="C398" s="29" t="n">
        <v>45995</v>
      </c>
      <c r="D398" s="29" t="n">
        <v>45999</v>
      </c>
      <c r="E398" t="n">
        <v>66</v>
      </c>
      <c r="F398" t="inlineStr">
        <is>
          <t>N39.0</t>
        </is>
      </c>
      <c r="G398" t="inlineStr">
        <is>
          <t>Urinary tract infection, site not specified</t>
        </is>
      </c>
      <c r="H398" s="30" t="n">
        <v>3.1</v>
      </c>
      <c r="I398" t="n">
        <v>4</v>
      </c>
      <c r="J398" s="31" t="n">
        <v>20165.78</v>
      </c>
      <c r="K398" s="32" t="n"/>
    </row>
    <row r="399">
      <c r="A399" t="inlineStr">
        <is>
          <t>ENC120973</t>
        </is>
      </c>
      <c r="B399" t="inlineStr">
        <is>
          <t>Medical-Surgical 4 West</t>
        </is>
      </c>
      <c r="C399" s="29" t="n">
        <v>45997</v>
      </c>
      <c r="D399" s="29" t="n">
        <v>46000</v>
      </c>
      <c r="E399" t="n">
        <v>95</v>
      </c>
      <c r="F399" t="inlineStr">
        <is>
          <t>J18.9</t>
        </is>
      </c>
      <c r="G399" t="inlineStr">
        <is>
          <t>Pneumonia, unspecified organism</t>
        </is>
      </c>
      <c r="H399" s="30" t="n">
        <v>3.9</v>
      </c>
      <c r="I399" t="n">
        <v>3</v>
      </c>
      <c r="J399" s="31" t="n">
        <v>13689.88</v>
      </c>
      <c r="K399" s="32" t="n"/>
    </row>
    <row r="400">
      <c r="A400" t="inlineStr">
        <is>
          <t>ENC120859</t>
        </is>
      </c>
      <c r="B400" t="inlineStr">
        <is>
          <t>Medical-Surgical 5 East</t>
        </is>
      </c>
      <c r="C400" s="29" t="n">
        <v>45994</v>
      </c>
      <c r="D400" s="29" t="n">
        <v>46000</v>
      </c>
      <c r="E400" t="n">
        <v>64</v>
      </c>
      <c r="F400" t="inlineStr">
        <is>
          <t>K56.609</t>
        </is>
      </c>
      <c r="G400" t="inlineStr">
        <is>
          <t>Unspecified intestinal obstruction</t>
        </is>
      </c>
      <c r="H400" s="30" t="n">
        <v>4.6</v>
      </c>
      <c r="I400" t="n">
        <v>6</v>
      </c>
      <c r="J400" s="31" t="n">
        <v>29462.47</v>
      </c>
      <c r="K400" s="32" t="n"/>
    </row>
    <row r="401">
      <c r="A401" t="inlineStr">
        <is>
          <t>ENC120983</t>
        </is>
      </c>
      <c r="B401" t="inlineStr">
        <is>
          <t>Medical-Surgical 4 West</t>
        </is>
      </c>
      <c r="C401" s="29" t="n">
        <v>45998</v>
      </c>
      <c r="D401" s="29" t="n">
        <v>46000</v>
      </c>
      <c r="E401" t="n">
        <v>61</v>
      </c>
      <c r="F401" t="inlineStr">
        <is>
          <t>N17.9</t>
        </is>
      </c>
      <c r="G401" t="inlineStr">
        <is>
          <t>Acute kidney failure, unspecified</t>
        </is>
      </c>
      <c r="H401" s="30" t="n">
        <v>3.9</v>
      </c>
      <c r="I401" t="n">
        <v>2</v>
      </c>
      <c r="J401" s="31" t="n">
        <v>11204.42</v>
      </c>
      <c r="K401" s="32" t="n"/>
    </row>
    <row r="402">
      <c r="A402" t="inlineStr">
        <is>
          <t>ENC120906</t>
        </is>
      </c>
      <c r="B402" t="inlineStr">
        <is>
          <t>Cardiac Step-Down</t>
        </is>
      </c>
      <c r="C402" s="29" t="n">
        <v>45995</v>
      </c>
      <c r="D402" s="29" t="n">
        <v>46000</v>
      </c>
      <c r="E402" t="n">
        <v>67</v>
      </c>
      <c r="F402" t="inlineStr">
        <is>
          <t>I50.9</t>
        </is>
      </c>
      <c r="G402" t="inlineStr">
        <is>
          <t>Heart failure, unspecified</t>
        </is>
      </c>
      <c r="H402" s="30" t="n">
        <v>4.1</v>
      </c>
      <c r="I402" t="n">
        <v>5</v>
      </c>
      <c r="J402" s="31" t="n">
        <v>31329.2</v>
      </c>
      <c r="K402" s="32" t="n"/>
    </row>
    <row r="403">
      <c r="A403" t="inlineStr">
        <is>
          <t>ENC121038</t>
        </is>
      </c>
      <c r="B403" t="inlineStr">
        <is>
          <t>Labor &amp; Delivery</t>
        </is>
      </c>
      <c r="C403" s="29" t="n">
        <v>45999</v>
      </c>
      <c r="D403" s="29" t="n">
        <v>46000</v>
      </c>
      <c r="E403" t="n">
        <v>19</v>
      </c>
      <c r="F403" t="inlineStr">
        <is>
          <t>O82</t>
        </is>
      </c>
      <c r="G403" t="inlineStr">
        <is>
          <t>Encounter for cesarean delivery without indication</t>
        </is>
      </c>
      <c r="H403" s="30" t="n">
        <v>2.9</v>
      </c>
      <c r="I403" t="n">
        <v>1</v>
      </c>
      <c r="J403" s="31" t="n">
        <v>14650.62</v>
      </c>
      <c r="K403" s="32" t="n"/>
    </row>
    <row r="404">
      <c r="A404" t="inlineStr">
        <is>
          <t>ENC120964</t>
        </is>
      </c>
      <c r="B404" t="inlineStr">
        <is>
          <t>Medical-Surgical 4 West</t>
        </is>
      </c>
      <c r="C404" s="29" t="n">
        <v>45997</v>
      </c>
      <c r="D404" s="29" t="n">
        <v>46000</v>
      </c>
      <c r="E404" t="n">
        <v>73</v>
      </c>
      <c r="F404" t="inlineStr">
        <is>
          <t>L03.115</t>
        </is>
      </c>
      <c r="G404" t="inlineStr">
        <is>
          <t>Cellulitis of right lower limb</t>
        </is>
      </c>
      <c r="H404" s="30" t="n">
        <v>3.4</v>
      </c>
      <c r="I404" t="n">
        <v>3</v>
      </c>
      <c r="J404" s="31" t="n">
        <v>13757.64</v>
      </c>
      <c r="K404" s="32" t="n"/>
    </row>
    <row r="405">
      <c r="A405" t="inlineStr">
        <is>
          <t>ENC120997</t>
        </is>
      </c>
      <c r="B405" t="inlineStr">
        <is>
          <t>Medical-Surgical 5 East</t>
        </is>
      </c>
      <c r="C405" s="29" t="n">
        <v>45999</v>
      </c>
      <c r="D405" s="29" t="n">
        <v>46000</v>
      </c>
      <c r="E405" t="n">
        <v>77</v>
      </c>
      <c r="F405" t="inlineStr">
        <is>
          <t>K92.2</t>
        </is>
      </c>
      <c r="G405" t="inlineStr">
        <is>
          <t>Gastrointestinal hemorrhage, unspecified</t>
        </is>
      </c>
      <c r="H405" s="30" t="n">
        <v>3.5</v>
      </c>
      <c r="I405" t="n">
        <v>1</v>
      </c>
      <c r="J405" s="31" t="n">
        <v>5549.75</v>
      </c>
      <c r="K405" s="32" t="n"/>
    </row>
    <row r="406">
      <c r="A406" t="inlineStr">
        <is>
          <t>ENC120867</t>
        </is>
      </c>
      <c r="B406" t="inlineStr">
        <is>
          <t>Medical-Surgical 4 West</t>
        </is>
      </c>
      <c r="C406" s="29" t="n">
        <v>45995</v>
      </c>
      <c r="D406" s="29" t="n">
        <v>46000</v>
      </c>
      <c r="E406" t="n">
        <v>67</v>
      </c>
      <c r="F406" t="inlineStr">
        <is>
          <t>U07.1</t>
        </is>
      </c>
      <c r="G406" t="inlineStr">
        <is>
          <t>COVID-19</t>
        </is>
      </c>
      <c r="H406" s="30" t="n">
        <v>4.4</v>
      </c>
      <c r="I406" t="n">
        <v>5</v>
      </c>
      <c r="J406" s="31" t="n">
        <v>28991.61</v>
      </c>
      <c r="K406" s="32" t="n"/>
    </row>
    <row r="407">
      <c r="A407" t="inlineStr">
        <is>
          <t>ENC120862</t>
        </is>
      </c>
      <c r="B407" t="inlineStr">
        <is>
          <t>Medical-Surgical 4 West</t>
        </is>
      </c>
      <c r="C407" s="29" t="n">
        <v>45994</v>
      </c>
      <c r="D407" s="29" t="n">
        <v>46000</v>
      </c>
      <c r="E407" t="n">
        <v>61</v>
      </c>
      <c r="F407" t="inlineStr">
        <is>
          <t>E11.65</t>
        </is>
      </c>
      <c r="G407" t="inlineStr">
        <is>
          <t>Type 2 diabetes mellitus with hyperglycemia</t>
        </is>
      </c>
      <c r="H407" s="30" t="n">
        <v>3</v>
      </c>
      <c r="I407" t="n">
        <v>6</v>
      </c>
      <c r="J407" s="31" t="n">
        <v>34945.42</v>
      </c>
      <c r="K407" s="32" t="n"/>
    </row>
    <row r="408">
      <c r="A408" t="inlineStr">
        <is>
          <t>ENC120977</t>
        </is>
      </c>
      <c r="B408" t="inlineStr">
        <is>
          <t>Medical-Surgical 4 West</t>
        </is>
      </c>
      <c r="C408" s="29" t="n">
        <v>45997</v>
      </c>
      <c r="D408" s="29" t="n">
        <v>46001</v>
      </c>
      <c r="E408" t="n">
        <v>95</v>
      </c>
      <c r="F408" t="inlineStr">
        <is>
          <t>J44.1</t>
        </is>
      </c>
      <c r="G408" t="inlineStr">
        <is>
          <t>Chronic obstructive pulmonary disease with (acute) exacerbation</t>
        </is>
      </c>
      <c r="H408" s="30" t="n">
        <v>3.4</v>
      </c>
      <c r="I408" t="n">
        <v>4</v>
      </c>
      <c r="J408" s="31" t="n">
        <v>19463.54</v>
      </c>
      <c r="K408" s="32" t="n"/>
    </row>
    <row r="409">
      <c r="A409" t="inlineStr">
        <is>
          <t>ENC121055</t>
        </is>
      </c>
      <c r="B409" t="inlineStr">
        <is>
          <t>Labor &amp; Delivery</t>
        </is>
      </c>
      <c r="C409" s="29" t="n">
        <v>46000</v>
      </c>
      <c r="D409" s="29" t="n">
        <v>46001</v>
      </c>
      <c r="E409" t="n">
        <v>26</v>
      </c>
      <c r="F409" t="inlineStr">
        <is>
          <t>O80</t>
        </is>
      </c>
      <c r="G409" t="inlineStr">
        <is>
          <t>Encounter for full-term uncomplicated delivery</t>
        </is>
      </c>
      <c r="H409" s="30" t="n">
        <v>2</v>
      </c>
      <c r="I409" t="n">
        <v>1</v>
      </c>
      <c r="J409" s="31" t="n">
        <v>12380.87</v>
      </c>
      <c r="K409" s="32" t="n"/>
    </row>
    <row r="410">
      <c r="A410" t="inlineStr">
        <is>
          <t>ENC120639</t>
        </is>
      </c>
      <c r="B410" t="inlineStr">
        <is>
          <t>Intensive Care Unit</t>
        </is>
      </c>
      <c r="C410" s="29" t="n">
        <v>45988</v>
      </c>
      <c r="D410" s="29" t="n">
        <v>46002</v>
      </c>
      <c r="E410" t="n">
        <v>69</v>
      </c>
      <c r="F410" t="inlineStr">
        <is>
          <t>A41.9</t>
        </is>
      </c>
      <c r="G410" t="inlineStr">
        <is>
          <t>Sepsis, unspecified organism</t>
        </is>
      </c>
      <c r="H410" s="30" t="n">
        <v>5</v>
      </c>
      <c r="I410" t="n">
        <v>14</v>
      </c>
      <c r="J410" s="31" t="n">
        <v>144338.01</v>
      </c>
      <c r="K410" s="32" t="n"/>
    </row>
    <row r="411">
      <c r="A411" t="inlineStr">
        <is>
          <t>ENC120981</t>
        </is>
      </c>
      <c r="B411" t="inlineStr">
        <is>
          <t>Neuroscience &amp; Stroke</t>
        </is>
      </c>
      <c r="C411" s="29" t="n">
        <v>45998</v>
      </c>
      <c r="D411" s="29" t="n">
        <v>46002</v>
      </c>
      <c r="E411" t="n">
        <v>67</v>
      </c>
      <c r="F411" t="inlineStr">
        <is>
          <t>I63.9</t>
        </is>
      </c>
      <c r="G411" t="inlineStr">
        <is>
          <t>Cerebral infarction, unspecified</t>
        </is>
      </c>
      <c r="H411" s="30" t="n">
        <v>4.2</v>
      </c>
      <c r="I411" t="n">
        <v>4</v>
      </c>
      <c r="J411" s="31" t="n">
        <v>33844.64</v>
      </c>
      <c r="K411" s="32" t="n"/>
    </row>
    <row r="412">
      <c r="A412" t="inlineStr">
        <is>
          <t>ENC121017</t>
        </is>
      </c>
      <c r="B412" t="inlineStr">
        <is>
          <t>Medical-Surgical 5 East</t>
        </is>
      </c>
      <c r="C412" s="29" t="n">
        <v>45999</v>
      </c>
      <c r="D412" s="29" t="n">
        <v>46002</v>
      </c>
      <c r="E412" t="n">
        <v>38</v>
      </c>
      <c r="F412" t="inlineStr">
        <is>
          <t>L03.115</t>
        </is>
      </c>
      <c r="G412" t="inlineStr">
        <is>
          <t>Cellulitis of right lower limb</t>
        </is>
      </c>
      <c r="H412" s="30" t="n">
        <v>3.4</v>
      </c>
      <c r="I412" t="n">
        <v>3</v>
      </c>
      <c r="J412" s="31" t="n">
        <v>14459.37</v>
      </c>
      <c r="K412" s="32" t="n"/>
    </row>
    <row r="413">
      <c r="A413" t="inlineStr">
        <is>
          <t>ENC120699</t>
        </is>
      </c>
      <c r="B413" t="inlineStr">
        <is>
          <t>Orthopedics &amp; Spine</t>
        </is>
      </c>
      <c r="C413" s="29" t="n">
        <v>45990</v>
      </c>
      <c r="D413" s="29" t="n">
        <v>46002</v>
      </c>
      <c r="E413" t="n">
        <v>76</v>
      </c>
      <c r="F413" t="inlineStr">
        <is>
          <t>S72.001A</t>
        </is>
      </c>
      <c r="G413" t="inlineStr">
        <is>
          <t>Fracture of unspecified part of neck of right femur, initial encounter</t>
        </is>
      </c>
      <c r="H413" s="30" t="n">
        <v>4.6</v>
      </c>
      <c r="I413" t="n">
        <v>12</v>
      </c>
      <c r="J413" s="31" t="n">
        <v>49605.92</v>
      </c>
      <c r="K413" s="32" t="n"/>
    </row>
    <row r="414">
      <c r="A414" t="inlineStr">
        <is>
          <t>ENC120818</t>
        </is>
      </c>
      <c r="B414" t="inlineStr">
        <is>
          <t>Medical-Surgical 5 East</t>
        </is>
      </c>
      <c r="C414" s="29" t="n">
        <v>45993</v>
      </c>
      <c r="D414" s="29" t="n">
        <v>46002</v>
      </c>
      <c r="E414" t="n">
        <v>77</v>
      </c>
      <c r="F414" t="inlineStr">
        <is>
          <t>J18.9</t>
        </is>
      </c>
      <c r="G414" t="inlineStr">
        <is>
          <t>Pneumonia, unspecified organism</t>
        </is>
      </c>
      <c r="H414" s="30" t="n">
        <v>3.9</v>
      </c>
      <c r="I414" t="n">
        <v>9</v>
      </c>
      <c r="J414" s="31" t="n">
        <v>36170.41</v>
      </c>
      <c r="K414" s="32" t="n"/>
    </row>
    <row r="415">
      <c r="A415" t="inlineStr">
        <is>
          <t>ENC120908</t>
        </is>
      </c>
      <c r="B415" t="inlineStr">
        <is>
          <t>Labor &amp; Delivery</t>
        </is>
      </c>
      <c r="C415" s="29" t="n">
        <v>45995</v>
      </c>
      <c r="D415" s="29" t="n">
        <v>46002</v>
      </c>
      <c r="E415" t="n">
        <v>43</v>
      </c>
      <c r="F415" t="inlineStr">
        <is>
          <t>O82</t>
        </is>
      </c>
      <c r="G415" t="inlineStr">
        <is>
          <t>Encounter for cesarean delivery without indication</t>
        </is>
      </c>
      <c r="H415" s="30" t="n">
        <v>2.9</v>
      </c>
      <c r="I415" t="n">
        <v>7</v>
      </c>
      <c r="J415" s="31" t="n">
        <v>42012.76</v>
      </c>
      <c r="K415" s="32" t="n"/>
    </row>
    <row r="416">
      <c r="A416" t="inlineStr">
        <is>
          <t>ENC121090</t>
        </is>
      </c>
      <c r="B416" t="inlineStr">
        <is>
          <t>Medical-Surgical 4 West</t>
        </is>
      </c>
      <c r="C416" s="29" t="n">
        <v>46000</v>
      </c>
      <c r="D416" s="29" t="n">
        <v>46002</v>
      </c>
      <c r="E416" t="n">
        <v>53</v>
      </c>
      <c r="F416" t="inlineStr">
        <is>
          <t>J44.1</t>
        </is>
      </c>
      <c r="G416" t="inlineStr">
        <is>
          <t>Chronic obstructive pulmonary disease with (acute) exacerbation</t>
        </is>
      </c>
      <c r="H416" s="30" t="n">
        <v>3.4</v>
      </c>
      <c r="I416" t="n">
        <v>2</v>
      </c>
      <c r="J416" s="31" t="n">
        <v>12872.01</v>
      </c>
      <c r="K416" s="32" t="n"/>
    </row>
    <row r="417">
      <c r="A417" t="inlineStr">
        <is>
          <t>ENC121037</t>
        </is>
      </c>
      <c r="B417" t="inlineStr">
        <is>
          <t>Medical-Surgical 4 West</t>
        </is>
      </c>
      <c r="C417" s="29" t="n">
        <v>45999</v>
      </c>
      <c r="D417" s="29" t="n">
        <v>46003</v>
      </c>
      <c r="E417" t="n">
        <v>66</v>
      </c>
      <c r="F417" t="inlineStr">
        <is>
          <t>J44.1</t>
        </is>
      </c>
      <c r="G417" t="inlineStr">
        <is>
          <t>Chronic obstructive pulmonary disease with (acute) exacerbation</t>
        </is>
      </c>
      <c r="H417" s="30" t="n">
        <v>3.4</v>
      </c>
      <c r="I417" t="n">
        <v>4</v>
      </c>
      <c r="J417" s="31" t="n">
        <v>20277.35</v>
      </c>
      <c r="K417" s="32" t="n"/>
    </row>
    <row r="418">
      <c r="A418" t="inlineStr">
        <is>
          <t>ENC121019</t>
        </is>
      </c>
      <c r="B418" t="inlineStr">
        <is>
          <t>Medical-Surgical 4 West</t>
        </is>
      </c>
      <c r="C418" s="29" t="n">
        <v>45999</v>
      </c>
      <c r="D418" s="29" t="n">
        <v>46003</v>
      </c>
      <c r="E418" t="n">
        <v>47</v>
      </c>
      <c r="F418" t="inlineStr">
        <is>
          <t>J18.9</t>
        </is>
      </c>
      <c r="G418" t="inlineStr">
        <is>
          <t>Pneumonia, unspecified organism</t>
        </is>
      </c>
      <c r="H418" s="30" t="n">
        <v>3.9</v>
      </c>
      <c r="I418" t="n">
        <v>4</v>
      </c>
      <c r="J418" s="31" t="n">
        <v>18873.7</v>
      </c>
      <c r="K418" s="32" t="n"/>
    </row>
    <row r="419">
      <c r="A419" t="inlineStr">
        <is>
          <t>ENC121092</t>
        </is>
      </c>
      <c r="B419" t="inlineStr">
        <is>
          <t>Labor &amp; Delivery</t>
        </is>
      </c>
      <c r="C419" s="29" t="n">
        <v>46001</v>
      </c>
      <c r="D419" s="29" t="n">
        <v>46003</v>
      </c>
      <c r="E419" t="n">
        <v>42</v>
      </c>
      <c r="F419" t="inlineStr">
        <is>
          <t>O80</t>
        </is>
      </c>
      <c r="G419" t="inlineStr">
        <is>
          <t>Encounter for full-term uncomplicated delivery</t>
        </is>
      </c>
      <c r="H419" s="30" t="n">
        <v>2</v>
      </c>
      <c r="I419" t="n">
        <v>2</v>
      </c>
      <c r="J419" s="31" t="n">
        <v>19212.47</v>
      </c>
      <c r="K419" s="32" t="n"/>
    </row>
    <row r="420">
      <c r="A420" t="inlineStr">
        <is>
          <t>ENC121053</t>
        </is>
      </c>
      <c r="B420" t="inlineStr">
        <is>
          <t>Medical-Surgical 4 West</t>
        </is>
      </c>
      <c r="C420" s="29" t="n">
        <v>46000</v>
      </c>
      <c r="D420" s="29" t="n">
        <v>46003</v>
      </c>
      <c r="E420" t="n">
        <v>4</v>
      </c>
      <c r="F420" t="inlineStr">
        <is>
          <t>A41.9</t>
        </is>
      </c>
      <c r="G420" t="inlineStr">
        <is>
          <t>Sepsis, unspecified organism</t>
        </is>
      </c>
      <c r="H420" s="30" t="n">
        <v>5</v>
      </c>
      <c r="I420" t="n">
        <v>3</v>
      </c>
      <c r="J420" s="31" t="n">
        <v>37617.94</v>
      </c>
      <c r="K420" s="32" t="n"/>
    </row>
    <row r="421">
      <c r="A421" t="inlineStr">
        <is>
          <t>ENC120759</t>
        </is>
      </c>
      <c r="B421" t="inlineStr">
        <is>
          <t>Behavioral Health</t>
        </is>
      </c>
      <c r="C421" s="29" t="n">
        <v>45992</v>
      </c>
      <c r="D421" s="29" t="n">
        <v>46003</v>
      </c>
      <c r="E421" t="n">
        <v>61</v>
      </c>
      <c r="F421" t="inlineStr">
        <is>
          <t>F32.9</t>
        </is>
      </c>
      <c r="G421" t="inlineStr">
        <is>
          <t>Major depressive disorder, single episode, unspecified</t>
        </is>
      </c>
      <c r="H421" s="30" t="n">
        <v>6.8</v>
      </c>
      <c r="I421" t="n">
        <v>11</v>
      </c>
      <c r="J421" s="31" t="n">
        <v>40309.31</v>
      </c>
      <c r="K421" s="32" t="n"/>
    </row>
    <row r="422">
      <c r="A422" t="inlineStr">
        <is>
          <t>ENC121058</t>
        </is>
      </c>
      <c r="B422" t="inlineStr">
        <is>
          <t>Pediatrics</t>
        </is>
      </c>
      <c r="C422" s="29" t="n">
        <v>46000</v>
      </c>
      <c r="D422" s="29" t="n">
        <v>46003</v>
      </c>
      <c r="E422" t="n">
        <v>2</v>
      </c>
      <c r="F422" t="inlineStr">
        <is>
          <t>J21.9</t>
        </is>
      </c>
      <c r="G422" t="inlineStr">
        <is>
          <t>Acute bronchiolitis, unspecified</t>
        </is>
      </c>
      <c r="H422" s="30" t="n">
        <v>2.4</v>
      </c>
      <c r="I422" t="n">
        <v>3</v>
      </c>
      <c r="J422" s="31" t="n">
        <v>15826.2</v>
      </c>
      <c r="K422" s="32" t="n"/>
    </row>
    <row r="423">
      <c r="A423" t="inlineStr">
        <is>
          <t>ENC120963</t>
        </is>
      </c>
      <c r="B423" t="inlineStr">
        <is>
          <t>Medical-Surgical 4 West</t>
        </is>
      </c>
      <c r="C423" s="29" t="n">
        <v>45997</v>
      </c>
      <c r="D423" s="29" t="n">
        <v>46003</v>
      </c>
      <c r="E423" t="n">
        <v>77</v>
      </c>
      <c r="F423" t="inlineStr">
        <is>
          <t>N39.0</t>
        </is>
      </c>
      <c r="G423" t="inlineStr">
        <is>
          <t>Urinary tract infection, site not specified</t>
        </is>
      </c>
      <c r="H423" s="30" t="n">
        <v>3.1</v>
      </c>
      <c r="I423" t="n">
        <v>6</v>
      </c>
      <c r="J423" s="31" t="n">
        <v>27298.27</v>
      </c>
      <c r="K423" s="32" t="n"/>
    </row>
    <row r="424">
      <c r="A424" t="inlineStr">
        <is>
          <t>ENC121094</t>
        </is>
      </c>
      <c r="B424" t="inlineStr">
        <is>
          <t>Orthopedics &amp; Spine</t>
        </is>
      </c>
      <c r="C424" s="29" t="n">
        <v>46001</v>
      </c>
      <c r="D424" s="29" t="n">
        <v>46003</v>
      </c>
      <c r="E424" t="n">
        <v>63</v>
      </c>
      <c r="F424" t="inlineStr">
        <is>
          <t>M17.11</t>
        </is>
      </c>
      <c r="G424" t="inlineStr">
        <is>
          <t>Unilateral primary osteoarthritis, right knee</t>
        </is>
      </c>
      <c r="H424" s="30" t="n">
        <v>2</v>
      </c>
      <c r="I424" t="n">
        <v>2</v>
      </c>
      <c r="J424" s="31" t="n">
        <v>50145.34</v>
      </c>
      <c r="K424" s="32" t="n"/>
    </row>
    <row r="425">
      <c r="A425" t="inlineStr">
        <is>
          <t>ENC120727</t>
        </is>
      </c>
      <c r="B425" t="inlineStr">
        <is>
          <t>Medical-Surgical 5 East</t>
        </is>
      </c>
      <c r="C425" s="29" t="n">
        <v>45991</v>
      </c>
      <c r="D425" s="29" t="n">
        <v>46004</v>
      </c>
      <c r="E425" t="n">
        <v>96</v>
      </c>
      <c r="F425" t="inlineStr">
        <is>
          <t>A41.9</t>
        </is>
      </c>
      <c r="G425" t="inlineStr">
        <is>
          <t>Sepsis, unspecified organism</t>
        </is>
      </c>
      <c r="H425" s="30" t="n">
        <v>5</v>
      </c>
      <c r="I425" t="n">
        <v>13</v>
      </c>
      <c r="J425" s="31" t="n">
        <v>131182.84</v>
      </c>
      <c r="K425" s="32" t="n"/>
    </row>
    <row r="426">
      <c r="A426" t="inlineStr">
        <is>
          <t>ENC120999</t>
        </is>
      </c>
      <c r="B426" t="inlineStr">
        <is>
          <t>Medical-Surgical 5 East</t>
        </is>
      </c>
      <c r="C426" s="29" t="n">
        <v>45999</v>
      </c>
      <c r="D426" s="29" t="n">
        <v>46004</v>
      </c>
      <c r="E426" t="n">
        <v>94</v>
      </c>
      <c r="F426" t="inlineStr">
        <is>
          <t>E87.1</t>
        </is>
      </c>
      <c r="G426" t="inlineStr">
        <is>
          <t>Hypo-osmolality and hyponatremia</t>
        </is>
      </c>
      <c r="H426" s="30" t="n">
        <v>3.2</v>
      </c>
      <c r="I426" t="n">
        <v>5</v>
      </c>
      <c r="J426" s="31" t="n">
        <v>36882.86</v>
      </c>
      <c r="K426" s="32" t="n"/>
    </row>
    <row r="427">
      <c r="A427" t="inlineStr">
        <is>
          <t>ENC120589</t>
        </is>
      </c>
      <c r="B427" t="inlineStr">
        <is>
          <t>Cardiac Step-Down</t>
        </is>
      </c>
      <c r="C427" s="29" t="n">
        <v>45987</v>
      </c>
      <c r="D427" s="29" t="n">
        <v>46004</v>
      </c>
      <c r="E427" t="n">
        <v>75</v>
      </c>
      <c r="F427" t="inlineStr">
        <is>
          <t>I50.9</t>
        </is>
      </c>
      <c r="G427" t="inlineStr">
        <is>
          <t>Heart failure, unspecified</t>
        </is>
      </c>
      <c r="H427" s="30" t="n">
        <v>4.1</v>
      </c>
      <c r="I427" t="n">
        <v>17</v>
      </c>
      <c r="J427" s="31" t="n">
        <v>103281.93</v>
      </c>
      <c r="K427" s="32" t="n"/>
    </row>
    <row r="428">
      <c r="A428" t="inlineStr">
        <is>
          <t>ENC120974</t>
        </is>
      </c>
      <c r="B428" t="inlineStr">
        <is>
          <t>Intensive Care Unit</t>
        </is>
      </c>
      <c r="C428" s="29" t="n">
        <v>45997</v>
      </c>
      <c r="D428" s="29" t="n">
        <v>46004</v>
      </c>
      <c r="E428" t="n">
        <v>69</v>
      </c>
      <c r="F428" t="inlineStr">
        <is>
          <t>J96.01</t>
        </is>
      </c>
      <c r="G428" t="inlineStr">
        <is>
          <t>Acute respiratory failure with hypoxia</t>
        </is>
      </c>
      <c r="H428" s="30" t="n">
        <v>4.8</v>
      </c>
      <c r="I428" t="n">
        <v>7</v>
      </c>
      <c r="J428" s="31" t="n">
        <v>88135.64999999999</v>
      </c>
      <c r="K428" s="32" t="n"/>
    </row>
    <row r="429">
      <c r="A429" t="inlineStr">
        <is>
          <t>ENC121078</t>
        </is>
      </c>
      <c r="B429" t="inlineStr">
        <is>
          <t>Medical-Surgical 4 West</t>
        </is>
      </c>
      <c r="C429" s="29" t="n">
        <v>46000</v>
      </c>
      <c r="D429" s="29" t="n">
        <v>46004</v>
      </c>
      <c r="E429" t="n">
        <v>90</v>
      </c>
      <c r="F429" t="inlineStr">
        <is>
          <t>E86.0</t>
        </is>
      </c>
      <c r="G429" t="inlineStr">
        <is>
          <t>Dehydration</t>
        </is>
      </c>
      <c r="H429" s="30" t="n">
        <v>2.4</v>
      </c>
      <c r="I429" t="n">
        <v>4</v>
      </c>
      <c r="J429" s="31" t="n">
        <v>21021.11</v>
      </c>
      <c r="K429" s="32" t="n"/>
    </row>
    <row r="430">
      <c r="A430" t="inlineStr">
        <is>
          <t>ENC121051</t>
        </is>
      </c>
      <c r="B430" t="inlineStr">
        <is>
          <t>Medical-Surgical 5 East</t>
        </is>
      </c>
      <c r="C430" s="29" t="n">
        <v>46000</v>
      </c>
      <c r="D430" s="29" t="n">
        <v>46004</v>
      </c>
      <c r="E430" t="n">
        <v>63</v>
      </c>
      <c r="F430" t="inlineStr">
        <is>
          <t>K80.20</t>
        </is>
      </c>
      <c r="G430" t="inlineStr">
        <is>
          <t>Calculus of gallbladder without cholecystitis without obstruction</t>
        </is>
      </c>
      <c r="H430" s="30" t="n">
        <v>1.9</v>
      </c>
      <c r="I430" t="n">
        <v>4</v>
      </c>
      <c r="J430" s="31" t="n">
        <v>44166.68</v>
      </c>
      <c r="K430" s="32" t="n"/>
    </row>
    <row r="431">
      <c r="A431" t="inlineStr">
        <is>
          <t>ENC120967</t>
        </is>
      </c>
      <c r="B431" t="inlineStr">
        <is>
          <t>Medical-Surgical 5 East</t>
        </is>
      </c>
      <c r="C431" s="29" t="n">
        <v>45997</v>
      </c>
      <c r="D431" s="29" t="n">
        <v>46004</v>
      </c>
      <c r="E431" t="n">
        <v>75</v>
      </c>
      <c r="F431" t="inlineStr">
        <is>
          <t>J18.9</t>
        </is>
      </c>
      <c r="G431" t="inlineStr">
        <is>
          <t>Pneumonia, unspecified organism</t>
        </is>
      </c>
      <c r="H431" s="30" t="n">
        <v>3.9</v>
      </c>
      <c r="I431" t="n">
        <v>7</v>
      </c>
      <c r="J431" s="31" t="n">
        <v>37303.75</v>
      </c>
      <c r="K431" s="32" t="n"/>
    </row>
    <row r="432">
      <c r="A432" t="inlineStr">
        <is>
          <t>ENC120969</t>
        </is>
      </c>
      <c r="B432" t="inlineStr">
        <is>
          <t>Medical-Surgical 5 East</t>
        </is>
      </c>
      <c r="C432" s="29" t="n">
        <v>45997</v>
      </c>
      <c r="D432" s="29" t="n">
        <v>46004</v>
      </c>
      <c r="E432" t="n">
        <v>79</v>
      </c>
      <c r="F432" t="inlineStr">
        <is>
          <t>E87.1</t>
        </is>
      </c>
      <c r="G432" t="inlineStr">
        <is>
          <t>Hypo-osmolality and hyponatremia</t>
        </is>
      </c>
      <c r="H432" s="30" t="n">
        <v>3.2</v>
      </c>
      <c r="I432" t="n">
        <v>7</v>
      </c>
      <c r="J432" s="31" t="n">
        <v>35451.36</v>
      </c>
      <c r="K432" s="32" t="n"/>
    </row>
    <row r="433">
      <c r="A433" t="inlineStr">
        <is>
          <t>ENC121149</t>
        </is>
      </c>
      <c r="B433" t="inlineStr">
        <is>
          <t>Medical-Surgical 5 East</t>
        </is>
      </c>
      <c r="C433" s="29" t="n">
        <v>46002</v>
      </c>
      <c r="D433" s="29" t="n">
        <v>46004</v>
      </c>
      <c r="E433" t="n">
        <v>89</v>
      </c>
      <c r="F433" t="inlineStr">
        <is>
          <t>J44.1</t>
        </is>
      </c>
      <c r="G433" t="inlineStr">
        <is>
          <t>Chronic obstructive pulmonary disease with (acute) exacerbation</t>
        </is>
      </c>
      <c r="H433" s="30" t="n">
        <v>3.4</v>
      </c>
      <c r="I433" t="n">
        <v>2</v>
      </c>
      <c r="J433" s="31" t="n">
        <v>8013.33</v>
      </c>
      <c r="K433" s="32" t="n"/>
    </row>
    <row r="434">
      <c r="A434" t="inlineStr">
        <is>
          <t>ENC120959</t>
        </is>
      </c>
      <c r="B434" t="inlineStr">
        <is>
          <t>Medical-Surgical 5 East</t>
        </is>
      </c>
      <c r="C434" s="29" t="n">
        <v>45997</v>
      </c>
      <c r="D434" s="29" t="n">
        <v>46004</v>
      </c>
      <c r="E434" t="n">
        <v>85</v>
      </c>
      <c r="F434" t="inlineStr">
        <is>
          <t>N17.9</t>
        </is>
      </c>
      <c r="G434" t="inlineStr">
        <is>
          <t>Acute kidney failure, unspecified</t>
        </is>
      </c>
      <c r="H434" s="30" t="n">
        <v>3.9</v>
      </c>
      <c r="I434" t="n">
        <v>7</v>
      </c>
      <c r="J434" s="31" t="n">
        <v>24326.45</v>
      </c>
      <c r="K434" s="32" t="n"/>
    </row>
    <row r="435">
      <c r="A435" t="inlineStr">
        <is>
          <t>ENC120822</t>
        </is>
      </c>
      <c r="B435" t="inlineStr">
        <is>
          <t>Intensive Care Unit</t>
        </is>
      </c>
      <c r="C435" s="29" t="n">
        <v>45994</v>
      </c>
      <c r="D435" s="29" t="n">
        <v>46005</v>
      </c>
      <c r="E435" t="n">
        <v>67</v>
      </c>
      <c r="F435" t="inlineStr">
        <is>
          <t>J96.01</t>
        </is>
      </c>
      <c r="G435" t="inlineStr">
        <is>
          <t>Acute respiratory failure with hypoxia</t>
        </is>
      </c>
      <c r="H435" s="30" t="n">
        <v>4.8</v>
      </c>
      <c r="I435" t="n">
        <v>11</v>
      </c>
      <c r="J435" s="31" t="n">
        <v>119426.94</v>
      </c>
      <c r="K435" s="32" t="n"/>
    </row>
    <row r="436">
      <c r="A436" t="inlineStr">
        <is>
          <t>ENC121095</t>
        </is>
      </c>
      <c r="B436" t="inlineStr">
        <is>
          <t>Orthopedics &amp; Spine</t>
        </is>
      </c>
      <c r="C436" s="29" t="n">
        <v>46001</v>
      </c>
      <c r="D436" s="29" t="n">
        <v>46005</v>
      </c>
      <c r="E436" t="n">
        <v>75</v>
      </c>
      <c r="F436" t="inlineStr">
        <is>
          <t>M17.11</t>
        </is>
      </c>
      <c r="G436" t="inlineStr">
        <is>
          <t>Unilateral primary osteoarthritis, right knee</t>
        </is>
      </c>
      <c r="H436" s="30" t="n">
        <v>2</v>
      </c>
      <c r="I436" t="n">
        <v>4</v>
      </c>
      <c r="J436" s="31" t="n">
        <v>54862.12</v>
      </c>
      <c r="K436" s="32" t="n"/>
    </row>
    <row r="437">
      <c r="A437" t="inlineStr">
        <is>
          <t>ENC121154</t>
        </is>
      </c>
      <c r="B437" t="inlineStr">
        <is>
          <t>Medical-Surgical 4 West</t>
        </is>
      </c>
      <c r="C437" s="29" t="n">
        <v>46002</v>
      </c>
      <c r="D437" s="29" t="n">
        <v>46005</v>
      </c>
      <c r="E437" t="n">
        <v>55</v>
      </c>
      <c r="F437" t="inlineStr">
        <is>
          <t>J44.1</t>
        </is>
      </c>
      <c r="G437" t="inlineStr">
        <is>
          <t>Chronic obstructive pulmonary disease with (acute) exacerbation</t>
        </is>
      </c>
      <c r="H437" s="30" t="n">
        <v>3.4</v>
      </c>
      <c r="I437" t="n">
        <v>3</v>
      </c>
      <c r="J437" s="31" t="n">
        <v>12820.79</v>
      </c>
      <c r="K437" s="32" t="n"/>
    </row>
    <row r="438">
      <c r="A438" t="inlineStr">
        <is>
          <t>ENC121119</t>
        </is>
      </c>
      <c r="B438" t="inlineStr">
        <is>
          <t>Medical-Surgical 5 East</t>
        </is>
      </c>
      <c r="C438" s="29" t="n">
        <v>46001</v>
      </c>
      <c r="D438" s="29" t="n">
        <v>46005</v>
      </c>
      <c r="E438" t="n">
        <v>17</v>
      </c>
      <c r="F438" t="inlineStr">
        <is>
          <t>E86.0</t>
        </is>
      </c>
      <c r="G438" t="inlineStr">
        <is>
          <t>Dehydration</t>
        </is>
      </c>
      <c r="H438" s="30" t="n">
        <v>2.4</v>
      </c>
      <c r="I438" t="n">
        <v>4</v>
      </c>
      <c r="J438" s="31" t="n">
        <v>25378.34</v>
      </c>
      <c r="K438" s="32" t="n"/>
    </row>
    <row r="439">
      <c r="A439" t="inlineStr">
        <is>
          <t>ENC120955</t>
        </is>
      </c>
      <c r="B439" t="inlineStr">
        <is>
          <t>Behavioral Health</t>
        </is>
      </c>
      <c r="C439" s="29" t="n">
        <v>45997</v>
      </c>
      <c r="D439" s="29" t="n">
        <v>46005</v>
      </c>
      <c r="E439" t="n">
        <v>58</v>
      </c>
      <c r="F439" t="inlineStr">
        <is>
          <t>F20.9</t>
        </is>
      </c>
      <c r="G439" t="inlineStr">
        <is>
          <t>Schizophrenia, unspecified</t>
        </is>
      </c>
      <c r="H439" s="30" t="n">
        <v>8.9</v>
      </c>
      <c r="I439" t="n">
        <v>8</v>
      </c>
      <c r="J439" s="31" t="n">
        <v>30634.73</v>
      </c>
      <c r="K439" s="32" t="n"/>
    </row>
    <row r="440">
      <c r="A440" t="inlineStr">
        <is>
          <t>ENC121171</t>
        </is>
      </c>
      <c r="B440" t="inlineStr">
        <is>
          <t>Cardiac Step-Down</t>
        </is>
      </c>
      <c r="C440" s="29" t="n">
        <v>46002</v>
      </c>
      <c r="D440" s="29" t="n">
        <v>46005</v>
      </c>
      <c r="E440" t="n">
        <v>77</v>
      </c>
      <c r="F440" t="inlineStr">
        <is>
          <t>I50.9</t>
        </is>
      </c>
      <c r="G440" t="inlineStr">
        <is>
          <t>Heart failure, unspecified</t>
        </is>
      </c>
      <c r="H440" s="30" t="n">
        <v>4.1</v>
      </c>
      <c r="I440" t="n">
        <v>3</v>
      </c>
      <c r="J440" s="31" t="n">
        <v>30179.52</v>
      </c>
      <c r="K440" s="32" t="n"/>
    </row>
    <row r="441">
      <c r="A441" t="inlineStr">
        <is>
          <t>ENC121069</t>
        </is>
      </c>
      <c r="B441" t="inlineStr">
        <is>
          <t>Labor &amp; Delivery</t>
        </is>
      </c>
      <c r="C441" s="29" t="n">
        <v>46000</v>
      </c>
      <c r="D441" s="29" t="n">
        <v>46005</v>
      </c>
      <c r="E441" t="n">
        <v>31</v>
      </c>
      <c r="F441" t="inlineStr">
        <is>
          <t>O80</t>
        </is>
      </c>
      <c r="G441" t="inlineStr">
        <is>
          <t>Encounter for full-term uncomplicated delivery</t>
        </is>
      </c>
      <c r="H441" s="30" t="n">
        <v>2</v>
      </c>
      <c r="I441" t="n">
        <v>5</v>
      </c>
      <c r="J441" s="31" t="n">
        <v>23921.17</v>
      </c>
      <c r="K441" s="32" t="n"/>
    </row>
    <row r="442">
      <c r="A442" t="inlineStr">
        <is>
          <t>ENC121068</t>
        </is>
      </c>
      <c r="B442" t="inlineStr">
        <is>
          <t>Medical-Surgical 4 West</t>
        </is>
      </c>
      <c r="C442" s="29" t="n">
        <v>46000</v>
      </c>
      <c r="D442" s="29" t="n">
        <v>46005</v>
      </c>
      <c r="E442" t="n">
        <v>48</v>
      </c>
      <c r="F442" t="inlineStr">
        <is>
          <t>A41.9</t>
        </is>
      </c>
      <c r="G442" t="inlineStr">
        <is>
          <t>Sepsis, unspecified organism</t>
        </is>
      </c>
      <c r="H442" s="30" t="n">
        <v>5</v>
      </c>
      <c r="I442" t="n">
        <v>5</v>
      </c>
      <c r="J442" s="31" t="n">
        <v>61227.32</v>
      </c>
      <c r="K442" s="32" t="n"/>
    </row>
    <row r="443">
      <c r="A443" t="inlineStr">
        <is>
          <t>ENC121174</t>
        </is>
      </c>
      <c r="B443" t="inlineStr">
        <is>
          <t>Medical-Surgical 5 East</t>
        </is>
      </c>
      <c r="C443" s="29" t="n">
        <v>46002</v>
      </c>
      <c r="D443" s="29" t="n">
        <v>46005</v>
      </c>
      <c r="E443" t="n">
        <v>37</v>
      </c>
      <c r="F443" t="inlineStr">
        <is>
          <t>L03.115</t>
        </is>
      </c>
      <c r="G443" t="inlineStr">
        <is>
          <t>Cellulitis of right lower limb</t>
        </is>
      </c>
      <c r="H443" s="30" t="n">
        <v>3.4</v>
      </c>
      <c r="I443" t="n">
        <v>3</v>
      </c>
      <c r="J443" s="31" t="n">
        <v>11702.04</v>
      </c>
      <c r="K443" s="32" t="n"/>
    </row>
    <row r="444">
      <c r="A444" t="inlineStr">
        <is>
          <t>ENC121215</t>
        </is>
      </c>
      <c r="B444" t="inlineStr">
        <is>
          <t>Labor &amp; Delivery</t>
        </is>
      </c>
      <c r="C444" s="29" t="n">
        <v>46003</v>
      </c>
      <c r="D444" s="29" t="n">
        <v>46006</v>
      </c>
      <c r="E444" t="n">
        <v>21</v>
      </c>
      <c r="F444" t="inlineStr">
        <is>
          <t>O80</t>
        </is>
      </c>
      <c r="G444" t="inlineStr">
        <is>
          <t>Encounter for full-term uncomplicated delivery</t>
        </is>
      </c>
      <c r="H444" s="30" t="n">
        <v>2</v>
      </c>
      <c r="I444" t="n">
        <v>3</v>
      </c>
      <c r="J444" s="31" t="n">
        <v>20225.27</v>
      </c>
      <c r="K444" s="32" t="n"/>
    </row>
    <row r="445">
      <c r="A445" t="inlineStr">
        <is>
          <t>ENC121214</t>
        </is>
      </c>
      <c r="B445" t="inlineStr">
        <is>
          <t>Cardiac Step-Down</t>
        </is>
      </c>
      <c r="C445" s="29" t="n">
        <v>46004</v>
      </c>
      <c r="D445" s="29" t="n">
        <v>46006</v>
      </c>
      <c r="E445" t="n">
        <v>77</v>
      </c>
      <c r="F445" t="inlineStr">
        <is>
          <t>I21.4</t>
        </is>
      </c>
      <c r="G445" t="inlineStr">
        <is>
          <t>Non-ST elevation (NSTEMI) myocardial infarction</t>
        </is>
      </c>
      <c r="H445" s="30" t="n">
        <v>3.4</v>
      </c>
      <c r="I445" t="n">
        <v>2</v>
      </c>
      <c r="J445" s="31" t="n">
        <v>47573.2</v>
      </c>
      <c r="K445" s="32" t="n"/>
    </row>
    <row r="446">
      <c r="A446" t="inlineStr">
        <is>
          <t>ENC121138</t>
        </is>
      </c>
      <c r="B446" t="inlineStr">
        <is>
          <t>Intensive Care Unit</t>
        </is>
      </c>
      <c r="C446" s="29" t="n">
        <v>46001</v>
      </c>
      <c r="D446" s="29" t="n">
        <v>46006</v>
      </c>
      <c r="E446" t="n">
        <v>49</v>
      </c>
      <c r="F446" t="inlineStr">
        <is>
          <t>A41.9</t>
        </is>
      </c>
      <c r="G446" t="inlineStr">
        <is>
          <t>Sepsis, unspecified organism</t>
        </is>
      </c>
      <c r="H446" s="30" t="n">
        <v>5</v>
      </c>
      <c r="I446" t="n">
        <v>5</v>
      </c>
      <c r="J446" s="31" t="n">
        <v>31493.25</v>
      </c>
      <c r="K446" s="32" t="n"/>
    </row>
    <row r="447">
      <c r="A447" t="inlineStr">
        <is>
          <t>ENC121199</t>
        </is>
      </c>
      <c r="B447" t="inlineStr">
        <is>
          <t>Pediatrics</t>
        </is>
      </c>
      <c r="C447" s="29" t="n">
        <v>46003</v>
      </c>
      <c r="D447" s="29" t="n">
        <v>46006</v>
      </c>
      <c r="E447" t="n">
        <v>1</v>
      </c>
      <c r="F447" t="inlineStr">
        <is>
          <t>J21.9</t>
        </is>
      </c>
      <c r="G447" t="inlineStr">
        <is>
          <t>Acute bronchiolitis, unspecified</t>
        </is>
      </c>
      <c r="H447" s="30" t="n">
        <v>2.4</v>
      </c>
      <c r="I447" t="n">
        <v>3</v>
      </c>
      <c r="J447" s="31" t="n">
        <v>11692.28</v>
      </c>
      <c r="K447" s="32" t="n"/>
    </row>
    <row r="448">
      <c r="A448" t="inlineStr">
        <is>
          <t>ENC121086</t>
        </is>
      </c>
      <c r="B448" t="inlineStr">
        <is>
          <t>Medical-Surgical 4 West</t>
        </is>
      </c>
      <c r="C448" s="29" t="n">
        <v>46000</v>
      </c>
      <c r="D448" s="29" t="n">
        <v>46006</v>
      </c>
      <c r="E448" t="n">
        <v>77</v>
      </c>
      <c r="F448" t="inlineStr">
        <is>
          <t>E87.1</t>
        </is>
      </c>
      <c r="G448" t="inlineStr">
        <is>
          <t>Hypo-osmolality and hyponatremia</t>
        </is>
      </c>
      <c r="H448" s="30" t="n">
        <v>3.2</v>
      </c>
      <c r="I448" t="n">
        <v>6</v>
      </c>
      <c r="J448" s="31" t="n">
        <v>31371.02</v>
      </c>
      <c r="K448" s="32" t="n"/>
    </row>
    <row r="449">
      <c r="A449" t="inlineStr">
        <is>
          <t>ENC121183</t>
        </is>
      </c>
      <c r="B449" t="inlineStr">
        <is>
          <t>Medical-Surgical 5 East</t>
        </is>
      </c>
      <c r="C449" s="29" t="n">
        <v>46003</v>
      </c>
      <c r="D449" s="29" t="n">
        <v>46006</v>
      </c>
      <c r="E449" t="n">
        <v>63</v>
      </c>
      <c r="F449" t="inlineStr">
        <is>
          <t>J18.9</t>
        </is>
      </c>
      <c r="G449" t="inlineStr">
        <is>
          <t>Pneumonia, unspecified organism</t>
        </is>
      </c>
      <c r="H449" s="30" t="n">
        <v>3.9</v>
      </c>
      <c r="I449" t="n">
        <v>3</v>
      </c>
      <c r="J449" s="31" t="n">
        <v>14584.99</v>
      </c>
      <c r="K449" s="32" t="n"/>
    </row>
    <row r="450">
      <c r="A450" t="inlineStr">
        <is>
          <t>ENC120888</t>
        </is>
      </c>
      <c r="B450" t="inlineStr">
        <is>
          <t>Behavioral Health</t>
        </is>
      </c>
      <c r="C450" s="29" t="n">
        <v>45995</v>
      </c>
      <c r="D450" s="29" t="n">
        <v>46006</v>
      </c>
      <c r="E450" t="n">
        <v>76</v>
      </c>
      <c r="F450" t="inlineStr">
        <is>
          <t>F32.9</t>
        </is>
      </c>
      <c r="G450" t="inlineStr">
        <is>
          <t>Major depressive disorder, single episode, unspecified</t>
        </is>
      </c>
      <c r="H450" s="30" t="n">
        <v>6.8</v>
      </c>
      <c r="I450" t="n">
        <v>11</v>
      </c>
      <c r="J450" s="31" t="n">
        <v>34276.95</v>
      </c>
      <c r="K450" s="32" t="n"/>
    </row>
    <row r="451">
      <c r="A451" t="inlineStr">
        <is>
          <t>ENC121225</t>
        </is>
      </c>
      <c r="B451" t="inlineStr">
        <is>
          <t>Medical-Surgical 4 West</t>
        </is>
      </c>
      <c r="C451" s="29" t="n">
        <v>46004</v>
      </c>
      <c r="D451" s="29" t="n">
        <v>46007</v>
      </c>
      <c r="E451" t="n">
        <v>50</v>
      </c>
      <c r="F451" t="inlineStr">
        <is>
          <t>N39.0</t>
        </is>
      </c>
      <c r="G451" t="inlineStr">
        <is>
          <t>Urinary tract infection, site not specified</t>
        </is>
      </c>
      <c r="H451" s="30" t="n">
        <v>3.1</v>
      </c>
      <c r="I451" t="n">
        <v>3</v>
      </c>
      <c r="J451" s="31" t="n">
        <v>12363.52</v>
      </c>
      <c r="K451" s="32" t="n"/>
    </row>
    <row r="452">
      <c r="A452" t="inlineStr">
        <is>
          <t>ENC121013</t>
        </is>
      </c>
      <c r="B452" t="inlineStr">
        <is>
          <t>Medical-Surgical 5 East</t>
        </is>
      </c>
      <c r="C452" s="29" t="n">
        <v>45999</v>
      </c>
      <c r="D452" s="29" t="n">
        <v>46007</v>
      </c>
      <c r="E452" t="n">
        <v>70</v>
      </c>
      <c r="F452" t="inlineStr">
        <is>
          <t>J44.1</t>
        </is>
      </c>
      <c r="G452" t="inlineStr">
        <is>
          <t>Chronic obstructive pulmonary disease with (acute) exacerbation</t>
        </is>
      </c>
      <c r="H452" s="30" t="n">
        <v>3.4</v>
      </c>
      <c r="I452" t="n">
        <v>8</v>
      </c>
      <c r="J452" s="31" t="n">
        <v>31721.18</v>
      </c>
      <c r="K452" s="32" t="n"/>
    </row>
    <row r="453">
      <c r="A453" t="inlineStr">
        <is>
          <t>ENC120903</t>
        </is>
      </c>
      <c r="B453" t="inlineStr">
        <is>
          <t>Neuroscience &amp; Stroke</t>
        </is>
      </c>
      <c r="C453" s="29" t="n">
        <v>45995</v>
      </c>
      <c r="D453" s="29" t="n">
        <v>46007</v>
      </c>
      <c r="E453" t="n">
        <v>75</v>
      </c>
      <c r="F453" t="inlineStr">
        <is>
          <t>I63.9</t>
        </is>
      </c>
      <c r="G453" t="inlineStr">
        <is>
          <t>Cerebral infarction, unspecified</t>
        </is>
      </c>
      <c r="H453" s="30" t="n">
        <v>4.2</v>
      </c>
      <c r="I453" t="n">
        <v>12</v>
      </c>
      <c r="J453" s="31" t="n">
        <v>76616.11</v>
      </c>
      <c r="K453" s="32" t="n"/>
    </row>
    <row r="454">
      <c r="A454" t="inlineStr">
        <is>
          <t>ENC121219</t>
        </is>
      </c>
      <c r="B454" t="inlineStr">
        <is>
          <t>Cardiac Step-Down</t>
        </is>
      </c>
      <c r="C454" s="29" t="n">
        <v>46004</v>
      </c>
      <c r="D454" s="29" t="n">
        <v>46007</v>
      </c>
      <c r="E454" t="n">
        <v>76</v>
      </c>
      <c r="F454" t="inlineStr">
        <is>
          <t>I50.9</t>
        </is>
      </c>
      <c r="G454" t="inlineStr">
        <is>
          <t>Heart failure, unspecified</t>
        </is>
      </c>
      <c r="H454" s="30" t="n">
        <v>4.1</v>
      </c>
      <c r="I454" t="n">
        <v>3</v>
      </c>
      <c r="J454" s="31" t="n">
        <v>14500.92</v>
      </c>
      <c r="K454" s="32" t="n"/>
    </row>
    <row r="455">
      <c r="A455" t="inlineStr">
        <is>
          <t>ENC121081</t>
        </is>
      </c>
      <c r="B455" t="inlineStr">
        <is>
          <t>Medical-Surgical 4 West</t>
        </is>
      </c>
      <c r="C455" s="29" t="n">
        <v>46000</v>
      </c>
      <c r="D455" s="29" t="n">
        <v>46007</v>
      </c>
      <c r="E455" t="n">
        <v>99</v>
      </c>
      <c r="F455" t="inlineStr">
        <is>
          <t>A41.9</t>
        </is>
      </c>
      <c r="G455" t="inlineStr">
        <is>
          <t>Sepsis, unspecified organism</t>
        </is>
      </c>
      <c r="H455" s="30" t="n">
        <v>5</v>
      </c>
      <c r="I455" t="n">
        <v>7</v>
      </c>
      <c r="J455" s="31" t="n">
        <v>75860.47</v>
      </c>
      <c r="K455" s="32" t="n"/>
    </row>
    <row r="456">
      <c r="A456" t="inlineStr">
        <is>
          <t>ENC121178</t>
        </is>
      </c>
      <c r="B456" t="inlineStr">
        <is>
          <t>Medical-Surgical 5 East</t>
        </is>
      </c>
      <c r="C456" s="29" t="n">
        <v>46003</v>
      </c>
      <c r="D456" s="29" t="n">
        <v>46007</v>
      </c>
      <c r="E456" t="n">
        <v>24</v>
      </c>
      <c r="F456" t="inlineStr">
        <is>
          <t>J18.9</t>
        </is>
      </c>
      <c r="G456" t="inlineStr">
        <is>
          <t>Pneumonia, unspecified organism</t>
        </is>
      </c>
      <c r="H456" s="30" t="n">
        <v>3.9</v>
      </c>
      <c r="I456" t="n">
        <v>4</v>
      </c>
      <c r="J456" s="31" t="n">
        <v>15221.84</v>
      </c>
      <c r="K456" s="32" t="n"/>
    </row>
    <row r="457">
      <c r="A457" t="inlineStr">
        <is>
          <t>ENC120172</t>
        </is>
      </c>
      <c r="B457" t="inlineStr">
        <is>
          <t>Behavioral Health</t>
        </is>
      </c>
      <c r="C457" s="29" t="n">
        <v>45973</v>
      </c>
      <c r="D457" s="29" t="n">
        <v>46007</v>
      </c>
      <c r="E457" t="n">
        <v>62</v>
      </c>
      <c r="F457" t="inlineStr">
        <is>
          <t>F20.9</t>
        </is>
      </c>
      <c r="G457" t="inlineStr">
        <is>
          <t>Schizophrenia, unspecified</t>
        </is>
      </c>
      <c r="H457" s="30" t="n">
        <v>8.9</v>
      </c>
      <c r="I457" t="n">
        <v>34</v>
      </c>
      <c r="J457" s="31" t="n">
        <v>109181.2</v>
      </c>
      <c r="K457" s="32" t="n"/>
    </row>
    <row r="458">
      <c r="A458" t="inlineStr">
        <is>
          <t>ENC121237</t>
        </is>
      </c>
      <c r="B458" t="inlineStr">
        <is>
          <t>Medical-Surgical 4 West</t>
        </is>
      </c>
      <c r="C458" s="29" t="n">
        <v>46005</v>
      </c>
      <c r="D458" s="29" t="n">
        <v>46007</v>
      </c>
      <c r="E458" t="n">
        <v>71</v>
      </c>
      <c r="F458" t="inlineStr">
        <is>
          <t>J45.909</t>
        </is>
      </c>
      <c r="G458" t="inlineStr">
        <is>
          <t>Unspecified asthma, uncomplicated</t>
        </is>
      </c>
      <c r="H458" s="30" t="n">
        <v>2.1</v>
      </c>
      <c r="I458" t="n">
        <v>2</v>
      </c>
      <c r="J458" s="31" t="n">
        <v>6249.27</v>
      </c>
      <c r="K458" s="32" t="n"/>
    </row>
    <row r="459">
      <c r="A459" t="inlineStr">
        <is>
          <t>ENC121210</t>
        </is>
      </c>
      <c r="B459" t="inlineStr">
        <is>
          <t>Medical-Surgical 4 West</t>
        </is>
      </c>
      <c r="C459" s="29" t="n">
        <v>46003</v>
      </c>
      <c r="D459" s="29" t="n">
        <v>46008</v>
      </c>
      <c r="E459" t="n">
        <v>49</v>
      </c>
      <c r="F459" t="inlineStr">
        <is>
          <t>N17.9</t>
        </is>
      </c>
      <c r="G459" t="inlineStr">
        <is>
          <t>Acute kidney failure, unspecified</t>
        </is>
      </c>
      <c r="H459" s="30" t="n">
        <v>3.9</v>
      </c>
      <c r="I459" t="n">
        <v>5</v>
      </c>
      <c r="J459" s="31" t="n">
        <v>18630.17</v>
      </c>
      <c r="K459" s="32" t="n"/>
    </row>
    <row r="460">
      <c r="A460" t="inlineStr">
        <is>
          <t>ENC121293</t>
        </is>
      </c>
      <c r="B460" t="inlineStr">
        <is>
          <t>Labor &amp; Delivery</t>
        </is>
      </c>
      <c r="C460" s="29" t="n">
        <v>46006</v>
      </c>
      <c r="D460" s="29" t="n">
        <v>46008</v>
      </c>
      <c r="E460" t="n">
        <v>32</v>
      </c>
      <c r="F460" t="inlineStr">
        <is>
          <t>O80</t>
        </is>
      </c>
      <c r="G460" t="inlineStr">
        <is>
          <t>Encounter for full-term uncomplicated delivery</t>
        </is>
      </c>
      <c r="H460" s="30" t="n">
        <v>2</v>
      </c>
      <c r="I460" t="n">
        <v>2</v>
      </c>
      <c r="J460" s="31" t="n">
        <v>15700.09</v>
      </c>
      <c r="K460" s="32" t="n"/>
    </row>
    <row r="461">
      <c r="A461" t="inlineStr">
        <is>
          <t>ENC121296</t>
        </is>
      </c>
      <c r="B461" t="inlineStr">
        <is>
          <t>Cardiac Step-Down</t>
        </is>
      </c>
      <c r="C461" s="29" t="n">
        <v>46007</v>
      </c>
      <c r="D461" s="29" t="n">
        <v>46008</v>
      </c>
      <c r="E461" t="n">
        <v>85</v>
      </c>
      <c r="F461" t="inlineStr">
        <is>
          <t>I48.91</t>
        </is>
      </c>
      <c r="G461" t="inlineStr">
        <is>
          <t>Unspecified atrial fibrillation</t>
        </is>
      </c>
      <c r="H461" s="30" t="n">
        <v>2.9</v>
      </c>
      <c r="I461" t="n">
        <v>1</v>
      </c>
      <c r="J461" s="31" t="n">
        <v>11676.28</v>
      </c>
      <c r="K461" s="32" t="n"/>
    </row>
    <row r="462">
      <c r="A462" t="inlineStr">
        <is>
          <t>ENC121255</t>
        </is>
      </c>
      <c r="B462" t="inlineStr">
        <is>
          <t>Orthopedics &amp; Spine</t>
        </is>
      </c>
      <c r="C462" s="29" t="n">
        <v>46006</v>
      </c>
      <c r="D462" s="29" t="n">
        <v>46008</v>
      </c>
      <c r="E462" t="n">
        <v>56</v>
      </c>
      <c r="F462" t="inlineStr">
        <is>
          <t>M16.11</t>
        </is>
      </c>
      <c r="G462" t="inlineStr">
        <is>
          <t>Unilateral primary osteoarthritis, right hip</t>
        </is>
      </c>
      <c r="H462" s="30" t="n">
        <v>2.1</v>
      </c>
      <c r="I462" t="n">
        <v>2</v>
      </c>
      <c r="J462" s="31" t="n">
        <v>56883.78</v>
      </c>
      <c r="K462" s="32" t="n"/>
    </row>
    <row r="463">
      <c r="A463" t="inlineStr">
        <is>
          <t>ENC121022</t>
        </is>
      </c>
      <c r="B463" t="inlineStr">
        <is>
          <t>Medical-Surgical 4 West</t>
        </is>
      </c>
      <c r="C463" s="29" t="n">
        <v>45999</v>
      </c>
      <c r="D463" s="29" t="n">
        <v>46008</v>
      </c>
      <c r="E463" t="n">
        <v>26</v>
      </c>
      <c r="F463" t="inlineStr">
        <is>
          <t>A41.9</t>
        </is>
      </c>
      <c r="G463" t="inlineStr">
        <is>
          <t>Sepsis, unspecified organism</t>
        </is>
      </c>
      <c r="H463" s="30" t="n">
        <v>5</v>
      </c>
      <c r="I463" t="n">
        <v>9</v>
      </c>
      <c r="J463" s="31" t="n">
        <v>75803.55</v>
      </c>
      <c r="K463" s="32" t="n"/>
    </row>
    <row r="464">
      <c r="A464" t="inlineStr">
        <is>
          <t>ENC121200</t>
        </is>
      </c>
      <c r="B464" t="inlineStr">
        <is>
          <t>Cardiac Step-Down</t>
        </is>
      </c>
      <c r="C464" s="29" t="n">
        <v>46003</v>
      </c>
      <c r="D464" s="29" t="n">
        <v>46009</v>
      </c>
      <c r="E464" t="n">
        <v>74</v>
      </c>
      <c r="F464" t="inlineStr">
        <is>
          <t>I50.9</t>
        </is>
      </c>
      <c r="G464" t="inlineStr">
        <is>
          <t>Heart failure, unspecified</t>
        </is>
      </c>
      <c r="H464" s="30" t="n">
        <v>4.1</v>
      </c>
      <c r="I464" t="n">
        <v>6</v>
      </c>
      <c r="J464" s="31" t="n">
        <v>27986.43</v>
      </c>
      <c r="K464" s="32" t="n"/>
    </row>
    <row r="465">
      <c r="A465" t="inlineStr">
        <is>
          <t>ENC121043</t>
        </is>
      </c>
      <c r="B465" t="inlineStr">
        <is>
          <t>Cardiac Step-Down</t>
        </is>
      </c>
      <c r="C465" s="29" t="n">
        <v>45999</v>
      </c>
      <c r="D465" s="29" t="n">
        <v>46009</v>
      </c>
      <c r="E465" t="n">
        <v>52</v>
      </c>
      <c r="F465" t="inlineStr">
        <is>
          <t>I50.9</t>
        </is>
      </c>
      <c r="G465" t="inlineStr">
        <is>
          <t>Heart failure, unspecified</t>
        </is>
      </c>
      <c r="H465" s="30" t="n">
        <v>4.1</v>
      </c>
      <c r="I465" t="n">
        <v>10</v>
      </c>
      <c r="J465" s="31" t="n">
        <v>65869.37</v>
      </c>
      <c r="K465" s="32" t="n"/>
    </row>
    <row r="466">
      <c r="A466" t="inlineStr">
        <is>
          <t>ENC121348</t>
        </is>
      </c>
      <c r="B466" t="inlineStr">
        <is>
          <t>Labor &amp; Delivery</t>
        </is>
      </c>
      <c r="C466" s="29" t="n">
        <v>46008</v>
      </c>
      <c r="D466" s="29" t="n">
        <v>46009</v>
      </c>
      <c r="E466" t="n">
        <v>31</v>
      </c>
      <c r="F466" t="inlineStr">
        <is>
          <t>O80</t>
        </is>
      </c>
      <c r="G466" t="inlineStr">
        <is>
          <t>Encounter for full-term uncomplicated delivery</t>
        </is>
      </c>
      <c r="H466" s="30" t="n">
        <v>2</v>
      </c>
      <c r="I466" t="n">
        <v>1</v>
      </c>
      <c r="J466" s="31" t="n">
        <v>17111.02</v>
      </c>
      <c r="K466" s="32" t="n"/>
    </row>
    <row r="467">
      <c r="A467" t="inlineStr">
        <is>
          <t>ENC121247</t>
        </is>
      </c>
      <c r="B467" t="inlineStr">
        <is>
          <t>Neuroscience &amp; Stroke</t>
        </is>
      </c>
      <c r="C467" s="29" t="n">
        <v>46005</v>
      </c>
      <c r="D467" s="29" t="n">
        <v>46009</v>
      </c>
      <c r="E467" t="n">
        <v>53</v>
      </c>
      <c r="F467" t="inlineStr">
        <is>
          <t>I63.9</t>
        </is>
      </c>
      <c r="G467" t="inlineStr">
        <is>
          <t>Cerebral infarction, unspecified</t>
        </is>
      </c>
      <c r="H467" s="30" t="n">
        <v>4.2</v>
      </c>
      <c r="I467" t="n">
        <v>4</v>
      </c>
      <c r="J467" s="31" t="n">
        <v>26730.99</v>
      </c>
      <c r="K467" s="32" t="n"/>
    </row>
    <row r="468">
      <c r="A468" t="inlineStr">
        <is>
          <t>ENC121137</t>
        </is>
      </c>
      <c r="B468" t="inlineStr">
        <is>
          <t>Oncology</t>
        </is>
      </c>
      <c r="C468" s="29" t="n">
        <v>46001</v>
      </c>
      <c r="D468" s="29" t="n">
        <v>46009</v>
      </c>
      <c r="E468" t="n">
        <v>78</v>
      </c>
      <c r="F468" t="inlineStr">
        <is>
          <t>C34.90</t>
        </is>
      </c>
      <c r="G468" t="inlineStr">
        <is>
          <t>Malignant neoplasm of unspecified part of unspecified bronchus or lung</t>
        </is>
      </c>
      <c r="H468" s="30" t="n">
        <v>5</v>
      </c>
      <c r="I468" t="n">
        <v>8</v>
      </c>
      <c r="J468" s="31" t="n">
        <v>37574.58</v>
      </c>
      <c r="K468" s="32" t="n"/>
    </row>
    <row r="469">
      <c r="A469" t="inlineStr">
        <is>
          <t>ENC121316</t>
        </is>
      </c>
      <c r="B469" t="inlineStr">
        <is>
          <t>Cardiac Step-Down</t>
        </is>
      </c>
      <c r="C469" s="29" t="n">
        <v>46007</v>
      </c>
      <c r="D469" s="29" t="n">
        <v>46009</v>
      </c>
      <c r="E469" t="n">
        <v>55</v>
      </c>
      <c r="F469" t="inlineStr">
        <is>
          <t>I48.91</t>
        </is>
      </c>
      <c r="G469" t="inlineStr">
        <is>
          <t>Unspecified atrial fibrillation</t>
        </is>
      </c>
      <c r="H469" s="30" t="n">
        <v>2.9</v>
      </c>
      <c r="I469" t="n">
        <v>2</v>
      </c>
      <c r="J469" s="31" t="n">
        <v>9986.35</v>
      </c>
      <c r="K469" s="32" t="n"/>
    </row>
    <row r="470">
      <c r="A470" t="inlineStr">
        <is>
          <t>ENC120783</t>
        </is>
      </c>
      <c r="B470" t="inlineStr">
        <is>
          <t>Behavioral Health</t>
        </is>
      </c>
      <c r="C470" s="29" t="n">
        <v>45993</v>
      </c>
      <c r="D470" s="29" t="n">
        <v>46009</v>
      </c>
      <c r="E470" t="n">
        <v>61</v>
      </c>
      <c r="F470" t="inlineStr">
        <is>
          <t>F20.9</t>
        </is>
      </c>
      <c r="G470" t="inlineStr">
        <is>
          <t>Schizophrenia, unspecified</t>
        </is>
      </c>
      <c r="H470" s="30" t="n">
        <v>8.9</v>
      </c>
      <c r="I470" t="n">
        <v>16</v>
      </c>
      <c r="J470" s="31" t="n">
        <v>43662.35</v>
      </c>
      <c r="K470" s="32" t="n"/>
    </row>
    <row r="471">
      <c r="A471" t="inlineStr">
        <is>
          <t>ENC121295</t>
        </is>
      </c>
      <c r="B471" t="inlineStr">
        <is>
          <t>Medical-Surgical 4 West</t>
        </is>
      </c>
      <c r="C471" s="29" t="n">
        <v>46007</v>
      </c>
      <c r="D471" s="29" t="n">
        <v>46009</v>
      </c>
      <c r="E471" t="n">
        <v>14</v>
      </c>
      <c r="F471" t="inlineStr">
        <is>
          <t>A08.4</t>
        </is>
      </c>
      <c r="G471" t="inlineStr">
        <is>
          <t>Viral intestinal infection, unspecified</t>
        </is>
      </c>
      <c r="H471" s="30" t="n">
        <v>2.1</v>
      </c>
      <c r="I471" t="n">
        <v>2</v>
      </c>
      <c r="J471" s="31" t="n">
        <v>15492.77</v>
      </c>
      <c r="K471" s="32" t="n"/>
    </row>
    <row r="472">
      <c r="A472" t="inlineStr">
        <is>
          <t>ENC121195</t>
        </is>
      </c>
      <c r="B472" t="inlineStr">
        <is>
          <t>Medical-Surgical 5 East</t>
        </is>
      </c>
      <c r="C472" s="29" t="n">
        <v>46003</v>
      </c>
      <c r="D472" s="29" t="n">
        <v>46010</v>
      </c>
      <c r="E472" t="n">
        <v>29</v>
      </c>
      <c r="F472" t="inlineStr">
        <is>
          <t>J18.9</t>
        </is>
      </c>
      <c r="G472" t="inlineStr">
        <is>
          <t>Pneumonia, unspecified organism</t>
        </is>
      </c>
      <c r="H472" s="30" t="n">
        <v>3.9</v>
      </c>
      <c r="I472" t="n">
        <v>7</v>
      </c>
      <c r="J472" s="31" t="n">
        <v>29653.25</v>
      </c>
      <c r="K472" s="32" t="n"/>
    </row>
    <row r="473">
      <c r="A473" t="inlineStr">
        <is>
          <t>ENC121292</t>
        </is>
      </c>
      <c r="B473" t="inlineStr">
        <is>
          <t>Medical-Surgical 5 East</t>
        </is>
      </c>
      <c r="C473" s="29" t="n">
        <v>46006</v>
      </c>
      <c r="D473" s="29" t="n">
        <v>46010</v>
      </c>
      <c r="E473" t="n">
        <v>83</v>
      </c>
      <c r="F473" t="inlineStr">
        <is>
          <t>J44.1</t>
        </is>
      </c>
      <c r="G473" t="inlineStr">
        <is>
          <t>Chronic obstructive pulmonary disease with (acute) exacerbation</t>
        </is>
      </c>
      <c r="H473" s="30" t="n">
        <v>3.4</v>
      </c>
      <c r="I473" t="n">
        <v>4</v>
      </c>
      <c r="J473" s="31" t="n">
        <v>18875.06</v>
      </c>
      <c r="K473" s="32" t="n"/>
    </row>
    <row r="474">
      <c r="A474" t="inlineStr">
        <is>
          <t>ENC121329</t>
        </is>
      </c>
      <c r="B474" t="inlineStr">
        <is>
          <t>Medical-Surgical 5 East</t>
        </is>
      </c>
      <c r="C474" s="29" t="n">
        <v>46007</v>
      </c>
      <c r="D474" s="29" t="n">
        <v>46010</v>
      </c>
      <c r="E474" t="n">
        <v>20</v>
      </c>
      <c r="F474" t="inlineStr">
        <is>
          <t>U07.1</t>
        </is>
      </c>
      <c r="G474" t="inlineStr">
        <is>
          <t>COVID-19</t>
        </is>
      </c>
      <c r="H474" s="30" t="n">
        <v>4.4</v>
      </c>
      <c r="I474" t="n">
        <v>3</v>
      </c>
      <c r="J474" s="31" t="n">
        <v>15800.46</v>
      </c>
      <c r="K474" s="32" t="n"/>
    </row>
    <row r="475">
      <c r="A475" t="inlineStr">
        <is>
          <t>ENC121268</t>
        </is>
      </c>
      <c r="B475" t="inlineStr">
        <is>
          <t>Medical-Surgical 4 West</t>
        </is>
      </c>
      <c r="C475" s="29" t="n">
        <v>46006</v>
      </c>
      <c r="D475" s="29" t="n">
        <v>46010</v>
      </c>
      <c r="E475" t="n">
        <v>81</v>
      </c>
      <c r="F475" t="inlineStr">
        <is>
          <t>J44.1</t>
        </is>
      </c>
      <c r="G475" t="inlineStr">
        <is>
          <t>Chronic obstructive pulmonary disease with (acute) exacerbation</t>
        </is>
      </c>
      <c r="H475" s="30" t="n">
        <v>3.4</v>
      </c>
      <c r="I475" t="n">
        <v>4</v>
      </c>
      <c r="J475" s="31" t="n">
        <v>21340.25</v>
      </c>
      <c r="K475" s="32" t="n"/>
    </row>
    <row r="476">
      <c r="A476" t="inlineStr">
        <is>
          <t>ENC121386</t>
        </is>
      </c>
      <c r="B476" t="inlineStr">
        <is>
          <t>Labor &amp; Delivery</t>
        </is>
      </c>
      <c r="C476" s="29" t="n">
        <v>46009</v>
      </c>
      <c r="D476" s="29" t="n">
        <v>46010</v>
      </c>
      <c r="E476" t="n">
        <v>19</v>
      </c>
      <c r="F476" t="inlineStr">
        <is>
          <t>O80</t>
        </is>
      </c>
      <c r="G476" t="inlineStr">
        <is>
          <t>Encounter for full-term uncomplicated delivery</t>
        </is>
      </c>
      <c r="H476" s="30" t="n">
        <v>2</v>
      </c>
      <c r="I476" t="n">
        <v>1</v>
      </c>
      <c r="J476" s="31" t="n">
        <v>9478.459999999999</v>
      </c>
      <c r="K476" s="32" t="n"/>
    </row>
    <row r="477">
      <c r="A477" t="inlineStr">
        <is>
          <t>ENC121328</t>
        </is>
      </c>
      <c r="B477" t="inlineStr">
        <is>
          <t>Cardiac Step-Down</t>
        </is>
      </c>
      <c r="C477" s="29" t="n">
        <v>46007</v>
      </c>
      <c r="D477" s="29" t="n">
        <v>46010</v>
      </c>
      <c r="E477" t="n">
        <v>69</v>
      </c>
      <c r="F477" t="inlineStr">
        <is>
          <t>I48.91</t>
        </is>
      </c>
      <c r="G477" t="inlineStr">
        <is>
          <t>Unspecified atrial fibrillation</t>
        </is>
      </c>
      <c r="H477" s="30" t="n">
        <v>2.9</v>
      </c>
      <c r="I477" t="n">
        <v>3</v>
      </c>
      <c r="J477" s="31" t="n">
        <v>18639.55</v>
      </c>
      <c r="K477" s="32" t="n"/>
    </row>
    <row r="478">
      <c r="A478" t="inlineStr">
        <is>
          <t>ENC121299</t>
        </is>
      </c>
      <c r="B478" t="inlineStr">
        <is>
          <t>Medical-Surgical 4 West</t>
        </is>
      </c>
      <c r="C478" s="29" t="n">
        <v>46007</v>
      </c>
      <c r="D478" s="29" t="n">
        <v>46011</v>
      </c>
      <c r="E478" t="n">
        <v>67</v>
      </c>
      <c r="F478" t="inlineStr">
        <is>
          <t>J44.1</t>
        </is>
      </c>
      <c r="G478" t="inlineStr">
        <is>
          <t>Chronic obstructive pulmonary disease with (acute) exacerbation</t>
        </is>
      </c>
      <c r="H478" s="30" t="n">
        <v>3.4</v>
      </c>
      <c r="I478" t="n">
        <v>4</v>
      </c>
      <c r="J478" s="31" t="n">
        <v>20414.81</v>
      </c>
      <c r="K478" s="32" t="n"/>
    </row>
    <row r="479">
      <c r="A479" t="inlineStr">
        <is>
          <t>ENC121236</t>
        </is>
      </c>
      <c r="B479" t="inlineStr">
        <is>
          <t>Medical-Surgical 4 West</t>
        </is>
      </c>
      <c r="C479" s="29" t="n">
        <v>46005</v>
      </c>
      <c r="D479" s="29" t="n">
        <v>46011</v>
      </c>
      <c r="E479" t="n">
        <v>66</v>
      </c>
      <c r="F479" t="inlineStr">
        <is>
          <t>A41.9</t>
        </is>
      </c>
      <c r="G479" t="inlineStr">
        <is>
          <t>Sepsis, unspecified organism</t>
        </is>
      </c>
      <c r="H479" s="30" t="n">
        <v>5</v>
      </c>
      <c r="I479" t="n">
        <v>6</v>
      </c>
      <c r="J479" s="31" t="n">
        <v>70884.42999999999</v>
      </c>
      <c r="K479" s="32" t="n"/>
    </row>
    <row r="480">
      <c r="A480" t="inlineStr">
        <is>
          <t>ENC121398</t>
        </is>
      </c>
      <c r="B480" t="inlineStr">
        <is>
          <t>Medical-Surgical 4 West</t>
        </is>
      </c>
      <c r="C480" s="29" t="n">
        <v>46009</v>
      </c>
      <c r="D480" s="29" t="n">
        <v>46011</v>
      </c>
      <c r="E480" t="n">
        <v>17</v>
      </c>
      <c r="F480" t="inlineStr">
        <is>
          <t>E86.0</t>
        </is>
      </c>
      <c r="G480" t="inlineStr">
        <is>
          <t>Dehydration</t>
        </is>
      </c>
      <c r="H480" s="30" t="n">
        <v>2.4</v>
      </c>
      <c r="I480" t="n">
        <v>2</v>
      </c>
      <c r="J480" s="31" t="n">
        <v>12254.1</v>
      </c>
      <c r="K480" s="32" t="n"/>
    </row>
    <row r="481">
      <c r="A481" t="inlineStr">
        <is>
          <t>ENC121357</t>
        </is>
      </c>
      <c r="B481" t="inlineStr">
        <is>
          <t>Medical-Surgical 4 West</t>
        </is>
      </c>
      <c r="C481" s="29" t="n">
        <v>46008</v>
      </c>
      <c r="D481" s="29" t="n">
        <v>46011</v>
      </c>
      <c r="E481" t="n">
        <v>49</v>
      </c>
      <c r="F481" t="inlineStr">
        <is>
          <t>U07.1</t>
        </is>
      </c>
      <c r="G481" t="inlineStr">
        <is>
          <t>COVID-19</t>
        </is>
      </c>
      <c r="H481" s="30" t="n">
        <v>4.4</v>
      </c>
      <c r="I481" t="n">
        <v>3</v>
      </c>
      <c r="J481" s="31" t="n">
        <v>16220.43</v>
      </c>
      <c r="K481" s="32" t="n"/>
    </row>
    <row r="482">
      <c r="A482" t="inlineStr">
        <is>
          <t>ENC121256</t>
        </is>
      </c>
      <c r="B482" t="inlineStr">
        <is>
          <t>Medical-Surgical 5 East</t>
        </is>
      </c>
      <c r="C482" s="29" t="n">
        <v>46006</v>
      </c>
      <c r="D482" s="29" t="n">
        <v>46011</v>
      </c>
      <c r="E482" t="n">
        <v>70</v>
      </c>
      <c r="F482" t="inlineStr">
        <is>
          <t>J44.1</t>
        </is>
      </c>
      <c r="G482" t="inlineStr">
        <is>
          <t>Chronic obstructive pulmonary disease with (acute) exacerbation</t>
        </is>
      </c>
      <c r="H482" s="30" t="n">
        <v>3.4</v>
      </c>
      <c r="I482" t="n">
        <v>5</v>
      </c>
      <c r="J482" s="31" t="n">
        <v>14293.42</v>
      </c>
      <c r="K482" s="32" t="n"/>
    </row>
    <row r="483">
      <c r="A483" t="inlineStr">
        <is>
          <t>ENC121304</t>
        </is>
      </c>
      <c r="B483" t="inlineStr">
        <is>
          <t>Oncology</t>
        </is>
      </c>
      <c r="C483" s="29" t="n">
        <v>46007</v>
      </c>
      <c r="D483" s="29" t="n">
        <v>46011</v>
      </c>
      <c r="E483" t="n">
        <v>75</v>
      </c>
      <c r="F483" t="inlineStr">
        <is>
          <t>C50.911</t>
        </is>
      </c>
      <c r="G483" t="inlineStr">
        <is>
          <t>Malignant neoplasm of unspecified site of right female breast</t>
        </is>
      </c>
      <c r="H483" s="30" t="n">
        <v>3</v>
      </c>
      <c r="I483" t="n">
        <v>4</v>
      </c>
      <c r="J483" s="31" t="n">
        <v>40622.18</v>
      </c>
      <c r="K483" s="32" t="n"/>
    </row>
    <row r="484">
      <c r="A484" t="inlineStr">
        <is>
          <t>ENC121253</t>
        </is>
      </c>
      <c r="B484" t="inlineStr">
        <is>
          <t>Medical-Surgical 4 West</t>
        </is>
      </c>
      <c r="C484" s="29" t="n">
        <v>46006</v>
      </c>
      <c r="D484" s="29" t="n">
        <v>46012</v>
      </c>
      <c r="E484" t="n">
        <v>66</v>
      </c>
      <c r="F484" t="inlineStr">
        <is>
          <t>J18.9</t>
        </is>
      </c>
      <c r="G484" t="inlineStr">
        <is>
          <t>Pneumonia, unspecified organism</t>
        </is>
      </c>
      <c r="H484" s="30" t="n">
        <v>3.9</v>
      </c>
      <c r="I484" t="n">
        <v>6</v>
      </c>
      <c r="J484" s="31" t="n">
        <v>18396.17</v>
      </c>
      <c r="K484" s="32" t="n"/>
    </row>
    <row r="485">
      <c r="A485" t="inlineStr">
        <is>
          <t>ENC121248</t>
        </is>
      </c>
      <c r="B485" t="inlineStr">
        <is>
          <t>Medical-Surgical 4 West</t>
        </is>
      </c>
      <c r="C485" s="29" t="n">
        <v>46006</v>
      </c>
      <c r="D485" s="29" t="n">
        <v>46012</v>
      </c>
      <c r="E485" t="n">
        <v>54</v>
      </c>
      <c r="F485" t="inlineStr">
        <is>
          <t>J44.1</t>
        </is>
      </c>
      <c r="G485" t="inlineStr">
        <is>
          <t>Chronic obstructive pulmonary disease with (acute) exacerbation</t>
        </is>
      </c>
      <c r="H485" s="30" t="n">
        <v>3.4</v>
      </c>
      <c r="I485" t="n">
        <v>6</v>
      </c>
      <c r="J485" s="31" t="n">
        <v>30541.6</v>
      </c>
      <c r="K485" s="32" t="n"/>
    </row>
    <row r="486">
      <c r="A486" t="inlineStr">
        <is>
          <t>ENC121374</t>
        </is>
      </c>
      <c r="B486" t="inlineStr">
        <is>
          <t>Medical-Surgical 4 West</t>
        </is>
      </c>
      <c r="C486" s="29" t="n">
        <v>46008</v>
      </c>
      <c r="D486" s="29" t="n">
        <v>46012</v>
      </c>
      <c r="E486" t="n">
        <v>77</v>
      </c>
      <c r="F486" t="inlineStr">
        <is>
          <t>J44.1</t>
        </is>
      </c>
      <c r="G486" t="inlineStr">
        <is>
          <t>Chronic obstructive pulmonary disease with (acute) exacerbation</t>
        </is>
      </c>
      <c r="H486" s="30" t="n">
        <v>3.4</v>
      </c>
      <c r="I486" t="n">
        <v>4</v>
      </c>
      <c r="J486" s="31" t="n">
        <v>13653.49</v>
      </c>
      <c r="K486" s="32" t="n"/>
    </row>
    <row r="487">
      <c r="A487" t="inlineStr">
        <is>
          <t>ENC121394</t>
        </is>
      </c>
      <c r="B487" t="inlineStr">
        <is>
          <t>Cardiac Step-Down</t>
        </is>
      </c>
      <c r="C487" s="29" t="n">
        <v>46009</v>
      </c>
      <c r="D487" s="29" t="n">
        <v>46012</v>
      </c>
      <c r="E487" t="n">
        <v>62</v>
      </c>
      <c r="F487" t="inlineStr">
        <is>
          <t>I50.9</t>
        </is>
      </c>
      <c r="G487" t="inlineStr">
        <is>
          <t>Heart failure, unspecified</t>
        </is>
      </c>
      <c r="H487" s="30" t="n">
        <v>4.1</v>
      </c>
      <c r="I487" t="n">
        <v>3</v>
      </c>
      <c r="J487" s="31" t="n">
        <v>18597.03</v>
      </c>
      <c r="K487" s="32" t="n"/>
    </row>
    <row r="488">
      <c r="A488" t="inlineStr">
        <is>
          <t>ENC121146</t>
        </is>
      </c>
      <c r="B488" t="inlineStr">
        <is>
          <t>Intensive Care Unit</t>
        </is>
      </c>
      <c r="C488" s="29" t="n">
        <v>46002</v>
      </c>
      <c r="D488" s="29" t="n">
        <v>46012</v>
      </c>
      <c r="E488" t="n">
        <v>96</v>
      </c>
      <c r="F488" t="inlineStr">
        <is>
          <t>J96.01</t>
        </is>
      </c>
      <c r="G488" t="inlineStr">
        <is>
          <t>Acute respiratory failure with hypoxia</t>
        </is>
      </c>
      <c r="H488" s="30" t="n">
        <v>4.8</v>
      </c>
      <c r="I488" t="n">
        <v>10</v>
      </c>
      <c r="J488" s="31" t="n">
        <v>126816.73</v>
      </c>
      <c r="K488" s="32" t="n"/>
    </row>
    <row r="489">
      <c r="A489" t="inlineStr">
        <is>
          <t>ENC121223</t>
        </is>
      </c>
      <c r="B489" t="inlineStr">
        <is>
          <t>Cardiac Step-Down</t>
        </is>
      </c>
      <c r="C489" s="29" t="n">
        <v>46004</v>
      </c>
      <c r="D489" s="29" t="n">
        <v>46012</v>
      </c>
      <c r="E489" t="n">
        <v>66</v>
      </c>
      <c r="F489" t="inlineStr">
        <is>
          <t>I50.9</t>
        </is>
      </c>
      <c r="G489" t="inlineStr">
        <is>
          <t>Heart failure, unspecified</t>
        </is>
      </c>
      <c r="H489" s="30" t="n">
        <v>4.1</v>
      </c>
      <c r="I489" t="n">
        <v>8</v>
      </c>
      <c r="J489" s="31" t="n">
        <v>32247.86</v>
      </c>
      <c r="K489" s="32" t="n"/>
    </row>
    <row r="490">
      <c r="A490" t="inlineStr">
        <is>
          <t>ENC121351</t>
        </is>
      </c>
      <c r="B490" t="inlineStr">
        <is>
          <t>Medical-Surgical 5 East</t>
        </is>
      </c>
      <c r="C490" s="29" t="n">
        <v>46008</v>
      </c>
      <c r="D490" s="29" t="n">
        <v>46012</v>
      </c>
      <c r="E490" t="n">
        <v>62</v>
      </c>
      <c r="F490" t="inlineStr">
        <is>
          <t>J18.9</t>
        </is>
      </c>
      <c r="G490" t="inlineStr">
        <is>
          <t>Pneumonia, unspecified organism</t>
        </is>
      </c>
      <c r="H490" s="30" t="n">
        <v>3.9</v>
      </c>
      <c r="I490" t="n">
        <v>4</v>
      </c>
      <c r="J490" s="31" t="n">
        <v>28069.06</v>
      </c>
      <c r="K490" s="32" t="n"/>
    </row>
    <row r="491">
      <c r="A491" t="inlineStr">
        <is>
          <t>ENC121411</t>
        </is>
      </c>
      <c r="B491" t="inlineStr">
        <is>
          <t>Labor &amp; Delivery</t>
        </is>
      </c>
      <c r="C491" s="29" t="n">
        <v>46009</v>
      </c>
      <c r="D491" s="29" t="n">
        <v>46012</v>
      </c>
      <c r="E491" t="n">
        <v>27</v>
      </c>
      <c r="F491" t="inlineStr">
        <is>
          <t>O80</t>
        </is>
      </c>
      <c r="G491" t="inlineStr">
        <is>
          <t>Encounter for full-term uncomplicated delivery</t>
        </is>
      </c>
      <c r="H491" s="30" t="n">
        <v>2</v>
      </c>
      <c r="I491" t="n">
        <v>3</v>
      </c>
      <c r="J491" s="31" t="n">
        <v>17264.99</v>
      </c>
      <c r="K491" s="32" t="n"/>
    </row>
    <row r="492">
      <c r="A492" t="inlineStr">
        <is>
          <t>ENC121230</t>
        </is>
      </c>
      <c r="B492" t="inlineStr">
        <is>
          <t>Medical-Surgical 4 West</t>
        </is>
      </c>
      <c r="C492" s="29" t="n">
        <v>46004</v>
      </c>
      <c r="D492" s="29" t="n">
        <v>46012</v>
      </c>
      <c r="E492" t="n">
        <v>66</v>
      </c>
      <c r="F492" t="inlineStr">
        <is>
          <t>J18.9</t>
        </is>
      </c>
      <c r="G492" t="inlineStr">
        <is>
          <t>Pneumonia, unspecified organism</t>
        </is>
      </c>
      <c r="H492" s="30" t="n">
        <v>3.9</v>
      </c>
      <c r="I492" t="n">
        <v>8</v>
      </c>
      <c r="J492" s="31" t="n">
        <v>26781.72</v>
      </c>
      <c r="K492" s="32" t="n"/>
    </row>
    <row r="493">
      <c r="A493" t="inlineStr">
        <is>
          <t>ENC121423</t>
        </is>
      </c>
      <c r="B493" t="inlineStr">
        <is>
          <t>Medical-Surgical 5 East</t>
        </is>
      </c>
      <c r="C493" s="29" t="n">
        <v>46010</v>
      </c>
      <c r="D493" s="29" t="n">
        <v>46012</v>
      </c>
      <c r="E493" t="n">
        <v>76</v>
      </c>
      <c r="F493" t="inlineStr">
        <is>
          <t>J44.1</t>
        </is>
      </c>
      <c r="G493" t="inlineStr">
        <is>
          <t>Chronic obstructive pulmonary disease with (acute) exacerbation</t>
        </is>
      </c>
      <c r="H493" s="30" t="n">
        <v>3.4</v>
      </c>
      <c r="I493" t="n">
        <v>2</v>
      </c>
      <c r="J493" s="31" t="n">
        <v>10339.48</v>
      </c>
      <c r="K493" s="32" t="n"/>
    </row>
    <row r="494">
      <c r="A494" t="inlineStr">
        <is>
          <t>ENC121389</t>
        </is>
      </c>
      <c r="B494" t="inlineStr">
        <is>
          <t>Medical-Surgical 5 East</t>
        </is>
      </c>
      <c r="C494" s="29" t="n">
        <v>46009</v>
      </c>
      <c r="D494" s="29" t="n">
        <v>46012</v>
      </c>
      <c r="E494" t="n">
        <v>46</v>
      </c>
      <c r="F494" t="inlineStr">
        <is>
          <t>K35.80</t>
        </is>
      </c>
      <c r="G494" t="inlineStr">
        <is>
          <t>Unspecified acute appendicitis</t>
        </is>
      </c>
      <c r="H494" s="30" t="n">
        <v>2</v>
      </c>
      <c r="I494" t="n">
        <v>3</v>
      </c>
      <c r="J494" s="31" t="n">
        <v>36153.9</v>
      </c>
      <c r="K494" s="32" t="n"/>
    </row>
    <row r="495">
      <c r="A495" t="inlineStr">
        <is>
          <t>ENC121401</t>
        </is>
      </c>
      <c r="B495" t="inlineStr">
        <is>
          <t>Orthopedics &amp; Spine</t>
        </is>
      </c>
      <c r="C495" s="29" t="n">
        <v>46009</v>
      </c>
      <c r="D495" s="29" t="n">
        <v>46013</v>
      </c>
      <c r="E495" t="n">
        <v>75</v>
      </c>
      <c r="F495" t="inlineStr">
        <is>
          <t>S72.001A</t>
        </is>
      </c>
      <c r="G495" t="inlineStr">
        <is>
          <t>Fracture of unspecified part of neck of right femur, initial encounter</t>
        </is>
      </c>
      <c r="H495" s="30" t="n">
        <v>4.6</v>
      </c>
      <c r="I495" t="n">
        <v>4</v>
      </c>
      <c r="J495" s="31" t="n">
        <v>39173.41</v>
      </c>
      <c r="K495" s="32" t="n"/>
    </row>
    <row r="496">
      <c r="A496" t="inlineStr">
        <is>
          <t>ENC121474</t>
        </is>
      </c>
      <c r="B496" t="inlineStr">
        <is>
          <t>Medical-Surgical 4 West</t>
        </is>
      </c>
      <c r="C496" s="29" t="n">
        <v>46011</v>
      </c>
      <c r="D496" s="29" t="n">
        <v>46013</v>
      </c>
      <c r="E496" t="n">
        <v>43</v>
      </c>
      <c r="F496" t="inlineStr">
        <is>
          <t>R55</t>
        </is>
      </c>
      <c r="G496" t="inlineStr">
        <is>
          <t>Syncope and collapse</t>
        </is>
      </c>
      <c r="H496" s="30" t="n">
        <v>2</v>
      </c>
      <c r="I496" t="n">
        <v>2</v>
      </c>
      <c r="J496" s="31" t="n">
        <v>7795.12</v>
      </c>
      <c r="K496" s="32" t="n"/>
    </row>
    <row r="497">
      <c r="A497" t="inlineStr">
        <is>
          <t>ENC121437</t>
        </is>
      </c>
      <c r="B497" t="inlineStr">
        <is>
          <t>Cardiac Step-Down</t>
        </is>
      </c>
      <c r="C497" s="29" t="n">
        <v>46010</v>
      </c>
      <c r="D497" s="29" t="n">
        <v>46013</v>
      </c>
      <c r="E497" t="n">
        <v>72</v>
      </c>
      <c r="F497" t="inlineStr">
        <is>
          <t>I50.9</t>
        </is>
      </c>
      <c r="G497" t="inlineStr">
        <is>
          <t>Heart failure, unspecified</t>
        </is>
      </c>
      <c r="H497" s="30" t="n">
        <v>4.1</v>
      </c>
      <c r="I497" t="n">
        <v>3</v>
      </c>
      <c r="J497" s="31" t="n">
        <v>25004.59</v>
      </c>
      <c r="K497" s="32" t="n"/>
    </row>
    <row r="498">
      <c r="A498" t="inlineStr">
        <is>
          <t>ENC121233</t>
        </is>
      </c>
      <c r="B498" t="inlineStr">
        <is>
          <t>Medical-Surgical 5 East</t>
        </is>
      </c>
      <c r="C498" s="29" t="n">
        <v>46005</v>
      </c>
      <c r="D498" s="29" t="n">
        <v>46013</v>
      </c>
      <c r="E498" t="n">
        <v>45</v>
      </c>
      <c r="F498" t="inlineStr">
        <is>
          <t>K92.2</t>
        </is>
      </c>
      <c r="G498" t="inlineStr">
        <is>
          <t>Gastrointestinal hemorrhage, unspecified</t>
        </is>
      </c>
      <c r="H498" s="30" t="n">
        <v>3.5</v>
      </c>
      <c r="I498" t="n">
        <v>8</v>
      </c>
      <c r="J498" s="31" t="n">
        <v>39070.44</v>
      </c>
      <c r="K498" s="32" t="n"/>
    </row>
    <row r="499">
      <c r="A499" t="inlineStr">
        <is>
          <t>ENC120925</t>
        </is>
      </c>
      <c r="B499" t="inlineStr">
        <is>
          <t>Cardiac Step-Down</t>
        </is>
      </c>
      <c r="C499" s="29" t="n">
        <v>45996</v>
      </c>
      <c r="D499" s="29" t="n">
        <v>46013</v>
      </c>
      <c r="E499" t="n">
        <v>68</v>
      </c>
      <c r="F499" t="inlineStr">
        <is>
          <t>I50.9</t>
        </is>
      </c>
      <c r="G499" t="inlineStr">
        <is>
          <t>Heart failure, unspecified</t>
        </is>
      </c>
      <c r="H499" s="30" t="n">
        <v>4.1</v>
      </c>
      <c r="I499" t="n">
        <v>17</v>
      </c>
      <c r="J499" s="31" t="n">
        <v>75801.07000000001</v>
      </c>
      <c r="K499" s="32" t="n"/>
    </row>
    <row r="500">
      <c r="A500" t="inlineStr">
        <is>
          <t>ENC121325</t>
        </is>
      </c>
      <c r="B500" t="inlineStr">
        <is>
          <t>Neuroscience &amp; Stroke</t>
        </is>
      </c>
      <c r="C500" s="29" t="n">
        <v>46007</v>
      </c>
      <c r="D500" s="29" t="n">
        <v>46013</v>
      </c>
      <c r="E500" t="n">
        <v>82</v>
      </c>
      <c r="F500" t="inlineStr">
        <is>
          <t>I63.9</t>
        </is>
      </c>
      <c r="G500" t="inlineStr">
        <is>
          <t>Cerebral infarction, unspecified</t>
        </is>
      </c>
      <c r="H500" s="30" t="n">
        <v>4.2</v>
      </c>
      <c r="I500" t="n">
        <v>6</v>
      </c>
      <c r="J500" s="31" t="n">
        <v>21248.59</v>
      </c>
      <c r="K500" s="32" t="n"/>
    </row>
    <row r="501">
      <c r="A501" t="inlineStr">
        <is>
          <t>ENC121436</t>
        </is>
      </c>
      <c r="B501" t="inlineStr">
        <is>
          <t>Medical-Surgical 5 East</t>
        </is>
      </c>
      <c r="C501" s="29" t="n">
        <v>46010</v>
      </c>
      <c r="D501" s="29" t="n">
        <v>46013</v>
      </c>
      <c r="E501" t="n">
        <v>74</v>
      </c>
      <c r="F501" t="inlineStr">
        <is>
          <t>J18.9</t>
        </is>
      </c>
      <c r="G501" t="inlineStr">
        <is>
          <t>Pneumonia, unspecified organism</t>
        </is>
      </c>
      <c r="H501" s="30" t="n">
        <v>3.9</v>
      </c>
      <c r="I501" t="n">
        <v>3</v>
      </c>
      <c r="J501" s="31" t="n">
        <v>14646.1</v>
      </c>
      <c r="K501" s="32" t="n"/>
    </row>
    <row r="502">
      <c r="A502" t="inlineStr">
        <is>
          <t>ENC121383</t>
        </is>
      </c>
      <c r="B502" t="inlineStr">
        <is>
          <t>Medical-Surgical 4 West</t>
        </is>
      </c>
      <c r="C502" s="29" t="n">
        <v>46009</v>
      </c>
      <c r="D502" s="29" t="n">
        <v>46013</v>
      </c>
      <c r="E502" t="n">
        <v>77</v>
      </c>
      <c r="F502" t="inlineStr">
        <is>
          <t>U07.1</t>
        </is>
      </c>
      <c r="G502" t="inlineStr">
        <is>
          <t>COVID-19</t>
        </is>
      </c>
      <c r="H502" s="30" t="n">
        <v>4.4</v>
      </c>
      <c r="I502" t="n">
        <v>4</v>
      </c>
      <c r="J502" s="31" t="n">
        <v>14611.48</v>
      </c>
      <c r="K502" s="32" t="n"/>
    </row>
    <row r="503">
      <c r="A503" t="inlineStr">
        <is>
          <t>ENC121331</t>
        </is>
      </c>
      <c r="B503" t="inlineStr">
        <is>
          <t>Neuroscience &amp; Stroke</t>
        </is>
      </c>
      <c r="C503" s="29" t="n">
        <v>46007</v>
      </c>
      <c r="D503" s="29" t="n">
        <v>46014</v>
      </c>
      <c r="E503" t="n">
        <v>68</v>
      </c>
      <c r="F503" t="inlineStr">
        <is>
          <t>I63.9</t>
        </is>
      </c>
      <c r="G503" t="inlineStr">
        <is>
          <t>Cerebral infarction, unspecified</t>
        </is>
      </c>
      <c r="H503" s="30" t="n">
        <v>4.2</v>
      </c>
      <c r="I503" t="n">
        <v>7</v>
      </c>
      <c r="J503" s="31" t="n">
        <v>49128.22</v>
      </c>
      <c r="K503" s="32" t="n"/>
    </row>
    <row r="504">
      <c r="A504" t="inlineStr">
        <is>
          <t>ENC121093</t>
        </is>
      </c>
      <c r="B504" t="inlineStr">
        <is>
          <t>Behavioral Health</t>
        </is>
      </c>
      <c r="C504" s="29" t="n">
        <v>46001</v>
      </c>
      <c r="D504" s="29" t="n">
        <v>46014</v>
      </c>
      <c r="E504" t="n">
        <v>20</v>
      </c>
      <c r="F504" t="inlineStr">
        <is>
          <t>F20.9</t>
        </is>
      </c>
      <c r="G504" t="inlineStr">
        <is>
          <t>Schizophrenia, unspecified</t>
        </is>
      </c>
      <c r="H504" s="30" t="n">
        <v>8.9</v>
      </c>
      <c r="I504" t="n">
        <v>13</v>
      </c>
      <c r="J504" s="31" t="n">
        <v>20133.2</v>
      </c>
      <c r="K504" s="32" t="n"/>
    </row>
    <row r="505">
      <c r="A505" t="inlineStr">
        <is>
          <t>ENC121164</t>
        </is>
      </c>
      <c r="B505" t="inlineStr">
        <is>
          <t>Medical-Surgical 5 East</t>
        </is>
      </c>
      <c r="C505" s="29" t="n">
        <v>46002</v>
      </c>
      <c r="D505" s="29" t="n">
        <v>46014</v>
      </c>
      <c r="E505" t="n">
        <v>95</v>
      </c>
      <c r="F505" t="inlineStr">
        <is>
          <t>A41.9</t>
        </is>
      </c>
      <c r="G505" t="inlineStr">
        <is>
          <t>Sepsis, unspecified organism</t>
        </is>
      </c>
      <c r="H505" s="30" t="n">
        <v>5</v>
      </c>
      <c r="I505" t="n">
        <v>12</v>
      </c>
      <c r="J505" s="31" t="n">
        <v>153289.75</v>
      </c>
      <c r="K505" s="32" t="n"/>
    </row>
    <row r="506">
      <c r="A506" t="inlineStr">
        <is>
          <t>ENC121534</t>
        </is>
      </c>
      <c r="B506" t="inlineStr">
        <is>
          <t>Medical-Surgical 4 West</t>
        </is>
      </c>
      <c r="C506" s="29" t="n">
        <v>46013</v>
      </c>
      <c r="D506" s="29" t="n">
        <v>46014</v>
      </c>
      <c r="E506" t="n">
        <v>43</v>
      </c>
      <c r="F506" t="inlineStr">
        <is>
          <t>K80.20</t>
        </is>
      </c>
      <c r="G506" t="inlineStr">
        <is>
          <t>Calculus of gallbladder without cholecystitis without obstruction</t>
        </is>
      </c>
      <c r="H506" s="30" t="n">
        <v>1.9</v>
      </c>
      <c r="I506" t="n">
        <v>1</v>
      </c>
      <c r="J506" s="31" t="n">
        <v>33420.44</v>
      </c>
      <c r="K506" s="32" t="n"/>
    </row>
    <row r="507">
      <c r="A507" t="inlineStr">
        <is>
          <t>ENC121487</t>
        </is>
      </c>
      <c r="B507" t="inlineStr">
        <is>
          <t>Neuroscience &amp; Stroke</t>
        </is>
      </c>
      <c r="C507" s="29" t="n">
        <v>46012</v>
      </c>
      <c r="D507" s="29" t="n">
        <v>46014</v>
      </c>
      <c r="E507" t="n">
        <v>47</v>
      </c>
      <c r="F507" t="inlineStr">
        <is>
          <t>I63.9</t>
        </is>
      </c>
      <c r="G507" t="inlineStr">
        <is>
          <t>Cerebral infarction, unspecified</t>
        </is>
      </c>
      <c r="H507" s="30" t="n">
        <v>4.2</v>
      </c>
      <c r="I507" t="n">
        <v>2</v>
      </c>
      <c r="J507" s="31" t="n">
        <v>17770.96</v>
      </c>
      <c r="K507" s="32" t="n"/>
    </row>
    <row r="508">
      <c r="A508" t="inlineStr">
        <is>
          <t>ENC121238</t>
        </is>
      </c>
      <c r="B508" t="inlineStr">
        <is>
          <t>Intensive Care Unit</t>
        </is>
      </c>
      <c r="C508" s="29" t="n">
        <v>46005</v>
      </c>
      <c r="D508" s="29" t="n">
        <v>46014</v>
      </c>
      <c r="E508" t="n">
        <v>79</v>
      </c>
      <c r="F508" t="inlineStr">
        <is>
          <t>A41.9</t>
        </is>
      </c>
      <c r="G508" t="inlineStr">
        <is>
          <t>Sepsis, unspecified organism</t>
        </is>
      </c>
      <c r="H508" s="30" t="n">
        <v>5</v>
      </c>
      <c r="I508" t="n">
        <v>9</v>
      </c>
      <c r="J508" s="31" t="n">
        <v>56817.16</v>
      </c>
      <c r="K508" s="32" t="n"/>
    </row>
    <row r="509">
      <c r="A509" t="inlineStr">
        <is>
          <t>ENC121523</t>
        </is>
      </c>
      <c r="B509" t="inlineStr">
        <is>
          <t>Labor &amp; Delivery</t>
        </is>
      </c>
      <c r="C509" s="29" t="n">
        <v>46013</v>
      </c>
      <c r="D509" s="29" t="n">
        <v>46014</v>
      </c>
      <c r="E509" t="n">
        <v>45</v>
      </c>
      <c r="F509" t="inlineStr">
        <is>
          <t>O82</t>
        </is>
      </c>
      <c r="G509" t="inlineStr">
        <is>
          <t>Encounter for cesarean delivery without indication</t>
        </is>
      </c>
      <c r="H509" s="30" t="n">
        <v>2.9</v>
      </c>
      <c r="I509" t="n">
        <v>1</v>
      </c>
      <c r="J509" s="31" t="n">
        <v>21601.18</v>
      </c>
      <c r="K509" s="32" t="n"/>
    </row>
    <row r="510">
      <c r="A510" t="inlineStr">
        <is>
          <t>ENC121471</t>
        </is>
      </c>
      <c r="B510" t="inlineStr">
        <is>
          <t>Neuroscience &amp; Stroke</t>
        </is>
      </c>
      <c r="C510" s="29" t="n">
        <v>46011</v>
      </c>
      <c r="D510" s="29" t="n">
        <v>46014</v>
      </c>
      <c r="E510" t="n">
        <v>69</v>
      </c>
      <c r="F510" t="inlineStr">
        <is>
          <t>I63.9</t>
        </is>
      </c>
      <c r="G510" t="inlineStr">
        <is>
          <t>Cerebral infarction, unspecified</t>
        </is>
      </c>
      <c r="H510" s="30" t="n">
        <v>4.2</v>
      </c>
      <c r="I510" t="n">
        <v>3</v>
      </c>
      <c r="J510" s="31" t="n">
        <v>13766.55</v>
      </c>
      <c r="K510" s="32" t="n"/>
    </row>
    <row r="511">
      <c r="A511" t="inlineStr">
        <is>
          <t>ENC121501</t>
        </is>
      </c>
      <c r="B511" t="inlineStr">
        <is>
          <t>Medical-Surgical 5 East</t>
        </is>
      </c>
      <c r="C511" s="29" t="n">
        <v>46012</v>
      </c>
      <c r="D511" s="29" t="n">
        <v>46014</v>
      </c>
      <c r="E511" t="n">
        <v>31</v>
      </c>
      <c r="F511" t="inlineStr">
        <is>
          <t>J18.9</t>
        </is>
      </c>
      <c r="G511" t="inlineStr">
        <is>
          <t>Pneumonia, unspecified organism</t>
        </is>
      </c>
      <c r="H511" s="30" t="n">
        <v>3.9</v>
      </c>
      <c r="I511" t="n">
        <v>2</v>
      </c>
      <c r="J511" s="31" t="n">
        <v>8131.82</v>
      </c>
      <c r="K511" s="32" t="n"/>
    </row>
    <row r="512">
      <c r="A512" t="inlineStr">
        <is>
          <t>ENC121421</t>
        </is>
      </c>
      <c r="B512" t="inlineStr">
        <is>
          <t>Oncology</t>
        </is>
      </c>
      <c r="C512" s="29" t="n">
        <v>46009</v>
      </c>
      <c r="D512" s="29" t="n">
        <v>46014</v>
      </c>
      <c r="E512" t="n">
        <v>56</v>
      </c>
      <c r="F512" t="inlineStr">
        <is>
          <t>C34.90</t>
        </is>
      </c>
      <c r="G512" t="inlineStr">
        <is>
          <t>Malignant neoplasm of unspecified part of unspecified bronchus or lung</t>
        </is>
      </c>
      <c r="H512" s="30" t="n">
        <v>5</v>
      </c>
      <c r="I512" t="n">
        <v>5</v>
      </c>
      <c r="J512" s="31" t="n">
        <v>20163.78</v>
      </c>
      <c r="K512" s="32" t="n"/>
    </row>
    <row r="513">
      <c r="A513" t="inlineStr">
        <is>
          <t>ENC121562</t>
        </is>
      </c>
      <c r="B513" t="inlineStr">
        <is>
          <t>Labor &amp; Delivery</t>
        </is>
      </c>
      <c r="C513" s="29" t="n">
        <v>46014</v>
      </c>
      <c r="D513" s="29" t="n">
        <v>46014</v>
      </c>
      <c r="E513" t="n">
        <v>21</v>
      </c>
      <c r="F513" t="inlineStr">
        <is>
          <t>O80</t>
        </is>
      </c>
      <c r="G513" t="inlineStr">
        <is>
          <t>Encounter for full-term uncomplicated delivery</t>
        </is>
      </c>
      <c r="H513" s="30" t="n">
        <v>2</v>
      </c>
      <c r="I513" t="n">
        <v>0</v>
      </c>
      <c r="J513" s="31" t="n">
        <v>9621.4</v>
      </c>
      <c r="K513" s="32" t="n"/>
    </row>
    <row r="514">
      <c r="A514" t="inlineStr">
        <is>
          <t>ENC121410</t>
        </is>
      </c>
      <c r="B514" t="inlineStr">
        <is>
          <t>Medical-Surgical 5 East</t>
        </is>
      </c>
      <c r="C514" s="29" t="n">
        <v>46009</v>
      </c>
      <c r="D514" s="29" t="n">
        <v>46015</v>
      </c>
      <c r="E514" t="n">
        <v>20</v>
      </c>
      <c r="F514" t="inlineStr">
        <is>
          <t>U07.1</t>
        </is>
      </c>
      <c r="G514" t="inlineStr">
        <is>
          <t>COVID-19</t>
        </is>
      </c>
      <c r="H514" s="30" t="n">
        <v>4.4</v>
      </c>
      <c r="I514" t="n">
        <v>6</v>
      </c>
      <c r="J514" s="31" t="n">
        <v>35112.09</v>
      </c>
      <c r="K514" s="32" t="n"/>
    </row>
    <row r="515">
      <c r="A515" t="inlineStr">
        <is>
          <t>ENC121298</t>
        </is>
      </c>
      <c r="B515" t="inlineStr">
        <is>
          <t>Medical-Surgical 4 West</t>
        </is>
      </c>
      <c r="C515" s="29" t="n">
        <v>46007</v>
      </c>
      <c r="D515" s="29" t="n">
        <v>46015</v>
      </c>
      <c r="E515" t="n">
        <v>73</v>
      </c>
      <c r="F515" t="inlineStr">
        <is>
          <t>F10.239</t>
        </is>
      </c>
      <c r="G515" t="inlineStr">
        <is>
          <t>Alcohol dependence with withdrawal, unspecified</t>
        </is>
      </c>
      <c r="H515" s="30" t="n">
        <v>3.6</v>
      </c>
      <c r="I515" t="n">
        <v>8</v>
      </c>
      <c r="J515" s="31" t="n">
        <v>48359.66</v>
      </c>
      <c r="K515" s="32" t="n"/>
    </row>
    <row r="516">
      <c r="A516" t="inlineStr">
        <is>
          <t>ENC121508</t>
        </is>
      </c>
      <c r="B516" t="inlineStr">
        <is>
          <t>Medical-Surgical 4 West</t>
        </is>
      </c>
      <c r="C516" s="29" t="n">
        <v>46013</v>
      </c>
      <c r="D516" s="29" t="n">
        <v>46015</v>
      </c>
      <c r="E516" t="n">
        <v>30</v>
      </c>
      <c r="F516" t="inlineStr">
        <is>
          <t>N39.0</t>
        </is>
      </c>
      <c r="G516" t="inlineStr">
        <is>
          <t>Urinary tract infection, site not specified</t>
        </is>
      </c>
      <c r="H516" s="30" t="n">
        <v>3.1</v>
      </c>
      <c r="I516" t="n">
        <v>2</v>
      </c>
      <c r="J516" s="31" t="n">
        <v>11863.09</v>
      </c>
      <c r="K516" s="32" t="n"/>
    </row>
    <row r="517">
      <c r="A517" t="inlineStr">
        <is>
          <t>ENC121500</t>
        </is>
      </c>
      <c r="B517" t="inlineStr">
        <is>
          <t>Cardiac Step-Down</t>
        </is>
      </c>
      <c r="C517" s="29" t="n">
        <v>46012</v>
      </c>
      <c r="D517" s="29" t="n">
        <v>46015</v>
      </c>
      <c r="E517" t="n">
        <v>55</v>
      </c>
      <c r="F517" t="inlineStr">
        <is>
          <t>I50.9</t>
        </is>
      </c>
      <c r="G517" t="inlineStr">
        <is>
          <t>Heart failure, unspecified</t>
        </is>
      </c>
      <c r="H517" s="30" t="n">
        <v>4.1</v>
      </c>
      <c r="I517" t="n">
        <v>3</v>
      </c>
      <c r="J517" s="31" t="n">
        <v>25824.97</v>
      </c>
      <c r="K517" s="32" t="n"/>
    </row>
    <row r="518">
      <c r="A518" t="inlineStr">
        <is>
          <t>ENC121458</t>
        </is>
      </c>
      <c r="B518" t="inlineStr">
        <is>
          <t>Medical-Surgical 5 East</t>
        </is>
      </c>
      <c r="C518" s="29" t="n">
        <v>46010</v>
      </c>
      <c r="D518" s="29" t="n">
        <v>46015</v>
      </c>
      <c r="E518" t="n">
        <v>47</v>
      </c>
      <c r="F518" t="inlineStr">
        <is>
          <t>L03.115</t>
        </is>
      </c>
      <c r="G518" t="inlineStr">
        <is>
          <t>Cellulitis of right lower limb</t>
        </is>
      </c>
      <c r="H518" s="30" t="n">
        <v>3.4</v>
      </c>
      <c r="I518" t="n">
        <v>5</v>
      </c>
      <c r="J518" s="31" t="n">
        <v>25411.41</v>
      </c>
      <c r="K518" s="32" t="n"/>
    </row>
    <row r="519">
      <c r="A519" t="inlineStr">
        <is>
          <t>ENC121556</t>
        </is>
      </c>
      <c r="B519" t="inlineStr">
        <is>
          <t>Labor &amp; Delivery</t>
        </is>
      </c>
      <c r="C519" s="29" t="n">
        <v>46013</v>
      </c>
      <c r="D519" s="29" t="n">
        <v>46015</v>
      </c>
      <c r="E519" t="n">
        <v>43</v>
      </c>
      <c r="F519" t="inlineStr">
        <is>
          <t>O80</t>
        </is>
      </c>
      <c r="G519" t="inlineStr">
        <is>
          <t>Encounter for full-term uncomplicated delivery</t>
        </is>
      </c>
      <c r="H519" s="30" t="n">
        <v>2</v>
      </c>
      <c r="I519" t="n">
        <v>2</v>
      </c>
      <c r="J519" s="31" t="n">
        <v>18703.78</v>
      </c>
      <c r="K519" s="32" t="n"/>
    </row>
    <row r="520">
      <c r="A520" t="inlineStr">
        <is>
          <t>ENC121538</t>
        </is>
      </c>
      <c r="B520" t="inlineStr">
        <is>
          <t>Medical-Surgical 4 West</t>
        </is>
      </c>
      <c r="C520" s="29" t="n">
        <v>46013</v>
      </c>
      <c r="D520" s="29" t="n">
        <v>46016</v>
      </c>
      <c r="E520" t="n">
        <v>70</v>
      </c>
      <c r="F520" t="inlineStr">
        <is>
          <t>J44.1</t>
        </is>
      </c>
      <c r="G520" t="inlineStr">
        <is>
          <t>Chronic obstructive pulmonary disease with (acute) exacerbation</t>
        </is>
      </c>
      <c r="H520" s="30" t="n">
        <v>3.4</v>
      </c>
      <c r="I520" t="n">
        <v>3</v>
      </c>
      <c r="J520" s="31" t="n">
        <v>12027.07</v>
      </c>
      <c r="K520" s="32" t="n"/>
    </row>
    <row r="521">
      <c r="A521" t="inlineStr">
        <is>
          <t>ENC121585</t>
        </is>
      </c>
      <c r="B521" t="inlineStr">
        <is>
          <t>Medical-Surgical 5 East</t>
        </is>
      </c>
      <c r="C521" s="29" t="n">
        <v>46014</v>
      </c>
      <c r="D521" s="29" t="n">
        <v>46016</v>
      </c>
      <c r="E521" t="n">
        <v>68</v>
      </c>
      <c r="F521" t="inlineStr">
        <is>
          <t>A08.4</t>
        </is>
      </c>
      <c r="G521" t="inlineStr">
        <is>
          <t>Viral intestinal infection, unspecified</t>
        </is>
      </c>
      <c r="H521" s="30" t="n">
        <v>2.1</v>
      </c>
      <c r="I521" t="n">
        <v>2</v>
      </c>
      <c r="J521" s="31" t="n">
        <v>7700.64</v>
      </c>
      <c r="K521" s="32" t="n"/>
    </row>
    <row r="522">
      <c r="A522" t="inlineStr">
        <is>
          <t>ENC121519</t>
        </is>
      </c>
      <c r="B522" t="inlineStr">
        <is>
          <t>Medical-Surgical 5 East</t>
        </is>
      </c>
      <c r="C522" s="29" t="n">
        <v>46013</v>
      </c>
      <c r="D522" s="29" t="n">
        <v>46016</v>
      </c>
      <c r="E522" t="n">
        <v>96</v>
      </c>
      <c r="F522" t="inlineStr">
        <is>
          <t>E86.0</t>
        </is>
      </c>
      <c r="G522" t="inlineStr">
        <is>
          <t>Dehydration</t>
        </is>
      </c>
      <c r="H522" s="30" t="n">
        <v>2.4</v>
      </c>
      <c r="I522" t="n">
        <v>3</v>
      </c>
      <c r="J522" s="31" t="n">
        <v>11846.11</v>
      </c>
      <c r="K522" s="32" t="n"/>
    </row>
    <row r="523">
      <c r="A523" t="inlineStr">
        <is>
          <t>ENC121535</t>
        </is>
      </c>
      <c r="B523" t="inlineStr">
        <is>
          <t>Medical-Surgical 5 East</t>
        </is>
      </c>
      <c r="C523" s="29" t="n">
        <v>46013</v>
      </c>
      <c r="D523" s="29" t="n">
        <v>46016</v>
      </c>
      <c r="E523" t="n">
        <v>77</v>
      </c>
      <c r="F523" t="inlineStr">
        <is>
          <t>J18.9</t>
        </is>
      </c>
      <c r="G523" t="inlineStr">
        <is>
          <t>Pneumonia, unspecified organism</t>
        </is>
      </c>
      <c r="H523" s="30" t="n">
        <v>3.9</v>
      </c>
      <c r="I523" t="n">
        <v>3</v>
      </c>
      <c r="J523" s="31" t="n">
        <v>16151.08</v>
      </c>
      <c r="K523" s="32" t="n"/>
    </row>
    <row r="524">
      <c r="A524" t="inlineStr">
        <is>
          <t>ENC121598</t>
        </is>
      </c>
      <c r="B524" t="inlineStr">
        <is>
          <t>Neuroscience &amp; Stroke</t>
        </is>
      </c>
      <c r="C524" s="29" t="n">
        <v>46014</v>
      </c>
      <c r="D524" s="29" t="n">
        <v>46016</v>
      </c>
      <c r="E524" t="n">
        <v>64</v>
      </c>
      <c r="F524" t="inlineStr">
        <is>
          <t>I63.9</t>
        </is>
      </c>
      <c r="G524" t="inlineStr">
        <is>
          <t>Cerebral infarction, unspecified</t>
        </is>
      </c>
      <c r="H524" s="30" t="n">
        <v>4.2</v>
      </c>
      <c r="I524" t="n">
        <v>2</v>
      </c>
      <c r="J524" s="31" t="n">
        <v>12852.23</v>
      </c>
      <c r="K524" s="32" t="n"/>
    </row>
    <row r="525">
      <c r="A525" t="inlineStr">
        <is>
          <t>ENC121503</t>
        </is>
      </c>
      <c r="B525" t="inlineStr">
        <is>
          <t>Medical-Surgical 5 East</t>
        </is>
      </c>
      <c r="C525" s="29" t="n">
        <v>46012</v>
      </c>
      <c r="D525" s="29" t="n">
        <v>46016</v>
      </c>
      <c r="E525" t="n">
        <v>24</v>
      </c>
      <c r="F525" t="inlineStr">
        <is>
          <t>R55</t>
        </is>
      </c>
      <c r="G525" t="inlineStr">
        <is>
          <t>Syncope and collapse</t>
        </is>
      </c>
      <c r="H525" s="30" t="n">
        <v>2</v>
      </c>
      <c r="I525" t="n">
        <v>4</v>
      </c>
      <c r="J525" s="31" t="n">
        <v>15748.2</v>
      </c>
      <c r="K525" s="32" t="n"/>
    </row>
    <row r="526">
      <c r="A526" t="inlineStr">
        <is>
          <t>ENC121388</t>
        </is>
      </c>
      <c r="B526" t="inlineStr">
        <is>
          <t>Cardiac Step-Down</t>
        </is>
      </c>
      <c r="C526" s="29" t="n">
        <v>46009</v>
      </c>
      <c r="D526" s="29" t="n">
        <v>46016</v>
      </c>
      <c r="E526" t="n">
        <v>77</v>
      </c>
      <c r="F526" t="inlineStr">
        <is>
          <t>I21.4</t>
        </is>
      </c>
      <c r="G526" t="inlineStr">
        <is>
          <t>Non-ST elevation (NSTEMI) myocardial infarction</t>
        </is>
      </c>
      <c r="H526" s="30" t="n">
        <v>3.4</v>
      </c>
      <c r="I526" t="n">
        <v>7</v>
      </c>
      <c r="J526" s="31" t="n">
        <v>80588.56</v>
      </c>
      <c r="K526" s="32" t="n"/>
    </row>
    <row r="527">
      <c r="A527" t="inlineStr">
        <is>
          <t>ENC121504</t>
        </is>
      </c>
      <c r="B527" t="inlineStr">
        <is>
          <t>Neuroscience &amp; Stroke</t>
        </is>
      </c>
      <c r="C527" s="29" t="n">
        <v>46012</v>
      </c>
      <c r="D527" s="29" t="n">
        <v>46016</v>
      </c>
      <c r="E527" t="n">
        <v>54</v>
      </c>
      <c r="F527" t="inlineStr">
        <is>
          <t>G40.909</t>
        </is>
      </c>
      <c r="G527" t="inlineStr">
        <is>
          <t>Epilepsy, unspecified, not intractable, without status epilepticus</t>
        </is>
      </c>
      <c r="H527" s="30" t="n">
        <v>2.5</v>
      </c>
      <c r="I527" t="n">
        <v>4</v>
      </c>
      <c r="J527" s="31" t="n">
        <v>27435.86</v>
      </c>
      <c r="K527" s="32" t="n"/>
    </row>
    <row r="528">
      <c r="A528" t="inlineStr">
        <is>
          <t>ENC121561</t>
        </is>
      </c>
      <c r="B528" t="inlineStr">
        <is>
          <t>Orthopedics &amp; Spine</t>
        </is>
      </c>
      <c r="C528" s="29" t="n">
        <v>46014</v>
      </c>
      <c r="D528" s="29" t="n">
        <v>46017</v>
      </c>
      <c r="E528" t="n">
        <v>80</v>
      </c>
      <c r="F528" t="inlineStr">
        <is>
          <t>M16.11</t>
        </is>
      </c>
      <c r="G528" t="inlineStr">
        <is>
          <t>Unilateral primary osteoarthritis, right hip</t>
        </is>
      </c>
      <c r="H528" s="30" t="n">
        <v>2.1</v>
      </c>
      <c r="I528" t="n">
        <v>3</v>
      </c>
      <c r="J528" s="31" t="n">
        <v>50048.39</v>
      </c>
      <c r="K528" s="32" t="n"/>
    </row>
    <row r="529">
      <c r="A529" t="inlineStr">
        <is>
          <t>ENC121478</t>
        </is>
      </c>
      <c r="B529" t="inlineStr">
        <is>
          <t>Medical-Surgical 4 West</t>
        </is>
      </c>
      <c r="C529" s="29" t="n">
        <v>46011</v>
      </c>
      <c r="D529" s="29" t="n">
        <v>46017</v>
      </c>
      <c r="E529" t="n">
        <v>89</v>
      </c>
      <c r="F529" t="inlineStr">
        <is>
          <t>J18.9</t>
        </is>
      </c>
      <c r="G529" t="inlineStr">
        <is>
          <t>Pneumonia, unspecified organism</t>
        </is>
      </c>
      <c r="H529" s="30" t="n">
        <v>3.9</v>
      </c>
      <c r="I529" t="n">
        <v>6</v>
      </c>
      <c r="J529" s="31" t="n">
        <v>22126.21</v>
      </c>
      <c r="K529" s="32" t="n"/>
    </row>
    <row r="530">
      <c r="A530" t="inlineStr">
        <is>
          <t>ENC121630</t>
        </is>
      </c>
      <c r="B530" t="inlineStr">
        <is>
          <t>Medical-Surgical 5 East</t>
        </is>
      </c>
      <c r="C530" s="29" t="n">
        <v>46015</v>
      </c>
      <c r="D530" s="29" t="n">
        <v>46017</v>
      </c>
      <c r="E530" t="n">
        <v>59</v>
      </c>
      <c r="F530" t="inlineStr">
        <is>
          <t>J18.9</t>
        </is>
      </c>
      <c r="G530" t="inlineStr">
        <is>
          <t>Pneumonia, unspecified organism</t>
        </is>
      </c>
      <c r="H530" s="30" t="n">
        <v>3.9</v>
      </c>
      <c r="I530" t="n">
        <v>2</v>
      </c>
      <c r="J530" s="31" t="n">
        <v>10187.49</v>
      </c>
      <c r="K530" s="32" t="n"/>
    </row>
    <row r="531">
      <c r="A531" t="inlineStr">
        <is>
          <t>ENC121494</t>
        </is>
      </c>
      <c r="B531" t="inlineStr">
        <is>
          <t>Orthopedics &amp; Spine</t>
        </is>
      </c>
      <c r="C531" s="29" t="n">
        <v>46012</v>
      </c>
      <c r="D531" s="29" t="n">
        <v>46017</v>
      </c>
      <c r="E531" t="n">
        <v>71</v>
      </c>
      <c r="F531" t="inlineStr">
        <is>
          <t>S72.001A</t>
        </is>
      </c>
      <c r="G531" t="inlineStr">
        <is>
          <t>Fracture of unspecified part of neck of right femur, initial encounter</t>
        </is>
      </c>
      <c r="H531" s="30" t="n">
        <v>4.6</v>
      </c>
      <c r="I531" t="n">
        <v>5</v>
      </c>
      <c r="J531" s="31" t="n">
        <v>62808.24</v>
      </c>
      <c r="K531" s="32" t="n"/>
    </row>
    <row r="532">
      <c r="A532" t="inlineStr">
        <is>
          <t>ENC121632</t>
        </is>
      </c>
      <c r="B532" t="inlineStr">
        <is>
          <t>Cardiac Step-Down</t>
        </is>
      </c>
      <c r="C532" s="29" t="n">
        <v>46015</v>
      </c>
      <c r="D532" s="29" t="n">
        <v>46017</v>
      </c>
      <c r="E532" t="n">
        <v>68</v>
      </c>
      <c r="F532" t="inlineStr">
        <is>
          <t>I48.91</t>
        </is>
      </c>
      <c r="G532" t="inlineStr">
        <is>
          <t>Unspecified atrial fibrillation</t>
        </is>
      </c>
      <c r="H532" s="30" t="n">
        <v>2.9</v>
      </c>
      <c r="I532" t="n">
        <v>2</v>
      </c>
      <c r="J532" s="31" t="n">
        <v>11553.51</v>
      </c>
      <c r="K532" s="32" t="n"/>
    </row>
    <row r="533">
      <c r="A533" t="inlineStr">
        <is>
          <t>ENC121479</t>
        </is>
      </c>
      <c r="B533" t="inlineStr">
        <is>
          <t>Medical-Surgical 4 West</t>
        </is>
      </c>
      <c r="C533" s="29" t="n">
        <v>46011</v>
      </c>
      <c r="D533" s="29" t="n">
        <v>46017</v>
      </c>
      <c r="E533" t="n">
        <v>41</v>
      </c>
      <c r="F533" t="inlineStr">
        <is>
          <t>N17.9</t>
        </is>
      </c>
      <c r="G533" t="inlineStr">
        <is>
          <t>Acute kidney failure, unspecified</t>
        </is>
      </c>
      <c r="H533" s="30" t="n">
        <v>3.9</v>
      </c>
      <c r="I533" t="n">
        <v>6</v>
      </c>
      <c r="J533" s="31" t="n">
        <v>17822.26</v>
      </c>
      <c r="K533" s="32" t="n"/>
    </row>
    <row r="534">
      <c r="A534" t="inlineStr">
        <is>
          <t>ENC121610</t>
        </is>
      </c>
      <c r="B534" t="inlineStr">
        <is>
          <t>Pediatrics</t>
        </is>
      </c>
      <c r="C534" s="29" t="n">
        <v>46014</v>
      </c>
      <c r="D534" s="29" t="n">
        <v>46017</v>
      </c>
      <c r="E534" t="n">
        <v>1</v>
      </c>
      <c r="F534" t="inlineStr">
        <is>
          <t>J21.9</t>
        </is>
      </c>
      <c r="G534" t="inlineStr">
        <is>
          <t>Acute bronchiolitis, unspecified</t>
        </is>
      </c>
      <c r="H534" s="30" t="n">
        <v>2.4</v>
      </c>
      <c r="I534" t="n">
        <v>3</v>
      </c>
      <c r="J534" s="31" t="n">
        <v>15565.78</v>
      </c>
      <c r="K534" s="32" t="n"/>
    </row>
    <row r="535">
      <c r="A535" t="inlineStr">
        <is>
          <t>ENC121629</t>
        </is>
      </c>
      <c r="B535" t="inlineStr">
        <is>
          <t>Cardiac Step-Down</t>
        </is>
      </c>
      <c r="C535" s="29" t="n">
        <v>46015</v>
      </c>
      <c r="D535" s="29" t="n">
        <v>46017</v>
      </c>
      <c r="E535" t="n">
        <v>55</v>
      </c>
      <c r="F535" t="inlineStr">
        <is>
          <t>I21.4</t>
        </is>
      </c>
      <c r="G535" t="inlineStr">
        <is>
          <t>Non-ST elevation (NSTEMI) myocardial infarction</t>
        </is>
      </c>
      <c r="H535" s="30" t="n">
        <v>3.4</v>
      </c>
      <c r="I535" t="n">
        <v>2</v>
      </c>
      <c r="J535" s="31" t="n">
        <v>57908.92</v>
      </c>
      <c r="K535" s="32" t="n"/>
    </row>
    <row r="536">
      <c r="A536" t="inlineStr">
        <is>
          <t>ENC121609</t>
        </is>
      </c>
      <c r="B536" t="inlineStr">
        <is>
          <t>Neuroscience &amp; Stroke</t>
        </is>
      </c>
      <c r="C536" s="29" t="n">
        <v>46014</v>
      </c>
      <c r="D536" s="29" t="n">
        <v>46018</v>
      </c>
      <c r="E536" t="n">
        <v>57</v>
      </c>
      <c r="F536" t="inlineStr">
        <is>
          <t>I63.9</t>
        </is>
      </c>
      <c r="G536" t="inlineStr">
        <is>
          <t>Cerebral infarction, unspecified</t>
        </is>
      </c>
      <c r="H536" s="30" t="n">
        <v>4.2</v>
      </c>
      <c r="I536" t="n">
        <v>4</v>
      </c>
      <c r="J536" s="31" t="n">
        <v>18223.37</v>
      </c>
      <c r="K536" s="32" t="n"/>
    </row>
    <row r="537">
      <c r="A537" t="inlineStr">
        <is>
          <t>ENC121580</t>
        </is>
      </c>
      <c r="B537" t="inlineStr">
        <is>
          <t>Cardiac Step-Down</t>
        </is>
      </c>
      <c r="C537" s="29" t="n">
        <v>46014</v>
      </c>
      <c r="D537" s="29" t="n">
        <v>46018</v>
      </c>
      <c r="E537" t="n">
        <v>68</v>
      </c>
      <c r="F537" t="inlineStr">
        <is>
          <t>I50.9</t>
        </is>
      </c>
      <c r="G537" t="inlineStr">
        <is>
          <t>Heart failure, unspecified</t>
        </is>
      </c>
      <c r="H537" s="30" t="n">
        <v>4.1</v>
      </c>
      <c r="I537" t="n">
        <v>4</v>
      </c>
      <c r="J537" s="31" t="n">
        <v>28397</v>
      </c>
      <c r="K537" s="32" t="n"/>
    </row>
    <row r="538">
      <c r="A538" t="inlineStr">
        <is>
          <t>ENC121613</t>
        </is>
      </c>
      <c r="B538" t="inlineStr">
        <is>
          <t>Medical-Surgical 5 East</t>
        </is>
      </c>
      <c r="C538" s="29" t="n">
        <v>46015</v>
      </c>
      <c r="D538" s="29" t="n">
        <v>46018</v>
      </c>
      <c r="E538" t="n">
        <v>86</v>
      </c>
      <c r="F538" t="inlineStr">
        <is>
          <t>K80.20</t>
        </is>
      </c>
      <c r="G538" t="inlineStr">
        <is>
          <t>Calculus of gallbladder without cholecystitis without obstruction</t>
        </is>
      </c>
      <c r="H538" s="30" t="n">
        <v>1.9</v>
      </c>
      <c r="I538" t="n">
        <v>3</v>
      </c>
      <c r="J538" s="31" t="n">
        <v>25757.73</v>
      </c>
      <c r="K538" s="32" t="n"/>
    </row>
    <row r="539">
      <c r="A539" t="inlineStr">
        <is>
          <t>ENC121582</t>
        </is>
      </c>
      <c r="B539" t="inlineStr">
        <is>
          <t>Medical-Surgical 5 East</t>
        </is>
      </c>
      <c r="C539" s="29" t="n">
        <v>46014</v>
      </c>
      <c r="D539" s="29" t="n">
        <v>46018</v>
      </c>
      <c r="E539" t="n">
        <v>67</v>
      </c>
      <c r="F539" t="inlineStr">
        <is>
          <t>A41.9</t>
        </is>
      </c>
      <c r="G539" t="inlineStr">
        <is>
          <t>Sepsis, unspecified organism</t>
        </is>
      </c>
      <c r="H539" s="30" t="n">
        <v>5</v>
      </c>
      <c r="I539" t="n">
        <v>4</v>
      </c>
      <c r="J539" s="31" t="n">
        <v>52281.05</v>
      </c>
      <c r="K539" s="32" t="n"/>
    </row>
    <row r="540">
      <c r="A540" t="inlineStr">
        <is>
          <t>ENC121611</t>
        </is>
      </c>
      <c r="B540" t="inlineStr">
        <is>
          <t>Medical-Surgical 5 East</t>
        </is>
      </c>
      <c r="C540" s="29" t="n">
        <v>46015</v>
      </c>
      <c r="D540" s="29" t="n">
        <v>46018</v>
      </c>
      <c r="E540" t="n">
        <v>48</v>
      </c>
      <c r="F540" t="inlineStr">
        <is>
          <t>J44.1</t>
        </is>
      </c>
      <c r="G540" t="inlineStr">
        <is>
          <t>Chronic obstructive pulmonary disease with (acute) exacerbation</t>
        </is>
      </c>
      <c r="H540" s="30" t="n">
        <v>3.4</v>
      </c>
      <c r="I540" t="n">
        <v>3</v>
      </c>
      <c r="J540" s="31" t="n">
        <v>20087.84</v>
      </c>
      <c r="K540" s="32" t="n"/>
    </row>
    <row r="541">
      <c r="A541" t="inlineStr">
        <is>
          <t>ENC121605</t>
        </is>
      </c>
      <c r="B541" t="inlineStr">
        <is>
          <t>Behavioral Health</t>
        </is>
      </c>
      <c r="C541" s="29" t="n">
        <v>46014</v>
      </c>
      <c r="D541" s="29" t="n">
        <v>46018</v>
      </c>
      <c r="E541" t="n">
        <v>62</v>
      </c>
      <c r="F541" t="inlineStr">
        <is>
          <t>F20.9</t>
        </is>
      </c>
      <c r="G541" t="inlineStr">
        <is>
          <t>Schizophrenia, unspecified</t>
        </is>
      </c>
      <c r="H541" s="30" t="n">
        <v>8.9</v>
      </c>
      <c r="I541" t="n">
        <v>4</v>
      </c>
      <c r="J541" s="31" t="n">
        <v>12600.12</v>
      </c>
      <c r="K541" s="32" t="n"/>
    </row>
    <row r="542">
      <c r="A542" t="inlineStr">
        <is>
          <t>ENC121525</t>
        </is>
      </c>
      <c r="B542" t="inlineStr">
        <is>
          <t>Medical-Surgical 4 West</t>
        </is>
      </c>
      <c r="C542" s="29" t="n">
        <v>46013</v>
      </c>
      <c r="D542" s="29" t="n">
        <v>46018</v>
      </c>
      <c r="E542" t="n">
        <v>69</v>
      </c>
      <c r="F542" t="inlineStr">
        <is>
          <t>K56.609</t>
        </is>
      </c>
      <c r="G542" t="inlineStr">
        <is>
          <t>Unspecified intestinal obstruction</t>
        </is>
      </c>
      <c r="H542" s="30" t="n">
        <v>4.6</v>
      </c>
      <c r="I542" t="n">
        <v>5</v>
      </c>
      <c r="J542" s="31" t="n">
        <v>27829.25</v>
      </c>
      <c r="K542" s="32" t="n"/>
    </row>
    <row r="543">
      <c r="A543" t="inlineStr">
        <is>
          <t>ENC121648</t>
        </is>
      </c>
      <c r="B543" t="inlineStr">
        <is>
          <t>Medical-Surgical 4 West</t>
        </is>
      </c>
      <c r="C543" s="29" t="n">
        <v>46016</v>
      </c>
      <c r="D543" s="29" t="n">
        <v>46019</v>
      </c>
      <c r="E543" t="n">
        <v>30</v>
      </c>
      <c r="F543" t="inlineStr">
        <is>
          <t>K80.20</t>
        </is>
      </c>
      <c r="G543" t="inlineStr">
        <is>
          <t>Calculus of gallbladder without cholecystitis without obstruction</t>
        </is>
      </c>
      <c r="H543" s="30" t="n">
        <v>1.9</v>
      </c>
      <c r="I543" t="n">
        <v>3</v>
      </c>
      <c r="J543" s="31" t="n">
        <v>29387.75</v>
      </c>
      <c r="K543" s="32" t="n"/>
    </row>
    <row r="544">
      <c r="A544" t="inlineStr">
        <is>
          <t>ENC121620</t>
        </is>
      </c>
      <c r="B544" t="inlineStr">
        <is>
          <t>Oncology</t>
        </is>
      </c>
      <c r="C544" s="29" t="n">
        <v>46015</v>
      </c>
      <c r="D544" s="29" t="n">
        <v>46019</v>
      </c>
      <c r="E544" t="n">
        <v>49</v>
      </c>
      <c r="F544" t="inlineStr">
        <is>
          <t>C34.90</t>
        </is>
      </c>
      <c r="G544" t="inlineStr">
        <is>
          <t>Malignant neoplasm of unspecified part of unspecified bronchus or lung</t>
        </is>
      </c>
      <c r="H544" s="30" t="n">
        <v>5</v>
      </c>
      <c r="I544" t="n">
        <v>4</v>
      </c>
      <c r="J544" s="31" t="n">
        <v>26155.54</v>
      </c>
      <c r="K544" s="32" t="n"/>
    </row>
    <row r="545">
      <c r="A545" t="inlineStr">
        <is>
          <t>ENC121687</t>
        </is>
      </c>
      <c r="B545" t="inlineStr">
        <is>
          <t>Medical-Surgical 5 East</t>
        </is>
      </c>
      <c r="C545" s="29" t="n">
        <v>46016</v>
      </c>
      <c r="D545" s="29" t="n">
        <v>46019</v>
      </c>
      <c r="E545" t="n">
        <v>72</v>
      </c>
      <c r="F545" t="inlineStr">
        <is>
          <t>J18.9</t>
        </is>
      </c>
      <c r="G545" t="inlineStr">
        <is>
          <t>Pneumonia, unspecified organism</t>
        </is>
      </c>
      <c r="H545" s="30" t="n">
        <v>3.9</v>
      </c>
      <c r="I545" t="n">
        <v>3</v>
      </c>
      <c r="J545" s="31" t="n">
        <v>27177.87</v>
      </c>
      <c r="K545" s="32" t="n"/>
    </row>
    <row r="546">
      <c r="A546" t="inlineStr">
        <is>
          <t>ENC121689</t>
        </is>
      </c>
      <c r="B546" t="inlineStr">
        <is>
          <t>Pediatrics</t>
        </is>
      </c>
      <c r="C546" s="29" t="n">
        <v>46016</v>
      </c>
      <c r="D546" s="29" t="n">
        <v>46019</v>
      </c>
      <c r="E546" t="n">
        <v>3</v>
      </c>
      <c r="F546" t="inlineStr">
        <is>
          <t>J21.9</t>
        </is>
      </c>
      <c r="G546" t="inlineStr">
        <is>
          <t>Acute bronchiolitis, unspecified</t>
        </is>
      </c>
      <c r="H546" s="30" t="n">
        <v>2.4</v>
      </c>
      <c r="I546" t="n">
        <v>3</v>
      </c>
      <c r="J546" s="31" t="n">
        <v>20339.28</v>
      </c>
      <c r="K546" s="32" t="n"/>
    </row>
    <row r="547">
      <c r="A547" t="inlineStr">
        <is>
          <t>ENC121727</t>
        </is>
      </c>
      <c r="B547" t="inlineStr">
        <is>
          <t>Pediatrics</t>
        </is>
      </c>
      <c r="C547" s="29" t="n">
        <v>46018</v>
      </c>
      <c r="D547" s="29" t="n">
        <v>46020</v>
      </c>
      <c r="E547" t="n">
        <v>1</v>
      </c>
      <c r="F547" t="inlineStr">
        <is>
          <t>J21.9</t>
        </is>
      </c>
      <c r="G547" t="inlineStr">
        <is>
          <t>Acute bronchiolitis, unspecified</t>
        </is>
      </c>
      <c r="H547" s="30" t="n">
        <v>2.4</v>
      </c>
      <c r="I547" t="n">
        <v>2</v>
      </c>
      <c r="J547" s="31" t="n">
        <v>9009.59</v>
      </c>
      <c r="K547" s="32" t="n"/>
    </row>
    <row r="548">
      <c r="A548" t="inlineStr">
        <is>
          <t>ENC121495</t>
        </is>
      </c>
      <c r="B548" t="inlineStr">
        <is>
          <t>Cardiac Step-Down</t>
        </is>
      </c>
      <c r="C548" s="29" t="n">
        <v>46012</v>
      </c>
      <c r="D548" s="29" t="n">
        <v>46020</v>
      </c>
      <c r="E548" t="n">
        <v>89</v>
      </c>
      <c r="F548" t="inlineStr">
        <is>
          <t>I50.9</t>
        </is>
      </c>
      <c r="G548" t="inlineStr">
        <is>
          <t>Heart failure, unspecified</t>
        </is>
      </c>
      <c r="H548" s="30" t="n">
        <v>4.1</v>
      </c>
      <c r="I548" t="n">
        <v>8</v>
      </c>
      <c r="J548" s="31" t="n">
        <v>51959.13</v>
      </c>
      <c r="K548" s="32" t="n"/>
    </row>
    <row r="549">
      <c r="A549" t="inlineStr">
        <is>
          <t>ENC121737</t>
        </is>
      </c>
      <c r="B549" t="inlineStr">
        <is>
          <t>Medical-Surgical 4 West</t>
        </is>
      </c>
      <c r="C549" s="29" t="n">
        <v>46018</v>
      </c>
      <c r="D549" s="29" t="n">
        <v>46020</v>
      </c>
      <c r="E549" t="n">
        <v>80</v>
      </c>
      <c r="F549" t="inlineStr">
        <is>
          <t>J18.9</t>
        </is>
      </c>
      <c r="G549" t="inlineStr">
        <is>
          <t>Pneumonia, unspecified organism</t>
        </is>
      </c>
      <c r="H549" s="30" t="n">
        <v>3.9</v>
      </c>
      <c r="I549" t="n">
        <v>2</v>
      </c>
      <c r="J549" s="31" t="n">
        <v>12913.44</v>
      </c>
      <c r="K549" s="32" t="n"/>
    </row>
    <row r="550">
      <c r="A550" t="inlineStr">
        <is>
          <t>ENC121662</t>
        </is>
      </c>
      <c r="B550" t="inlineStr">
        <is>
          <t>Neuroscience &amp; Stroke</t>
        </is>
      </c>
      <c r="C550" s="29" t="n">
        <v>46016</v>
      </c>
      <c r="D550" s="29" t="n">
        <v>46020</v>
      </c>
      <c r="E550" t="n">
        <v>82</v>
      </c>
      <c r="F550" t="inlineStr">
        <is>
          <t>I63.9</t>
        </is>
      </c>
      <c r="G550" t="inlineStr">
        <is>
          <t>Cerebral infarction, unspecified</t>
        </is>
      </c>
      <c r="H550" s="30" t="n">
        <v>4.2</v>
      </c>
      <c r="I550" t="n">
        <v>4</v>
      </c>
      <c r="J550" s="31" t="n">
        <v>21138.48</v>
      </c>
      <c r="K550" s="32" t="n"/>
    </row>
    <row r="551">
      <c r="A551" t="inlineStr">
        <is>
          <t>ENC121555</t>
        </is>
      </c>
      <c r="B551" t="inlineStr">
        <is>
          <t>Neuroscience &amp; Stroke</t>
        </is>
      </c>
      <c r="C551" s="29" t="n">
        <v>46013</v>
      </c>
      <c r="D551" s="29" t="n">
        <v>46020</v>
      </c>
      <c r="E551" t="n">
        <v>58</v>
      </c>
      <c r="F551" t="inlineStr">
        <is>
          <t>I63.9</t>
        </is>
      </c>
      <c r="G551" t="inlineStr">
        <is>
          <t>Cerebral infarction, unspecified</t>
        </is>
      </c>
      <c r="H551" s="30" t="n">
        <v>4.2</v>
      </c>
      <c r="I551" t="n">
        <v>7</v>
      </c>
      <c r="J551" s="31" t="n">
        <v>36195.98</v>
      </c>
      <c r="K551" s="32" t="n"/>
    </row>
    <row r="552">
      <c r="A552" t="inlineStr">
        <is>
          <t>ENC121529</t>
        </is>
      </c>
      <c r="B552" t="inlineStr">
        <is>
          <t>Cardiac Step-Down</t>
        </is>
      </c>
      <c r="C552" s="29" t="n">
        <v>46013</v>
      </c>
      <c r="D552" s="29" t="n">
        <v>46020</v>
      </c>
      <c r="E552" t="n">
        <v>76</v>
      </c>
      <c r="F552" t="inlineStr">
        <is>
          <t>I50.9</t>
        </is>
      </c>
      <c r="G552" t="inlineStr">
        <is>
          <t>Heart failure, unspecified</t>
        </is>
      </c>
      <c r="H552" s="30" t="n">
        <v>4.1</v>
      </c>
      <c r="I552" t="n">
        <v>7</v>
      </c>
      <c r="J552" s="31" t="n">
        <v>48365.5</v>
      </c>
      <c r="K552" s="32" t="n"/>
    </row>
    <row r="553">
      <c r="A553" t="inlineStr">
        <is>
          <t>ENC121692</t>
        </is>
      </c>
      <c r="B553" t="inlineStr">
        <is>
          <t>Medical-Surgical 5 East</t>
        </is>
      </c>
      <c r="C553" s="29" t="n">
        <v>46016</v>
      </c>
      <c r="D553" s="29" t="n">
        <v>46020</v>
      </c>
      <c r="E553" t="n">
        <v>80</v>
      </c>
      <c r="F553" t="inlineStr">
        <is>
          <t>N39.0</t>
        </is>
      </c>
      <c r="G553" t="inlineStr">
        <is>
          <t>Urinary tract infection, site not specified</t>
        </is>
      </c>
      <c r="H553" s="30" t="n">
        <v>3.1</v>
      </c>
      <c r="I553" t="n">
        <v>4</v>
      </c>
      <c r="J553" s="31" t="n">
        <v>12341.38</v>
      </c>
      <c r="K553" s="32" t="n"/>
    </row>
    <row r="554">
      <c r="A554" t="inlineStr">
        <is>
          <t>ENC121645</t>
        </is>
      </c>
      <c r="B554" t="inlineStr">
        <is>
          <t>Medical-Surgical 4 West</t>
        </is>
      </c>
      <c r="C554" s="29" t="n">
        <v>46016</v>
      </c>
      <c r="D554" s="29" t="n">
        <v>46021</v>
      </c>
      <c r="E554" t="n">
        <v>77</v>
      </c>
      <c r="F554" t="inlineStr">
        <is>
          <t>N39.0</t>
        </is>
      </c>
      <c r="G554" t="inlineStr">
        <is>
          <t>Urinary tract infection, site not specified</t>
        </is>
      </c>
      <c r="H554" s="30" t="n">
        <v>3.1</v>
      </c>
      <c r="I554" t="n">
        <v>5</v>
      </c>
      <c r="J554" s="31" t="n">
        <v>20418.14</v>
      </c>
      <c r="K554" s="32" t="n"/>
    </row>
    <row r="555">
      <c r="A555" t="inlineStr">
        <is>
          <t>ENC121738</t>
        </is>
      </c>
      <c r="B555" t="inlineStr">
        <is>
          <t>Cardiac Step-Down</t>
        </is>
      </c>
      <c r="C555" s="29" t="n">
        <v>46018</v>
      </c>
      <c r="D555" s="29" t="n">
        <v>46021</v>
      </c>
      <c r="E555" t="n">
        <v>89</v>
      </c>
      <c r="F555" t="inlineStr">
        <is>
          <t>I48.91</t>
        </is>
      </c>
      <c r="G555" t="inlineStr">
        <is>
          <t>Unspecified atrial fibrillation</t>
        </is>
      </c>
      <c r="H555" s="30" t="n">
        <v>2.9</v>
      </c>
      <c r="I555" t="n">
        <v>3</v>
      </c>
      <c r="J555" s="31" t="n">
        <v>24081.61</v>
      </c>
      <c r="K555" s="32" t="n"/>
    </row>
    <row r="556">
      <c r="A556" t="inlineStr">
        <is>
          <t>ENC121647</t>
        </is>
      </c>
      <c r="B556" t="inlineStr">
        <is>
          <t>Medical-Surgical 4 West</t>
        </is>
      </c>
      <c r="C556" s="29" t="n">
        <v>46016</v>
      </c>
      <c r="D556" s="29" t="n">
        <v>46021</v>
      </c>
      <c r="E556" t="n">
        <v>73</v>
      </c>
      <c r="F556" t="inlineStr">
        <is>
          <t>E87.1</t>
        </is>
      </c>
      <c r="G556" t="inlineStr">
        <is>
          <t>Hypo-osmolality and hyponatremia</t>
        </is>
      </c>
      <c r="H556" s="30" t="n">
        <v>3.2</v>
      </c>
      <c r="I556" t="n">
        <v>5</v>
      </c>
      <c r="J556" s="31" t="n">
        <v>33309.4</v>
      </c>
      <c r="K556" s="32" t="n"/>
    </row>
    <row r="557">
      <c r="A557" t="inlineStr">
        <is>
          <t>ENC121724</t>
        </is>
      </c>
      <c r="B557" t="inlineStr">
        <is>
          <t>Labor &amp; Delivery</t>
        </is>
      </c>
      <c r="C557" s="29" t="n">
        <v>46018</v>
      </c>
      <c r="D557" s="29" t="n">
        <v>46021</v>
      </c>
      <c r="E557" t="n">
        <v>17</v>
      </c>
      <c r="F557" t="inlineStr">
        <is>
          <t>O80</t>
        </is>
      </c>
      <c r="G557" t="inlineStr">
        <is>
          <t>Encounter for full-term uncomplicated delivery</t>
        </is>
      </c>
      <c r="H557" s="30" t="n">
        <v>2</v>
      </c>
      <c r="I557" t="n">
        <v>3</v>
      </c>
      <c r="J557" s="31" t="n">
        <v>19446.32</v>
      </c>
      <c r="K557" s="32" t="n"/>
    </row>
    <row r="558">
      <c r="A558" t="inlineStr">
        <is>
          <t>ENC121694</t>
        </is>
      </c>
      <c r="B558" t="inlineStr">
        <is>
          <t>Medical-Surgical 4 West</t>
        </is>
      </c>
      <c r="C558" s="29" t="n">
        <v>46017</v>
      </c>
      <c r="D558" s="29" t="n">
        <v>46021</v>
      </c>
      <c r="E558" t="n">
        <v>85</v>
      </c>
      <c r="F558" t="inlineStr">
        <is>
          <t>A41.9</t>
        </is>
      </c>
      <c r="G558" t="inlineStr">
        <is>
          <t>Sepsis, unspecified organism</t>
        </is>
      </c>
      <c r="H558" s="30" t="n">
        <v>5</v>
      </c>
      <c r="I558" t="n">
        <v>4</v>
      </c>
      <c r="J558" s="31" t="n">
        <v>48245.8</v>
      </c>
      <c r="K558" s="32" t="n"/>
    </row>
    <row r="559">
      <c r="A559" t="inlineStr">
        <is>
          <t>ENC121587</t>
        </is>
      </c>
      <c r="B559" t="inlineStr">
        <is>
          <t>Medical-Surgical 4 West</t>
        </is>
      </c>
      <c r="C559" s="29" t="n">
        <v>46014</v>
      </c>
      <c r="D559" s="29" t="n">
        <v>46021</v>
      </c>
      <c r="E559" t="n">
        <v>71</v>
      </c>
      <c r="F559" t="inlineStr">
        <is>
          <t>J44.1</t>
        </is>
      </c>
      <c r="G559" t="inlineStr">
        <is>
          <t>Chronic obstructive pulmonary disease with (acute) exacerbation</t>
        </is>
      </c>
      <c r="H559" s="30" t="n">
        <v>3.4</v>
      </c>
      <c r="I559" t="n">
        <v>7</v>
      </c>
      <c r="J559" s="31" t="n">
        <v>17978.71</v>
      </c>
      <c r="K559" s="32" t="n"/>
    </row>
    <row r="560">
      <c r="A560" t="inlineStr">
        <is>
          <t>ENC121697</t>
        </is>
      </c>
      <c r="B560" t="inlineStr">
        <is>
          <t>Medical-Surgical 5 East</t>
        </is>
      </c>
      <c r="C560" s="29" t="n">
        <v>46017</v>
      </c>
      <c r="D560" s="29" t="n">
        <v>46021</v>
      </c>
      <c r="E560" t="n">
        <v>59</v>
      </c>
      <c r="F560" t="inlineStr">
        <is>
          <t>J44.1</t>
        </is>
      </c>
      <c r="G560" t="inlineStr">
        <is>
          <t>Chronic obstructive pulmonary disease with (acute) exacerbation</t>
        </is>
      </c>
      <c r="H560" s="30" t="n">
        <v>3.4</v>
      </c>
      <c r="I560" t="n">
        <v>4</v>
      </c>
      <c r="J560" s="31" t="n">
        <v>22737.04</v>
      </c>
      <c r="K560" s="32" t="n"/>
    </row>
    <row r="561">
      <c r="A561" t="inlineStr">
        <is>
          <t>ENC121420</t>
        </is>
      </c>
      <c r="B561" t="inlineStr">
        <is>
          <t>Behavioral Health</t>
        </is>
      </c>
      <c r="C561" s="29" t="n">
        <v>46009</v>
      </c>
      <c r="D561" s="29" t="n">
        <v>46021</v>
      </c>
      <c r="E561" t="n">
        <v>33</v>
      </c>
      <c r="F561" t="inlineStr">
        <is>
          <t>F32.9</t>
        </is>
      </c>
      <c r="G561" t="inlineStr">
        <is>
          <t>Major depressive disorder, single episode, unspecified</t>
        </is>
      </c>
      <c r="H561" s="30" t="n">
        <v>6.8</v>
      </c>
      <c r="I561" t="n">
        <v>12</v>
      </c>
      <c r="J561" s="31" t="n">
        <v>29028.84</v>
      </c>
      <c r="K561" s="32" t="n"/>
    </row>
    <row r="562">
      <c r="A562" t="inlineStr">
        <is>
          <t>ENC121711</t>
        </is>
      </c>
      <c r="B562" t="inlineStr">
        <is>
          <t>Medical-Surgical 4 West</t>
        </is>
      </c>
      <c r="C562" s="29" t="n">
        <v>46017</v>
      </c>
      <c r="D562" s="29" t="n">
        <v>46021</v>
      </c>
      <c r="E562" t="n">
        <v>66</v>
      </c>
      <c r="F562" t="inlineStr">
        <is>
          <t>E86.0</t>
        </is>
      </c>
      <c r="G562" t="inlineStr">
        <is>
          <t>Dehydration</t>
        </is>
      </c>
      <c r="H562" s="30" t="n">
        <v>2.4</v>
      </c>
      <c r="I562" t="n">
        <v>4</v>
      </c>
      <c r="J562" s="31" t="n">
        <v>18872.54</v>
      </c>
      <c r="K562" s="32" t="n"/>
    </row>
    <row r="563">
      <c r="A563" t="inlineStr">
        <is>
          <t>ENC121755</t>
        </is>
      </c>
      <c r="B563" t="inlineStr">
        <is>
          <t>Cardiac Step-Down</t>
        </is>
      </c>
      <c r="C563" s="29" t="n">
        <v>46020</v>
      </c>
      <c r="D563" s="29" t="n">
        <v>46021</v>
      </c>
      <c r="E563" t="n">
        <v>66</v>
      </c>
      <c r="F563" t="inlineStr">
        <is>
          <t>I21.4</t>
        </is>
      </c>
      <c r="G563" t="inlineStr">
        <is>
          <t>Non-ST elevation (NSTEMI) myocardial infarction</t>
        </is>
      </c>
      <c r="H563" s="30" t="n">
        <v>3.4</v>
      </c>
      <c r="I563" t="n">
        <v>1</v>
      </c>
      <c r="J563" s="31" t="n">
        <v>26976.39</v>
      </c>
      <c r="K563" s="32" t="n"/>
    </row>
    <row r="564">
      <c r="A564" t="inlineStr">
        <is>
          <t>ENC121723</t>
        </is>
      </c>
      <c r="B564" t="inlineStr">
        <is>
          <t>Oncology</t>
        </is>
      </c>
      <c r="C564" s="29" t="n">
        <v>46018</v>
      </c>
      <c r="D564" s="29" t="n">
        <v>46021</v>
      </c>
      <c r="E564" t="n">
        <v>40</v>
      </c>
      <c r="F564" t="inlineStr">
        <is>
          <t>C50.911</t>
        </is>
      </c>
      <c r="G564" t="inlineStr">
        <is>
          <t>Malignant neoplasm of unspecified site of right female breast</t>
        </is>
      </c>
      <c r="H564" s="30" t="n">
        <v>3</v>
      </c>
      <c r="I564" t="n">
        <v>3</v>
      </c>
      <c r="J564" s="31" t="n">
        <v>36042.12</v>
      </c>
      <c r="K564" s="32" t="n"/>
    </row>
    <row r="565">
      <c r="A565" t="inlineStr">
        <is>
          <t>ENC121705</t>
        </is>
      </c>
      <c r="B565" t="inlineStr">
        <is>
          <t>Medical-Surgical 4 West</t>
        </is>
      </c>
      <c r="C565" s="29" t="n">
        <v>46017</v>
      </c>
      <c r="D565" s="29" t="n">
        <v>46021</v>
      </c>
      <c r="E565" t="n">
        <v>29</v>
      </c>
      <c r="F565" t="inlineStr">
        <is>
          <t>A41.9</t>
        </is>
      </c>
      <c r="G565" t="inlineStr">
        <is>
          <t>Sepsis, unspecified organism</t>
        </is>
      </c>
      <c r="H565" s="30" t="n">
        <v>5</v>
      </c>
      <c r="I565" t="n">
        <v>4</v>
      </c>
      <c r="J565" s="31" t="n">
        <v>47081.64</v>
      </c>
      <c r="K565" s="32" t="n"/>
    </row>
    <row r="566">
      <c r="A566" t="inlineStr">
        <is>
          <t>ENC121612</t>
        </is>
      </c>
      <c r="B566" t="inlineStr">
        <is>
          <t>Neuroscience &amp; Stroke</t>
        </is>
      </c>
      <c r="C566" s="29" t="n">
        <v>46015</v>
      </c>
      <c r="D566" s="29" t="n">
        <v>46022</v>
      </c>
      <c r="E566" t="n">
        <v>58</v>
      </c>
      <c r="F566" t="inlineStr">
        <is>
          <t>I63.9</t>
        </is>
      </c>
      <c r="G566" t="inlineStr">
        <is>
          <t>Cerebral infarction, unspecified</t>
        </is>
      </c>
      <c r="H566" s="30" t="n">
        <v>4.2</v>
      </c>
      <c r="I566" t="n">
        <v>7</v>
      </c>
      <c r="J566" s="31" t="n">
        <v>22158.23</v>
      </c>
      <c r="K566" s="32" t="n"/>
    </row>
    <row r="567">
      <c r="A567" t="inlineStr">
        <is>
          <t>ENC121765</t>
        </is>
      </c>
      <c r="B567" t="inlineStr">
        <is>
          <t>Cardiac Step-Down</t>
        </is>
      </c>
      <c r="C567" s="29" t="n">
        <v>46020</v>
      </c>
      <c r="D567" s="29" t="n">
        <v>46022</v>
      </c>
      <c r="E567" t="n">
        <v>61</v>
      </c>
      <c r="F567" t="inlineStr">
        <is>
          <t>I48.91</t>
        </is>
      </c>
      <c r="G567" t="inlineStr">
        <is>
          <t>Unspecified atrial fibrillation</t>
        </is>
      </c>
      <c r="H567" s="30" t="n">
        <v>2.9</v>
      </c>
      <c r="I567" t="n">
        <v>2</v>
      </c>
      <c r="J567" s="31" t="n">
        <v>14608.92</v>
      </c>
      <c r="K567" s="32" t="n"/>
    </row>
    <row r="568">
      <c r="A568" t="inlineStr">
        <is>
          <t>ENC121637</t>
        </is>
      </c>
      <c r="B568" t="inlineStr">
        <is>
          <t>Cardiac Step-Down</t>
        </is>
      </c>
      <c r="C568" s="29" t="n">
        <v>46015</v>
      </c>
      <c r="D568" s="29" t="n">
        <v>46022</v>
      </c>
      <c r="E568" t="n">
        <v>98</v>
      </c>
      <c r="F568" t="inlineStr">
        <is>
          <t>I50.9</t>
        </is>
      </c>
      <c r="G568" t="inlineStr">
        <is>
          <t>Heart failure, unspecified</t>
        </is>
      </c>
      <c r="H568" s="30" t="n">
        <v>4.1</v>
      </c>
      <c r="I568" t="n">
        <v>7</v>
      </c>
      <c r="J568" s="31" t="n">
        <v>33910.36</v>
      </c>
      <c r="K568" s="32" t="n"/>
    </row>
    <row r="569">
      <c r="A569" t="inlineStr">
        <is>
          <t>ENC121756</t>
        </is>
      </c>
      <c r="B569" t="inlineStr">
        <is>
          <t>Cardiac Step-Down</t>
        </is>
      </c>
      <c r="C569" s="29" t="n">
        <v>46020</v>
      </c>
      <c r="D569" s="29" t="n">
        <v>46022</v>
      </c>
      <c r="E569" t="n">
        <v>74</v>
      </c>
      <c r="F569" t="inlineStr">
        <is>
          <t>I50.9</t>
        </is>
      </c>
      <c r="G569" t="inlineStr">
        <is>
          <t>Heart failure, unspecified</t>
        </is>
      </c>
      <c r="H569" s="30" t="n">
        <v>4.1</v>
      </c>
      <c r="I569" t="n">
        <v>2</v>
      </c>
      <c r="J569" s="31" t="n">
        <v>15633.19</v>
      </c>
      <c r="K569" s="32" t="n"/>
    </row>
    <row r="570">
      <c r="A570" t="inlineStr">
        <is>
          <t>ENC121719</t>
        </is>
      </c>
      <c r="B570" t="inlineStr">
        <is>
          <t>Oncology</t>
        </is>
      </c>
      <c r="C570" s="29" t="n">
        <v>46017</v>
      </c>
      <c r="D570" s="29" t="n">
        <v>46022</v>
      </c>
      <c r="E570" t="n">
        <v>67</v>
      </c>
      <c r="F570" t="inlineStr">
        <is>
          <t>C34.90</t>
        </is>
      </c>
      <c r="G570" t="inlineStr">
        <is>
          <t>Malignant neoplasm of unspecified part of unspecified bronchus or lung</t>
        </is>
      </c>
      <c r="H570" s="30" t="n">
        <v>5</v>
      </c>
      <c r="I570" t="n">
        <v>5</v>
      </c>
      <c r="J570" s="31" t="n">
        <v>27253.82</v>
      </c>
      <c r="K570" s="32" t="n"/>
    </row>
    <row r="571">
      <c r="A571" t="inlineStr">
        <is>
          <t>ENC121739</t>
        </is>
      </c>
      <c r="B571" t="inlineStr">
        <is>
          <t>Oncology</t>
        </is>
      </c>
      <c r="C571" s="29" t="n">
        <v>46019</v>
      </c>
      <c r="D571" s="29" t="n">
        <v>46022</v>
      </c>
      <c r="E571" t="n">
        <v>38</v>
      </c>
      <c r="F571" t="inlineStr">
        <is>
          <t>D70.1</t>
        </is>
      </c>
      <c r="G571" t="inlineStr">
        <is>
          <t>Agranulocytosis secondary to cancer chemotherapy</t>
        </is>
      </c>
      <c r="H571" s="30" t="n">
        <v>4.5</v>
      </c>
      <c r="I571" t="n">
        <v>3</v>
      </c>
      <c r="J571" s="31" t="n">
        <v>22566.78</v>
      </c>
      <c r="K571" s="32" t="n"/>
    </row>
    <row r="572">
      <c r="A572" t="inlineStr">
        <is>
          <t>ENC121749</t>
        </is>
      </c>
      <c r="B572" t="inlineStr">
        <is>
          <t>Oncology</t>
        </is>
      </c>
      <c r="C572" s="29" t="n">
        <v>46019</v>
      </c>
      <c r="D572" s="29" t="n">
        <v>46022</v>
      </c>
      <c r="E572" t="n">
        <v>74</v>
      </c>
      <c r="F572" t="inlineStr">
        <is>
          <t>C50.911</t>
        </is>
      </c>
      <c r="G572" t="inlineStr">
        <is>
          <t>Malignant neoplasm of unspecified site of right female breast</t>
        </is>
      </c>
      <c r="H572" s="30" t="n">
        <v>3</v>
      </c>
      <c r="I572" t="n">
        <v>3</v>
      </c>
      <c r="J572" s="31" t="n">
        <v>27898.42</v>
      </c>
      <c r="K572" s="32" t="n"/>
    </row>
    <row r="573">
      <c r="A573" t="inlineStr">
        <is>
          <t>ENC121747</t>
        </is>
      </c>
      <c r="B573" t="inlineStr">
        <is>
          <t>Pediatrics</t>
        </is>
      </c>
      <c r="C573" s="29" t="n">
        <v>46019</v>
      </c>
      <c r="D573" s="29" t="n">
        <v>46022</v>
      </c>
      <c r="E573" t="n">
        <v>2</v>
      </c>
      <c r="F573" t="inlineStr">
        <is>
          <t>J21.9</t>
        </is>
      </c>
      <c r="G573" t="inlineStr">
        <is>
          <t>Acute bronchiolitis, unspecified</t>
        </is>
      </c>
      <c r="H573" s="30" t="n">
        <v>2.4</v>
      </c>
      <c r="I573" t="n">
        <v>3</v>
      </c>
      <c r="J573" s="31" t="n">
        <v>26305.35</v>
      </c>
      <c r="K573" s="32" t="n"/>
    </row>
    <row r="574">
      <c r="A574" t="inlineStr">
        <is>
          <t>ENC121789</t>
        </is>
      </c>
      <c r="B574" t="inlineStr">
        <is>
          <t>Cardiac Step-Down</t>
        </is>
      </c>
      <c r="C574" s="29" t="n">
        <v>46020</v>
      </c>
      <c r="D574" s="29" t="n">
        <v>46022</v>
      </c>
      <c r="E574" t="n">
        <v>62</v>
      </c>
      <c r="F574" t="inlineStr">
        <is>
          <t>I48.91</t>
        </is>
      </c>
      <c r="G574" t="inlineStr">
        <is>
          <t>Unspecified atrial fibrillation</t>
        </is>
      </c>
      <c r="H574" s="30" t="n">
        <v>2.9</v>
      </c>
      <c r="I574" t="n">
        <v>2</v>
      </c>
      <c r="J574" s="31" t="n">
        <v>11907.29</v>
      </c>
      <c r="K574" s="32"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786"/>
  <sheetViews>
    <sheetView tabSelected="0" workbookViewId="0">
      <pane ySplit="1" topLeftCell="A2" activePane="bottomLeft" state="frozen"/>
      <selection pane="bottomLeft" activeCell="A1" sqref="A1"/>
    </sheetView>
  </sheetViews>
  <sheetFormatPr baseColWidth="8" defaultRowHeight="15"/>
  <cols>
    <col width="11" customWidth="1" min="1" max="1"/>
    <col width="17" customWidth="1" min="2" max="2"/>
    <col width="13" customWidth="1" min="3" max="3"/>
    <col width="10" customWidth="1" min="4" max="4"/>
    <col width="30" customWidth="1" min="5" max="5"/>
    <col width="15" customWidth="1" min="6" max="6"/>
    <col width="19" customWidth="1" min="7" max="7"/>
    <col width="11" customWidth="1" min="8" max="8"/>
  </cols>
  <sheetData>
    <row r="1">
      <c r="A1" s="27" t="inlineStr">
        <is>
          <t>EDVisitID</t>
        </is>
      </c>
      <c r="B1" s="27" t="inlineStr">
        <is>
          <t>ArrivalDateTime</t>
        </is>
      </c>
      <c r="C1" s="27" t="inlineStr">
        <is>
          <t>ArrivalMode</t>
        </is>
      </c>
      <c r="D1" s="27" t="inlineStr">
        <is>
          <t>ESILevel</t>
        </is>
      </c>
      <c r="E1" s="27" t="inlineStr">
        <is>
          <t>ChiefComplaint</t>
        </is>
      </c>
      <c r="F1" s="27" t="inlineStr">
        <is>
          <t>EDDisposition</t>
        </is>
      </c>
      <c r="G1" s="27" t="inlineStr">
        <is>
          <t>DoorToProviderMin</t>
        </is>
      </c>
      <c r="H1" s="27" t="inlineStr">
        <is>
          <t>EDLOSMin</t>
        </is>
      </c>
    </row>
    <row r="2">
      <c r="A2" t="inlineStr">
        <is>
          <t>ED211176</t>
        </is>
      </c>
      <c r="B2" s="33" t="n">
        <v>45962.03680555556</v>
      </c>
      <c r="C2" t="inlineStr">
        <is>
          <t>Walk-In</t>
        </is>
      </c>
      <c r="D2" t="n">
        <v>3</v>
      </c>
      <c r="E2" t="inlineStr">
        <is>
          <t>Cough / Fever</t>
        </is>
      </c>
      <c r="F2" t="inlineStr">
        <is>
          <t>Admitted</t>
        </is>
      </c>
      <c r="G2" t="n">
        <v>23</v>
      </c>
      <c r="H2" t="n">
        <v>624</v>
      </c>
    </row>
    <row r="3">
      <c r="A3" t="inlineStr">
        <is>
          <t>ED211178</t>
        </is>
      </c>
      <c r="B3" s="33" t="n">
        <v>45962.27847222222</v>
      </c>
      <c r="C3" t="inlineStr">
        <is>
          <t>Walk-In</t>
        </is>
      </c>
      <c r="D3" t="n">
        <v>3</v>
      </c>
      <c r="E3" t="inlineStr">
        <is>
          <t>Cough / Trouble Breathing</t>
        </is>
      </c>
      <c r="F3" t="inlineStr">
        <is>
          <t>Discharged</t>
        </is>
      </c>
      <c r="G3" t="n">
        <v>28</v>
      </c>
      <c r="H3" t="n">
        <v>168</v>
      </c>
    </row>
    <row r="4">
      <c r="A4" t="inlineStr">
        <is>
          <t>ED211180</t>
        </is>
      </c>
      <c r="B4" s="33" t="n">
        <v>45962.39722222222</v>
      </c>
      <c r="C4" t="inlineStr">
        <is>
          <t>Ambulance</t>
        </is>
      </c>
      <c r="D4" t="n">
        <v>2</v>
      </c>
      <c r="E4" t="inlineStr">
        <is>
          <t>Weakness / Fatigue</t>
        </is>
      </c>
      <c r="F4" t="inlineStr">
        <is>
          <t>Admitted</t>
        </is>
      </c>
      <c r="G4" t="n">
        <v>35</v>
      </c>
      <c r="H4" t="n">
        <v>473</v>
      </c>
    </row>
    <row r="5">
      <c r="A5" t="inlineStr">
        <is>
          <t>ED211182</t>
        </is>
      </c>
      <c r="B5" s="33" t="n">
        <v>45962.53125</v>
      </c>
      <c r="C5" t="inlineStr">
        <is>
          <t>Walk-In</t>
        </is>
      </c>
      <c r="D5" t="n">
        <v>3</v>
      </c>
      <c r="E5" t="inlineStr">
        <is>
          <t>Vomiting / Dizziness</t>
        </is>
      </c>
      <c r="F5" t="inlineStr">
        <is>
          <t>Discharged</t>
        </is>
      </c>
      <c r="G5" t="n">
        <v>109</v>
      </c>
      <c r="H5" t="n">
        <v>307</v>
      </c>
    </row>
    <row r="6">
      <c r="A6" t="inlineStr">
        <is>
          <t>ED211184</t>
        </is>
      </c>
      <c r="B6" s="33" t="n">
        <v>45962.56180555555</v>
      </c>
      <c r="C6" t="inlineStr">
        <is>
          <t>Ambulance</t>
        </is>
      </c>
      <c r="D6" t="n">
        <v>2</v>
      </c>
      <c r="E6" t="inlineStr">
        <is>
          <t>Seizure</t>
        </is>
      </c>
      <c r="F6" t="inlineStr">
        <is>
          <t>Discharged</t>
        </is>
      </c>
      <c r="G6" t="n">
        <v>20</v>
      </c>
      <c r="H6" t="n">
        <v>182</v>
      </c>
    </row>
    <row r="7">
      <c r="A7" t="inlineStr">
        <is>
          <t>ED211185</t>
        </is>
      </c>
      <c r="B7" s="33" t="n">
        <v>45962.58333333334</v>
      </c>
      <c r="C7" t="inlineStr">
        <is>
          <t>Walk-In</t>
        </is>
      </c>
      <c r="D7" t="n">
        <v>5</v>
      </c>
      <c r="E7" t="inlineStr">
        <is>
          <t>Ankle Injury</t>
        </is>
      </c>
      <c r="F7" t="inlineStr">
        <is>
          <t>Discharged</t>
        </is>
      </c>
      <c r="G7" t="n">
        <v>54</v>
      </c>
      <c r="H7" t="n">
        <v>141</v>
      </c>
    </row>
    <row r="8">
      <c r="A8" t="inlineStr">
        <is>
          <t>ED211187</t>
        </is>
      </c>
      <c r="B8" s="33" t="n">
        <v>45962.76944444444</v>
      </c>
      <c r="C8" t="inlineStr">
        <is>
          <t>Walk-In</t>
        </is>
      </c>
      <c r="D8" t="n">
        <v>4</v>
      </c>
      <c r="E8" t="inlineStr">
        <is>
          <t>Dizziness</t>
        </is>
      </c>
      <c r="F8" t="inlineStr">
        <is>
          <t>Discharged</t>
        </is>
      </c>
      <c r="G8" t="n">
        <v>45</v>
      </c>
      <c r="H8" t="n">
        <v>111</v>
      </c>
    </row>
    <row r="9">
      <c r="A9" t="inlineStr">
        <is>
          <t>ED211188</t>
        </is>
      </c>
      <c r="B9" s="33" t="n">
        <v>45963.23472222222</v>
      </c>
      <c r="C9" t="inlineStr">
        <is>
          <t>Walk-In</t>
        </is>
      </c>
      <c r="D9" t="n">
        <v>4</v>
      </c>
      <c r="E9" t="inlineStr">
        <is>
          <t>Abdominal Pain</t>
        </is>
      </c>
      <c r="F9" t="inlineStr">
        <is>
          <t>Discharged</t>
        </is>
      </c>
      <c r="G9" t="n">
        <v>23</v>
      </c>
      <c r="H9" t="n">
        <v>95</v>
      </c>
    </row>
    <row r="10">
      <c r="A10" t="inlineStr">
        <is>
          <t>ED211190</t>
        </is>
      </c>
      <c r="B10" s="33" t="n">
        <v>45963.41458333333</v>
      </c>
      <c r="C10" t="inlineStr">
        <is>
          <t>Walk-In</t>
        </is>
      </c>
      <c r="D10" t="n">
        <v>3</v>
      </c>
      <c r="E10" t="inlineStr">
        <is>
          <t>Seizure</t>
        </is>
      </c>
      <c r="F10" t="inlineStr">
        <is>
          <t>Discharged</t>
        </is>
      </c>
      <c r="G10" t="n">
        <v>21</v>
      </c>
      <c r="H10" t="n">
        <v>191</v>
      </c>
    </row>
    <row r="11">
      <c r="A11" t="inlineStr">
        <is>
          <t>ED211192</t>
        </is>
      </c>
      <c r="B11" s="33" t="n">
        <v>45963.48194444444</v>
      </c>
      <c r="C11" t="inlineStr">
        <is>
          <t>Walk-In</t>
        </is>
      </c>
      <c r="D11" t="n">
        <v>3</v>
      </c>
      <c r="E11" t="inlineStr">
        <is>
          <t>Tremors / Alcohol Withdrawal</t>
        </is>
      </c>
      <c r="F11" t="inlineStr">
        <is>
          <t>Admitted</t>
        </is>
      </c>
      <c r="G11" t="n">
        <v>115</v>
      </c>
      <c r="H11" t="n">
        <v>500</v>
      </c>
    </row>
    <row r="12">
      <c r="A12" t="inlineStr">
        <is>
          <t>ED211195</t>
        </is>
      </c>
      <c r="B12" s="33" t="n">
        <v>45963.59861111111</v>
      </c>
      <c r="C12" t="inlineStr">
        <is>
          <t>Ambulance</t>
        </is>
      </c>
      <c r="D12" t="n">
        <v>2</v>
      </c>
      <c r="E12" t="inlineStr">
        <is>
          <t>Fever / Altered Mental Status</t>
        </is>
      </c>
      <c r="F12" t="inlineStr">
        <is>
          <t>Admitted</t>
        </is>
      </c>
      <c r="G12" t="n">
        <v>15</v>
      </c>
      <c r="H12" t="n">
        <v>402</v>
      </c>
    </row>
    <row r="13">
      <c r="A13" t="inlineStr">
        <is>
          <t>ED211196</t>
        </is>
      </c>
      <c r="B13" s="33" t="n">
        <v>45963.63541666666</v>
      </c>
      <c r="C13" t="inlineStr">
        <is>
          <t>Walk-In</t>
        </is>
      </c>
      <c r="D13" t="n">
        <v>3</v>
      </c>
      <c r="E13" t="inlineStr">
        <is>
          <t>Cough / Fever</t>
        </is>
      </c>
      <c r="F13" t="inlineStr">
        <is>
          <t>Discharged</t>
        </is>
      </c>
      <c r="G13" t="n">
        <v>130</v>
      </c>
      <c r="H13" t="n">
        <v>284</v>
      </c>
    </row>
    <row r="14">
      <c r="A14" t="inlineStr">
        <is>
          <t>ED211197</t>
        </is>
      </c>
      <c r="B14" s="33" t="n">
        <v>45963.65138888889</v>
      </c>
      <c r="C14" t="inlineStr">
        <is>
          <t>Walk-In</t>
        </is>
      </c>
      <c r="D14" t="n">
        <v>5</v>
      </c>
      <c r="E14" t="inlineStr">
        <is>
          <t>Anxiety / Palpitations</t>
        </is>
      </c>
      <c r="F14" t="inlineStr">
        <is>
          <t>Discharged</t>
        </is>
      </c>
      <c r="G14" t="n">
        <v>52</v>
      </c>
      <c r="H14" t="n">
        <v>139</v>
      </c>
    </row>
    <row r="15">
      <c r="A15" t="inlineStr">
        <is>
          <t>ED211199</t>
        </is>
      </c>
      <c r="B15" s="33" t="n">
        <v>45963.95625</v>
      </c>
      <c r="C15" t="inlineStr">
        <is>
          <t>Walk-In</t>
        </is>
      </c>
      <c r="D15" t="n">
        <v>4</v>
      </c>
      <c r="E15" t="inlineStr">
        <is>
          <t>Weakness / Fatigue</t>
        </is>
      </c>
      <c r="F15" t="inlineStr">
        <is>
          <t>Discharged</t>
        </is>
      </c>
      <c r="G15" t="n">
        <v>13</v>
      </c>
      <c r="H15" t="n">
        <v>96</v>
      </c>
    </row>
    <row r="16">
      <c r="A16" t="inlineStr">
        <is>
          <t>ED211200</t>
        </is>
      </c>
      <c r="B16" s="33" t="n">
        <v>45964.01388888889</v>
      </c>
      <c r="C16" t="inlineStr">
        <is>
          <t>Walk-In</t>
        </is>
      </c>
      <c r="D16" t="n">
        <v>4</v>
      </c>
      <c r="E16" t="inlineStr">
        <is>
          <t>Laceration</t>
        </is>
      </c>
      <c r="F16" t="inlineStr">
        <is>
          <t>Admitted</t>
        </is>
      </c>
      <c r="G16" t="n">
        <v>37</v>
      </c>
      <c r="H16" t="n">
        <v>227</v>
      </c>
    </row>
    <row r="17">
      <c r="A17" t="inlineStr">
        <is>
          <t>ED211201</t>
        </is>
      </c>
      <c r="B17" s="33" t="n">
        <v>45964.02083333334</v>
      </c>
      <c r="C17" t="inlineStr">
        <is>
          <t>Ambulance</t>
        </is>
      </c>
      <c r="D17" t="n">
        <v>3</v>
      </c>
      <c r="E17" t="inlineStr">
        <is>
          <t>Vomiting / Dizziness</t>
        </is>
      </c>
      <c r="F17" t="inlineStr">
        <is>
          <t>Discharged</t>
        </is>
      </c>
      <c r="G17" t="n">
        <v>29</v>
      </c>
      <c r="H17" t="n">
        <v>159</v>
      </c>
    </row>
    <row r="18">
      <c r="A18" t="inlineStr">
        <is>
          <t>ED211203</t>
        </is>
      </c>
      <c r="B18" s="33" t="n">
        <v>45964.10833333333</v>
      </c>
      <c r="C18" t="inlineStr">
        <is>
          <t>Ambulance</t>
        </is>
      </c>
      <c r="D18" t="n">
        <v>2</v>
      </c>
      <c r="E18" t="inlineStr">
        <is>
          <t>Palpitations</t>
        </is>
      </c>
      <c r="F18" t="inlineStr">
        <is>
          <t>Discharged</t>
        </is>
      </c>
      <c r="G18" t="n">
        <v>15</v>
      </c>
      <c r="H18" t="n">
        <v>213</v>
      </c>
    </row>
    <row r="19">
      <c r="A19" t="inlineStr">
        <is>
          <t>ED211204</t>
        </is>
      </c>
      <c r="B19" s="33" t="n">
        <v>45964.14166666667</v>
      </c>
      <c r="C19" t="inlineStr">
        <is>
          <t>Walk-In</t>
        </is>
      </c>
      <c r="D19" t="n">
        <v>3</v>
      </c>
      <c r="E19" t="inlineStr">
        <is>
          <t>Weakness / Fatigue</t>
        </is>
      </c>
      <c r="F19" t="inlineStr">
        <is>
          <t>Admitted</t>
        </is>
      </c>
      <c r="G19" t="n">
        <v>26</v>
      </c>
      <c r="H19" t="n">
        <v>607</v>
      </c>
    </row>
    <row r="20">
      <c r="A20" t="inlineStr">
        <is>
          <t>ED211205</t>
        </is>
      </c>
      <c r="B20" s="33" t="n">
        <v>45964.15625</v>
      </c>
      <c r="C20" t="inlineStr">
        <is>
          <t>Ambulance</t>
        </is>
      </c>
      <c r="D20" t="n">
        <v>2</v>
      </c>
      <c r="E20" t="inlineStr">
        <is>
          <t>Weakness / Numbness</t>
        </is>
      </c>
      <c r="F20" t="inlineStr">
        <is>
          <t>Admitted</t>
        </is>
      </c>
      <c r="G20" t="n">
        <v>6</v>
      </c>
      <c r="H20" t="n">
        <v>414</v>
      </c>
    </row>
    <row r="21">
      <c r="A21" t="inlineStr">
        <is>
          <t>ED211206</t>
        </is>
      </c>
      <c r="B21" s="33" t="n">
        <v>45964.15833333333</v>
      </c>
      <c r="C21" t="inlineStr">
        <is>
          <t>Walk-In</t>
        </is>
      </c>
      <c r="D21" t="n">
        <v>3</v>
      </c>
      <c r="E21" t="inlineStr">
        <is>
          <t>Labor</t>
        </is>
      </c>
      <c r="F21" t="inlineStr">
        <is>
          <t>Admitted</t>
        </is>
      </c>
      <c r="G21" t="n">
        <v>22</v>
      </c>
      <c r="H21" t="n">
        <v>216</v>
      </c>
    </row>
    <row r="22">
      <c r="A22" t="inlineStr">
        <is>
          <t>ED211207</t>
        </is>
      </c>
      <c r="B22" s="33" t="n">
        <v>45964.29305555556</v>
      </c>
      <c r="C22" t="inlineStr">
        <is>
          <t>Walk-In</t>
        </is>
      </c>
      <c r="D22" t="n">
        <v>3</v>
      </c>
      <c r="E22" t="inlineStr">
        <is>
          <t>Bloody Stool / Vomiting Blood</t>
        </is>
      </c>
      <c r="F22" t="inlineStr">
        <is>
          <t>Admitted</t>
        </is>
      </c>
      <c r="G22" t="n">
        <v>34</v>
      </c>
      <c r="H22" t="n">
        <v>229</v>
      </c>
    </row>
    <row r="23">
      <c r="A23" t="inlineStr">
        <is>
          <t>ED211208</t>
        </is>
      </c>
      <c r="B23" s="33" t="n">
        <v>45964.38611111111</v>
      </c>
      <c r="C23" t="inlineStr">
        <is>
          <t>Ambulance</t>
        </is>
      </c>
      <c r="D23" t="n">
        <v>3</v>
      </c>
      <c r="E23" t="inlineStr">
        <is>
          <t>Shortness of Breath</t>
        </is>
      </c>
      <c r="F23" t="inlineStr">
        <is>
          <t>Admitted</t>
        </is>
      </c>
      <c r="G23" t="n">
        <v>47</v>
      </c>
      <c r="H23" t="n">
        <v>401</v>
      </c>
    </row>
    <row r="24">
      <c r="A24" t="inlineStr">
        <is>
          <t>ED211209</t>
        </is>
      </c>
      <c r="B24" s="33" t="n">
        <v>45964.39791666667</v>
      </c>
      <c r="C24" t="inlineStr">
        <is>
          <t>Walk-In</t>
        </is>
      </c>
      <c r="D24" t="n">
        <v>5</v>
      </c>
      <c r="E24" t="inlineStr">
        <is>
          <t>Back Pain</t>
        </is>
      </c>
      <c r="F24" t="inlineStr">
        <is>
          <t>Discharged</t>
        </is>
      </c>
      <c r="G24" t="n">
        <v>123</v>
      </c>
      <c r="H24" t="n">
        <v>191</v>
      </c>
    </row>
    <row r="25">
      <c r="A25" t="inlineStr">
        <is>
          <t>ED211210</t>
        </is>
      </c>
      <c r="B25" s="33" t="n">
        <v>45964.4</v>
      </c>
      <c r="C25" t="inlineStr">
        <is>
          <t>Walk-In</t>
        </is>
      </c>
      <c r="D25" t="n">
        <v>4</v>
      </c>
      <c r="E25" t="inlineStr">
        <is>
          <t>Vomiting / Diarrhea</t>
        </is>
      </c>
      <c r="F25" t="inlineStr">
        <is>
          <t>Discharged</t>
        </is>
      </c>
      <c r="G25" t="n">
        <v>97</v>
      </c>
      <c r="H25" t="n">
        <v>191</v>
      </c>
    </row>
    <row r="26">
      <c r="A26" t="inlineStr">
        <is>
          <t>ED211211</t>
        </is>
      </c>
      <c r="B26" s="33" t="n">
        <v>45964.40277777778</v>
      </c>
      <c r="C26" t="inlineStr">
        <is>
          <t>Walk-In</t>
        </is>
      </c>
      <c r="D26" t="n">
        <v>5</v>
      </c>
      <c r="E26" t="inlineStr">
        <is>
          <t>Back Pain</t>
        </is>
      </c>
      <c r="F26" t="inlineStr">
        <is>
          <t>Discharged</t>
        </is>
      </c>
      <c r="G26" t="n">
        <v>33</v>
      </c>
      <c r="H26" t="n">
        <v>103</v>
      </c>
    </row>
    <row r="27">
      <c r="A27" t="inlineStr">
        <is>
          <t>ED211213</t>
        </is>
      </c>
      <c r="B27" s="33" t="n">
        <v>45964.44791666666</v>
      </c>
      <c r="C27" t="inlineStr">
        <is>
          <t>Walk-In</t>
        </is>
      </c>
      <c r="D27" t="n">
        <v>4</v>
      </c>
      <c r="E27" t="inlineStr">
        <is>
          <t>Weakness / Fatigue</t>
        </is>
      </c>
      <c r="F27" t="inlineStr">
        <is>
          <t>Discharged</t>
        </is>
      </c>
      <c r="G27" t="n">
        <v>77</v>
      </c>
      <c r="H27" t="n">
        <v>191</v>
      </c>
    </row>
    <row r="28">
      <c r="A28" t="inlineStr">
        <is>
          <t>ED211214</t>
        </is>
      </c>
      <c r="B28" s="33" t="n">
        <v>45964.46666666667</v>
      </c>
      <c r="C28" t="inlineStr">
        <is>
          <t>Walk-In</t>
        </is>
      </c>
      <c r="D28" t="n">
        <v>3</v>
      </c>
      <c r="E28" t="inlineStr">
        <is>
          <t>Shortness of Breath</t>
        </is>
      </c>
      <c r="F28" t="inlineStr">
        <is>
          <t>Discharged</t>
        </is>
      </c>
      <c r="G28" t="n">
        <v>211</v>
      </c>
      <c r="H28" t="n">
        <v>334</v>
      </c>
    </row>
    <row r="29">
      <c r="A29" t="inlineStr">
        <is>
          <t>ED211217</t>
        </is>
      </c>
      <c r="B29" s="33" t="n">
        <v>45964.57361111111</v>
      </c>
      <c r="C29" t="inlineStr">
        <is>
          <t>Walk-In</t>
        </is>
      </c>
      <c r="D29" t="n">
        <v>4</v>
      </c>
      <c r="E29" t="inlineStr">
        <is>
          <t>Ear Pain / Fever</t>
        </is>
      </c>
      <c r="F29" t="inlineStr">
        <is>
          <t>Discharged</t>
        </is>
      </c>
      <c r="G29" t="n">
        <v>142</v>
      </c>
      <c r="H29" t="n">
        <v>257</v>
      </c>
    </row>
    <row r="30">
      <c r="A30" t="inlineStr">
        <is>
          <t>ED211218</t>
        </is>
      </c>
      <c r="B30" s="33" t="n">
        <v>45964.60069444445</v>
      </c>
      <c r="C30" t="inlineStr">
        <is>
          <t>Walk-In</t>
        </is>
      </c>
      <c r="D30" t="n">
        <v>4</v>
      </c>
      <c r="E30" t="inlineStr">
        <is>
          <t>Back Pain</t>
        </is>
      </c>
      <c r="F30" t="inlineStr">
        <is>
          <t>LWBS</t>
        </is>
      </c>
      <c r="H30" t="n">
        <v>141</v>
      </c>
    </row>
    <row r="31">
      <c r="A31" t="inlineStr">
        <is>
          <t>ED211219</t>
        </is>
      </c>
      <c r="B31" s="33" t="n">
        <v>45964.63194444445</v>
      </c>
      <c r="C31" t="inlineStr">
        <is>
          <t>Walk-In</t>
        </is>
      </c>
      <c r="D31" t="n">
        <v>2</v>
      </c>
      <c r="E31" t="inlineStr">
        <is>
          <t>Cough / Fever</t>
        </is>
      </c>
      <c r="F31" t="inlineStr">
        <is>
          <t>Admitted</t>
        </is>
      </c>
      <c r="G31" t="n">
        <v>59</v>
      </c>
      <c r="H31" t="n">
        <v>487</v>
      </c>
    </row>
    <row r="32">
      <c r="A32" t="inlineStr">
        <is>
          <t>ED211220</t>
        </is>
      </c>
      <c r="B32" s="33" t="n">
        <v>45964.65555555555</v>
      </c>
      <c r="C32" t="inlineStr">
        <is>
          <t>Ambulance</t>
        </is>
      </c>
      <c r="D32" t="n">
        <v>2</v>
      </c>
      <c r="E32" t="inlineStr">
        <is>
          <t>Weakness / Fatigue</t>
        </is>
      </c>
      <c r="F32" t="inlineStr">
        <is>
          <t>Admitted</t>
        </is>
      </c>
      <c r="G32" t="n">
        <v>13</v>
      </c>
      <c r="H32" t="n">
        <v>412</v>
      </c>
    </row>
    <row r="33">
      <c r="A33" t="inlineStr">
        <is>
          <t>ED211221</t>
        </is>
      </c>
      <c r="B33" s="33" t="n">
        <v>45964.65902777778</v>
      </c>
      <c r="C33" t="inlineStr">
        <is>
          <t>Walk-In</t>
        </is>
      </c>
      <c r="D33" t="n">
        <v>3</v>
      </c>
      <c r="E33" t="inlineStr">
        <is>
          <t>Painful Urination / Fever</t>
        </is>
      </c>
      <c r="F33" t="inlineStr">
        <is>
          <t>Observation</t>
        </is>
      </c>
      <c r="G33" t="n">
        <v>31</v>
      </c>
      <c r="H33" t="n">
        <v>306</v>
      </c>
    </row>
    <row r="34">
      <c r="A34" t="inlineStr">
        <is>
          <t>ED211224</t>
        </is>
      </c>
      <c r="B34" s="33" t="n">
        <v>45964.79791666667</v>
      </c>
      <c r="C34" t="inlineStr">
        <is>
          <t>Walk-In</t>
        </is>
      </c>
      <c r="D34" t="n">
        <v>4</v>
      </c>
      <c r="E34" t="inlineStr">
        <is>
          <t>Back Pain</t>
        </is>
      </c>
      <c r="F34" t="inlineStr">
        <is>
          <t>Discharged</t>
        </is>
      </c>
      <c r="G34" t="n">
        <v>36</v>
      </c>
      <c r="H34" t="n">
        <v>119</v>
      </c>
    </row>
    <row r="35">
      <c r="A35" t="inlineStr">
        <is>
          <t>ED211225</t>
        </is>
      </c>
      <c r="B35" s="33" t="n">
        <v>45964.86319444444</v>
      </c>
      <c r="C35" t="inlineStr">
        <is>
          <t>Walk-In</t>
        </is>
      </c>
      <c r="D35" t="n">
        <v>4</v>
      </c>
      <c r="E35" t="inlineStr">
        <is>
          <t>Painful Urination / Fever</t>
        </is>
      </c>
      <c r="F35" t="inlineStr">
        <is>
          <t>Discharged</t>
        </is>
      </c>
      <c r="G35" t="n">
        <v>66</v>
      </c>
      <c r="H35" t="n">
        <v>134</v>
      </c>
    </row>
    <row r="36">
      <c r="A36" t="inlineStr">
        <is>
          <t>ED211226</t>
        </is>
      </c>
      <c r="B36" s="33" t="n">
        <v>45964.90972222222</v>
      </c>
      <c r="C36" t="inlineStr">
        <is>
          <t>Ambulance</t>
        </is>
      </c>
      <c r="D36" t="n">
        <v>2</v>
      </c>
      <c r="E36" t="inlineStr">
        <is>
          <t>Shortness of Breath</t>
        </is>
      </c>
      <c r="F36" t="inlineStr">
        <is>
          <t>Discharged</t>
        </is>
      </c>
      <c r="G36" t="n">
        <v>23</v>
      </c>
      <c r="H36" t="n">
        <v>267</v>
      </c>
    </row>
    <row r="37">
      <c r="A37" t="inlineStr">
        <is>
          <t>ED211227</t>
        </is>
      </c>
      <c r="B37" s="33" t="n">
        <v>45964.93819444445</v>
      </c>
      <c r="C37" t="inlineStr">
        <is>
          <t>Walk-In</t>
        </is>
      </c>
      <c r="D37" t="n">
        <v>3</v>
      </c>
      <c r="E37" t="inlineStr">
        <is>
          <t>Abdominal Pain</t>
        </is>
      </c>
      <c r="F37" t="inlineStr">
        <is>
          <t>Discharged</t>
        </is>
      </c>
      <c r="G37" t="n">
        <v>83</v>
      </c>
      <c r="H37" t="n">
        <v>286</v>
      </c>
    </row>
    <row r="38">
      <c r="A38" t="inlineStr">
        <is>
          <t>ED211228</t>
        </is>
      </c>
      <c r="B38" s="33" t="n">
        <v>45965.075</v>
      </c>
      <c r="C38" t="inlineStr">
        <is>
          <t>Walk-In</t>
        </is>
      </c>
      <c r="D38" t="n">
        <v>3</v>
      </c>
      <c r="E38" t="inlineStr">
        <is>
          <t>Head Injury</t>
        </is>
      </c>
      <c r="F38" t="inlineStr">
        <is>
          <t>Discharged</t>
        </is>
      </c>
      <c r="G38" t="n">
        <v>23</v>
      </c>
      <c r="H38" t="n">
        <v>221</v>
      </c>
    </row>
    <row r="39">
      <c r="A39" t="inlineStr">
        <is>
          <t>ED211229</t>
        </is>
      </c>
      <c r="B39" s="33" t="n">
        <v>45965.12013888889</v>
      </c>
      <c r="C39" t="inlineStr">
        <is>
          <t>Walk-In</t>
        </is>
      </c>
      <c r="D39" t="n">
        <v>4</v>
      </c>
      <c r="E39" t="inlineStr">
        <is>
          <t>Cough / Fever</t>
        </is>
      </c>
      <c r="F39" t="inlineStr">
        <is>
          <t>Admitted</t>
        </is>
      </c>
      <c r="G39" t="n">
        <v>28</v>
      </c>
      <c r="H39" t="n">
        <v>358</v>
      </c>
    </row>
    <row r="40">
      <c r="A40" t="inlineStr">
        <is>
          <t>ED211230</t>
        </is>
      </c>
      <c r="B40" s="33" t="n">
        <v>45965.29027777778</v>
      </c>
      <c r="C40" t="inlineStr">
        <is>
          <t>Walk-In</t>
        </is>
      </c>
      <c r="D40" t="n">
        <v>3</v>
      </c>
      <c r="E40" t="inlineStr">
        <is>
          <t>Fall</t>
        </is>
      </c>
      <c r="F40" t="inlineStr">
        <is>
          <t>Discharged</t>
        </is>
      </c>
      <c r="G40" t="n">
        <v>28</v>
      </c>
      <c r="H40" t="n">
        <v>253</v>
      </c>
    </row>
    <row r="41">
      <c r="A41" t="inlineStr">
        <is>
          <t>ED211231</t>
        </is>
      </c>
      <c r="B41" s="33" t="n">
        <v>45965.33333333334</v>
      </c>
      <c r="C41" t="inlineStr">
        <is>
          <t>Police</t>
        </is>
      </c>
      <c r="D41" t="n">
        <v>2</v>
      </c>
      <c r="E41" t="inlineStr">
        <is>
          <t>Dizziness</t>
        </is>
      </c>
      <c r="F41" t="inlineStr">
        <is>
          <t>Transferred</t>
        </is>
      </c>
      <c r="G41" t="n">
        <v>13</v>
      </c>
      <c r="H41" t="n">
        <v>300</v>
      </c>
    </row>
    <row r="42">
      <c r="A42" t="inlineStr">
        <is>
          <t>ED211232</t>
        </is>
      </c>
      <c r="B42" s="33" t="n">
        <v>45965.34166666667</v>
      </c>
      <c r="C42" t="inlineStr">
        <is>
          <t>Ambulance</t>
        </is>
      </c>
      <c r="D42" t="n">
        <v>3</v>
      </c>
      <c r="E42" t="inlineStr">
        <is>
          <t>Skin Redness / Swelling</t>
        </is>
      </c>
      <c r="F42" t="inlineStr">
        <is>
          <t>Discharged</t>
        </is>
      </c>
      <c r="G42" t="n">
        <v>20</v>
      </c>
      <c r="H42" t="n">
        <v>221</v>
      </c>
    </row>
    <row r="43">
      <c r="A43" t="inlineStr">
        <is>
          <t>ED211234</t>
        </is>
      </c>
      <c r="B43" s="33" t="n">
        <v>45965.49305555555</v>
      </c>
      <c r="C43" t="inlineStr">
        <is>
          <t>Walk-In</t>
        </is>
      </c>
      <c r="D43" t="n">
        <v>3</v>
      </c>
      <c r="E43" t="inlineStr">
        <is>
          <t>Shortness of Breath</t>
        </is>
      </c>
      <c r="F43" t="inlineStr">
        <is>
          <t>Observation</t>
        </is>
      </c>
      <c r="G43" t="n">
        <v>72</v>
      </c>
      <c r="H43" t="n">
        <v>836</v>
      </c>
    </row>
    <row r="44">
      <c r="A44" t="inlineStr">
        <is>
          <t>ED211237</t>
        </is>
      </c>
      <c r="B44" s="33" t="n">
        <v>45965.55416666667</v>
      </c>
      <c r="C44" t="inlineStr">
        <is>
          <t>Walk-In</t>
        </is>
      </c>
      <c r="D44" t="n">
        <v>3</v>
      </c>
      <c r="E44" t="inlineStr">
        <is>
          <t>Head Injury</t>
        </is>
      </c>
      <c r="F44" t="inlineStr">
        <is>
          <t>Discharged</t>
        </is>
      </c>
      <c r="G44" t="n">
        <v>64</v>
      </c>
      <c r="H44" t="n">
        <v>172</v>
      </c>
    </row>
    <row r="45">
      <c r="A45" t="inlineStr">
        <is>
          <t>ED211239</t>
        </is>
      </c>
      <c r="B45" s="33" t="n">
        <v>45965.61111111111</v>
      </c>
      <c r="C45" t="inlineStr">
        <is>
          <t>Walk-In</t>
        </is>
      </c>
      <c r="D45" t="n">
        <v>2</v>
      </c>
      <c r="E45" t="inlineStr">
        <is>
          <t>Labor</t>
        </is>
      </c>
      <c r="F45" t="inlineStr">
        <is>
          <t>Admitted</t>
        </is>
      </c>
      <c r="G45" t="n">
        <v>12</v>
      </c>
      <c r="H45" t="n">
        <v>203</v>
      </c>
    </row>
    <row r="46">
      <c r="A46" t="inlineStr">
        <is>
          <t>ED211240</t>
        </is>
      </c>
      <c r="B46" s="33" t="n">
        <v>45965.62152777778</v>
      </c>
      <c r="C46" t="inlineStr">
        <is>
          <t>Walk-In</t>
        </is>
      </c>
      <c r="D46" t="n">
        <v>3</v>
      </c>
      <c r="E46" t="inlineStr">
        <is>
          <t>Nausea</t>
        </is>
      </c>
      <c r="F46" t="inlineStr">
        <is>
          <t>Observation</t>
        </is>
      </c>
      <c r="G46" t="n">
        <v>112</v>
      </c>
      <c r="H46" t="n">
        <v>369</v>
      </c>
    </row>
    <row r="47">
      <c r="A47" t="inlineStr">
        <is>
          <t>ED211242</t>
        </is>
      </c>
      <c r="B47" s="33" t="n">
        <v>45965.76041666666</v>
      </c>
      <c r="C47" t="inlineStr">
        <is>
          <t>Ambulance</t>
        </is>
      </c>
      <c r="D47" t="n">
        <v>3</v>
      </c>
      <c r="E47" t="inlineStr">
        <is>
          <t>Dizziness</t>
        </is>
      </c>
      <c r="F47" t="inlineStr">
        <is>
          <t>Observation</t>
        </is>
      </c>
      <c r="G47" t="n">
        <v>31</v>
      </c>
      <c r="H47" t="n">
        <v>321</v>
      </c>
    </row>
    <row r="48">
      <c r="A48" t="inlineStr">
        <is>
          <t>ED211245</t>
        </is>
      </c>
      <c r="B48" s="33" t="n">
        <v>45966.09583333333</v>
      </c>
      <c r="C48" t="inlineStr">
        <is>
          <t>Walk-In</t>
        </is>
      </c>
      <c r="D48" t="n">
        <v>5</v>
      </c>
      <c r="E48" t="inlineStr">
        <is>
          <t>Fall</t>
        </is>
      </c>
      <c r="F48" t="inlineStr">
        <is>
          <t>Discharged</t>
        </is>
      </c>
      <c r="G48" t="n">
        <v>24</v>
      </c>
      <c r="H48" t="n">
        <v>85</v>
      </c>
    </row>
    <row r="49">
      <c r="A49" t="inlineStr">
        <is>
          <t>ED211246</t>
        </is>
      </c>
      <c r="B49" s="33" t="n">
        <v>45966.10833333333</v>
      </c>
      <c r="C49" t="inlineStr">
        <is>
          <t>Walk-In</t>
        </is>
      </c>
      <c r="D49" t="n">
        <v>2</v>
      </c>
      <c r="E49" t="inlineStr">
        <is>
          <t>Abdominal Pain</t>
        </is>
      </c>
      <c r="F49" t="inlineStr">
        <is>
          <t>Admitted</t>
        </is>
      </c>
      <c r="G49" t="n">
        <v>12</v>
      </c>
      <c r="H49" t="n">
        <v>186</v>
      </c>
    </row>
    <row r="50">
      <c r="A50" t="inlineStr">
        <is>
          <t>ED211247</t>
        </is>
      </c>
      <c r="B50" s="33" t="n">
        <v>45966.12013888889</v>
      </c>
      <c r="C50" t="inlineStr">
        <is>
          <t>Walk-In</t>
        </is>
      </c>
      <c r="D50" t="n">
        <v>4</v>
      </c>
      <c r="E50" t="inlineStr">
        <is>
          <t>Vomiting / Dizziness</t>
        </is>
      </c>
      <c r="F50" t="inlineStr">
        <is>
          <t>Discharged</t>
        </is>
      </c>
      <c r="G50" t="n">
        <v>26</v>
      </c>
      <c r="H50" t="n">
        <v>87</v>
      </c>
    </row>
    <row r="51">
      <c r="A51" t="inlineStr">
        <is>
          <t>ED211248</t>
        </is>
      </c>
      <c r="B51" s="33" t="n">
        <v>45966.25555555556</v>
      </c>
      <c r="C51" t="inlineStr">
        <is>
          <t>Walk-In</t>
        </is>
      </c>
      <c r="D51" t="n">
        <v>3</v>
      </c>
      <c r="E51" t="inlineStr">
        <is>
          <t>Shortness of Breath</t>
        </is>
      </c>
      <c r="F51" t="inlineStr">
        <is>
          <t>Discharged</t>
        </is>
      </c>
      <c r="G51" t="n">
        <v>38</v>
      </c>
      <c r="H51" t="n">
        <v>276</v>
      </c>
    </row>
    <row r="52">
      <c r="A52" t="inlineStr">
        <is>
          <t>ED211249</t>
        </is>
      </c>
      <c r="B52" s="33" t="n">
        <v>45966.34513888889</v>
      </c>
      <c r="C52" t="inlineStr">
        <is>
          <t>Ambulance</t>
        </is>
      </c>
      <c r="D52" t="n">
        <v>3</v>
      </c>
      <c r="E52" t="inlineStr">
        <is>
          <t>Bloody Stool / Vomiting Blood</t>
        </is>
      </c>
      <c r="F52" t="inlineStr">
        <is>
          <t>Admitted</t>
        </is>
      </c>
      <c r="G52" t="n">
        <v>31</v>
      </c>
      <c r="H52" t="n">
        <v>535</v>
      </c>
    </row>
    <row r="53">
      <c r="A53" t="inlineStr">
        <is>
          <t>ED211250</t>
        </is>
      </c>
      <c r="B53" s="33" t="n">
        <v>45966.41458333333</v>
      </c>
      <c r="C53" t="inlineStr">
        <is>
          <t>Walk-In</t>
        </is>
      </c>
      <c r="D53" t="n">
        <v>4</v>
      </c>
      <c r="E53" t="inlineStr">
        <is>
          <t>Cough / Trouble Breathing</t>
        </is>
      </c>
      <c r="F53" t="inlineStr">
        <is>
          <t>LWBS</t>
        </is>
      </c>
      <c r="H53" t="n">
        <v>76</v>
      </c>
    </row>
    <row r="54">
      <c r="A54" t="inlineStr">
        <is>
          <t>ED211252</t>
        </is>
      </c>
      <c r="B54" s="33" t="n">
        <v>45966.42986111111</v>
      </c>
      <c r="C54" t="inlineStr">
        <is>
          <t>Walk-In</t>
        </is>
      </c>
      <c r="D54" t="n">
        <v>4</v>
      </c>
      <c r="E54" t="inlineStr">
        <is>
          <t>Chest Pain</t>
        </is>
      </c>
      <c r="F54" t="inlineStr">
        <is>
          <t>Discharged</t>
        </is>
      </c>
      <c r="G54" t="n">
        <v>28</v>
      </c>
      <c r="H54" t="n">
        <v>124</v>
      </c>
    </row>
    <row r="55">
      <c r="A55" t="inlineStr">
        <is>
          <t>ED211253</t>
        </is>
      </c>
      <c r="B55" s="33" t="n">
        <v>45966.44305555556</v>
      </c>
      <c r="C55" t="inlineStr">
        <is>
          <t>Walk-In</t>
        </is>
      </c>
      <c r="D55" t="n">
        <v>3</v>
      </c>
      <c r="E55" t="inlineStr">
        <is>
          <t>Cough / Trouble Breathing</t>
        </is>
      </c>
      <c r="F55" t="inlineStr">
        <is>
          <t>Discharged</t>
        </is>
      </c>
      <c r="G55" t="n">
        <v>59</v>
      </c>
      <c r="H55" t="n">
        <v>265</v>
      </c>
    </row>
    <row r="56">
      <c r="A56" t="inlineStr">
        <is>
          <t>ED211254</t>
        </is>
      </c>
      <c r="B56" s="33" t="n">
        <v>45966.46041666667</v>
      </c>
      <c r="C56" t="inlineStr">
        <is>
          <t>Walk-In</t>
        </is>
      </c>
      <c r="D56" t="n">
        <v>3</v>
      </c>
      <c r="E56" t="inlineStr">
        <is>
          <t>Skin Redness / Swelling</t>
        </is>
      </c>
      <c r="F56" t="inlineStr">
        <is>
          <t>Discharged</t>
        </is>
      </c>
      <c r="G56" t="n">
        <v>43</v>
      </c>
      <c r="H56" t="n">
        <v>243</v>
      </c>
    </row>
    <row r="57">
      <c r="A57" t="inlineStr">
        <is>
          <t>ED211255</t>
        </is>
      </c>
      <c r="B57" s="33" t="n">
        <v>45966.525</v>
      </c>
      <c r="C57" t="inlineStr">
        <is>
          <t>Ambulance</t>
        </is>
      </c>
      <c r="D57" t="n">
        <v>4</v>
      </c>
      <c r="E57" t="inlineStr">
        <is>
          <t>Laceration</t>
        </is>
      </c>
      <c r="F57" t="inlineStr">
        <is>
          <t>Discharged</t>
        </is>
      </c>
      <c r="G57" t="n">
        <v>68</v>
      </c>
      <c r="H57" t="n">
        <v>137</v>
      </c>
    </row>
    <row r="58">
      <c r="A58" t="inlineStr">
        <is>
          <t>ED211256</t>
        </is>
      </c>
      <c r="B58" s="33" t="n">
        <v>45966.53472222222</v>
      </c>
      <c r="C58" t="inlineStr">
        <is>
          <t>Ambulance</t>
        </is>
      </c>
      <c r="D58" t="n">
        <v>3</v>
      </c>
      <c r="E58" t="inlineStr">
        <is>
          <t>Shortness of Breath</t>
        </is>
      </c>
      <c r="F58" t="inlineStr">
        <is>
          <t>Admitted</t>
        </is>
      </c>
      <c r="G58" t="n">
        <v>75</v>
      </c>
      <c r="H58" t="n">
        <v>284</v>
      </c>
    </row>
    <row r="59">
      <c r="A59" t="inlineStr">
        <is>
          <t>ED211260</t>
        </is>
      </c>
      <c r="B59" s="33" t="n">
        <v>45966.75902777778</v>
      </c>
      <c r="C59" t="inlineStr">
        <is>
          <t>Ambulance</t>
        </is>
      </c>
      <c r="D59" t="n">
        <v>3</v>
      </c>
      <c r="E59" t="inlineStr">
        <is>
          <t>Cough / Fever</t>
        </is>
      </c>
      <c r="F59" t="inlineStr">
        <is>
          <t>Discharged</t>
        </is>
      </c>
      <c r="G59" t="n">
        <v>27</v>
      </c>
      <c r="H59" t="n">
        <v>251</v>
      </c>
    </row>
    <row r="60">
      <c r="A60" t="inlineStr">
        <is>
          <t>ED211262</t>
        </is>
      </c>
      <c r="B60" s="33" t="n">
        <v>45966.8375</v>
      </c>
      <c r="C60" t="inlineStr">
        <is>
          <t>Ambulance</t>
        </is>
      </c>
      <c r="D60" t="n">
        <v>1</v>
      </c>
      <c r="E60" t="inlineStr">
        <is>
          <t>Shortness of Breath</t>
        </is>
      </c>
      <c r="F60" t="inlineStr">
        <is>
          <t>Admitted</t>
        </is>
      </c>
      <c r="G60" t="n">
        <v>4</v>
      </c>
      <c r="H60" t="n">
        <v>542</v>
      </c>
    </row>
    <row r="61">
      <c r="A61" t="inlineStr">
        <is>
          <t>ED211263</t>
        </is>
      </c>
      <c r="B61" s="33" t="n">
        <v>45966.85416666666</v>
      </c>
      <c r="C61" t="inlineStr">
        <is>
          <t>Walk-In</t>
        </is>
      </c>
      <c r="D61" t="n">
        <v>4</v>
      </c>
      <c r="E61" t="inlineStr">
        <is>
          <t>Dizziness</t>
        </is>
      </c>
      <c r="F61" t="inlineStr">
        <is>
          <t>Observation</t>
        </is>
      </c>
      <c r="G61" t="n">
        <v>47</v>
      </c>
      <c r="H61" t="n">
        <v>281</v>
      </c>
    </row>
    <row r="62">
      <c r="A62" t="inlineStr">
        <is>
          <t>ED211265</t>
        </is>
      </c>
      <c r="B62" s="33" t="n">
        <v>45967.08611111111</v>
      </c>
      <c r="C62" t="inlineStr">
        <is>
          <t>Walk-In</t>
        </is>
      </c>
      <c r="D62" t="n">
        <v>5</v>
      </c>
      <c r="E62" t="inlineStr">
        <is>
          <t>Ankle Injury</t>
        </is>
      </c>
      <c r="F62" t="inlineStr">
        <is>
          <t>Discharged</t>
        </is>
      </c>
      <c r="G62" t="n">
        <v>15</v>
      </c>
      <c r="H62" t="n">
        <v>79</v>
      </c>
    </row>
    <row r="63">
      <c r="A63" t="inlineStr">
        <is>
          <t>ED211267</t>
        </is>
      </c>
      <c r="B63" s="33" t="n">
        <v>45967.42986111111</v>
      </c>
      <c r="C63" t="inlineStr">
        <is>
          <t>Walk-In</t>
        </is>
      </c>
      <c r="D63" t="n">
        <v>3</v>
      </c>
      <c r="E63" t="inlineStr">
        <is>
          <t>Shortness of Breath</t>
        </is>
      </c>
      <c r="F63" t="inlineStr">
        <is>
          <t>Admitted</t>
        </is>
      </c>
      <c r="G63" t="n">
        <v>28</v>
      </c>
      <c r="H63" t="n">
        <v>327</v>
      </c>
    </row>
    <row r="64">
      <c r="A64" t="inlineStr">
        <is>
          <t>ED211268</t>
        </is>
      </c>
      <c r="B64" s="33" t="n">
        <v>45967.46736111111</v>
      </c>
      <c r="C64" t="inlineStr">
        <is>
          <t>Walk-In</t>
        </is>
      </c>
      <c r="D64" t="n">
        <v>3</v>
      </c>
      <c r="E64" t="inlineStr">
        <is>
          <t>Cough / Fever</t>
        </is>
      </c>
      <c r="F64" t="inlineStr">
        <is>
          <t>Admitted</t>
        </is>
      </c>
      <c r="G64" t="n">
        <v>40</v>
      </c>
      <c r="H64" t="n">
        <v>242</v>
      </c>
    </row>
    <row r="65">
      <c r="A65" t="inlineStr">
        <is>
          <t>ED211270</t>
        </is>
      </c>
      <c r="B65" s="33" t="n">
        <v>45967.47777777778</v>
      </c>
      <c r="C65" t="inlineStr">
        <is>
          <t>Ambulance</t>
        </is>
      </c>
      <c r="D65" t="n">
        <v>2</v>
      </c>
      <c r="E65" t="inlineStr">
        <is>
          <t>Cough / Fever</t>
        </is>
      </c>
      <c r="F65" t="inlineStr">
        <is>
          <t>Admitted</t>
        </is>
      </c>
      <c r="G65" t="n">
        <v>10</v>
      </c>
      <c r="H65" t="n">
        <v>353</v>
      </c>
    </row>
    <row r="66">
      <c r="A66" t="inlineStr">
        <is>
          <t>ED211271</t>
        </is>
      </c>
      <c r="B66" s="33" t="n">
        <v>45967.57291666666</v>
      </c>
      <c r="C66" t="inlineStr">
        <is>
          <t>Walk-In</t>
        </is>
      </c>
      <c r="D66" t="n">
        <v>4</v>
      </c>
      <c r="E66" t="inlineStr">
        <is>
          <t>Painful Urination / Fever</t>
        </is>
      </c>
      <c r="F66" t="inlineStr">
        <is>
          <t>Admitted</t>
        </is>
      </c>
      <c r="G66" t="n">
        <v>36</v>
      </c>
      <c r="H66" t="n">
        <v>244</v>
      </c>
    </row>
    <row r="67">
      <c r="A67" t="inlineStr">
        <is>
          <t>ED211272</t>
        </is>
      </c>
      <c r="B67" s="33" t="n">
        <v>45967.58402777778</v>
      </c>
      <c r="C67" t="inlineStr">
        <is>
          <t>Walk-In</t>
        </is>
      </c>
      <c r="D67" t="n">
        <v>4</v>
      </c>
      <c r="E67" t="inlineStr">
        <is>
          <t>Headache</t>
        </is>
      </c>
      <c r="F67" t="inlineStr">
        <is>
          <t>Discharged</t>
        </is>
      </c>
      <c r="G67" t="n">
        <v>82</v>
      </c>
      <c r="H67" t="n">
        <v>173</v>
      </c>
    </row>
    <row r="68">
      <c r="A68" t="inlineStr">
        <is>
          <t>ED211275</t>
        </is>
      </c>
      <c r="B68" s="33" t="n">
        <v>45967.72222222222</v>
      </c>
      <c r="C68" t="inlineStr">
        <is>
          <t>Ambulance</t>
        </is>
      </c>
      <c r="D68" t="n">
        <v>2</v>
      </c>
      <c r="E68" t="inlineStr">
        <is>
          <t>Painful Urination / Fever</t>
        </is>
      </c>
      <c r="F68" t="inlineStr">
        <is>
          <t>Observation</t>
        </is>
      </c>
      <c r="G68" t="n">
        <v>26</v>
      </c>
      <c r="H68" t="n">
        <v>351</v>
      </c>
    </row>
    <row r="69">
      <c r="A69" t="inlineStr">
        <is>
          <t>ED211276</t>
        </is>
      </c>
      <c r="B69" s="33" t="n">
        <v>45967.76805555556</v>
      </c>
      <c r="C69" t="inlineStr">
        <is>
          <t>Walk-In</t>
        </is>
      </c>
      <c r="D69" t="n">
        <v>2</v>
      </c>
      <c r="E69" t="inlineStr">
        <is>
          <t>Skin Redness / Swelling</t>
        </is>
      </c>
      <c r="F69" t="inlineStr">
        <is>
          <t>Discharged</t>
        </is>
      </c>
      <c r="G69" t="n">
        <v>10</v>
      </c>
      <c r="H69" t="n">
        <v>135</v>
      </c>
    </row>
    <row r="70">
      <c r="A70" t="inlineStr">
        <is>
          <t>ED211277</t>
        </is>
      </c>
      <c r="B70" s="33" t="n">
        <v>45967.825</v>
      </c>
      <c r="C70" t="inlineStr">
        <is>
          <t>Walk-In</t>
        </is>
      </c>
      <c r="D70" t="n">
        <v>2</v>
      </c>
      <c r="E70" t="inlineStr">
        <is>
          <t>Abdominal Pain</t>
        </is>
      </c>
      <c r="F70" t="inlineStr">
        <is>
          <t>Observation</t>
        </is>
      </c>
      <c r="G70" t="n">
        <v>33</v>
      </c>
      <c r="H70" t="n">
        <v>342</v>
      </c>
    </row>
    <row r="71">
      <c r="A71" t="inlineStr">
        <is>
          <t>ED211278</t>
        </is>
      </c>
      <c r="B71" s="33" t="n">
        <v>45967.85972222222</v>
      </c>
      <c r="C71" t="inlineStr">
        <is>
          <t>Police</t>
        </is>
      </c>
      <c r="D71" t="n">
        <v>2</v>
      </c>
      <c r="E71" t="inlineStr">
        <is>
          <t>Depression / Suicidal Thoughts</t>
        </is>
      </c>
      <c r="F71" t="inlineStr">
        <is>
          <t>Discharged</t>
        </is>
      </c>
      <c r="G71" t="n">
        <v>7</v>
      </c>
      <c r="H71" t="n">
        <v>144</v>
      </c>
    </row>
    <row r="72">
      <c r="A72" t="inlineStr">
        <is>
          <t>ED211279</t>
        </is>
      </c>
      <c r="B72" s="33" t="n">
        <v>45967.87986111111</v>
      </c>
      <c r="C72" t="inlineStr">
        <is>
          <t>Ambulance</t>
        </is>
      </c>
      <c r="D72" t="n">
        <v>3</v>
      </c>
      <c r="E72" t="inlineStr">
        <is>
          <t>Chest Pain</t>
        </is>
      </c>
      <c r="F72" t="inlineStr">
        <is>
          <t>Observation</t>
        </is>
      </c>
      <c r="G72" t="n">
        <v>61</v>
      </c>
      <c r="H72" t="n">
        <v>529</v>
      </c>
    </row>
    <row r="73">
      <c r="A73" t="inlineStr">
        <is>
          <t>ED211280</t>
        </is>
      </c>
      <c r="B73" s="33" t="n">
        <v>45967.91805555556</v>
      </c>
      <c r="C73" t="inlineStr">
        <is>
          <t>Walk-In</t>
        </is>
      </c>
      <c r="D73" t="n">
        <v>3</v>
      </c>
      <c r="E73" t="inlineStr">
        <is>
          <t>Chest Pain</t>
        </is>
      </c>
      <c r="F73" t="inlineStr">
        <is>
          <t>Observation</t>
        </is>
      </c>
      <c r="G73" t="n">
        <v>16</v>
      </c>
      <c r="H73" t="n">
        <v>265</v>
      </c>
    </row>
    <row r="74">
      <c r="A74" t="inlineStr">
        <is>
          <t>ED211282</t>
        </is>
      </c>
      <c r="B74" s="33" t="n">
        <v>45968.23125</v>
      </c>
      <c r="C74" t="inlineStr">
        <is>
          <t>Walk-In</t>
        </is>
      </c>
      <c r="D74" t="n">
        <v>4</v>
      </c>
      <c r="E74" t="inlineStr">
        <is>
          <t>Cough / Trouble Breathing</t>
        </is>
      </c>
      <c r="F74" t="inlineStr">
        <is>
          <t>Discharged</t>
        </is>
      </c>
      <c r="G74" t="n">
        <v>56</v>
      </c>
      <c r="H74" t="n">
        <v>141</v>
      </c>
    </row>
    <row r="75">
      <c r="A75" t="inlineStr">
        <is>
          <t>ED211283</t>
        </is>
      </c>
      <c r="B75" s="33" t="n">
        <v>45968.42222222222</v>
      </c>
      <c r="C75" t="inlineStr">
        <is>
          <t>Ambulance</t>
        </is>
      </c>
      <c r="D75" t="n">
        <v>3</v>
      </c>
      <c r="E75" t="inlineStr">
        <is>
          <t>Fever</t>
        </is>
      </c>
      <c r="F75" t="inlineStr">
        <is>
          <t>Admitted</t>
        </is>
      </c>
      <c r="G75" t="n">
        <v>41</v>
      </c>
      <c r="H75" t="n">
        <v>335</v>
      </c>
    </row>
    <row r="76">
      <c r="A76" t="inlineStr">
        <is>
          <t>ED211284</t>
        </is>
      </c>
      <c r="B76" s="33" t="n">
        <v>45968.43402777778</v>
      </c>
      <c r="C76" t="inlineStr">
        <is>
          <t>Walk-In</t>
        </is>
      </c>
      <c r="D76" t="n">
        <v>4</v>
      </c>
      <c r="E76" t="inlineStr">
        <is>
          <t>Laceration</t>
        </is>
      </c>
      <c r="F76" t="inlineStr">
        <is>
          <t>Observation</t>
        </is>
      </c>
      <c r="G76" t="n">
        <v>66</v>
      </c>
      <c r="H76" t="n">
        <v>174</v>
      </c>
    </row>
    <row r="77">
      <c r="A77" t="inlineStr">
        <is>
          <t>ED211285</t>
        </is>
      </c>
      <c r="B77" s="33" t="n">
        <v>45968.52916666667</v>
      </c>
      <c r="C77" t="inlineStr">
        <is>
          <t>Ambulance</t>
        </is>
      </c>
      <c r="D77" t="n">
        <v>2</v>
      </c>
      <c r="E77" t="inlineStr">
        <is>
          <t>Depression / Suicidal Thoughts</t>
        </is>
      </c>
      <c r="F77" t="inlineStr">
        <is>
          <t>Discharged</t>
        </is>
      </c>
      <c r="G77" t="n">
        <v>9</v>
      </c>
      <c r="H77" t="n">
        <v>223</v>
      </c>
    </row>
    <row r="78">
      <c r="A78" t="inlineStr">
        <is>
          <t>ED211286</t>
        </is>
      </c>
      <c r="B78" s="33" t="n">
        <v>45968.53263888889</v>
      </c>
      <c r="C78" t="inlineStr">
        <is>
          <t>Walk-In</t>
        </is>
      </c>
      <c r="D78" t="n">
        <v>4</v>
      </c>
      <c r="E78" t="inlineStr">
        <is>
          <t>Painful Urination / Fever</t>
        </is>
      </c>
      <c r="F78" t="inlineStr">
        <is>
          <t>Discharged</t>
        </is>
      </c>
      <c r="G78" t="n">
        <v>48</v>
      </c>
      <c r="H78" t="n">
        <v>95</v>
      </c>
    </row>
    <row r="79">
      <c r="A79" t="inlineStr">
        <is>
          <t>ED211287</t>
        </is>
      </c>
      <c r="B79" s="33" t="n">
        <v>45968.57847222222</v>
      </c>
      <c r="C79" t="inlineStr">
        <is>
          <t>Ambulance</t>
        </is>
      </c>
      <c r="D79" t="n">
        <v>3</v>
      </c>
      <c r="E79" t="inlineStr">
        <is>
          <t>High Blood Sugar</t>
        </is>
      </c>
      <c r="F79" t="inlineStr">
        <is>
          <t>Admitted</t>
        </is>
      </c>
      <c r="G79" t="n">
        <v>146</v>
      </c>
      <c r="H79" t="n">
        <v>372</v>
      </c>
    </row>
    <row r="80">
      <c r="A80" t="inlineStr">
        <is>
          <t>ED211289</t>
        </is>
      </c>
      <c r="B80" s="33" t="n">
        <v>45968.63888888889</v>
      </c>
      <c r="C80" t="inlineStr">
        <is>
          <t>Walk-In</t>
        </is>
      </c>
      <c r="D80" t="n">
        <v>3</v>
      </c>
      <c r="E80" t="inlineStr">
        <is>
          <t>Chest Pain</t>
        </is>
      </c>
      <c r="F80" t="inlineStr">
        <is>
          <t>Observation</t>
        </is>
      </c>
      <c r="G80" t="n">
        <v>54</v>
      </c>
      <c r="H80" t="n">
        <v>230</v>
      </c>
    </row>
    <row r="81">
      <c r="A81" t="inlineStr">
        <is>
          <t>ED211291</t>
        </is>
      </c>
      <c r="B81" s="33" t="n">
        <v>45968.68333333333</v>
      </c>
      <c r="C81" t="inlineStr">
        <is>
          <t>Walk-In</t>
        </is>
      </c>
      <c r="D81" t="n">
        <v>2</v>
      </c>
      <c r="E81" t="inlineStr">
        <is>
          <t>Shortness of Breath</t>
        </is>
      </c>
      <c r="F81" t="inlineStr">
        <is>
          <t>Admitted</t>
        </is>
      </c>
      <c r="G81" t="n">
        <v>41</v>
      </c>
      <c r="H81" t="n">
        <v>564</v>
      </c>
    </row>
    <row r="82">
      <c r="A82" t="inlineStr">
        <is>
          <t>ED211292</t>
        </is>
      </c>
      <c r="B82" s="33" t="n">
        <v>45968.69236111111</v>
      </c>
      <c r="C82" t="inlineStr">
        <is>
          <t>Ambulance</t>
        </is>
      </c>
      <c r="D82" t="n">
        <v>3</v>
      </c>
      <c r="E82" t="inlineStr">
        <is>
          <t>Weakness / Fatigue</t>
        </is>
      </c>
      <c r="F82" t="inlineStr">
        <is>
          <t>Admitted</t>
        </is>
      </c>
      <c r="G82" t="n">
        <v>49</v>
      </c>
      <c r="H82" t="n">
        <v>283</v>
      </c>
    </row>
    <row r="83">
      <c r="A83" t="inlineStr">
        <is>
          <t>ED211293</t>
        </is>
      </c>
      <c r="B83" s="33" t="n">
        <v>45968.76319444444</v>
      </c>
      <c r="C83" t="inlineStr">
        <is>
          <t>Walk-In</t>
        </is>
      </c>
      <c r="D83" t="n">
        <v>3</v>
      </c>
      <c r="E83" t="inlineStr">
        <is>
          <t>Shortness of Breath</t>
        </is>
      </c>
      <c r="F83" t="inlineStr">
        <is>
          <t>Admitted</t>
        </is>
      </c>
      <c r="G83" t="n">
        <v>67</v>
      </c>
      <c r="H83" t="n">
        <v>392</v>
      </c>
    </row>
    <row r="84">
      <c r="A84" t="inlineStr">
        <is>
          <t>ED211295</t>
        </is>
      </c>
      <c r="B84" s="33" t="n">
        <v>45968.87638888889</v>
      </c>
      <c r="C84" t="inlineStr">
        <is>
          <t>Walk-In</t>
        </is>
      </c>
      <c r="D84" t="n">
        <v>2</v>
      </c>
      <c r="E84" t="inlineStr">
        <is>
          <t>Shortness of Breath</t>
        </is>
      </c>
      <c r="F84" t="inlineStr">
        <is>
          <t>Admitted</t>
        </is>
      </c>
      <c r="G84" t="n">
        <v>18</v>
      </c>
      <c r="H84" t="n">
        <v>410</v>
      </c>
    </row>
    <row r="85">
      <c r="A85" t="inlineStr">
        <is>
          <t>ED211296</t>
        </is>
      </c>
      <c r="B85" s="33" t="n">
        <v>45968.88263888889</v>
      </c>
      <c r="C85" t="inlineStr">
        <is>
          <t>Ambulance</t>
        </is>
      </c>
      <c r="D85" t="n">
        <v>2</v>
      </c>
      <c r="E85" t="inlineStr">
        <is>
          <t>Fever / Altered Mental Status</t>
        </is>
      </c>
      <c r="F85" t="inlineStr">
        <is>
          <t>Admitted</t>
        </is>
      </c>
      <c r="G85" t="n">
        <v>6</v>
      </c>
      <c r="H85" t="n">
        <v>280</v>
      </c>
    </row>
    <row r="86">
      <c r="A86" t="inlineStr">
        <is>
          <t>ED211297</t>
        </is>
      </c>
      <c r="B86" s="33" t="n">
        <v>45968.93819444445</v>
      </c>
      <c r="C86" t="inlineStr">
        <is>
          <t>Police</t>
        </is>
      </c>
      <c r="D86" t="n">
        <v>3</v>
      </c>
      <c r="E86" t="inlineStr">
        <is>
          <t>Tremors / Alcohol Withdrawal</t>
        </is>
      </c>
      <c r="F86" t="inlineStr">
        <is>
          <t>Admitted</t>
        </is>
      </c>
      <c r="G86" t="n">
        <v>31</v>
      </c>
      <c r="H86" t="n">
        <v>386</v>
      </c>
    </row>
    <row r="87">
      <c r="A87" t="inlineStr">
        <is>
          <t>ED211299</t>
        </is>
      </c>
      <c r="B87" s="33" t="n">
        <v>45969.20138888889</v>
      </c>
      <c r="C87" t="inlineStr">
        <is>
          <t>Ambulance</t>
        </is>
      </c>
      <c r="D87" t="n">
        <v>2</v>
      </c>
      <c r="E87" t="inlineStr">
        <is>
          <t>Bloody Stool / Vomiting Blood</t>
        </is>
      </c>
      <c r="F87" t="inlineStr">
        <is>
          <t>Admitted</t>
        </is>
      </c>
      <c r="G87" t="n">
        <v>12</v>
      </c>
      <c r="H87" t="n">
        <v>192</v>
      </c>
    </row>
    <row r="88">
      <c r="A88" t="inlineStr">
        <is>
          <t>ED211300</t>
        </is>
      </c>
      <c r="B88" s="33" t="n">
        <v>45969.27291666667</v>
      </c>
      <c r="C88" t="inlineStr">
        <is>
          <t>Walk-In</t>
        </is>
      </c>
      <c r="D88" t="n">
        <v>3</v>
      </c>
      <c r="E88" t="inlineStr">
        <is>
          <t>Cough / Fever</t>
        </is>
      </c>
      <c r="F88" t="inlineStr">
        <is>
          <t>Discharged</t>
        </is>
      </c>
      <c r="G88" t="n">
        <v>88</v>
      </c>
      <c r="H88" t="n">
        <v>252</v>
      </c>
    </row>
    <row r="89">
      <c r="A89" t="inlineStr">
        <is>
          <t>ED211302</t>
        </is>
      </c>
      <c r="B89" s="33" t="n">
        <v>45969.35833333333</v>
      </c>
      <c r="C89" t="inlineStr">
        <is>
          <t>Walk-In</t>
        </is>
      </c>
      <c r="D89" t="n">
        <v>3</v>
      </c>
      <c r="E89" t="inlineStr">
        <is>
          <t>Cough / Fever</t>
        </is>
      </c>
      <c r="F89" t="inlineStr">
        <is>
          <t>Discharged</t>
        </is>
      </c>
      <c r="G89" t="n">
        <v>21</v>
      </c>
      <c r="H89" t="n">
        <v>226</v>
      </c>
    </row>
    <row r="90">
      <c r="A90" t="inlineStr">
        <is>
          <t>ED211304</t>
        </is>
      </c>
      <c r="B90" s="33" t="n">
        <v>45969.45555555556</v>
      </c>
      <c r="C90" t="inlineStr">
        <is>
          <t>Ambulance</t>
        </is>
      </c>
      <c r="D90" t="n">
        <v>3</v>
      </c>
      <c r="E90" t="inlineStr">
        <is>
          <t>Cough / Trouble Breathing</t>
        </is>
      </c>
      <c r="F90" t="inlineStr">
        <is>
          <t>Admitted</t>
        </is>
      </c>
      <c r="G90" t="n">
        <v>37</v>
      </c>
      <c r="H90" t="n">
        <v>376</v>
      </c>
    </row>
    <row r="91">
      <c r="A91" t="inlineStr">
        <is>
          <t>ED211305</t>
        </is>
      </c>
      <c r="B91" s="33" t="n">
        <v>45969.48472222222</v>
      </c>
      <c r="C91" t="inlineStr">
        <is>
          <t>Walk-In</t>
        </is>
      </c>
      <c r="D91" t="n">
        <v>5</v>
      </c>
      <c r="E91" t="inlineStr">
        <is>
          <t>Anxiety / Palpitations</t>
        </is>
      </c>
      <c r="F91" t="inlineStr">
        <is>
          <t>Discharged</t>
        </is>
      </c>
      <c r="G91" t="n">
        <v>173</v>
      </c>
      <c r="H91" t="n">
        <v>247</v>
      </c>
    </row>
    <row r="92">
      <c r="A92" t="inlineStr">
        <is>
          <t>ED211306</t>
        </is>
      </c>
      <c r="B92" s="33" t="n">
        <v>45969.53402777778</v>
      </c>
      <c r="C92" t="inlineStr">
        <is>
          <t>Ambulance</t>
        </is>
      </c>
      <c r="D92" t="n">
        <v>2</v>
      </c>
      <c r="E92" t="inlineStr">
        <is>
          <t>Fall</t>
        </is>
      </c>
      <c r="F92" t="inlineStr">
        <is>
          <t>Observation</t>
        </is>
      </c>
      <c r="G92" t="n">
        <v>21</v>
      </c>
      <c r="H92" t="n">
        <v>333</v>
      </c>
    </row>
    <row r="93">
      <c r="A93" t="inlineStr">
        <is>
          <t>ED211307</t>
        </is>
      </c>
      <c r="B93" s="33" t="n">
        <v>45969.57291666666</v>
      </c>
      <c r="C93" t="inlineStr">
        <is>
          <t>Ambulance</t>
        </is>
      </c>
      <c r="D93" t="n">
        <v>4</v>
      </c>
      <c r="E93" t="inlineStr">
        <is>
          <t>Back Pain</t>
        </is>
      </c>
      <c r="F93" t="inlineStr">
        <is>
          <t>Discharged</t>
        </is>
      </c>
      <c r="G93" t="n">
        <v>115</v>
      </c>
      <c r="H93" t="n">
        <v>194</v>
      </c>
    </row>
    <row r="94">
      <c r="A94" t="inlineStr">
        <is>
          <t>ED211308</t>
        </is>
      </c>
      <c r="B94" s="33" t="n">
        <v>45969.5875</v>
      </c>
      <c r="C94" t="inlineStr">
        <is>
          <t>Walk-In</t>
        </is>
      </c>
      <c r="D94" t="n">
        <v>2</v>
      </c>
      <c r="E94" t="inlineStr">
        <is>
          <t>Cough / Fever</t>
        </is>
      </c>
      <c r="F94" t="inlineStr">
        <is>
          <t>Admitted</t>
        </is>
      </c>
      <c r="G94" t="n">
        <v>12</v>
      </c>
      <c r="H94" t="n">
        <v>301</v>
      </c>
    </row>
    <row r="95">
      <c r="A95" t="inlineStr">
        <is>
          <t>ED211309</t>
        </is>
      </c>
      <c r="B95" s="33" t="n">
        <v>45969.65902777778</v>
      </c>
      <c r="C95" t="inlineStr">
        <is>
          <t>Ambulance</t>
        </is>
      </c>
      <c r="D95" t="n">
        <v>2</v>
      </c>
      <c r="E95" t="inlineStr">
        <is>
          <t>Depression / Suicidal Thoughts</t>
        </is>
      </c>
      <c r="F95" t="inlineStr">
        <is>
          <t>Discharged</t>
        </is>
      </c>
      <c r="G95" t="n">
        <v>8</v>
      </c>
      <c r="H95" t="n">
        <v>251</v>
      </c>
    </row>
    <row r="96">
      <c r="A96" t="inlineStr">
        <is>
          <t>ED211311</t>
        </is>
      </c>
      <c r="B96" s="33" t="n">
        <v>45969.7</v>
      </c>
      <c r="C96" t="inlineStr">
        <is>
          <t>Ambulance</t>
        </is>
      </c>
      <c r="D96" t="n">
        <v>3</v>
      </c>
      <c r="E96" t="inlineStr">
        <is>
          <t>Vomiting / Dizziness</t>
        </is>
      </c>
      <c r="F96" t="inlineStr">
        <is>
          <t>Admitted</t>
        </is>
      </c>
      <c r="G96" t="n">
        <v>91</v>
      </c>
      <c r="H96" t="n">
        <v>244</v>
      </c>
    </row>
    <row r="97">
      <c r="A97" t="inlineStr">
        <is>
          <t>ED211313</t>
        </is>
      </c>
      <c r="B97" s="33" t="n">
        <v>45969.79722222222</v>
      </c>
      <c r="C97" t="inlineStr">
        <is>
          <t>Walk-In</t>
        </is>
      </c>
      <c r="D97" t="n">
        <v>3</v>
      </c>
      <c r="E97" t="inlineStr">
        <is>
          <t>Chest Pain</t>
        </is>
      </c>
      <c r="F97" t="inlineStr">
        <is>
          <t>Discharged</t>
        </is>
      </c>
      <c r="G97" t="n">
        <v>32</v>
      </c>
      <c r="H97" t="n">
        <v>161</v>
      </c>
    </row>
    <row r="98">
      <c r="A98" t="inlineStr">
        <is>
          <t>ED211314</t>
        </is>
      </c>
      <c r="B98" s="33" t="n">
        <v>45969.84097222222</v>
      </c>
      <c r="C98" t="inlineStr">
        <is>
          <t>Ambulance</t>
        </is>
      </c>
      <c r="D98" t="n">
        <v>2</v>
      </c>
      <c r="E98" t="inlineStr">
        <is>
          <t>Shortness of Breath</t>
        </is>
      </c>
      <c r="F98" t="inlineStr">
        <is>
          <t>Admitted</t>
        </is>
      </c>
      <c r="G98" t="n">
        <v>16</v>
      </c>
      <c r="H98" t="n">
        <v>376</v>
      </c>
    </row>
    <row r="99">
      <c r="A99" t="inlineStr">
        <is>
          <t>ED211315</t>
        </is>
      </c>
      <c r="B99" s="33" t="n">
        <v>45969.84652777778</v>
      </c>
      <c r="C99" t="inlineStr">
        <is>
          <t>Ambulance</t>
        </is>
      </c>
      <c r="D99" t="n">
        <v>2</v>
      </c>
      <c r="E99" t="inlineStr">
        <is>
          <t>Tremors / Alcohol Withdrawal</t>
        </is>
      </c>
      <c r="F99" t="inlineStr">
        <is>
          <t>Admitted</t>
        </is>
      </c>
      <c r="G99" t="n">
        <v>25</v>
      </c>
      <c r="H99" t="n">
        <v>306</v>
      </c>
    </row>
    <row r="100">
      <c r="A100" t="inlineStr">
        <is>
          <t>ED211317</t>
        </is>
      </c>
      <c r="B100" s="33" t="n">
        <v>45969.95972222222</v>
      </c>
      <c r="C100" t="inlineStr">
        <is>
          <t>Walk-In</t>
        </is>
      </c>
      <c r="D100" t="n">
        <v>3</v>
      </c>
      <c r="E100" t="inlineStr">
        <is>
          <t>Palpitations</t>
        </is>
      </c>
      <c r="F100" t="inlineStr">
        <is>
          <t>Admitted</t>
        </is>
      </c>
      <c r="G100" t="n">
        <v>17</v>
      </c>
      <c r="H100" t="n">
        <v>193</v>
      </c>
    </row>
    <row r="101">
      <c r="A101" t="inlineStr">
        <is>
          <t>ED211319</t>
        </is>
      </c>
      <c r="B101" s="33" t="n">
        <v>45970.025</v>
      </c>
      <c r="C101" t="inlineStr">
        <is>
          <t>Walk-In</t>
        </is>
      </c>
      <c r="D101" t="n">
        <v>3</v>
      </c>
      <c r="E101" t="inlineStr">
        <is>
          <t>Headache</t>
        </is>
      </c>
      <c r="F101" t="inlineStr">
        <is>
          <t>Discharged</t>
        </is>
      </c>
      <c r="G101" t="n">
        <v>16</v>
      </c>
      <c r="H101" t="n">
        <v>203</v>
      </c>
    </row>
    <row r="102">
      <c r="A102" t="inlineStr">
        <is>
          <t>ED211320</t>
        </is>
      </c>
      <c r="B102" s="33" t="n">
        <v>45970.225</v>
      </c>
      <c r="C102" t="inlineStr">
        <is>
          <t>Walk-In</t>
        </is>
      </c>
      <c r="D102" t="n">
        <v>3</v>
      </c>
      <c r="E102" t="inlineStr">
        <is>
          <t>Abdominal Pain</t>
        </is>
      </c>
      <c r="F102" t="inlineStr">
        <is>
          <t>Discharged</t>
        </is>
      </c>
      <c r="G102" t="n">
        <v>34</v>
      </c>
      <c r="H102" t="n">
        <v>163</v>
      </c>
    </row>
    <row r="103">
      <c r="A103" t="inlineStr">
        <is>
          <t>ED211321</t>
        </is>
      </c>
      <c r="B103" s="33" t="n">
        <v>45970.2625</v>
      </c>
      <c r="C103" t="inlineStr">
        <is>
          <t>Ambulance</t>
        </is>
      </c>
      <c r="D103" t="n">
        <v>2</v>
      </c>
      <c r="E103" t="inlineStr">
        <is>
          <t>Shortness of Breath</t>
        </is>
      </c>
      <c r="F103" t="inlineStr">
        <is>
          <t>Admitted</t>
        </is>
      </c>
      <c r="G103" t="n">
        <v>15</v>
      </c>
      <c r="H103" t="n">
        <v>371</v>
      </c>
    </row>
    <row r="104">
      <c r="A104" t="inlineStr">
        <is>
          <t>ED211323</t>
        </is>
      </c>
      <c r="B104" s="33" t="n">
        <v>45970.44375</v>
      </c>
      <c r="C104" t="inlineStr">
        <is>
          <t>Walk-In</t>
        </is>
      </c>
      <c r="D104" t="n">
        <v>3</v>
      </c>
      <c r="E104" t="inlineStr">
        <is>
          <t>Seizure</t>
        </is>
      </c>
      <c r="F104" t="inlineStr">
        <is>
          <t>Discharged</t>
        </is>
      </c>
      <c r="G104" t="n">
        <v>54</v>
      </c>
      <c r="H104" t="n">
        <v>295</v>
      </c>
    </row>
    <row r="105">
      <c r="A105" t="inlineStr">
        <is>
          <t>ED211325</t>
        </is>
      </c>
      <c r="B105" s="33" t="n">
        <v>45970.56180555555</v>
      </c>
      <c r="C105" t="inlineStr">
        <is>
          <t>Walk-In</t>
        </is>
      </c>
      <c r="D105" t="n">
        <v>3</v>
      </c>
      <c r="E105" t="inlineStr">
        <is>
          <t>Cough / Fever</t>
        </is>
      </c>
      <c r="F105" t="inlineStr">
        <is>
          <t>Discharged</t>
        </is>
      </c>
      <c r="G105" t="n">
        <v>15</v>
      </c>
      <c r="H105" t="n">
        <v>201</v>
      </c>
    </row>
    <row r="106">
      <c r="A106" t="inlineStr">
        <is>
          <t>ED211326</t>
        </is>
      </c>
      <c r="B106" s="33" t="n">
        <v>45970.57847222222</v>
      </c>
      <c r="C106" t="inlineStr">
        <is>
          <t>Ambulance</t>
        </is>
      </c>
      <c r="D106" t="n">
        <v>4</v>
      </c>
      <c r="E106" t="inlineStr">
        <is>
          <t>Cough / Trouble Breathing</t>
        </is>
      </c>
      <c r="F106" t="inlineStr">
        <is>
          <t>Discharged</t>
        </is>
      </c>
      <c r="G106" t="n">
        <v>46</v>
      </c>
      <c r="H106" t="n">
        <v>93</v>
      </c>
    </row>
    <row r="107">
      <c r="A107" t="inlineStr">
        <is>
          <t>ED211327</t>
        </is>
      </c>
      <c r="B107" s="33" t="n">
        <v>45970.74791666667</v>
      </c>
      <c r="C107" t="inlineStr">
        <is>
          <t>Walk-In</t>
        </is>
      </c>
      <c r="D107" t="n">
        <v>4</v>
      </c>
      <c r="E107" t="inlineStr">
        <is>
          <t>Ear Pain / Fever</t>
        </is>
      </c>
      <c r="F107" t="inlineStr">
        <is>
          <t>Discharged</t>
        </is>
      </c>
      <c r="G107" t="n">
        <v>86</v>
      </c>
      <c r="H107" t="n">
        <v>180</v>
      </c>
    </row>
    <row r="108">
      <c r="A108" t="inlineStr">
        <is>
          <t>ED211328</t>
        </is>
      </c>
      <c r="B108" s="33" t="n">
        <v>45970.79444444444</v>
      </c>
      <c r="C108" t="inlineStr">
        <is>
          <t>Ambulance</t>
        </is>
      </c>
      <c r="D108" t="n">
        <v>2</v>
      </c>
      <c r="E108" t="inlineStr">
        <is>
          <t>Cough / Fever</t>
        </is>
      </c>
      <c r="F108" t="inlineStr">
        <is>
          <t>Admitted</t>
        </is>
      </c>
      <c r="G108" t="n">
        <v>17</v>
      </c>
      <c r="H108" t="n">
        <v>292</v>
      </c>
    </row>
    <row r="109">
      <c r="A109" t="inlineStr">
        <is>
          <t>ED211330</t>
        </is>
      </c>
      <c r="B109" s="33" t="n">
        <v>45971.42083333333</v>
      </c>
      <c r="C109" t="inlineStr">
        <is>
          <t>Walk-In</t>
        </is>
      </c>
      <c r="D109" t="n">
        <v>3</v>
      </c>
      <c r="E109" t="inlineStr">
        <is>
          <t>Abdominal Pain</t>
        </is>
      </c>
      <c r="F109" t="inlineStr">
        <is>
          <t>Discharged</t>
        </is>
      </c>
      <c r="G109" t="n">
        <v>19</v>
      </c>
      <c r="H109" t="n">
        <v>165</v>
      </c>
    </row>
    <row r="110">
      <c r="A110" t="inlineStr">
        <is>
          <t>ED211332</t>
        </is>
      </c>
      <c r="B110" s="33" t="n">
        <v>45971.53472222222</v>
      </c>
      <c r="C110" t="inlineStr">
        <is>
          <t>Ambulance</t>
        </is>
      </c>
      <c r="D110" t="n">
        <v>2</v>
      </c>
      <c r="E110" t="inlineStr">
        <is>
          <t>Fever / Altered Mental Status</t>
        </is>
      </c>
      <c r="F110" t="inlineStr">
        <is>
          <t>Admitted</t>
        </is>
      </c>
      <c r="G110" t="n">
        <v>35</v>
      </c>
      <c r="H110" t="n">
        <v>700</v>
      </c>
    </row>
    <row r="111">
      <c r="A111" t="inlineStr">
        <is>
          <t>ED211333</t>
        </is>
      </c>
      <c r="B111" s="33" t="n">
        <v>45971.53611111111</v>
      </c>
      <c r="C111" t="inlineStr">
        <is>
          <t>Walk-In</t>
        </is>
      </c>
      <c r="D111" t="n">
        <v>4</v>
      </c>
      <c r="E111" t="inlineStr">
        <is>
          <t>Fall</t>
        </is>
      </c>
      <c r="F111" t="inlineStr">
        <is>
          <t>Observation</t>
        </is>
      </c>
      <c r="G111" t="n">
        <v>151</v>
      </c>
      <c r="H111" t="n">
        <v>251</v>
      </c>
    </row>
    <row r="112">
      <c r="A112" t="inlineStr">
        <is>
          <t>ED211334</t>
        </is>
      </c>
      <c r="B112" s="33" t="n">
        <v>45971.54236111111</v>
      </c>
      <c r="C112" t="inlineStr">
        <is>
          <t>Ambulance</t>
        </is>
      </c>
      <c r="D112" t="n">
        <v>2</v>
      </c>
      <c r="E112" t="inlineStr">
        <is>
          <t>Cough / Fever</t>
        </is>
      </c>
      <c r="F112" t="inlineStr">
        <is>
          <t>Admitted</t>
        </is>
      </c>
      <c r="G112" t="n">
        <v>19</v>
      </c>
      <c r="H112" t="n">
        <v>232</v>
      </c>
    </row>
    <row r="113">
      <c r="A113" t="inlineStr">
        <is>
          <t>ED211335</t>
        </is>
      </c>
      <c r="B113" s="33" t="n">
        <v>45971.56597222222</v>
      </c>
      <c r="C113" t="inlineStr">
        <is>
          <t>Ambulance</t>
        </is>
      </c>
      <c r="D113" t="n">
        <v>2</v>
      </c>
      <c r="E113" t="inlineStr">
        <is>
          <t>Depression / Suicidal Thoughts</t>
        </is>
      </c>
      <c r="F113" t="inlineStr">
        <is>
          <t>Discharged</t>
        </is>
      </c>
      <c r="G113" t="n">
        <v>15</v>
      </c>
      <c r="H113" t="n">
        <v>231</v>
      </c>
    </row>
    <row r="114">
      <c r="A114" t="inlineStr">
        <is>
          <t>ED211336</t>
        </is>
      </c>
      <c r="B114" s="33" t="n">
        <v>45971.59444444445</v>
      </c>
      <c r="C114" t="inlineStr">
        <is>
          <t>Ambulance</t>
        </is>
      </c>
      <c r="D114" t="n">
        <v>2</v>
      </c>
      <c r="E114" t="inlineStr">
        <is>
          <t>Chest Pain</t>
        </is>
      </c>
      <c r="F114" t="inlineStr">
        <is>
          <t>Discharged</t>
        </is>
      </c>
      <c r="G114" t="n">
        <v>90</v>
      </c>
      <c r="H114" t="n">
        <v>314</v>
      </c>
    </row>
    <row r="115">
      <c r="A115" t="inlineStr">
        <is>
          <t>ED211337</t>
        </is>
      </c>
      <c r="B115" s="33" t="n">
        <v>45971.60208333333</v>
      </c>
      <c r="C115" t="inlineStr">
        <is>
          <t>Police</t>
        </is>
      </c>
      <c r="D115" t="n">
        <v>5</v>
      </c>
      <c r="E115" t="inlineStr">
        <is>
          <t>Anxiety / Palpitations</t>
        </is>
      </c>
      <c r="F115" t="inlineStr">
        <is>
          <t>Discharged</t>
        </is>
      </c>
      <c r="G115" t="n">
        <v>57</v>
      </c>
      <c r="H115" t="n">
        <v>136</v>
      </c>
    </row>
    <row r="116">
      <c r="A116" t="inlineStr">
        <is>
          <t>ED211341</t>
        </is>
      </c>
      <c r="B116" s="33" t="n">
        <v>45971.75138888889</v>
      </c>
      <c r="C116" t="inlineStr">
        <is>
          <t>Walk-In</t>
        </is>
      </c>
      <c r="D116" t="n">
        <v>3</v>
      </c>
      <c r="E116" t="inlineStr">
        <is>
          <t>Skin Redness / Swelling</t>
        </is>
      </c>
      <c r="F116" t="inlineStr">
        <is>
          <t>Discharged</t>
        </is>
      </c>
      <c r="G116" t="n">
        <v>74</v>
      </c>
      <c r="H116" t="n">
        <v>201</v>
      </c>
    </row>
    <row r="117">
      <c r="A117" t="inlineStr">
        <is>
          <t>ED211342</t>
        </is>
      </c>
      <c r="B117" s="33" t="n">
        <v>45971.76111111111</v>
      </c>
      <c r="C117" t="inlineStr">
        <is>
          <t>Ambulance</t>
        </is>
      </c>
      <c r="D117" t="n">
        <v>3</v>
      </c>
      <c r="E117" t="inlineStr">
        <is>
          <t>Cough / Trouble Breathing</t>
        </is>
      </c>
      <c r="F117" t="inlineStr">
        <is>
          <t>Discharged</t>
        </is>
      </c>
      <c r="G117" t="n">
        <v>87</v>
      </c>
      <c r="H117" t="n">
        <v>208</v>
      </c>
    </row>
    <row r="118">
      <c r="A118" t="inlineStr">
        <is>
          <t>ED211343</t>
        </is>
      </c>
      <c r="B118" s="33" t="n">
        <v>45971.85</v>
      </c>
      <c r="C118" t="inlineStr">
        <is>
          <t>Walk-In</t>
        </is>
      </c>
      <c r="D118" t="n">
        <v>4</v>
      </c>
      <c r="E118" t="inlineStr">
        <is>
          <t>Cough / Fever</t>
        </is>
      </c>
      <c r="F118" t="inlineStr">
        <is>
          <t>Discharged</t>
        </is>
      </c>
      <c r="G118" t="n">
        <v>31</v>
      </c>
      <c r="H118" t="n">
        <v>149</v>
      </c>
    </row>
    <row r="119">
      <c r="A119" t="inlineStr">
        <is>
          <t>ED211344</t>
        </is>
      </c>
      <c r="B119" s="33" t="n">
        <v>45971.90208333333</v>
      </c>
      <c r="C119" t="inlineStr">
        <is>
          <t>Ambulance</t>
        </is>
      </c>
      <c r="D119" t="n">
        <v>2</v>
      </c>
      <c r="E119" t="inlineStr">
        <is>
          <t>Breast Mass</t>
        </is>
      </c>
      <c r="F119" t="inlineStr">
        <is>
          <t>Admitted</t>
        </is>
      </c>
      <c r="G119" t="n">
        <v>6</v>
      </c>
      <c r="H119" t="n">
        <v>415</v>
      </c>
    </row>
    <row r="120">
      <c r="A120" t="inlineStr">
        <is>
          <t>ED211345</t>
        </is>
      </c>
      <c r="B120" s="33" t="n">
        <v>45971.96805555555</v>
      </c>
      <c r="C120" t="inlineStr">
        <is>
          <t>Walk-In</t>
        </is>
      </c>
      <c r="D120" t="n">
        <v>5</v>
      </c>
      <c r="E120" t="inlineStr">
        <is>
          <t>Headache</t>
        </is>
      </c>
      <c r="F120" t="inlineStr">
        <is>
          <t>Discharged</t>
        </is>
      </c>
      <c r="G120" t="n">
        <v>90</v>
      </c>
      <c r="H120" t="n">
        <v>173</v>
      </c>
    </row>
    <row r="121">
      <c r="A121" t="inlineStr">
        <is>
          <t>ED211346</t>
        </is>
      </c>
      <c r="B121" s="33" t="n">
        <v>45971.99097222222</v>
      </c>
      <c r="C121" t="inlineStr">
        <is>
          <t>Walk-In</t>
        </is>
      </c>
      <c r="D121" t="n">
        <v>5</v>
      </c>
      <c r="E121" t="inlineStr">
        <is>
          <t>Cough / Fever</t>
        </is>
      </c>
      <c r="F121" t="inlineStr">
        <is>
          <t>Discharged</t>
        </is>
      </c>
      <c r="G121" t="n">
        <v>24</v>
      </c>
      <c r="H121" t="n">
        <v>118</v>
      </c>
    </row>
    <row r="122">
      <c r="A122" t="inlineStr">
        <is>
          <t>ED211351</t>
        </is>
      </c>
      <c r="B122" s="33" t="n">
        <v>45972.44722222222</v>
      </c>
      <c r="C122" t="inlineStr">
        <is>
          <t>Walk-In</t>
        </is>
      </c>
      <c r="D122" t="n">
        <v>3</v>
      </c>
      <c r="E122" t="inlineStr">
        <is>
          <t>Fainting</t>
        </is>
      </c>
      <c r="F122" t="inlineStr">
        <is>
          <t>Discharged</t>
        </is>
      </c>
      <c r="G122" t="n">
        <v>39</v>
      </c>
      <c r="H122" t="n">
        <v>213</v>
      </c>
    </row>
    <row r="123">
      <c r="A123" t="inlineStr">
        <is>
          <t>ED211352</t>
        </is>
      </c>
      <c r="B123" s="33" t="n">
        <v>45972.45625</v>
      </c>
      <c r="C123" t="inlineStr">
        <is>
          <t>Walk-In</t>
        </is>
      </c>
      <c r="D123" t="n">
        <v>5</v>
      </c>
      <c r="E123" t="inlineStr">
        <is>
          <t>Cough / Fever</t>
        </is>
      </c>
      <c r="F123" t="inlineStr">
        <is>
          <t>Discharged</t>
        </is>
      </c>
      <c r="G123" t="n">
        <v>66</v>
      </c>
      <c r="H123" t="n">
        <v>140</v>
      </c>
    </row>
    <row r="124">
      <c r="A124" t="inlineStr">
        <is>
          <t>ED211353</t>
        </is>
      </c>
      <c r="B124" s="33" t="n">
        <v>45972.4625</v>
      </c>
      <c r="C124" t="inlineStr">
        <is>
          <t>Walk-In</t>
        </is>
      </c>
      <c r="D124" t="n">
        <v>3</v>
      </c>
      <c r="E124" t="inlineStr">
        <is>
          <t>Abdominal Pain</t>
        </is>
      </c>
      <c r="F124" t="inlineStr">
        <is>
          <t>Discharged</t>
        </is>
      </c>
      <c r="G124" t="n">
        <v>20</v>
      </c>
      <c r="H124" t="n">
        <v>175</v>
      </c>
    </row>
    <row r="125">
      <c r="A125" t="inlineStr">
        <is>
          <t>ED211354</t>
        </is>
      </c>
      <c r="B125" s="33" t="n">
        <v>45972.47222222222</v>
      </c>
      <c r="C125" t="inlineStr">
        <is>
          <t>Walk-In</t>
        </is>
      </c>
      <c r="D125" t="n">
        <v>3</v>
      </c>
      <c r="E125" t="inlineStr">
        <is>
          <t>Cough / Fever</t>
        </is>
      </c>
      <c r="F125" t="inlineStr">
        <is>
          <t>Discharged</t>
        </is>
      </c>
      <c r="G125" t="n">
        <v>64</v>
      </c>
      <c r="H125" t="n">
        <v>251</v>
      </c>
    </row>
    <row r="126">
      <c r="A126" t="inlineStr">
        <is>
          <t>ED211355</t>
        </is>
      </c>
      <c r="B126" s="33" t="n">
        <v>45972.49791666667</v>
      </c>
      <c r="C126" t="inlineStr">
        <is>
          <t>Walk-In</t>
        </is>
      </c>
      <c r="D126" t="n">
        <v>4</v>
      </c>
      <c r="E126" t="inlineStr">
        <is>
          <t>Nausea</t>
        </is>
      </c>
      <c r="F126" t="inlineStr">
        <is>
          <t>Left AMA</t>
        </is>
      </c>
      <c r="G126" t="n">
        <v>67</v>
      </c>
      <c r="H126" t="n">
        <v>94</v>
      </c>
    </row>
    <row r="127">
      <c r="A127" t="inlineStr">
        <is>
          <t>ED211357</t>
        </is>
      </c>
      <c r="B127" s="33" t="n">
        <v>45972.52430555555</v>
      </c>
      <c r="C127" t="inlineStr">
        <is>
          <t>Walk-In</t>
        </is>
      </c>
      <c r="D127" t="n">
        <v>3</v>
      </c>
      <c r="E127" t="inlineStr">
        <is>
          <t>Headache</t>
        </is>
      </c>
      <c r="F127" t="inlineStr">
        <is>
          <t>Discharged</t>
        </is>
      </c>
      <c r="G127" t="n">
        <v>31</v>
      </c>
      <c r="H127" t="n">
        <v>221</v>
      </c>
    </row>
    <row r="128">
      <c r="A128" t="inlineStr">
        <is>
          <t>ED211358</t>
        </is>
      </c>
      <c r="B128" s="33" t="n">
        <v>45972.52916666667</v>
      </c>
      <c r="C128" t="inlineStr">
        <is>
          <t>Walk-In</t>
        </is>
      </c>
      <c r="D128" t="n">
        <v>4</v>
      </c>
      <c r="E128" t="inlineStr">
        <is>
          <t>Ear Pain / Fever</t>
        </is>
      </c>
      <c r="F128" t="inlineStr">
        <is>
          <t>Discharged</t>
        </is>
      </c>
      <c r="G128" t="n">
        <v>36</v>
      </c>
      <c r="H128" t="n">
        <v>116</v>
      </c>
    </row>
    <row r="129">
      <c r="A129" t="inlineStr">
        <is>
          <t>ED211359</t>
        </is>
      </c>
      <c r="B129" s="33" t="n">
        <v>45972.53958333333</v>
      </c>
      <c r="C129" t="inlineStr">
        <is>
          <t>Walk-In</t>
        </is>
      </c>
      <c r="D129" t="n">
        <v>3</v>
      </c>
      <c r="E129" t="inlineStr">
        <is>
          <t>Shortness of Breath</t>
        </is>
      </c>
      <c r="F129" t="inlineStr">
        <is>
          <t>Admitted</t>
        </is>
      </c>
      <c r="G129" t="n">
        <v>63</v>
      </c>
      <c r="H129" t="n">
        <v>516</v>
      </c>
    </row>
    <row r="130">
      <c r="A130" t="inlineStr">
        <is>
          <t>ED211360</t>
        </is>
      </c>
      <c r="B130" s="33" t="n">
        <v>45972.54166666666</v>
      </c>
      <c r="C130" t="inlineStr">
        <is>
          <t>Ambulance</t>
        </is>
      </c>
      <c r="D130" t="n">
        <v>4</v>
      </c>
      <c r="E130" t="inlineStr">
        <is>
          <t>Back Pain</t>
        </is>
      </c>
      <c r="F130" t="inlineStr">
        <is>
          <t>Discharged</t>
        </is>
      </c>
      <c r="G130" t="n">
        <v>40</v>
      </c>
      <c r="H130" t="n">
        <v>167</v>
      </c>
    </row>
    <row r="131">
      <c r="A131" t="inlineStr">
        <is>
          <t>ED211362</t>
        </is>
      </c>
      <c r="B131" s="33" t="n">
        <v>45972.65069444444</v>
      </c>
      <c r="C131" t="inlineStr">
        <is>
          <t>Ambulance</t>
        </is>
      </c>
      <c r="D131" t="n">
        <v>3</v>
      </c>
      <c r="E131" t="inlineStr">
        <is>
          <t>Vomiting / Diarrhea</t>
        </is>
      </c>
      <c r="F131" t="inlineStr">
        <is>
          <t>Discharged</t>
        </is>
      </c>
      <c r="G131" t="n">
        <v>51</v>
      </c>
      <c r="H131" t="n">
        <v>201</v>
      </c>
    </row>
    <row r="132">
      <c r="A132" t="inlineStr">
        <is>
          <t>ED211363</t>
        </is>
      </c>
      <c r="B132" s="33" t="n">
        <v>45972.66875</v>
      </c>
      <c r="C132" t="inlineStr">
        <is>
          <t>Police</t>
        </is>
      </c>
      <c r="D132" t="n">
        <v>2</v>
      </c>
      <c r="E132" t="inlineStr">
        <is>
          <t>Depression / Suicidal Thoughts</t>
        </is>
      </c>
      <c r="F132" t="inlineStr">
        <is>
          <t>Discharged</t>
        </is>
      </c>
      <c r="G132" t="n">
        <v>27</v>
      </c>
      <c r="H132" t="n">
        <v>247</v>
      </c>
    </row>
    <row r="133">
      <c r="A133" t="inlineStr">
        <is>
          <t>ED211364</t>
        </is>
      </c>
      <c r="B133" s="33" t="n">
        <v>45972.68888888889</v>
      </c>
      <c r="C133" t="inlineStr">
        <is>
          <t>Walk-In</t>
        </is>
      </c>
      <c r="D133" t="n">
        <v>4</v>
      </c>
      <c r="E133" t="inlineStr">
        <is>
          <t>Shortness of Breath</t>
        </is>
      </c>
      <c r="F133" t="inlineStr">
        <is>
          <t>Discharged</t>
        </is>
      </c>
      <c r="G133" t="n">
        <v>72</v>
      </c>
      <c r="H133" t="n">
        <v>164</v>
      </c>
    </row>
    <row r="134">
      <c r="A134" t="inlineStr">
        <is>
          <t>ED211365</t>
        </is>
      </c>
      <c r="B134" s="33" t="n">
        <v>45972.77013888889</v>
      </c>
      <c r="C134" t="inlineStr">
        <is>
          <t>Walk-In</t>
        </is>
      </c>
      <c r="D134" t="n">
        <v>4</v>
      </c>
      <c r="E134" t="inlineStr">
        <is>
          <t>Vomiting / Dizziness</t>
        </is>
      </c>
      <c r="F134" t="inlineStr">
        <is>
          <t>Discharged</t>
        </is>
      </c>
      <c r="G134" t="n">
        <v>62</v>
      </c>
      <c r="H134" t="n">
        <v>163</v>
      </c>
    </row>
    <row r="135">
      <c r="A135" t="inlineStr">
        <is>
          <t>ED211366</t>
        </is>
      </c>
      <c r="B135" s="33" t="n">
        <v>45972.82430555556</v>
      </c>
      <c r="C135" t="inlineStr">
        <is>
          <t>Walk-In</t>
        </is>
      </c>
      <c r="D135" t="n">
        <v>5</v>
      </c>
      <c r="E135" t="inlineStr">
        <is>
          <t>Cough / Fever</t>
        </is>
      </c>
      <c r="F135" t="inlineStr">
        <is>
          <t>Discharged</t>
        </is>
      </c>
      <c r="G135" t="n">
        <v>54</v>
      </c>
      <c r="H135" t="n">
        <v>119</v>
      </c>
    </row>
    <row r="136">
      <c r="A136" t="inlineStr">
        <is>
          <t>ED211368</t>
        </is>
      </c>
      <c r="B136" s="33" t="n">
        <v>45973.07361111111</v>
      </c>
      <c r="C136" t="inlineStr">
        <is>
          <t>Walk-In</t>
        </is>
      </c>
      <c r="D136" t="n">
        <v>4</v>
      </c>
      <c r="E136" t="inlineStr">
        <is>
          <t>Abdominal Pain</t>
        </is>
      </c>
      <c r="F136" t="inlineStr">
        <is>
          <t>Discharged</t>
        </is>
      </c>
      <c r="G136" t="n">
        <v>48</v>
      </c>
      <c r="H136" t="n">
        <v>137</v>
      </c>
    </row>
    <row r="137">
      <c r="A137" t="inlineStr">
        <is>
          <t>ED211369</t>
        </is>
      </c>
      <c r="B137" s="33" t="n">
        <v>45973.12361111111</v>
      </c>
      <c r="C137" t="inlineStr">
        <is>
          <t>Ambulance</t>
        </is>
      </c>
      <c r="D137" t="n">
        <v>2</v>
      </c>
      <c r="E137" t="inlineStr">
        <is>
          <t>Cough / Fever</t>
        </is>
      </c>
      <c r="F137" t="inlineStr">
        <is>
          <t>Admitted</t>
        </is>
      </c>
      <c r="G137" t="n">
        <v>7</v>
      </c>
      <c r="H137" t="n">
        <v>320</v>
      </c>
    </row>
    <row r="138">
      <c r="A138" t="inlineStr">
        <is>
          <t>ED211370</t>
        </is>
      </c>
      <c r="B138" s="33" t="n">
        <v>45973.12847222222</v>
      </c>
      <c r="C138" t="inlineStr">
        <is>
          <t>Walk-In</t>
        </is>
      </c>
      <c r="D138" t="n">
        <v>3</v>
      </c>
      <c r="E138" t="inlineStr">
        <is>
          <t>Cough / Fever</t>
        </is>
      </c>
      <c r="F138" t="inlineStr">
        <is>
          <t>Discharged</t>
        </is>
      </c>
      <c r="G138" t="n">
        <v>20</v>
      </c>
      <c r="H138" t="n">
        <v>161</v>
      </c>
    </row>
    <row r="139">
      <c r="A139" t="inlineStr">
        <is>
          <t>ED211371</t>
        </is>
      </c>
      <c r="B139" s="33" t="n">
        <v>45973.15486111111</v>
      </c>
      <c r="C139" t="inlineStr">
        <is>
          <t>Walk-In</t>
        </is>
      </c>
      <c r="D139" t="n">
        <v>4</v>
      </c>
      <c r="E139" t="inlineStr">
        <is>
          <t>Fall</t>
        </is>
      </c>
      <c r="F139" t="inlineStr">
        <is>
          <t>Discharged</t>
        </is>
      </c>
      <c r="G139" t="n">
        <v>31</v>
      </c>
      <c r="H139" t="n">
        <v>88</v>
      </c>
    </row>
    <row r="140">
      <c r="A140" t="inlineStr">
        <is>
          <t>ED211372</t>
        </is>
      </c>
      <c r="B140" s="33" t="n">
        <v>45973.34791666667</v>
      </c>
      <c r="C140" t="inlineStr">
        <is>
          <t>Walk-In</t>
        </is>
      </c>
      <c r="D140" t="n">
        <v>2</v>
      </c>
      <c r="E140" t="inlineStr">
        <is>
          <t>Cough / Fever</t>
        </is>
      </c>
      <c r="F140" t="inlineStr">
        <is>
          <t>Admitted</t>
        </is>
      </c>
      <c r="G140" t="n">
        <v>18</v>
      </c>
      <c r="H140" t="n">
        <v>280</v>
      </c>
    </row>
    <row r="141">
      <c r="A141" t="inlineStr">
        <is>
          <t>ED211377</t>
        </is>
      </c>
      <c r="B141" s="33" t="n">
        <v>45973.55902777778</v>
      </c>
      <c r="C141" t="inlineStr">
        <is>
          <t>Walk-In</t>
        </is>
      </c>
      <c r="D141" t="n">
        <v>3</v>
      </c>
      <c r="E141" t="inlineStr">
        <is>
          <t>Back Pain</t>
        </is>
      </c>
      <c r="F141" t="inlineStr">
        <is>
          <t>LWBS</t>
        </is>
      </c>
      <c r="H141" t="n">
        <v>107</v>
      </c>
    </row>
    <row r="142">
      <c r="A142" t="inlineStr">
        <is>
          <t>ED211378</t>
        </is>
      </c>
      <c r="B142" s="33" t="n">
        <v>45973.58402777778</v>
      </c>
      <c r="C142" t="inlineStr">
        <is>
          <t>Walk-In</t>
        </is>
      </c>
      <c r="D142" t="n">
        <v>2</v>
      </c>
      <c r="E142" t="inlineStr">
        <is>
          <t>Cough / Fever</t>
        </is>
      </c>
      <c r="F142" t="inlineStr">
        <is>
          <t>Discharged</t>
        </is>
      </c>
      <c r="G142" t="n">
        <v>15</v>
      </c>
      <c r="H142" t="n">
        <v>186</v>
      </c>
    </row>
    <row r="143">
      <c r="A143" t="inlineStr">
        <is>
          <t>ED211380</t>
        </is>
      </c>
      <c r="B143" s="33" t="n">
        <v>45973.65486111111</v>
      </c>
      <c r="C143" t="inlineStr">
        <is>
          <t>Walk-In</t>
        </is>
      </c>
      <c r="D143" t="n">
        <v>3</v>
      </c>
      <c r="E143" t="inlineStr">
        <is>
          <t>Abdominal Pain</t>
        </is>
      </c>
      <c r="F143" t="inlineStr">
        <is>
          <t>Discharged</t>
        </is>
      </c>
      <c r="G143" t="n">
        <v>30</v>
      </c>
      <c r="H143" t="n">
        <v>161</v>
      </c>
    </row>
    <row r="144">
      <c r="A144" t="inlineStr">
        <is>
          <t>ED211381</t>
        </is>
      </c>
      <c r="B144" s="33" t="n">
        <v>45973.7125</v>
      </c>
      <c r="C144" t="inlineStr">
        <is>
          <t>Walk-In</t>
        </is>
      </c>
      <c r="D144" t="n">
        <v>2</v>
      </c>
      <c r="E144" t="inlineStr">
        <is>
          <t>Shortness of Breath</t>
        </is>
      </c>
      <c r="F144" t="inlineStr">
        <is>
          <t>Discharged</t>
        </is>
      </c>
      <c r="G144" t="n">
        <v>35</v>
      </c>
      <c r="H144" t="n">
        <v>160</v>
      </c>
    </row>
    <row r="145">
      <c r="A145" t="inlineStr">
        <is>
          <t>ED211382</t>
        </is>
      </c>
      <c r="B145" s="33" t="n">
        <v>45973.76597222222</v>
      </c>
      <c r="C145" t="inlineStr">
        <is>
          <t>Walk-In</t>
        </is>
      </c>
      <c r="D145" t="n">
        <v>2</v>
      </c>
      <c r="E145" t="inlineStr">
        <is>
          <t>Cough / Fever</t>
        </is>
      </c>
      <c r="F145" t="inlineStr">
        <is>
          <t>Admitted</t>
        </is>
      </c>
      <c r="G145" t="n">
        <v>20</v>
      </c>
      <c r="H145" t="n">
        <v>795</v>
      </c>
    </row>
    <row r="146">
      <c r="A146" t="inlineStr">
        <is>
          <t>ED211387</t>
        </is>
      </c>
      <c r="B146" s="33" t="n">
        <v>45974.31111111111</v>
      </c>
      <c r="C146" t="inlineStr">
        <is>
          <t>Walk-In</t>
        </is>
      </c>
      <c r="D146" t="n">
        <v>3</v>
      </c>
      <c r="E146" t="inlineStr">
        <is>
          <t>Cough / Trouble Breathing</t>
        </is>
      </c>
      <c r="F146" t="inlineStr">
        <is>
          <t>Discharged</t>
        </is>
      </c>
      <c r="G146" t="n">
        <v>23</v>
      </c>
      <c r="H146" t="n">
        <v>236</v>
      </c>
    </row>
    <row r="147">
      <c r="A147" t="inlineStr">
        <is>
          <t>ED211388</t>
        </is>
      </c>
      <c r="B147" s="33" t="n">
        <v>45974.34236111111</v>
      </c>
      <c r="C147" t="inlineStr">
        <is>
          <t>Walk-In</t>
        </is>
      </c>
      <c r="D147" t="n">
        <v>2</v>
      </c>
      <c r="E147" t="inlineStr">
        <is>
          <t>Fall</t>
        </is>
      </c>
      <c r="F147" t="inlineStr">
        <is>
          <t>Admitted</t>
        </is>
      </c>
      <c r="G147" t="n">
        <v>6</v>
      </c>
      <c r="H147" t="n">
        <v>353</v>
      </c>
    </row>
    <row r="148">
      <c r="A148" t="inlineStr">
        <is>
          <t>ED211389</t>
        </is>
      </c>
      <c r="B148" s="33" t="n">
        <v>45974.35277777778</v>
      </c>
      <c r="C148" t="inlineStr">
        <is>
          <t>Ambulance</t>
        </is>
      </c>
      <c r="D148" t="n">
        <v>2</v>
      </c>
      <c r="E148" t="inlineStr">
        <is>
          <t>Chest Pain</t>
        </is>
      </c>
      <c r="F148" t="inlineStr">
        <is>
          <t>Admitted</t>
        </is>
      </c>
      <c r="G148" t="n">
        <v>14</v>
      </c>
      <c r="H148" t="n">
        <v>565</v>
      </c>
    </row>
    <row r="149">
      <c r="A149" t="inlineStr">
        <is>
          <t>ED211390</t>
        </is>
      </c>
      <c r="B149" s="33" t="n">
        <v>45974.40486111111</v>
      </c>
      <c r="C149" t="inlineStr">
        <is>
          <t>Walk-In</t>
        </is>
      </c>
      <c r="D149" t="n">
        <v>3</v>
      </c>
      <c r="E149" t="inlineStr">
        <is>
          <t>Abdominal Pain</t>
        </is>
      </c>
      <c r="F149" t="inlineStr">
        <is>
          <t>Discharged</t>
        </is>
      </c>
      <c r="G149" t="n">
        <v>30</v>
      </c>
      <c r="H149" t="n">
        <v>185</v>
      </c>
    </row>
    <row r="150">
      <c r="A150" t="inlineStr">
        <is>
          <t>ED211392</t>
        </is>
      </c>
      <c r="B150" s="33" t="n">
        <v>45974.41805555556</v>
      </c>
      <c r="C150" t="inlineStr">
        <is>
          <t>Walk-In</t>
        </is>
      </c>
      <c r="D150" t="n">
        <v>3</v>
      </c>
      <c r="E150" t="inlineStr">
        <is>
          <t>Cough / Fever</t>
        </is>
      </c>
      <c r="F150" t="inlineStr">
        <is>
          <t>Admitted</t>
        </is>
      </c>
      <c r="G150" t="n">
        <v>18</v>
      </c>
      <c r="H150" t="n">
        <v>415</v>
      </c>
    </row>
    <row r="151">
      <c r="A151" t="inlineStr">
        <is>
          <t>ED211394</t>
        </is>
      </c>
      <c r="B151" s="33" t="n">
        <v>45974.47222222222</v>
      </c>
      <c r="C151" t="inlineStr">
        <is>
          <t>Ambulance</t>
        </is>
      </c>
      <c r="D151" t="n">
        <v>2</v>
      </c>
      <c r="E151" t="inlineStr">
        <is>
          <t>Rash</t>
        </is>
      </c>
      <c r="F151" t="inlineStr">
        <is>
          <t>Discharged</t>
        </is>
      </c>
      <c r="G151" t="n">
        <v>31</v>
      </c>
      <c r="H151" t="n">
        <v>189</v>
      </c>
    </row>
    <row r="152">
      <c r="A152" t="inlineStr">
        <is>
          <t>ED211395</t>
        </is>
      </c>
      <c r="B152" s="33" t="n">
        <v>45974.51388888889</v>
      </c>
      <c r="C152" t="inlineStr">
        <is>
          <t>Walk-In</t>
        </is>
      </c>
      <c r="D152" t="n">
        <v>5</v>
      </c>
      <c r="E152" t="inlineStr">
        <is>
          <t>Abdominal Pain</t>
        </is>
      </c>
      <c r="F152" t="inlineStr">
        <is>
          <t>Discharged</t>
        </is>
      </c>
      <c r="G152" t="n">
        <v>59</v>
      </c>
      <c r="H152" t="n">
        <v>158</v>
      </c>
    </row>
    <row r="153">
      <c r="A153" t="inlineStr">
        <is>
          <t>ED211396</t>
        </is>
      </c>
      <c r="B153" s="33" t="n">
        <v>45974.58402777778</v>
      </c>
      <c r="C153" t="inlineStr">
        <is>
          <t>Walk-In</t>
        </is>
      </c>
      <c r="D153" t="n">
        <v>3</v>
      </c>
      <c r="E153" t="inlineStr">
        <is>
          <t>Vomiting / Dizziness</t>
        </is>
      </c>
      <c r="F153" t="inlineStr">
        <is>
          <t>Discharged</t>
        </is>
      </c>
      <c r="G153" t="n">
        <v>38</v>
      </c>
      <c r="H153" t="n">
        <v>158</v>
      </c>
    </row>
    <row r="154">
      <c r="A154" t="inlineStr">
        <is>
          <t>ED211397</t>
        </is>
      </c>
      <c r="B154" s="33" t="n">
        <v>45974.60833333333</v>
      </c>
      <c r="C154" t="inlineStr">
        <is>
          <t>Walk-In</t>
        </is>
      </c>
      <c r="D154" t="n">
        <v>3</v>
      </c>
      <c r="E154" t="inlineStr">
        <is>
          <t>Cough / Fever</t>
        </is>
      </c>
      <c r="F154" t="inlineStr">
        <is>
          <t>Admitted</t>
        </is>
      </c>
      <c r="G154" t="n">
        <v>69</v>
      </c>
      <c r="H154" t="n">
        <v>354</v>
      </c>
    </row>
    <row r="155">
      <c r="A155" t="inlineStr">
        <is>
          <t>ED211398</t>
        </is>
      </c>
      <c r="B155" s="33" t="n">
        <v>45974.62916666667</v>
      </c>
      <c r="C155" t="inlineStr">
        <is>
          <t>Walk-In</t>
        </is>
      </c>
      <c r="D155" t="n">
        <v>3</v>
      </c>
      <c r="E155" t="inlineStr">
        <is>
          <t>Weakness / Fatigue</t>
        </is>
      </c>
      <c r="F155" t="inlineStr">
        <is>
          <t>Admitted</t>
        </is>
      </c>
      <c r="G155" t="n">
        <v>25</v>
      </c>
      <c r="H155" t="n">
        <v>256</v>
      </c>
    </row>
    <row r="156">
      <c r="A156" t="inlineStr">
        <is>
          <t>ED211399</t>
        </is>
      </c>
      <c r="B156" s="33" t="n">
        <v>45974.64027777778</v>
      </c>
      <c r="C156" t="inlineStr">
        <is>
          <t>Ambulance</t>
        </is>
      </c>
      <c r="D156" t="n">
        <v>2</v>
      </c>
      <c r="E156" t="inlineStr">
        <is>
          <t>Shortness of Breath</t>
        </is>
      </c>
      <c r="F156" t="inlineStr">
        <is>
          <t>Discharged</t>
        </is>
      </c>
      <c r="G156" t="n">
        <v>13</v>
      </c>
      <c r="H156" t="n">
        <v>228</v>
      </c>
    </row>
    <row r="157">
      <c r="A157" t="inlineStr">
        <is>
          <t>ED211400</t>
        </is>
      </c>
      <c r="B157" s="33" t="n">
        <v>45974.67222222222</v>
      </c>
      <c r="C157" t="inlineStr">
        <is>
          <t>Walk-In</t>
        </is>
      </c>
      <c r="D157" t="n">
        <v>4</v>
      </c>
      <c r="E157" t="inlineStr">
        <is>
          <t>Painful Urination / Fever</t>
        </is>
      </c>
      <c r="F157" t="inlineStr">
        <is>
          <t>Admitted</t>
        </is>
      </c>
      <c r="G157" t="n">
        <v>103</v>
      </c>
      <c r="H157" t="n">
        <v>255</v>
      </c>
    </row>
    <row r="158">
      <c r="A158" t="inlineStr">
        <is>
          <t>ED211401</t>
        </is>
      </c>
      <c r="B158" s="33" t="n">
        <v>45974.75972222222</v>
      </c>
      <c r="C158" t="inlineStr">
        <is>
          <t>Ambulance</t>
        </is>
      </c>
      <c r="D158" t="n">
        <v>3</v>
      </c>
      <c r="E158" t="inlineStr">
        <is>
          <t>Chest Pain</t>
        </is>
      </c>
      <c r="F158" t="inlineStr">
        <is>
          <t>Discharged</t>
        </is>
      </c>
      <c r="G158" t="n">
        <v>126</v>
      </c>
      <c r="H158" t="n">
        <v>264</v>
      </c>
    </row>
    <row r="159">
      <c r="A159" t="inlineStr">
        <is>
          <t>ED211402</t>
        </is>
      </c>
      <c r="B159" s="33" t="n">
        <v>45974.80069444444</v>
      </c>
      <c r="C159" t="inlineStr">
        <is>
          <t>Walk-In</t>
        </is>
      </c>
      <c r="D159" t="n">
        <v>2</v>
      </c>
      <c r="E159" t="inlineStr">
        <is>
          <t>Shortness of Breath</t>
        </is>
      </c>
      <c r="F159" t="inlineStr">
        <is>
          <t>Admitted</t>
        </is>
      </c>
      <c r="G159" t="n">
        <v>18</v>
      </c>
      <c r="H159" t="n">
        <v>357</v>
      </c>
    </row>
    <row r="160">
      <c r="A160" t="inlineStr">
        <is>
          <t>ED211404</t>
        </is>
      </c>
      <c r="B160" s="33" t="n">
        <v>45974.86111111111</v>
      </c>
      <c r="C160" t="inlineStr">
        <is>
          <t>Ambulance</t>
        </is>
      </c>
      <c r="D160" t="n">
        <v>2</v>
      </c>
      <c r="E160" t="inlineStr">
        <is>
          <t>Rash</t>
        </is>
      </c>
      <c r="F160" t="inlineStr">
        <is>
          <t>Admitted</t>
        </is>
      </c>
      <c r="G160" t="n">
        <v>14</v>
      </c>
      <c r="H160" t="n">
        <v>316</v>
      </c>
    </row>
    <row r="161">
      <c r="A161" t="inlineStr">
        <is>
          <t>ED211405</t>
        </is>
      </c>
      <c r="B161" s="33" t="n">
        <v>45975.46666666667</v>
      </c>
      <c r="C161" t="inlineStr">
        <is>
          <t>Walk-In</t>
        </is>
      </c>
      <c r="D161" t="n">
        <v>3</v>
      </c>
      <c r="E161" t="inlineStr">
        <is>
          <t>Painful Urination / Fever</t>
        </is>
      </c>
      <c r="F161" t="inlineStr">
        <is>
          <t>Discharged</t>
        </is>
      </c>
      <c r="G161" t="n">
        <v>35</v>
      </c>
      <c r="H161" t="n">
        <v>217</v>
      </c>
    </row>
    <row r="162">
      <c r="A162" t="inlineStr">
        <is>
          <t>ED211408</t>
        </is>
      </c>
      <c r="B162" s="33" t="n">
        <v>45975.78333333333</v>
      </c>
      <c r="C162" t="inlineStr">
        <is>
          <t>Ambulance</t>
        </is>
      </c>
      <c r="D162" t="n">
        <v>2</v>
      </c>
      <c r="E162" t="inlineStr">
        <is>
          <t>Shortness of Breath</t>
        </is>
      </c>
      <c r="F162" t="inlineStr">
        <is>
          <t>Admitted</t>
        </is>
      </c>
      <c r="G162" t="n">
        <v>20</v>
      </c>
      <c r="H162" t="n">
        <v>415</v>
      </c>
    </row>
    <row r="163">
      <c r="A163" t="inlineStr">
        <is>
          <t>ED211409</t>
        </is>
      </c>
      <c r="B163" s="33" t="n">
        <v>45975.82777777778</v>
      </c>
      <c r="C163" t="inlineStr">
        <is>
          <t>Ambulance</t>
        </is>
      </c>
      <c r="D163" t="n">
        <v>2</v>
      </c>
      <c r="E163" t="inlineStr">
        <is>
          <t>Fainting</t>
        </is>
      </c>
      <c r="F163" t="inlineStr">
        <is>
          <t>Observation</t>
        </is>
      </c>
      <c r="G163" t="n">
        <v>26</v>
      </c>
      <c r="H163" t="n">
        <v>273</v>
      </c>
    </row>
    <row r="164">
      <c r="A164" t="inlineStr">
        <is>
          <t>ED211410</t>
        </is>
      </c>
      <c r="B164" s="33" t="n">
        <v>45975.90694444445</v>
      </c>
      <c r="C164" t="inlineStr">
        <is>
          <t>Walk-In</t>
        </is>
      </c>
      <c r="D164" t="n">
        <v>3</v>
      </c>
      <c r="E164" t="inlineStr">
        <is>
          <t>Fall</t>
        </is>
      </c>
      <c r="F164" t="inlineStr">
        <is>
          <t>Discharged</t>
        </is>
      </c>
      <c r="G164" t="n">
        <v>20</v>
      </c>
      <c r="H164" t="n">
        <v>243</v>
      </c>
    </row>
    <row r="165">
      <c r="A165" t="inlineStr">
        <is>
          <t>ED211411</t>
        </is>
      </c>
      <c r="B165" s="33" t="n">
        <v>45975.92916666667</v>
      </c>
      <c r="C165" t="inlineStr">
        <is>
          <t>Walk-In</t>
        </is>
      </c>
      <c r="D165" t="n">
        <v>3</v>
      </c>
      <c r="E165" t="inlineStr">
        <is>
          <t>Abdominal Pain</t>
        </is>
      </c>
      <c r="F165" t="inlineStr">
        <is>
          <t>Discharged</t>
        </is>
      </c>
      <c r="G165" t="n">
        <v>15</v>
      </c>
      <c r="H165" t="n">
        <v>138</v>
      </c>
    </row>
    <row r="166">
      <c r="A166" t="inlineStr">
        <is>
          <t>ED211413</t>
        </is>
      </c>
      <c r="B166" s="33" t="n">
        <v>45976.18888888889</v>
      </c>
      <c r="C166" t="inlineStr">
        <is>
          <t>Walk-In</t>
        </is>
      </c>
      <c r="D166" t="n">
        <v>3</v>
      </c>
      <c r="E166" t="inlineStr">
        <is>
          <t>Headache</t>
        </is>
      </c>
      <c r="F166" t="inlineStr">
        <is>
          <t>Discharged</t>
        </is>
      </c>
      <c r="G166" t="n">
        <v>22</v>
      </c>
      <c r="H166" t="n">
        <v>216</v>
      </c>
    </row>
    <row r="167">
      <c r="A167" t="inlineStr">
        <is>
          <t>ED211415</t>
        </is>
      </c>
      <c r="B167" s="33" t="n">
        <v>45976.37083333333</v>
      </c>
      <c r="C167" t="inlineStr">
        <is>
          <t>Ambulance</t>
        </is>
      </c>
      <c r="D167" t="n">
        <v>2</v>
      </c>
      <c r="E167" t="inlineStr">
        <is>
          <t>Cough / Fever</t>
        </is>
      </c>
      <c r="F167" t="inlineStr">
        <is>
          <t>Discharged</t>
        </is>
      </c>
      <c r="G167" t="n">
        <v>12</v>
      </c>
      <c r="H167" t="n">
        <v>148</v>
      </c>
    </row>
    <row r="168">
      <c r="A168" t="inlineStr">
        <is>
          <t>ED211416</t>
        </is>
      </c>
      <c r="B168" s="33" t="n">
        <v>45976.43958333333</v>
      </c>
      <c r="C168" t="inlineStr">
        <is>
          <t>Walk-In</t>
        </is>
      </c>
      <c r="D168" t="n">
        <v>4</v>
      </c>
      <c r="E168" t="inlineStr">
        <is>
          <t>Laceration</t>
        </is>
      </c>
      <c r="F168" t="inlineStr">
        <is>
          <t>Discharged</t>
        </is>
      </c>
      <c r="G168" t="n">
        <v>39</v>
      </c>
      <c r="H168" t="n">
        <v>154</v>
      </c>
    </row>
    <row r="169">
      <c r="A169" t="inlineStr">
        <is>
          <t>ED211417</t>
        </is>
      </c>
      <c r="B169" s="33" t="n">
        <v>45976.44305555556</v>
      </c>
      <c r="C169" t="inlineStr">
        <is>
          <t>Walk-In</t>
        </is>
      </c>
      <c r="D169" t="n">
        <v>4</v>
      </c>
      <c r="E169" t="inlineStr">
        <is>
          <t>Tremors / Alcohol Withdrawal</t>
        </is>
      </c>
      <c r="F169" t="inlineStr">
        <is>
          <t>Discharged</t>
        </is>
      </c>
      <c r="G169" t="n">
        <v>63</v>
      </c>
      <c r="H169" t="n">
        <v>118</v>
      </c>
    </row>
    <row r="170">
      <c r="A170" t="inlineStr">
        <is>
          <t>ED211418</t>
        </is>
      </c>
      <c r="B170" s="33" t="n">
        <v>45976.51944444444</v>
      </c>
      <c r="C170" t="inlineStr">
        <is>
          <t>Walk-In</t>
        </is>
      </c>
      <c r="D170" t="n">
        <v>2</v>
      </c>
      <c r="E170" t="inlineStr">
        <is>
          <t>Cough / Trouble Breathing</t>
        </is>
      </c>
      <c r="F170" t="inlineStr">
        <is>
          <t>Admitted</t>
        </is>
      </c>
      <c r="G170" t="n">
        <v>22</v>
      </c>
      <c r="H170" t="n">
        <v>442</v>
      </c>
    </row>
    <row r="171">
      <c r="A171" t="inlineStr">
        <is>
          <t>ED211419</t>
        </is>
      </c>
      <c r="B171" s="33" t="n">
        <v>45976.52152777778</v>
      </c>
      <c r="C171" t="inlineStr">
        <is>
          <t>Walk-In</t>
        </is>
      </c>
      <c r="D171" t="n">
        <v>3</v>
      </c>
      <c r="E171" t="inlineStr">
        <is>
          <t>Cough / Fever</t>
        </is>
      </c>
      <c r="F171" t="inlineStr">
        <is>
          <t>Discharged</t>
        </is>
      </c>
      <c r="G171" t="n">
        <v>137</v>
      </c>
      <c r="H171" t="n">
        <v>378</v>
      </c>
    </row>
    <row r="172">
      <c r="A172" t="inlineStr">
        <is>
          <t>ED211420</t>
        </is>
      </c>
      <c r="B172" s="33" t="n">
        <v>45976.67083333333</v>
      </c>
      <c r="C172" t="inlineStr">
        <is>
          <t>Ambulance</t>
        </is>
      </c>
      <c r="D172" t="n">
        <v>2</v>
      </c>
      <c r="E172" t="inlineStr">
        <is>
          <t>Cough / Fever</t>
        </is>
      </c>
      <c r="F172" t="inlineStr">
        <is>
          <t>Discharged</t>
        </is>
      </c>
      <c r="G172" t="n">
        <v>29</v>
      </c>
      <c r="H172" t="n">
        <v>274</v>
      </c>
    </row>
    <row r="173">
      <c r="A173" t="inlineStr">
        <is>
          <t>ED211422</t>
        </is>
      </c>
      <c r="B173" s="33" t="n">
        <v>45976.73055555556</v>
      </c>
      <c r="C173" t="inlineStr">
        <is>
          <t>Ambulance</t>
        </is>
      </c>
      <c r="D173" t="n">
        <v>2</v>
      </c>
      <c r="E173" t="inlineStr">
        <is>
          <t>Fever</t>
        </is>
      </c>
      <c r="F173" t="inlineStr">
        <is>
          <t>Admitted</t>
        </is>
      </c>
      <c r="G173" t="n">
        <v>19</v>
      </c>
      <c r="H173" t="n">
        <v>416</v>
      </c>
    </row>
    <row r="174">
      <c r="A174" t="inlineStr">
        <is>
          <t>ED211423</t>
        </is>
      </c>
      <c r="B174" s="33" t="n">
        <v>45976.76319444444</v>
      </c>
      <c r="C174" t="inlineStr">
        <is>
          <t>Walk-In</t>
        </is>
      </c>
      <c r="D174" t="n">
        <v>3</v>
      </c>
      <c r="E174" t="inlineStr">
        <is>
          <t>Abdominal Pain</t>
        </is>
      </c>
      <c r="F174" t="inlineStr">
        <is>
          <t>Admitted</t>
        </is>
      </c>
      <c r="G174" t="n">
        <v>23</v>
      </c>
      <c r="H174" t="n">
        <v>706</v>
      </c>
    </row>
    <row r="175">
      <c r="A175" t="inlineStr">
        <is>
          <t>ED211424</t>
        </is>
      </c>
      <c r="B175" s="33" t="n">
        <v>45976.92222222222</v>
      </c>
      <c r="C175" t="inlineStr">
        <is>
          <t>Walk-In</t>
        </is>
      </c>
      <c r="D175" t="n">
        <v>3</v>
      </c>
      <c r="E175" t="inlineStr">
        <is>
          <t>Shortness of Breath</t>
        </is>
      </c>
      <c r="F175" t="inlineStr">
        <is>
          <t>Discharged</t>
        </is>
      </c>
      <c r="G175" t="n">
        <v>39</v>
      </c>
      <c r="H175" t="n">
        <v>248</v>
      </c>
    </row>
    <row r="176">
      <c r="A176" t="inlineStr">
        <is>
          <t>ED211425</t>
        </is>
      </c>
      <c r="B176" s="33" t="n">
        <v>45976.92847222222</v>
      </c>
      <c r="C176" t="inlineStr">
        <is>
          <t>Walk-In</t>
        </is>
      </c>
      <c r="D176" t="n">
        <v>3</v>
      </c>
      <c r="E176" t="inlineStr">
        <is>
          <t>Headache</t>
        </is>
      </c>
      <c r="F176" t="inlineStr">
        <is>
          <t>Discharged</t>
        </is>
      </c>
      <c r="G176" t="n">
        <v>33</v>
      </c>
      <c r="H176" t="n">
        <v>167</v>
      </c>
    </row>
    <row r="177">
      <c r="A177" t="inlineStr">
        <is>
          <t>ED211426</t>
        </is>
      </c>
      <c r="B177" s="33" t="n">
        <v>45976.9375</v>
      </c>
      <c r="C177" t="inlineStr">
        <is>
          <t>Walk-In</t>
        </is>
      </c>
      <c r="D177" t="n">
        <v>3</v>
      </c>
      <c r="E177" t="inlineStr">
        <is>
          <t>Chest Pain</t>
        </is>
      </c>
      <c r="F177" t="inlineStr">
        <is>
          <t>Discharged</t>
        </is>
      </c>
      <c r="G177" t="n">
        <v>54</v>
      </c>
      <c r="H177" t="n">
        <v>221</v>
      </c>
    </row>
    <row r="178">
      <c r="A178" t="inlineStr">
        <is>
          <t>ED211427</t>
        </is>
      </c>
      <c r="B178" s="33" t="n">
        <v>45976.96805555555</v>
      </c>
      <c r="C178" t="inlineStr">
        <is>
          <t>Walk-In</t>
        </is>
      </c>
      <c r="D178" t="n">
        <v>4</v>
      </c>
      <c r="E178" t="inlineStr">
        <is>
          <t>Skin Redness / Swelling</t>
        </is>
      </c>
      <c r="F178" t="inlineStr">
        <is>
          <t>Discharged</t>
        </is>
      </c>
      <c r="G178" t="n">
        <v>28</v>
      </c>
      <c r="H178" t="n">
        <v>124</v>
      </c>
    </row>
    <row r="179">
      <c r="A179" t="inlineStr">
        <is>
          <t>ED211430</t>
        </is>
      </c>
      <c r="B179" s="33" t="n">
        <v>45977.27083333334</v>
      </c>
      <c r="C179" t="inlineStr">
        <is>
          <t>Ambulance</t>
        </is>
      </c>
      <c r="D179" t="n">
        <v>3</v>
      </c>
      <c r="E179" t="inlineStr">
        <is>
          <t>Nausea</t>
        </is>
      </c>
      <c r="F179" t="inlineStr">
        <is>
          <t>Discharged</t>
        </is>
      </c>
      <c r="G179" t="n">
        <v>7</v>
      </c>
      <c r="H179" t="n">
        <v>135</v>
      </c>
    </row>
    <row r="180">
      <c r="A180" t="inlineStr">
        <is>
          <t>ED211431</t>
        </is>
      </c>
      <c r="B180" s="33" t="n">
        <v>45977.30833333333</v>
      </c>
      <c r="C180" t="inlineStr">
        <is>
          <t>Walk-In</t>
        </is>
      </c>
      <c r="D180" t="n">
        <v>3</v>
      </c>
      <c r="E180" t="inlineStr">
        <is>
          <t>Headache</t>
        </is>
      </c>
      <c r="F180" t="inlineStr">
        <is>
          <t>Discharged</t>
        </is>
      </c>
      <c r="G180" t="n">
        <v>99</v>
      </c>
      <c r="H180" t="n">
        <v>243</v>
      </c>
    </row>
    <row r="181">
      <c r="A181" t="inlineStr">
        <is>
          <t>ED211432</t>
        </is>
      </c>
      <c r="B181" s="33" t="n">
        <v>45977.33125</v>
      </c>
      <c r="C181" t="inlineStr">
        <is>
          <t>Ambulance</t>
        </is>
      </c>
      <c r="D181" t="n">
        <v>3</v>
      </c>
      <c r="E181" t="inlineStr">
        <is>
          <t>Cough / Trouble Breathing</t>
        </is>
      </c>
      <c r="F181" t="inlineStr">
        <is>
          <t>Discharged</t>
        </is>
      </c>
      <c r="G181" t="n">
        <v>27</v>
      </c>
      <c r="H181" t="n">
        <v>221</v>
      </c>
    </row>
    <row r="182">
      <c r="A182" t="inlineStr">
        <is>
          <t>ED211433</t>
        </is>
      </c>
      <c r="B182" s="33" t="n">
        <v>45977.39027777778</v>
      </c>
      <c r="C182" t="inlineStr">
        <is>
          <t>Walk-In</t>
        </is>
      </c>
      <c r="D182" t="n">
        <v>4</v>
      </c>
      <c r="E182" t="inlineStr">
        <is>
          <t>Vomiting / Dizziness</t>
        </is>
      </c>
      <c r="F182" t="inlineStr">
        <is>
          <t>Discharged</t>
        </is>
      </c>
      <c r="G182" t="n">
        <v>27</v>
      </c>
      <c r="H182" t="n">
        <v>107</v>
      </c>
    </row>
    <row r="183">
      <c r="A183" t="inlineStr">
        <is>
          <t>ED211435</t>
        </is>
      </c>
      <c r="B183" s="33" t="n">
        <v>45977.5125</v>
      </c>
      <c r="C183" t="inlineStr">
        <is>
          <t>Walk-In</t>
        </is>
      </c>
      <c r="D183" t="n">
        <v>2</v>
      </c>
      <c r="E183" t="inlineStr">
        <is>
          <t>Confusion</t>
        </is>
      </c>
      <c r="F183" t="inlineStr">
        <is>
          <t>Admitted</t>
        </is>
      </c>
      <c r="G183" t="n">
        <v>10</v>
      </c>
      <c r="H183" t="n">
        <v>342</v>
      </c>
    </row>
    <row r="184">
      <c r="A184" t="inlineStr">
        <is>
          <t>ED211436</t>
        </is>
      </c>
      <c r="B184" s="33" t="n">
        <v>45977.51527777778</v>
      </c>
      <c r="C184" t="inlineStr">
        <is>
          <t>Walk-In</t>
        </is>
      </c>
      <c r="D184" t="n">
        <v>3</v>
      </c>
      <c r="E184" t="inlineStr">
        <is>
          <t>Shortness of Breath</t>
        </is>
      </c>
      <c r="F184" t="inlineStr">
        <is>
          <t>Admitted</t>
        </is>
      </c>
      <c r="G184" t="n">
        <v>80</v>
      </c>
      <c r="H184" t="n">
        <v>496</v>
      </c>
    </row>
    <row r="185">
      <c r="A185" t="inlineStr">
        <is>
          <t>ED211437</t>
        </is>
      </c>
      <c r="B185" s="33" t="n">
        <v>45977.57847222222</v>
      </c>
      <c r="C185" t="inlineStr">
        <is>
          <t>Walk-In</t>
        </is>
      </c>
      <c r="D185" t="n">
        <v>3</v>
      </c>
      <c r="E185" t="inlineStr">
        <is>
          <t>Vomiting / Dizziness</t>
        </is>
      </c>
      <c r="F185" t="inlineStr">
        <is>
          <t>Observation</t>
        </is>
      </c>
      <c r="G185" t="n">
        <v>73</v>
      </c>
      <c r="H185" t="n">
        <v>486</v>
      </c>
    </row>
    <row r="186">
      <c r="A186" t="inlineStr">
        <is>
          <t>ED211438</t>
        </is>
      </c>
      <c r="B186" s="33" t="n">
        <v>45977.60625</v>
      </c>
      <c r="C186" t="inlineStr">
        <is>
          <t>Ambulance</t>
        </is>
      </c>
      <c r="D186" t="n">
        <v>2</v>
      </c>
      <c r="E186" t="inlineStr">
        <is>
          <t>Cough / Fever</t>
        </is>
      </c>
      <c r="F186" t="inlineStr">
        <is>
          <t>Admitted</t>
        </is>
      </c>
      <c r="G186" t="n">
        <v>30</v>
      </c>
      <c r="H186" t="n">
        <v>573</v>
      </c>
    </row>
    <row r="187">
      <c r="A187" t="inlineStr">
        <is>
          <t>ED211439</t>
        </is>
      </c>
      <c r="B187" s="33" t="n">
        <v>45977.6125</v>
      </c>
      <c r="C187" t="inlineStr">
        <is>
          <t>Walk-In</t>
        </is>
      </c>
      <c r="D187" t="n">
        <v>3</v>
      </c>
      <c r="E187" t="inlineStr">
        <is>
          <t>Vomiting / Dizziness</t>
        </is>
      </c>
      <c r="F187" t="inlineStr">
        <is>
          <t>Discharged</t>
        </is>
      </c>
      <c r="G187" t="n">
        <v>108</v>
      </c>
      <c r="H187" t="n">
        <v>315</v>
      </c>
    </row>
    <row r="188">
      <c r="A188" t="inlineStr">
        <is>
          <t>ED211440</t>
        </is>
      </c>
      <c r="B188" s="33" t="n">
        <v>45977.67569444444</v>
      </c>
      <c r="C188" t="inlineStr">
        <is>
          <t>Walk-In</t>
        </is>
      </c>
      <c r="D188" t="n">
        <v>3</v>
      </c>
      <c r="E188" t="inlineStr">
        <is>
          <t>Anxiety / Palpitations</t>
        </is>
      </c>
      <c r="F188" t="inlineStr">
        <is>
          <t>Discharged</t>
        </is>
      </c>
      <c r="G188" t="n">
        <v>79</v>
      </c>
      <c r="H188" t="n">
        <v>305</v>
      </c>
    </row>
    <row r="189">
      <c r="A189" t="inlineStr">
        <is>
          <t>ED211441</t>
        </is>
      </c>
      <c r="B189" s="33" t="n">
        <v>45977.67708333334</v>
      </c>
      <c r="C189" t="inlineStr">
        <is>
          <t>Walk-In</t>
        </is>
      </c>
      <c r="D189" t="n">
        <v>2</v>
      </c>
      <c r="E189" t="inlineStr">
        <is>
          <t>Seizure</t>
        </is>
      </c>
      <c r="F189" t="inlineStr">
        <is>
          <t>Observation</t>
        </is>
      </c>
      <c r="G189" t="n">
        <v>36</v>
      </c>
      <c r="H189" t="n">
        <v>314</v>
      </c>
    </row>
    <row r="190">
      <c r="A190" t="inlineStr">
        <is>
          <t>ED211442</t>
        </is>
      </c>
      <c r="B190" s="33" t="n">
        <v>45977.71111111111</v>
      </c>
      <c r="C190" t="inlineStr">
        <is>
          <t>Walk-In</t>
        </is>
      </c>
      <c r="D190" t="n">
        <v>4</v>
      </c>
      <c r="E190" t="inlineStr">
        <is>
          <t>Headache</t>
        </is>
      </c>
      <c r="F190" t="inlineStr">
        <is>
          <t>Discharged</t>
        </is>
      </c>
      <c r="G190" t="n">
        <v>117</v>
      </c>
      <c r="H190" t="n">
        <v>214</v>
      </c>
    </row>
    <row r="191">
      <c r="A191" t="inlineStr">
        <is>
          <t>ED211446</t>
        </is>
      </c>
      <c r="B191" s="33" t="n">
        <v>45977.92152777778</v>
      </c>
      <c r="C191" t="inlineStr">
        <is>
          <t>Ambulance</t>
        </is>
      </c>
      <c r="D191" t="n">
        <v>4</v>
      </c>
      <c r="E191" t="inlineStr">
        <is>
          <t>Painful Urination / Fever</t>
        </is>
      </c>
      <c r="F191" t="inlineStr">
        <is>
          <t>Discharged</t>
        </is>
      </c>
      <c r="G191" t="n">
        <v>19</v>
      </c>
      <c r="H191" t="n">
        <v>104</v>
      </c>
    </row>
    <row r="192">
      <c r="A192" t="inlineStr">
        <is>
          <t>ED211448</t>
        </is>
      </c>
      <c r="B192" s="33" t="n">
        <v>45978.01666666667</v>
      </c>
      <c r="C192" t="inlineStr">
        <is>
          <t>Walk-In</t>
        </is>
      </c>
      <c r="D192" t="n">
        <v>2</v>
      </c>
      <c r="E192" t="inlineStr">
        <is>
          <t>Labor</t>
        </is>
      </c>
      <c r="F192" t="inlineStr">
        <is>
          <t>Admitted</t>
        </is>
      </c>
      <c r="G192" t="n">
        <v>28</v>
      </c>
      <c r="H192" t="n">
        <v>838</v>
      </c>
    </row>
    <row r="193">
      <c r="A193" t="inlineStr">
        <is>
          <t>ED211449</t>
        </is>
      </c>
      <c r="B193" s="33" t="n">
        <v>45978.09722222222</v>
      </c>
      <c r="C193" t="inlineStr">
        <is>
          <t>Ambulance</t>
        </is>
      </c>
      <c r="D193" t="n">
        <v>3</v>
      </c>
      <c r="E193" t="inlineStr">
        <is>
          <t>Chest Pain</t>
        </is>
      </c>
      <c r="F193" t="inlineStr">
        <is>
          <t>Discharged</t>
        </is>
      </c>
      <c r="G193" t="n">
        <v>22</v>
      </c>
      <c r="H193" t="n">
        <v>176</v>
      </c>
    </row>
    <row r="194">
      <c r="A194" t="inlineStr">
        <is>
          <t>ED211451</t>
        </is>
      </c>
      <c r="B194" s="33" t="n">
        <v>45978.19583333333</v>
      </c>
      <c r="C194" t="inlineStr">
        <is>
          <t>Walk-In</t>
        </is>
      </c>
      <c r="D194" t="n">
        <v>3</v>
      </c>
      <c r="E194" t="inlineStr">
        <is>
          <t>Abdominal Pain</t>
        </is>
      </c>
      <c r="F194" t="inlineStr">
        <is>
          <t>Discharged</t>
        </is>
      </c>
      <c r="G194" t="n">
        <v>16</v>
      </c>
      <c r="H194" t="n">
        <v>245</v>
      </c>
    </row>
    <row r="195">
      <c r="A195" t="inlineStr">
        <is>
          <t>ED211452</t>
        </is>
      </c>
      <c r="B195" s="33" t="n">
        <v>45978.24930555555</v>
      </c>
      <c r="C195" t="inlineStr">
        <is>
          <t>Ambulance</t>
        </is>
      </c>
      <c r="D195" t="n">
        <v>4</v>
      </c>
      <c r="E195" t="inlineStr">
        <is>
          <t>Cough / Fever</t>
        </is>
      </c>
      <c r="F195" t="inlineStr">
        <is>
          <t>Discharged</t>
        </is>
      </c>
      <c r="G195" t="n">
        <v>74</v>
      </c>
      <c r="H195" t="n">
        <v>195</v>
      </c>
    </row>
    <row r="196">
      <c r="A196" t="inlineStr">
        <is>
          <t>ED211453</t>
        </is>
      </c>
      <c r="B196" s="33" t="n">
        <v>45978.28333333333</v>
      </c>
      <c r="C196" t="inlineStr">
        <is>
          <t>Walk-In</t>
        </is>
      </c>
      <c r="D196" t="n">
        <v>4</v>
      </c>
      <c r="E196" t="inlineStr">
        <is>
          <t>Ankle Injury</t>
        </is>
      </c>
      <c r="F196" t="inlineStr">
        <is>
          <t>Discharged</t>
        </is>
      </c>
      <c r="G196" t="n">
        <v>22</v>
      </c>
      <c r="H196" t="n">
        <v>127</v>
      </c>
    </row>
    <row r="197">
      <c r="A197" t="inlineStr">
        <is>
          <t>ED211455</t>
        </is>
      </c>
      <c r="B197" s="33" t="n">
        <v>45978.36111111111</v>
      </c>
      <c r="C197" t="inlineStr">
        <is>
          <t>Walk-In</t>
        </is>
      </c>
      <c r="D197" t="n">
        <v>4</v>
      </c>
      <c r="E197" t="inlineStr">
        <is>
          <t>Painful Urination / Fever</t>
        </is>
      </c>
      <c r="F197" t="inlineStr">
        <is>
          <t>Discharged</t>
        </is>
      </c>
      <c r="G197" t="n">
        <v>127</v>
      </c>
      <c r="H197" t="n">
        <v>187</v>
      </c>
    </row>
    <row r="198">
      <c r="A198" t="inlineStr">
        <is>
          <t>ED211456</t>
        </is>
      </c>
      <c r="B198" s="33" t="n">
        <v>45978.39583333334</v>
      </c>
      <c r="C198" t="inlineStr">
        <is>
          <t>Ambulance</t>
        </is>
      </c>
      <c r="D198" t="n">
        <v>3</v>
      </c>
      <c r="E198" t="inlineStr">
        <is>
          <t>Cough / Fever</t>
        </is>
      </c>
      <c r="F198" t="inlineStr">
        <is>
          <t>Discharged</t>
        </is>
      </c>
      <c r="G198" t="n">
        <v>34</v>
      </c>
      <c r="H198" t="n">
        <v>170</v>
      </c>
    </row>
    <row r="199">
      <c r="A199" t="inlineStr">
        <is>
          <t>ED211457</t>
        </is>
      </c>
      <c r="B199" s="33" t="n">
        <v>45978.40694444445</v>
      </c>
      <c r="C199" t="inlineStr">
        <is>
          <t>Ambulance</t>
        </is>
      </c>
      <c r="D199" t="n">
        <v>2</v>
      </c>
      <c r="E199" t="inlineStr">
        <is>
          <t>Shortness of Breath</t>
        </is>
      </c>
      <c r="F199" t="inlineStr">
        <is>
          <t>Admitted</t>
        </is>
      </c>
      <c r="G199" t="n">
        <v>17</v>
      </c>
      <c r="H199" t="n">
        <v>326</v>
      </c>
    </row>
    <row r="200">
      <c r="A200" t="inlineStr">
        <is>
          <t>ED211458</t>
        </is>
      </c>
      <c r="B200" s="33" t="n">
        <v>45978.44444444445</v>
      </c>
      <c r="C200" t="inlineStr">
        <is>
          <t>Walk-In</t>
        </is>
      </c>
      <c r="D200" t="n">
        <v>4</v>
      </c>
      <c r="E200" t="inlineStr">
        <is>
          <t>Ankle Injury</t>
        </is>
      </c>
      <c r="F200" t="inlineStr">
        <is>
          <t>Discharged</t>
        </is>
      </c>
      <c r="G200" t="n">
        <v>39</v>
      </c>
      <c r="H200" t="n">
        <v>174</v>
      </c>
    </row>
    <row r="201">
      <c r="A201" t="inlineStr">
        <is>
          <t>ED211459</t>
        </is>
      </c>
      <c r="B201" s="33" t="n">
        <v>45978.45625</v>
      </c>
      <c r="C201" t="inlineStr">
        <is>
          <t>Walk-In</t>
        </is>
      </c>
      <c r="D201" t="n">
        <v>3</v>
      </c>
      <c r="E201" t="inlineStr">
        <is>
          <t>Vomiting / Dizziness</t>
        </is>
      </c>
      <c r="F201" t="inlineStr">
        <is>
          <t>Observation</t>
        </is>
      </c>
      <c r="G201" t="n">
        <v>72</v>
      </c>
      <c r="H201" t="n">
        <v>454</v>
      </c>
    </row>
    <row r="202">
      <c r="A202" t="inlineStr">
        <is>
          <t>ED211462</t>
        </is>
      </c>
      <c r="B202" s="33" t="n">
        <v>45978.58125</v>
      </c>
      <c r="C202" t="inlineStr">
        <is>
          <t>Walk-In</t>
        </is>
      </c>
      <c r="D202" t="n">
        <v>3</v>
      </c>
      <c r="E202" t="inlineStr">
        <is>
          <t>Cough / Fever</t>
        </is>
      </c>
      <c r="F202" t="inlineStr">
        <is>
          <t>Admitted</t>
        </is>
      </c>
      <c r="G202" t="n">
        <v>139</v>
      </c>
      <c r="H202" t="n">
        <v>677</v>
      </c>
    </row>
    <row r="203">
      <c r="A203" t="inlineStr">
        <is>
          <t>ED211465</t>
        </is>
      </c>
      <c r="B203" s="33" t="n">
        <v>45978.76944444444</v>
      </c>
      <c r="C203" t="inlineStr">
        <is>
          <t>Ambulance</t>
        </is>
      </c>
      <c r="D203" t="n">
        <v>3</v>
      </c>
      <c r="E203" t="inlineStr">
        <is>
          <t>Cough / Fever</t>
        </is>
      </c>
      <c r="F203" t="inlineStr">
        <is>
          <t>Admitted</t>
        </is>
      </c>
      <c r="G203" t="n">
        <v>59</v>
      </c>
      <c r="H203" t="n">
        <v>283</v>
      </c>
    </row>
    <row r="204">
      <c r="A204" t="inlineStr">
        <is>
          <t>ED211466</t>
        </is>
      </c>
      <c r="B204" s="33" t="n">
        <v>45978.86319444444</v>
      </c>
      <c r="C204" t="inlineStr">
        <is>
          <t>Walk-In</t>
        </is>
      </c>
      <c r="D204" t="n">
        <v>3</v>
      </c>
      <c r="E204" t="inlineStr">
        <is>
          <t>Chest Pain</t>
        </is>
      </c>
      <c r="F204" t="inlineStr">
        <is>
          <t>Discharged</t>
        </is>
      </c>
      <c r="G204" t="n">
        <v>28</v>
      </c>
      <c r="H204" t="n">
        <v>142</v>
      </c>
    </row>
    <row r="205">
      <c r="A205" t="inlineStr">
        <is>
          <t>ED211468</t>
        </is>
      </c>
      <c r="B205" s="33" t="n">
        <v>45978.93541666667</v>
      </c>
      <c r="C205" t="inlineStr">
        <is>
          <t>Walk-In</t>
        </is>
      </c>
      <c r="D205" t="n">
        <v>4</v>
      </c>
      <c r="E205" t="inlineStr">
        <is>
          <t>Cough / Fever</t>
        </is>
      </c>
      <c r="F205" t="inlineStr">
        <is>
          <t>Discharged</t>
        </is>
      </c>
      <c r="G205" t="n">
        <v>44</v>
      </c>
      <c r="H205" t="n">
        <v>144</v>
      </c>
    </row>
    <row r="206">
      <c r="A206" t="inlineStr">
        <is>
          <t>ED211469</t>
        </is>
      </c>
      <c r="B206" s="33" t="n">
        <v>45978.94583333333</v>
      </c>
      <c r="C206" t="inlineStr">
        <is>
          <t>Ambulance</t>
        </is>
      </c>
      <c r="D206" t="n">
        <v>2</v>
      </c>
      <c r="E206" t="inlineStr">
        <is>
          <t>Shortness of Breath</t>
        </is>
      </c>
      <c r="F206" t="inlineStr">
        <is>
          <t>Discharged</t>
        </is>
      </c>
      <c r="G206" t="n">
        <v>13</v>
      </c>
      <c r="H206" t="n">
        <v>240</v>
      </c>
    </row>
    <row r="207">
      <c r="A207" t="inlineStr">
        <is>
          <t>ED211471</t>
        </is>
      </c>
      <c r="B207" s="33" t="n">
        <v>45979.03333333333</v>
      </c>
      <c r="C207" t="inlineStr">
        <is>
          <t>Walk-In</t>
        </is>
      </c>
      <c r="D207" t="n">
        <v>4</v>
      </c>
      <c r="E207" t="inlineStr">
        <is>
          <t>Fainting</t>
        </is>
      </c>
      <c r="F207" t="inlineStr">
        <is>
          <t>Discharged</t>
        </is>
      </c>
      <c r="G207" t="n">
        <v>27</v>
      </c>
      <c r="H207" t="n">
        <v>88</v>
      </c>
    </row>
    <row r="208">
      <c r="A208" t="inlineStr">
        <is>
          <t>ED211472</t>
        </is>
      </c>
      <c r="B208" s="33" t="n">
        <v>45979.32222222222</v>
      </c>
      <c r="C208" t="inlineStr">
        <is>
          <t>Walk-In</t>
        </is>
      </c>
      <c r="D208" t="n">
        <v>3</v>
      </c>
      <c r="E208" t="inlineStr">
        <is>
          <t>Painful Urination / Fever</t>
        </is>
      </c>
      <c r="F208" t="inlineStr">
        <is>
          <t>Observation</t>
        </is>
      </c>
      <c r="G208" t="n">
        <v>39</v>
      </c>
      <c r="H208" t="n">
        <v>670</v>
      </c>
    </row>
    <row r="209">
      <c r="A209" t="inlineStr">
        <is>
          <t>ED211474</t>
        </is>
      </c>
      <c r="B209" s="33" t="n">
        <v>45979.43125</v>
      </c>
      <c r="C209" t="inlineStr">
        <is>
          <t>Walk-In</t>
        </is>
      </c>
      <c r="D209" t="n">
        <v>3</v>
      </c>
      <c r="E209" t="inlineStr">
        <is>
          <t>Shortness of Breath</t>
        </is>
      </c>
      <c r="F209" t="inlineStr">
        <is>
          <t>Left AMA</t>
        </is>
      </c>
      <c r="G209" t="n">
        <v>58</v>
      </c>
      <c r="H209" t="n">
        <v>132</v>
      </c>
    </row>
    <row r="210">
      <c r="A210" t="inlineStr">
        <is>
          <t>ED211475</t>
        </is>
      </c>
      <c r="B210" s="33" t="n">
        <v>45979.45486111111</v>
      </c>
      <c r="C210" t="inlineStr">
        <is>
          <t>Walk-In</t>
        </is>
      </c>
      <c r="D210" t="n">
        <v>4</v>
      </c>
      <c r="E210" t="inlineStr">
        <is>
          <t>Abdominal Pain</t>
        </is>
      </c>
      <c r="F210" t="inlineStr">
        <is>
          <t>Discharged</t>
        </is>
      </c>
      <c r="G210" t="n">
        <v>39</v>
      </c>
      <c r="H210" t="n">
        <v>134</v>
      </c>
    </row>
    <row r="211">
      <c r="A211" t="inlineStr">
        <is>
          <t>ED211476</t>
        </is>
      </c>
      <c r="B211" s="33" t="n">
        <v>45979.45902777778</v>
      </c>
      <c r="C211" t="inlineStr">
        <is>
          <t>Ambulance</t>
        </is>
      </c>
      <c r="D211" t="n">
        <v>2</v>
      </c>
      <c r="E211" t="inlineStr">
        <is>
          <t>Cough / Trouble Breathing</t>
        </is>
      </c>
      <c r="F211" t="inlineStr">
        <is>
          <t>Discharged</t>
        </is>
      </c>
      <c r="G211" t="n">
        <v>5</v>
      </c>
      <c r="H211" t="n">
        <v>263</v>
      </c>
    </row>
    <row r="212">
      <c r="A212" t="inlineStr">
        <is>
          <t>ED211477</t>
        </is>
      </c>
      <c r="B212" s="33" t="n">
        <v>45979.51875</v>
      </c>
      <c r="C212" t="inlineStr">
        <is>
          <t>Walk-In</t>
        </is>
      </c>
      <c r="D212" t="n">
        <v>4</v>
      </c>
      <c r="E212" t="inlineStr">
        <is>
          <t>Nausea</t>
        </is>
      </c>
      <c r="F212" t="inlineStr">
        <is>
          <t>Discharged</t>
        </is>
      </c>
      <c r="G212" t="n">
        <v>37</v>
      </c>
      <c r="H212" t="n">
        <v>138</v>
      </c>
    </row>
    <row r="213">
      <c r="A213" t="inlineStr">
        <is>
          <t>ED211478</t>
        </is>
      </c>
      <c r="B213" s="33" t="n">
        <v>45979.55138888889</v>
      </c>
      <c r="C213" t="inlineStr">
        <is>
          <t>Walk-In</t>
        </is>
      </c>
      <c r="D213" t="n">
        <v>2</v>
      </c>
      <c r="E213" t="inlineStr">
        <is>
          <t>Fever / Altered Mental Status</t>
        </is>
      </c>
      <c r="F213" t="inlineStr">
        <is>
          <t>Admitted</t>
        </is>
      </c>
      <c r="G213" t="n">
        <v>12</v>
      </c>
      <c r="H213" t="n">
        <v>250</v>
      </c>
    </row>
    <row r="214">
      <c r="A214" t="inlineStr">
        <is>
          <t>ED211479</t>
        </is>
      </c>
      <c r="B214" s="33" t="n">
        <v>45979.62638888889</v>
      </c>
      <c r="C214" t="inlineStr">
        <is>
          <t>Walk-In</t>
        </is>
      </c>
      <c r="D214" t="n">
        <v>3</v>
      </c>
      <c r="E214" t="inlineStr">
        <is>
          <t>Back Pain</t>
        </is>
      </c>
      <c r="F214" t="inlineStr">
        <is>
          <t>Discharged</t>
        </is>
      </c>
      <c r="G214" t="n">
        <v>94</v>
      </c>
      <c r="H214" t="n">
        <v>191</v>
      </c>
    </row>
    <row r="215">
      <c r="A215" t="inlineStr">
        <is>
          <t>ED211481</t>
        </is>
      </c>
      <c r="B215" s="33" t="n">
        <v>45979.65555555555</v>
      </c>
      <c r="C215" t="inlineStr">
        <is>
          <t>Ambulance</t>
        </is>
      </c>
      <c r="D215" t="n">
        <v>2</v>
      </c>
      <c r="E215" t="inlineStr">
        <is>
          <t>Shortness of Breath</t>
        </is>
      </c>
      <c r="F215" t="inlineStr">
        <is>
          <t>Discharged</t>
        </is>
      </c>
      <c r="G215" t="n">
        <v>17</v>
      </c>
      <c r="H215" t="n">
        <v>277</v>
      </c>
    </row>
    <row r="216">
      <c r="A216" t="inlineStr">
        <is>
          <t>ED211482</t>
        </is>
      </c>
      <c r="B216" s="33" t="n">
        <v>45979.65763888889</v>
      </c>
      <c r="C216" t="inlineStr">
        <is>
          <t>Ambulance</t>
        </is>
      </c>
      <c r="D216" t="n">
        <v>2</v>
      </c>
      <c r="E216" t="inlineStr">
        <is>
          <t>Shortness of Breath</t>
        </is>
      </c>
      <c r="F216" t="inlineStr">
        <is>
          <t>Admitted</t>
        </is>
      </c>
      <c r="G216" t="n">
        <v>16</v>
      </c>
      <c r="H216" t="n">
        <v>235</v>
      </c>
    </row>
    <row r="217">
      <c r="A217" t="inlineStr">
        <is>
          <t>ED211483</t>
        </is>
      </c>
      <c r="B217" s="33" t="n">
        <v>45979.66736111111</v>
      </c>
      <c r="C217" t="inlineStr">
        <is>
          <t>Walk-In</t>
        </is>
      </c>
      <c r="D217" t="n">
        <v>2</v>
      </c>
      <c r="E217" t="inlineStr">
        <is>
          <t>Cough / Fever</t>
        </is>
      </c>
      <c r="F217" t="inlineStr">
        <is>
          <t>Admitted</t>
        </is>
      </c>
      <c r="G217" t="n">
        <v>15</v>
      </c>
      <c r="H217" t="n">
        <v>319</v>
      </c>
    </row>
    <row r="218">
      <c r="A218" t="inlineStr">
        <is>
          <t>ED211484</t>
        </is>
      </c>
      <c r="B218" s="33" t="n">
        <v>45979.69652777778</v>
      </c>
      <c r="C218" t="inlineStr">
        <is>
          <t>Walk-In</t>
        </is>
      </c>
      <c r="D218" t="n">
        <v>2</v>
      </c>
      <c r="E218" t="inlineStr">
        <is>
          <t>Weakness / Numbness</t>
        </is>
      </c>
      <c r="F218" t="inlineStr">
        <is>
          <t>Admitted</t>
        </is>
      </c>
      <c r="G218" t="n">
        <v>15</v>
      </c>
      <c r="H218" t="n">
        <v>394</v>
      </c>
    </row>
    <row r="219">
      <c r="A219" t="inlineStr">
        <is>
          <t>ED211485</t>
        </is>
      </c>
      <c r="B219" s="33" t="n">
        <v>45979.73958333334</v>
      </c>
      <c r="C219" t="inlineStr">
        <is>
          <t>Ambulance</t>
        </is>
      </c>
      <c r="D219" t="n">
        <v>3</v>
      </c>
      <c r="E219" t="inlineStr">
        <is>
          <t>Anxiety / Palpitations</t>
        </is>
      </c>
      <c r="F219" t="inlineStr">
        <is>
          <t>Discharged</t>
        </is>
      </c>
      <c r="G219" t="n">
        <v>27</v>
      </c>
      <c r="H219" t="n">
        <v>193</v>
      </c>
    </row>
    <row r="220">
      <c r="A220" t="inlineStr">
        <is>
          <t>ED211486</t>
        </is>
      </c>
      <c r="B220" s="33" t="n">
        <v>45979.73958333334</v>
      </c>
      <c r="C220" t="inlineStr">
        <is>
          <t>Walk-In</t>
        </is>
      </c>
      <c r="D220" t="n">
        <v>2</v>
      </c>
      <c r="E220" t="inlineStr">
        <is>
          <t>Fever / Altered Mental Status</t>
        </is>
      </c>
      <c r="F220" t="inlineStr">
        <is>
          <t>Admitted</t>
        </is>
      </c>
      <c r="G220" t="n">
        <v>27</v>
      </c>
      <c r="H220" t="n">
        <v>319</v>
      </c>
    </row>
    <row r="221">
      <c r="A221" t="inlineStr">
        <is>
          <t>ED211487</t>
        </is>
      </c>
      <c r="B221" s="33" t="n">
        <v>45979.75694444445</v>
      </c>
      <c r="C221" t="inlineStr">
        <is>
          <t>Walk-In</t>
        </is>
      </c>
      <c r="D221" t="n">
        <v>5</v>
      </c>
      <c r="E221" t="inlineStr">
        <is>
          <t>Shortness of Breath</t>
        </is>
      </c>
      <c r="F221" t="inlineStr">
        <is>
          <t>Discharged</t>
        </is>
      </c>
      <c r="G221" t="n">
        <v>155</v>
      </c>
      <c r="H221" t="n">
        <v>239</v>
      </c>
    </row>
    <row r="222">
      <c r="A222" t="inlineStr">
        <is>
          <t>ED211488</t>
        </is>
      </c>
      <c r="B222" s="33" t="n">
        <v>45979.81805555556</v>
      </c>
      <c r="C222" t="inlineStr">
        <is>
          <t>Ambulance</t>
        </is>
      </c>
      <c r="D222" t="n">
        <v>1</v>
      </c>
      <c r="E222" t="inlineStr">
        <is>
          <t>Shortness of Breath</t>
        </is>
      </c>
      <c r="F222" t="inlineStr">
        <is>
          <t>Admitted</t>
        </is>
      </c>
      <c r="G222" t="n">
        <v>3</v>
      </c>
      <c r="H222" t="n">
        <v>1049</v>
      </c>
    </row>
    <row r="223">
      <c r="A223" t="inlineStr">
        <is>
          <t>ED211489</t>
        </is>
      </c>
      <c r="B223" s="33" t="n">
        <v>45979.85069444445</v>
      </c>
      <c r="C223" t="inlineStr">
        <is>
          <t>Walk-In</t>
        </is>
      </c>
      <c r="D223" t="n">
        <v>4</v>
      </c>
      <c r="E223" t="inlineStr">
        <is>
          <t>Vomiting / Dizziness</t>
        </is>
      </c>
      <c r="F223" t="inlineStr">
        <is>
          <t>Discharged</t>
        </is>
      </c>
      <c r="G223" t="n">
        <v>88</v>
      </c>
      <c r="H223" t="n">
        <v>194</v>
      </c>
    </row>
    <row r="224">
      <c r="A224" t="inlineStr">
        <is>
          <t>ED211490</t>
        </is>
      </c>
      <c r="B224" s="33" t="n">
        <v>45979.96388888889</v>
      </c>
      <c r="C224" t="inlineStr">
        <is>
          <t>Walk-In</t>
        </is>
      </c>
      <c r="D224" t="n">
        <v>2</v>
      </c>
      <c r="E224" t="inlineStr">
        <is>
          <t>Labor</t>
        </is>
      </c>
      <c r="F224" t="inlineStr">
        <is>
          <t>Admitted</t>
        </is>
      </c>
      <c r="G224" t="n">
        <v>13</v>
      </c>
      <c r="H224" t="n">
        <v>274</v>
      </c>
    </row>
    <row r="225">
      <c r="A225" t="inlineStr">
        <is>
          <t>ED211491</t>
        </is>
      </c>
      <c r="B225" s="33" t="n">
        <v>45980.12430555555</v>
      </c>
      <c r="C225" t="inlineStr">
        <is>
          <t>Walk-In</t>
        </is>
      </c>
      <c r="D225" t="n">
        <v>4</v>
      </c>
      <c r="E225" t="inlineStr">
        <is>
          <t>Shortness of Breath</t>
        </is>
      </c>
      <c r="F225" t="inlineStr">
        <is>
          <t>Admitted</t>
        </is>
      </c>
      <c r="G225" t="n">
        <v>44</v>
      </c>
      <c r="H225" t="n">
        <v>189</v>
      </c>
    </row>
    <row r="226">
      <c r="A226" t="inlineStr">
        <is>
          <t>ED211492</t>
        </is>
      </c>
      <c r="B226" s="33" t="n">
        <v>45980.23333333333</v>
      </c>
      <c r="C226" t="inlineStr">
        <is>
          <t>Walk-In</t>
        </is>
      </c>
      <c r="D226" t="n">
        <v>3</v>
      </c>
      <c r="E226" t="inlineStr">
        <is>
          <t>Shortness of Breath</t>
        </is>
      </c>
      <c r="F226" t="inlineStr">
        <is>
          <t>Admitted</t>
        </is>
      </c>
      <c r="G226" t="n">
        <v>25</v>
      </c>
      <c r="H226" t="n">
        <v>1281</v>
      </c>
    </row>
    <row r="227">
      <c r="A227" t="inlineStr">
        <is>
          <t>ED211493</t>
        </is>
      </c>
      <c r="B227" s="33" t="n">
        <v>45980.29930555556</v>
      </c>
      <c r="C227" t="inlineStr">
        <is>
          <t>Walk-In</t>
        </is>
      </c>
      <c r="D227" t="n">
        <v>5</v>
      </c>
      <c r="E227" t="inlineStr">
        <is>
          <t>Vomiting / Diarrhea</t>
        </is>
      </c>
      <c r="F227" t="inlineStr">
        <is>
          <t>Discharged</t>
        </is>
      </c>
      <c r="G227" t="n">
        <v>26</v>
      </c>
      <c r="H227" t="n">
        <v>98</v>
      </c>
    </row>
    <row r="228">
      <c r="A228" t="inlineStr">
        <is>
          <t>ED211497</t>
        </is>
      </c>
      <c r="B228" s="33" t="n">
        <v>45980.36736111111</v>
      </c>
      <c r="C228" t="inlineStr">
        <is>
          <t>Walk-In</t>
        </is>
      </c>
      <c r="D228" t="n">
        <v>2</v>
      </c>
      <c r="E228" t="inlineStr">
        <is>
          <t>Shortness of Breath</t>
        </is>
      </c>
      <c r="F228" t="inlineStr">
        <is>
          <t>Admitted</t>
        </is>
      </c>
      <c r="G228" t="n">
        <v>15</v>
      </c>
      <c r="H228" t="n">
        <v>230</v>
      </c>
    </row>
    <row r="229">
      <c r="A229" t="inlineStr">
        <is>
          <t>ED211500</t>
        </is>
      </c>
      <c r="B229" s="33" t="n">
        <v>45980.5375</v>
      </c>
      <c r="C229" t="inlineStr">
        <is>
          <t>Walk-In</t>
        </is>
      </c>
      <c r="D229" t="n">
        <v>4</v>
      </c>
      <c r="E229" t="inlineStr">
        <is>
          <t>Cough / Fever</t>
        </is>
      </c>
      <c r="F229" t="inlineStr">
        <is>
          <t>Admitted</t>
        </is>
      </c>
      <c r="G229" t="n">
        <v>100</v>
      </c>
      <c r="H229" t="n">
        <v>200</v>
      </c>
    </row>
    <row r="230">
      <c r="A230" t="inlineStr">
        <is>
          <t>ED211501</t>
        </is>
      </c>
      <c r="B230" s="33" t="n">
        <v>45980.57708333333</v>
      </c>
      <c r="C230" t="inlineStr">
        <is>
          <t>Walk-In</t>
        </is>
      </c>
      <c r="D230" t="n">
        <v>3</v>
      </c>
      <c r="E230" t="inlineStr">
        <is>
          <t>Cough / Trouble Breathing</t>
        </is>
      </c>
      <c r="F230" t="inlineStr">
        <is>
          <t>Admitted</t>
        </is>
      </c>
      <c r="G230" t="n">
        <v>36</v>
      </c>
      <c r="H230" t="n">
        <v>322</v>
      </c>
    </row>
    <row r="231">
      <c r="A231" t="inlineStr">
        <is>
          <t>ED211502</t>
        </is>
      </c>
      <c r="B231" s="33" t="n">
        <v>45980.57986111111</v>
      </c>
      <c r="C231" t="inlineStr">
        <is>
          <t>Ambulance</t>
        </is>
      </c>
      <c r="D231" t="n">
        <v>3</v>
      </c>
      <c r="E231" t="inlineStr">
        <is>
          <t>Depression / Suicidal Thoughts</t>
        </is>
      </c>
      <c r="F231" t="inlineStr">
        <is>
          <t>Admitted</t>
        </is>
      </c>
      <c r="G231" t="n">
        <v>119</v>
      </c>
      <c r="H231" t="n">
        <v>539</v>
      </c>
    </row>
    <row r="232">
      <c r="A232" t="inlineStr">
        <is>
          <t>ED211503</t>
        </is>
      </c>
      <c r="B232" s="33" t="n">
        <v>45980.59375</v>
      </c>
      <c r="C232" t="inlineStr">
        <is>
          <t>Walk-In</t>
        </is>
      </c>
      <c r="D232" t="n">
        <v>3</v>
      </c>
      <c r="E232" t="inlineStr">
        <is>
          <t>Depression / Suicidal Thoughts</t>
        </is>
      </c>
      <c r="F232" t="inlineStr">
        <is>
          <t>Discharged</t>
        </is>
      </c>
      <c r="G232" t="n">
        <v>51</v>
      </c>
      <c r="H232" t="n">
        <v>272</v>
      </c>
    </row>
    <row r="233">
      <c r="A233" t="inlineStr">
        <is>
          <t>ED211505</t>
        </is>
      </c>
      <c r="B233" s="33" t="n">
        <v>45980.65416666667</v>
      </c>
      <c r="C233" t="inlineStr">
        <is>
          <t>Walk-In</t>
        </is>
      </c>
      <c r="D233" t="n">
        <v>3</v>
      </c>
      <c r="E233" t="inlineStr">
        <is>
          <t>Abdominal Pain</t>
        </is>
      </c>
      <c r="F233" t="inlineStr">
        <is>
          <t>Discharged</t>
        </is>
      </c>
      <c r="G233" t="n">
        <v>43</v>
      </c>
      <c r="H233" t="n">
        <v>145</v>
      </c>
    </row>
    <row r="234">
      <c r="A234" t="inlineStr">
        <is>
          <t>ED211506</t>
        </is>
      </c>
      <c r="B234" s="33" t="n">
        <v>45980.675</v>
      </c>
      <c r="C234" t="inlineStr">
        <is>
          <t>Walk-In</t>
        </is>
      </c>
      <c r="D234" t="n">
        <v>4</v>
      </c>
      <c r="E234" t="inlineStr">
        <is>
          <t>Cough / Fever</t>
        </is>
      </c>
      <c r="F234" t="inlineStr">
        <is>
          <t>Discharged</t>
        </is>
      </c>
      <c r="G234" t="n">
        <v>58</v>
      </c>
      <c r="H234" t="n">
        <v>146</v>
      </c>
    </row>
    <row r="235">
      <c r="A235" t="inlineStr">
        <is>
          <t>ED211507</t>
        </is>
      </c>
      <c r="B235" s="33" t="n">
        <v>45980.68055555555</v>
      </c>
      <c r="C235" t="inlineStr">
        <is>
          <t>Walk-In</t>
        </is>
      </c>
      <c r="D235" t="n">
        <v>2</v>
      </c>
      <c r="E235" t="inlineStr">
        <is>
          <t>Abdominal Pain / Vomiting</t>
        </is>
      </c>
      <c r="F235" t="inlineStr">
        <is>
          <t>Admitted</t>
        </is>
      </c>
      <c r="G235" t="n">
        <v>16</v>
      </c>
      <c r="H235" t="n">
        <v>318</v>
      </c>
    </row>
    <row r="236">
      <c r="A236" t="inlineStr">
        <is>
          <t>ED211510</t>
        </is>
      </c>
      <c r="B236" s="33" t="n">
        <v>45980.87708333333</v>
      </c>
      <c r="C236" t="inlineStr">
        <is>
          <t>Walk-In</t>
        </is>
      </c>
      <c r="D236" t="n">
        <v>4</v>
      </c>
      <c r="E236" t="inlineStr">
        <is>
          <t>Cough / Fever</t>
        </is>
      </c>
      <c r="F236" t="inlineStr">
        <is>
          <t>Discharged</t>
        </is>
      </c>
      <c r="G236" t="n">
        <v>34</v>
      </c>
      <c r="H236" t="n">
        <v>159</v>
      </c>
    </row>
    <row r="237">
      <c r="A237" t="inlineStr">
        <is>
          <t>ED211513</t>
        </is>
      </c>
      <c r="B237" s="33" t="n">
        <v>45981.00347222222</v>
      </c>
      <c r="C237" t="inlineStr">
        <is>
          <t>Walk-In</t>
        </is>
      </c>
      <c r="D237" t="n">
        <v>4</v>
      </c>
      <c r="E237" t="inlineStr">
        <is>
          <t>Back Pain</t>
        </is>
      </c>
      <c r="F237" t="inlineStr">
        <is>
          <t>Discharged</t>
        </is>
      </c>
      <c r="G237" t="n">
        <v>22</v>
      </c>
      <c r="H237" t="n">
        <v>82</v>
      </c>
    </row>
    <row r="238">
      <c r="A238" t="inlineStr">
        <is>
          <t>ED211514</t>
        </is>
      </c>
      <c r="B238" s="33" t="n">
        <v>45981.13680555556</v>
      </c>
      <c r="C238" t="inlineStr">
        <is>
          <t>Walk-In</t>
        </is>
      </c>
      <c r="D238" t="n">
        <v>3</v>
      </c>
      <c r="E238" t="inlineStr">
        <is>
          <t>Shortness of Breath</t>
        </is>
      </c>
      <c r="F238" t="inlineStr">
        <is>
          <t>Discharged</t>
        </is>
      </c>
      <c r="G238" t="n">
        <v>21</v>
      </c>
      <c r="H238" t="n">
        <v>175</v>
      </c>
    </row>
    <row r="239">
      <c r="A239" t="inlineStr">
        <is>
          <t>ED211515</t>
        </is>
      </c>
      <c r="B239" s="33" t="n">
        <v>45981.18819444445</v>
      </c>
      <c r="C239" t="inlineStr">
        <is>
          <t>Walk-In</t>
        </is>
      </c>
      <c r="D239" t="n">
        <v>3</v>
      </c>
      <c r="E239" t="inlineStr">
        <is>
          <t>Cough / Trouble Breathing</t>
        </is>
      </c>
      <c r="F239" t="inlineStr">
        <is>
          <t>Discharged</t>
        </is>
      </c>
      <c r="G239" t="n">
        <v>20</v>
      </c>
      <c r="H239" t="n">
        <v>262</v>
      </c>
    </row>
    <row r="240">
      <c r="A240" t="inlineStr">
        <is>
          <t>ED211517</t>
        </is>
      </c>
      <c r="B240" s="33" t="n">
        <v>45981.33611111111</v>
      </c>
      <c r="C240" t="inlineStr">
        <is>
          <t>Walk-In</t>
        </is>
      </c>
      <c r="D240" t="n">
        <v>4</v>
      </c>
      <c r="E240" t="inlineStr">
        <is>
          <t>Abdominal Pain</t>
        </is>
      </c>
      <c r="F240" t="inlineStr">
        <is>
          <t>Discharged</t>
        </is>
      </c>
      <c r="G240" t="n">
        <v>68</v>
      </c>
      <c r="H240" t="n">
        <v>192</v>
      </c>
    </row>
    <row r="241">
      <c r="A241" t="inlineStr">
        <is>
          <t>ED211520</t>
        </is>
      </c>
      <c r="B241" s="33" t="n">
        <v>45981.42291666667</v>
      </c>
      <c r="C241" t="inlineStr">
        <is>
          <t>Ambulance</t>
        </is>
      </c>
      <c r="D241" t="n">
        <v>3</v>
      </c>
      <c r="E241" t="inlineStr">
        <is>
          <t>Depression / Suicidal Thoughts</t>
        </is>
      </c>
      <c r="F241" t="inlineStr">
        <is>
          <t>Admitted</t>
        </is>
      </c>
      <c r="G241" t="n">
        <v>36</v>
      </c>
      <c r="H241" t="n">
        <v>328</v>
      </c>
    </row>
    <row r="242">
      <c r="A242" t="inlineStr">
        <is>
          <t>ED211523</t>
        </is>
      </c>
      <c r="B242" s="33" t="n">
        <v>45981.45833333334</v>
      </c>
      <c r="C242" t="inlineStr">
        <is>
          <t>Walk-In</t>
        </is>
      </c>
      <c r="D242" t="n">
        <v>3</v>
      </c>
      <c r="E242" t="inlineStr">
        <is>
          <t>Chest Pain</t>
        </is>
      </c>
      <c r="F242" t="inlineStr">
        <is>
          <t>Discharged</t>
        </is>
      </c>
      <c r="G242" t="n">
        <v>33</v>
      </c>
      <c r="H242" t="n">
        <v>232</v>
      </c>
    </row>
    <row r="243">
      <c r="A243" t="inlineStr">
        <is>
          <t>ED211524</t>
        </is>
      </c>
      <c r="B243" s="33" t="n">
        <v>45981.47569444445</v>
      </c>
      <c r="C243" t="inlineStr">
        <is>
          <t>Ambulance</t>
        </is>
      </c>
      <c r="D243" t="n">
        <v>2</v>
      </c>
      <c r="E243" t="inlineStr">
        <is>
          <t>Palpitations</t>
        </is>
      </c>
      <c r="F243" t="inlineStr">
        <is>
          <t>Observation</t>
        </is>
      </c>
      <c r="G243" t="n">
        <v>14</v>
      </c>
      <c r="H243" t="n">
        <v>667</v>
      </c>
    </row>
    <row r="244">
      <c r="A244" t="inlineStr">
        <is>
          <t>ED211525</t>
        </is>
      </c>
      <c r="B244" s="33" t="n">
        <v>45981.49444444444</v>
      </c>
      <c r="C244" t="inlineStr">
        <is>
          <t>Walk-In</t>
        </is>
      </c>
      <c r="D244" t="n">
        <v>3</v>
      </c>
      <c r="E244" t="inlineStr">
        <is>
          <t>Laceration</t>
        </is>
      </c>
      <c r="F244" t="inlineStr">
        <is>
          <t>Admitted</t>
        </is>
      </c>
      <c r="G244" t="n">
        <v>31</v>
      </c>
      <c r="H244" t="n">
        <v>362</v>
      </c>
    </row>
    <row r="245">
      <c r="A245" t="inlineStr">
        <is>
          <t>ED211526</t>
        </is>
      </c>
      <c r="B245" s="33" t="n">
        <v>45981.52777777778</v>
      </c>
      <c r="C245" t="inlineStr">
        <is>
          <t>Police</t>
        </is>
      </c>
      <c r="D245" t="n">
        <v>2</v>
      </c>
      <c r="E245" t="inlineStr">
        <is>
          <t>Tremors / Alcohol Withdrawal</t>
        </is>
      </c>
      <c r="F245" t="inlineStr">
        <is>
          <t>Discharged</t>
        </is>
      </c>
      <c r="G245" t="n">
        <v>18</v>
      </c>
      <c r="H245" t="n">
        <v>233</v>
      </c>
    </row>
    <row r="246">
      <c r="A246" t="inlineStr">
        <is>
          <t>ED211527</t>
        </is>
      </c>
      <c r="B246" s="33" t="n">
        <v>45981.52916666667</v>
      </c>
      <c r="C246" t="inlineStr">
        <is>
          <t>Walk-In</t>
        </is>
      </c>
      <c r="D246" t="n">
        <v>4</v>
      </c>
      <c r="E246" t="inlineStr">
        <is>
          <t>Cough / Fever</t>
        </is>
      </c>
      <c r="F246" t="inlineStr">
        <is>
          <t>LWBS</t>
        </is>
      </c>
      <c r="H246" t="n">
        <v>82</v>
      </c>
    </row>
    <row r="247">
      <c r="A247" t="inlineStr">
        <is>
          <t>ED211528</t>
        </is>
      </c>
      <c r="B247" s="33" t="n">
        <v>45981.56388888889</v>
      </c>
      <c r="C247" t="inlineStr">
        <is>
          <t>Walk-In</t>
        </is>
      </c>
      <c r="D247" t="n">
        <v>2</v>
      </c>
      <c r="E247" t="inlineStr">
        <is>
          <t>Cough / Fever</t>
        </is>
      </c>
      <c r="F247" t="inlineStr">
        <is>
          <t>Admitted</t>
        </is>
      </c>
      <c r="G247" t="n">
        <v>24</v>
      </c>
      <c r="H247" t="n">
        <v>496</v>
      </c>
    </row>
    <row r="248">
      <c r="A248" t="inlineStr">
        <is>
          <t>ED211529</t>
        </is>
      </c>
      <c r="B248" s="33" t="n">
        <v>45981.57916666667</v>
      </c>
      <c r="C248" t="inlineStr">
        <is>
          <t>Walk-In</t>
        </is>
      </c>
      <c r="D248" t="n">
        <v>4</v>
      </c>
      <c r="E248" t="inlineStr">
        <is>
          <t>Painful Urination / Fever</t>
        </is>
      </c>
      <c r="F248" t="inlineStr">
        <is>
          <t>Discharged</t>
        </is>
      </c>
      <c r="G248" t="n">
        <v>68</v>
      </c>
      <c r="H248" t="n">
        <v>181</v>
      </c>
    </row>
    <row r="249">
      <c r="A249" t="inlineStr">
        <is>
          <t>ED211530</t>
        </is>
      </c>
      <c r="B249" s="33" t="n">
        <v>45981.66041666667</v>
      </c>
      <c r="C249" t="inlineStr">
        <is>
          <t>Walk-In</t>
        </is>
      </c>
      <c r="D249" t="n">
        <v>2</v>
      </c>
      <c r="E249" t="inlineStr">
        <is>
          <t>Shortness of Breath</t>
        </is>
      </c>
      <c r="F249" t="inlineStr">
        <is>
          <t>Discharged</t>
        </is>
      </c>
      <c r="G249" t="n">
        <v>12</v>
      </c>
      <c r="H249" t="n">
        <v>228</v>
      </c>
    </row>
    <row r="250">
      <c r="A250" t="inlineStr">
        <is>
          <t>ED211531</t>
        </is>
      </c>
      <c r="B250" s="33" t="n">
        <v>45981.67777777778</v>
      </c>
      <c r="C250" t="inlineStr">
        <is>
          <t>Walk-In</t>
        </is>
      </c>
      <c r="D250" t="n">
        <v>2</v>
      </c>
      <c r="E250" t="inlineStr">
        <is>
          <t>Cough / Fever</t>
        </is>
      </c>
      <c r="F250" t="inlineStr">
        <is>
          <t>Discharged</t>
        </is>
      </c>
      <c r="G250" t="n">
        <v>31</v>
      </c>
      <c r="H250" t="n">
        <v>216</v>
      </c>
    </row>
    <row r="251">
      <c r="A251" t="inlineStr">
        <is>
          <t>ED211532</t>
        </is>
      </c>
      <c r="B251" s="33" t="n">
        <v>45981.75416666667</v>
      </c>
      <c r="C251" t="inlineStr">
        <is>
          <t>Walk-In</t>
        </is>
      </c>
      <c r="D251" t="n">
        <v>4</v>
      </c>
      <c r="E251" t="inlineStr">
        <is>
          <t>Painful Urination / Fever</t>
        </is>
      </c>
      <c r="F251" t="inlineStr">
        <is>
          <t>Discharged</t>
        </is>
      </c>
      <c r="G251" t="n">
        <v>126</v>
      </c>
      <c r="H251" t="n">
        <v>225</v>
      </c>
    </row>
    <row r="252">
      <c r="A252" t="inlineStr">
        <is>
          <t>ED211533</t>
        </is>
      </c>
      <c r="B252" s="33" t="n">
        <v>45981.77361111111</v>
      </c>
      <c r="C252" t="inlineStr">
        <is>
          <t>Ambulance</t>
        </is>
      </c>
      <c r="D252" t="n">
        <v>3</v>
      </c>
      <c r="E252" t="inlineStr">
        <is>
          <t>Abdominal Pain</t>
        </is>
      </c>
      <c r="F252" t="inlineStr">
        <is>
          <t>Discharged</t>
        </is>
      </c>
      <c r="G252" t="n">
        <v>21</v>
      </c>
      <c r="H252" t="n">
        <v>236</v>
      </c>
    </row>
    <row r="253">
      <c r="A253" t="inlineStr">
        <is>
          <t>ED211534</t>
        </is>
      </c>
      <c r="B253" s="33" t="n">
        <v>45981.89513888889</v>
      </c>
      <c r="C253" t="inlineStr">
        <is>
          <t>Walk-In</t>
        </is>
      </c>
      <c r="D253" t="n">
        <v>3</v>
      </c>
      <c r="E253" t="inlineStr">
        <is>
          <t>Fever / Altered Mental Status</t>
        </is>
      </c>
      <c r="F253" t="inlineStr">
        <is>
          <t>Admitted</t>
        </is>
      </c>
      <c r="G253" t="n">
        <v>40</v>
      </c>
      <c r="H253" t="n">
        <v>297</v>
      </c>
    </row>
    <row r="254">
      <c r="A254" t="inlineStr">
        <is>
          <t>ED211538</t>
        </is>
      </c>
      <c r="B254" s="33" t="n">
        <v>45982.51875</v>
      </c>
      <c r="C254" t="inlineStr">
        <is>
          <t>Walk-In</t>
        </is>
      </c>
      <c r="D254" t="n">
        <v>3</v>
      </c>
      <c r="E254" t="inlineStr">
        <is>
          <t>Vomiting / Diarrhea</t>
        </is>
      </c>
      <c r="F254" t="inlineStr">
        <is>
          <t>Discharged</t>
        </is>
      </c>
      <c r="G254" t="n">
        <v>33</v>
      </c>
      <c r="H254" t="n">
        <v>191</v>
      </c>
    </row>
    <row r="255">
      <c r="A255" t="inlineStr">
        <is>
          <t>ED211540</t>
        </is>
      </c>
      <c r="B255" s="33" t="n">
        <v>45982.59305555555</v>
      </c>
      <c r="C255" t="inlineStr">
        <is>
          <t>Ambulance</t>
        </is>
      </c>
      <c r="D255" t="n">
        <v>1</v>
      </c>
      <c r="E255" t="inlineStr">
        <is>
          <t>Shortness of Breath</t>
        </is>
      </c>
      <c r="F255" t="inlineStr">
        <is>
          <t>Admitted</t>
        </is>
      </c>
      <c r="G255" t="n">
        <v>5</v>
      </c>
      <c r="H255" t="n">
        <v>395</v>
      </c>
    </row>
    <row r="256">
      <c r="A256" t="inlineStr">
        <is>
          <t>ED211541</t>
        </is>
      </c>
      <c r="B256" s="33" t="n">
        <v>45982.60208333333</v>
      </c>
      <c r="C256" t="inlineStr">
        <is>
          <t>Walk-In</t>
        </is>
      </c>
      <c r="D256" t="n">
        <v>2</v>
      </c>
      <c r="E256" t="inlineStr">
        <is>
          <t>Fall / Hip Pain</t>
        </is>
      </c>
      <c r="F256" t="inlineStr">
        <is>
          <t>Admitted</t>
        </is>
      </c>
      <c r="G256" t="n">
        <v>17</v>
      </c>
      <c r="H256" t="n">
        <v>389</v>
      </c>
    </row>
    <row r="257">
      <c r="A257" t="inlineStr">
        <is>
          <t>ED211542</t>
        </is>
      </c>
      <c r="B257" s="33" t="n">
        <v>45982.65347222222</v>
      </c>
      <c r="C257" t="inlineStr">
        <is>
          <t>Walk-In</t>
        </is>
      </c>
      <c r="D257" t="n">
        <v>4</v>
      </c>
      <c r="E257" t="inlineStr">
        <is>
          <t>Anxiety / Palpitations</t>
        </is>
      </c>
      <c r="F257" t="inlineStr">
        <is>
          <t>Discharged</t>
        </is>
      </c>
      <c r="G257" t="n">
        <v>193</v>
      </c>
      <c r="H257" t="n">
        <v>261</v>
      </c>
    </row>
    <row r="258">
      <c r="A258" t="inlineStr">
        <is>
          <t>ED211543</t>
        </is>
      </c>
      <c r="B258" s="33" t="n">
        <v>45982.65902777778</v>
      </c>
      <c r="C258" t="inlineStr">
        <is>
          <t>Ambulance</t>
        </is>
      </c>
      <c r="D258" t="n">
        <v>2</v>
      </c>
      <c r="E258" t="inlineStr">
        <is>
          <t>Cough / Fever</t>
        </is>
      </c>
      <c r="F258" t="inlineStr">
        <is>
          <t>Discharged</t>
        </is>
      </c>
      <c r="G258" t="n">
        <v>47</v>
      </c>
      <c r="H258" t="n">
        <v>226</v>
      </c>
    </row>
    <row r="259">
      <c r="A259" t="inlineStr">
        <is>
          <t>ED211546</t>
        </is>
      </c>
      <c r="B259" s="33" t="n">
        <v>45982.79027777778</v>
      </c>
      <c r="C259" t="inlineStr">
        <is>
          <t>Walk-In</t>
        </is>
      </c>
      <c r="D259" t="n">
        <v>4</v>
      </c>
      <c r="E259" t="inlineStr">
        <is>
          <t>Vomiting / Diarrhea</t>
        </is>
      </c>
      <c r="F259" t="inlineStr">
        <is>
          <t>Discharged</t>
        </is>
      </c>
      <c r="G259" t="n">
        <v>34</v>
      </c>
      <c r="H259" t="n">
        <v>95</v>
      </c>
    </row>
    <row r="260">
      <c r="A260" t="inlineStr">
        <is>
          <t>ED211548</t>
        </is>
      </c>
      <c r="B260" s="33" t="n">
        <v>45982.90277777778</v>
      </c>
      <c r="C260" t="inlineStr">
        <is>
          <t>Walk-In</t>
        </is>
      </c>
      <c r="D260" t="n">
        <v>2</v>
      </c>
      <c r="E260" t="inlineStr">
        <is>
          <t>Seizure</t>
        </is>
      </c>
      <c r="F260" t="inlineStr">
        <is>
          <t>Admitted</t>
        </is>
      </c>
      <c r="G260" t="n">
        <v>46</v>
      </c>
      <c r="H260" t="n">
        <v>1134</v>
      </c>
    </row>
    <row r="261">
      <c r="A261" t="inlineStr">
        <is>
          <t>ED211549</t>
        </is>
      </c>
      <c r="B261" s="33" t="n">
        <v>45982.91597222222</v>
      </c>
      <c r="C261" t="inlineStr">
        <is>
          <t>Ambulance</t>
        </is>
      </c>
      <c r="D261" t="n">
        <v>3</v>
      </c>
      <c r="E261" t="inlineStr">
        <is>
          <t>Cough / Fever</t>
        </is>
      </c>
      <c r="F261" t="inlineStr">
        <is>
          <t>Admitted</t>
        </is>
      </c>
      <c r="G261" t="n">
        <v>35</v>
      </c>
      <c r="H261" t="n">
        <v>344</v>
      </c>
    </row>
    <row r="262">
      <c r="A262" t="inlineStr">
        <is>
          <t>ED211550</t>
        </is>
      </c>
      <c r="B262" s="33" t="n">
        <v>45982.94097222222</v>
      </c>
      <c r="C262" t="inlineStr">
        <is>
          <t>Walk-In</t>
        </is>
      </c>
      <c r="D262" t="n">
        <v>5</v>
      </c>
      <c r="E262" t="inlineStr">
        <is>
          <t>Cough / Fever</t>
        </is>
      </c>
      <c r="F262" t="inlineStr">
        <is>
          <t>Discharged</t>
        </is>
      </c>
      <c r="G262" t="n">
        <v>49</v>
      </c>
      <c r="H262" t="n">
        <v>112</v>
      </c>
    </row>
    <row r="263">
      <c r="A263" t="inlineStr">
        <is>
          <t>ED211552</t>
        </is>
      </c>
      <c r="B263" s="33" t="n">
        <v>45983.15972222222</v>
      </c>
      <c r="C263" t="inlineStr">
        <is>
          <t>Walk-In</t>
        </is>
      </c>
      <c r="D263" t="n">
        <v>2</v>
      </c>
      <c r="E263" t="inlineStr">
        <is>
          <t>Rash</t>
        </is>
      </c>
      <c r="F263" t="inlineStr">
        <is>
          <t>Discharged</t>
        </is>
      </c>
      <c r="G263" t="n">
        <v>8</v>
      </c>
      <c r="H263" t="n">
        <v>186</v>
      </c>
    </row>
    <row r="264">
      <c r="A264" t="inlineStr">
        <is>
          <t>ED211553</t>
        </is>
      </c>
      <c r="B264" s="33" t="n">
        <v>45983.24861111111</v>
      </c>
      <c r="C264" t="inlineStr">
        <is>
          <t>Walk-In</t>
        </is>
      </c>
      <c r="D264" t="n">
        <v>4</v>
      </c>
      <c r="E264" t="inlineStr">
        <is>
          <t>Headache</t>
        </is>
      </c>
      <c r="F264" t="inlineStr">
        <is>
          <t>Observation</t>
        </is>
      </c>
      <c r="G264" t="n">
        <v>12</v>
      </c>
      <c r="H264" t="n">
        <v>232</v>
      </c>
    </row>
    <row r="265">
      <c r="A265" t="inlineStr">
        <is>
          <t>ED211554</t>
        </is>
      </c>
      <c r="B265" s="33" t="n">
        <v>45983.34930555556</v>
      </c>
      <c r="C265" t="inlineStr">
        <is>
          <t>Walk-In</t>
        </is>
      </c>
      <c r="D265" t="n">
        <v>2</v>
      </c>
      <c r="E265" t="inlineStr">
        <is>
          <t>Chest Pain</t>
        </is>
      </c>
      <c r="F265" t="inlineStr">
        <is>
          <t>Discharged</t>
        </is>
      </c>
      <c r="G265" t="n">
        <v>37</v>
      </c>
      <c r="H265" t="n">
        <v>200</v>
      </c>
    </row>
    <row r="266">
      <c r="A266" t="inlineStr">
        <is>
          <t>ED211555</t>
        </is>
      </c>
      <c r="B266" s="33" t="n">
        <v>45983.48333333333</v>
      </c>
      <c r="C266" t="inlineStr">
        <is>
          <t>Walk-In</t>
        </is>
      </c>
      <c r="D266" t="n">
        <v>4</v>
      </c>
      <c r="E266" t="inlineStr">
        <is>
          <t>Seizure</t>
        </is>
      </c>
      <c r="F266" t="inlineStr">
        <is>
          <t>Discharged</t>
        </is>
      </c>
      <c r="G266" t="n">
        <v>64</v>
      </c>
      <c r="H266" t="n">
        <v>124</v>
      </c>
    </row>
    <row r="267">
      <c r="A267" t="inlineStr">
        <is>
          <t>ED211556</t>
        </is>
      </c>
      <c r="B267" s="33" t="n">
        <v>45983.54236111111</v>
      </c>
      <c r="C267" t="inlineStr">
        <is>
          <t>Ambulance</t>
        </is>
      </c>
      <c r="D267" t="n">
        <v>3</v>
      </c>
      <c r="E267" t="inlineStr">
        <is>
          <t>Head Injury</t>
        </is>
      </c>
      <c r="F267" t="inlineStr">
        <is>
          <t>Discharged</t>
        </is>
      </c>
      <c r="G267" t="n">
        <v>23</v>
      </c>
      <c r="H267" t="n">
        <v>200</v>
      </c>
    </row>
    <row r="268">
      <c r="A268" t="inlineStr">
        <is>
          <t>ED211557</t>
        </is>
      </c>
      <c r="B268" s="33" t="n">
        <v>45983.63055555556</v>
      </c>
      <c r="C268" t="inlineStr">
        <is>
          <t>Walk-In</t>
        </is>
      </c>
      <c r="D268" t="n">
        <v>4</v>
      </c>
      <c r="E268" t="inlineStr">
        <is>
          <t>Vomiting / Diarrhea</t>
        </is>
      </c>
      <c r="F268" t="inlineStr">
        <is>
          <t>Discharged</t>
        </is>
      </c>
      <c r="G268" t="n">
        <v>129</v>
      </c>
      <c r="H268" t="n">
        <v>198</v>
      </c>
    </row>
    <row r="269">
      <c r="A269" t="inlineStr">
        <is>
          <t>ED211559</t>
        </is>
      </c>
      <c r="B269" s="33" t="n">
        <v>45983.79444444444</v>
      </c>
      <c r="C269" t="inlineStr">
        <is>
          <t>Walk-In</t>
        </is>
      </c>
      <c r="D269" t="n">
        <v>3</v>
      </c>
      <c r="E269" t="inlineStr">
        <is>
          <t>Abdominal Pain</t>
        </is>
      </c>
      <c r="F269" t="inlineStr">
        <is>
          <t>Discharged</t>
        </is>
      </c>
      <c r="G269" t="n">
        <v>61</v>
      </c>
      <c r="H269" t="n">
        <v>226</v>
      </c>
    </row>
    <row r="270">
      <c r="A270" t="inlineStr">
        <is>
          <t>ED211560</t>
        </is>
      </c>
      <c r="B270" s="33" t="n">
        <v>45983.81041666667</v>
      </c>
      <c r="C270" t="inlineStr">
        <is>
          <t>Walk-In</t>
        </is>
      </c>
      <c r="D270" t="n">
        <v>3</v>
      </c>
      <c r="E270" t="inlineStr">
        <is>
          <t>Fainting</t>
        </is>
      </c>
      <c r="F270" t="inlineStr">
        <is>
          <t>LWBS</t>
        </is>
      </c>
      <c r="H270" t="n">
        <v>111</v>
      </c>
    </row>
    <row r="271">
      <c r="A271" t="inlineStr">
        <is>
          <t>ED211561</t>
        </is>
      </c>
      <c r="B271" s="33" t="n">
        <v>45983.81805555556</v>
      </c>
      <c r="C271" t="inlineStr">
        <is>
          <t>Walk-In</t>
        </is>
      </c>
      <c r="D271" t="n">
        <v>3</v>
      </c>
      <c r="E271" t="inlineStr">
        <is>
          <t>Painful Urination / Fever</t>
        </is>
      </c>
      <c r="F271" t="inlineStr">
        <is>
          <t>Admitted</t>
        </is>
      </c>
      <c r="G271" t="n">
        <v>100</v>
      </c>
      <c r="H271" t="n">
        <v>383</v>
      </c>
    </row>
    <row r="272">
      <c r="A272" t="inlineStr">
        <is>
          <t>ED211562</t>
        </is>
      </c>
      <c r="B272" s="33" t="n">
        <v>45983.88680555556</v>
      </c>
      <c r="C272" t="inlineStr">
        <is>
          <t>Walk-In</t>
        </is>
      </c>
      <c r="D272" t="n">
        <v>2</v>
      </c>
      <c r="E272" t="inlineStr">
        <is>
          <t>Chest Pain</t>
        </is>
      </c>
      <c r="F272" t="inlineStr">
        <is>
          <t>Discharged</t>
        </is>
      </c>
      <c r="G272" t="n">
        <v>8</v>
      </c>
      <c r="H272" t="n">
        <v>237</v>
      </c>
    </row>
    <row r="273">
      <c r="A273" t="inlineStr">
        <is>
          <t>ED211564</t>
        </is>
      </c>
      <c r="B273" s="33" t="n">
        <v>45983.91597222222</v>
      </c>
      <c r="C273" t="inlineStr">
        <is>
          <t>Walk-In</t>
        </is>
      </c>
      <c r="D273" t="n">
        <v>5</v>
      </c>
      <c r="E273" t="inlineStr">
        <is>
          <t>Anxiety / Palpitations</t>
        </is>
      </c>
      <c r="F273" t="inlineStr">
        <is>
          <t>Discharged</t>
        </is>
      </c>
      <c r="G273" t="n">
        <v>132</v>
      </c>
      <c r="H273" t="n">
        <v>192</v>
      </c>
    </row>
    <row r="274">
      <c r="A274" t="inlineStr">
        <is>
          <t>ED211565</t>
        </is>
      </c>
      <c r="B274" s="33" t="n">
        <v>45984.28611111111</v>
      </c>
      <c r="C274" t="inlineStr">
        <is>
          <t>Walk-In</t>
        </is>
      </c>
      <c r="D274" t="n">
        <v>5</v>
      </c>
      <c r="E274" t="inlineStr">
        <is>
          <t>Anxiety / Palpitations</t>
        </is>
      </c>
      <c r="F274" t="inlineStr">
        <is>
          <t>Discharged</t>
        </is>
      </c>
      <c r="G274" t="n">
        <v>45</v>
      </c>
      <c r="H274" t="n">
        <v>102</v>
      </c>
    </row>
    <row r="275">
      <c r="A275" t="inlineStr">
        <is>
          <t>ED211566</t>
        </is>
      </c>
      <c r="B275" s="33" t="n">
        <v>45984.44513888889</v>
      </c>
      <c r="C275" t="inlineStr">
        <is>
          <t>Ambulance</t>
        </is>
      </c>
      <c r="D275" t="n">
        <v>2</v>
      </c>
      <c r="E275" t="inlineStr">
        <is>
          <t>Chest Pain</t>
        </is>
      </c>
      <c r="F275" t="inlineStr">
        <is>
          <t>Admitted</t>
        </is>
      </c>
      <c r="G275" t="n">
        <v>86</v>
      </c>
      <c r="H275" t="n">
        <v>301</v>
      </c>
    </row>
    <row r="276">
      <c r="A276" t="inlineStr">
        <is>
          <t>ED211568</t>
        </is>
      </c>
      <c r="B276" s="33" t="n">
        <v>45984.55208333334</v>
      </c>
      <c r="C276" t="inlineStr">
        <is>
          <t>Ambulance</t>
        </is>
      </c>
      <c r="D276" t="n">
        <v>3</v>
      </c>
      <c r="E276" t="inlineStr">
        <is>
          <t>Cough / Trouble Breathing</t>
        </is>
      </c>
      <c r="F276" t="inlineStr">
        <is>
          <t>Admitted</t>
        </is>
      </c>
      <c r="G276" t="n">
        <v>32</v>
      </c>
      <c r="H276" t="n">
        <v>314</v>
      </c>
    </row>
    <row r="277">
      <c r="A277" t="inlineStr">
        <is>
          <t>ED211570</t>
        </is>
      </c>
      <c r="B277" s="33" t="n">
        <v>45984.64444444444</v>
      </c>
      <c r="C277" t="inlineStr">
        <is>
          <t>Walk-In</t>
        </is>
      </c>
      <c r="D277" t="n">
        <v>2</v>
      </c>
      <c r="E277" t="inlineStr">
        <is>
          <t>Cough / Fever</t>
        </is>
      </c>
      <c r="F277" t="inlineStr">
        <is>
          <t>Discharged</t>
        </is>
      </c>
      <c r="G277" t="n">
        <v>12</v>
      </c>
      <c r="H277" t="n">
        <v>172</v>
      </c>
    </row>
    <row r="278">
      <c r="A278" t="inlineStr">
        <is>
          <t>ED211571</t>
        </is>
      </c>
      <c r="B278" s="33" t="n">
        <v>45984.65555555555</v>
      </c>
      <c r="C278" t="inlineStr">
        <is>
          <t>Walk-In</t>
        </is>
      </c>
      <c r="D278" t="n">
        <v>3</v>
      </c>
      <c r="E278" t="inlineStr">
        <is>
          <t>Chest Pain</t>
        </is>
      </c>
      <c r="F278" t="inlineStr">
        <is>
          <t>Discharged</t>
        </is>
      </c>
      <c r="G278" t="n">
        <v>81</v>
      </c>
      <c r="H278" t="n">
        <v>191</v>
      </c>
    </row>
    <row r="279">
      <c r="A279" t="inlineStr">
        <is>
          <t>ED211574</t>
        </is>
      </c>
      <c r="B279" s="33" t="n">
        <v>45984.69583333333</v>
      </c>
      <c r="C279" t="inlineStr">
        <is>
          <t>Ambulance</t>
        </is>
      </c>
      <c r="D279" t="n">
        <v>2</v>
      </c>
      <c r="E279" t="inlineStr">
        <is>
          <t>Depression / Suicidal Thoughts</t>
        </is>
      </c>
      <c r="F279" t="inlineStr">
        <is>
          <t>Discharged</t>
        </is>
      </c>
      <c r="G279" t="n">
        <v>19</v>
      </c>
      <c r="H279" t="n">
        <v>204</v>
      </c>
    </row>
    <row r="280">
      <c r="A280" t="inlineStr">
        <is>
          <t>ED211577</t>
        </is>
      </c>
      <c r="B280" s="33" t="n">
        <v>45984.85277777778</v>
      </c>
      <c r="C280" t="inlineStr">
        <is>
          <t>Ambulance</t>
        </is>
      </c>
      <c r="D280" t="n">
        <v>2</v>
      </c>
      <c r="E280" t="inlineStr">
        <is>
          <t>Cough / Fever</t>
        </is>
      </c>
      <c r="F280" t="inlineStr">
        <is>
          <t>Admitted</t>
        </is>
      </c>
      <c r="G280" t="n">
        <v>21</v>
      </c>
      <c r="H280" t="n">
        <v>592</v>
      </c>
    </row>
    <row r="281">
      <c r="A281" t="inlineStr">
        <is>
          <t>ED211578</t>
        </is>
      </c>
      <c r="B281" s="33" t="n">
        <v>45984.88472222222</v>
      </c>
      <c r="C281" t="inlineStr">
        <is>
          <t>Ambulance</t>
        </is>
      </c>
      <c r="D281" t="n">
        <v>3</v>
      </c>
      <c r="E281" t="inlineStr">
        <is>
          <t>Cough / Fever</t>
        </is>
      </c>
      <c r="F281" t="inlineStr">
        <is>
          <t>Discharged</t>
        </is>
      </c>
      <c r="G281" t="n">
        <v>41</v>
      </c>
      <c r="H281" t="n">
        <v>278</v>
      </c>
    </row>
    <row r="282">
      <c r="A282" t="inlineStr">
        <is>
          <t>ED211579</t>
        </is>
      </c>
      <c r="B282" s="33" t="n">
        <v>45984.94027777778</v>
      </c>
      <c r="C282" t="inlineStr">
        <is>
          <t>Walk-In</t>
        </is>
      </c>
      <c r="D282" t="n">
        <v>3</v>
      </c>
      <c r="E282" t="inlineStr">
        <is>
          <t>Cough / Trouble Breathing</t>
        </is>
      </c>
      <c r="F282" t="inlineStr">
        <is>
          <t>Discharged</t>
        </is>
      </c>
      <c r="G282" t="n">
        <v>14</v>
      </c>
      <c r="H282" t="n">
        <v>147</v>
      </c>
    </row>
    <row r="283">
      <c r="A283" t="inlineStr">
        <is>
          <t>ED211581</t>
        </is>
      </c>
      <c r="B283" s="33" t="n">
        <v>45985.04652777778</v>
      </c>
      <c r="C283" t="inlineStr">
        <is>
          <t>Walk-In</t>
        </is>
      </c>
      <c r="D283" t="n">
        <v>4</v>
      </c>
      <c r="E283" t="inlineStr">
        <is>
          <t>Shortness of Breath</t>
        </is>
      </c>
      <c r="F283" t="inlineStr">
        <is>
          <t>Left AMA</t>
        </is>
      </c>
      <c r="G283" t="n">
        <v>57</v>
      </c>
      <c r="H283" t="n">
        <v>109</v>
      </c>
    </row>
    <row r="284">
      <c r="A284" t="inlineStr">
        <is>
          <t>ED211582</t>
        </is>
      </c>
      <c r="B284" s="33" t="n">
        <v>45985.04722222222</v>
      </c>
      <c r="C284" t="inlineStr">
        <is>
          <t>Ambulance</t>
        </is>
      </c>
      <c r="D284" t="n">
        <v>2</v>
      </c>
      <c r="E284" t="inlineStr">
        <is>
          <t>Labor</t>
        </is>
      </c>
      <c r="F284" t="inlineStr">
        <is>
          <t>Admitted</t>
        </is>
      </c>
      <c r="G284" t="n">
        <v>43</v>
      </c>
      <c r="H284" t="n">
        <v>442</v>
      </c>
    </row>
    <row r="285">
      <c r="A285" t="inlineStr">
        <is>
          <t>ED211583</t>
        </is>
      </c>
      <c r="B285" s="33" t="n">
        <v>45985.13194444445</v>
      </c>
      <c r="C285" t="inlineStr">
        <is>
          <t>Walk-In</t>
        </is>
      </c>
      <c r="D285" t="n">
        <v>4</v>
      </c>
      <c r="E285" t="inlineStr">
        <is>
          <t>Abdominal Pain</t>
        </is>
      </c>
      <c r="F285" t="inlineStr">
        <is>
          <t>Discharged</t>
        </is>
      </c>
      <c r="G285" t="n">
        <v>45</v>
      </c>
      <c r="H285" t="n">
        <v>154</v>
      </c>
    </row>
    <row r="286">
      <c r="A286" t="inlineStr">
        <is>
          <t>ED211584</t>
        </is>
      </c>
      <c r="B286" s="33" t="n">
        <v>45985.14444444444</v>
      </c>
      <c r="C286" t="inlineStr">
        <is>
          <t>Walk-In</t>
        </is>
      </c>
      <c r="D286" t="n">
        <v>3</v>
      </c>
      <c r="E286" t="inlineStr">
        <is>
          <t>Shortness of Breath</t>
        </is>
      </c>
      <c r="F286" t="inlineStr">
        <is>
          <t>Discharged</t>
        </is>
      </c>
      <c r="G286" t="n">
        <v>16</v>
      </c>
      <c r="H286" t="n">
        <v>241</v>
      </c>
    </row>
    <row r="287">
      <c r="A287" t="inlineStr">
        <is>
          <t>ED211586</t>
        </is>
      </c>
      <c r="B287" s="33" t="n">
        <v>45985.30347222222</v>
      </c>
      <c r="C287" t="inlineStr">
        <is>
          <t>Walk-In</t>
        </is>
      </c>
      <c r="D287" t="n">
        <v>4</v>
      </c>
      <c r="E287" t="inlineStr">
        <is>
          <t>Back Pain</t>
        </is>
      </c>
      <c r="F287" t="inlineStr">
        <is>
          <t>Discharged</t>
        </is>
      </c>
      <c r="G287" t="n">
        <v>43</v>
      </c>
      <c r="H287" t="n">
        <v>129</v>
      </c>
    </row>
    <row r="288">
      <c r="A288" t="inlineStr">
        <is>
          <t>ED211587</t>
        </is>
      </c>
      <c r="B288" s="33" t="n">
        <v>45985.39236111111</v>
      </c>
      <c r="C288" t="inlineStr">
        <is>
          <t>Walk-In</t>
        </is>
      </c>
      <c r="D288" t="n">
        <v>5</v>
      </c>
      <c r="E288" t="inlineStr">
        <is>
          <t>Ankle Injury</t>
        </is>
      </c>
      <c r="F288" t="inlineStr">
        <is>
          <t>Discharged</t>
        </is>
      </c>
      <c r="G288" t="n">
        <v>36</v>
      </c>
      <c r="H288" t="n">
        <v>132</v>
      </c>
    </row>
    <row r="289">
      <c r="A289" t="inlineStr">
        <is>
          <t>ED211588</t>
        </is>
      </c>
      <c r="B289" s="33" t="n">
        <v>45985.4</v>
      </c>
      <c r="C289" t="inlineStr">
        <is>
          <t>Walk-In</t>
        </is>
      </c>
      <c r="D289" t="n">
        <v>3</v>
      </c>
      <c r="E289" t="inlineStr">
        <is>
          <t>Cough / Fever</t>
        </is>
      </c>
      <c r="F289" t="inlineStr">
        <is>
          <t>Discharged</t>
        </is>
      </c>
      <c r="G289" t="n">
        <v>61</v>
      </c>
      <c r="H289" t="n">
        <v>215</v>
      </c>
    </row>
    <row r="290">
      <c r="A290" t="inlineStr">
        <is>
          <t>ED211592</t>
        </is>
      </c>
      <c r="B290" s="33" t="n">
        <v>45985.64791666667</v>
      </c>
      <c r="C290" t="inlineStr">
        <is>
          <t>Walk-In</t>
        </is>
      </c>
      <c r="D290" t="n">
        <v>3</v>
      </c>
      <c r="E290" t="inlineStr">
        <is>
          <t>Headache</t>
        </is>
      </c>
      <c r="F290" t="inlineStr">
        <is>
          <t>Discharged</t>
        </is>
      </c>
      <c r="G290" t="n">
        <v>45</v>
      </c>
      <c r="H290" t="n">
        <v>240</v>
      </c>
    </row>
    <row r="291">
      <c r="A291" t="inlineStr">
        <is>
          <t>ED211593</t>
        </is>
      </c>
      <c r="B291" s="33" t="n">
        <v>45985.66111111111</v>
      </c>
      <c r="C291" t="inlineStr">
        <is>
          <t>Walk-In</t>
        </is>
      </c>
      <c r="D291" t="n">
        <v>3</v>
      </c>
      <c r="E291" t="inlineStr">
        <is>
          <t>Vomiting / Diarrhea</t>
        </is>
      </c>
      <c r="F291" t="inlineStr">
        <is>
          <t>Discharged</t>
        </is>
      </c>
      <c r="G291" t="n">
        <v>55</v>
      </c>
      <c r="H291" t="n">
        <v>229</v>
      </c>
    </row>
    <row r="292">
      <c r="A292" t="inlineStr">
        <is>
          <t>ED211594</t>
        </is>
      </c>
      <c r="B292" s="33" t="n">
        <v>45985.68541666667</v>
      </c>
      <c r="C292" t="inlineStr">
        <is>
          <t>Ambulance</t>
        </is>
      </c>
      <c r="D292" t="n">
        <v>4</v>
      </c>
      <c r="E292" t="inlineStr">
        <is>
          <t>Ear Pain / Fever</t>
        </is>
      </c>
      <c r="F292" t="inlineStr">
        <is>
          <t>Discharged</t>
        </is>
      </c>
      <c r="G292" t="n">
        <v>276</v>
      </c>
      <c r="H292" t="n">
        <v>337</v>
      </c>
    </row>
    <row r="293">
      <c r="A293" t="inlineStr">
        <is>
          <t>ED211598</t>
        </is>
      </c>
      <c r="B293" s="33" t="n">
        <v>45985.77152777778</v>
      </c>
      <c r="C293" t="inlineStr">
        <is>
          <t>Walk-In</t>
        </is>
      </c>
      <c r="D293" t="n">
        <v>3</v>
      </c>
      <c r="E293" t="inlineStr">
        <is>
          <t>Seizure</t>
        </is>
      </c>
      <c r="F293" t="inlineStr">
        <is>
          <t>Discharged</t>
        </is>
      </c>
      <c r="G293" t="n">
        <v>50</v>
      </c>
      <c r="H293" t="n">
        <v>174</v>
      </c>
    </row>
    <row r="294">
      <c r="A294" t="inlineStr">
        <is>
          <t>ED211599</t>
        </is>
      </c>
      <c r="B294" s="33" t="n">
        <v>45986.00555555556</v>
      </c>
      <c r="C294" t="inlineStr">
        <is>
          <t>Walk-In</t>
        </is>
      </c>
      <c r="D294" t="n">
        <v>4</v>
      </c>
      <c r="E294" t="inlineStr">
        <is>
          <t>Cough / Fever</t>
        </is>
      </c>
      <c r="F294" t="inlineStr">
        <is>
          <t>Discharged</t>
        </is>
      </c>
      <c r="G294" t="n">
        <v>86</v>
      </c>
      <c r="H294" t="n">
        <v>188</v>
      </c>
    </row>
    <row r="295">
      <c r="A295" t="inlineStr">
        <is>
          <t>ED211601</t>
        </is>
      </c>
      <c r="B295" s="33" t="n">
        <v>45986.3375</v>
      </c>
      <c r="C295" t="inlineStr">
        <is>
          <t>Ambulance</t>
        </is>
      </c>
      <c r="D295" t="n">
        <v>1</v>
      </c>
      <c r="E295" t="inlineStr">
        <is>
          <t>Cough / Fever</t>
        </is>
      </c>
      <c r="F295" t="inlineStr">
        <is>
          <t>Admitted</t>
        </is>
      </c>
      <c r="G295" t="n">
        <v>3</v>
      </c>
      <c r="H295" t="n">
        <v>584</v>
      </c>
    </row>
    <row r="296">
      <c r="A296" t="inlineStr">
        <is>
          <t>ED211603</t>
        </is>
      </c>
      <c r="B296" s="33" t="n">
        <v>45986.36041666667</v>
      </c>
      <c r="C296" t="inlineStr">
        <is>
          <t>Walk-In</t>
        </is>
      </c>
      <c r="D296" t="n">
        <v>2</v>
      </c>
      <c r="E296" t="inlineStr">
        <is>
          <t>Abdominal Pain</t>
        </is>
      </c>
      <c r="F296" t="inlineStr">
        <is>
          <t>Observation</t>
        </is>
      </c>
      <c r="G296" t="n">
        <v>35</v>
      </c>
      <c r="H296" t="n">
        <v>813</v>
      </c>
    </row>
    <row r="297">
      <c r="A297" t="inlineStr">
        <is>
          <t>ED211604</t>
        </is>
      </c>
      <c r="B297" s="33" t="n">
        <v>45986.42708333334</v>
      </c>
      <c r="C297" t="inlineStr">
        <is>
          <t>Ambulance</t>
        </is>
      </c>
      <c r="D297" t="n">
        <v>3</v>
      </c>
      <c r="E297" t="inlineStr">
        <is>
          <t>Shortness of Breath</t>
        </is>
      </c>
      <c r="F297" t="inlineStr">
        <is>
          <t>Admitted</t>
        </is>
      </c>
      <c r="G297" t="n">
        <v>18</v>
      </c>
      <c r="H297" t="n">
        <v>140</v>
      </c>
    </row>
    <row r="298">
      <c r="A298" t="inlineStr">
        <is>
          <t>ED211606</t>
        </is>
      </c>
      <c r="B298" s="33" t="n">
        <v>45986.43541666667</v>
      </c>
      <c r="C298" t="inlineStr">
        <is>
          <t>Walk-In</t>
        </is>
      </c>
      <c r="D298" t="n">
        <v>4</v>
      </c>
      <c r="E298" t="inlineStr">
        <is>
          <t>Abdominal Pain</t>
        </is>
      </c>
      <c r="F298" t="inlineStr">
        <is>
          <t>Discharged</t>
        </is>
      </c>
      <c r="G298" t="n">
        <v>89</v>
      </c>
      <c r="H298" t="n">
        <v>139</v>
      </c>
    </row>
    <row r="299">
      <c r="A299" t="inlineStr">
        <is>
          <t>ED211609</t>
        </is>
      </c>
      <c r="B299" s="33" t="n">
        <v>45986.49791666667</v>
      </c>
      <c r="C299" t="inlineStr">
        <is>
          <t>Ambulance</t>
        </is>
      </c>
      <c r="D299" t="n">
        <v>1</v>
      </c>
      <c r="E299" t="inlineStr">
        <is>
          <t>Chest Pain</t>
        </is>
      </c>
      <c r="F299" t="inlineStr">
        <is>
          <t>Admitted</t>
        </is>
      </c>
      <c r="G299" t="n">
        <v>3</v>
      </c>
      <c r="H299" t="n">
        <v>161</v>
      </c>
    </row>
    <row r="300">
      <c r="A300" t="inlineStr">
        <is>
          <t>ED211610</t>
        </is>
      </c>
      <c r="B300" s="33" t="n">
        <v>45986.53194444445</v>
      </c>
      <c r="C300" t="inlineStr">
        <is>
          <t>Police</t>
        </is>
      </c>
      <c r="D300" t="n">
        <v>3</v>
      </c>
      <c r="E300" t="inlineStr">
        <is>
          <t>Depression / Suicidal Thoughts</t>
        </is>
      </c>
      <c r="F300" t="inlineStr">
        <is>
          <t>Discharged</t>
        </is>
      </c>
      <c r="G300" t="n">
        <v>96</v>
      </c>
      <c r="H300" t="n">
        <v>259</v>
      </c>
    </row>
    <row r="301">
      <c r="A301" t="inlineStr">
        <is>
          <t>ED211611</t>
        </is>
      </c>
      <c r="B301" s="33" t="n">
        <v>45986.53472222222</v>
      </c>
      <c r="C301" t="inlineStr">
        <is>
          <t>Walk-In</t>
        </is>
      </c>
      <c r="D301" t="n">
        <v>3</v>
      </c>
      <c r="E301" t="inlineStr">
        <is>
          <t>Cough / Fever</t>
        </is>
      </c>
      <c r="F301" t="inlineStr">
        <is>
          <t>Admitted</t>
        </is>
      </c>
      <c r="G301" t="n">
        <v>92</v>
      </c>
      <c r="H301" t="n">
        <v>456</v>
      </c>
    </row>
    <row r="302">
      <c r="A302" t="inlineStr">
        <is>
          <t>ED211613</t>
        </is>
      </c>
      <c r="B302" s="33" t="n">
        <v>45986.72013888889</v>
      </c>
      <c r="C302" t="inlineStr">
        <is>
          <t>Walk-In</t>
        </is>
      </c>
      <c r="D302" t="n">
        <v>2</v>
      </c>
      <c r="E302" t="inlineStr">
        <is>
          <t>Dizziness</t>
        </is>
      </c>
      <c r="F302" t="inlineStr">
        <is>
          <t>Admitted</t>
        </is>
      </c>
      <c r="G302" t="n">
        <v>10</v>
      </c>
      <c r="H302" t="n">
        <v>387</v>
      </c>
    </row>
    <row r="303">
      <c r="A303" t="inlineStr">
        <is>
          <t>ED211614</t>
        </is>
      </c>
      <c r="B303" s="33" t="n">
        <v>45986.81736111111</v>
      </c>
      <c r="C303" t="inlineStr">
        <is>
          <t>Walk-In</t>
        </is>
      </c>
      <c r="D303" t="n">
        <v>4</v>
      </c>
      <c r="E303" t="inlineStr">
        <is>
          <t>Cough / Trouble Breathing</t>
        </is>
      </c>
      <c r="F303" t="inlineStr">
        <is>
          <t>Discharged</t>
        </is>
      </c>
      <c r="G303" t="n">
        <v>26</v>
      </c>
      <c r="H303" t="n">
        <v>97</v>
      </c>
    </row>
    <row r="304">
      <c r="A304" t="inlineStr">
        <is>
          <t>ED211615</t>
        </is>
      </c>
      <c r="B304" s="33" t="n">
        <v>45986.92708333334</v>
      </c>
      <c r="C304" t="inlineStr">
        <is>
          <t>Ambulance</t>
        </is>
      </c>
      <c r="D304" t="n">
        <v>2</v>
      </c>
      <c r="E304" t="inlineStr">
        <is>
          <t>Shortness of Breath</t>
        </is>
      </c>
      <c r="F304" t="inlineStr">
        <is>
          <t>Admitted</t>
        </is>
      </c>
      <c r="G304" t="n">
        <v>32</v>
      </c>
      <c r="H304" t="n">
        <v>482</v>
      </c>
    </row>
    <row r="305">
      <c r="A305" t="inlineStr">
        <is>
          <t>ED211618</t>
        </is>
      </c>
      <c r="B305" s="33" t="n">
        <v>45987.575</v>
      </c>
      <c r="C305" t="inlineStr">
        <is>
          <t>Walk-In</t>
        </is>
      </c>
      <c r="D305" t="n">
        <v>3</v>
      </c>
      <c r="E305" t="inlineStr">
        <is>
          <t>Cough / Fever</t>
        </is>
      </c>
      <c r="F305" t="inlineStr">
        <is>
          <t>Admitted</t>
        </is>
      </c>
      <c r="G305" t="n">
        <v>119</v>
      </c>
      <c r="H305" t="n">
        <v>394</v>
      </c>
    </row>
    <row r="306">
      <c r="A306" t="inlineStr">
        <is>
          <t>ED211619</t>
        </is>
      </c>
      <c r="B306" s="33" t="n">
        <v>45987.60138888889</v>
      </c>
      <c r="C306" t="inlineStr">
        <is>
          <t>Walk-In</t>
        </is>
      </c>
      <c r="D306" t="n">
        <v>2</v>
      </c>
      <c r="E306" t="inlineStr">
        <is>
          <t>Tremors / Alcohol Withdrawal</t>
        </is>
      </c>
      <c r="F306" t="inlineStr">
        <is>
          <t>Discharged</t>
        </is>
      </c>
      <c r="G306" t="n">
        <v>49</v>
      </c>
      <c r="H306" t="n">
        <v>219</v>
      </c>
    </row>
    <row r="307">
      <c r="A307" t="inlineStr">
        <is>
          <t>ED211620</t>
        </is>
      </c>
      <c r="B307" s="33" t="n">
        <v>45987.60972222222</v>
      </c>
      <c r="C307" t="inlineStr">
        <is>
          <t>Walk-In</t>
        </is>
      </c>
      <c r="D307" t="n">
        <v>2</v>
      </c>
      <c r="E307" t="inlineStr">
        <is>
          <t>Shortness of Breath</t>
        </is>
      </c>
      <c r="F307" t="inlineStr">
        <is>
          <t>Observation</t>
        </is>
      </c>
      <c r="G307" t="n">
        <v>40</v>
      </c>
      <c r="H307" t="n">
        <v>381</v>
      </c>
    </row>
    <row r="308">
      <c r="A308" t="inlineStr">
        <is>
          <t>ED211622</t>
        </is>
      </c>
      <c r="B308" s="33" t="n">
        <v>45987.71666666667</v>
      </c>
      <c r="C308" t="inlineStr">
        <is>
          <t>Ambulance</t>
        </is>
      </c>
      <c r="D308" t="n">
        <v>3</v>
      </c>
      <c r="E308" t="inlineStr">
        <is>
          <t>Palpitations</t>
        </is>
      </c>
      <c r="F308" t="inlineStr">
        <is>
          <t>Discharged</t>
        </is>
      </c>
      <c r="G308" t="n">
        <v>44</v>
      </c>
      <c r="H308" t="n">
        <v>191</v>
      </c>
    </row>
    <row r="309">
      <c r="A309" t="inlineStr">
        <is>
          <t>ED211623</t>
        </is>
      </c>
      <c r="B309" s="33" t="n">
        <v>45987.83680555555</v>
      </c>
      <c r="C309" t="inlineStr">
        <is>
          <t>Walk-In</t>
        </is>
      </c>
      <c r="D309" t="n">
        <v>2</v>
      </c>
      <c r="E309" t="inlineStr">
        <is>
          <t>Cough / Fever</t>
        </is>
      </c>
      <c r="F309" t="inlineStr">
        <is>
          <t>Admitted</t>
        </is>
      </c>
      <c r="G309" t="n">
        <v>42</v>
      </c>
      <c r="H309" t="n">
        <v>283</v>
      </c>
    </row>
    <row r="310">
      <c r="A310" t="inlineStr">
        <is>
          <t>ED211624</t>
        </is>
      </c>
      <c r="B310" s="33" t="n">
        <v>45987.95902777778</v>
      </c>
      <c r="C310" t="inlineStr">
        <is>
          <t>Walk-In</t>
        </is>
      </c>
      <c r="D310" t="n">
        <v>5</v>
      </c>
      <c r="E310" t="inlineStr">
        <is>
          <t>Cough / Fever</t>
        </is>
      </c>
      <c r="F310" t="inlineStr">
        <is>
          <t>Discharged</t>
        </is>
      </c>
      <c r="G310" t="n">
        <v>26</v>
      </c>
      <c r="H310" t="n">
        <v>63</v>
      </c>
    </row>
    <row r="311">
      <c r="A311" t="inlineStr">
        <is>
          <t>ED211626</t>
        </is>
      </c>
      <c r="B311" s="33" t="n">
        <v>45988.15416666667</v>
      </c>
      <c r="C311" t="inlineStr">
        <is>
          <t>Ambulance</t>
        </is>
      </c>
      <c r="D311" t="n">
        <v>3</v>
      </c>
      <c r="E311" t="inlineStr">
        <is>
          <t>Cough / Fever</t>
        </is>
      </c>
      <c r="F311" t="inlineStr">
        <is>
          <t>Observation</t>
        </is>
      </c>
      <c r="G311" t="n">
        <v>27</v>
      </c>
      <c r="H311" t="n">
        <v>586</v>
      </c>
    </row>
    <row r="312">
      <c r="A312" t="inlineStr">
        <is>
          <t>ED211627</t>
        </is>
      </c>
      <c r="B312" s="33" t="n">
        <v>45988.225</v>
      </c>
      <c r="C312" t="inlineStr">
        <is>
          <t>Ambulance</t>
        </is>
      </c>
      <c r="D312" t="n">
        <v>1</v>
      </c>
      <c r="E312" t="inlineStr">
        <is>
          <t>Depression / Suicidal Thoughts</t>
        </is>
      </c>
      <c r="F312" t="inlineStr">
        <is>
          <t>Admitted</t>
        </is>
      </c>
      <c r="G312" t="n">
        <v>4</v>
      </c>
      <c r="H312" t="n">
        <v>266</v>
      </c>
    </row>
    <row r="313">
      <c r="A313" t="inlineStr">
        <is>
          <t>ED211628</t>
        </is>
      </c>
      <c r="B313" s="33" t="n">
        <v>45988.29166666666</v>
      </c>
      <c r="C313" t="inlineStr">
        <is>
          <t>Ambulance</t>
        </is>
      </c>
      <c r="D313" t="n">
        <v>2</v>
      </c>
      <c r="E313" t="inlineStr">
        <is>
          <t>Chest Pain</t>
        </is>
      </c>
      <c r="F313" t="inlineStr">
        <is>
          <t>Observation</t>
        </is>
      </c>
      <c r="G313" t="n">
        <v>9</v>
      </c>
      <c r="H313" t="n">
        <v>609</v>
      </c>
    </row>
    <row r="314">
      <c r="A314" t="inlineStr">
        <is>
          <t>ED211629</t>
        </is>
      </c>
      <c r="B314" s="33" t="n">
        <v>45988.34791666667</v>
      </c>
      <c r="C314" t="inlineStr">
        <is>
          <t>Walk-In</t>
        </is>
      </c>
      <c r="D314" t="n">
        <v>4</v>
      </c>
      <c r="E314" t="inlineStr">
        <is>
          <t>Ankle Injury</t>
        </is>
      </c>
      <c r="F314" t="inlineStr">
        <is>
          <t>Discharged</t>
        </is>
      </c>
      <c r="G314" t="n">
        <v>43</v>
      </c>
      <c r="H314" t="n">
        <v>126</v>
      </c>
    </row>
    <row r="315">
      <c r="A315" t="inlineStr">
        <is>
          <t>ED211630</t>
        </is>
      </c>
      <c r="B315" s="33" t="n">
        <v>45988.56597222222</v>
      </c>
      <c r="C315" t="inlineStr">
        <is>
          <t>Walk-In</t>
        </is>
      </c>
      <c r="D315" t="n">
        <v>3</v>
      </c>
      <c r="E315" t="inlineStr">
        <is>
          <t>Abdominal Pain</t>
        </is>
      </c>
      <c r="F315" t="inlineStr">
        <is>
          <t>Discharged</t>
        </is>
      </c>
      <c r="G315" t="n">
        <v>14</v>
      </c>
      <c r="H315" t="n">
        <v>193</v>
      </c>
    </row>
    <row r="316">
      <c r="A316" t="inlineStr">
        <is>
          <t>ED211632</t>
        </is>
      </c>
      <c r="B316" s="33" t="n">
        <v>45988.63958333333</v>
      </c>
      <c r="C316" t="inlineStr">
        <is>
          <t>Walk-In</t>
        </is>
      </c>
      <c r="D316" t="n">
        <v>3</v>
      </c>
      <c r="E316" t="inlineStr">
        <is>
          <t>Painful Urination / Fever</t>
        </is>
      </c>
      <c r="F316" t="inlineStr">
        <is>
          <t>Admitted</t>
        </is>
      </c>
      <c r="G316" t="n">
        <v>32</v>
      </c>
      <c r="H316" t="n">
        <v>385</v>
      </c>
    </row>
    <row r="317">
      <c r="A317" t="inlineStr">
        <is>
          <t>ED211634</t>
        </is>
      </c>
      <c r="B317" s="33" t="n">
        <v>45988.67291666667</v>
      </c>
      <c r="C317" t="inlineStr">
        <is>
          <t>Walk-In</t>
        </is>
      </c>
      <c r="D317" t="n">
        <v>3</v>
      </c>
      <c r="E317" t="inlineStr">
        <is>
          <t>Psychiatric Evaluation</t>
        </is>
      </c>
      <c r="F317" t="inlineStr">
        <is>
          <t>Admitted</t>
        </is>
      </c>
      <c r="G317" t="n">
        <v>57</v>
      </c>
      <c r="H317" t="n">
        <v>271</v>
      </c>
    </row>
    <row r="318">
      <c r="A318" t="inlineStr">
        <is>
          <t>ED211635</t>
        </is>
      </c>
      <c r="B318" s="33" t="n">
        <v>45988.71041666667</v>
      </c>
      <c r="C318" t="inlineStr">
        <is>
          <t>Walk-In</t>
        </is>
      </c>
      <c r="D318" t="n">
        <v>3</v>
      </c>
      <c r="E318" t="inlineStr">
        <is>
          <t>Abdominal Pain</t>
        </is>
      </c>
      <c r="F318" t="inlineStr">
        <is>
          <t>Discharged</t>
        </is>
      </c>
      <c r="G318" t="n">
        <v>33</v>
      </c>
      <c r="H318" t="n">
        <v>246</v>
      </c>
    </row>
    <row r="319">
      <c r="A319" t="inlineStr">
        <is>
          <t>ED211636</t>
        </is>
      </c>
      <c r="B319" s="33" t="n">
        <v>45988.77013888889</v>
      </c>
      <c r="C319" t="inlineStr">
        <is>
          <t>Walk-In</t>
        </is>
      </c>
      <c r="D319" t="n">
        <v>2</v>
      </c>
      <c r="E319" t="inlineStr">
        <is>
          <t>Cough / Fever</t>
        </is>
      </c>
      <c r="F319" t="inlineStr">
        <is>
          <t>Admitted</t>
        </is>
      </c>
      <c r="G319" t="n">
        <v>61</v>
      </c>
      <c r="H319" t="n">
        <v>459</v>
      </c>
    </row>
    <row r="320">
      <c r="A320" t="inlineStr">
        <is>
          <t>ED211637</t>
        </is>
      </c>
      <c r="B320" s="33" t="n">
        <v>45988.78125</v>
      </c>
      <c r="C320" t="inlineStr">
        <is>
          <t>Walk-In</t>
        </is>
      </c>
      <c r="D320" t="n">
        <v>3</v>
      </c>
      <c r="E320" t="inlineStr">
        <is>
          <t>Vomiting / Dizziness</t>
        </is>
      </c>
      <c r="F320" t="inlineStr">
        <is>
          <t>Discharged</t>
        </is>
      </c>
      <c r="G320" t="n">
        <v>106</v>
      </c>
      <c r="H320" t="n">
        <v>303</v>
      </c>
    </row>
    <row r="321">
      <c r="A321" t="inlineStr">
        <is>
          <t>ED211638</t>
        </is>
      </c>
      <c r="B321" s="33" t="n">
        <v>45988.78611111111</v>
      </c>
      <c r="C321" t="inlineStr">
        <is>
          <t>Ambulance</t>
        </is>
      </c>
      <c r="D321" t="n">
        <v>3</v>
      </c>
      <c r="E321" t="inlineStr">
        <is>
          <t>Headache</t>
        </is>
      </c>
      <c r="F321" t="inlineStr">
        <is>
          <t>Discharged</t>
        </is>
      </c>
      <c r="G321" t="n">
        <v>55</v>
      </c>
      <c r="H321" t="n">
        <v>252</v>
      </c>
    </row>
    <row r="322">
      <c r="A322" t="inlineStr">
        <is>
          <t>ED211639</t>
        </is>
      </c>
      <c r="B322" s="33" t="n">
        <v>45988.81388888889</v>
      </c>
      <c r="C322" t="inlineStr">
        <is>
          <t>Ambulance</t>
        </is>
      </c>
      <c r="D322" t="n">
        <v>3</v>
      </c>
      <c r="E322" t="inlineStr">
        <is>
          <t>Cough / Fever</t>
        </is>
      </c>
      <c r="F322" t="inlineStr">
        <is>
          <t>Admitted</t>
        </is>
      </c>
      <c r="G322" t="n">
        <v>17</v>
      </c>
      <c r="H322" t="n">
        <v>245</v>
      </c>
    </row>
    <row r="323">
      <c r="A323" t="inlineStr">
        <is>
          <t>ED211640</t>
        </is>
      </c>
      <c r="B323" s="33" t="n">
        <v>45988.89513888889</v>
      </c>
      <c r="C323" t="inlineStr">
        <is>
          <t>Walk-In</t>
        </is>
      </c>
      <c r="D323" t="n">
        <v>5</v>
      </c>
      <c r="E323" t="inlineStr">
        <is>
          <t>Cough / Fever</t>
        </is>
      </c>
      <c r="F323" t="inlineStr">
        <is>
          <t>Discharged</t>
        </is>
      </c>
      <c r="G323" t="n">
        <v>120</v>
      </c>
      <c r="H323" t="n">
        <v>208</v>
      </c>
    </row>
    <row r="324">
      <c r="A324" t="inlineStr">
        <is>
          <t>ED211642</t>
        </is>
      </c>
      <c r="B324" s="33" t="n">
        <v>45988.90208333333</v>
      </c>
      <c r="C324" t="inlineStr">
        <is>
          <t>Walk-In</t>
        </is>
      </c>
      <c r="D324" t="n">
        <v>3</v>
      </c>
      <c r="E324" t="inlineStr">
        <is>
          <t>Chest Pain</t>
        </is>
      </c>
      <c r="F324" t="inlineStr">
        <is>
          <t>Observation</t>
        </is>
      </c>
      <c r="G324" t="n">
        <v>25</v>
      </c>
      <c r="H324" t="n">
        <v>757</v>
      </c>
    </row>
    <row r="325">
      <c r="A325" t="inlineStr">
        <is>
          <t>ED211643</t>
        </is>
      </c>
      <c r="B325" s="33" t="n">
        <v>45988.92777777778</v>
      </c>
      <c r="C325" t="inlineStr">
        <is>
          <t>Walk-In</t>
        </is>
      </c>
      <c r="D325" t="n">
        <v>5</v>
      </c>
      <c r="E325" t="inlineStr">
        <is>
          <t>Ankle Injury</t>
        </is>
      </c>
      <c r="F325" t="inlineStr">
        <is>
          <t>Discharged</t>
        </is>
      </c>
      <c r="G325" t="n">
        <v>18</v>
      </c>
      <c r="H325" t="n">
        <v>64</v>
      </c>
    </row>
    <row r="326">
      <c r="A326" t="inlineStr">
        <is>
          <t>ED211644</t>
        </is>
      </c>
      <c r="B326" s="33" t="n">
        <v>45989.05902777778</v>
      </c>
      <c r="C326" t="inlineStr">
        <is>
          <t>Walk-In</t>
        </is>
      </c>
      <c r="D326" t="n">
        <v>5</v>
      </c>
      <c r="E326" t="inlineStr">
        <is>
          <t>Cough / Fever</t>
        </is>
      </c>
      <c r="F326" t="inlineStr">
        <is>
          <t>Discharged</t>
        </is>
      </c>
      <c r="G326" t="n">
        <v>37</v>
      </c>
      <c r="H326" t="n">
        <v>75</v>
      </c>
    </row>
    <row r="327">
      <c r="A327" t="inlineStr">
        <is>
          <t>ED211645</t>
        </is>
      </c>
      <c r="B327" s="33" t="n">
        <v>45989.06875</v>
      </c>
      <c r="C327" t="inlineStr">
        <is>
          <t>Walk-In</t>
        </is>
      </c>
      <c r="D327" t="n">
        <v>5</v>
      </c>
      <c r="E327" t="inlineStr">
        <is>
          <t>Anxiety / Palpitations</t>
        </is>
      </c>
      <c r="F327" t="inlineStr">
        <is>
          <t>Discharged</t>
        </is>
      </c>
      <c r="G327" t="n">
        <v>35</v>
      </c>
      <c r="H327" t="n">
        <v>84</v>
      </c>
    </row>
    <row r="328">
      <c r="A328" t="inlineStr">
        <is>
          <t>ED211646</t>
        </is>
      </c>
      <c r="B328" s="33" t="n">
        <v>45989.16944444444</v>
      </c>
      <c r="C328" t="inlineStr">
        <is>
          <t>Ambulance</t>
        </is>
      </c>
      <c r="D328" t="n">
        <v>1</v>
      </c>
      <c r="E328" t="inlineStr">
        <is>
          <t>Shortness of Breath</t>
        </is>
      </c>
      <c r="F328" t="inlineStr">
        <is>
          <t>Admitted</t>
        </is>
      </c>
      <c r="G328" t="n">
        <v>2</v>
      </c>
      <c r="H328" t="n">
        <v>283</v>
      </c>
    </row>
    <row r="329">
      <c r="A329" t="inlineStr">
        <is>
          <t>ED211647</t>
        </is>
      </c>
      <c r="B329" s="33" t="n">
        <v>45989.24375</v>
      </c>
      <c r="C329" t="inlineStr">
        <is>
          <t>Ambulance</t>
        </is>
      </c>
      <c r="D329" t="n">
        <v>2</v>
      </c>
      <c r="E329" t="inlineStr">
        <is>
          <t>Cough / Fever</t>
        </is>
      </c>
      <c r="F329" t="inlineStr">
        <is>
          <t>Admitted</t>
        </is>
      </c>
      <c r="G329" t="n">
        <v>18</v>
      </c>
      <c r="H329" t="n">
        <v>1169</v>
      </c>
    </row>
    <row r="330">
      <c r="A330" t="inlineStr">
        <is>
          <t>ED211648</t>
        </is>
      </c>
      <c r="B330" s="33" t="n">
        <v>45989.43333333333</v>
      </c>
      <c r="C330" t="inlineStr">
        <is>
          <t>Walk-In</t>
        </is>
      </c>
      <c r="D330" t="n">
        <v>5</v>
      </c>
      <c r="E330" t="inlineStr">
        <is>
          <t>Ankle Injury</t>
        </is>
      </c>
      <c r="F330" t="inlineStr">
        <is>
          <t>Discharged</t>
        </is>
      </c>
      <c r="G330" t="n">
        <v>99</v>
      </c>
      <c r="H330" t="n">
        <v>194</v>
      </c>
    </row>
    <row r="331">
      <c r="A331" t="inlineStr">
        <is>
          <t>ED211649</t>
        </is>
      </c>
      <c r="B331" s="33" t="n">
        <v>45989.43680555555</v>
      </c>
      <c r="C331" t="inlineStr">
        <is>
          <t>Walk-In</t>
        </is>
      </c>
      <c r="D331" t="n">
        <v>3</v>
      </c>
      <c r="E331" t="inlineStr">
        <is>
          <t>Cough / Fever</t>
        </is>
      </c>
      <c r="F331" t="inlineStr">
        <is>
          <t>Discharged</t>
        </is>
      </c>
      <c r="G331" t="n">
        <v>31</v>
      </c>
      <c r="H331" t="n">
        <v>202</v>
      </c>
    </row>
    <row r="332">
      <c r="A332" t="inlineStr">
        <is>
          <t>ED211652</t>
        </is>
      </c>
      <c r="B332" s="33" t="n">
        <v>45989.57569444444</v>
      </c>
      <c r="C332" t="inlineStr">
        <is>
          <t>Walk-In</t>
        </is>
      </c>
      <c r="D332" t="n">
        <v>4</v>
      </c>
      <c r="E332" t="inlineStr">
        <is>
          <t>Depression / Suicidal Thoughts</t>
        </is>
      </c>
      <c r="F332" t="inlineStr">
        <is>
          <t>Discharged</t>
        </is>
      </c>
      <c r="G332" t="n">
        <v>76</v>
      </c>
      <c r="H332" t="n">
        <v>147</v>
      </c>
    </row>
    <row r="333">
      <c r="A333" t="inlineStr">
        <is>
          <t>ED211653</t>
        </is>
      </c>
      <c r="B333" s="33" t="n">
        <v>45989.63472222222</v>
      </c>
      <c r="C333" t="inlineStr">
        <is>
          <t>Walk-In</t>
        </is>
      </c>
      <c r="D333" t="n">
        <v>2</v>
      </c>
      <c r="E333" t="inlineStr">
        <is>
          <t>Psychiatric Evaluation</t>
        </is>
      </c>
      <c r="F333" t="inlineStr">
        <is>
          <t>Transferred</t>
        </is>
      </c>
      <c r="G333" t="n">
        <v>59</v>
      </c>
      <c r="H333" t="n">
        <v>405</v>
      </c>
    </row>
    <row r="334">
      <c r="A334" t="inlineStr">
        <is>
          <t>ED211654</t>
        </is>
      </c>
      <c r="B334" s="33" t="n">
        <v>45989.67222222222</v>
      </c>
      <c r="C334" t="inlineStr">
        <is>
          <t>Ambulance</t>
        </is>
      </c>
      <c r="D334" t="n">
        <v>2</v>
      </c>
      <c r="E334" t="inlineStr">
        <is>
          <t>Cough / Fever</t>
        </is>
      </c>
      <c r="F334" t="inlineStr">
        <is>
          <t>Admitted</t>
        </is>
      </c>
      <c r="G334" t="n">
        <v>36</v>
      </c>
      <c r="H334" t="n">
        <v>319</v>
      </c>
    </row>
    <row r="335">
      <c r="A335" t="inlineStr">
        <is>
          <t>ED211655</t>
        </is>
      </c>
      <c r="B335" s="33" t="n">
        <v>45989.67430555556</v>
      </c>
      <c r="C335" t="inlineStr">
        <is>
          <t>Walk-In</t>
        </is>
      </c>
      <c r="D335" t="n">
        <v>3</v>
      </c>
      <c r="E335" t="inlineStr">
        <is>
          <t>Abdominal Pain</t>
        </is>
      </c>
      <c r="F335" t="inlineStr">
        <is>
          <t>Admitted</t>
        </is>
      </c>
      <c r="G335" t="n">
        <v>63</v>
      </c>
      <c r="H335" t="n">
        <v>280</v>
      </c>
    </row>
    <row r="336">
      <c r="A336" t="inlineStr">
        <is>
          <t>ED211657</t>
        </is>
      </c>
      <c r="B336" s="33" t="n">
        <v>45989.72083333333</v>
      </c>
      <c r="C336" t="inlineStr">
        <is>
          <t>Walk-In</t>
        </is>
      </c>
      <c r="D336" t="n">
        <v>3</v>
      </c>
      <c r="E336" t="inlineStr">
        <is>
          <t>Headache</t>
        </is>
      </c>
      <c r="F336" t="inlineStr">
        <is>
          <t>Discharged</t>
        </is>
      </c>
      <c r="G336" t="n">
        <v>18</v>
      </c>
      <c r="H336" t="n">
        <v>130</v>
      </c>
    </row>
    <row r="337">
      <c r="A337" t="inlineStr">
        <is>
          <t>ED211658</t>
        </is>
      </c>
      <c r="B337" s="33" t="n">
        <v>45989.74166666667</v>
      </c>
      <c r="C337" t="inlineStr">
        <is>
          <t>Walk-In</t>
        </is>
      </c>
      <c r="D337" t="n">
        <v>2</v>
      </c>
      <c r="E337" t="inlineStr">
        <is>
          <t>Laceration</t>
        </is>
      </c>
      <c r="F337" t="inlineStr">
        <is>
          <t>Admitted</t>
        </is>
      </c>
      <c r="G337" t="n">
        <v>25</v>
      </c>
      <c r="H337" t="n">
        <v>269</v>
      </c>
    </row>
    <row r="338">
      <c r="A338" t="inlineStr">
        <is>
          <t>ED211660</t>
        </is>
      </c>
      <c r="B338" s="33" t="n">
        <v>45989.79513888889</v>
      </c>
      <c r="C338" t="inlineStr">
        <is>
          <t>Ambulance</t>
        </is>
      </c>
      <c r="D338" t="n">
        <v>3</v>
      </c>
      <c r="E338" t="inlineStr">
        <is>
          <t>Painful Urination / Fever</t>
        </is>
      </c>
      <c r="F338" t="inlineStr">
        <is>
          <t>Discharged</t>
        </is>
      </c>
      <c r="G338" t="n">
        <v>34</v>
      </c>
      <c r="H338" t="n">
        <v>165</v>
      </c>
    </row>
    <row r="339">
      <c r="A339" t="inlineStr">
        <is>
          <t>ED211661</t>
        </is>
      </c>
      <c r="B339" s="33" t="n">
        <v>45989.82777777778</v>
      </c>
      <c r="C339" t="inlineStr">
        <is>
          <t>Ambulance</t>
        </is>
      </c>
      <c r="D339" t="n">
        <v>2</v>
      </c>
      <c r="E339" t="inlineStr">
        <is>
          <t>Shortness of Breath</t>
        </is>
      </c>
      <c r="F339" t="inlineStr">
        <is>
          <t>Admitted</t>
        </is>
      </c>
      <c r="G339" t="n">
        <v>22</v>
      </c>
      <c r="H339" t="n">
        <v>495</v>
      </c>
    </row>
    <row r="340">
      <c r="A340" t="inlineStr">
        <is>
          <t>ED211664</t>
        </is>
      </c>
      <c r="B340" s="33" t="n">
        <v>45990.29722222222</v>
      </c>
      <c r="C340" t="inlineStr">
        <is>
          <t>Walk-In</t>
        </is>
      </c>
      <c r="D340" t="n">
        <v>3</v>
      </c>
      <c r="E340" t="inlineStr">
        <is>
          <t>Palpitations</t>
        </is>
      </c>
      <c r="F340" t="inlineStr">
        <is>
          <t>Discharged</t>
        </is>
      </c>
      <c r="G340" t="n">
        <v>41</v>
      </c>
      <c r="H340" t="n">
        <v>236</v>
      </c>
    </row>
    <row r="341">
      <c r="A341" t="inlineStr">
        <is>
          <t>ED211665</t>
        </is>
      </c>
      <c r="B341" s="33" t="n">
        <v>45990.36875</v>
      </c>
      <c r="C341" t="inlineStr">
        <is>
          <t>Walk-In</t>
        </is>
      </c>
      <c r="D341" t="n">
        <v>4</v>
      </c>
      <c r="E341" t="inlineStr">
        <is>
          <t>Skin Redness / Swelling</t>
        </is>
      </c>
      <c r="F341" t="inlineStr">
        <is>
          <t>Discharged</t>
        </is>
      </c>
      <c r="G341" t="n">
        <v>39</v>
      </c>
      <c r="H341" t="n">
        <v>103</v>
      </c>
    </row>
    <row r="342">
      <c r="A342" t="inlineStr">
        <is>
          <t>ED211666</t>
        </is>
      </c>
      <c r="B342" s="33" t="n">
        <v>45990.40902777778</v>
      </c>
      <c r="C342" t="inlineStr">
        <is>
          <t>Walk-In</t>
        </is>
      </c>
      <c r="D342" t="n">
        <v>3</v>
      </c>
      <c r="E342" t="inlineStr">
        <is>
          <t>Shortness of Breath</t>
        </is>
      </c>
      <c r="F342" t="inlineStr">
        <is>
          <t>Admitted</t>
        </is>
      </c>
      <c r="G342" t="n">
        <v>32</v>
      </c>
      <c r="H342" t="n">
        <v>368</v>
      </c>
    </row>
    <row r="343">
      <c r="A343" t="inlineStr">
        <is>
          <t>ED211667</t>
        </is>
      </c>
      <c r="B343" s="33" t="n">
        <v>45990.42986111111</v>
      </c>
      <c r="C343" t="inlineStr">
        <is>
          <t>Walk-In</t>
        </is>
      </c>
      <c r="D343" t="n">
        <v>3</v>
      </c>
      <c r="E343" t="inlineStr">
        <is>
          <t>Shortness of Breath</t>
        </is>
      </c>
      <c r="F343" t="inlineStr">
        <is>
          <t>Admitted</t>
        </is>
      </c>
      <c r="G343" t="n">
        <v>10</v>
      </c>
      <c r="H343" t="n">
        <v>261</v>
      </c>
    </row>
    <row r="344">
      <c r="A344" t="inlineStr">
        <is>
          <t>ED211668</t>
        </is>
      </c>
      <c r="B344" s="33" t="n">
        <v>45990.43125</v>
      </c>
      <c r="C344" t="inlineStr">
        <is>
          <t>Walk-In</t>
        </is>
      </c>
      <c r="D344" t="n">
        <v>3</v>
      </c>
      <c r="E344" t="inlineStr">
        <is>
          <t>Chest Pain</t>
        </is>
      </c>
      <c r="F344" t="inlineStr">
        <is>
          <t>Discharged</t>
        </is>
      </c>
      <c r="G344" t="n">
        <v>33</v>
      </c>
      <c r="H344" t="n">
        <v>204</v>
      </c>
    </row>
    <row r="345">
      <c r="A345" t="inlineStr">
        <is>
          <t>ED211670</t>
        </is>
      </c>
      <c r="B345" s="33" t="n">
        <v>45990.45416666667</v>
      </c>
      <c r="C345" t="inlineStr">
        <is>
          <t>Ambulance</t>
        </is>
      </c>
      <c r="D345" t="n">
        <v>3</v>
      </c>
      <c r="E345" t="inlineStr">
        <is>
          <t>Fall / Hip Pain</t>
        </is>
      </c>
      <c r="F345" t="inlineStr">
        <is>
          <t>Admitted</t>
        </is>
      </c>
      <c r="G345" t="n">
        <v>22</v>
      </c>
      <c r="H345" t="n">
        <v>391</v>
      </c>
    </row>
    <row r="346">
      <c r="A346" t="inlineStr">
        <is>
          <t>ED211674</t>
        </is>
      </c>
      <c r="B346" s="33" t="n">
        <v>45990.74930555555</v>
      </c>
      <c r="C346" t="inlineStr">
        <is>
          <t>Walk-In</t>
        </is>
      </c>
      <c r="D346" t="n">
        <v>3</v>
      </c>
      <c r="E346" t="inlineStr">
        <is>
          <t>Tremors / Alcohol Withdrawal</t>
        </is>
      </c>
      <c r="F346" t="inlineStr">
        <is>
          <t>Discharged</t>
        </is>
      </c>
      <c r="G346" t="n">
        <v>45</v>
      </c>
      <c r="H346" t="n">
        <v>229</v>
      </c>
    </row>
    <row r="347">
      <c r="A347" t="inlineStr">
        <is>
          <t>ED211675</t>
        </is>
      </c>
      <c r="B347" s="33" t="n">
        <v>45990.78194444445</v>
      </c>
      <c r="C347" t="inlineStr">
        <is>
          <t>Walk-In</t>
        </is>
      </c>
      <c r="D347" t="n">
        <v>3</v>
      </c>
      <c r="E347" t="inlineStr">
        <is>
          <t>Fall</t>
        </is>
      </c>
      <c r="F347" t="inlineStr">
        <is>
          <t>Discharged</t>
        </is>
      </c>
      <c r="G347" t="n">
        <v>36</v>
      </c>
      <c r="H347" t="n">
        <v>140</v>
      </c>
    </row>
    <row r="348">
      <c r="A348" t="inlineStr">
        <is>
          <t>ED211676</t>
        </is>
      </c>
      <c r="B348" s="33" t="n">
        <v>45990.79861111111</v>
      </c>
      <c r="C348" t="inlineStr">
        <is>
          <t>Walk-In</t>
        </is>
      </c>
      <c r="D348" t="n">
        <v>4</v>
      </c>
      <c r="E348" t="inlineStr">
        <is>
          <t>Head Injury</t>
        </is>
      </c>
      <c r="F348" t="inlineStr">
        <is>
          <t>Discharged</t>
        </is>
      </c>
      <c r="G348" t="n">
        <v>106</v>
      </c>
      <c r="H348" t="n">
        <v>186</v>
      </c>
    </row>
    <row r="349">
      <c r="A349" t="inlineStr">
        <is>
          <t>ED211677</t>
        </is>
      </c>
      <c r="B349" s="33" t="n">
        <v>45990.84722222222</v>
      </c>
      <c r="C349" t="inlineStr">
        <is>
          <t>Walk-In</t>
        </is>
      </c>
      <c r="D349" t="n">
        <v>5</v>
      </c>
      <c r="E349" t="inlineStr">
        <is>
          <t>Cough / Fever</t>
        </is>
      </c>
      <c r="F349" t="inlineStr">
        <is>
          <t>Discharged</t>
        </is>
      </c>
      <c r="G349" t="n">
        <v>134</v>
      </c>
      <c r="H349" t="n">
        <v>203</v>
      </c>
    </row>
    <row r="350">
      <c r="A350" t="inlineStr">
        <is>
          <t>ED211678</t>
        </is>
      </c>
      <c r="B350" s="33" t="n">
        <v>45990.99513888889</v>
      </c>
      <c r="C350" t="inlineStr">
        <is>
          <t>Ambulance</t>
        </is>
      </c>
      <c r="D350" t="n">
        <v>3</v>
      </c>
      <c r="E350" t="inlineStr">
        <is>
          <t>Weakness / Fatigue</t>
        </is>
      </c>
      <c r="F350" t="inlineStr">
        <is>
          <t>Observation</t>
        </is>
      </c>
      <c r="G350" t="n">
        <v>19</v>
      </c>
      <c r="H350" t="n">
        <v>334</v>
      </c>
    </row>
    <row r="351">
      <c r="A351" t="inlineStr">
        <is>
          <t>ED211679</t>
        </is>
      </c>
      <c r="B351" s="33" t="n">
        <v>45991.15555555555</v>
      </c>
      <c r="C351" t="inlineStr">
        <is>
          <t>Walk-In</t>
        </is>
      </c>
      <c r="D351" t="n">
        <v>4</v>
      </c>
      <c r="E351" t="inlineStr">
        <is>
          <t>Fainting</t>
        </is>
      </c>
      <c r="F351" t="inlineStr">
        <is>
          <t>Discharged</t>
        </is>
      </c>
      <c r="G351" t="n">
        <v>29</v>
      </c>
      <c r="H351" t="n">
        <v>148</v>
      </c>
    </row>
    <row r="352">
      <c r="A352" t="inlineStr">
        <is>
          <t>ED211681</t>
        </is>
      </c>
      <c r="B352" s="33" t="n">
        <v>45991.28958333333</v>
      </c>
      <c r="C352" t="inlineStr">
        <is>
          <t>Walk-In</t>
        </is>
      </c>
      <c r="D352" t="n">
        <v>3</v>
      </c>
      <c r="E352" t="inlineStr">
        <is>
          <t>Labor</t>
        </is>
      </c>
      <c r="F352" t="inlineStr">
        <is>
          <t>Admitted</t>
        </is>
      </c>
      <c r="G352" t="n">
        <v>31</v>
      </c>
      <c r="H352" t="n">
        <v>561</v>
      </c>
    </row>
    <row r="353">
      <c r="A353" t="inlineStr">
        <is>
          <t>ED211682</t>
        </is>
      </c>
      <c r="B353" s="33" t="n">
        <v>45991.43194444444</v>
      </c>
      <c r="C353" t="inlineStr">
        <is>
          <t>Walk-In</t>
        </is>
      </c>
      <c r="D353" t="n">
        <v>3</v>
      </c>
      <c r="E353" t="inlineStr">
        <is>
          <t>Cough / Fever</t>
        </is>
      </c>
      <c r="F353" t="inlineStr">
        <is>
          <t>Discharged</t>
        </is>
      </c>
      <c r="G353" t="n">
        <v>18</v>
      </c>
      <c r="H353" t="n">
        <v>188</v>
      </c>
    </row>
    <row r="354">
      <c r="A354" t="inlineStr">
        <is>
          <t>ED211683</t>
        </is>
      </c>
      <c r="B354" s="33" t="n">
        <v>45991.44375</v>
      </c>
      <c r="C354" t="inlineStr">
        <is>
          <t>Walk-In</t>
        </is>
      </c>
      <c r="D354" t="n">
        <v>3</v>
      </c>
      <c r="E354" t="inlineStr">
        <is>
          <t>Shortness of Breath</t>
        </is>
      </c>
      <c r="F354" t="inlineStr">
        <is>
          <t>Admitted</t>
        </is>
      </c>
      <c r="G354" t="n">
        <v>18</v>
      </c>
      <c r="H354" t="n">
        <v>254</v>
      </c>
    </row>
    <row r="355">
      <c r="A355" t="inlineStr">
        <is>
          <t>ED211685</t>
        </is>
      </c>
      <c r="B355" s="33" t="n">
        <v>45991.54027777778</v>
      </c>
      <c r="C355" t="inlineStr">
        <is>
          <t>Walk-In</t>
        </is>
      </c>
      <c r="D355" t="n">
        <v>4</v>
      </c>
      <c r="E355" t="inlineStr">
        <is>
          <t>Laceration</t>
        </is>
      </c>
      <c r="F355" t="inlineStr">
        <is>
          <t>Discharged</t>
        </is>
      </c>
      <c r="G355" t="n">
        <v>57</v>
      </c>
      <c r="H355" t="n">
        <v>157</v>
      </c>
    </row>
    <row r="356">
      <c r="A356" t="inlineStr">
        <is>
          <t>ED211687</t>
        </is>
      </c>
      <c r="B356" s="33" t="n">
        <v>45991.59861111111</v>
      </c>
      <c r="C356" t="inlineStr">
        <is>
          <t>Walk-In</t>
        </is>
      </c>
      <c r="D356" t="n">
        <v>4</v>
      </c>
      <c r="E356" t="inlineStr">
        <is>
          <t>Cough / Fever</t>
        </is>
      </c>
      <c r="F356" t="inlineStr">
        <is>
          <t>Discharged</t>
        </is>
      </c>
      <c r="G356" t="n">
        <v>118</v>
      </c>
      <c r="H356" t="n">
        <v>217</v>
      </c>
    </row>
    <row r="357">
      <c r="A357" t="inlineStr">
        <is>
          <t>ED211690</t>
        </is>
      </c>
      <c r="B357" s="33" t="n">
        <v>45991.70416666667</v>
      </c>
      <c r="C357" t="inlineStr">
        <is>
          <t>Walk-In</t>
        </is>
      </c>
      <c r="D357" t="n">
        <v>5</v>
      </c>
      <c r="E357" t="inlineStr">
        <is>
          <t>Headache</t>
        </is>
      </c>
      <c r="F357" t="inlineStr">
        <is>
          <t>Discharged</t>
        </is>
      </c>
      <c r="G357" t="n">
        <v>17</v>
      </c>
      <c r="H357" t="n">
        <v>68</v>
      </c>
    </row>
    <row r="358">
      <c r="A358" t="inlineStr">
        <is>
          <t>ED211691</t>
        </is>
      </c>
      <c r="B358" s="33" t="n">
        <v>45991.72013888889</v>
      </c>
      <c r="C358" t="inlineStr">
        <is>
          <t>Ambulance</t>
        </is>
      </c>
      <c r="D358" t="n">
        <v>3</v>
      </c>
      <c r="E358" t="inlineStr">
        <is>
          <t>Chest Pain</t>
        </is>
      </c>
      <c r="F358" t="inlineStr">
        <is>
          <t>Discharged</t>
        </is>
      </c>
      <c r="G358" t="n">
        <v>39</v>
      </c>
      <c r="H358" t="n">
        <v>217</v>
      </c>
    </row>
    <row r="359">
      <c r="A359" t="inlineStr">
        <is>
          <t>ED211692</t>
        </is>
      </c>
      <c r="B359" s="33" t="n">
        <v>45991.72291666667</v>
      </c>
      <c r="C359" t="inlineStr">
        <is>
          <t>Walk-In</t>
        </is>
      </c>
      <c r="D359" t="n">
        <v>3</v>
      </c>
      <c r="E359" t="inlineStr">
        <is>
          <t>Rash</t>
        </is>
      </c>
      <c r="F359" t="inlineStr">
        <is>
          <t>Discharged</t>
        </is>
      </c>
      <c r="G359" t="n">
        <v>99</v>
      </c>
      <c r="H359" t="n">
        <v>318</v>
      </c>
    </row>
    <row r="360">
      <c r="A360" t="inlineStr">
        <is>
          <t>ED211694</t>
        </is>
      </c>
      <c r="B360" s="33" t="n">
        <v>45991.73611111111</v>
      </c>
      <c r="C360" t="inlineStr">
        <is>
          <t>Walk-In</t>
        </is>
      </c>
      <c r="D360" t="n">
        <v>3</v>
      </c>
      <c r="E360" t="inlineStr">
        <is>
          <t>Cough / Fever</t>
        </is>
      </c>
      <c r="F360" t="inlineStr">
        <is>
          <t>Admitted</t>
        </is>
      </c>
      <c r="G360" t="n">
        <v>113</v>
      </c>
      <c r="H360" t="n">
        <v>339</v>
      </c>
    </row>
    <row r="361">
      <c r="A361" t="inlineStr">
        <is>
          <t>ED211695</t>
        </is>
      </c>
      <c r="B361" s="33" t="n">
        <v>45991.80277777778</v>
      </c>
      <c r="C361" t="inlineStr">
        <is>
          <t>Ambulance</t>
        </is>
      </c>
      <c r="D361" t="n">
        <v>3</v>
      </c>
      <c r="E361" t="inlineStr">
        <is>
          <t>Cough / Fever</t>
        </is>
      </c>
      <c r="F361" t="inlineStr">
        <is>
          <t>Discharged</t>
        </is>
      </c>
      <c r="G361" t="n">
        <v>34</v>
      </c>
      <c r="H361" t="n">
        <v>193</v>
      </c>
    </row>
    <row r="362">
      <c r="A362" t="inlineStr">
        <is>
          <t>ED211696</t>
        </is>
      </c>
      <c r="B362" s="33" t="n">
        <v>45991.87361111111</v>
      </c>
      <c r="C362" t="inlineStr">
        <is>
          <t>Walk-In</t>
        </is>
      </c>
      <c r="D362" t="n">
        <v>3</v>
      </c>
      <c r="E362" t="inlineStr">
        <is>
          <t>Cough / Trouble Breathing</t>
        </is>
      </c>
      <c r="F362" t="inlineStr">
        <is>
          <t>Discharged</t>
        </is>
      </c>
      <c r="G362" t="n">
        <v>45</v>
      </c>
      <c r="H362" t="n">
        <v>210</v>
      </c>
    </row>
    <row r="363">
      <c r="A363" t="inlineStr">
        <is>
          <t>ED211697</t>
        </is>
      </c>
      <c r="B363" s="33" t="n">
        <v>45991.90694444445</v>
      </c>
      <c r="C363" t="inlineStr">
        <is>
          <t>Walk-In</t>
        </is>
      </c>
      <c r="D363" t="n">
        <v>4</v>
      </c>
      <c r="E363" t="inlineStr">
        <is>
          <t>Headache</t>
        </is>
      </c>
      <c r="F363" t="inlineStr">
        <is>
          <t>Discharged</t>
        </is>
      </c>
      <c r="G363" t="n">
        <v>102</v>
      </c>
      <c r="H363" t="n">
        <v>145</v>
      </c>
    </row>
    <row r="364">
      <c r="A364" t="inlineStr">
        <is>
          <t>ED211698</t>
        </is>
      </c>
      <c r="B364" s="33" t="n">
        <v>45992.12291666667</v>
      </c>
      <c r="C364" t="inlineStr">
        <is>
          <t>Walk-In</t>
        </is>
      </c>
      <c r="D364" t="n">
        <v>3</v>
      </c>
      <c r="E364" t="inlineStr">
        <is>
          <t>Laceration</t>
        </is>
      </c>
      <c r="F364" t="inlineStr">
        <is>
          <t>Observation</t>
        </is>
      </c>
      <c r="G364" t="n">
        <v>54</v>
      </c>
      <c r="H364" t="n">
        <v>216</v>
      </c>
    </row>
    <row r="365">
      <c r="A365" t="inlineStr">
        <is>
          <t>ED211699</t>
        </is>
      </c>
      <c r="B365" s="33" t="n">
        <v>45992.34027777778</v>
      </c>
      <c r="C365" t="inlineStr">
        <is>
          <t>Ambulance</t>
        </is>
      </c>
      <c r="D365" t="n">
        <v>3</v>
      </c>
      <c r="E365" t="inlineStr">
        <is>
          <t>Fainting</t>
        </is>
      </c>
      <c r="F365" t="inlineStr">
        <is>
          <t>Discharged</t>
        </is>
      </c>
      <c r="G365" t="n">
        <v>78</v>
      </c>
      <c r="H365" t="n">
        <v>213</v>
      </c>
    </row>
    <row r="366">
      <c r="A366" t="inlineStr">
        <is>
          <t>ED211700</t>
        </is>
      </c>
      <c r="B366" s="33" t="n">
        <v>45992.35763888889</v>
      </c>
      <c r="C366" t="inlineStr">
        <is>
          <t>Walk-In</t>
        </is>
      </c>
      <c r="D366" t="n">
        <v>3</v>
      </c>
      <c r="E366" t="inlineStr">
        <is>
          <t>Shortness of Breath</t>
        </is>
      </c>
      <c r="F366" t="inlineStr">
        <is>
          <t>Discharged</t>
        </is>
      </c>
      <c r="G366" t="n">
        <v>8</v>
      </c>
      <c r="H366" t="n">
        <v>256</v>
      </c>
    </row>
    <row r="367">
      <c r="A367" t="inlineStr">
        <is>
          <t>ED211701</t>
        </is>
      </c>
      <c r="B367" s="33" t="n">
        <v>45992.37430555555</v>
      </c>
      <c r="C367" t="inlineStr">
        <is>
          <t>Walk-In</t>
        </is>
      </c>
      <c r="D367" t="n">
        <v>4</v>
      </c>
      <c r="E367" t="inlineStr">
        <is>
          <t>Painful Urination / Fever</t>
        </is>
      </c>
      <c r="F367" t="inlineStr">
        <is>
          <t>Admitted</t>
        </is>
      </c>
      <c r="G367" t="n">
        <v>55</v>
      </c>
      <c r="H367" t="n">
        <v>183</v>
      </c>
    </row>
    <row r="368">
      <c r="A368" t="inlineStr">
        <is>
          <t>ED211703</t>
        </is>
      </c>
      <c r="B368" s="33" t="n">
        <v>45992.48611111111</v>
      </c>
      <c r="C368" t="inlineStr">
        <is>
          <t>Walk-In</t>
        </is>
      </c>
      <c r="D368" t="n">
        <v>4</v>
      </c>
      <c r="E368" t="inlineStr">
        <is>
          <t>Cough / Trouble Breathing</t>
        </is>
      </c>
      <c r="F368" t="inlineStr">
        <is>
          <t>LWBS</t>
        </is>
      </c>
      <c r="H368" t="n">
        <v>82</v>
      </c>
    </row>
    <row r="369">
      <c r="A369" t="inlineStr">
        <is>
          <t>ED211704</t>
        </is>
      </c>
      <c r="B369" s="33" t="n">
        <v>45992.49375</v>
      </c>
      <c r="C369" t="inlineStr">
        <is>
          <t>Ambulance</t>
        </is>
      </c>
      <c r="D369" t="n">
        <v>1</v>
      </c>
      <c r="E369" t="inlineStr">
        <is>
          <t>Fever / Altered Mental Status</t>
        </is>
      </c>
      <c r="F369" t="inlineStr">
        <is>
          <t>Admitted</t>
        </is>
      </c>
      <c r="G369" t="n">
        <v>3</v>
      </c>
      <c r="H369" t="n">
        <v>277</v>
      </c>
    </row>
    <row r="370">
      <c r="A370" t="inlineStr">
        <is>
          <t>ED211705</t>
        </is>
      </c>
      <c r="B370" s="33" t="n">
        <v>45992.5</v>
      </c>
      <c r="C370" t="inlineStr">
        <is>
          <t>Walk-In</t>
        </is>
      </c>
      <c r="D370" t="n">
        <v>4</v>
      </c>
      <c r="E370" t="inlineStr">
        <is>
          <t>Cough / Trouble Breathing</t>
        </is>
      </c>
      <c r="F370" t="inlineStr">
        <is>
          <t>Discharged</t>
        </is>
      </c>
      <c r="G370" t="n">
        <v>162</v>
      </c>
      <c r="H370" t="n">
        <v>240</v>
      </c>
    </row>
    <row r="371">
      <c r="A371" t="inlineStr">
        <is>
          <t>ED211707</t>
        </is>
      </c>
      <c r="B371" s="33" t="n">
        <v>45992.55138888889</v>
      </c>
      <c r="C371" t="inlineStr">
        <is>
          <t>Walk-In</t>
        </is>
      </c>
      <c r="D371" t="n">
        <v>3</v>
      </c>
      <c r="E371" t="inlineStr">
        <is>
          <t>Chest Pain</t>
        </is>
      </c>
      <c r="F371" t="inlineStr">
        <is>
          <t>Discharged</t>
        </is>
      </c>
      <c r="G371" t="n">
        <v>71</v>
      </c>
      <c r="H371" t="n">
        <v>245</v>
      </c>
    </row>
    <row r="372">
      <c r="A372" t="inlineStr">
        <is>
          <t>ED211709</t>
        </is>
      </c>
      <c r="B372" s="33" t="n">
        <v>45992.64097222222</v>
      </c>
      <c r="C372" t="inlineStr">
        <is>
          <t>Walk-In</t>
        </is>
      </c>
      <c r="D372" t="n">
        <v>3</v>
      </c>
      <c r="E372" t="inlineStr">
        <is>
          <t>Laceration</t>
        </is>
      </c>
      <c r="F372" t="inlineStr">
        <is>
          <t>Discharged</t>
        </is>
      </c>
      <c r="G372" t="n">
        <v>33</v>
      </c>
      <c r="H372" t="n">
        <v>167</v>
      </c>
    </row>
    <row r="373">
      <c r="A373" t="inlineStr">
        <is>
          <t>ED211710</t>
        </is>
      </c>
      <c r="B373" s="33" t="n">
        <v>45992.69236111111</v>
      </c>
      <c r="C373" t="inlineStr">
        <is>
          <t>Walk-In</t>
        </is>
      </c>
      <c r="D373" t="n">
        <v>3</v>
      </c>
      <c r="E373" t="inlineStr">
        <is>
          <t>Cough / Fever</t>
        </is>
      </c>
      <c r="F373" t="inlineStr">
        <is>
          <t>Admitted</t>
        </is>
      </c>
      <c r="G373" t="n">
        <v>52</v>
      </c>
      <c r="H373" t="n">
        <v>366</v>
      </c>
    </row>
    <row r="374">
      <c r="A374" t="inlineStr">
        <is>
          <t>ED211713</t>
        </is>
      </c>
      <c r="B374" s="33" t="n">
        <v>45992.83472222222</v>
      </c>
      <c r="C374" t="inlineStr">
        <is>
          <t>Walk-In</t>
        </is>
      </c>
      <c r="D374" t="n">
        <v>3</v>
      </c>
      <c r="E374" t="inlineStr">
        <is>
          <t>Vomiting / Diarrhea</t>
        </is>
      </c>
      <c r="F374" t="inlineStr">
        <is>
          <t>Discharged</t>
        </is>
      </c>
      <c r="G374" t="n">
        <v>31</v>
      </c>
      <c r="H374" t="n">
        <v>243</v>
      </c>
    </row>
    <row r="375">
      <c r="A375" t="inlineStr">
        <is>
          <t>ED211716</t>
        </is>
      </c>
      <c r="B375" s="33" t="n">
        <v>45992.89097222222</v>
      </c>
      <c r="C375" t="inlineStr">
        <is>
          <t>Walk-In</t>
        </is>
      </c>
      <c r="D375" t="n">
        <v>4</v>
      </c>
      <c r="E375" t="inlineStr">
        <is>
          <t>Cough / Fever</t>
        </is>
      </c>
      <c r="F375" t="inlineStr">
        <is>
          <t>Discharged</t>
        </is>
      </c>
      <c r="G375" t="n">
        <v>66</v>
      </c>
      <c r="H375" t="n">
        <v>126</v>
      </c>
    </row>
    <row r="376">
      <c r="A376" t="inlineStr">
        <is>
          <t>ED211717</t>
        </is>
      </c>
      <c r="B376" s="33" t="n">
        <v>45992.92083333333</v>
      </c>
      <c r="C376" t="inlineStr">
        <is>
          <t>Walk-In</t>
        </is>
      </c>
      <c r="D376" t="n">
        <v>5</v>
      </c>
      <c r="E376" t="inlineStr">
        <is>
          <t>Ankle Injury</t>
        </is>
      </c>
      <c r="F376" t="inlineStr">
        <is>
          <t>Discharged</t>
        </is>
      </c>
      <c r="G376" t="n">
        <v>53</v>
      </c>
      <c r="H376" t="n">
        <v>116</v>
      </c>
    </row>
    <row r="377">
      <c r="A377" t="inlineStr">
        <is>
          <t>ED211718</t>
        </is>
      </c>
      <c r="B377" s="33" t="n">
        <v>45992.95347222222</v>
      </c>
      <c r="C377" t="inlineStr">
        <is>
          <t>Ambulance</t>
        </is>
      </c>
      <c r="D377" t="n">
        <v>2</v>
      </c>
      <c r="E377" t="inlineStr">
        <is>
          <t>Weakness / Numbness</t>
        </is>
      </c>
      <c r="F377" t="inlineStr">
        <is>
          <t>Admitted</t>
        </is>
      </c>
      <c r="G377" t="n">
        <v>19</v>
      </c>
      <c r="H377" t="n">
        <v>664</v>
      </c>
    </row>
    <row r="378">
      <c r="A378" t="inlineStr">
        <is>
          <t>ED211719</t>
        </is>
      </c>
      <c r="B378" s="33" t="n">
        <v>45993.19236111111</v>
      </c>
      <c r="C378" t="inlineStr">
        <is>
          <t>Ambulance</t>
        </is>
      </c>
      <c r="D378" t="n">
        <v>3</v>
      </c>
      <c r="E378" t="inlineStr">
        <is>
          <t>Abdominal Pain</t>
        </is>
      </c>
      <c r="F378" t="inlineStr">
        <is>
          <t>Admitted</t>
        </is>
      </c>
      <c r="G378" t="n">
        <v>13</v>
      </c>
      <c r="H378" t="n">
        <v>422</v>
      </c>
    </row>
    <row r="379">
      <c r="A379" t="inlineStr">
        <is>
          <t>ED211720</t>
        </is>
      </c>
      <c r="B379" s="33" t="n">
        <v>45993.23055555556</v>
      </c>
      <c r="C379" t="inlineStr">
        <is>
          <t>Walk-In</t>
        </is>
      </c>
      <c r="D379" t="n">
        <v>3</v>
      </c>
      <c r="E379" t="inlineStr">
        <is>
          <t>Cough / Fever</t>
        </is>
      </c>
      <c r="F379" t="inlineStr">
        <is>
          <t>Discharged</t>
        </is>
      </c>
      <c r="G379" t="n">
        <v>38</v>
      </c>
      <c r="H379" t="n">
        <v>190</v>
      </c>
    </row>
    <row r="380">
      <c r="A380" t="inlineStr">
        <is>
          <t>ED211721</t>
        </is>
      </c>
      <c r="B380" s="33" t="n">
        <v>45993.32708333333</v>
      </c>
      <c r="C380" t="inlineStr">
        <is>
          <t>Walk-In</t>
        </is>
      </c>
      <c r="D380" t="n">
        <v>4</v>
      </c>
      <c r="E380" t="inlineStr">
        <is>
          <t>Cough / Fever</t>
        </is>
      </c>
      <c r="F380" t="inlineStr">
        <is>
          <t>Discharged</t>
        </is>
      </c>
      <c r="G380" t="n">
        <v>47</v>
      </c>
      <c r="H380" t="n">
        <v>131</v>
      </c>
    </row>
    <row r="381">
      <c r="A381" t="inlineStr">
        <is>
          <t>ED211723</t>
        </is>
      </c>
      <c r="B381" s="33" t="n">
        <v>45993.425</v>
      </c>
      <c r="C381" t="inlineStr">
        <is>
          <t>Walk-In</t>
        </is>
      </c>
      <c r="D381" t="n">
        <v>3</v>
      </c>
      <c r="E381" t="inlineStr">
        <is>
          <t>Chest Pain</t>
        </is>
      </c>
      <c r="F381" t="inlineStr">
        <is>
          <t>Observation</t>
        </is>
      </c>
      <c r="G381" t="n">
        <v>127</v>
      </c>
      <c r="H381" t="n">
        <v>261</v>
      </c>
    </row>
    <row r="382">
      <c r="A382" t="inlineStr">
        <is>
          <t>ED211724</t>
        </is>
      </c>
      <c r="B382" s="33" t="n">
        <v>45993.46736111111</v>
      </c>
      <c r="C382" t="inlineStr">
        <is>
          <t>Ambulance</t>
        </is>
      </c>
      <c r="D382" t="n">
        <v>1</v>
      </c>
      <c r="E382" t="inlineStr">
        <is>
          <t>Weakness / Numbness</t>
        </is>
      </c>
      <c r="F382" t="inlineStr">
        <is>
          <t>Admitted</t>
        </is>
      </c>
      <c r="G382" t="n">
        <v>3</v>
      </c>
      <c r="H382" t="n">
        <v>226</v>
      </c>
    </row>
    <row r="383">
      <c r="A383" t="inlineStr">
        <is>
          <t>ED211725</t>
        </is>
      </c>
      <c r="B383" s="33" t="n">
        <v>45993.48541666667</v>
      </c>
      <c r="C383" t="inlineStr">
        <is>
          <t>Walk-In</t>
        </is>
      </c>
      <c r="D383" t="n">
        <v>5</v>
      </c>
      <c r="E383" t="inlineStr">
        <is>
          <t>Cough / Fever</t>
        </is>
      </c>
      <c r="F383" t="inlineStr">
        <is>
          <t>Discharged</t>
        </is>
      </c>
      <c r="G383" t="n">
        <v>146</v>
      </c>
      <c r="H383" t="n">
        <v>209</v>
      </c>
    </row>
    <row r="384">
      <c r="A384" t="inlineStr">
        <is>
          <t>ED211726</t>
        </is>
      </c>
      <c r="B384" s="33" t="n">
        <v>45993.48888888889</v>
      </c>
      <c r="C384" t="inlineStr">
        <is>
          <t>Ambulance</t>
        </is>
      </c>
      <c r="D384" t="n">
        <v>2</v>
      </c>
      <c r="E384" t="inlineStr">
        <is>
          <t>High Blood Sugar</t>
        </is>
      </c>
      <c r="F384" t="inlineStr">
        <is>
          <t>Admitted</t>
        </is>
      </c>
      <c r="G384" t="n">
        <v>30</v>
      </c>
      <c r="H384" t="n">
        <v>251</v>
      </c>
    </row>
    <row r="385">
      <c r="A385" t="inlineStr">
        <is>
          <t>ED211727</t>
        </is>
      </c>
      <c r="B385" s="33" t="n">
        <v>45993.56736111111</v>
      </c>
      <c r="C385" t="inlineStr">
        <is>
          <t>Walk-In</t>
        </is>
      </c>
      <c r="D385" t="n">
        <v>2</v>
      </c>
      <c r="E385" t="inlineStr">
        <is>
          <t>Cough / Fever</t>
        </is>
      </c>
      <c r="F385" t="inlineStr">
        <is>
          <t>Admitted</t>
        </is>
      </c>
      <c r="G385" t="n">
        <v>28</v>
      </c>
      <c r="H385" t="n">
        <v>274</v>
      </c>
    </row>
    <row r="386">
      <c r="A386" t="inlineStr">
        <is>
          <t>ED211728</t>
        </is>
      </c>
      <c r="B386" s="33" t="n">
        <v>45993.58888888889</v>
      </c>
      <c r="C386" t="inlineStr">
        <is>
          <t>Walk-In</t>
        </is>
      </c>
      <c r="D386" t="n">
        <v>5</v>
      </c>
      <c r="E386" t="inlineStr">
        <is>
          <t>Ankle Injury</t>
        </is>
      </c>
      <c r="F386" t="inlineStr">
        <is>
          <t>Discharged</t>
        </is>
      </c>
      <c r="G386" t="n">
        <v>44</v>
      </c>
      <c r="H386" t="n">
        <v>135</v>
      </c>
    </row>
    <row r="387">
      <c r="A387" t="inlineStr">
        <is>
          <t>ED211729</t>
        </is>
      </c>
      <c r="B387" s="33" t="n">
        <v>45993.60902777778</v>
      </c>
      <c r="C387" t="inlineStr">
        <is>
          <t>Walk-In</t>
        </is>
      </c>
      <c r="D387" t="n">
        <v>3</v>
      </c>
      <c r="E387" t="inlineStr">
        <is>
          <t>Shortness of Breath</t>
        </is>
      </c>
      <c r="F387" t="inlineStr">
        <is>
          <t>Discharged</t>
        </is>
      </c>
      <c r="G387" t="n">
        <v>39</v>
      </c>
      <c r="H387" t="n">
        <v>150</v>
      </c>
    </row>
    <row r="388">
      <c r="A388" t="inlineStr">
        <is>
          <t>ED211732</t>
        </is>
      </c>
      <c r="B388" s="33" t="n">
        <v>45993.68194444444</v>
      </c>
      <c r="C388" t="inlineStr">
        <is>
          <t>Walk-In</t>
        </is>
      </c>
      <c r="D388" t="n">
        <v>3</v>
      </c>
      <c r="E388" t="inlineStr">
        <is>
          <t>Abdominal Pain</t>
        </is>
      </c>
      <c r="F388" t="inlineStr">
        <is>
          <t>Discharged</t>
        </is>
      </c>
      <c r="G388" t="n">
        <v>23</v>
      </c>
      <c r="H388" t="n">
        <v>230</v>
      </c>
    </row>
    <row r="389">
      <c r="A389" t="inlineStr">
        <is>
          <t>ED211733</t>
        </is>
      </c>
      <c r="B389" s="33" t="n">
        <v>45993.68541666667</v>
      </c>
      <c r="C389" t="inlineStr">
        <is>
          <t>Ambulance</t>
        </is>
      </c>
      <c r="D389" t="n">
        <v>3</v>
      </c>
      <c r="E389" t="inlineStr">
        <is>
          <t>Painful Urination / Fever</t>
        </is>
      </c>
      <c r="F389" t="inlineStr">
        <is>
          <t>Discharged</t>
        </is>
      </c>
      <c r="G389" t="n">
        <v>74</v>
      </c>
      <c r="H389" t="n">
        <v>291</v>
      </c>
    </row>
    <row r="390">
      <c r="A390" t="inlineStr">
        <is>
          <t>ED211734</t>
        </is>
      </c>
      <c r="B390" s="33" t="n">
        <v>45993.74375</v>
      </c>
      <c r="C390" t="inlineStr">
        <is>
          <t>Walk-In</t>
        </is>
      </c>
      <c r="D390" t="n">
        <v>3</v>
      </c>
      <c r="E390" t="inlineStr">
        <is>
          <t>Cough / Fever</t>
        </is>
      </c>
      <c r="F390" t="inlineStr">
        <is>
          <t>Admitted</t>
        </is>
      </c>
      <c r="G390" t="n">
        <v>40</v>
      </c>
      <c r="H390" t="n">
        <v>388</v>
      </c>
    </row>
    <row r="391">
      <c r="A391" t="inlineStr">
        <is>
          <t>ED211736</t>
        </is>
      </c>
      <c r="B391" s="33" t="n">
        <v>45993.82847222222</v>
      </c>
      <c r="C391" t="inlineStr">
        <is>
          <t>Ambulance</t>
        </is>
      </c>
      <c r="D391" t="n">
        <v>3</v>
      </c>
      <c r="E391" t="inlineStr">
        <is>
          <t>Shortness of Breath</t>
        </is>
      </c>
      <c r="F391" t="inlineStr">
        <is>
          <t>Admitted</t>
        </is>
      </c>
      <c r="G391" t="n">
        <v>20</v>
      </c>
      <c r="H391" t="n">
        <v>405</v>
      </c>
    </row>
    <row r="392">
      <c r="A392" t="inlineStr">
        <is>
          <t>ED211737</t>
        </is>
      </c>
      <c r="B392" s="33" t="n">
        <v>45993.83402777778</v>
      </c>
      <c r="C392" t="inlineStr">
        <is>
          <t>Walk-In</t>
        </is>
      </c>
      <c r="D392" t="n">
        <v>4</v>
      </c>
      <c r="E392" t="inlineStr">
        <is>
          <t>Vomiting / Diarrhea</t>
        </is>
      </c>
      <c r="F392" t="inlineStr">
        <is>
          <t>Discharged</t>
        </is>
      </c>
      <c r="G392" t="n">
        <v>49</v>
      </c>
      <c r="H392" t="n">
        <v>99</v>
      </c>
    </row>
    <row r="393">
      <c r="A393" t="inlineStr">
        <is>
          <t>ED211738</t>
        </is>
      </c>
      <c r="B393" s="33" t="n">
        <v>45993.92708333334</v>
      </c>
      <c r="C393" t="inlineStr">
        <is>
          <t>Ambulance</t>
        </is>
      </c>
      <c r="D393" t="n">
        <v>1</v>
      </c>
      <c r="E393" t="inlineStr">
        <is>
          <t>Shortness of Breath</t>
        </is>
      </c>
      <c r="F393" t="inlineStr">
        <is>
          <t>Admitted</t>
        </is>
      </c>
      <c r="G393" t="n">
        <v>1</v>
      </c>
      <c r="H393" t="n">
        <v>374</v>
      </c>
    </row>
    <row r="394">
      <c r="A394" t="inlineStr">
        <is>
          <t>ED211741</t>
        </is>
      </c>
      <c r="B394" s="33" t="n">
        <v>45994.19513888889</v>
      </c>
      <c r="C394" t="inlineStr">
        <is>
          <t>Walk-In</t>
        </is>
      </c>
      <c r="D394" t="n">
        <v>3</v>
      </c>
      <c r="E394" t="inlineStr">
        <is>
          <t>Painful Urination / Fever</t>
        </is>
      </c>
      <c r="F394" t="inlineStr">
        <is>
          <t>Observation</t>
        </is>
      </c>
      <c r="G394" t="n">
        <v>28</v>
      </c>
      <c r="H394" t="n">
        <v>198</v>
      </c>
    </row>
    <row r="395">
      <c r="A395" t="inlineStr">
        <is>
          <t>ED211743</t>
        </is>
      </c>
      <c r="B395" s="33" t="n">
        <v>45994.42291666667</v>
      </c>
      <c r="C395" t="inlineStr">
        <is>
          <t>Walk-In</t>
        </is>
      </c>
      <c r="D395" t="n">
        <v>3</v>
      </c>
      <c r="E395" t="inlineStr">
        <is>
          <t>Confusion</t>
        </is>
      </c>
      <c r="F395" t="inlineStr">
        <is>
          <t>Admitted</t>
        </is>
      </c>
      <c r="G395" t="n">
        <v>43</v>
      </c>
      <c r="H395" t="n">
        <v>399</v>
      </c>
    </row>
    <row r="396">
      <c r="A396" t="inlineStr">
        <is>
          <t>ED211745</t>
        </is>
      </c>
      <c r="B396" s="33" t="n">
        <v>45994.46458333333</v>
      </c>
      <c r="C396" t="inlineStr">
        <is>
          <t>Walk-In</t>
        </is>
      </c>
      <c r="D396" t="n">
        <v>3</v>
      </c>
      <c r="E396" t="inlineStr">
        <is>
          <t>Cough / Trouble Breathing</t>
        </is>
      </c>
      <c r="F396" t="inlineStr">
        <is>
          <t>Discharged</t>
        </is>
      </c>
      <c r="G396" t="n">
        <v>103</v>
      </c>
      <c r="H396" t="n">
        <v>287</v>
      </c>
    </row>
    <row r="397">
      <c r="A397" t="inlineStr">
        <is>
          <t>ED211748</t>
        </is>
      </c>
      <c r="B397" s="33" t="n">
        <v>45994.55833333333</v>
      </c>
      <c r="C397" t="inlineStr">
        <is>
          <t>Ambulance</t>
        </is>
      </c>
      <c r="D397" t="n">
        <v>3</v>
      </c>
      <c r="E397" t="inlineStr">
        <is>
          <t>Abdominal Pain</t>
        </is>
      </c>
      <c r="F397" t="inlineStr">
        <is>
          <t>Admitted</t>
        </is>
      </c>
      <c r="G397" t="n">
        <v>74</v>
      </c>
      <c r="H397" t="n">
        <v>445</v>
      </c>
    </row>
    <row r="398">
      <c r="A398" t="inlineStr">
        <is>
          <t>ED211750</t>
        </is>
      </c>
      <c r="B398" s="33" t="n">
        <v>45994.58819444444</v>
      </c>
      <c r="C398" t="inlineStr">
        <is>
          <t>Walk-In</t>
        </is>
      </c>
      <c r="D398" t="n">
        <v>3</v>
      </c>
      <c r="E398" t="inlineStr">
        <is>
          <t>Abdominal Pain</t>
        </is>
      </c>
      <c r="F398" t="inlineStr">
        <is>
          <t>Discharged</t>
        </is>
      </c>
      <c r="G398" t="n">
        <v>79</v>
      </c>
      <c r="H398" t="n">
        <v>251</v>
      </c>
    </row>
    <row r="399">
      <c r="A399" t="inlineStr">
        <is>
          <t>ED211751</t>
        </is>
      </c>
      <c r="B399" s="33" t="n">
        <v>45994.68263888889</v>
      </c>
      <c r="C399" t="inlineStr">
        <is>
          <t>Walk-In</t>
        </is>
      </c>
      <c r="D399" t="n">
        <v>2</v>
      </c>
      <c r="E399" t="inlineStr">
        <is>
          <t>Depression / Suicidal Thoughts</t>
        </is>
      </c>
      <c r="F399" t="inlineStr">
        <is>
          <t>Transferred</t>
        </is>
      </c>
      <c r="G399" t="n">
        <v>5</v>
      </c>
      <c r="H399" t="n">
        <v>207</v>
      </c>
    </row>
    <row r="400">
      <c r="A400" t="inlineStr">
        <is>
          <t>ED211754</t>
        </is>
      </c>
      <c r="B400" s="33" t="n">
        <v>45994.80833333333</v>
      </c>
      <c r="C400" t="inlineStr">
        <is>
          <t>Walk-In</t>
        </is>
      </c>
      <c r="D400" t="n">
        <v>3</v>
      </c>
      <c r="E400" t="inlineStr">
        <is>
          <t>High Blood Sugar</t>
        </is>
      </c>
      <c r="F400" t="inlineStr">
        <is>
          <t>Admitted</t>
        </is>
      </c>
      <c r="G400" t="n">
        <v>55</v>
      </c>
      <c r="H400" t="n">
        <v>393</v>
      </c>
    </row>
    <row r="401">
      <c r="A401" t="inlineStr">
        <is>
          <t>ED211755</t>
        </is>
      </c>
      <c r="B401" s="33" t="n">
        <v>45994.82569444444</v>
      </c>
      <c r="C401" t="inlineStr">
        <is>
          <t>Walk-In</t>
        </is>
      </c>
      <c r="D401" t="n">
        <v>4</v>
      </c>
      <c r="E401" t="inlineStr">
        <is>
          <t>Cough / Fever</t>
        </is>
      </c>
      <c r="F401" t="inlineStr">
        <is>
          <t>Discharged</t>
        </is>
      </c>
      <c r="G401" t="n">
        <v>156</v>
      </c>
      <c r="H401" t="n">
        <v>256</v>
      </c>
    </row>
    <row r="402">
      <c r="A402" t="inlineStr">
        <is>
          <t>ED211756</t>
        </is>
      </c>
      <c r="B402" s="33" t="n">
        <v>45994.99861111111</v>
      </c>
      <c r="C402" t="inlineStr">
        <is>
          <t>Walk-In</t>
        </is>
      </c>
      <c r="D402" t="n">
        <v>4</v>
      </c>
      <c r="E402" t="inlineStr">
        <is>
          <t>Headache</t>
        </is>
      </c>
      <c r="F402" t="inlineStr">
        <is>
          <t>Discharged</t>
        </is>
      </c>
      <c r="G402" t="n">
        <v>32</v>
      </c>
      <c r="H402" t="n">
        <v>117</v>
      </c>
    </row>
    <row r="403">
      <c r="A403" t="inlineStr">
        <is>
          <t>ED211757</t>
        </is>
      </c>
      <c r="B403" s="33" t="n">
        <v>45995.04583333333</v>
      </c>
      <c r="C403" t="inlineStr">
        <is>
          <t>Walk-In</t>
        </is>
      </c>
      <c r="D403" t="n">
        <v>3</v>
      </c>
      <c r="E403" t="inlineStr">
        <is>
          <t>Chest Pain</t>
        </is>
      </c>
      <c r="F403" t="inlineStr">
        <is>
          <t>Discharged</t>
        </is>
      </c>
      <c r="G403" t="n">
        <v>22</v>
      </c>
      <c r="H403" t="n">
        <v>125</v>
      </c>
    </row>
    <row r="404">
      <c r="A404" t="inlineStr">
        <is>
          <t>ED211758</t>
        </is>
      </c>
      <c r="B404" s="33" t="n">
        <v>45995.125</v>
      </c>
      <c r="C404" t="inlineStr">
        <is>
          <t>Ambulance</t>
        </is>
      </c>
      <c r="D404" t="n">
        <v>2</v>
      </c>
      <c r="E404" t="inlineStr">
        <is>
          <t>Cough / Fever</t>
        </is>
      </c>
      <c r="F404" t="inlineStr">
        <is>
          <t>Discharged</t>
        </is>
      </c>
      <c r="G404" t="n">
        <v>5</v>
      </c>
      <c r="H404" t="n">
        <v>136</v>
      </c>
    </row>
    <row r="405">
      <c r="A405" t="inlineStr">
        <is>
          <t>ED211761</t>
        </is>
      </c>
      <c r="B405" s="33" t="n">
        <v>45995.31458333333</v>
      </c>
      <c r="C405" t="inlineStr">
        <is>
          <t>Walk-In</t>
        </is>
      </c>
      <c r="D405" t="n">
        <v>3</v>
      </c>
      <c r="E405" t="inlineStr">
        <is>
          <t>Cough / Fever</t>
        </is>
      </c>
      <c r="F405" t="inlineStr">
        <is>
          <t>Discharged</t>
        </is>
      </c>
      <c r="G405" t="n">
        <v>11</v>
      </c>
      <c r="H405" t="n">
        <v>165</v>
      </c>
    </row>
    <row r="406">
      <c r="A406" t="inlineStr">
        <is>
          <t>ED211762</t>
        </is>
      </c>
      <c r="B406" s="33" t="n">
        <v>45995.37986111111</v>
      </c>
      <c r="C406" t="inlineStr">
        <is>
          <t>Walk-In</t>
        </is>
      </c>
      <c r="D406" t="n">
        <v>3</v>
      </c>
      <c r="E406" t="inlineStr">
        <is>
          <t>Depression / Suicidal Thoughts</t>
        </is>
      </c>
      <c r="F406" t="inlineStr">
        <is>
          <t>Discharged</t>
        </is>
      </c>
      <c r="G406" t="n">
        <v>64</v>
      </c>
      <c r="H406" t="n">
        <v>285</v>
      </c>
    </row>
    <row r="407">
      <c r="A407" t="inlineStr">
        <is>
          <t>ED211763</t>
        </is>
      </c>
      <c r="B407" s="33" t="n">
        <v>45995.42222222222</v>
      </c>
      <c r="C407" t="inlineStr">
        <is>
          <t>Walk-In</t>
        </is>
      </c>
      <c r="D407" t="n">
        <v>3</v>
      </c>
      <c r="E407" t="inlineStr">
        <is>
          <t>Seizure</t>
        </is>
      </c>
      <c r="F407" t="inlineStr">
        <is>
          <t>Discharged</t>
        </is>
      </c>
      <c r="G407" t="n">
        <v>22</v>
      </c>
      <c r="H407" t="n">
        <v>229</v>
      </c>
    </row>
    <row r="408">
      <c r="A408" t="inlineStr">
        <is>
          <t>ED211766</t>
        </is>
      </c>
      <c r="B408" s="33" t="n">
        <v>45995.50625</v>
      </c>
      <c r="C408" t="inlineStr">
        <is>
          <t>Walk-In</t>
        </is>
      </c>
      <c r="D408" t="n">
        <v>3</v>
      </c>
      <c r="E408" t="inlineStr">
        <is>
          <t>Palpitations</t>
        </is>
      </c>
      <c r="F408" t="inlineStr">
        <is>
          <t>Admitted</t>
        </is>
      </c>
      <c r="G408" t="n">
        <v>111</v>
      </c>
      <c r="H408" t="n">
        <v>618</v>
      </c>
    </row>
    <row r="409">
      <c r="A409" t="inlineStr">
        <is>
          <t>ED211768</t>
        </is>
      </c>
      <c r="B409" s="33" t="n">
        <v>45995.53958333333</v>
      </c>
      <c r="C409" t="inlineStr">
        <is>
          <t>Police</t>
        </is>
      </c>
      <c r="D409" t="n">
        <v>2</v>
      </c>
      <c r="E409" t="inlineStr">
        <is>
          <t>Depression / Suicidal Thoughts</t>
        </is>
      </c>
      <c r="F409" t="inlineStr">
        <is>
          <t>Admitted</t>
        </is>
      </c>
      <c r="G409" t="n">
        <v>44</v>
      </c>
      <c r="H409" t="n">
        <v>297</v>
      </c>
    </row>
    <row r="410">
      <c r="A410" t="inlineStr">
        <is>
          <t>ED211769</t>
        </is>
      </c>
      <c r="B410" s="33" t="n">
        <v>45995.56111111111</v>
      </c>
      <c r="C410" t="inlineStr">
        <is>
          <t>Ambulance</t>
        </is>
      </c>
      <c r="D410" t="n">
        <v>3</v>
      </c>
      <c r="E410" t="inlineStr">
        <is>
          <t>Chest Pain</t>
        </is>
      </c>
      <c r="F410" t="inlineStr">
        <is>
          <t>Observation</t>
        </is>
      </c>
      <c r="G410" t="n">
        <v>140</v>
      </c>
      <c r="H410" t="n">
        <v>389</v>
      </c>
    </row>
    <row r="411">
      <c r="A411" t="inlineStr">
        <is>
          <t>ED211770</t>
        </is>
      </c>
      <c r="B411" s="33" t="n">
        <v>45995.59166666667</v>
      </c>
      <c r="C411" t="inlineStr">
        <is>
          <t>Walk-In</t>
        </is>
      </c>
      <c r="D411" t="n">
        <v>3</v>
      </c>
      <c r="E411" t="inlineStr">
        <is>
          <t>Abdominal Pain</t>
        </is>
      </c>
      <c r="F411" t="inlineStr">
        <is>
          <t>Observation</t>
        </is>
      </c>
      <c r="G411" t="n">
        <v>36</v>
      </c>
      <c r="H411" t="n">
        <v>176</v>
      </c>
    </row>
    <row r="412">
      <c r="A412" t="inlineStr">
        <is>
          <t>ED211772</t>
        </is>
      </c>
      <c r="B412" s="33" t="n">
        <v>45995.72152777778</v>
      </c>
      <c r="C412" t="inlineStr">
        <is>
          <t>Walk-In</t>
        </is>
      </c>
      <c r="D412" t="n">
        <v>3</v>
      </c>
      <c r="E412" t="inlineStr">
        <is>
          <t>Weakness / Numbness</t>
        </is>
      </c>
      <c r="F412" t="inlineStr">
        <is>
          <t>Admitted</t>
        </is>
      </c>
      <c r="G412" t="n">
        <v>36</v>
      </c>
      <c r="H412" t="n">
        <v>619</v>
      </c>
    </row>
    <row r="413">
      <c r="A413" t="inlineStr">
        <is>
          <t>ED211773</t>
        </is>
      </c>
      <c r="B413" s="33" t="n">
        <v>45995.79027777778</v>
      </c>
      <c r="C413" t="inlineStr">
        <is>
          <t>Ambulance</t>
        </is>
      </c>
      <c r="D413" t="n">
        <v>2</v>
      </c>
      <c r="E413" t="inlineStr">
        <is>
          <t>Weakness / Numbness</t>
        </is>
      </c>
      <c r="F413" t="inlineStr">
        <is>
          <t>Admitted</t>
        </is>
      </c>
      <c r="G413" t="n">
        <v>33</v>
      </c>
      <c r="H413" t="n">
        <v>320</v>
      </c>
    </row>
    <row r="414">
      <c r="A414" t="inlineStr">
        <is>
          <t>ED211774</t>
        </is>
      </c>
      <c r="B414" s="33" t="n">
        <v>45995.79166666666</v>
      </c>
      <c r="C414" t="inlineStr">
        <is>
          <t>Walk-In</t>
        </is>
      </c>
      <c r="D414" t="n">
        <v>4</v>
      </c>
      <c r="E414" t="inlineStr">
        <is>
          <t>Cough / Trouble Breathing</t>
        </is>
      </c>
      <c r="F414" t="inlineStr">
        <is>
          <t>Discharged</t>
        </is>
      </c>
      <c r="G414" t="n">
        <v>72</v>
      </c>
      <c r="H414" t="n">
        <v>188</v>
      </c>
    </row>
    <row r="415">
      <c r="A415" t="inlineStr">
        <is>
          <t>ED211775</t>
        </is>
      </c>
      <c r="B415" s="33" t="n">
        <v>45995.80416666667</v>
      </c>
      <c r="C415" t="inlineStr">
        <is>
          <t>Ambulance</t>
        </is>
      </c>
      <c r="D415" t="n">
        <v>3</v>
      </c>
      <c r="E415" t="inlineStr">
        <is>
          <t>Vomiting / Diarrhea</t>
        </is>
      </c>
      <c r="F415" t="inlineStr">
        <is>
          <t>Observation</t>
        </is>
      </c>
      <c r="G415" t="n">
        <v>117</v>
      </c>
      <c r="H415" t="n">
        <v>311</v>
      </c>
    </row>
    <row r="416">
      <c r="A416" t="inlineStr">
        <is>
          <t>ED211776</t>
        </is>
      </c>
      <c r="B416" s="33" t="n">
        <v>45995.81180555555</v>
      </c>
      <c r="C416" t="inlineStr">
        <is>
          <t>Ambulance</t>
        </is>
      </c>
      <c r="D416" t="n">
        <v>2</v>
      </c>
      <c r="E416" t="inlineStr">
        <is>
          <t>Shortness of Breath</t>
        </is>
      </c>
      <c r="F416" t="inlineStr">
        <is>
          <t>Admitted</t>
        </is>
      </c>
      <c r="G416" t="n">
        <v>29</v>
      </c>
      <c r="H416" t="n">
        <v>411</v>
      </c>
    </row>
    <row r="417">
      <c r="A417" t="inlineStr">
        <is>
          <t>ED211777</t>
        </is>
      </c>
      <c r="B417" s="33" t="n">
        <v>45995.86597222222</v>
      </c>
      <c r="C417" t="inlineStr">
        <is>
          <t>Walk-In</t>
        </is>
      </c>
      <c r="D417" t="n">
        <v>4</v>
      </c>
      <c r="E417" t="inlineStr">
        <is>
          <t>Painful Urination / Fever</t>
        </is>
      </c>
      <c r="F417" t="inlineStr">
        <is>
          <t>Admitted</t>
        </is>
      </c>
      <c r="G417" t="n">
        <v>81</v>
      </c>
      <c r="H417" t="n">
        <v>208</v>
      </c>
    </row>
    <row r="418">
      <c r="A418" t="inlineStr">
        <is>
          <t>ED211778</t>
        </is>
      </c>
      <c r="B418" s="33" t="n">
        <v>45995.94513888889</v>
      </c>
      <c r="C418" t="inlineStr">
        <is>
          <t>Walk-In</t>
        </is>
      </c>
      <c r="D418" t="n">
        <v>5</v>
      </c>
      <c r="E418" t="inlineStr">
        <is>
          <t>Cough / Fever</t>
        </is>
      </c>
      <c r="F418" t="inlineStr">
        <is>
          <t>Discharged</t>
        </is>
      </c>
      <c r="G418" t="n">
        <v>90</v>
      </c>
      <c r="H418" t="n">
        <v>177</v>
      </c>
    </row>
    <row r="419">
      <c r="A419" t="inlineStr">
        <is>
          <t>ED211779</t>
        </is>
      </c>
      <c r="B419" s="33" t="n">
        <v>45996.25069444445</v>
      </c>
      <c r="C419" t="inlineStr">
        <is>
          <t>Walk-In</t>
        </is>
      </c>
      <c r="D419" t="n">
        <v>4</v>
      </c>
      <c r="E419" t="inlineStr">
        <is>
          <t>Shortness of Breath</t>
        </is>
      </c>
      <c r="F419" t="inlineStr">
        <is>
          <t>Admitted</t>
        </is>
      </c>
      <c r="G419" t="n">
        <v>18</v>
      </c>
      <c r="H419" t="n">
        <v>89</v>
      </c>
    </row>
    <row r="420">
      <c r="A420" t="inlineStr">
        <is>
          <t>ED211780</t>
        </is>
      </c>
      <c r="B420" s="33" t="n">
        <v>45996.30833333333</v>
      </c>
      <c r="C420" t="inlineStr">
        <is>
          <t>Walk-In</t>
        </is>
      </c>
      <c r="D420" t="n">
        <v>3</v>
      </c>
      <c r="E420" t="inlineStr">
        <is>
          <t>Skin Redness / Swelling</t>
        </is>
      </c>
      <c r="F420" t="inlineStr">
        <is>
          <t>Discharged</t>
        </is>
      </c>
      <c r="G420" t="n">
        <v>139</v>
      </c>
      <c r="H420" t="n">
        <v>357</v>
      </c>
    </row>
    <row r="421">
      <c r="A421" t="inlineStr">
        <is>
          <t>ED211781</t>
        </is>
      </c>
      <c r="B421" s="33" t="n">
        <v>45996.33958333333</v>
      </c>
      <c r="C421" t="inlineStr">
        <is>
          <t>Ambulance</t>
        </is>
      </c>
      <c r="D421" t="n">
        <v>3</v>
      </c>
      <c r="E421" t="inlineStr">
        <is>
          <t>Headache</t>
        </is>
      </c>
      <c r="F421" t="inlineStr">
        <is>
          <t>Discharged</t>
        </is>
      </c>
      <c r="G421" t="n">
        <v>39</v>
      </c>
      <c r="H421" t="n">
        <v>247</v>
      </c>
    </row>
    <row r="422">
      <c r="A422" t="inlineStr">
        <is>
          <t>ED211782</t>
        </is>
      </c>
      <c r="B422" s="33" t="n">
        <v>45996.40902777778</v>
      </c>
      <c r="C422" t="inlineStr">
        <is>
          <t>Ambulance</t>
        </is>
      </c>
      <c r="D422" t="n">
        <v>2</v>
      </c>
      <c r="E422" t="inlineStr">
        <is>
          <t>Chest Pain</t>
        </is>
      </c>
      <c r="F422" t="inlineStr">
        <is>
          <t>Discharged</t>
        </is>
      </c>
      <c r="G422" t="n">
        <v>16</v>
      </c>
      <c r="H422" t="n">
        <v>262</v>
      </c>
    </row>
    <row r="423">
      <c r="A423" t="inlineStr">
        <is>
          <t>ED211783</t>
        </is>
      </c>
      <c r="B423" s="33" t="n">
        <v>45996.42291666667</v>
      </c>
      <c r="C423" t="inlineStr">
        <is>
          <t>Walk-In</t>
        </is>
      </c>
      <c r="D423" t="n">
        <v>4</v>
      </c>
      <c r="E423" t="inlineStr">
        <is>
          <t>Back Pain</t>
        </is>
      </c>
      <c r="F423" t="inlineStr">
        <is>
          <t>Discharged</t>
        </is>
      </c>
      <c r="G423" t="n">
        <v>39</v>
      </c>
      <c r="H423" t="n">
        <v>118</v>
      </c>
    </row>
    <row r="424">
      <c r="A424" t="inlineStr">
        <is>
          <t>ED211784</t>
        </is>
      </c>
      <c r="B424" s="33" t="n">
        <v>45996.43819444445</v>
      </c>
      <c r="C424" t="inlineStr">
        <is>
          <t>Ambulance</t>
        </is>
      </c>
      <c r="D424" t="n">
        <v>3</v>
      </c>
      <c r="E424" t="inlineStr">
        <is>
          <t>Cough / Fever</t>
        </is>
      </c>
      <c r="F424" t="inlineStr">
        <is>
          <t>Discharged</t>
        </is>
      </c>
      <c r="G424" t="n">
        <v>28</v>
      </c>
      <c r="H424" t="n">
        <v>228</v>
      </c>
    </row>
    <row r="425">
      <c r="A425" t="inlineStr">
        <is>
          <t>ED211785</t>
        </is>
      </c>
      <c r="B425" s="33" t="n">
        <v>45996.44027777778</v>
      </c>
      <c r="C425" t="inlineStr">
        <is>
          <t>Ambulance</t>
        </is>
      </c>
      <c r="D425" t="n">
        <v>2</v>
      </c>
      <c r="E425" t="inlineStr">
        <is>
          <t>Shortness of Breath</t>
        </is>
      </c>
      <c r="F425" t="inlineStr">
        <is>
          <t>Admitted</t>
        </is>
      </c>
      <c r="G425" t="n">
        <v>26</v>
      </c>
      <c r="H425" t="n">
        <v>621</v>
      </c>
    </row>
    <row r="426">
      <c r="A426" t="inlineStr">
        <is>
          <t>ED211786</t>
        </is>
      </c>
      <c r="B426" s="33" t="n">
        <v>45996.45486111111</v>
      </c>
      <c r="C426" t="inlineStr">
        <is>
          <t>Walk-In</t>
        </is>
      </c>
      <c r="D426" t="n">
        <v>3</v>
      </c>
      <c r="E426" t="inlineStr">
        <is>
          <t>Cough / Trouble Breathing</t>
        </is>
      </c>
      <c r="F426" t="inlineStr">
        <is>
          <t>Discharged</t>
        </is>
      </c>
      <c r="G426" t="n">
        <v>25</v>
      </c>
      <c r="H426" t="n">
        <v>187</v>
      </c>
    </row>
    <row r="427">
      <c r="A427" t="inlineStr">
        <is>
          <t>ED211787</t>
        </is>
      </c>
      <c r="B427" s="33" t="n">
        <v>45996.45555555556</v>
      </c>
      <c r="C427" t="inlineStr">
        <is>
          <t>Walk-In</t>
        </is>
      </c>
      <c r="D427" t="n">
        <v>4</v>
      </c>
      <c r="E427" t="inlineStr">
        <is>
          <t>Ear Pain / Fever</t>
        </is>
      </c>
      <c r="F427" t="inlineStr">
        <is>
          <t>Discharged</t>
        </is>
      </c>
      <c r="G427" t="n">
        <v>40</v>
      </c>
      <c r="H427" t="n">
        <v>111</v>
      </c>
    </row>
    <row r="428">
      <c r="A428" t="inlineStr">
        <is>
          <t>ED211788</t>
        </is>
      </c>
      <c r="B428" s="33" t="n">
        <v>45996.54583333333</v>
      </c>
      <c r="C428" t="inlineStr">
        <is>
          <t>Walk-In</t>
        </is>
      </c>
      <c r="D428" t="n">
        <v>4</v>
      </c>
      <c r="E428" t="inlineStr">
        <is>
          <t>Abdominal Pain</t>
        </is>
      </c>
      <c r="F428" t="inlineStr">
        <is>
          <t>Observation</t>
        </is>
      </c>
      <c r="G428" t="n">
        <v>43</v>
      </c>
      <c r="H428" t="n">
        <v>395</v>
      </c>
    </row>
    <row r="429">
      <c r="A429" t="inlineStr">
        <is>
          <t>ED211790</t>
        </is>
      </c>
      <c r="B429" s="33" t="n">
        <v>45996.65416666667</v>
      </c>
      <c r="C429" t="inlineStr">
        <is>
          <t>Walk-In</t>
        </is>
      </c>
      <c r="D429" t="n">
        <v>4</v>
      </c>
      <c r="E429" t="inlineStr">
        <is>
          <t>Shortness of Breath</t>
        </is>
      </c>
      <c r="F429" t="inlineStr">
        <is>
          <t>Discharged</t>
        </is>
      </c>
      <c r="G429" t="n">
        <v>86</v>
      </c>
      <c r="H429" t="n">
        <v>189</v>
      </c>
    </row>
    <row r="430">
      <c r="A430" t="inlineStr">
        <is>
          <t>ED211791</t>
        </is>
      </c>
      <c r="B430" s="33" t="n">
        <v>45996.65486111111</v>
      </c>
      <c r="C430" t="inlineStr">
        <is>
          <t>Ambulance</t>
        </is>
      </c>
      <c r="D430" t="n">
        <v>2</v>
      </c>
      <c r="E430" t="inlineStr">
        <is>
          <t>Cough / Fever</t>
        </is>
      </c>
      <c r="F430" t="inlineStr">
        <is>
          <t>Discharged</t>
        </is>
      </c>
      <c r="G430" t="n">
        <v>29</v>
      </c>
      <c r="H430" t="n">
        <v>271</v>
      </c>
    </row>
    <row r="431">
      <c r="A431" t="inlineStr">
        <is>
          <t>ED211792</t>
        </is>
      </c>
      <c r="B431" s="33" t="n">
        <v>45996.69444444445</v>
      </c>
      <c r="C431" t="inlineStr">
        <is>
          <t>Walk-In</t>
        </is>
      </c>
      <c r="D431" t="n">
        <v>4</v>
      </c>
      <c r="E431" t="inlineStr">
        <is>
          <t>Ankle Injury</t>
        </is>
      </c>
      <c r="F431" t="inlineStr">
        <is>
          <t>Discharged</t>
        </is>
      </c>
      <c r="G431" t="n">
        <v>72</v>
      </c>
      <c r="H431" t="n">
        <v>127</v>
      </c>
    </row>
    <row r="432">
      <c r="A432" t="inlineStr">
        <is>
          <t>ED211793</t>
        </is>
      </c>
      <c r="B432" s="33" t="n">
        <v>45996.69861111111</v>
      </c>
      <c r="C432" t="inlineStr">
        <is>
          <t>Walk-In</t>
        </is>
      </c>
      <c r="D432" t="n">
        <v>4</v>
      </c>
      <c r="E432" t="inlineStr">
        <is>
          <t>Vomiting / Diarrhea</t>
        </is>
      </c>
      <c r="F432" t="inlineStr">
        <is>
          <t>Discharged</t>
        </is>
      </c>
      <c r="G432" t="n">
        <v>59</v>
      </c>
      <c r="H432" t="n">
        <v>147</v>
      </c>
    </row>
    <row r="433">
      <c r="A433" t="inlineStr">
        <is>
          <t>ED211794</t>
        </is>
      </c>
      <c r="B433" s="33" t="n">
        <v>45996.70555555556</v>
      </c>
      <c r="C433" t="inlineStr">
        <is>
          <t>Walk-In</t>
        </is>
      </c>
      <c r="D433" t="n">
        <v>4</v>
      </c>
      <c r="E433" t="inlineStr">
        <is>
          <t>Cough / Fever</t>
        </is>
      </c>
      <c r="F433" t="inlineStr">
        <is>
          <t>Discharged</t>
        </is>
      </c>
      <c r="G433" t="n">
        <v>73</v>
      </c>
      <c r="H433" t="n">
        <v>146</v>
      </c>
    </row>
    <row r="434">
      <c r="A434" t="inlineStr">
        <is>
          <t>ED211795</t>
        </is>
      </c>
      <c r="B434" s="33" t="n">
        <v>45996.76388888889</v>
      </c>
      <c r="C434" t="inlineStr">
        <is>
          <t>Walk-In</t>
        </is>
      </c>
      <c r="D434" t="n">
        <v>4</v>
      </c>
      <c r="E434" t="inlineStr">
        <is>
          <t>Nausea</t>
        </is>
      </c>
      <c r="F434" t="inlineStr">
        <is>
          <t>Discharged</t>
        </is>
      </c>
      <c r="G434" t="n">
        <v>81</v>
      </c>
      <c r="H434" t="n">
        <v>153</v>
      </c>
    </row>
    <row r="435">
      <c r="A435" t="inlineStr">
        <is>
          <t>ED211796</t>
        </is>
      </c>
      <c r="B435" s="33" t="n">
        <v>45996.82361111111</v>
      </c>
      <c r="C435" t="inlineStr">
        <is>
          <t>Walk-In</t>
        </is>
      </c>
      <c r="D435" t="n">
        <v>3</v>
      </c>
      <c r="E435" t="inlineStr">
        <is>
          <t>Cough / Fever</t>
        </is>
      </c>
      <c r="F435" t="inlineStr">
        <is>
          <t>Discharged</t>
        </is>
      </c>
      <c r="G435" t="n">
        <v>136</v>
      </c>
      <c r="H435" t="n">
        <v>365</v>
      </c>
    </row>
    <row r="436">
      <c r="A436" t="inlineStr">
        <is>
          <t>ED211797</t>
        </is>
      </c>
      <c r="B436" s="33" t="n">
        <v>45996.93125</v>
      </c>
      <c r="C436" t="inlineStr">
        <is>
          <t>Walk-In</t>
        </is>
      </c>
      <c r="D436" t="n">
        <v>4</v>
      </c>
      <c r="E436" t="inlineStr">
        <is>
          <t>Dizziness</t>
        </is>
      </c>
      <c r="F436" t="inlineStr">
        <is>
          <t>Discharged</t>
        </is>
      </c>
      <c r="G436" t="n">
        <v>56</v>
      </c>
      <c r="H436" t="n">
        <v>161</v>
      </c>
    </row>
    <row r="437">
      <c r="A437" t="inlineStr">
        <is>
          <t>ED211798</t>
        </is>
      </c>
      <c r="B437" s="33" t="n">
        <v>45996.94652777778</v>
      </c>
      <c r="C437" t="inlineStr">
        <is>
          <t>Walk-In</t>
        </is>
      </c>
      <c r="D437" t="n">
        <v>4</v>
      </c>
      <c r="E437" t="inlineStr">
        <is>
          <t>Shortness of Breath</t>
        </is>
      </c>
      <c r="F437" t="inlineStr">
        <is>
          <t>Discharged</t>
        </is>
      </c>
      <c r="G437" t="n">
        <v>44</v>
      </c>
      <c r="H437" t="n">
        <v>153</v>
      </c>
    </row>
    <row r="438">
      <c r="A438" t="inlineStr">
        <is>
          <t>ED211799</t>
        </is>
      </c>
      <c r="B438" s="33" t="n">
        <v>45996.98472222222</v>
      </c>
      <c r="C438" t="inlineStr">
        <is>
          <t>Walk-In</t>
        </is>
      </c>
      <c r="D438" t="n">
        <v>3</v>
      </c>
      <c r="E438" t="inlineStr">
        <is>
          <t>Psychiatric Evaluation</t>
        </is>
      </c>
      <c r="F438" t="inlineStr">
        <is>
          <t>Admitted</t>
        </is>
      </c>
      <c r="G438" t="n">
        <v>42</v>
      </c>
      <c r="H438" t="n">
        <v>243</v>
      </c>
    </row>
    <row r="439">
      <c r="A439" t="inlineStr">
        <is>
          <t>ED211801</t>
        </is>
      </c>
      <c r="B439" s="33" t="n">
        <v>45997.13402777778</v>
      </c>
      <c r="C439" t="inlineStr">
        <is>
          <t>Walk-In</t>
        </is>
      </c>
      <c r="D439" t="n">
        <v>4</v>
      </c>
      <c r="E439" t="inlineStr">
        <is>
          <t>Abdominal Pain</t>
        </is>
      </c>
      <c r="F439" t="inlineStr">
        <is>
          <t>Discharged</t>
        </is>
      </c>
      <c r="G439" t="n">
        <v>100</v>
      </c>
      <c r="H439" t="n">
        <v>175</v>
      </c>
    </row>
    <row r="440">
      <c r="A440" t="inlineStr">
        <is>
          <t>ED211802</t>
        </is>
      </c>
      <c r="B440" s="33" t="n">
        <v>45997.24722222222</v>
      </c>
      <c r="C440" t="inlineStr">
        <is>
          <t>Walk-In</t>
        </is>
      </c>
      <c r="D440" t="n">
        <v>3</v>
      </c>
      <c r="E440" t="inlineStr">
        <is>
          <t>Weakness / Fatigue</t>
        </is>
      </c>
      <c r="F440" t="inlineStr">
        <is>
          <t>Admitted</t>
        </is>
      </c>
      <c r="G440" t="n">
        <v>23</v>
      </c>
      <c r="H440" t="n">
        <v>376</v>
      </c>
    </row>
    <row r="441">
      <c r="A441" t="inlineStr">
        <is>
          <t>ED211804</t>
        </is>
      </c>
      <c r="B441" s="33" t="n">
        <v>45997.31319444445</v>
      </c>
      <c r="C441" t="inlineStr">
        <is>
          <t>Walk-In</t>
        </is>
      </c>
      <c r="D441" t="n">
        <v>5</v>
      </c>
      <c r="E441" t="inlineStr">
        <is>
          <t>Ear Pain / Fever</t>
        </is>
      </c>
      <c r="F441" t="inlineStr">
        <is>
          <t>Discharged</t>
        </is>
      </c>
      <c r="G441" t="n">
        <v>61</v>
      </c>
      <c r="H441" t="n">
        <v>111</v>
      </c>
    </row>
    <row r="442">
      <c r="A442" t="inlineStr">
        <is>
          <t>ED211805</t>
        </is>
      </c>
      <c r="B442" s="33" t="n">
        <v>45997.39236111111</v>
      </c>
      <c r="C442" t="inlineStr">
        <is>
          <t>Walk-In</t>
        </is>
      </c>
      <c r="D442" t="n">
        <v>3</v>
      </c>
      <c r="E442" t="inlineStr">
        <is>
          <t>Painful Urination / Fever</t>
        </is>
      </c>
      <c r="F442" t="inlineStr">
        <is>
          <t>Admitted</t>
        </is>
      </c>
      <c r="G442" t="n">
        <v>96</v>
      </c>
      <c r="H442" t="n">
        <v>355</v>
      </c>
    </row>
    <row r="443">
      <c r="A443" t="inlineStr">
        <is>
          <t>ED211806</t>
        </is>
      </c>
      <c r="B443" s="33" t="n">
        <v>45997.40486111111</v>
      </c>
      <c r="C443" t="inlineStr">
        <is>
          <t>Walk-In</t>
        </is>
      </c>
      <c r="D443" t="n">
        <v>3</v>
      </c>
      <c r="E443" t="inlineStr">
        <is>
          <t>Skin Redness / Swelling</t>
        </is>
      </c>
      <c r="F443" t="inlineStr">
        <is>
          <t>Admitted</t>
        </is>
      </c>
      <c r="G443" t="n">
        <v>34</v>
      </c>
      <c r="H443" t="n">
        <v>322</v>
      </c>
    </row>
    <row r="444">
      <c r="A444" t="inlineStr">
        <is>
          <t>ED211807</t>
        </is>
      </c>
      <c r="B444" s="33" t="n">
        <v>45997.4125</v>
      </c>
      <c r="C444" t="inlineStr">
        <is>
          <t>Walk-In</t>
        </is>
      </c>
      <c r="D444" t="n">
        <v>4</v>
      </c>
      <c r="E444" t="inlineStr">
        <is>
          <t>Cough / Fever</t>
        </is>
      </c>
      <c r="F444" t="inlineStr">
        <is>
          <t>Discharged</t>
        </is>
      </c>
      <c r="G444" t="n">
        <v>68</v>
      </c>
      <c r="H444" t="n">
        <v>136</v>
      </c>
    </row>
    <row r="445">
      <c r="A445" t="inlineStr">
        <is>
          <t>ED211808</t>
        </is>
      </c>
      <c r="B445" s="33" t="n">
        <v>45997.47291666667</v>
      </c>
      <c r="C445" t="inlineStr">
        <is>
          <t>Ambulance</t>
        </is>
      </c>
      <c r="D445" t="n">
        <v>3</v>
      </c>
      <c r="E445" t="inlineStr">
        <is>
          <t>Chest Pain</t>
        </is>
      </c>
      <c r="F445" t="inlineStr">
        <is>
          <t>Discharged</t>
        </is>
      </c>
      <c r="G445" t="n">
        <v>86</v>
      </c>
      <c r="H445" t="n">
        <v>284</v>
      </c>
    </row>
    <row r="446">
      <c r="A446" t="inlineStr">
        <is>
          <t>ED211809</t>
        </is>
      </c>
      <c r="B446" s="33" t="n">
        <v>45997.47777777778</v>
      </c>
      <c r="C446" t="inlineStr">
        <is>
          <t>Walk-In</t>
        </is>
      </c>
      <c r="D446" t="n">
        <v>4</v>
      </c>
      <c r="E446" t="inlineStr">
        <is>
          <t>Ankle Injury</t>
        </is>
      </c>
      <c r="F446" t="inlineStr">
        <is>
          <t>Discharged</t>
        </is>
      </c>
      <c r="G446" t="n">
        <v>26</v>
      </c>
      <c r="H446" t="n">
        <v>67</v>
      </c>
    </row>
    <row r="447">
      <c r="A447" t="inlineStr">
        <is>
          <t>ED211811</t>
        </is>
      </c>
      <c r="B447" s="33" t="n">
        <v>45997.67986111111</v>
      </c>
      <c r="C447" t="inlineStr">
        <is>
          <t>Walk-In</t>
        </is>
      </c>
      <c r="D447" t="n">
        <v>4</v>
      </c>
      <c r="E447" t="inlineStr">
        <is>
          <t>Cough / Fever</t>
        </is>
      </c>
      <c r="F447" t="inlineStr">
        <is>
          <t>Discharged</t>
        </is>
      </c>
      <c r="G447" t="n">
        <v>104</v>
      </c>
      <c r="H447" t="n">
        <v>196</v>
      </c>
    </row>
    <row r="448">
      <c r="A448" t="inlineStr">
        <is>
          <t>ED211813</t>
        </is>
      </c>
      <c r="B448" s="33" t="n">
        <v>45997.75138888889</v>
      </c>
      <c r="C448" t="inlineStr">
        <is>
          <t>Walk-In</t>
        </is>
      </c>
      <c r="D448" t="n">
        <v>5</v>
      </c>
      <c r="E448" t="inlineStr">
        <is>
          <t>Ankle Injury</t>
        </is>
      </c>
      <c r="F448" t="inlineStr">
        <is>
          <t>Left AMA</t>
        </is>
      </c>
      <c r="G448" t="n">
        <v>25</v>
      </c>
      <c r="H448" t="n">
        <v>79</v>
      </c>
    </row>
    <row r="449">
      <c r="A449" t="inlineStr">
        <is>
          <t>ED211815</t>
        </is>
      </c>
      <c r="B449" s="33" t="n">
        <v>45997.80277777778</v>
      </c>
      <c r="C449" t="inlineStr">
        <is>
          <t>Ambulance</t>
        </is>
      </c>
      <c r="D449" t="n">
        <v>2</v>
      </c>
      <c r="E449" t="inlineStr">
        <is>
          <t>Shortness of Breath</t>
        </is>
      </c>
      <c r="F449" t="inlineStr">
        <is>
          <t>Admitted</t>
        </is>
      </c>
      <c r="G449" t="n">
        <v>25</v>
      </c>
      <c r="H449" t="n">
        <v>401</v>
      </c>
    </row>
    <row r="450">
      <c r="A450" t="inlineStr">
        <is>
          <t>ED211819</t>
        </is>
      </c>
      <c r="B450" s="33" t="n">
        <v>45998.28541666667</v>
      </c>
      <c r="C450" t="inlineStr">
        <is>
          <t>Walk-In</t>
        </is>
      </c>
      <c r="D450" t="n">
        <v>2</v>
      </c>
      <c r="E450" t="inlineStr">
        <is>
          <t>Weakness / Numbness</t>
        </is>
      </c>
      <c r="F450" t="inlineStr">
        <is>
          <t>Admitted</t>
        </is>
      </c>
      <c r="G450" t="n">
        <v>22</v>
      </c>
      <c r="H450" t="n">
        <v>250</v>
      </c>
    </row>
    <row r="451">
      <c r="A451" t="inlineStr">
        <is>
          <t>ED211820</t>
        </is>
      </c>
      <c r="B451" s="33" t="n">
        <v>45998.39097222222</v>
      </c>
      <c r="C451" t="inlineStr">
        <is>
          <t>Walk-In</t>
        </is>
      </c>
      <c r="D451" t="n">
        <v>5</v>
      </c>
      <c r="E451" t="inlineStr">
        <is>
          <t>Painful Urination / Fever</t>
        </is>
      </c>
      <c r="F451" t="inlineStr">
        <is>
          <t>Discharged</t>
        </is>
      </c>
      <c r="G451" t="n">
        <v>105</v>
      </c>
      <c r="H451" t="n">
        <v>189</v>
      </c>
    </row>
    <row r="452">
      <c r="A452" t="inlineStr">
        <is>
          <t>ED211821</t>
        </is>
      </c>
      <c r="B452" s="33" t="n">
        <v>45998.39097222222</v>
      </c>
      <c r="C452" t="inlineStr">
        <is>
          <t>Walk-In</t>
        </is>
      </c>
      <c r="D452" t="n">
        <v>3</v>
      </c>
      <c r="E452" t="inlineStr">
        <is>
          <t>Weakness / Fatigue</t>
        </is>
      </c>
      <c r="F452" t="inlineStr">
        <is>
          <t>Admitted</t>
        </is>
      </c>
      <c r="G452" t="n">
        <v>44</v>
      </c>
      <c r="H452" t="n">
        <v>207</v>
      </c>
    </row>
    <row r="453">
      <c r="A453" t="inlineStr">
        <is>
          <t>ED211823</t>
        </is>
      </c>
      <c r="B453" s="33" t="n">
        <v>45998.45416666667</v>
      </c>
      <c r="C453" t="inlineStr">
        <is>
          <t>Walk-In</t>
        </is>
      </c>
      <c r="D453" t="n">
        <v>3</v>
      </c>
      <c r="E453" t="inlineStr">
        <is>
          <t>Cough / Fever</t>
        </is>
      </c>
      <c r="F453" t="inlineStr">
        <is>
          <t>Discharged</t>
        </is>
      </c>
      <c r="G453" t="n">
        <v>68</v>
      </c>
      <c r="H453" t="n">
        <v>301</v>
      </c>
    </row>
    <row r="454">
      <c r="A454" t="inlineStr">
        <is>
          <t>ED211828</t>
        </is>
      </c>
      <c r="B454" s="33" t="n">
        <v>45998.85902777778</v>
      </c>
      <c r="C454" t="inlineStr">
        <is>
          <t>Walk-In</t>
        </is>
      </c>
      <c r="D454" t="n">
        <v>3</v>
      </c>
      <c r="E454" t="inlineStr">
        <is>
          <t>Skin Redness / Swelling</t>
        </is>
      </c>
      <c r="F454" t="inlineStr">
        <is>
          <t>Discharged</t>
        </is>
      </c>
      <c r="G454" t="n">
        <v>35</v>
      </c>
      <c r="H454" t="n">
        <v>174</v>
      </c>
    </row>
    <row r="455">
      <c r="A455" t="inlineStr">
        <is>
          <t>ED211830</t>
        </is>
      </c>
      <c r="B455" s="33" t="n">
        <v>45999.08125</v>
      </c>
      <c r="C455" t="inlineStr">
        <is>
          <t>Walk-In</t>
        </is>
      </c>
      <c r="D455" t="n">
        <v>5</v>
      </c>
      <c r="E455" t="inlineStr">
        <is>
          <t>Headache</t>
        </is>
      </c>
      <c r="F455" t="inlineStr">
        <is>
          <t>Discharged</t>
        </is>
      </c>
      <c r="G455" t="n">
        <v>144</v>
      </c>
      <c r="H455" t="n">
        <v>216</v>
      </c>
    </row>
    <row r="456">
      <c r="A456" t="inlineStr">
        <is>
          <t>ED211832</t>
        </is>
      </c>
      <c r="B456" s="33" t="n">
        <v>45999.20277777778</v>
      </c>
      <c r="C456" t="inlineStr">
        <is>
          <t>Walk-In</t>
        </is>
      </c>
      <c r="D456" t="n">
        <v>3</v>
      </c>
      <c r="E456" t="inlineStr">
        <is>
          <t>Chest Pain</t>
        </is>
      </c>
      <c r="F456" t="inlineStr">
        <is>
          <t>Discharged</t>
        </is>
      </c>
      <c r="G456" t="n">
        <v>16</v>
      </c>
      <c r="H456" t="n">
        <v>208</v>
      </c>
    </row>
    <row r="457">
      <c r="A457" t="inlineStr">
        <is>
          <t>ED211833</t>
        </is>
      </c>
      <c r="B457" s="33" t="n">
        <v>45999.31319444445</v>
      </c>
      <c r="C457" t="inlineStr">
        <is>
          <t>Walk-In</t>
        </is>
      </c>
      <c r="D457" t="n">
        <v>3</v>
      </c>
      <c r="E457" t="inlineStr">
        <is>
          <t>Vomiting / Diarrhea</t>
        </is>
      </c>
      <c r="F457" t="inlineStr">
        <is>
          <t>Discharged</t>
        </is>
      </c>
      <c r="G457" t="n">
        <v>62</v>
      </c>
      <c r="H457" t="n">
        <v>221</v>
      </c>
    </row>
    <row r="458">
      <c r="A458" t="inlineStr">
        <is>
          <t>ED211834</t>
        </is>
      </c>
      <c r="B458" s="33" t="n">
        <v>45999.31388888889</v>
      </c>
      <c r="C458" t="inlineStr">
        <is>
          <t>Ambulance</t>
        </is>
      </c>
      <c r="D458" t="n">
        <v>3</v>
      </c>
      <c r="E458" t="inlineStr">
        <is>
          <t>Confusion</t>
        </is>
      </c>
      <c r="F458" t="inlineStr">
        <is>
          <t>Admitted</t>
        </is>
      </c>
      <c r="G458" t="n">
        <v>38</v>
      </c>
      <c r="H458" t="n">
        <v>288</v>
      </c>
    </row>
    <row r="459">
      <c r="A459" t="inlineStr">
        <is>
          <t>ED211835</t>
        </is>
      </c>
      <c r="B459" s="33" t="n">
        <v>45999.40277777778</v>
      </c>
      <c r="C459" t="inlineStr">
        <is>
          <t>Walk-In</t>
        </is>
      </c>
      <c r="D459" t="n">
        <v>3</v>
      </c>
      <c r="E459" t="inlineStr">
        <is>
          <t>Headache</t>
        </is>
      </c>
      <c r="F459" t="inlineStr">
        <is>
          <t>Discharged</t>
        </is>
      </c>
      <c r="G459" t="n">
        <v>37</v>
      </c>
      <c r="H459" t="n">
        <v>231</v>
      </c>
    </row>
    <row r="460">
      <c r="A460" t="inlineStr">
        <is>
          <t>ED211836</t>
        </is>
      </c>
      <c r="B460" s="33" t="n">
        <v>45999.40763888889</v>
      </c>
      <c r="C460" t="inlineStr">
        <is>
          <t>Walk-In</t>
        </is>
      </c>
      <c r="D460" t="n">
        <v>5</v>
      </c>
      <c r="E460" t="inlineStr">
        <is>
          <t>Cough / Fever</t>
        </is>
      </c>
      <c r="F460" t="inlineStr">
        <is>
          <t>Discharged</t>
        </is>
      </c>
      <c r="G460" t="n">
        <v>68</v>
      </c>
      <c r="H460" t="n">
        <v>144</v>
      </c>
    </row>
    <row r="461">
      <c r="A461" t="inlineStr">
        <is>
          <t>ED211838</t>
        </is>
      </c>
      <c r="B461" s="33" t="n">
        <v>45999.47152777778</v>
      </c>
      <c r="C461" t="inlineStr">
        <is>
          <t>Walk-In</t>
        </is>
      </c>
      <c r="D461" t="n">
        <v>4</v>
      </c>
      <c r="E461" t="inlineStr">
        <is>
          <t>Ear Pain / Fever</t>
        </is>
      </c>
      <c r="F461" t="inlineStr">
        <is>
          <t>Discharged</t>
        </is>
      </c>
      <c r="G461" t="n">
        <v>25</v>
      </c>
      <c r="H461" t="n">
        <v>132</v>
      </c>
    </row>
    <row r="462">
      <c r="A462" t="inlineStr">
        <is>
          <t>ED211839</t>
        </is>
      </c>
      <c r="B462" s="33" t="n">
        <v>45999.47569444445</v>
      </c>
      <c r="C462" t="inlineStr">
        <is>
          <t>Walk-In</t>
        </is>
      </c>
      <c r="D462" t="n">
        <v>2</v>
      </c>
      <c r="E462" t="inlineStr">
        <is>
          <t>Shortness of Breath</t>
        </is>
      </c>
      <c r="F462" t="inlineStr">
        <is>
          <t>Admitted</t>
        </is>
      </c>
      <c r="G462" t="n">
        <v>28</v>
      </c>
      <c r="H462" t="n">
        <v>1045</v>
      </c>
    </row>
    <row r="463">
      <c r="A463" t="inlineStr">
        <is>
          <t>ED211840</t>
        </is>
      </c>
      <c r="B463" s="33" t="n">
        <v>45999.51597222222</v>
      </c>
      <c r="C463" t="inlineStr">
        <is>
          <t>Walk-In</t>
        </is>
      </c>
      <c r="D463" t="n">
        <v>3</v>
      </c>
      <c r="E463" t="inlineStr">
        <is>
          <t>Skin Redness / Swelling</t>
        </is>
      </c>
      <c r="F463" t="inlineStr">
        <is>
          <t>Admitted</t>
        </is>
      </c>
      <c r="G463" t="n">
        <v>53</v>
      </c>
      <c r="H463" t="n">
        <v>555</v>
      </c>
    </row>
    <row r="464">
      <c r="A464" t="inlineStr">
        <is>
          <t>ED211841</t>
        </is>
      </c>
      <c r="B464" s="33" t="n">
        <v>45999.53125</v>
      </c>
      <c r="C464" t="inlineStr">
        <is>
          <t>Walk-In</t>
        </is>
      </c>
      <c r="D464" t="n">
        <v>4</v>
      </c>
      <c r="E464" t="inlineStr">
        <is>
          <t>Cough / Fever</t>
        </is>
      </c>
      <c r="F464" t="inlineStr">
        <is>
          <t>Discharged</t>
        </is>
      </c>
      <c r="G464" t="n">
        <v>90</v>
      </c>
      <c r="H464" t="n">
        <v>220</v>
      </c>
    </row>
    <row r="465">
      <c r="A465" t="inlineStr">
        <is>
          <t>ED211842</t>
        </is>
      </c>
      <c r="B465" s="33" t="n">
        <v>45999.54097222222</v>
      </c>
      <c r="C465" t="inlineStr">
        <is>
          <t>Walk-In</t>
        </is>
      </c>
      <c r="D465" t="n">
        <v>3</v>
      </c>
      <c r="E465" t="inlineStr">
        <is>
          <t>Cough / Fever</t>
        </is>
      </c>
      <c r="F465" t="inlineStr">
        <is>
          <t>Admitted</t>
        </is>
      </c>
      <c r="G465" t="n">
        <v>74</v>
      </c>
      <c r="H465" t="n">
        <v>556</v>
      </c>
    </row>
    <row r="466">
      <c r="A466" t="inlineStr">
        <is>
          <t>ED211843</t>
        </is>
      </c>
      <c r="B466" s="33" t="n">
        <v>45999.55277777778</v>
      </c>
      <c r="C466" t="inlineStr">
        <is>
          <t>Ambulance</t>
        </is>
      </c>
      <c r="D466" t="n">
        <v>2</v>
      </c>
      <c r="E466" t="inlineStr">
        <is>
          <t>Seizure</t>
        </is>
      </c>
      <c r="F466" t="inlineStr">
        <is>
          <t>Discharged</t>
        </is>
      </c>
      <c r="G466" t="n">
        <v>27</v>
      </c>
      <c r="H466" t="n">
        <v>180</v>
      </c>
    </row>
    <row r="467">
      <c r="A467" t="inlineStr">
        <is>
          <t>ED211844</t>
        </is>
      </c>
      <c r="B467" s="33" t="n">
        <v>45999.56041666667</v>
      </c>
      <c r="C467" t="inlineStr">
        <is>
          <t>Ambulance</t>
        </is>
      </c>
      <c r="D467" t="n">
        <v>2</v>
      </c>
      <c r="E467" t="inlineStr">
        <is>
          <t>Chest Pain</t>
        </is>
      </c>
      <c r="F467" t="inlineStr">
        <is>
          <t>Observation</t>
        </is>
      </c>
      <c r="G467" t="n">
        <v>22</v>
      </c>
      <c r="H467" t="n">
        <v>258</v>
      </c>
    </row>
    <row r="468">
      <c r="A468" t="inlineStr">
        <is>
          <t>ED211845</t>
        </is>
      </c>
      <c r="B468" s="33" t="n">
        <v>45999.58819444444</v>
      </c>
      <c r="C468" t="inlineStr">
        <is>
          <t>Walk-In</t>
        </is>
      </c>
      <c r="D468" t="n">
        <v>5</v>
      </c>
      <c r="E468" t="inlineStr">
        <is>
          <t>Ear Pain / Fever</t>
        </is>
      </c>
      <c r="F468" t="inlineStr">
        <is>
          <t>Discharged</t>
        </is>
      </c>
      <c r="G468" t="n">
        <v>68</v>
      </c>
      <c r="H468" t="n">
        <v>126</v>
      </c>
    </row>
    <row r="469">
      <c r="A469" t="inlineStr">
        <is>
          <t>ED211847</t>
        </is>
      </c>
      <c r="B469" s="33" t="n">
        <v>45999.60138888889</v>
      </c>
      <c r="C469" t="inlineStr">
        <is>
          <t>Walk-In</t>
        </is>
      </c>
      <c r="D469" t="n">
        <v>3</v>
      </c>
      <c r="E469" t="inlineStr">
        <is>
          <t>Rash</t>
        </is>
      </c>
      <c r="F469" t="inlineStr">
        <is>
          <t>Discharged</t>
        </is>
      </c>
      <c r="G469" t="n">
        <v>87</v>
      </c>
      <c r="H469" t="n">
        <v>261</v>
      </c>
    </row>
    <row r="470">
      <c r="A470" t="inlineStr">
        <is>
          <t>ED211848</t>
        </is>
      </c>
      <c r="B470" s="33" t="n">
        <v>45999.60694444444</v>
      </c>
      <c r="C470" t="inlineStr">
        <is>
          <t>Walk-In</t>
        </is>
      </c>
      <c r="D470" t="n">
        <v>3</v>
      </c>
      <c r="E470" t="inlineStr">
        <is>
          <t>Cough / Trouble Breathing</t>
        </is>
      </c>
      <c r="F470" t="inlineStr">
        <is>
          <t>Discharged</t>
        </is>
      </c>
      <c r="G470" t="n">
        <v>45</v>
      </c>
      <c r="H470" t="n">
        <v>276</v>
      </c>
    </row>
    <row r="471">
      <c r="A471" t="inlineStr">
        <is>
          <t>ED211850</t>
        </is>
      </c>
      <c r="B471" s="33" t="n">
        <v>45999.61388888889</v>
      </c>
      <c r="C471" t="inlineStr">
        <is>
          <t>Walk-In</t>
        </is>
      </c>
      <c r="D471" t="n">
        <v>3</v>
      </c>
      <c r="E471" t="inlineStr">
        <is>
          <t>Chest Pain</t>
        </is>
      </c>
      <c r="F471" t="inlineStr">
        <is>
          <t>Discharged</t>
        </is>
      </c>
      <c r="G471" t="n">
        <v>102</v>
      </c>
      <c r="H471" t="n">
        <v>311</v>
      </c>
    </row>
    <row r="472">
      <c r="A472" t="inlineStr">
        <is>
          <t>ED211851</t>
        </is>
      </c>
      <c r="B472" s="33" t="n">
        <v>45999.68055555555</v>
      </c>
      <c r="C472" t="inlineStr">
        <is>
          <t>Walk-In</t>
        </is>
      </c>
      <c r="D472" t="n">
        <v>4</v>
      </c>
      <c r="E472" t="inlineStr">
        <is>
          <t>Anxiety / Palpitations</t>
        </is>
      </c>
      <c r="F472" t="inlineStr">
        <is>
          <t>Discharged</t>
        </is>
      </c>
      <c r="G472" t="n">
        <v>87</v>
      </c>
      <c r="H472" t="n">
        <v>222</v>
      </c>
    </row>
    <row r="473">
      <c r="A473" t="inlineStr">
        <is>
          <t>ED211852</t>
        </is>
      </c>
      <c r="B473" s="33" t="n">
        <v>45999.72291666667</v>
      </c>
      <c r="C473" t="inlineStr">
        <is>
          <t>Ambulance</t>
        </is>
      </c>
      <c r="D473" t="n">
        <v>2</v>
      </c>
      <c r="E473" t="inlineStr">
        <is>
          <t>Chest Pain</t>
        </is>
      </c>
      <c r="F473" t="inlineStr">
        <is>
          <t>Observation</t>
        </is>
      </c>
      <c r="G473" t="n">
        <v>32</v>
      </c>
      <c r="H473" t="n">
        <v>421</v>
      </c>
    </row>
    <row r="474">
      <c r="A474" t="inlineStr">
        <is>
          <t>ED211853</t>
        </is>
      </c>
      <c r="B474" s="33" t="n">
        <v>45999.80069444444</v>
      </c>
      <c r="C474" t="inlineStr">
        <is>
          <t>Walk-In</t>
        </is>
      </c>
      <c r="D474" t="n">
        <v>4</v>
      </c>
      <c r="E474" t="inlineStr">
        <is>
          <t>Vomiting / Dizziness</t>
        </is>
      </c>
      <c r="F474" t="inlineStr">
        <is>
          <t>Discharged</t>
        </is>
      </c>
      <c r="G474" t="n">
        <v>55</v>
      </c>
      <c r="H474" t="n">
        <v>132</v>
      </c>
    </row>
    <row r="475">
      <c r="A475" t="inlineStr">
        <is>
          <t>ED211854</t>
        </is>
      </c>
      <c r="B475" s="33" t="n">
        <v>45999.82708333333</v>
      </c>
      <c r="C475" t="inlineStr">
        <is>
          <t>Walk-In</t>
        </is>
      </c>
      <c r="D475" t="n">
        <v>3</v>
      </c>
      <c r="E475" t="inlineStr">
        <is>
          <t>Painful Urination / Fever</t>
        </is>
      </c>
      <c r="F475" t="inlineStr">
        <is>
          <t>Discharged</t>
        </is>
      </c>
      <c r="G475" t="n">
        <v>62</v>
      </c>
      <c r="H475" t="n">
        <v>212</v>
      </c>
    </row>
    <row r="476">
      <c r="A476" t="inlineStr">
        <is>
          <t>ED211855</t>
        </is>
      </c>
      <c r="B476" s="33" t="n">
        <v>45999.84583333333</v>
      </c>
      <c r="C476" t="inlineStr">
        <is>
          <t>Walk-In</t>
        </is>
      </c>
      <c r="D476" t="n">
        <v>2</v>
      </c>
      <c r="E476" t="inlineStr">
        <is>
          <t>Shortness of Breath</t>
        </is>
      </c>
      <c r="F476" t="inlineStr">
        <is>
          <t>Admitted</t>
        </is>
      </c>
      <c r="G476" t="n">
        <v>10</v>
      </c>
      <c r="H476" t="n">
        <v>405</v>
      </c>
    </row>
    <row r="477">
      <c r="A477" t="inlineStr">
        <is>
          <t>ED211857</t>
        </is>
      </c>
      <c r="B477" s="33" t="n">
        <v>45999.88263888889</v>
      </c>
      <c r="C477" t="inlineStr">
        <is>
          <t>Walk-In</t>
        </is>
      </c>
      <c r="D477" t="n">
        <v>2</v>
      </c>
      <c r="E477" t="inlineStr">
        <is>
          <t>Depression / Suicidal Thoughts</t>
        </is>
      </c>
      <c r="F477" t="inlineStr">
        <is>
          <t>Discharged</t>
        </is>
      </c>
      <c r="G477" t="n">
        <v>13</v>
      </c>
      <c r="H477" t="n">
        <v>191</v>
      </c>
    </row>
    <row r="478">
      <c r="A478" t="inlineStr">
        <is>
          <t>ED211859</t>
        </is>
      </c>
      <c r="B478" s="33" t="n">
        <v>45999.99722222222</v>
      </c>
      <c r="C478" t="inlineStr">
        <is>
          <t>Walk-In</t>
        </is>
      </c>
      <c r="D478" t="n">
        <v>4</v>
      </c>
      <c r="E478" t="inlineStr">
        <is>
          <t>Ear Pain / Fever</t>
        </is>
      </c>
      <c r="F478" t="inlineStr">
        <is>
          <t>Discharged</t>
        </is>
      </c>
      <c r="G478" t="n">
        <v>73</v>
      </c>
      <c r="H478" t="n">
        <v>187</v>
      </c>
    </row>
    <row r="479">
      <c r="A479" t="inlineStr">
        <is>
          <t>ED211861</t>
        </is>
      </c>
      <c r="B479" s="33" t="n">
        <v>46000.12013888889</v>
      </c>
      <c r="C479" t="inlineStr">
        <is>
          <t>Ambulance</t>
        </is>
      </c>
      <c r="D479" t="n">
        <v>2</v>
      </c>
      <c r="E479" t="inlineStr">
        <is>
          <t>Cough / Fever</t>
        </is>
      </c>
      <c r="F479" t="inlineStr">
        <is>
          <t>Discharged</t>
        </is>
      </c>
      <c r="G479" t="n">
        <v>6</v>
      </c>
      <c r="H479" t="n">
        <v>212</v>
      </c>
    </row>
    <row r="480">
      <c r="A480" t="inlineStr">
        <is>
          <t>ED211862</t>
        </is>
      </c>
      <c r="B480" s="33" t="n">
        <v>46000.2125</v>
      </c>
      <c r="C480" t="inlineStr">
        <is>
          <t>Walk-In</t>
        </is>
      </c>
      <c r="D480" t="n">
        <v>3</v>
      </c>
      <c r="E480" t="inlineStr">
        <is>
          <t>Cough / Fever</t>
        </is>
      </c>
      <c r="F480" t="inlineStr">
        <is>
          <t>Observation</t>
        </is>
      </c>
      <c r="G480" t="n">
        <v>22</v>
      </c>
      <c r="H480" t="n">
        <v>442</v>
      </c>
    </row>
    <row r="481">
      <c r="A481" t="inlineStr">
        <is>
          <t>ED211863</t>
        </is>
      </c>
      <c r="B481" s="33" t="n">
        <v>46000.36597222222</v>
      </c>
      <c r="C481" t="inlineStr">
        <is>
          <t>Walk-In</t>
        </is>
      </c>
      <c r="D481" t="n">
        <v>2</v>
      </c>
      <c r="E481" t="inlineStr">
        <is>
          <t>Nausea</t>
        </is>
      </c>
      <c r="F481" t="inlineStr">
        <is>
          <t>Admitted</t>
        </is>
      </c>
      <c r="G481" t="n">
        <v>13</v>
      </c>
      <c r="H481" t="n">
        <v>228</v>
      </c>
    </row>
    <row r="482">
      <c r="A482" t="inlineStr">
        <is>
          <t>ED211865</t>
        </is>
      </c>
      <c r="B482" s="33" t="n">
        <v>46000.39861111111</v>
      </c>
      <c r="C482" t="inlineStr">
        <is>
          <t>Walk-In</t>
        </is>
      </c>
      <c r="D482" t="n">
        <v>4</v>
      </c>
      <c r="E482" t="inlineStr">
        <is>
          <t>Anxiety / Palpitations</t>
        </is>
      </c>
      <c r="F482" t="inlineStr">
        <is>
          <t>Observation</t>
        </is>
      </c>
      <c r="G482" t="n">
        <v>62</v>
      </c>
      <c r="H482" t="n">
        <v>485</v>
      </c>
    </row>
    <row r="483">
      <c r="A483" t="inlineStr">
        <is>
          <t>ED211867</t>
        </is>
      </c>
      <c r="B483" s="33" t="n">
        <v>46000.42708333334</v>
      </c>
      <c r="C483" t="inlineStr">
        <is>
          <t>Ambulance</t>
        </is>
      </c>
      <c r="D483" t="n">
        <v>2</v>
      </c>
      <c r="E483" t="inlineStr">
        <is>
          <t>Shortness of Breath</t>
        </is>
      </c>
      <c r="F483" t="inlineStr">
        <is>
          <t>Discharged</t>
        </is>
      </c>
      <c r="G483" t="n">
        <v>14</v>
      </c>
      <c r="H483" t="n">
        <v>271</v>
      </c>
    </row>
    <row r="484">
      <c r="A484" t="inlineStr">
        <is>
          <t>ED211868</t>
        </is>
      </c>
      <c r="B484" s="33" t="n">
        <v>46000.42847222222</v>
      </c>
      <c r="C484" t="inlineStr">
        <is>
          <t>Walk-In</t>
        </is>
      </c>
      <c r="D484" t="n">
        <v>3</v>
      </c>
      <c r="E484" t="inlineStr">
        <is>
          <t>Vomiting / Dizziness</t>
        </is>
      </c>
      <c r="F484" t="inlineStr">
        <is>
          <t>Discharged</t>
        </is>
      </c>
      <c r="G484" t="n">
        <v>174</v>
      </c>
      <c r="H484" t="n">
        <v>341</v>
      </c>
    </row>
    <row r="485">
      <c r="A485" t="inlineStr">
        <is>
          <t>ED211869</t>
        </is>
      </c>
      <c r="B485" s="33" t="n">
        <v>46000.45138888889</v>
      </c>
      <c r="C485" t="inlineStr">
        <is>
          <t>Walk-In</t>
        </is>
      </c>
      <c r="D485" t="n">
        <v>3</v>
      </c>
      <c r="E485" t="inlineStr">
        <is>
          <t>Painful Urination / Fever</t>
        </is>
      </c>
      <c r="F485" t="inlineStr">
        <is>
          <t>Discharged</t>
        </is>
      </c>
      <c r="G485" t="n">
        <v>77</v>
      </c>
      <c r="H485" t="n">
        <v>203</v>
      </c>
    </row>
    <row r="486">
      <c r="A486" t="inlineStr">
        <is>
          <t>ED211870</t>
        </is>
      </c>
      <c r="B486" s="33" t="n">
        <v>46000.45277777778</v>
      </c>
      <c r="C486" t="inlineStr">
        <is>
          <t>Walk-In</t>
        </is>
      </c>
      <c r="D486" t="n">
        <v>2</v>
      </c>
      <c r="E486" t="inlineStr">
        <is>
          <t>Fever / Altered Mental Status</t>
        </is>
      </c>
      <c r="F486" t="inlineStr">
        <is>
          <t>Admitted</t>
        </is>
      </c>
      <c r="G486" t="n">
        <v>20</v>
      </c>
      <c r="H486" t="n">
        <v>318</v>
      </c>
    </row>
    <row r="487">
      <c r="A487" t="inlineStr">
        <is>
          <t>ED211871</t>
        </is>
      </c>
      <c r="B487" s="33" t="n">
        <v>46000.45347222222</v>
      </c>
      <c r="C487" t="inlineStr">
        <is>
          <t>Ambulance</t>
        </is>
      </c>
      <c r="D487" t="n">
        <v>3</v>
      </c>
      <c r="E487" t="inlineStr">
        <is>
          <t>Labor</t>
        </is>
      </c>
      <c r="F487" t="inlineStr">
        <is>
          <t>Admitted</t>
        </is>
      </c>
      <c r="G487" t="n">
        <v>59</v>
      </c>
      <c r="H487" t="n">
        <v>497</v>
      </c>
    </row>
    <row r="488">
      <c r="A488" t="inlineStr">
        <is>
          <t>ED211872</t>
        </is>
      </c>
      <c r="B488" s="33" t="n">
        <v>46000.48402777778</v>
      </c>
      <c r="C488" t="inlineStr">
        <is>
          <t>Walk-In</t>
        </is>
      </c>
      <c r="D488" t="n">
        <v>3</v>
      </c>
      <c r="E488" t="inlineStr">
        <is>
          <t>Shortness of Breath</t>
        </is>
      </c>
      <c r="F488" t="inlineStr">
        <is>
          <t>Discharged</t>
        </is>
      </c>
      <c r="G488" t="n">
        <v>123</v>
      </c>
      <c r="H488" t="n">
        <v>331</v>
      </c>
    </row>
    <row r="489">
      <c r="A489" t="inlineStr">
        <is>
          <t>ED211873</t>
        </is>
      </c>
      <c r="B489" s="33" t="n">
        <v>46000.53263888889</v>
      </c>
      <c r="C489" t="inlineStr">
        <is>
          <t>Walk-In</t>
        </is>
      </c>
      <c r="D489" t="n">
        <v>4</v>
      </c>
      <c r="E489" t="inlineStr">
        <is>
          <t>Headache</t>
        </is>
      </c>
      <c r="F489" t="inlineStr">
        <is>
          <t>Discharged</t>
        </is>
      </c>
      <c r="G489" t="n">
        <v>95</v>
      </c>
      <c r="H489" t="n">
        <v>161</v>
      </c>
    </row>
    <row r="490">
      <c r="A490" t="inlineStr">
        <is>
          <t>ED211875</t>
        </is>
      </c>
      <c r="B490" s="33" t="n">
        <v>46000.62152777778</v>
      </c>
      <c r="C490" t="inlineStr">
        <is>
          <t>Walk-In</t>
        </is>
      </c>
      <c r="D490" t="n">
        <v>4</v>
      </c>
      <c r="E490" t="inlineStr">
        <is>
          <t>Vomiting / Dizziness</t>
        </is>
      </c>
      <c r="F490" t="inlineStr">
        <is>
          <t>Admitted</t>
        </is>
      </c>
      <c r="G490" t="n">
        <v>43</v>
      </c>
      <c r="H490" t="n">
        <v>452</v>
      </c>
    </row>
    <row r="491">
      <c r="A491" t="inlineStr">
        <is>
          <t>ED211876</t>
        </is>
      </c>
      <c r="B491" s="33" t="n">
        <v>46000.65069444444</v>
      </c>
      <c r="C491" t="inlineStr">
        <is>
          <t>Walk-In</t>
        </is>
      </c>
      <c r="D491" t="n">
        <v>3</v>
      </c>
      <c r="E491" t="inlineStr">
        <is>
          <t>Cough / Trouble Breathing</t>
        </is>
      </c>
      <c r="F491" t="inlineStr">
        <is>
          <t>Discharged</t>
        </is>
      </c>
      <c r="G491" t="n">
        <v>23</v>
      </c>
      <c r="H491" t="n">
        <v>237</v>
      </c>
    </row>
    <row r="492">
      <c r="A492" t="inlineStr">
        <is>
          <t>ED211877</t>
        </is>
      </c>
      <c r="B492" s="33" t="n">
        <v>46000.67916666667</v>
      </c>
      <c r="C492" t="inlineStr">
        <is>
          <t>Ambulance</t>
        </is>
      </c>
      <c r="D492" t="n">
        <v>2</v>
      </c>
      <c r="E492" t="inlineStr">
        <is>
          <t>Fever / Altered Mental Status</t>
        </is>
      </c>
      <c r="F492" t="inlineStr">
        <is>
          <t>Admitted</t>
        </is>
      </c>
      <c r="G492" t="n">
        <v>19</v>
      </c>
      <c r="H492" t="n">
        <v>625</v>
      </c>
    </row>
    <row r="493">
      <c r="A493" t="inlineStr">
        <is>
          <t>ED211879</t>
        </is>
      </c>
      <c r="B493" s="33" t="n">
        <v>46000.70208333333</v>
      </c>
      <c r="C493" t="inlineStr">
        <is>
          <t>Walk-In</t>
        </is>
      </c>
      <c r="D493" t="n">
        <v>4</v>
      </c>
      <c r="E493" t="inlineStr">
        <is>
          <t>Abdominal Pain</t>
        </is>
      </c>
      <c r="F493" t="inlineStr">
        <is>
          <t>Discharged</t>
        </is>
      </c>
      <c r="G493" t="n">
        <v>88</v>
      </c>
      <c r="H493" t="n">
        <v>181</v>
      </c>
    </row>
    <row r="494">
      <c r="A494" t="inlineStr">
        <is>
          <t>ED211880</t>
        </is>
      </c>
      <c r="B494" s="33" t="n">
        <v>46000.72013888889</v>
      </c>
      <c r="C494" t="inlineStr">
        <is>
          <t>Ambulance</t>
        </is>
      </c>
      <c r="D494" t="n">
        <v>2</v>
      </c>
      <c r="E494" t="inlineStr">
        <is>
          <t>Confusion</t>
        </is>
      </c>
      <c r="F494" t="inlineStr">
        <is>
          <t>Admitted</t>
        </is>
      </c>
      <c r="G494" t="n">
        <v>14</v>
      </c>
      <c r="H494" t="n">
        <v>323</v>
      </c>
    </row>
    <row r="495">
      <c r="A495" t="inlineStr">
        <is>
          <t>ED211881</t>
        </is>
      </c>
      <c r="B495" s="33" t="n">
        <v>46000.72638888889</v>
      </c>
      <c r="C495" t="inlineStr">
        <is>
          <t>Ambulance</t>
        </is>
      </c>
      <c r="D495" t="n">
        <v>4</v>
      </c>
      <c r="E495" t="inlineStr">
        <is>
          <t>Skin Redness / Swelling</t>
        </is>
      </c>
      <c r="F495" t="inlineStr">
        <is>
          <t>Discharged</t>
        </is>
      </c>
      <c r="G495" t="n">
        <v>160</v>
      </c>
      <c r="H495" t="n">
        <v>235</v>
      </c>
    </row>
    <row r="496">
      <c r="A496" t="inlineStr">
        <is>
          <t>ED211882</t>
        </is>
      </c>
      <c r="B496" s="33" t="n">
        <v>46000.74930555555</v>
      </c>
      <c r="C496" t="inlineStr">
        <is>
          <t>Walk-In</t>
        </is>
      </c>
      <c r="D496" t="n">
        <v>3</v>
      </c>
      <c r="E496" t="inlineStr">
        <is>
          <t>Abdominal Pain</t>
        </is>
      </c>
      <c r="F496" t="inlineStr">
        <is>
          <t>Discharged</t>
        </is>
      </c>
      <c r="G496" t="n">
        <v>11</v>
      </c>
      <c r="H496" t="n">
        <v>174</v>
      </c>
    </row>
    <row r="497">
      <c r="A497" t="inlineStr">
        <is>
          <t>ED211884</t>
        </is>
      </c>
      <c r="B497" s="33" t="n">
        <v>46000.96041666667</v>
      </c>
      <c r="C497" t="inlineStr">
        <is>
          <t>Walk-In</t>
        </is>
      </c>
      <c r="D497" t="n">
        <v>3</v>
      </c>
      <c r="E497" t="inlineStr">
        <is>
          <t>Labor</t>
        </is>
      </c>
      <c r="F497" t="inlineStr">
        <is>
          <t>Admitted</t>
        </is>
      </c>
      <c r="G497" t="n">
        <v>10</v>
      </c>
      <c r="H497" t="n">
        <v>360</v>
      </c>
    </row>
    <row r="498">
      <c r="A498" t="inlineStr">
        <is>
          <t>ED211885</t>
        </is>
      </c>
      <c r="B498" s="33" t="n">
        <v>46001.17777777778</v>
      </c>
      <c r="C498" t="inlineStr">
        <is>
          <t>Walk-In</t>
        </is>
      </c>
      <c r="D498" t="n">
        <v>3</v>
      </c>
      <c r="E498" t="inlineStr">
        <is>
          <t>Psychiatric Evaluation</t>
        </is>
      </c>
      <c r="F498" t="inlineStr">
        <is>
          <t>Admitted</t>
        </is>
      </c>
      <c r="G498" t="n">
        <v>40</v>
      </c>
      <c r="H498" t="n">
        <v>314</v>
      </c>
    </row>
    <row r="499">
      <c r="A499" t="inlineStr">
        <is>
          <t>ED211889</t>
        </is>
      </c>
      <c r="B499" s="33" t="n">
        <v>46001.50972222222</v>
      </c>
      <c r="C499" t="inlineStr">
        <is>
          <t>Walk-In</t>
        </is>
      </c>
      <c r="D499" t="n">
        <v>4</v>
      </c>
      <c r="E499" t="inlineStr">
        <is>
          <t>Cough / Fever</t>
        </is>
      </c>
      <c r="F499" t="inlineStr">
        <is>
          <t>LWBS</t>
        </is>
      </c>
      <c r="H499" t="n">
        <v>110</v>
      </c>
    </row>
    <row r="500">
      <c r="A500" t="inlineStr">
        <is>
          <t>ED211890</t>
        </is>
      </c>
      <c r="B500" s="33" t="n">
        <v>46001.5625</v>
      </c>
      <c r="C500" t="inlineStr">
        <is>
          <t>Walk-In</t>
        </is>
      </c>
      <c r="D500" t="n">
        <v>4</v>
      </c>
      <c r="E500" t="inlineStr">
        <is>
          <t>Cough / Fever</t>
        </is>
      </c>
      <c r="F500" t="inlineStr">
        <is>
          <t>Discharged</t>
        </is>
      </c>
      <c r="G500" t="n">
        <v>28</v>
      </c>
      <c r="H500" t="n">
        <v>110</v>
      </c>
    </row>
    <row r="501">
      <c r="A501" t="inlineStr">
        <is>
          <t>ED211892</t>
        </is>
      </c>
      <c r="B501" s="33" t="n">
        <v>46001.60763888889</v>
      </c>
      <c r="C501" t="inlineStr">
        <is>
          <t>Walk-In</t>
        </is>
      </c>
      <c r="D501" t="n">
        <v>3</v>
      </c>
      <c r="E501" t="inlineStr">
        <is>
          <t>Vomiting / Dizziness</t>
        </is>
      </c>
      <c r="F501" t="inlineStr">
        <is>
          <t>Admitted</t>
        </is>
      </c>
      <c r="G501" t="n">
        <v>95</v>
      </c>
      <c r="H501" t="n">
        <v>359</v>
      </c>
    </row>
    <row r="502">
      <c r="A502" t="inlineStr">
        <is>
          <t>ED211895</t>
        </is>
      </c>
      <c r="B502" s="33" t="n">
        <v>46001.66319444445</v>
      </c>
      <c r="C502" t="inlineStr">
        <is>
          <t>Walk-In</t>
        </is>
      </c>
      <c r="D502" t="n">
        <v>4</v>
      </c>
      <c r="E502" t="inlineStr">
        <is>
          <t>Anxiety / Palpitations</t>
        </is>
      </c>
      <c r="F502" t="inlineStr">
        <is>
          <t>Discharged</t>
        </is>
      </c>
      <c r="G502" t="n">
        <v>97</v>
      </c>
      <c r="H502" t="n">
        <v>213</v>
      </c>
    </row>
    <row r="503">
      <c r="A503" t="inlineStr">
        <is>
          <t>ED211896</t>
        </is>
      </c>
      <c r="B503" s="33" t="n">
        <v>46001.66736111111</v>
      </c>
      <c r="C503" t="inlineStr">
        <is>
          <t>Walk-In</t>
        </is>
      </c>
      <c r="D503" t="n">
        <v>3</v>
      </c>
      <c r="E503" t="inlineStr">
        <is>
          <t>Fainting</t>
        </is>
      </c>
      <c r="F503" t="inlineStr">
        <is>
          <t>Discharged</t>
        </is>
      </c>
      <c r="G503" t="n">
        <v>105</v>
      </c>
      <c r="H503" t="n">
        <v>256</v>
      </c>
    </row>
    <row r="504">
      <c r="A504" t="inlineStr">
        <is>
          <t>ED211898</t>
        </is>
      </c>
      <c r="B504" s="33" t="n">
        <v>46001.68402777778</v>
      </c>
      <c r="C504" t="inlineStr">
        <is>
          <t>Walk-In</t>
        </is>
      </c>
      <c r="D504" t="n">
        <v>4</v>
      </c>
      <c r="E504" t="inlineStr">
        <is>
          <t>Headache</t>
        </is>
      </c>
      <c r="F504" t="inlineStr">
        <is>
          <t>Discharged</t>
        </is>
      </c>
      <c r="G504" t="n">
        <v>51</v>
      </c>
      <c r="H504" t="n">
        <v>167</v>
      </c>
    </row>
    <row r="505">
      <c r="A505" t="inlineStr">
        <is>
          <t>ED211899</t>
        </is>
      </c>
      <c r="B505" s="33" t="n">
        <v>46001.7125</v>
      </c>
      <c r="C505" t="inlineStr">
        <is>
          <t>Walk-In</t>
        </is>
      </c>
      <c r="D505" t="n">
        <v>4</v>
      </c>
      <c r="E505" t="inlineStr">
        <is>
          <t>Back Pain</t>
        </is>
      </c>
      <c r="F505" t="inlineStr">
        <is>
          <t>LWBS</t>
        </is>
      </c>
      <c r="H505" t="n">
        <v>85</v>
      </c>
    </row>
    <row r="506">
      <c r="A506" t="inlineStr">
        <is>
          <t>ED211900</t>
        </is>
      </c>
      <c r="B506" s="33" t="n">
        <v>46001.81180555555</v>
      </c>
      <c r="C506" t="inlineStr">
        <is>
          <t>Walk-In</t>
        </is>
      </c>
      <c r="D506" t="n">
        <v>4</v>
      </c>
      <c r="E506" t="inlineStr">
        <is>
          <t>Ankle Injury</t>
        </is>
      </c>
      <c r="F506" t="inlineStr">
        <is>
          <t>Discharged</t>
        </is>
      </c>
      <c r="G506" t="n">
        <v>85</v>
      </c>
      <c r="H506" t="n">
        <v>175</v>
      </c>
    </row>
    <row r="507">
      <c r="A507" t="inlineStr">
        <is>
          <t>ED211902</t>
        </is>
      </c>
      <c r="B507" s="33" t="n">
        <v>46001.82638888889</v>
      </c>
      <c r="C507" t="inlineStr">
        <is>
          <t>Walk-In</t>
        </is>
      </c>
      <c r="D507" t="n">
        <v>3</v>
      </c>
      <c r="E507" t="inlineStr">
        <is>
          <t>Shortness of Breath</t>
        </is>
      </c>
      <c r="F507" t="inlineStr">
        <is>
          <t>Admitted</t>
        </is>
      </c>
      <c r="G507" t="n">
        <v>26</v>
      </c>
      <c r="H507" t="n">
        <v>367</v>
      </c>
    </row>
    <row r="508">
      <c r="A508" t="inlineStr">
        <is>
          <t>ED211903</t>
        </is>
      </c>
      <c r="B508" s="33" t="n">
        <v>46001.83472222222</v>
      </c>
      <c r="C508" t="inlineStr">
        <is>
          <t>Ambulance</t>
        </is>
      </c>
      <c r="D508" t="n">
        <v>1</v>
      </c>
      <c r="E508" t="inlineStr">
        <is>
          <t>Fever / Altered Mental Status</t>
        </is>
      </c>
      <c r="F508" t="inlineStr">
        <is>
          <t>Admitted</t>
        </is>
      </c>
      <c r="G508" t="n">
        <v>4</v>
      </c>
      <c r="H508" t="n">
        <v>250</v>
      </c>
    </row>
    <row r="509">
      <c r="A509" t="inlineStr">
        <is>
          <t>ED211904</t>
        </is>
      </c>
      <c r="B509" s="33" t="n">
        <v>46001.93472222222</v>
      </c>
      <c r="C509" t="inlineStr">
        <is>
          <t>Walk-In</t>
        </is>
      </c>
      <c r="D509" t="n">
        <v>4</v>
      </c>
      <c r="E509" t="inlineStr">
        <is>
          <t>Cough / Fever</t>
        </is>
      </c>
      <c r="F509" t="inlineStr">
        <is>
          <t>Left AMA</t>
        </is>
      </c>
      <c r="G509" t="n">
        <v>34</v>
      </c>
      <c r="H509" t="n">
        <v>104</v>
      </c>
    </row>
    <row r="510">
      <c r="A510" t="inlineStr">
        <is>
          <t>ED211906</t>
        </is>
      </c>
      <c r="B510" s="33" t="n">
        <v>46002.38333333333</v>
      </c>
      <c r="C510" t="inlineStr">
        <is>
          <t>Ambulance</t>
        </is>
      </c>
      <c r="D510" t="n">
        <v>1</v>
      </c>
      <c r="E510" t="inlineStr">
        <is>
          <t>Shortness of Breath</t>
        </is>
      </c>
      <c r="F510" t="inlineStr">
        <is>
          <t>Admitted</t>
        </is>
      </c>
      <c r="G510" t="n">
        <v>5</v>
      </c>
      <c r="H510" t="n">
        <v>141</v>
      </c>
    </row>
    <row r="511">
      <c r="A511" t="inlineStr">
        <is>
          <t>ED211907</t>
        </is>
      </c>
      <c r="B511" s="33" t="n">
        <v>46002.39027777778</v>
      </c>
      <c r="C511" t="inlineStr">
        <is>
          <t>Walk-In</t>
        </is>
      </c>
      <c r="D511" t="n">
        <v>4</v>
      </c>
      <c r="E511" t="inlineStr">
        <is>
          <t>Fainting</t>
        </is>
      </c>
      <c r="F511" t="inlineStr">
        <is>
          <t>Discharged</t>
        </is>
      </c>
      <c r="G511" t="n">
        <v>86</v>
      </c>
      <c r="H511" t="n">
        <v>157</v>
      </c>
    </row>
    <row r="512">
      <c r="A512" t="inlineStr">
        <is>
          <t>ED211910</t>
        </is>
      </c>
      <c r="B512" s="33" t="n">
        <v>46002.4625</v>
      </c>
      <c r="C512" t="inlineStr">
        <is>
          <t>Walk-In</t>
        </is>
      </c>
      <c r="D512" t="n">
        <v>4</v>
      </c>
      <c r="E512" t="inlineStr">
        <is>
          <t>Shortness of Breath</t>
        </is>
      </c>
      <c r="F512" t="inlineStr">
        <is>
          <t>Admitted</t>
        </is>
      </c>
      <c r="G512" t="n">
        <v>133</v>
      </c>
      <c r="H512" t="n">
        <v>304</v>
      </c>
    </row>
    <row r="513">
      <c r="A513" t="inlineStr">
        <is>
          <t>ED211911</t>
        </is>
      </c>
      <c r="B513" s="33" t="n">
        <v>46002.55625</v>
      </c>
      <c r="C513" t="inlineStr">
        <is>
          <t>Walk-In</t>
        </is>
      </c>
      <c r="D513" t="n">
        <v>4</v>
      </c>
      <c r="E513" t="inlineStr">
        <is>
          <t>Painful Urination / Fever</t>
        </is>
      </c>
      <c r="F513" t="inlineStr">
        <is>
          <t>LWBS</t>
        </is>
      </c>
      <c r="H513" t="n">
        <v>109</v>
      </c>
    </row>
    <row r="514">
      <c r="A514" t="inlineStr">
        <is>
          <t>ED211912</t>
        </is>
      </c>
      <c r="B514" s="33" t="n">
        <v>46002.62569444445</v>
      </c>
      <c r="C514" t="inlineStr">
        <is>
          <t>Air Transport</t>
        </is>
      </c>
      <c r="D514" t="n">
        <v>1</v>
      </c>
      <c r="E514" t="inlineStr">
        <is>
          <t>Fever / Altered Mental Status</t>
        </is>
      </c>
      <c r="F514" t="inlineStr">
        <is>
          <t>Admitted</t>
        </is>
      </c>
      <c r="G514" t="n">
        <v>3</v>
      </c>
      <c r="H514" t="n">
        <v>410</v>
      </c>
    </row>
    <row r="515">
      <c r="A515" t="inlineStr">
        <is>
          <t>ED211913</t>
        </is>
      </c>
      <c r="B515" s="33" t="n">
        <v>46002.65069444444</v>
      </c>
      <c r="C515" t="inlineStr">
        <is>
          <t>Walk-In</t>
        </is>
      </c>
      <c r="D515" t="n">
        <v>5</v>
      </c>
      <c r="E515" t="inlineStr">
        <is>
          <t>Ear Pain / Fever</t>
        </is>
      </c>
      <c r="F515" t="inlineStr">
        <is>
          <t>Discharged</t>
        </is>
      </c>
      <c r="G515" t="n">
        <v>56</v>
      </c>
      <c r="H515" t="n">
        <v>101</v>
      </c>
    </row>
    <row r="516">
      <c r="A516" t="inlineStr">
        <is>
          <t>ED211914</t>
        </is>
      </c>
      <c r="B516" s="33" t="n">
        <v>46002.71736111111</v>
      </c>
      <c r="C516" t="inlineStr">
        <is>
          <t>Walk-In</t>
        </is>
      </c>
      <c r="D516" t="n">
        <v>4</v>
      </c>
      <c r="E516" t="inlineStr">
        <is>
          <t>Shortness of Breath</t>
        </is>
      </c>
      <c r="F516" t="inlineStr">
        <is>
          <t>Admitted</t>
        </is>
      </c>
      <c r="G516" t="n">
        <v>56</v>
      </c>
      <c r="H516" t="n">
        <v>301</v>
      </c>
    </row>
    <row r="517">
      <c r="A517" t="inlineStr">
        <is>
          <t>ED211915</t>
        </is>
      </c>
      <c r="B517" s="33" t="n">
        <v>46002.73333333333</v>
      </c>
      <c r="C517" t="inlineStr">
        <is>
          <t>Walk-In</t>
        </is>
      </c>
      <c r="D517" t="n">
        <v>3</v>
      </c>
      <c r="E517" t="inlineStr">
        <is>
          <t>Skin Redness / Swelling</t>
        </is>
      </c>
      <c r="F517" t="inlineStr">
        <is>
          <t>Discharged</t>
        </is>
      </c>
      <c r="G517" t="n">
        <v>18</v>
      </c>
      <c r="H517" t="n">
        <v>212</v>
      </c>
    </row>
    <row r="518">
      <c r="A518" t="inlineStr">
        <is>
          <t>ED211916</t>
        </is>
      </c>
      <c r="B518" s="33" t="n">
        <v>46002.84444444445</v>
      </c>
      <c r="C518" t="inlineStr">
        <is>
          <t>Ambulance</t>
        </is>
      </c>
      <c r="D518" t="n">
        <v>3</v>
      </c>
      <c r="E518" t="inlineStr">
        <is>
          <t>Shortness of Breath</t>
        </is>
      </c>
      <c r="F518" t="inlineStr">
        <is>
          <t>Discharged</t>
        </is>
      </c>
      <c r="G518" t="n">
        <v>95</v>
      </c>
      <c r="H518" t="n">
        <v>275</v>
      </c>
    </row>
    <row r="519">
      <c r="A519" t="inlineStr">
        <is>
          <t>ED211917</t>
        </is>
      </c>
      <c r="B519" s="33" t="n">
        <v>46002.90555555555</v>
      </c>
      <c r="C519" t="inlineStr">
        <is>
          <t>Walk-In</t>
        </is>
      </c>
      <c r="D519" t="n">
        <v>3</v>
      </c>
      <c r="E519" t="inlineStr">
        <is>
          <t>Skin Redness / Swelling</t>
        </is>
      </c>
      <c r="F519" t="inlineStr">
        <is>
          <t>Admitted</t>
        </is>
      </c>
      <c r="G519" t="n">
        <v>17</v>
      </c>
      <c r="H519" t="n">
        <v>319</v>
      </c>
    </row>
    <row r="520">
      <c r="A520" t="inlineStr">
        <is>
          <t>ED211920</t>
        </is>
      </c>
      <c r="B520" s="33" t="n">
        <v>46003.33819444444</v>
      </c>
      <c r="C520" t="inlineStr">
        <is>
          <t>Ambulance</t>
        </is>
      </c>
      <c r="D520" t="n">
        <v>3</v>
      </c>
      <c r="E520" t="inlineStr">
        <is>
          <t>Chest Pain</t>
        </is>
      </c>
      <c r="F520" t="inlineStr">
        <is>
          <t>Discharged</t>
        </is>
      </c>
      <c r="G520" t="n">
        <v>74</v>
      </c>
      <c r="H520" t="n">
        <v>276</v>
      </c>
    </row>
    <row r="521">
      <c r="A521" t="inlineStr">
        <is>
          <t>ED211921</t>
        </is>
      </c>
      <c r="B521" s="33" t="n">
        <v>46003.46319444444</v>
      </c>
      <c r="C521" t="inlineStr">
        <is>
          <t>Walk-In</t>
        </is>
      </c>
      <c r="D521" t="n">
        <v>3</v>
      </c>
      <c r="E521" t="inlineStr">
        <is>
          <t>Abdominal Pain</t>
        </is>
      </c>
      <c r="F521" t="inlineStr">
        <is>
          <t>Discharged</t>
        </is>
      </c>
      <c r="G521" t="n">
        <v>14</v>
      </c>
      <c r="H521" t="n">
        <v>121</v>
      </c>
    </row>
    <row r="522">
      <c r="A522" t="inlineStr">
        <is>
          <t>ED211923</t>
        </is>
      </c>
      <c r="B522" s="33" t="n">
        <v>46003.52569444444</v>
      </c>
      <c r="C522" t="inlineStr">
        <is>
          <t>Walk-In</t>
        </is>
      </c>
      <c r="D522" t="n">
        <v>4</v>
      </c>
      <c r="E522" t="inlineStr">
        <is>
          <t>Cough / Fever</t>
        </is>
      </c>
      <c r="F522" t="inlineStr">
        <is>
          <t>Discharged</t>
        </is>
      </c>
      <c r="G522" t="n">
        <v>79</v>
      </c>
      <c r="H522" t="n">
        <v>172</v>
      </c>
    </row>
    <row r="523">
      <c r="A523" t="inlineStr">
        <is>
          <t>ED211924</t>
        </is>
      </c>
      <c r="B523" s="33" t="n">
        <v>46003.54652777778</v>
      </c>
      <c r="C523" t="inlineStr">
        <is>
          <t>Walk-In</t>
        </is>
      </c>
      <c r="D523" t="n">
        <v>2</v>
      </c>
      <c r="E523" t="inlineStr">
        <is>
          <t>Cough / Fever</t>
        </is>
      </c>
      <c r="F523" t="inlineStr">
        <is>
          <t>Admitted</t>
        </is>
      </c>
      <c r="G523" t="n">
        <v>9</v>
      </c>
      <c r="H523" t="n">
        <v>316</v>
      </c>
    </row>
    <row r="524">
      <c r="A524" t="inlineStr">
        <is>
          <t>ED211925</t>
        </is>
      </c>
      <c r="B524" s="33" t="n">
        <v>46003.625</v>
      </c>
      <c r="C524" t="inlineStr">
        <is>
          <t>Walk-In</t>
        </is>
      </c>
      <c r="D524" t="n">
        <v>4</v>
      </c>
      <c r="E524" t="inlineStr">
        <is>
          <t>Cough / Fever</t>
        </is>
      </c>
      <c r="F524" t="inlineStr">
        <is>
          <t>Discharged</t>
        </is>
      </c>
      <c r="G524" t="n">
        <v>47</v>
      </c>
      <c r="H524" t="n">
        <v>102</v>
      </c>
    </row>
    <row r="525">
      <c r="A525" t="inlineStr">
        <is>
          <t>ED211926</t>
        </is>
      </c>
      <c r="B525" s="33" t="n">
        <v>46003.62569444445</v>
      </c>
      <c r="C525" t="inlineStr">
        <is>
          <t>Walk-In</t>
        </is>
      </c>
      <c r="D525" t="n">
        <v>2</v>
      </c>
      <c r="E525" t="inlineStr">
        <is>
          <t>Cough / Trouble Breathing</t>
        </is>
      </c>
      <c r="F525" t="inlineStr">
        <is>
          <t>Admitted</t>
        </is>
      </c>
      <c r="G525" t="n">
        <v>28</v>
      </c>
      <c r="H525" t="n">
        <v>430</v>
      </c>
    </row>
    <row r="526">
      <c r="A526" t="inlineStr">
        <is>
          <t>ED211927</t>
        </is>
      </c>
      <c r="B526" s="33" t="n">
        <v>46003.62708333333</v>
      </c>
      <c r="C526" t="inlineStr">
        <is>
          <t>Walk-In</t>
        </is>
      </c>
      <c r="D526" t="n">
        <v>3</v>
      </c>
      <c r="E526" t="inlineStr">
        <is>
          <t>Shortness of Breath</t>
        </is>
      </c>
      <c r="F526" t="inlineStr">
        <is>
          <t>Admitted</t>
        </is>
      </c>
      <c r="G526" t="n">
        <v>41</v>
      </c>
      <c r="H526" t="n">
        <v>322</v>
      </c>
    </row>
    <row r="527">
      <c r="A527" t="inlineStr">
        <is>
          <t>ED211930</t>
        </is>
      </c>
      <c r="B527" s="33" t="n">
        <v>46003.74930555555</v>
      </c>
      <c r="C527" t="inlineStr">
        <is>
          <t>Police</t>
        </is>
      </c>
      <c r="D527" t="n">
        <v>3</v>
      </c>
      <c r="E527" t="inlineStr">
        <is>
          <t>Nausea</t>
        </is>
      </c>
      <c r="F527" t="inlineStr">
        <is>
          <t>Observation</t>
        </is>
      </c>
      <c r="G527" t="n">
        <v>109</v>
      </c>
      <c r="H527" t="n">
        <v>507</v>
      </c>
    </row>
    <row r="528">
      <c r="A528" t="inlineStr">
        <is>
          <t>ED211931</t>
        </is>
      </c>
      <c r="B528" s="33" t="n">
        <v>46003.75902777778</v>
      </c>
      <c r="C528" t="inlineStr">
        <is>
          <t>Walk-In</t>
        </is>
      </c>
      <c r="D528" t="n">
        <v>4</v>
      </c>
      <c r="E528" t="inlineStr">
        <is>
          <t>Ankle Injury</t>
        </is>
      </c>
      <c r="F528" t="inlineStr">
        <is>
          <t>Discharged</t>
        </is>
      </c>
      <c r="G528" t="n">
        <v>95</v>
      </c>
      <c r="H528" t="n">
        <v>176</v>
      </c>
    </row>
    <row r="529">
      <c r="A529" t="inlineStr">
        <is>
          <t>ED211932</t>
        </is>
      </c>
      <c r="B529" s="33" t="n">
        <v>46003.78125</v>
      </c>
      <c r="C529" t="inlineStr">
        <is>
          <t>Walk-In</t>
        </is>
      </c>
      <c r="D529" t="n">
        <v>3</v>
      </c>
      <c r="E529" t="inlineStr">
        <is>
          <t>Cough / Trouble Breathing</t>
        </is>
      </c>
      <c r="F529" t="inlineStr">
        <is>
          <t>Observation</t>
        </is>
      </c>
      <c r="G529" t="n">
        <v>41</v>
      </c>
      <c r="H529" t="n">
        <v>250</v>
      </c>
    </row>
    <row r="530">
      <c r="A530" t="inlineStr">
        <is>
          <t>ED211933</t>
        </is>
      </c>
      <c r="B530" s="33" t="n">
        <v>46003.85138888889</v>
      </c>
      <c r="C530" t="inlineStr">
        <is>
          <t>Walk-In</t>
        </is>
      </c>
      <c r="D530" t="n">
        <v>5</v>
      </c>
      <c r="E530" t="inlineStr">
        <is>
          <t>Back Pain</t>
        </is>
      </c>
      <c r="F530" t="inlineStr">
        <is>
          <t>Discharged</t>
        </is>
      </c>
      <c r="G530" t="n">
        <v>24</v>
      </c>
      <c r="H530" t="n">
        <v>69</v>
      </c>
    </row>
    <row r="531">
      <c r="A531" t="inlineStr">
        <is>
          <t>ED211934</t>
        </is>
      </c>
      <c r="B531" s="33" t="n">
        <v>46003.85694444444</v>
      </c>
      <c r="C531" t="inlineStr">
        <is>
          <t>Ambulance</t>
        </is>
      </c>
      <c r="D531" t="n">
        <v>2</v>
      </c>
      <c r="E531" t="inlineStr">
        <is>
          <t>Chest Pain</t>
        </is>
      </c>
      <c r="F531" t="inlineStr">
        <is>
          <t>Admitted</t>
        </is>
      </c>
      <c r="G531" t="n">
        <v>20</v>
      </c>
      <c r="H531" t="n">
        <v>452</v>
      </c>
    </row>
    <row r="532">
      <c r="A532" t="inlineStr">
        <is>
          <t>ED211935</t>
        </is>
      </c>
      <c r="B532" s="33" t="n">
        <v>46004.17013888889</v>
      </c>
      <c r="C532" t="inlineStr">
        <is>
          <t>Walk-In</t>
        </is>
      </c>
      <c r="D532" t="n">
        <v>5</v>
      </c>
      <c r="E532" t="inlineStr">
        <is>
          <t>Shortness of Breath</t>
        </is>
      </c>
      <c r="F532" t="inlineStr">
        <is>
          <t>Discharged</t>
        </is>
      </c>
      <c r="G532" t="n">
        <v>43</v>
      </c>
      <c r="H532" t="n">
        <v>115</v>
      </c>
    </row>
    <row r="533">
      <c r="A533" t="inlineStr">
        <is>
          <t>ED211936</t>
        </is>
      </c>
      <c r="B533" s="33" t="n">
        <v>46004.20277777778</v>
      </c>
      <c r="C533" t="inlineStr">
        <is>
          <t>Ambulance</t>
        </is>
      </c>
      <c r="D533" t="n">
        <v>2</v>
      </c>
      <c r="E533" t="inlineStr">
        <is>
          <t>Cough / Fever</t>
        </is>
      </c>
      <c r="F533" t="inlineStr">
        <is>
          <t>Discharged</t>
        </is>
      </c>
      <c r="G533" t="n">
        <v>10</v>
      </c>
      <c r="H533" t="n">
        <v>187</v>
      </c>
    </row>
    <row r="534">
      <c r="A534" t="inlineStr">
        <is>
          <t>ED211938</t>
        </is>
      </c>
      <c r="B534" s="33" t="n">
        <v>46004.31875</v>
      </c>
      <c r="C534" t="inlineStr">
        <is>
          <t>Ambulance</t>
        </is>
      </c>
      <c r="D534" t="n">
        <v>2</v>
      </c>
      <c r="E534" t="inlineStr">
        <is>
          <t>Shortness of Breath</t>
        </is>
      </c>
      <c r="F534" t="inlineStr">
        <is>
          <t>Admitted</t>
        </is>
      </c>
      <c r="G534" t="n">
        <v>13</v>
      </c>
      <c r="H534" t="n">
        <v>330</v>
      </c>
    </row>
    <row r="535">
      <c r="A535" t="inlineStr">
        <is>
          <t>ED211939</t>
        </is>
      </c>
      <c r="B535" s="33" t="n">
        <v>46004.41458333333</v>
      </c>
      <c r="C535" t="inlineStr">
        <is>
          <t>Walk-In</t>
        </is>
      </c>
      <c r="D535" t="n">
        <v>5</v>
      </c>
      <c r="E535" t="inlineStr">
        <is>
          <t>Vomiting / Diarrhea</t>
        </is>
      </c>
      <c r="F535" t="inlineStr">
        <is>
          <t>Discharged</t>
        </is>
      </c>
      <c r="G535" t="n">
        <v>39</v>
      </c>
      <c r="H535" t="n">
        <v>119</v>
      </c>
    </row>
    <row r="536">
      <c r="A536" t="inlineStr">
        <is>
          <t>ED211940</t>
        </is>
      </c>
      <c r="B536" s="33" t="n">
        <v>46004.42916666667</v>
      </c>
      <c r="C536" t="inlineStr">
        <is>
          <t>Police</t>
        </is>
      </c>
      <c r="D536" t="n">
        <v>2</v>
      </c>
      <c r="E536" t="inlineStr">
        <is>
          <t>Depression / Suicidal Thoughts</t>
        </is>
      </c>
      <c r="F536" t="inlineStr">
        <is>
          <t>Discharged</t>
        </is>
      </c>
      <c r="G536" t="n">
        <v>19</v>
      </c>
      <c r="H536" t="n">
        <v>272</v>
      </c>
    </row>
    <row r="537">
      <c r="A537" t="inlineStr">
        <is>
          <t>ED211942</t>
        </is>
      </c>
      <c r="B537" s="33" t="n">
        <v>46004.48055555556</v>
      </c>
      <c r="C537" t="inlineStr">
        <is>
          <t>Ambulance</t>
        </is>
      </c>
      <c r="D537" t="n">
        <v>2</v>
      </c>
      <c r="E537" t="inlineStr">
        <is>
          <t>Shortness of Breath</t>
        </is>
      </c>
      <c r="F537" t="inlineStr">
        <is>
          <t>Admitted</t>
        </is>
      </c>
      <c r="G537" t="n">
        <v>12</v>
      </c>
      <c r="H537" t="n">
        <v>294</v>
      </c>
    </row>
    <row r="538">
      <c r="A538" t="inlineStr">
        <is>
          <t>ED211944</t>
        </is>
      </c>
      <c r="B538" s="33" t="n">
        <v>46004.56944444445</v>
      </c>
      <c r="C538" t="inlineStr">
        <is>
          <t>Walk-In</t>
        </is>
      </c>
      <c r="D538" t="n">
        <v>4</v>
      </c>
      <c r="E538" t="inlineStr">
        <is>
          <t>Painful Urination / Fever</t>
        </is>
      </c>
      <c r="F538" t="inlineStr">
        <is>
          <t>Admitted</t>
        </is>
      </c>
      <c r="G538" t="n">
        <v>32</v>
      </c>
      <c r="H538" t="n">
        <v>199</v>
      </c>
    </row>
    <row r="539">
      <c r="A539" t="inlineStr">
        <is>
          <t>ED211947</t>
        </is>
      </c>
      <c r="B539" s="33" t="n">
        <v>46004.72430555556</v>
      </c>
      <c r="C539" t="inlineStr">
        <is>
          <t>Walk-In</t>
        </is>
      </c>
      <c r="D539" t="n">
        <v>5</v>
      </c>
      <c r="E539" t="inlineStr">
        <is>
          <t>Cough / Fever</t>
        </is>
      </c>
      <c r="F539" t="inlineStr">
        <is>
          <t>Discharged</t>
        </is>
      </c>
      <c r="G539" t="n">
        <v>41</v>
      </c>
      <c r="H539" t="n">
        <v>118</v>
      </c>
    </row>
    <row r="540">
      <c r="A540" t="inlineStr">
        <is>
          <t>ED211948</t>
        </is>
      </c>
      <c r="B540" s="33" t="n">
        <v>46004.72916666666</v>
      </c>
      <c r="C540" t="inlineStr">
        <is>
          <t>Walk-In</t>
        </is>
      </c>
      <c r="D540" t="n">
        <v>5</v>
      </c>
      <c r="E540" t="inlineStr">
        <is>
          <t>Laceration</t>
        </is>
      </c>
      <c r="F540" t="inlineStr">
        <is>
          <t>Discharged</t>
        </is>
      </c>
      <c r="G540" t="n">
        <v>74</v>
      </c>
      <c r="H540" t="n">
        <v>140</v>
      </c>
    </row>
    <row r="541">
      <c r="A541" t="inlineStr">
        <is>
          <t>ED211950</t>
        </is>
      </c>
      <c r="B541" s="33" t="n">
        <v>46004.88541666666</v>
      </c>
      <c r="C541" t="inlineStr">
        <is>
          <t>Walk-In</t>
        </is>
      </c>
      <c r="D541" t="n">
        <v>2</v>
      </c>
      <c r="E541" t="inlineStr">
        <is>
          <t>Cough / Fever</t>
        </is>
      </c>
      <c r="F541" t="inlineStr">
        <is>
          <t>Discharged</t>
        </is>
      </c>
      <c r="G541" t="n">
        <v>10</v>
      </c>
      <c r="H541" t="n">
        <v>240</v>
      </c>
    </row>
    <row r="542">
      <c r="A542" t="inlineStr">
        <is>
          <t>ED211951</t>
        </is>
      </c>
      <c r="B542" s="33" t="n">
        <v>46004.90486111111</v>
      </c>
      <c r="C542" t="inlineStr">
        <is>
          <t>Ambulance</t>
        </is>
      </c>
      <c r="D542" t="n">
        <v>2</v>
      </c>
      <c r="E542" t="inlineStr">
        <is>
          <t>Bloody Stool / Vomiting Blood</t>
        </is>
      </c>
      <c r="F542" t="inlineStr">
        <is>
          <t>Admitted</t>
        </is>
      </c>
      <c r="G542" t="n">
        <v>15</v>
      </c>
      <c r="H542" t="n">
        <v>363</v>
      </c>
    </row>
    <row r="543">
      <c r="A543" t="inlineStr">
        <is>
          <t>ED211952</t>
        </is>
      </c>
      <c r="B543" s="33" t="n">
        <v>46004.93402777778</v>
      </c>
      <c r="C543" t="inlineStr">
        <is>
          <t>Ambulance</t>
        </is>
      </c>
      <c r="D543" t="n">
        <v>2</v>
      </c>
      <c r="E543" t="inlineStr">
        <is>
          <t>Cough / Fever</t>
        </is>
      </c>
      <c r="F543" t="inlineStr">
        <is>
          <t>Discharged</t>
        </is>
      </c>
      <c r="G543" t="n">
        <v>14</v>
      </c>
      <c r="H543" t="n">
        <v>231</v>
      </c>
    </row>
    <row r="544">
      <c r="A544" t="inlineStr">
        <is>
          <t>ED211953</t>
        </is>
      </c>
      <c r="B544" s="33" t="n">
        <v>46005.31111111111</v>
      </c>
      <c r="C544" t="inlineStr">
        <is>
          <t>Walk-In</t>
        </is>
      </c>
      <c r="D544" t="n">
        <v>3</v>
      </c>
      <c r="E544" t="inlineStr">
        <is>
          <t>Chest Pain</t>
        </is>
      </c>
      <c r="F544" t="inlineStr">
        <is>
          <t>Discharged</t>
        </is>
      </c>
      <c r="G544" t="n">
        <v>58</v>
      </c>
      <c r="H544" t="n">
        <v>215</v>
      </c>
    </row>
    <row r="545">
      <c r="A545" t="inlineStr">
        <is>
          <t>ED211954</t>
        </is>
      </c>
      <c r="B545" s="33" t="n">
        <v>46005.39375</v>
      </c>
      <c r="C545" t="inlineStr">
        <is>
          <t>Walk-In</t>
        </is>
      </c>
      <c r="D545" t="n">
        <v>3</v>
      </c>
      <c r="E545" t="inlineStr">
        <is>
          <t>Shortness of Breath</t>
        </is>
      </c>
      <c r="F545" t="inlineStr">
        <is>
          <t>Admitted</t>
        </is>
      </c>
      <c r="G545" t="n">
        <v>27</v>
      </c>
      <c r="H545" t="n">
        <v>292</v>
      </c>
    </row>
    <row r="546">
      <c r="A546" t="inlineStr">
        <is>
          <t>ED211955</t>
        </is>
      </c>
      <c r="B546" s="33" t="n">
        <v>46005.40416666667</v>
      </c>
      <c r="C546" t="inlineStr">
        <is>
          <t>Ambulance</t>
        </is>
      </c>
      <c r="D546" t="n">
        <v>2</v>
      </c>
      <c r="E546" t="inlineStr">
        <is>
          <t>Fever / Altered Mental Status</t>
        </is>
      </c>
      <c r="F546" t="inlineStr">
        <is>
          <t>Admitted</t>
        </is>
      </c>
      <c r="G546" t="n">
        <v>17</v>
      </c>
      <c r="H546" t="n">
        <v>459</v>
      </c>
    </row>
    <row r="547">
      <c r="A547" t="inlineStr">
        <is>
          <t>ED211956</t>
        </is>
      </c>
      <c r="B547" s="33" t="n">
        <v>46005.48888888889</v>
      </c>
      <c r="C547" t="inlineStr">
        <is>
          <t>Walk-In</t>
        </is>
      </c>
      <c r="D547" t="n">
        <v>3</v>
      </c>
      <c r="E547" t="inlineStr">
        <is>
          <t>Cough / Trouble Breathing</t>
        </is>
      </c>
      <c r="F547" t="inlineStr">
        <is>
          <t>Discharged</t>
        </is>
      </c>
      <c r="G547" t="n">
        <v>101</v>
      </c>
      <c r="H547" t="n">
        <v>260</v>
      </c>
    </row>
    <row r="548">
      <c r="A548" t="inlineStr">
        <is>
          <t>ED211957</t>
        </is>
      </c>
      <c r="B548" s="33" t="n">
        <v>46005.57222222222</v>
      </c>
      <c r="C548" t="inlineStr">
        <is>
          <t>Ambulance</t>
        </is>
      </c>
      <c r="D548" t="n">
        <v>3</v>
      </c>
      <c r="E548" t="inlineStr">
        <is>
          <t>Shortness of Breath</t>
        </is>
      </c>
      <c r="F548" t="inlineStr">
        <is>
          <t>Discharged</t>
        </is>
      </c>
      <c r="G548" t="n">
        <v>50</v>
      </c>
      <c r="H548" t="n">
        <v>185</v>
      </c>
    </row>
    <row r="549">
      <c r="A549" t="inlineStr">
        <is>
          <t>ED211959</t>
        </is>
      </c>
      <c r="B549" s="33" t="n">
        <v>46005.65208333333</v>
      </c>
      <c r="C549" t="inlineStr">
        <is>
          <t>Ambulance</t>
        </is>
      </c>
      <c r="D549" t="n">
        <v>2</v>
      </c>
      <c r="E549" t="inlineStr">
        <is>
          <t>Fainting</t>
        </is>
      </c>
      <c r="F549" t="inlineStr">
        <is>
          <t>Discharged</t>
        </is>
      </c>
      <c r="G549" t="n">
        <v>10</v>
      </c>
      <c r="H549" t="n">
        <v>280</v>
      </c>
    </row>
    <row r="550">
      <c r="A550" t="inlineStr">
        <is>
          <t>ED211961</t>
        </is>
      </c>
      <c r="B550" s="33" t="n">
        <v>46005.79166666666</v>
      </c>
      <c r="C550" t="inlineStr">
        <is>
          <t>Walk-In</t>
        </is>
      </c>
      <c r="D550" t="n">
        <v>4</v>
      </c>
      <c r="E550" t="inlineStr">
        <is>
          <t>Headache</t>
        </is>
      </c>
      <c r="F550" t="inlineStr">
        <is>
          <t>Discharged</t>
        </is>
      </c>
      <c r="G550" t="n">
        <v>94</v>
      </c>
      <c r="H550" t="n">
        <v>153</v>
      </c>
    </row>
    <row r="551">
      <c r="A551" t="inlineStr">
        <is>
          <t>ED211962</t>
        </is>
      </c>
      <c r="B551" s="33" t="n">
        <v>46005.84791666667</v>
      </c>
      <c r="C551" t="inlineStr">
        <is>
          <t>Walk-In</t>
        </is>
      </c>
      <c r="D551" t="n">
        <v>4</v>
      </c>
      <c r="E551" t="inlineStr">
        <is>
          <t>Chest Pain</t>
        </is>
      </c>
      <c r="F551" t="inlineStr">
        <is>
          <t>Discharged</t>
        </is>
      </c>
      <c r="G551" t="n">
        <v>64</v>
      </c>
      <c r="H551" t="n">
        <v>131</v>
      </c>
    </row>
    <row r="552">
      <c r="A552" t="inlineStr">
        <is>
          <t>ED211963</t>
        </is>
      </c>
      <c r="B552" s="33" t="n">
        <v>46005.87083333333</v>
      </c>
      <c r="C552" t="inlineStr">
        <is>
          <t>Ambulance</t>
        </is>
      </c>
      <c r="D552" t="n">
        <v>1</v>
      </c>
      <c r="E552" t="inlineStr">
        <is>
          <t>Weakness / Numbness</t>
        </is>
      </c>
      <c r="F552" t="inlineStr">
        <is>
          <t>Admitted</t>
        </is>
      </c>
      <c r="G552" t="n">
        <v>1</v>
      </c>
      <c r="H552" t="n">
        <v>518</v>
      </c>
    </row>
    <row r="553">
      <c r="A553" t="inlineStr">
        <is>
          <t>ED211964</t>
        </is>
      </c>
      <c r="B553" s="33" t="n">
        <v>46005.96111111111</v>
      </c>
      <c r="C553" t="inlineStr">
        <is>
          <t>Walk-In</t>
        </is>
      </c>
      <c r="D553" t="n">
        <v>2</v>
      </c>
      <c r="E553" t="inlineStr">
        <is>
          <t>Shortness of Breath</t>
        </is>
      </c>
      <c r="F553" t="inlineStr">
        <is>
          <t>Admitted</t>
        </is>
      </c>
      <c r="G553" t="n">
        <v>21</v>
      </c>
      <c r="H553" t="n">
        <v>342</v>
      </c>
    </row>
    <row r="554">
      <c r="A554" t="inlineStr">
        <is>
          <t>ED211965</t>
        </is>
      </c>
      <c r="B554" s="33" t="n">
        <v>46005.97222222222</v>
      </c>
      <c r="C554" t="inlineStr">
        <is>
          <t>Walk-In</t>
        </is>
      </c>
      <c r="D554" t="n">
        <v>4</v>
      </c>
      <c r="E554" t="inlineStr">
        <is>
          <t>Painful Urination / Fever</t>
        </is>
      </c>
      <c r="F554" t="inlineStr">
        <is>
          <t>Discharged</t>
        </is>
      </c>
      <c r="G554" t="n">
        <v>44</v>
      </c>
      <c r="H554" t="n">
        <v>148</v>
      </c>
    </row>
    <row r="555">
      <c r="A555" t="inlineStr">
        <is>
          <t>ED211966</t>
        </is>
      </c>
      <c r="B555" s="33" t="n">
        <v>46006.10625</v>
      </c>
      <c r="C555" t="inlineStr">
        <is>
          <t>Police</t>
        </is>
      </c>
      <c r="D555" t="n">
        <v>3</v>
      </c>
      <c r="E555" t="inlineStr">
        <is>
          <t>Psychiatric Evaluation</t>
        </is>
      </c>
      <c r="F555" t="inlineStr">
        <is>
          <t>Discharged</t>
        </is>
      </c>
      <c r="G555" t="n">
        <v>41</v>
      </c>
      <c r="H555" t="n">
        <v>235</v>
      </c>
    </row>
    <row r="556">
      <c r="A556" t="inlineStr">
        <is>
          <t>ED211967</t>
        </is>
      </c>
      <c r="B556" s="33" t="n">
        <v>46006.10694444444</v>
      </c>
      <c r="C556" t="inlineStr">
        <is>
          <t>Walk-In</t>
        </is>
      </c>
      <c r="D556" t="n">
        <v>5</v>
      </c>
      <c r="E556" t="inlineStr">
        <is>
          <t>Ear Pain / Fever</t>
        </is>
      </c>
      <c r="F556" t="inlineStr">
        <is>
          <t>Discharged</t>
        </is>
      </c>
      <c r="G556" t="n">
        <v>176</v>
      </c>
      <c r="H556" t="n">
        <v>228</v>
      </c>
    </row>
    <row r="557">
      <c r="A557" t="inlineStr">
        <is>
          <t>ED211968</t>
        </is>
      </c>
      <c r="B557" s="33" t="n">
        <v>46006.13333333333</v>
      </c>
      <c r="C557" t="inlineStr">
        <is>
          <t>Walk-In</t>
        </is>
      </c>
      <c r="D557" t="n">
        <v>3</v>
      </c>
      <c r="E557" t="inlineStr">
        <is>
          <t>Chest Pain</t>
        </is>
      </c>
      <c r="F557" t="inlineStr">
        <is>
          <t>Discharged</t>
        </is>
      </c>
      <c r="G557" t="n">
        <v>28</v>
      </c>
      <c r="H557" t="n">
        <v>249</v>
      </c>
    </row>
    <row r="558">
      <c r="A558" t="inlineStr">
        <is>
          <t>ED211969</t>
        </is>
      </c>
      <c r="B558" s="33" t="n">
        <v>46006.19444444445</v>
      </c>
      <c r="C558" t="inlineStr">
        <is>
          <t>Walk-In</t>
        </is>
      </c>
      <c r="D558" t="n">
        <v>2</v>
      </c>
      <c r="E558" t="inlineStr">
        <is>
          <t>Cough / Fever</t>
        </is>
      </c>
      <c r="F558" t="inlineStr">
        <is>
          <t>Admitted</t>
        </is>
      </c>
      <c r="G558" t="n">
        <v>5</v>
      </c>
      <c r="H558" t="n">
        <v>521</v>
      </c>
    </row>
    <row r="559">
      <c r="A559" t="inlineStr">
        <is>
          <t>ED211970</t>
        </is>
      </c>
      <c r="B559" s="33" t="n">
        <v>46006.22569444445</v>
      </c>
      <c r="C559" t="inlineStr">
        <is>
          <t>Walk-In</t>
        </is>
      </c>
      <c r="D559" t="n">
        <v>4</v>
      </c>
      <c r="E559" t="inlineStr">
        <is>
          <t>Cough / Fever</t>
        </is>
      </c>
      <c r="F559" t="inlineStr">
        <is>
          <t>Discharged</t>
        </is>
      </c>
      <c r="G559" t="n">
        <v>63</v>
      </c>
      <c r="H559" t="n">
        <v>191</v>
      </c>
    </row>
    <row r="560">
      <c r="A560" t="inlineStr">
        <is>
          <t>ED211971</t>
        </is>
      </c>
      <c r="B560" s="33" t="n">
        <v>46006.30625</v>
      </c>
      <c r="C560" t="inlineStr">
        <is>
          <t>Walk-In</t>
        </is>
      </c>
      <c r="D560" t="n">
        <v>3</v>
      </c>
      <c r="E560" t="inlineStr">
        <is>
          <t>Shortness of Breath</t>
        </is>
      </c>
      <c r="F560" t="inlineStr">
        <is>
          <t>Admitted</t>
        </is>
      </c>
      <c r="G560" t="n">
        <v>117</v>
      </c>
      <c r="H560" t="n">
        <v>457</v>
      </c>
    </row>
    <row r="561">
      <c r="A561" t="inlineStr">
        <is>
          <t>ED211973</t>
        </is>
      </c>
      <c r="B561" s="33" t="n">
        <v>46006.37222222222</v>
      </c>
      <c r="C561" t="inlineStr">
        <is>
          <t>Walk-In</t>
        </is>
      </c>
      <c r="D561" t="n">
        <v>3</v>
      </c>
      <c r="E561" t="inlineStr">
        <is>
          <t>Headache</t>
        </is>
      </c>
      <c r="F561" t="inlineStr">
        <is>
          <t>LWBS</t>
        </is>
      </c>
      <c r="H561" t="n">
        <v>101</v>
      </c>
    </row>
    <row r="562">
      <c r="A562" t="inlineStr">
        <is>
          <t>ED211974</t>
        </is>
      </c>
      <c r="B562" s="33" t="n">
        <v>46006.40416666667</v>
      </c>
      <c r="C562" t="inlineStr">
        <is>
          <t>Walk-In</t>
        </is>
      </c>
      <c r="D562" t="n">
        <v>5</v>
      </c>
      <c r="E562" t="inlineStr">
        <is>
          <t>Vomiting / Dizziness</t>
        </is>
      </c>
      <c r="F562" t="inlineStr">
        <is>
          <t>LWBS</t>
        </is>
      </c>
      <c r="H562" t="n">
        <v>97</v>
      </c>
    </row>
    <row r="563">
      <c r="A563" t="inlineStr">
        <is>
          <t>ED211976</t>
        </is>
      </c>
      <c r="B563" s="33" t="n">
        <v>46006.42986111111</v>
      </c>
      <c r="C563" t="inlineStr">
        <is>
          <t>Walk-In</t>
        </is>
      </c>
      <c r="D563" t="n">
        <v>3</v>
      </c>
      <c r="E563" t="inlineStr">
        <is>
          <t>Ear Pain / Fever</t>
        </is>
      </c>
      <c r="F563" t="inlineStr">
        <is>
          <t>Discharged</t>
        </is>
      </c>
      <c r="G563" t="n">
        <v>22</v>
      </c>
      <c r="H563" t="n">
        <v>229</v>
      </c>
    </row>
    <row r="564">
      <c r="A564" t="inlineStr">
        <is>
          <t>ED211978</t>
        </is>
      </c>
      <c r="B564" s="33" t="n">
        <v>46006.45416666667</v>
      </c>
      <c r="C564" t="inlineStr">
        <is>
          <t>Ambulance</t>
        </is>
      </c>
      <c r="D564" t="n">
        <v>1</v>
      </c>
      <c r="E564" t="inlineStr">
        <is>
          <t>Shortness of Breath</t>
        </is>
      </c>
      <c r="F564" t="inlineStr">
        <is>
          <t>Admitted</t>
        </is>
      </c>
      <c r="G564" t="n">
        <v>1</v>
      </c>
      <c r="H564" t="n">
        <v>446</v>
      </c>
    </row>
    <row r="565">
      <c r="A565" t="inlineStr">
        <is>
          <t>ED211979</t>
        </is>
      </c>
      <c r="B565" s="33" t="n">
        <v>46006.46875</v>
      </c>
      <c r="C565" t="inlineStr">
        <is>
          <t>Walk-In</t>
        </is>
      </c>
      <c r="D565" t="n">
        <v>5</v>
      </c>
      <c r="E565" t="inlineStr">
        <is>
          <t>Cough / Fever</t>
        </is>
      </c>
      <c r="F565" t="inlineStr">
        <is>
          <t>Discharged</t>
        </is>
      </c>
      <c r="G565" t="n">
        <v>57</v>
      </c>
      <c r="H565" t="n">
        <v>141</v>
      </c>
    </row>
    <row r="566">
      <c r="A566" t="inlineStr">
        <is>
          <t>ED211980</t>
        </is>
      </c>
      <c r="B566" s="33" t="n">
        <v>46006.50972222222</v>
      </c>
      <c r="C566" t="inlineStr">
        <is>
          <t>Walk-In</t>
        </is>
      </c>
      <c r="D566" t="n">
        <v>3</v>
      </c>
      <c r="E566" t="inlineStr">
        <is>
          <t>Abdominal Pain</t>
        </is>
      </c>
      <c r="F566" t="inlineStr">
        <is>
          <t>Discharged</t>
        </is>
      </c>
      <c r="G566" t="n">
        <v>28</v>
      </c>
      <c r="H566" t="n">
        <v>188</v>
      </c>
    </row>
    <row r="567">
      <c r="A567" t="inlineStr">
        <is>
          <t>ED211984</t>
        </is>
      </c>
      <c r="B567" s="33" t="n">
        <v>46006.73194444444</v>
      </c>
      <c r="C567" t="inlineStr">
        <is>
          <t>Walk-In</t>
        </is>
      </c>
      <c r="D567" t="n">
        <v>5</v>
      </c>
      <c r="E567" t="inlineStr">
        <is>
          <t>Cough / Fever</t>
        </is>
      </c>
      <c r="F567" t="inlineStr">
        <is>
          <t>Discharged</t>
        </is>
      </c>
      <c r="G567" t="n">
        <v>102</v>
      </c>
      <c r="H567" t="n">
        <v>171</v>
      </c>
    </row>
    <row r="568">
      <c r="A568" t="inlineStr">
        <is>
          <t>ED211986</t>
        </is>
      </c>
      <c r="B568" s="33" t="n">
        <v>46006.79722222222</v>
      </c>
      <c r="C568" t="inlineStr">
        <is>
          <t>Walk-In</t>
        </is>
      </c>
      <c r="D568" t="n">
        <v>3</v>
      </c>
      <c r="E568" t="inlineStr">
        <is>
          <t>Cough / Fever</t>
        </is>
      </c>
      <c r="F568" t="inlineStr">
        <is>
          <t>Discharged</t>
        </is>
      </c>
      <c r="G568" t="n">
        <v>46</v>
      </c>
      <c r="H568" t="n">
        <v>267</v>
      </c>
    </row>
    <row r="569">
      <c r="A569" t="inlineStr">
        <is>
          <t>ED211987</t>
        </is>
      </c>
      <c r="B569" s="33" t="n">
        <v>46006.80208333334</v>
      </c>
      <c r="C569" t="inlineStr">
        <is>
          <t>Ambulance</t>
        </is>
      </c>
      <c r="D569" t="n">
        <v>1</v>
      </c>
      <c r="E569" t="inlineStr">
        <is>
          <t>Shortness of Breath</t>
        </is>
      </c>
      <c r="F569" t="inlineStr">
        <is>
          <t>Admitted</t>
        </is>
      </c>
      <c r="G569" t="n">
        <v>3</v>
      </c>
      <c r="H569" t="n">
        <v>357</v>
      </c>
    </row>
    <row r="570">
      <c r="A570" t="inlineStr">
        <is>
          <t>ED211989</t>
        </is>
      </c>
      <c r="B570" s="33" t="n">
        <v>46006.95486111111</v>
      </c>
      <c r="C570" t="inlineStr">
        <is>
          <t>Walk-In</t>
        </is>
      </c>
      <c r="D570" t="n">
        <v>3</v>
      </c>
      <c r="E570" t="inlineStr">
        <is>
          <t>Vomiting / Diarrhea</t>
        </is>
      </c>
      <c r="F570" t="inlineStr">
        <is>
          <t>Admitted</t>
        </is>
      </c>
      <c r="G570" t="n">
        <v>106</v>
      </c>
      <c r="H570" t="n">
        <v>413</v>
      </c>
    </row>
    <row r="571">
      <c r="A571" t="inlineStr">
        <is>
          <t>ED211990</t>
        </is>
      </c>
      <c r="B571" s="33" t="n">
        <v>46007.09166666667</v>
      </c>
      <c r="C571" t="inlineStr">
        <is>
          <t>Ambulance</t>
        </is>
      </c>
      <c r="D571" t="n">
        <v>2</v>
      </c>
      <c r="E571" t="inlineStr">
        <is>
          <t>Palpitations</t>
        </is>
      </c>
      <c r="F571" t="inlineStr">
        <is>
          <t>Admitted</t>
        </is>
      </c>
      <c r="G571" t="n">
        <v>8</v>
      </c>
      <c r="H571" t="n">
        <v>466</v>
      </c>
    </row>
    <row r="572">
      <c r="A572" t="inlineStr">
        <is>
          <t>ED211991</t>
        </is>
      </c>
      <c r="B572" s="33" t="n">
        <v>46007.19722222222</v>
      </c>
      <c r="C572" t="inlineStr">
        <is>
          <t>Walk-In</t>
        </is>
      </c>
      <c r="D572" t="n">
        <v>5</v>
      </c>
      <c r="E572" t="inlineStr">
        <is>
          <t>Ankle Injury</t>
        </is>
      </c>
      <c r="F572" t="inlineStr">
        <is>
          <t>Discharged</t>
        </is>
      </c>
      <c r="G572" t="n">
        <v>137</v>
      </c>
      <c r="H572" t="n">
        <v>208</v>
      </c>
    </row>
    <row r="573">
      <c r="A573" t="inlineStr">
        <is>
          <t>ED211992</t>
        </is>
      </c>
      <c r="B573" s="33" t="n">
        <v>46007.24861111111</v>
      </c>
      <c r="C573" t="inlineStr">
        <is>
          <t>Ambulance</t>
        </is>
      </c>
      <c r="D573" t="n">
        <v>2</v>
      </c>
      <c r="E573" t="inlineStr">
        <is>
          <t>Tremors / Alcohol Withdrawal</t>
        </is>
      </c>
      <c r="F573" t="inlineStr">
        <is>
          <t>Admitted</t>
        </is>
      </c>
      <c r="G573" t="n">
        <v>9</v>
      </c>
      <c r="H573" t="n">
        <v>285</v>
      </c>
    </row>
    <row r="574">
      <c r="A574" t="inlineStr">
        <is>
          <t>ED211993</t>
        </is>
      </c>
      <c r="B574" s="33" t="n">
        <v>46007.35347222222</v>
      </c>
      <c r="C574" t="inlineStr">
        <is>
          <t>Walk-In</t>
        </is>
      </c>
      <c r="D574" t="n">
        <v>4</v>
      </c>
      <c r="E574" t="inlineStr">
        <is>
          <t>Shortness of Breath</t>
        </is>
      </c>
      <c r="F574" t="inlineStr">
        <is>
          <t>Admitted</t>
        </is>
      </c>
      <c r="G574" t="n">
        <v>75</v>
      </c>
      <c r="H574" t="n">
        <v>353</v>
      </c>
    </row>
    <row r="575">
      <c r="A575" t="inlineStr">
        <is>
          <t>ED211995</t>
        </is>
      </c>
      <c r="B575" s="33" t="n">
        <v>46007.42152777778</v>
      </c>
      <c r="C575" t="inlineStr">
        <is>
          <t>Ambulance</t>
        </is>
      </c>
      <c r="D575" t="n">
        <v>3</v>
      </c>
      <c r="E575" t="inlineStr">
        <is>
          <t>Breast Mass</t>
        </is>
      </c>
      <c r="F575" t="inlineStr">
        <is>
          <t>Admitted</t>
        </is>
      </c>
      <c r="G575" t="n">
        <v>42</v>
      </c>
      <c r="H575" t="n">
        <v>227</v>
      </c>
    </row>
    <row r="576">
      <c r="A576" t="inlineStr">
        <is>
          <t>ED211996</t>
        </is>
      </c>
      <c r="B576" s="33" t="n">
        <v>46007.43958333333</v>
      </c>
      <c r="C576" t="inlineStr">
        <is>
          <t>Walk-In</t>
        </is>
      </c>
      <c r="D576" t="n">
        <v>4</v>
      </c>
      <c r="E576" t="inlineStr">
        <is>
          <t>Back Pain</t>
        </is>
      </c>
      <c r="F576" t="inlineStr">
        <is>
          <t>Discharged</t>
        </is>
      </c>
      <c r="G576" t="n">
        <v>71</v>
      </c>
      <c r="H576" t="n">
        <v>147</v>
      </c>
    </row>
    <row r="577">
      <c r="A577" t="inlineStr">
        <is>
          <t>ED211998</t>
        </is>
      </c>
      <c r="B577" s="33" t="n">
        <v>46007.46597222222</v>
      </c>
      <c r="C577" t="inlineStr">
        <is>
          <t>Walk-In</t>
        </is>
      </c>
      <c r="D577" t="n">
        <v>2</v>
      </c>
      <c r="E577" t="inlineStr">
        <is>
          <t>Seizure</t>
        </is>
      </c>
      <c r="F577" t="inlineStr">
        <is>
          <t>Discharged</t>
        </is>
      </c>
      <c r="G577" t="n">
        <v>26</v>
      </c>
      <c r="H577" t="n">
        <v>227</v>
      </c>
    </row>
    <row r="578">
      <c r="A578" t="inlineStr">
        <is>
          <t>ED212000</t>
        </is>
      </c>
      <c r="B578" s="33" t="n">
        <v>46007.57083333333</v>
      </c>
      <c r="C578" t="inlineStr">
        <is>
          <t>Walk-In</t>
        </is>
      </c>
      <c r="D578" t="n">
        <v>3</v>
      </c>
      <c r="E578" t="inlineStr">
        <is>
          <t>Cough / Fever</t>
        </is>
      </c>
      <c r="F578" t="inlineStr">
        <is>
          <t>Discharged</t>
        </is>
      </c>
      <c r="G578" t="n">
        <v>38</v>
      </c>
      <c r="H578" t="n">
        <v>190</v>
      </c>
    </row>
    <row r="579">
      <c r="A579" t="inlineStr">
        <is>
          <t>ED212001</t>
        </is>
      </c>
      <c r="B579" s="33" t="n">
        <v>46007.675</v>
      </c>
      <c r="C579" t="inlineStr">
        <is>
          <t>Ambulance</t>
        </is>
      </c>
      <c r="D579" t="n">
        <v>2</v>
      </c>
      <c r="E579" t="inlineStr">
        <is>
          <t>Weakness / Numbness</t>
        </is>
      </c>
      <c r="F579" t="inlineStr">
        <is>
          <t>Admitted</t>
        </is>
      </c>
      <c r="G579" t="n">
        <v>19</v>
      </c>
      <c r="H579" t="n">
        <v>462</v>
      </c>
    </row>
    <row r="580">
      <c r="A580" t="inlineStr">
        <is>
          <t>ED212003</t>
        </is>
      </c>
      <c r="B580" s="33" t="n">
        <v>46007.74027777778</v>
      </c>
      <c r="C580" t="inlineStr">
        <is>
          <t>Ambulance</t>
        </is>
      </c>
      <c r="D580" t="n">
        <v>2</v>
      </c>
      <c r="E580" t="inlineStr">
        <is>
          <t>Nausea</t>
        </is>
      </c>
      <c r="F580" t="inlineStr">
        <is>
          <t>Admitted</t>
        </is>
      </c>
      <c r="G580" t="n">
        <v>16</v>
      </c>
      <c r="H580" t="n">
        <v>337</v>
      </c>
    </row>
    <row r="581">
      <c r="A581" t="inlineStr">
        <is>
          <t>ED212004</t>
        </is>
      </c>
      <c r="B581" s="33" t="n">
        <v>46007.74791666667</v>
      </c>
      <c r="C581" t="inlineStr">
        <is>
          <t>Walk-In</t>
        </is>
      </c>
      <c r="D581" t="n">
        <v>3</v>
      </c>
      <c r="E581" t="inlineStr">
        <is>
          <t>Cough / Fever</t>
        </is>
      </c>
      <c r="F581" t="inlineStr">
        <is>
          <t>Admitted</t>
        </is>
      </c>
      <c r="G581" t="n">
        <v>89</v>
      </c>
      <c r="H581" t="n">
        <v>322</v>
      </c>
    </row>
    <row r="582">
      <c r="A582" t="inlineStr">
        <is>
          <t>ED212005</t>
        </is>
      </c>
      <c r="B582" s="33" t="n">
        <v>46007.75277777778</v>
      </c>
      <c r="C582" t="inlineStr">
        <is>
          <t>Walk-In</t>
        </is>
      </c>
      <c r="D582" t="n">
        <v>3</v>
      </c>
      <c r="E582" t="inlineStr">
        <is>
          <t>Cough / Fever</t>
        </is>
      </c>
      <c r="F582" t="inlineStr">
        <is>
          <t>Discharged</t>
        </is>
      </c>
      <c r="G582" t="n">
        <v>136</v>
      </c>
      <c r="H582" t="n">
        <v>329</v>
      </c>
    </row>
    <row r="583">
      <c r="A583" t="inlineStr">
        <is>
          <t>ED212006</t>
        </is>
      </c>
      <c r="B583" s="33" t="n">
        <v>46007.75277777778</v>
      </c>
      <c r="C583" t="inlineStr">
        <is>
          <t>Walk-In</t>
        </is>
      </c>
      <c r="D583" t="n">
        <v>2</v>
      </c>
      <c r="E583" t="inlineStr">
        <is>
          <t>Weakness / Numbness</t>
        </is>
      </c>
      <c r="F583" t="inlineStr">
        <is>
          <t>Admitted</t>
        </is>
      </c>
      <c r="G583" t="n">
        <v>7</v>
      </c>
      <c r="H583" t="n">
        <v>558</v>
      </c>
    </row>
    <row r="584">
      <c r="A584" t="inlineStr">
        <is>
          <t>ED212007</t>
        </is>
      </c>
      <c r="B584" s="33" t="n">
        <v>46007.76319444444</v>
      </c>
      <c r="C584" t="inlineStr">
        <is>
          <t>Walk-In</t>
        </is>
      </c>
      <c r="D584" t="n">
        <v>4</v>
      </c>
      <c r="E584" t="inlineStr">
        <is>
          <t>Vomiting / Diarrhea</t>
        </is>
      </c>
      <c r="F584" t="inlineStr">
        <is>
          <t>Discharged</t>
        </is>
      </c>
      <c r="G584" t="n">
        <v>110</v>
      </c>
      <c r="H584" t="n">
        <v>184</v>
      </c>
    </row>
    <row r="585">
      <c r="A585" t="inlineStr">
        <is>
          <t>ED212008</t>
        </is>
      </c>
      <c r="B585" s="33" t="n">
        <v>46007.76527777778</v>
      </c>
      <c r="C585" t="inlineStr">
        <is>
          <t>Walk-In</t>
        </is>
      </c>
      <c r="D585" t="n">
        <v>4</v>
      </c>
      <c r="E585" t="inlineStr">
        <is>
          <t>Cough / Fever</t>
        </is>
      </c>
      <c r="F585" t="inlineStr">
        <is>
          <t>Discharged</t>
        </is>
      </c>
      <c r="G585" t="n">
        <v>72</v>
      </c>
      <c r="H585" t="n">
        <v>153</v>
      </c>
    </row>
    <row r="586">
      <c r="A586" t="inlineStr">
        <is>
          <t>ED212011</t>
        </is>
      </c>
      <c r="B586" s="33" t="n">
        <v>46007.80902777778</v>
      </c>
      <c r="C586" t="inlineStr">
        <is>
          <t>Walk-In</t>
        </is>
      </c>
      <c r="D586" t="n">
        <v>3</v>
      </c>
      <c r="E586" t="inlineStr">
        <is>
          <t>Abdominal Pain</t>
        </is>
      </c>
      <c r="F586" t="inlineStr">
        <is>
          <t>Discharged</t>
        </is>
      </c>
      <c r="G586" t="n">
        <v>70</v>
      </c>
      <c r="H586" t="n">
        <v>230</v>
      </c>
    </row>
    <row r="587">
      <c r="A587" t="inlineStr">
        <is>
          <t>ED212013</t>
        </is>
      </c>
      <c r="B587" s="33" t="n">
        <v>46007.86180555556</v>
      </c>
      <c r="C587" t="inlineStr">
        <is>
          <t>Walk-In</t>
        </is>
      </c>
      <c r="D587" t="n">
        <v>4</v>
      </c>
      <c r="E587" t="inlineStr">
        <is>
          <t>Back Pain</t>
        </is>
      </c>
      <c r="F587" t="inlineStr">
        <is>
          <t>Discharged</t>
        </is>
      </c>
      <c r="G587" t="n">
        <v>163</v>
      </c>
      <c r="H587" t="n">
        <v>243</v>
      </c>
    </row>
    <row r="588">
      <c r="A588" t="inlineStr">
        <is>
          <t>ED212015</t>
        </is>
      </c>
      <c r="B588" s="33" t="n">
        <v>46007.90138888889</v>
      </c>
      <c r="C588" t="inlineStr">
        <is>
          <t>Walk-In</t>
        </is>
      </c>
      <c r="D588" t="n">
        <v>3</v>
      </c>
      <c r="E588" t="inlineStr">
        <is>
          <t>Chest Pain</t>
        </is>
      </c>
      <c r="F588" t="inlineStr">
        <is>
          <t>Discharged</t>
        </is>
      </c>
      <c r="G588" t="n">
        <v>136</v>
      </c>
      <c r="H588" t="n">
        <v>256</v>
      </c>
    </row>
    <row r="589">
      <c r="A589" t="inlineStr">
        <is>
          <t>ED212017</t>
        </is>
      </c>
      <c r="B589" s="33" t="n">
        <v>46008.10902777778</v>
      </c>
      <c r="C589" t="inlineStr">
        <is>
          <t>Ambulance</t>
        </is>
      </c>
      <c r="D589" t="n">
        <v>1</v>
      </c>
      <c r="E589" t="inlineStr">
        <is>
          <t>Chest Pain</t>
        </is>
      </c>
      <c r="F589" t="inlineStr">
        <is>
          <t>Observation</t>
        </is>
      </c>
      <c r="G589" t="n">
        <v>3</v>
      </c>
      <c r="H589" t="n">
        <v>173</v>
      </c>
    </row>
    <row r="590">
      <c r="A590" t="inlineStr">
        <is>
          <t>ED212018</t>
        </is>
      </c>
      <c r="B590" s="33" t="n">
        <v>46008.38402777778</v>
      </c>
      <c r="C590" t="inlineStr">
        <is>
          <t>Walk-In</t>
        </is>
      </c>
      <c r="D590" t="n">
        <v>5</v>
      </c>
      <c r="E590" t="inlineStr">
        <is>
          <t>Ankle Injury</t>
        </is>
      </c>
      <c r="F590" t="inlineStr">
        <is>
          <t>Discharged</t>
        </is>
      </c>
      <c r="G590" t="n">
        <v>183</v>
      </c>
      <c r="H590" t="n">
        <v>245</v>
      </c>
    </row>
    <row r="591">
      <c r="A591" t="inlineStr">
        <is>
          <t>ED212019</t>
        </is>
      </c>
      <c r="B591" s="33" t="n">
        <v>46008.38472222222</v>
      </c>
      <c r="C591" t="inlineStr">
        <is>
          <t>Walk-In</t>
        </is>
      </c>
      <c r="D591" t="n">
        <v>3</v>
      </c>
      <c r="E591" t="inlineStr">
        <is>
          <t>Fall</t>
        </is>
      </c>
      <c r="F591" t="inlineStr">
        <is>
          <t>Admitted</t>
        </is>
      </c>
      <c r="G591" t="n">
        <v>43</v>
      </c>
      <c r="H591" t="n">
        <v>337</v>
      </c>
    </row>
    <row r="592">
      <c r="A592" t="inlineStr">
        <is>
          <t>ED212020</t>
        </is>
      </c>
      <c r="B592" s="33" t="n">
        <v>46008.43541666667</v>
      </c>
      <c r="C592" t="inlineStr">
        <is>
          <t>Walk-In</t>
        </is>
      </c>
      <c r="D592" t="n">
        <v>3</v>
      </c>
      <c r="E592" t="inlineStr">
        <is>
          <t>Cough / Fever</t>
        </is>
      </c>
      <c r="F592" t="inlineStr">
        <is>
          <t>Admitted</t>
        </is>
      </c>
      <c r="G592" t="n">
        <v>49</v>
      </c>
      <c r="H592" t="n">
        <v>321</v>
      </c>
    </row>
    <row r="593">
      <c r="A593" t="inlineStr">
        <is>
          <t>ED212021</t>
        </is>
      </c>
      <c r="B593" s="33" t="n">
        <v>46008.45069444444</v>
      </c>
      <c r="C593" t="inlineStr">
        <is>
          <t>Ambulance</t>
        </is>
      </c>
      <c r="D593" t="n">
        <v>3</v>
      </c>
      <c r="E593" t="inlineStr">
        <is>
          <t>Palpitations</t>
        </is>
      </c>
      <c r="F593" t="inlineStr">
        <is>
          <t>Observation</t>
        </is>
      </c>
      <c r="G593" t="n">
        <v>52</v>
      </c>
      <c r="H593" t="n">
        <v>280</v>
      </c>
    </row>
    <row r="594">
      <c r="A594" t="inlineStr">
        <is>
          <t>ED212022</t>
        </is>
      </c>
      <c r="B594" s="33" t="n">
        <v>46008.46527777778</v>
      </c>
      <c r="C594" t="inlineStr">
        <is>
          <t>Walk-In</t>
        </is>
      </c>
      <c r="D594" t="n">
        <v>4</v>
      </c>
      <c r="E594" t="inlineStr">
        <is>
          <t>Anxiety / Palpitations</t>
        </is>
      </c>
      <c r="F594" t="inlineStr">
        <is>
          <t>Discharged</t>
        </is>
      </c>
      <c r="G594" t="n">
        <v>15</v>
      </c>
      <c r="H594" t="n">
        <v>91</v>
      </c>
    </row>
    <row r="595">
      <c r="A595" t="inlineStr">
        <is>
          <t>ED212023</t>
        </is>
      </c>
      <c r="B595" s="33" t="n">
        <v>46008.48958333334</v>
      </c>
      <c r="C595" t="inlineStr">
        <is>
          <t>Walk-In</t>
        </is>
      </c>
      <c r="D595" t="n">
        <v>4</v>
      </c>
      <c r="E595" t="inlineStr">
        <is>
          <t>Anxiety / Palpitations</t>
        </is>
      </c>
      <c r="F595" t="inlineStr">
        <is>
          <t>Discharged</t>
        </is>
      </c>
      <c r="G595" t="n">
        <v>140</v>
      </c>
      <c r="H595" t="n">
        <v>223</v>
      </c>
    </row>
    <row r="596">
      <c r="A596" t="inlineStr">
        <is>
          <t>ED212024</t>
        </is>
      </c>
      <c r="B596" s="33" t="n">
        <v>46008.49444444444</v>
      </c>
      <c r="C596" t="inlineStr">
        <is>
          <t>Walk-In</t>
        </is>
      </c>
      <c r="D596" t="n">
        <v>3</v>
      </c>
      <c r="E596" t="inlineStr">
        <is>
          <t>Laceration</t>
        </is>
      </c>
      <c r="F596" t="inlineStr">
        <is>
          <t>Admitted</t>
        </is>
      </c>
      <c r="G596" t="n">
        <v>63</v>
      </c>
      <c r="H596" t="n">
        <v>350</v>
      </c>
    </row>
    <row r="597">
      <c r="A597" t="inlineStr">
        <is>
          <t>ED212025</t>
        </is>
      </c>
      <c r="B597" s="33" t="n">
        <v>46008.52291666667</v>
      </c>
      <c r="C597" t="inlineStr">
        <is>
          <t>Walk-In</t>
        </is>
      </c>
      <c r="D597" t="n">
        <v>4</v>
      </c>
      <c r="E597" t="inlineStr">
        <is>
          <t>Vomiting / Dizziness</t>
        </is>
      </c>
      <c r="F597" t="inlineStr">
        <is>
          <t>Discharged</t>
        </is>
      </c>
      <c r="G597" t="n">
        <v>101</v>
      </c>
      <c r="H597" t="n">
        <v>226</v>
      </c>
    </row>
    <row r="598">
      <c r="A598" t="inlineStr">
        <is>
          <t>ED212026</t>
        </is>
      </c>
      <c r="B598" s="33" t="n">
        <v>46008.56875</v>
      </c>
      <c r="C598" t="inlineStr">
        <is>
          <t>Walk-In</t>
        </is>
      </c>
      <c r="D598" t="n">
        <v>3</v>
      </c>
      <c r="E598" t="inlineStr">
        <is>
          <t>Chest Pain</t>
        </is>
      </c>
      <c r="F598" t="inlineStr">
        <is>
          <t>Discharged</t>
        </is>
      </c>
      <c r="G598" t="n">
        <v>77</v>
      </c>
      <c r="H598" t="n">
        <v>269</v>
      </c>
    </row>
    <row r="599">
      <c r="A599" t="inlineStr">
        <is>
          <t>ED212027</t>
        </is>
      </c>
      <c r="B599" s="33" t="n">
        <v>46008.65347222222</v>
      </c>
      <c r="C599" t="inlineStr">
        <is>
          <t>Walk-In</t>
        </is>
      </c>
      <c r="D599" t="n">
        <v>3</v>
      </c>
      <c r="E599" t="inlineStr">
        <is>
          <t>Skin Redness / Swelling</t>
        </is>
      </c>
      <c r="F599" t="inlineStr">
        <is>
          <t>Discharged</t>
        </is>
      </c>
      <c r="G599" t="n">
        <v>84</v>
      </c>
      <c r="H599" t="n">
        <v>199</v>
      </c>
    </row>
    <row r="600">
      <c r="A600" t="inlineStr">
        <is>
          <t>ED212028</t>
        </is>
      </c>
      <c r="B600" s="33" t="n">
        <v>46008.66666666666</v>
      </c>
      <c r="C600" t="inlineStr">
        <is>
          <t>Walk-In</t>
        </is>
      </c>
      <c r="D600" t="n">
        <v>5</v>
      </c>
      <c r="E600" t="inlineStr">
        <is>
          <t>Ear Pain / Fever</t>
        </is>
      </c>
      <c r="F600" t="inlineStr">
        <is>
          <t>Discharged</t>
        </is>
      </c>
      <c r="G600" t="n">
        <v>84</v>
      </c>
      <c r="H600" t="n">
        <v>166</v>
      </c>
    </row>
    <row r="601">
      <c r="A601" t="inlineStr">
        <is>
          <t>ED212030</t>
        </is>
      </c>
      <c r="B601" s="33" t="n">
        <v>46008.69583333333</v>
      </c>
      <c r="C601" t="inlineStr">
        <is>
          <t>Walk-In</t>
        </is>
      </c>
      <c r="D601" t="n">
        <v>2</v>
      </c>
      <c r="E601" t="inlineStr">
        <is>
          <t>Shortness of Breath</t>
        </is>
      </c>
      <c r="F601" t="inlineStr">
        <is>
          <t>Admitted</t>
        </is>
      </c>
      <c r="G601" t="n">
        <v>11</v>
      </c>
      <c r="H601" t="n">
        <v>794</v>
      </c>
    </row>
    <row r="602">
      <c r="A602" t="inlineStr">
        <is>
          <t>ED212032</t>
        </is>
      </c>
      <c r="B602" s="33" t="n">
        <v>46008.73402777778</v>
      </c>
      <c r="C602" t="inlineStr">
        <is>
          <t>Walk-In</t>
        </is>
      </c>
      <c r="D602" t="n">
        <v>4</v>
      </c>
      <c r="E602" t="inlineStr">
        <is>
          <t>Weakness / Fatigue</t>
        </is>
      </c>
      <c r="F602" t="inlineStr">
        <is>
          <t>Discharged</t>
        </is>
      </c>
      <c r="G602" t="n">
        <v>94</v>
      </c>
      <c r="H602" t="n">
        <v>178</v>
      </c>
    </row>
    <row r="603">
      <c r="A603" t="inlineStr">
        <is>
          <t>ED212033</t>
        </is>
      </c>
      <c r="B603" s="33" t="n">
        <v>46008.85694444444</v>
      </c>
      <c r="C603" t="inlineStr">
        <is>
          <t>Walk-In</t>
        </is>
      </c>
      <c r="D603" t="n">
        <v>4</v>
      </c>
      <c r="E603" t="inlineStr">
        <is>
          <t>Headache</t>
        </is>
      </c>
      <c r="F603" t="inlineStr">
        <is>
          <t>Discharged</t>
        </is>
      </c>
      <c r="G603" t="n">
        <v>116</v>
      </c>
      <c r="H603" t="n">
        <v>222</v>
      </c>
    </row>
    <row r="604">
      <c r="A604" t="inlineStr">
        <is>
          <t>ED212034</t>
        </is>
      </c>
      <c r="B604" s="33" t="n">
        <v>46008.86388888889</v>
      </c>
      <c r="C604" t="inlineStr">
        <is>
          <t>Walk-In</t>
        </is>
      </c>
      <c r="D604" t="n">
        <v>4</v>
      </c>
      <c r="E604" t="inlineStr">
        <is>
          <t>Cough / Fever</t>
        </is>
      </c>
      <c r="F604" t="inlineStr">
        <is>
          <t>Discharged</t>
        </is>
      </c>
      <c r="G604" t="n">
        <v>79</v>
      </c>
      <c r="H604" t="n">
        <v>199</v>
      </c>
    </row>
    <row r="605">
      <c r="A605" t="inlineStr">
        <is>
          <t>ED212036</t>
        </is>
      </c>
      <c r="B605" s="33" t="n">
        <v>46008.90555555555</v>
      </c>
      <c r="C605" t="inlineStr">
        <is>
          <t>Walk-In</t>
        </is>
      </c>
      <c r="D605" t="n">
        <v>4</v>
      </c>
      <c r="E605" t="inlineStr">
        <is>
          <t>Cough / Fever</t>
        </is>
      </c>
      <c r="F605" t="inlineStr">
        <is>
          <t>Discharged</t>
        </is>
      </c>
      <c r="G605" t="n">
        <v>63</v>
      </c>
      <c r="H605" t="n">
        <v>146</v>
      </c>
    </row>
    <row r="606">
      <c r="A606" t="inlineStr">
        <is>
          <t>ED212037</t>
        </is>
      </c>
      <c r="B606" s="33" t="n">
        <v>46008.9125</v>
      </c>
      <c r="C606" t="inlineStr">
        <is>
          <t>Walk-In</t>
        </is>
      </c>
      <c r="D606" t="n">
        <v>5</v>
      </c>
      <c r="E606" t="inlineStr">
        <is>
          <t>Back Pain</t>
        </is>
      </c>
      <c r="F606" t="inlineStr">
        <is>
          <t>Discharged</t>
        </is>
      </c>
      <c r="G606" t="n">
        <v>17</v>
      </c>
      <c r="H606" t="n">
        <v>120</v>
      </c>
    </row>
    <row r="607">
      <c r="A607" t="inlineStr">
        <is>
          <t>ED212038</t>
        </is>
      </c>
      <c r="B607" s="33" t="n">
        <v>46008.94652777778</v>
      </c>
      <c r="C607" t="inlineStr">
        <is>
          <t>Walk-In</t>
        </is>
      </c>
      <c r="D607" t="n">
        <v>5</v>
      </c>
      <c r="E607" t="inlineStr">
        <is>
          <t>Ankle Injury</t>
        </is>
      </c>
      <c r="F607" t="inlineStr">
        <is>
          <t>Discharged</t>
        </is>
      </c>
      <c r="G607" t="n">
        <v>14</v>
      </c>
      <c r="H607" t="n">
        <v>97</v>
      </c>
    </row>
    <row r="608">
      <c r="A608" t="inlineStr">
        <is>
          <t>ED212039</t>
        </is>
      </c>
      <c r="B608" s="33" t="n">
        <v>46008.95069444444</v>
      </c>
      <c r="C608" t="inlineStr">
        <is>
          <t>Ambulance</t>
        </is>
      </c>
      <c r="D608" t="n">
        <v>3</v>
      </c>
      <c r="E608" t="inlineStr">
        <is>
          <t>Cough / Fever</t>
        </is>
      </c>
      <c r="F608" t="inlineStr">
        <is>
          <t>Admitted</t>
        </is>
      </c>
      <c r="G608" t="n">
        <v>8</v>
      </c>
      <c r="H608" t="n">
        <v>269</v>
      </c>
    </row>
    <row r="609">
      <c r="A609" t="inlineStr">
        <is>
          <t>ED212040</t>
        </is>
      </c>
      <c r="B609" s="33" t="n">
        <v>46009.00138888889</v>
      </c>
      <c r="C609" t="inlineStr">
        <is>
          <t>Ambulance</t>
        </is>
      </c>
      <c r="D609" t="n">
        <v>2</v>
      </c>
      <c r="E609" t="inlineStr">
        <is>
          <t>Seizure</t>
        </is>
      </c>
      <c r="F609" t="inlineStr">
        <is>
          <t>Discharged</t>
        </is>
      </c>
      <c r="G609" t="n">
        <v>12</v>
      </c>
      <c r="H609" t="n">
        <v>244</v>
      </c>
    </row>
    <row r="610">
      <c r="A610" t="inlineStr">
        <is>
          <t>ED212042</t>
        </is>
      </c>
      <c r="B610" s="33" t="n">
        <v>46009.08611111111</v>
      </c>
      <c r="C610" t="inlineStr">
        <is>
          <t>Walk-In</t>
        </is>
      </c>
      <c r="D610" t="n">
        <v>3</v>
      </c>
      <c r="E610" t="inlineStr">
        <is>
          <t>Labor</t>
        </is>
      </c>
      <c r="F610" t="inlineStr">
        <is>
          <t>Admitted</t>
        </is>
      </c>
      <c r="G610" t="n">
        <v>25</v>
      </c>
      <c r="H610" t="n">
        <v>177</v>
      </c>
    </row>
    <row r="611">
      <c r="A611" t="inlineStr">
        <is>
          <t>ED212044</t>
        </is>
      </c>
      <c r="B611" s="33" t="n">
        <v>46009.15277777778</v>
      </c>
      <c r="C611" t="inlineStr">
        <is>
          <t>Walk-In</t>
        </is>
      </c>
      <c r="D611" t="n">
        <v>2</v>
      </c>
      <c r="E611" t="inlineStr">
        <is>
          <t>Chest Pain</t>
        </is>
      </c>
      <c r="F611" t="inlineStr">
        <is>
          <t>Admitted</t>
        </is>
      </c>
      <c r="G611" t="n">
        <v>12</v>
      </c>
      <c r="H611" t="n">
        <v>232</v>
      </c>
    </row>
    <row r="612">
      <c r="A612" t="inlineStr">
        <is>
          <t>ED212045</t>
        </is>
      </c>
      <c r="B612" s="33" t="n">
        <v>46009.23819444444</v>
      </c>
      <c r="C612" t="inlineStr">
        <is>
          <t>Walk-In</t>
        </is>
      </c>
      <c r="D612" t="n">
        <v>3</v>
      </c>
      <c r="E612" t="inlineStr">
        <is>
          <t>Abdominal Pain</t>
        </is>
      </c>
      <c r="F612" t="inlineStr">
        <is>
          <t>Admitted</t>
        </is>
      </c>
      <c r="G612" t="n">
        <v>19</v>
      </c>
      <c r="H612" t="n">
        <v>168</v>
      </c>
    </row>
    <row r="613">
      <c r="A613" t="inlineStr">
        <is>
          <t>ED212046</t>
        </is>
      </c>
      <c r="B613" s="33" t="n">
        <v>46009.35555555556</v>
      </c>
      <c r="C613" t="inlineStr">
        <is>
          <t>Ambulance</t>
        </is>
      </c>
      <c r="D613" t="n">
        <v>1</v>
      </c>
      <c r="E613" t="inlineStr">
        <is>
          <t>Shortness of Breath</t>
        </is>
      </c>
      <c r="F613" t="inlineStr">
        <is>
          <t>Admitted</t>
        </is>
      </c>
      <c r="G613" t="n">
        <v>4</v>
      </c>
      <c r="H613" t="n">
        <v>262</v>
      </c>
    </row>
    <row r="614">
      <c r="A614" t="inlineStr">
        <is>
          <t>ED212048</t>
        </is>
      </c>
      <c r="B614" s="33" t="n">
        <v>46009.40694444445</v>
      </c>
      <c r="C614" t="inlineStr">
        <is>
          <t>Ambulance</t>
        </is>
      </c>
      <c r="D614" t="n">
        <v>2</v>
      </c>
      <c r="E614" t="inlineStr">
        <is>
          <t>Nausea</t>
        </is>
      </c>
      <c r="F614" t="inlineStr">
        <is>
          <t>Admitted</t>
        </is>
      </c>
      <c r="G614" t="n">
        <v>21</v>
      </c>
      <c r="H614" t="n">
        <v>305</v>
      </c>
    </row>
    <row r="615">
      <c r="A615" t="inlineStr">
        <is>
          <t>ED212049</t>
        </is>
      </c>
      <c r="B615" s="33" t="n">
        <v>46009.43333333333</v>
      </c>
      <c r="C615" t="inlineStr">
        <is>
          <t>Ambulance</t>
        </is>
      </c>
      <c r="D615" t="n">
        <v>3</v>
      </c>
      <c r="E615" t="inlineStr">
        <is>
          <t>Laceration</t>
        </is>
      </c>
      <c r="F615" t="inlineStr">
        <is>
          <t>Admitted</t>
        </is>
      </c>
      <c r="G615" t="n">
        <v>87</v>
      </c>
      <c r="H615" t="n">
        <v>369</v>
      </c>
    </row>
    <row r="616">
      <c r="A616" t="inlineStr">
        <is>
          <t>ED212050</t>
        </is>
      </c>
      <c r="B616" s="33" t="n">
        <v>46009.43888888889</v>
      </c>
      <c r="C616" t="inlineStr">
        <is>
          <t>Walk-In</t>
        </is>
      </c>
      <c r="D616" t="n">
        <v>3</v>
      </c>
      <c r="E616" t="inlineStr">
        <is>
          <t>Cough / Fever</t>
        </is>
      </c>
      <c r="F616" t="inlineStr">
        <is>
          <t>Observation</t>
        </is>
      </c>
      <c r="G616" t="n">
        <v>32</v>
      </c>
      <c r="H616" t="n">
        <v>487</v>
      </c>
    </row>
    <row r="617">
      <c r="A617" t="inlineStr">
        <is>
          <t>ED212052</t>
        </is>
      </c>
      <c r="B617" s="33" t="n">
        <v>46009.50833333333</v>
      </c>
      <c r="C617" t="inlineStr">
        <is>
          <t>Walk-In</t>
        </is>
      </c>
      <c r="D617" t="n">
        <v>4</v>
      </c>
      <c r="E617" t="inlineStr">
        <is>
          <t>Fall</t>
        </is>
      </c>
      <c r="F617" t="inlineStr">
        <is>
          <t>Discharged</t>
        </is>
      </c>
      <c r="G617" t="n">
        <v>59</v>
      </c>
      <c r="H617" t="n">
        <v>166</v>
      </c>
    </row>
    <row r="618">
      <c r="A618" t="inlineStr">
        <is>
          <t>ED212054</t>
        </is>
      </c>
      <c r="B618" s="33" t="n">
        <v>46009.58194444444</v>
      </c>
      <c r="C618" t="inlineStr">
        <is>
          <t>Ambulance</t>
        </is>
      </c>
      <c r="D618" t="n">
        <v>2</v>
      </c>
      <c r="E618" t="inlineStr">
        <is>
          <t>Labor</t>
        </is>
      </c>
      <c r="F618" t="inlineStr">
        <is>
          <t>Admitted</t>
        </is>
      </c>
      <c r="G618" t="n">
        <v>10</v>
      </c>
      <c r="H618" t="n">
        <v>252</v>
      </c>
    </row>
    <row r="619">
      <c r="A619" t="inlineStr">
        <is>
          <t>ED212055</t>
        </is>
      </c>
      <c r="B619" s="33" t="n">
        <v>46009.59027777778</v>
      </c>
      <c r="C619" t="inlineStr">
        <is>
          <t>Walk-In</t>
        </is>
      </c>
      <c r="D619" t="n">
        <v>4</v>
      </c>
      <c r="E619" t="inlineStr">
        <is>
          <t>Vomiting / Diarrhea</t>
        </is>
      </c>
      <c r="F619" t="inlineStr">
        <is>
          <t>Discharged</t>
        </is>
      </c>
      <c r="G619" t="n">
        <v>19</v>
      </c>
      <c r="H619" t="n">
        <v>149</v>
      </c>
    </row>
    <row r="620">
      <c r="A620" t="inlineStr">
        <is>
          <t>ED212056</t>
        </is>
      </c>
      <c r="B620" s="33" t="n">
        <v>46009.67013888889</v>
      </c>
      <c r="C620" t="inlineStr">
        <is>
          <t>Police</t>
        </is>
      </c>
      <c r="D620" t="n">
        <v>2</v>
      </c>
      <c r="E620" t="inlineStr">
        <is>
          <t>Depression / Suicidal Thoughts</t>
        </is>
      </c>
      <c r="F620" t="inlineStr">
        <is>
          <t>Admitted</t>
        </is>
      </c>
      <c r="G620" t="n">
        <v>29</v>
      </c>
      <c r="H620" t="n">
        <v>347</v>
      </c>
    </row>
    <row r="621">
      <c r="A621" t="inlineStr">
        <is>
          <t>ED212057</t>
        </is>
      </c>
      <c r="B621" s="33" t="n">
        <v>46009.72361111111</v>
      </c>
      <c r="C621" t="inlineStr">
        <is>
          <t>Walk-In</t>
        </is>
      </c>
      <c r="D621" t="n">
        <v>3</v>
      </c>
      <c r="E621" t="inlineStr">
        <is>
          <t>Shortness of Breath</t>
        </is>
      </c>
      <c r="F621" t="inlineStr">
        <is>
          <t>Admitted</t>
        </is>
      </c>
      <c r="G621" t="n">
        <v>89</v>
      </c>
      <c r="H621" t="n">
        <v>322</v>
      </c>
    </row>
    <row r="622">
      <c r="A622" t="inlineStr">
        <is>
          <t>ED212059</t>
        </is>
      </c>
      <c r="B622" s="33" t="n">
        <v>46009.87222222222</v>
      </c>
      <c r="C622" t="inlineStr">
        <is>
          <t>Ambulance</t>
        </is>
      </c>
      <c r="D622" t="n">
        <v>2</v>
      </c>
      <c r="E622" t="inlineStr">
        <is>
          <t>Shortness of Breath</t>
        </is>
      </c>
      <c r="F622" t="inlineStr">
        <is>
          <t>Admitted</t>
        </is>
      </c>
      <c r="G622" t="n">
        <v>26</v>
      </c>
      <c r="H622" t="n">
        <v>485</v>
      </c>
    </row>
    <row r="623">
      <c r="A623" t="inlineStr">
        <is>
          <t>ED212061</t>
        </is>
      </c>
      <c r="B623" s="33" t="n">
        <v>46009.8875</v>
      </c>
      <c r="C623" t="inlineStr">
        <is>
          <t>Ambulance</t>
        </is>
      </c>
      <c r="D623" t="n">
        <v>3</v>
      </c>
      <c r="E623" t="inlineStr">
        <is>
          <t>Chest Pain</t>
        </is>
      </c>
      <c r="F623" t="inlineStr">
        <is>
          <t>Discharged</t>
        </is>
      </c>
      <c r="G623" t="n">
        <v>55</v>
      </c>
      <c r="H623" t="n">
        <v>203</v>
      </c>
    </row>
    <row r="624">
      <c r="A624" t="inlineStr">
        <is>
          <t>ED212062</t>
        </is>
      </c>
      <c r="B624" s="33" t="n">
        <v>46009.95277777778</v>
      </c>
      <c r="C624" t="inlineStr">
        <is>
          <t>Walk-In</t>
        </is>
      </c>
      <c r="D624" t="n">
        <v>2</v>
      </c>
      <c r="E624" t="inlineStr">
        <is>
          <t>Shortness of Breath</t>
        </is>
      </c>
      <c r="F624" t="inlineStr">
        <is>
          <t>Discharged</t>
        </is>
      </c>
      <c r="G624" t="n">
        <v>11</v>
      </c>
      <c r="H624" t="n">
        <v>161</v>
      </c>
    </row>
    <row r="625">
      <c r="A625" t="inlineStr">
        <is>
          <t>ED212064</t>
        </is>
      </c>
      <c r="B625" s="33" t="n">
        <v>46010.29375</v>
      </c>
      <c r="C625" t="inlineStr">
        <is>
          <t>Walk-In</t>
        </is>
      </c>
      <c r="D625" t="n">
        <v>3</v>
      </c>
      <c r="E625" t="inlineStr">
        <is>
          <t>Psychiatric Evaluation</t>
        </is>
      </c>
      <c r="F625" t="inlineStr">
        <is>
          <t>Discharged</t>
        </is>
      </c>
      <c r="G625" t="n">
        <v>182</v>
      </c>
      <c r="H625" t="n">
        <v>402</v>
      </c>
    </row>
    <row r="626">
      <c r="A626" t="inlineStr">
        <is>
          <t>ED212067</t>
        </is>
      </c>
      <c r="B626" s="33" t="n">
        <v>46010.48194444444</v>
      </c>
      <c r="C626" t="inlineStr">
        <is>
          <t>Ambulance</t>
        </is>
      </c>
      <c r="D626" t="n">
        <v>3</v>
      </c>
      <c r="E626" t="inlineStr">
        <is>
          <t>Cough / Fever</t>
        </is>
      </c>
      <c r="F626" t="inlineStr">
        <is>
          <t>Admitted</t>
        </is>
      </c>
      <c r="G626" t="n">
        <v>66</v>
      </c>
      <c r="H626" t="n">
        <v>348</v>
      </c>
    </row>
    <row r="627">
      <c r="A627" t="inlineStr">
        <is>
          <t>ED212068</t>
        </is>
      </c>
      <c r="B627" s="33" t="n">
        <v>46010.53194444445</v>
      </c>
      <c r="C627" t="inlineStr">
        <is>
          <t>Walk-In</t>
        </is>
      </c>
      <c r="D627" t="n">
        <v>2</v>
      </c>
      <c r="E627" t="inlineStr">
        <is>
          <t>Cough / Trouble Breathing</t>
        </is>
      </c>
      <c r="F627" t="inlineStr">
        <is>
          <t>Discharged</t>
        </is>
      </c>
      <c r="G627" t="n">
        <v>61</v>
      </c>
      <c r="H627" t="n">
        <v>321</v>
      </c>
    </row>
    <row r="628">
      <c r="A628" t="inlineStr">
        <is>
          <t>ED212069</t>
        </is>
      </c>
      <c r="B628" s="33" t="n">
        <v>46010.54722222222</v>
      </c>
      <c r="C628" t="inlineStr">
        <is>
          <t>Walk-In</t>
        </is>
      </c>
      <c r="D628" t="n">
        <v>4</v>
      </c>
      <c r="E628" t="inlineStr">
        <is>
          <t>Cough / Fever</t>
        </is>
      </c>
      <c r="F628" t="inlineStr">
        <is>
          <t>LWBS</t>
        </is>
      </c>
      <c r="H628" t="n">
        <v>139</v>
      </c>
    </row>
    <row r="629">
      <c r="A629" t="inlineStr">
        <is>
          <t>ED212072</t>
        </is>
      </c>
      <c r="B629" s="33" t="n">
        <v>46010.66944444444</v>
      </c>
      <c r="C629" t="inlineStr">
        <is>
          <t>Walk-In</t>
        </is>
      </c>
      <c r="D629" t="n">
        <v>5</v>
      </c>
      <c r="E629" t="inlineStr">
        <is>
          <t>Cough / Fever</t>
        </is>
      </c>
      <c r="F629" t="inlineStr">
        <is>
          <t>Discharged</t>
        </is>
      </c>
      <c r="G629" t="n">
        <v>81</v>
      </c>
      <c r="H629" t="n">
        <v>182</v>
      </c>
    </row>
    <row r="630">
      <c r="A630" t="inlineStr">
        <is>
          <t>ED212075</t>
        </is>
      </c>
      <c r="B630" s="33" t="n">
        <v>46010.725</v>
      </c>
      <c r="C630" t="inlineStr">
        <is>
          <t>Walk-In</t>
        </is>
      </c>
      <c r="D630" t="n">
        <v>3</v>
      </c>
      <c r="E630" t="inlineStr">
        <is>
          <t>Dizziness</t>
        </is>
      </c>
      <c r="F630" t="inlineStr">
        <is>
          <t>Discharged</t>
        </is>
      </c>
      <c r="G630" t="n">
        <v>75</v>
      </c>
      <c r="H630" t="n">
        <v>247</v>
      </c>
    </row>
    <row r="631">
      <c r="A631" t="inlineStr">
        <is>
          <t>ED212076</t>
        </is>
      </c>
      <c r="B631" s="33" t="n">
        <v>46010.78680555556</v>
      </c>
      <c r="C631" t="inlineStr">
        <is>
          <t>Walk-In</t>
        </is>
      </c>
      <c r="D631" t="n">
        <v>3</v>
      </c>
      <c r="E631" t="inlineStr">
        <is>
          <t>Skin Redness / Swelling</t>
        </is>
      </c>
      <c r="F631" t="inlineStr">
        <is>
          <t>Admitted</t>
        </is>
      </c>
      <c r="G631" t="n">
        <v>65</v>
      </c>
      <c r="H631" t="n">
        <v>923</v>
      </c>
    </row>
    <row r="632">
      <c r="A632" t="inlineStr">
        <is>
          <t>ED212078</t>
        </is>
      </c>
      <c r="B632" s="33" t="n">
        <v>46010.80555555555</v>
      </c>
      <c r="C632" t="inlineStr">
        <is>
          <t>Walk-In</t>
        </is>
      </c>
      <c r="D632" t="n">
        <v>3</v>
      </c>
      <c r="E632" t="inlineStr">
        <is>
          <t>Shortness of Breath</t>
        </is>
      </c>
      <c r="F632" t="inlineStr">
        <is>
          <t>Discharged</t>
        </is>
      </c>
      <c r="G632" t="n">
        <v>27</v>
      </c>
      <c r="H632" t="n">
        <v>234</v>
      </c>
    </row>
    <row r="633">
      <c r="A633" t="inlineStr">
        <is>
          <t>ED212082</t>
        </is>
      </c>
      <c r="B633" s="33" t="n">
        <v>46010.89236111111</v>
      </c>
      <c r="C633" t="inlineStr">
        <is>
          <t>Walk-In</t>
        </is>
      </c>
      <c r="D633" t="n">
        <v>5</v>
      </c>
      <c r="E633" t="inlineStr">
        <is>
          <t>Painful Urination / Fever</t>
        </is>
      </c>
      <c r="F633" t="inlineStr">
        <is>
          <t>Discharged</t>
        </is>
      </c>
      <c r="G633" t="n">
        <v>47</v>
      </c>
      <c r="H633" t="n">
        <v>110</v>
      </c>
    </row>
    <row r="634">
      <c r="A634" t="inlineStr">
        <is>
          <t>ED212083</t>
        </is>
      </c>
      <c r="B634" s="33" t="n">
        <v>46011.02708333333</v>
      </c>
      <c r="C634" t="inlineStr">
        <is>
          <t>Walk-In</t>
        </is>
      </c>
      <c r="D634" t="n">
        <v>3</v>
      </c>
      <c r="E634" t="inlineStr">
        <is>
          <t>Abdominal Pain</t>
        </is>
      </c>
      <c r="F634" t="inlineStr">
        <is>
          <t>Discharged</t>
        </is>
      </c>
      <c r="G634" t="n">
        <v>71</v>
      </c>
      <c r="H634" t="n">
        <v>226</v>
      </c>
    </row>
    <row r="635">
      <c r="A635" t="inlineStr">
        <is>
          <t>ED212084</t>
        </is>
      </c>
      <c r="B635" s="33" t="n">
        <v>46011.04513888889</v>
      </c>
      <c r="C635" t="inlineStr">
        <is>
          <t>Walk-In</t>
        </is>
      </c>
      <c r="D635" t="n">
        <v>3</v>
      </c>
      <c r="E635" t="inlineStr">
        <is>
          <t>Seizure</t>
        </is>
      </c>
      <c r="F635" t="inlineStr">
        <is>
          <t>Discharged</t>
        </is>
      </c>
      <c r="G635" t="n">
        <v>29</v>
      </c>
      <c r="H635" t="n">
        <v>211</v>
      </c>
    </row>
    <row r="636">
      <c r="A636" t="inlineStr">
        <is>
          <t>ED212085</t>
        </is>
      </c>
      <c r="B636" s="33" t="n">
        <v>46011.22222222222</v>
      </c>
      <c r="C636" t="inlineStr">
        <is>
          <t>Walk-In</t>
        </is>
      </c>
      <c r="D636" t="n">
        <v>4</v>
      </c>
      <c r="E636" t="inlineStr">
        <is>
          <t>Anxiety / Palpitations</t>
        </is>
      </c>
      <c r="F636" t="inlineStr">
        <is>
          <t>Discharged</t>
        </is>
      </c>
      <c r="G636" t="n">
        <v>15</v>
      </c>
      <c r="H636" t="n">
        <v>102</v>
      </c>
    </row>
    <row r="637">
      <c r="A637" t="inlineStr">
        <is>
          <t>ED212087</t>
        </is>
      </c>
      <c r="B637" s="33" t="n">
        <v>46011.46875</v>
      </c>
      <c r="C637" t="inlineStr">
        <is>
          <t>Walk-In</t>
        </is>
      </c>
      <c r="D637" t="n">
        <v>2</v>
      </c>
      <c r="E637" t="inlineStr">
        <is>
          <t>Weakness / Numbness</t>
        </is>
      </c>
      <c r="F637" t="inlineStr">
        <is>
          <t>Admitted</t>
        </is>
      </c>
      <c r="G637" t="n">
        <v>17</v>
      </c>
      <c r="H637" t="n">
        <v>439</v>
      </c>
    </row>
    <row r="638">
      <c r="A638" t="inlineStr">
        <is>
          <t>ED212088</t>
        </is>
      </c>
      <c r="B638" s="33" t="n">
        <v>46011.49444444444</v>
      </c>
      <c r="C638" t="inlineStr">
        <is>
          <t>Walk-In</t>
        </is>
      </c>
      <c r="D638" t="n">
        <v>3</v>
      </c>
      <c r="E638" t="inlineStr">
        <is>
          <t>Vomiting / Diarrhea</t>
        </is>
      </c>
      <c r="F638" t="inlineStr">
        <is>
          <t>Discharged</t>
        </is>
      </c>
      <c r="G638" t="n">
        <v>46</v>
      </c>
      <c r="H638" t="n">
        <v>257</v>
      </c>
    </row>
    <row r="639">
      <c r="A639" t="inlineStr">
        <is>
          <t>ED212090</t>
        </is>
      </c>
      <c r="B639" s="33" t="n">
        <v>46011.52430555555</v>
      </c>
      <c r="C639" t="inlineStr">
        <is>
          <t>Walk-In</t>
        </is>
      </c>
      <c r="D639" t="n">
        <v>4</v>
      </c>
      <c r="E639" t="inlineStr">
        <is>
          <t>Dizziness</t>
        </is>
      </c>
      <c r="F639" t="inlineStr">
        <is>
          <t>Admitted</t>
        </is>
      </c>
      <c r="G639" t="n">
        <v>20</v>
      </c>
      <c r="H639" t="n">
        <v>461</v>
      </c>
    </row>
    <row r="640">
      <c r="A640" t="inlineStr">
        <is>
          <t>ED212092</t>
        </is>
      </c>
      <c r="B640" s="33" t="n">
        <v>46011.53888888889</v>
      </c>
      <c r="C640" t="inlineStr">
        <is>
          <t>Walk-In</t>
        </is>
      </c>
      <c r="D640" t="n">
        <v>3</v>
      </c>
      <c r="E640" t="inlineStr">
        <is>
          <t>Seizure</t>
        </is>
      </c>
      <c r="F640" t="inlineStr">
        <is>
          <t>Discharged</t>
        </is>
      </c>
      <c r="G640" t="n">
        <v>60</v>
      </c>
      <c r="H640" t="n">
        <v>173</v>
      </c>
    </row>
    <row r="641">
      <c r="A641" t="inlineStr">
        <is>
          <t>ED212093</t>
        </is>
      </c>
      <c r="B641" s="33" t="n">
        <v>46011.54930555556</v>
      </c>
      <c r="C641" t="inlineStr">
        <is>
          <t>Walk-In</t>
        </is>
      </c>
      <c r="D641" t="n">
        <v>2</v>
      </c>
      <c r="E641" t="inlineStr">
        <is>
          <t>Cough / Trouble Breathing</t>
        </is>
      </c>
      <c r="F641" t="inlineStr">
        <is>
          <t>Observation</t>
        </is>
      </c>
      <c r="G641" t="n">
        <v>28</v>
      </c>
      <c r="H641" t="n">
        <v>387</v>
      </c>
    </row>
    <row r="642">
      <c r="A642" t="inlineStr">
        <is>
          <t>ED212094</t>
        </is>
      </c>
      <c r="B642" s="33" t="n">
        <v>46011.79305555556</v>
      </c>
      <c r="C642" t="inlineStr">
        <is>
          <t>Walk-In</t>
        </is>
      </c>
      <c r="D642" t="n">
        <v>4</v>
      </c>
      <c r="E642" t="inlineStr">
        <is>
          <t>Ear Pain / Fever</t>
        </is>
      </c>
      <c r="F642" t="inlineStr">
        <is>
          <t>Discharged</t>
        </is>
      </c>
      <c r="G642" t="n">
        <v>63</v>
      </c>
      <c r="H642" t="n">
        <v>166</v>
      </c>
    </row>
    <row r="643">
      <c r="A643" t="inlineStr">
        <is>
          <t>ED212095</t>
        </is>
      </c>
      <c r="B643" s="33" t="n">
        <v>46011.87638888889</v>
      </c>
      <c r="C643" t="inlineStr">
        <is>
          <t>Ambulance</t>
        </is>
      </c>
      <c r="D643" t="n">
        <v>3</v>
      </c>
      <c r="E643" t="inlineStr">
        <is>
          <t>Tremors / Alcohol Withdrawal</t>
        </is>
      </c>
      <c r="F643" t="inlineStr">
        <is>
          <t>Discharged</t>
        </is>
      </c>
      <c r="G643" t="n">
        <v>71</v>
      </c>
      <c r="H643" t="n">
        <v>245</v>
      </c>
    </row>
    <row r="644">
      <c r="A644" t="inlineStr">
        <is>
          <t>ED212096</t>
        </is>
      </c>
      <c r="B644" s="33" t="n">
        <v>46011.91805555556</v>
      </c>
      <c r="C644" t="inlineStr">
        <is>
          <t>Walk-In</t>
        </is>
      </c>
      <c r="D644" t="n">
        <v>4</v>
      </c>
      <c r="E644" t="inlineStr">
        <is>
          <t>Chest Pain</t>
        </is>
      </c>
      <c r="F644" t="inlineStr">
        <is>
          <t>Discharged</t>
        </is>
      </c>
      <c r="G644" t="n">
        <v>42</v>
      </c>
      <c r="H644" t="n">
        <v>128</v>
      </c>
    </row>
    <row r="645">
      <c r="A645" t="inlineStr">
        <is>
          <t>ED212097</t>
        </is>
      </c>
      <c r="B645" s="33" t="n">
        <v>46011.97152777778</v>
      </c>
      <c r="C645" t="inlineStr">
        <is>
          <t>Walk-In</t>
        </is>
      </c>
      <c r="D645" t="n">
        <v>5</v>
      </c>
      <c r="E645" t="inlineStr">
        <is>
          <t>Cough / Fever</t>
        </is>
      </c>
      <c r="F645" t="inlineStr">
        <is>
          <t>Discharged</t>
        </is>
      </c>
      <c r="G645" t="n">
        <v>101</v>
      </c>
      <c r="H645" t="n">
        <v>151</v>
      </c>
    </row>
    <row r="646">
      <c r="A646" t="inlineStr">
        <is>
          <t>ED212099</t>
        </is>
      </c>
      <c r="B646" s="33" t="n">
        <v>46011.98888888889</v>
      </c>
      <c r="C646" t="inlineStr">
        <is>
          <t>Walk-In</t>
        </is>
      </c>
      <c r="D646" t="n">
        <v>4</v>
      </c>
      <c r="E646" t="inlineStr">
        <is>
          <t>Cough / Fever</t>
        </is>
      </c>
      <c r="F646" t="inlineStr">
        <is>
          <t>Discharged</t>
        </is>
      </c>
      <c r="G646" t="n">
        <v>147</v>
      </c>
      <c r="H646" t="n">
        <v>228</v>
      </c>
    </row>
    <row r="647">
      <c r="A647" t="inlineStr">
        <is>
          <t>ED212100</t>
        </is>
      </c>
      <c r="B647" s="33" t="n">
        <v>46012.27916666667</v>
      </c>
      <c r="C647" t="inlineStr">
        <is>
          <t>Walk-In</t>
        </is>
      </c>
      <c r="D647" t="n">
        <v>4</v>
      </c>
      <c r="E647" t="inlineStr">
        <is>
          <t>Cough / Fever</t>
        </is>
      </c>
      <c r="F647" t="inlineStr">
        <is>
          <t>Discharged</t>
        </is>
      </c>
      <c r="G647" t="n">
        <v>32</v>
      </c>
      <c r="H647" t="n">
        <v>141</v>
      </c>
    </row>
    <row r="648">
      <c r="A648" t="inlineStr">
        <is>
          <t>ED212102</t>
        </is>
      </c>
      <c r="B648" s="33" t="n">
        <v>46012.37569444445</v>
      </c>
      <c r="C648" t="inlineStr">
        <is>
          <t>Walk-In</t>
        </is>
      </c>
      <c r="D648" t="n">
        <v>4</v>
      </c>
      <c r="E648" t="inlineStr">
        <is>
          <t>Painful Urination / Fever</t>
        </is>
      </c>
      <c r="F648" t="inlineStr">
        <is>
          <t>LWBS</t>
        </is>
      </c>
      <c r="H648" t="n">
        <v>94</v>
      </c>
    </row>
    <row r="649">
      <c r="A649" t="inlineStr">
        <is>
          <t>ED212106</t>
        </is>
      </c>
      <c r="B649" s="33" t="n">
        <v>46012.50694444445</v>
      </c>
      <c r="C649" t="inlineStr">
        <is>
          <t>Ambulance</t>
        </is>
      </c>
      <c r="D649" t="n">
        <v>3</v>
      </c>
      <c r="E649" t="inlineStr">
        <is>
          <t>Shortness of Breath</t>
        </is>
      </c>
      <c r="F649" t="inlineStr">
        <is>
          <t>Admitted</t>
        </is>
      </c>
      <c r="G649" t="n">
        <v>96</v>
      </c>
      <c r="H649" t="n">
        <v>421</v>
      </c>
    </row>
    <row r="650">
      <c r="A650" t="inlineStr">
        <is>
          <t>ED212108</t>
        </is>
      </c>
      <c r="B650" s="33" t="n">
        <v>46012.51111111111</v>
      </c>
      <c r="C650" t="inlineStr">
        <is>
          <t>Walk-In</t>
        </is>
      </c>
      <c r="D650" t="n">
        <v>4</v>
      </c>
      <c r="E650" t="inlineStr">
        <is>
          <t>Painful Urination / Fever</t>
        </is>
      </c>
      <c r="F650" t="inlineStr">
        <is>
          <t>Discharged</t>
        </is>
      </c>
      <c r="G650" t="n">
        <v>102</v>
      </c>
      <c r="H650" t="n">
        <v>234</v>
      </c>
    </row>
    <row r="651">
      <c r="A651" t="inlineStr">
        <is>
          <t>ED212109</t>
        </is>
      </c>
      <c r="B651" s="33" t="n">
        <v>46012.54236111111</v>
      </c>
      <c r="C651" t="inlineStr">
        <is>
          <t>Walk-In</t>
        </is>
      </c>
      <c r="D651" t="n">
        <v>3</v>
      </c>
      <c r="E651" t="inlineStr">
        <is>
          <t>Head Injury</t>
        </is>
      </c>
      <c r="F651" t="inlineStr">
        <is>
          <t>Discharged</t>
        </is>
      </c>
      <c r="G651" t="n">
        <v>44</v>
      </c>
      <c r="H651" t="n">
        <v>262</v>
      </c>
    </row>
    <row r="652">
      <c r="A652" t="inlineStr">
        <is>
          <t>ED212110</t>
        </is>
      </c>
      <c r="B652" s="33" t="n">
        <v>46012.58611111111</v>
      </c>
      <c r="C652" t="inlineStr">
        <is>
          <t>Walk-In</t>
        </is>
      </c>
      <c r="D652" t="n">
        <v>4</v>
      </c>
      <c r="E652" t="inlineStr">
        <is>
          <t>Anxiety / Palpitations</t>
        </is>
      </c>
      <c r="F652" t="inlineStr">
        <is>
          <t>Discharged</t>
        </is>
      </c>
      <c r="G652" t="n">
        <v>64</v>
      </c>
      <c r="H652" t="n">
        <v>151</v>
      </c>
    </row>
    <row r="653">
      <c r="A653" t="inlineStr">
        <is>
          <t>ED212111</t>
        </is>
      </c>
      <c r="B653" s="33" t="n">
        <v>46012.59513888889</v>
      </c>
      <c r="C653" t="inlineStr">
        <is>
          <t>Walk-In</t>
        </is>
      </c>
      <c r="D653" t="n">
        <v>2</v>
      </c>
      <c r="E653" t="inlineStr">
        <is>
          <t>Shortness of Breath</t>
        </is>
      </c>
      <c r="F653" t="inlineStr">
        <is>
          <t>Admitted</t>
        </is>
      </c>
      <c r="G653" t="n">
        <v>13</v>
      </c>
      <c r="H653" t="n">
        <v>288</v>
      </c>
    </row>
    <row r="654">
      <c r="A654" t="inlineStr">
        <is>
          <t>ED212112</t>
        </is>
      </c>
      <c r="B654" s="33" t="n">
        <v>46012.66458333333</v>
      </c>
      <c r="C654" t="inlineStr">
        <is>
          <t>Walk-In</t>
        </is>
      </c>
      <c r="D654" t="n">
        <v>4</v>
      </c>
      <c r="E654" t="inlineStr">
        <is>
          <t>Vomiting / Diarrhea</t>
        </is>
      </c>
      <c r="F654" t="inlineStr">
        <is>
          <t>Left AMA</t>
        </is>
      </c>
      <c r="G654" t="n">
        <v>79</v>
      </c>
      <c r="H654" t="n">
        <v>106</v>
      </c>
    </row>
    <row r="655">
      <c r="A655" t="inlineStr">
        <is>
          <t>ED212113</t>
        </is>
      </c>
      <c r="B655" s="33" t="n">
        <v>46012.70972222222</v>
      </c>
      <c r="C655" t="inlineStr">
        <is>
          <t>Ambulance</t>
        </is>
      </c>
      <c r="D655" t="n">
        <v>4</v>
      </c>
      <c r="E655" t="inlineStr">
        <is>
          <t>Fainting</t>
        </is>
      </c>
      <c r="F655" t="inlineStr">
        <is>
          <t>Admitted</t>
        </is>
      </c>
      <c r="G655" t="n">
        <v>101</v>
      </c>
      <c r="H655" t="n">
        <v>221</v>
      </c>
    </row>
    <row r="656">
      <c r="A656" t="inlineStr">
        <is>
          <t>ED212114</t>
        </is>
      </c>
      <c r="B656" s="33" t="n">
        <v>46012.78194444445</v>
      </c>
      <c r="C656" t="inlineStr">
        <is>
          <t>Walk-In</t>
        </is>
      </c>
      <c r="D656" t="n">
        <v>4</v>
      </c>
      <c r="E656" t="inlineStr">
        <is>
          <t>Back Pain</t>
        </is>
      </c>
      <c r="F656" t="inlineStr">
        <is>
          <t>Discharged</t>
        </is>
      </c>
      <c r="G656" t="n">
        <v>31</v>
      </c>
      <c r="H656" t="n">
        <v>131</v>
      </c>
    </row>
    <row r="657">
      <c r="A657" t="inlineStr">
        <is>
          <t>ED212115</t>
        </is>
      </c>
      <c r="B657" s="33" t="n">
        <v>46012.95069444444</v>
      </c>
      <c r="C657" t="inlineStr">
        <is>
          <t>Walk-In</t>
        </is>
      </c>
      <c r="D657" t="n">
        <v>3</v>
      </c>
      <c r="E657" t="inlineStr">
        <is>
          <t>Rash</t>
        </is>
      </c>
      <c r="F657" t="inlineStr">
        <is>
          <t>Discharged</t>
        </is>
      </c>
      <c r="G657" t="n">
        <v>40</v>
      </c>
      <c r="H657" t="n">
        <v>156</v>
      </c>
    </row>
    <row r="658">
      <c r="A658" t="inlineStr">
        <is>
          <t>ED212116</t>
        </is>
      </c>
      <c r="B658" s="33" t="n">
        <v>46013.08055555556</v>
      </c>
      <c r="C658" t="inlineStr">
        <is>
          <t>Walk-In</t>
        </is>
      </c>
      <c r="D658" t="n">
        <v>3</v>
      </c>
      <c r="E658" t="inlineStr">
        <is>
          <t>Shortness of Breath</t>
        </is>
      </c>
      <c r="F658" t="inlineStr">
        <is>
          <t>Discharged</t>
        </is>
      </c>
      <c r="G658" t="n">
        <v>17</v>
      </c>
      <c r="H658" t="n">
        <v>190</v>
      </c>
    </row>
    <row r="659">
      <c r="A659" t="inlineStr">
        <is>
          <t>ED212117</t>
        </is>
      </c>
      <c r="B659" s="33" t="n">
        <v>46013.13194444445</v>
      </c>
      <c r="C659" t="inlineStr">
        <is>
          <t>Walk-In</t>
        </is>
      </c>
      <c r="D659" t="n">
        <v>3</v>
      </c>
      <c r="E659" t="inlineStr">
        <is>
          <t>Painful Urination / Fever</t>
        </is>
      </c>
      <c r="F659" t="inlineStr">
        <is>
          <t>Admitted</t>
        </is>
      </c>
      <c r="G659" t="n">
        <v>18</v>
      </c>
      <c r="H659" t="n">
        <v>460</v>
      </c>
    </row>
    <row r="660">
      <c r="A660" t="inlineStr">
        <is>
          <t>ED212120</t>
        </is>
      </c>
      <c r="B660" s="33" t="n">
        <v>46013.41597222222</v>
      </c>
      <c r="C660" t="inlineStr">
        <is>
          <t>Ambulance</t>
        </is>
      </c>
      <c r="D660" t="n">
        <v>3</v>
      </c>
      <c r="E660" t="inlineStr">
        <is>
          <t>Vomiting / Dizziness</t>
        </is>
      </c>
      <c r="F660" t="inlineStr">
        <is>
          <t>Admitted</t>
        </is>
      </c>
      <c r="G660" t="n">
        <v>43</v>
      </c>
      <c r="H660" t="n">
        <v>508</v>
      </c>
    </row>
    <row r="661">
      <c r="A661" t="inlineStr">
        <is>
          <t>ED212123</t>
        </is>
      </c>
      <c r="B661" s="33" t="n">
        <v>46013.53819444445</v>
      </c>
      <c r="C661" t="inlineStr">
        <is>
          <t>Walk-In</t>
        </is>
      </c>
      <c r="D661" t="n">
        <v>2</v>
      </c>
      <c r="E661" t="inlineStr">
        <is>
          <t>Shortness of Breath</t>
        </is>
      </c>
      <c r="F661" t="inlineStr">
        <is>
          <t>Admitted</t>
        </is>
      </c>
      <c r="G661" t="n">
        <v>11</v>
      </c>
      <c r="H661" t="n">
        <v>379</v>
      </c>
    </row>
    <row r="662">
      <c r="A662" t="inlineStr">
        <is>
          <t>ED212124</t>
        </is>
      </c>
      <c r="B662" s="33" t="n">
        <v>46013.54722222222</v>
      </c>
      <c r="C662" t="inlineStr">
        <is>
          <t>Ambulance</t>
        </is>
      </c>
      <c r="D662" t="n">
        <v>2</v>
      </c>
      <c r="E662" t="inlineStr">
        <is>
          <t>Chest Pain</t>
        </is>
      </c>
      <c r="F662" t="inlineStr">
        <is>
          <t>Discharged</t>
        </is>
      </c>
      <c r="G662" t="n">
        <v>13</v>
      </c>
      <c r="H662" t="n">
        <v>249</v>
      </c>
    </row>
    <row r="663">
      <c r="A663" t="inlineStr">
        <is>
          <t>ED212125</t>
        </is>
      </c>
      <c r="B663" s="33" t="n">
        <v>46013.55138888889</v>
      </c>
      <c r="C663" t="inlineStr">
        <is>
          <t>Ambulance</t>
        </is>
      </c>
      <c r="D663" t="n">
        <v>3</v>
      </c>
      <c r="E663" t="inlineStr">
        <is>
          <t>High Blood Sugar</t>
        </is>
      </c>
      <c r="F663" t="inlineStr">
        <is>
          <t>Discharged</t>
        </is>
      </c>
      <c r="G663" t="n">
        <v>57</v>
      </c>
      <c r="H663" t="n">
        <v>249</v>
      </c>
    </row>
    <row r="664">
      <c r="A664" t="inlineStr">
        <is>
          <t>ED212126</t>
        </is>
      </c>
      <c r="B664" s="33" t="n">
        <v>46013.58680555555</v>
      </c>
      <c r="C664" t="inlineStr">
        <is>
          <t>Walk-In</t>
        </is>
      </c>
      <c r="D664" t="n">
        <v>4</v>
      </c>
      <c r="E664" t="inlineStr">
        <is>
          <t>High Blood Sugar</t>
        </is>
      </c>
      <c r="F664" t="inlineStr">
        <is>
          <t>Discharged</t>
        </is>
      </c>
      <c r="G664" t="n">
        <v>51</v>
      </c>
      <c r="H664" t="n">
        <v>163</v>
      </c>
    </row>
    <row r="665">
      <c r="A665" t="inlineStr">
        <is>
          <t>ED212127</t>
        </is>
      </c>
      <c r="B665" s="33" t="n">
        <v>46013.59930555556</v>
      </c>
      <c r="C665" t="inlineStr">
        <is>
          <t>Walk-In</t>
        </is>
      </c>
      <c r="D665" t="n">
        <v>5</v>
      </c>
      <c r="E665" t="inlineStr">
        <is>
          <t>Ear Pain / Fever</t>
        </is>
      </c>
      <c r="F665" t="inlineStr">
        <is>
          <t>Discharged</t>
        </is>
      </c>
      <c r="G665" t="n">
        <v>47</v>
      </c>
      <c r="H665" t="n">
        <v>125</v>
      </c>
    </row>
    <row r="666">
      <c r="A666" t="inlineStr">
        <is>
          <t>ED212128</t>
        </is>
      </c>
      <c r="B666" s="33" t="n">
        <v>46013.61527777778</v>
      </c>
      <c r="C666" t="inlineStr">
        <is>
          <t>Walk-In</t>
        </is>
      </c>
      <c r="D666" t="n">
        <v>5</v>
      </c>
      <c r="E666" t="inlineStr">
        <is>
          <t>Cough / Fever</t>
        </is>
      </c>
      <c r="F666" t="inlineStr">
        <is>
          <t>Discharged</t>
        </is>
      </c>
      <c r="G666" t="n">
        <v>78</v>
      </c>
      <c r="H666" t="n">
        <v>149</v>
      </c>
    </row>
    <row r="667">
      <c r="A667" t="inlineStr">
        <is>
          <t>ED212129</t>
        </is>
      </c>
      <c r="B667" s="33" t="n">
        <v>46013.67361111111</v>
      </c>
      <c r="C667" t="inlineStr">
        <is>
          <t>Walk-In</t>
        </is>
      </c>
      <c r="D667" t="n">
        <v>3</v>
      </c>
      <c r="E667" t="inlineStr">
        <is>
          <t>Abdominal Pain</t>
        </is>
      </c>
      <c r="F667" t="inlineStr">
        <is>
          <t>Discharged</t>
        </is>
      </c>
      <c r="G667" t="n">
        <v>80</v>
      </c>
      <c r="H667" t="n">
        <v>247</v>
      </c>
    </row>
    <row r="668">
      <c r="A668" t="inlineStr">
        <is>
          <t>ED212130</t>
        </is>
      </c>
      <c r="B668" s="33" t="n">
        <v>46013.67986111111</v>
      </c>
      <c r="C668" t="inlineStr">
        <is>
          <t>Walk-In</t>
        </is>
      </c>
      <c r="D668" t="n">
        <v>3</v>
      </c>
      <c r="E668" t="inlineStr">
        <is>
          <t>Abdominal Pain</t>
        </is>
      </c>
      <c r="F668" t="inlineStr">
        <is>
          <t>Discharged</t>
        </is>
      </c>
      <c r="G668" t="n">
        <v>25</v>
      </c>
      <c r="H668" t="n">
        <v>153</v>
      </c>
    </row>
    <row r="669">
      <c r="A669" t="inlineStr">
        <is>
          <t>ED212133</t>
        </is>
      </c>
      <c r="B669" s="33" t="n">
        <v>46013.73263888889</v>
      </c>
      <c r="C669" t="inlineStr">
        <is>
          <t>Walk-In</t>
        </is>
      </c>
      <c r="D669" t="n">
        <v>3</v>
      </c>
      <c r="E669" t="inlineStr">
        <is>
          <t>Head Injury</t>
        </is>
      </c>
      <c r="F669" t="inlineStr">
        <is>
          <t>Discharged</t>
        </is>
      </c>
      <c r="G669" t="n">
        <v>70</v>
      </c>
      <c r="H669" t="n">
        <v>268</v>
      </c>
    </row>
    <row r="670">
      <c r="A670" t="inlineStr">
        <is>
          <t>ED212134</t>
        </is>
      </c>
      <c r="B670" s="33" t="n">
        <v>46013.77916666667</v>
      </c>
      <c r="C670" t="inlineStr">
        <is>
          <t>Ambulance</t>
        </is>
      </c>
      <c r="D670" t="n">
        <v>2</v>
      </c>
      <c r="E670" t="inlineStr">
        <is>
          <t>Weakness / Numbness</t>
        </is>
      </c>
      <c r="F670" t="inlineStr">
        <is>
          <t>Admitted</t>
        </is>
      </c>
      <c r="G670" t="n">
        <v>9</v>
      </c>
      <c r="H670" t="n">
        <v>1304</v>
      </c>
    </row>
    <row r="671">
      <c r="A671" t="inlineStr">
        <is>
          <t>ED212136</t>
        </is>
      </c>
      <c r="B671" s="33" t="n">
        <v>46013.82638888889</v>
      </c>
      <c r="C671" t="inlineStr">
        <is>
          <t>Walk-In</t>
        </is>
      </c>
      <c r="D671" t="n">
        <v>3</v>
      </c>
      <c r="E671" t="inlineStr">
        <is>
          <t>Vomiting / Dizziness</t>
        </is>
      </c>
      <c r="F671" t="inlineStr">
        <is>
          <t>Discharged</t>
        </is>
      </c>
      <c r="G671" t="n">
        <v>104</v>
      </c>
      <c r="H671" t="n">
        <v>199</v>
      </c>
    </row>
    <row r="672">
      <c r="A672" t="inlineStr">
        <is>
          <t>ED212137</t>
        </is>
      </c>
      <c r="B672" s="33" t="n">
        <v>46013.88194444445</v>
      </c>
      <c r="C672" t="inlineStr">
        <is>
          <t>Walk-In</t>
        </is>
      </c>
      <c r="D672" t="n">
        <v>3</v>
      </c>
      <c r="E672" t="inlineStr">
        <is>
          <t>Seizure</t>
        </is>
      </c>
      <c r="F672" t="inlineStr">
        <is>
          <t>Observation</t>
        </is>
      </c>
      <c r="G672" t="n">
        <v>56</v>
      </c>
      <c r="H672" t="n">
        <v>489</v>
      </c>
    </row>
    <row r="673">
      <c r="A673" t="inlineStr">
        <is>
          <t>ED212138</t>
        </is>
      </c>
      <c r="B673" s="33" t="n">
        <v>46014.14375</v>
      </c>
      <c r="C673" t="inlineStr">
        <is>
          <t>Walk-In</t>
        </is>
      </c>
      <c r="D673" t="n">
        <v>4</v>
      </c>
      <c r="E673" t="inlineStr">
        <is>
          <t>Abdominal Pain</t>
        </is>
      </c>
      <c r="F673" t="inlineStr">
        <is>
          <t>Discharged</t>
        </is>
      </c>
      <c r="G673" t="n">
        <v>49</v>
      </c>
      <c r="H673" t="n">
        <v>170</v>
      </c>
    </row>
    <row r="674">
      <c r="A674" t="inlineStr">
        <is>
          <t>ED212139</t>
        </is>
      </c>
      <c r="B674" s="33" t="n">
        <v>46014.32708333333</v>
      </c>
      <c r="C674" t="inlineStr">
        <is>
          <t>Walk-In</t>
        </is>
      </c>
      <c r="D674" t="n">
        <v>2</v>
      </c>
      <c r="E674" t="inlineStr">
        <is>
          <t>Palpitations</t>
        </is>
      </c>
      <c r="F674" t="inlineStr">
        <is>
          <t>Discharged</t>
        </is>
      </c>
      <c r="G674" t="n">
        <v>22</v>
      </c>
      <c r="H674" t="n">
        <v>230</v>
      </c>
    </row>
    <row r="675">
      <c r="A675" t="inlineStr">
        <is>
          <t>ED212140</t>
        </is>
      </c>
      <c r="B675" s="33" t="n">
        <v>46014.44097222222</v>
      </c>
      <c r="C675" t="inlineStr">
        <is>
          <t>Walk-In</t>
        </is>
      </c>
      <c r="D675" t="n">
        <v>2</v>
      </c>
      <c r="E675" t="inlineStr">
        <is>
          <t>Shortness of Breath</t>
        </is>
      </c>
      <c r="F675" t="inlineStr">
        <is>
          <t>Transferred</t>
        </is>
      </c>
      <c r="G675" t="n">
        <v>15</v>
      </c>
      <c r="H675" t="n">
        <v>445</v>
      </c>
    </row>
    <row r="676">
      <c r="A676" t="inlineStr">
        <is>
          <t>ED212141</t>
        </is>
      </c>
      <c r="B676" s="33" t="n">
        <v>46014.44375</v>
      </c>
      <c r="C676" t="inlineStr">
        <is>
          <t>Walk-In</t>
        </is>
      </c>
      <c r="D676" t="n">
        <v>3</v>
      </c>
      <c r="E676" t="inlineStr">
        <is>
          <t>Cough / Trouble Breathing</t>
        </is>
      </c>
      <c r="F676" t="inlineStr">
        <is>
          <t>Discharged</t>
        </is>
      </c>
      <c r="G676" t="n">
        <v>99</v>
      </c>
      <c r="H676" t="n">
        <v>279</v>
      </c>
    </row>
    <row r="677">
      <c r="A677" t="inlineStr">
        <is>
          <t>ED212142</t>
        </is>
      </c>
      <c r="B677" s="33" t="n">
        <v>46014.46458333333</v>
      </c>
      <c r="C677" t="inlineStr">
        <is>
          <t>Walk-In</t>
        </is>
      </c>
      <c r="D677" t="n">
        <v>3</v>
      </c>
      <c r="E677" t="inlineStr">
        <is>
          <t>Abdominal Pain</t>
        </is>
      </c>
      <c r="F677" t="inlineStr">
        <is>
          <t>Discharged</t>
        </is>
      </c>
      <c r="G677" t="n">
        <v>62</v>
      </c>
      <c r="H677" t="n">
        <v>231</v>
      </c>
    </row>
    <row r="678">
      <c r="A678" t="inlineStr">
        <is>
          <t>ED212143</t>
        </is>
      </c>
      <c r="B678" s="33" t="n">
        <v>46014.46666666667</v>
      </c>
      <c r="C678" t="inlineStr">
        <is>
          <t>Walk-In</t>
        </is>
      </c>
      <c r="D678" t="n">
        <v>3</v>
      </c>
      <c r="E678" t="inlineStr">
        <is>
          <t>Cough / Fever</t>
        </is>
      </c>
      <c r="F678" t="inlineStr">
        <is>
          <t>Discharged</t>
        </is>
      </c>
      <c r="G678" t="n">
        <v>44</v>
      </c>
      <c r="H678" t="n">
        <v>189</v>
      </c>
    </row>
    <row r="679">
      <c r="A679" t="inlineStr">
        <is>
          <t>ED212144</t>
        </is>
      </c>
      <c r="B679" s="33" t="n">
        <v>46014.50486111111</v>
      </c>
      <c r="C679" t="inlineStr">
        <is>
          <t>Walk-In</t>
        </is>
      </c>
      <c r="D679" t="n">
        <v>5</v>
      </c>
      <c r="E679" t="inlineStr">
        <is>
          <t>Ear Pain / Fever</t>
        </is>
      </c>
      <c r="F679" t="inlineStr">
        <is>
          <t>Discharged</t>
        </is>
      </c>
      <c r="G679" t="n">
        <v>86</v>
      </c>
      <c r="H679" t="n">
        <v>150</v>
      </c>
    </row>
    <row r="680">
      <c r="A680" t="inlineStr">
        <is>
          <t>ED212145</t>
        </is>
      </c>
      <c r="B680" s="33" t="n">
        <v>46014.50763888889</v>
      </c>
      <c r="C680" t="inlineStr">
        <is>
          <t>Ambulance</t>
        </is>
      </c>
      <c r="D680" t="n">
        <v>3</v>
      </c>
      <c r="E680" t="inlineStr">
        <is>
          <t>Cough / Fever</t>
        </is>
      </c>
      <c r="F680" t="inlineStr">
        <is>
          <t>Discharged</t>
        </is>
      </c>
      <c r="G680" t="n">
        <v>43</v>
      </c>
      <c r="H680" t="n">
        <v>228</v>
      </c>
    </row>
    <row r="681">
      <c r="A681" t="inlineStr">
        <is>
          <t>ED212146</t>
        </is>
      </c>
      <c r="B681" s="33" t="n">
        <v>46014.5125</v>
      </c>
      <c r="C681" t="inlineStr">
        <is>
          <t>Walk-In</t>
        </is>
      </c>
      <c r="D681" t="n">
        <v>4</v>
      </c>
      <c r="E681" t="inlineStr">
        <is>
          <t>Painful Urination / Fever</t>
        </is>
      </c>
      <c r="F681" t="inlineStr">
        <is>
          <t>Discharged</t>
        </is>
      </c>
      <c r="G681" t="n">
        <v>49</v>
      </c>
      <c r="H681" t="n">
        <v>138</v>
      </c>
    </row>
    <row r="682">
      <c r="A682" t="inlineStr">
        <is>
          <t>ED212147</t>
        </is>
      </c>
      <c r="B682" s="33" t="n">
        <v>46014.53541666667</v>
      </c>
      <c r="C682" t="inlineStr">
        <is>
          <t>Walk-In</t>
        </is>
      </c>
      <c r="D682" t="n">
        <v>3</v>
      </c>
      <c r="E682" t="inlineStr">
        <is>
          <t>Shortness of Breath</t>
        </is>
      </c>
      <c r="F682" t="inlineStr">
        <is>
          <t>Admitted</t>
        </is>
      </c>
      <c r="G682" t="n">
        <v>78</v>
      </c>
      <c r="H682" t="n">
        <v>241</v>
      </c>
    </row>
    <row r="683">
      <c r="A683" t="inlineStr">
        <is>
          <t>ED212148</t>
        </is>
      </c>
      <c r="B683" s="33" t="n">
        <v>46014.54861111111</v>
      </c>
      <c r="C683" t="inlineStr">
        <is>
          <t>Ambulance</t>
        </is>
      </c>
      <c r="D683" t="n">
        <v>2</v>
      </c>
      <c r="E683" t="inlineStr">
        <is>
          <t>Fever / Altered Mental Status</t>
        </is>
      </c>
      <c r="F683" t="inlineStr">
        <is>
          <t>Admitted</t>
        </is>
      </c>
      <c r="G683" t="n">
        <v>16</v>
      </c>
      <c r="H683" t="n">
        <v>348</v>
      </c>
    </row>
    <row r="684">
      <c r="A684" t="inlineStr">
        <is>
          <t>ED212149</t>
        </is>
      </c>
      <c r="B684" s="33" t="n">
        <v>46014.55972222222</v>
      </c>
      <c r="C684" t="inlineStr">
        <is>
          <t>Walk-In</t>
        </is>
      </c>
      <c r="D684" t="n">
        <v>4</v>
      </c>
      <c r="E684" t="inlineStr">
        <is>
          <t>Laceration</t>
        </is>
      </c>
      <c r="F684" t="inlineStr">
        <is>
          <t>Admitted</t>
        </is>
      </c>
      <c r="G684" t="n">
        <v>114</v>
      </c>
      <c r="H684" t="n">
        <v>270</v>
      </c>
    </row>
    <row r="685">
      <c r="A685" t="inlineStr">
        <is>
          <t>ED212150</t>
        </is>
      </c>
      <c r="B685" s="33" t="n">
        <v>46014.575</v>
      </c>
      <c r="C685" t="inlineStr">
        <is>
          <t>Walk-In</t>
        </is>
      </c>
      <c r="D685" t="n">
        <v>2</v>
      </c>
      <c r="E685" t="inlineStr">
        <is>
          <t>Shortness of Breath</t>
        </is>
      </c>
      <c r="F685" t="inlineStr">
        <is>
          <t>Admitted</t>
        </is>
      </c>
      <c r="G685" t="n">
        <v>47</v>
      </c>
      <c r="H685" t="n">
        <v>321</v>
      </c>
    </row>
    <row r="686">
      <c r="A686" t="inlineStr">
        <is>
          <t>ED212151</t>
        </is>
      </c>
      <c r="B686" s="33" t="n">
        <v>46014.62638888889</v>
      </c>
      <c r="C686" t="inlineStr">
        <is>
          <t>Walk-In</t>
        </is>
      </c>
      <c r="D686" t="n">
        <v>3</v>
      </c>
      <c r="E686" t="inlineStr">
        <is>
          <t>Nausea</t>
        </is>
      </c>
      <c r="F686" t="inlineStr">
        <is>
          <t>Discharged</t>
        </is>
      </c>
      <c r="G686" t="n">
        <v>59</v>
      </c>
      <c r="H686" t="n">
        <v>180</v>
      </c>
    </row>
    <row r="687">
      <c r="A687" t="inlineStr">
        <is>
          <t>ED212152</t>
        </is>
      </c>
      <c r="B687" s="33" t="n">
        <v>46014.62847222222</v>
      </c>
      <c r="C687" t="inlineStr">
        <is>
          <t>Walk-In</t>
        </is>
      </c>
      <c r="D687" t="n">
        <v>3</v>
      </c>
      <c r="E687" t="inlineStr">
        <is>
          <t>Cough / Fever</t>
        </is>
      </c>
      <c r="F687" t="inlineStr">
        <is>
          <t>Discharged</t>
        </is>
      </c>
      <c r="G687" t="n">
        <v>51</v>
      </c>
      <c r="H687" t="n">
        <v>221</v>
      </c>
    </row>
    <row r="688">
      <c r="A688" t="inlineStr">
        <is>
          <t>ED212154</t>
        </is>
      </c>
      <c r="B688" s="33" t="n">
        <v>46014.67291666667</v>
      </c>
      <c r="C688" t="inlineStr">
        <is>
          <t>Walk-In</t>
        </is>
      </c>
      <c r="D688" t="n">
        <v>4</v>
      </c>
      <c r="E688" t="inlineStr">
        <is>
          <t>Vomiting / Dizziness</t>
        </is>
      </c>
      <c r="F688" t="inlineStr">
        <is>
          <t>LWBS</t>
        </is>
      </c>
      <c r="H688" t="n">
        <v>132</v>
      </c>
    </row>
    <row r="689">
      <c r="A689" t="inlineStr">
        <is>
          <t>ED212156</t>
        </is>
      </c>
      <c r="B689" s="33" t="n">
        <v>46014.69861111111</v>
      </c>
      <c r="C689" t="inlineStr">
        <is>
          <t>Ambulance</t>
        </is>
      </c>
      <c r="D689" t="n">
        <v>1</v>
      </c>
      <c r="E689" t="inlineStr">
        <is>
          <t>Weakness / Numbness</t>
        </is>
      </c>
      <c r="F689" t="inlineStr">
        <is>
          <t>Admitted</t>
        </is>
      </c>
      <c r="G689" t="n">
        <v>5</v>
      </c>
      <c r="H689" t="n">
        <v>477</v>
      </c>
    </row>
    <row r="690">
      <c r="A690" t="inlineStr">
        <is>
          <t>ED212157</t>
        </is>
      </c>
      <c r="B690" s="33" t="n">
        <v>46014.7625</v>
      </c>
      <c r="C690" t="inlineStr">
        <is>
          <t>Walk-In</t>
        </is>
      </c>
      <c r="D690" t="n">
        <v>3</v>
      </c>
      <c r="E690" t="inlineStr">
        <is>
          <t>Cough / Fever</t>
        </is>
      </c>
      <c r="F690" t="inlineStr">
        <is>
          <t>Discharged</t>
        </is>
      </c>
      <c r="G690" t="n">
        <v>33</v>
      </c>
      <c r="H690" t="n">
        <v>226</v>
      </c>
    </row>
    <row r="691">
      <c r="A691" t="inlineStr">
        <is>
          <t>ED212158</t>
        </is>
      </c>
      <c r="B691" s="33" t="n">
        <v>46014.77986111111</v>
      </c>
      <c r="C691" t="inlineStr">
        <is>
          <t>Walk-In</t>
        </is>
      </c>
      <c r="D691" t="n">
        <v>3</v>
      </c>
      <c r="E691" t="inlineStr">
        <is>
          <t>Cough / Fever</t>
        </is>
      </c>
      <c r="F691" t="inlineStr">
        <is>
          <t>Discharged</t>
        </is>
      </c>
      <c r="G691" t="n">
        <v>66</v>
      </c>
      <c r="H691" t="n">
        <v>267</v>
      </c>
    </row>
    <row r="692">
      <c r="A692" t="inlineStr">
        <is>
          <t>ED212160</t>
        </is>
      </c>
      <c r="B692" s="33" t="n">
        <v>46014.83611111111</v>
      </c>
      <c r="C692" t="inlineStr">
        <is>
          <t>Walk-In</t>
        </is>
      </c>
      <c r="D692" t="n">
        <v>3</v>
      </c>
      <c r="E692" t="inlineStr">
        <is>
          <t>Palpitations</t>
        </is>
      </c>
      <c r="F692" t="inlineStr">
        <is>
          <t>LWBS</t>
        </is>
      </c>
      <c r="H692" t="n">
        <v>103</v>
      </c>
    </row>
    <row r="693">
      <c r="A693" t="inlineStr">
        <is>
          <t>ED212162</t>
        </is>
      </c>
      <c r="B693" s="33" t="n">
        <v>46014.86527777778</v>
      </c>
      <c r="C693" t="inlineStr">
        <is>
          <t>Walk-In</t>
        </is>
      </c>
      <c r="D693" t="n">
        <v>4</v>
      </c>
      <c r="E693" t="inlineStr">
        <is>
          <t>Back Pain</t>
        </is>
      </c>
      <c r="F693" t="inlineStr">
        <is>
          <t>Discharged</t>
        </is>
      </c>
      <c r="G693" t="n">
        <v>103</v>
      </c>
      <c r="H693" t="n">
        <v>216</v>
      </c>
    </row>
    <row r="694">
      <c r="A694" t="inlineStr">
        <is>
          <t>ED212163</t>
        </is>
      </c>
      <c r="B694" s="33" t="n">
        <v>46014.86597222222</v>
      </c>
      <c r="C694" t="inlineStr">
        <is>
          <t>Ambulance</t>
        </is>
      </c>
      <c r="D694" t="n">
        <v>3</v>
      </c>
      <c r="E694" t="inlineStr">
        <is>
          <t>Psychiatric Evaluation</t>
        </is>
      </c>
      <c r="F694" t="inlineStr">
        <is>
          <t>Admitted</t>
        </is>
      </c>
      <c r="G694" t="n">
        <v>19</v>
      </c>
      <c r="H694" t="n">
        <v>384</v>
      </c>
    </row>
    <row r="695">
      <c r="A695" t="inlineStr">
        <is>
          <t>ED212165</t>
        </is>
      </c>
      <c r="B695" s="33" t="n">
        <v>46014.89791666667</v>
      </c>
      <c r="C695" t="inlineStr">
        <is>
          <t>Ambulance</t>
        </is>
      </c>
      <c r="D695" t="n">
        <v>3</v>
      </c>
      <c r="E695" t="inlineStr">
        <is>
          <t>Abdominal Pain</t>
        </is>
      </c>
      <c r="F695" t="inlineStr">
        <is>
          <t>Discharged</t>
        </is>
      </c>
      <c r="G695" t="n">
        <v>68</v>
      </c>
      <c r="H695" t="n">
        <v>226</v>
      </c>
    </row>
    <row r="696">
      <c r="A696" t="inlineStr">
        <is>
          <t>ED212167</t>
        </is>
      </c>
      <c r="B696" s="33" t="n">
        <v>46015.02291666667</v>
      </c>
      <c r="C696" t="inlineStr">
        <is>
          <t>Walk-In</t>
        </is>
      </c>
      <c r="D696" t="n">
        <v>3</v>
      </c>
      <c r="E696" t="inlineStr">
        <is>
          <t>Shortness of Breath</t>
        </is>
      </c>
      <c r="F696" t="inlineStr">
        <is>
          <t>Admitted</t>
        </is>
      </c>
      <c r="G696" t="n">
        <v>28</v>
      </c>
      <c r="H696" t="n">
        <v>469</v>
      </c>
    </row>
    <row r="697">
      <c r="A697" t="inlineStr">
        <is>
          <t>ED212168</t>
        </is>
      </c>
      <c r="B697" s="33" t="n">
        <v>46015.27708333333</v>
      </c>
      <c r="C697" t="inlineStr">
        <is>
          <t>Walk-In</t>
        </is>
      </c>
      <c r="D697" t="n">
        <v>3</v>
      </c>
      <c r="E697" t="inlineStr">
        <is>
          <t>Weakness / Numbness</t>
        </is>
      </c>
      <c r="F697" t="inlineStr">
        <is>
          <t>Admitted</t>
        </is>
      </c>
      <c r="G697" t="n">
        <v>17</v>
      </c>
      <c r="H697" t="n">
        <v>424</v>
      </c>
    </row>
    <row r="698">
      <c r="A698" t="inlineStr">
        <is>
          <t>ED212169</t>
        </is>
      </c>
      <c r="B698" s="33" t="n">
        <v>46015.27916666667</v>
      </c>
      <c r="C698" t="inlineStr">
        <is>
          <t>Walk-In</t>
        </is>
      </c>
      <c r="D698" t="n">
        <v>3</v>
      </c>
      <c r="E698" t="inlineStr">
        <is>
          <t>Abdominal Pain</t>
        </is>
      </c>
      <c r="F698" t="inlineStr">
        <is>
          <t>Admitted</t>
        </is>
      </c>
      <c r="G698" t="n">
        <v>34</v>
      </c>
      <c r="H698" t="n">
        <v>253</v>
      </c>
    </row>
    <row r="699">
      <c r="A699" t="inlineStr">
        <is>
          <t>ED212171</t>
        </is>
      </c>
      <c r="B699" s="33" t="n">
        <v>46015.41805555556</v>
      </c>
      <c r="C699" t="inlineStr">
        <is>
          <t>Walk-In</t>
        </is>
      </c>
      <c r="D699" t="n">
        <v>3</v>
      </c>
      <c r="E699" t="inlineStr">
        <is>
          <t>Vomiting / Dizziness</t>
        </is>
      </c>
      <c r="F699" t="inlineStr">
        <is>
          <t>Discharged</t>
        </is>
      </c>
      <c r="G699" t="n">
        <v>32</v>
      </c>
      <c r="H699" t="n">
        <v>147</v>
      </c>
    </row>
    <row r="700">
      <c r="A700" t="inlineStr">
        <is>
          <t>ED212172</t>
        </is>
      </c>
      <c r="B700" s="33" t="n">
        <v>46015.425</v>
      </c>
      <c r="C700" t="inlineStr">
        <is>
          <t>Walk-In</t>
        </is>
      </c>
      <c r="D700" t="n">
        <v>4</v>
      </c>
      <c r="E700" t="inlineStr">
        <is>
          <t>Abdominal Pain</t>
        </is>
      </c>
      <c r="F700" t="inlineStr">
        <is>
          <t>Discharged</t>
        </is>
      </c>
      <c r="G700" t="n">
        <v>23</v>
      </c>
      <c r="H700" t="n">
        <v>104</v>
      </c>
    </row>
    <row r="701">
      <c r="A701" t="inlineStr">
        <is>
          <t>ED212173</t>
        </is>
      </c>
      <c r="B701" s="33" t="n">
        <v>46015.50138888889</v>
      </c>
      <c r="C701" t="inlineStr">
        <is>
          <t>Ambulance</t>
        </is>
      </c>
      <c r="D701" t="n">
        <v>2</v>
      </c>
      <c r="E701" t="inlineStr">
        <is>
          <t>Shortness of Breath</t>
        </is>
      </c>
      <c r="F701" t="inlineStr">
        <is>
          <t>Admitted</t>
        </is>
      </c>
      <c r="G701" t="n">
        <v>21</v>
      </c>
      <c r="H701" t="n">
        <v>366</v>
      </c>
    </row>
    <row r="702">
      <c r="A702" t="inlineStr">
        <is>
          <t>ED212174</t>
        </is>
      </c>
      <c r="B702" s="33" t="n">
        <v>46015.56458333333</v>
      </c>
      <c r="C702" t="inlineStr">
        <is>
          <t>Walk-In</t>
        </is>
      </c>
      <c r="D702" t="n">
        <v>4</v>
      </c>
      <c r="E702" t="inlineStr">
        <is>
          <t>Fall</t>
        </is>
      </c>
      <c r="F702" t="inlineStr">
        <is>
          <t>Discharged</t>
        </is>
      </c>
      <c r="G702" t="n">
        <v>54</v>
      </c>
      <c r="H702" t="n">
        <v>169</v>
      </c>
    </row>
    <row r="703">
      <c r="A703" t="inlineStr">
        <is>
          <t>ED212176</t>
        </is>
      </c>
      <c r="B703" s="33" t="n">
        <v>46015.61180555556</v>
      </c>
      <c r="C703" t="inlineStr">
        <is>
          <t>Walk-In</t>
        </is>
      </c>
      <c r="D703" t="n">
        <v>2</v>
      </c>
      <c r="E703" t="inlineStr">
        <is>
          <t>Cough / Fever</t>
        </is>
      </c>
      <c r="F703" t="inlineStr">
        <is>
          <t>Admitted</t>
        </is>
      </c>
      <c r="G703" t="n">
        <v>52</v>
      </c>
      <c r="H703" t="n">
        <v>306</v>
      </c>
    </row>
    <row r="704">
      <c r="A704" t="inlineStr">
        <is>
          <t>ED212177</t>
        </is>
      </c>
      <c r="B704" s="33" t="n">
        <v>46015.63888888889</v>
      </c>
      <c r="C704" t="inlineStr">
        <is>
          <t>Ambulance</t>
        </is>
      </c>
      <c r="D704" t="n">
        <v>2</v>
      </c>
      <c r="E704" t="inlineStr">
        <is>
          <t>Palpitations</t>
        </is>
      </c>
      <c r="F704" t="inlineStr">
        <is>
          <t>Admitted</t>
        </is>
      </c>
      <c r="G704" t="n">
        <v>21</v>
      </c>
      <c r="H704" t="n">
        <v>344</v>
      </c>
    </row>
    <row r="705">
      <c r="A705" t="inlineStr">
        <is>
          <t>ED212178</t>
        </is>
      </c>
      <c r="B705" s="33" t="n">
        <v>46015.71319444444</v>
      </c>
      <c r="C705" t="inlineStr">
        <is>
          <t>Ambulance</t>
        </is>
      </c>
      <c r="D705" t="n">
        <v>1</v>
      </c>
      <c r="E705" t="inlineStr">
        <is>
          <t>Shortness of Breath</t>
        </is>
      </c>
      <c r="F705" t="inlineStr">
        <is>
          <t>Admitted</t>
        </is>
      </c>
      <c r="G705" t="n">
        <v>5</v>
      </c>
      <c r="H705" t="n">
        <v>361</v>
      </c>
    </row>
    <row r="706">
      <c r="A706" t="inlineStr">
        <is>
          <t>ED212179</t>
        </is>
      </c>
      <c r="B706" s="33" t="n">
        <v>46015.72638888889</v>
      </c>
      <c r="C706" t="inlineStr">
        <is>
          <t>Walk-In</t>
        </is>
      </c>
      <c r="D706" t="n">
        <v>2</v>
      </c>
      <c r="E706" t="inlineStr">
        <is>
          <t>Shortness of Breath</t>
        </is>
      </c>
      <c r="F706" t="inlineStr">
        <is>
          <t>Observation</t>
        </is>
      </c>
      <c r="G706" t="n">
        <v>23</v>
      </c>
      <c r="H706" t="n">
        <v>313</v>
      </c>
    </row>
    <row r="707">
      <c r="A707" t="inlineStr">
        <is>
          <t>ED212180</t>
        </is>
      </c>
      <c r="B707" s="33" t="n">
        <v>46015.73888888889</v>
      </c>
      <c r="C707" t="inlineStr">
        <is>
          <t>Walk-In</t>
        </is>
      </c>
      <c r="D707" t="n">
        <v>3</v>
      </c>
      <c r="E707" t="inlineStr">
        <is>
          <t>Fainting</t>
        </is>
      </c>
      <c r="F707" t="inlineStr">
        <is>
          <t>Discharged</t>
        </is>
      </c>
      <c r="G707" t="n">
        <v>57</v>
      </c>
      <c r="H707" t="n">
        <v>196</v>
      </c>
    </row>
    <row r="708">
      <c r="A708" t="inlineStr">
        <is>
          <t>ED212181</t>
        </is>
      </c>
      <c r="B708" s="33" t="n">
        <v>46015.76111111111</v>
      </c>
      <c r="C708" t="inlineStr">
        <is>
          <t>Walk-In</t>
        </is>
      </c>
      <c r="D708" t="n">
        <v>3</v>
      </c>
      <c r="E708" t="inlineStr">
        <is>
          <t>Abdominal Pain</t>
        </is>
      </c>
      <c r="F708" t="inlineStr">
        <is>
          <t>Discharged</t>
        </is>
      </c>
      <c r="G708" t="n">
        <v>37</v>
      </c>
      <c r="H708" t="n">
        <v>278</v>
      </c>
    </row>
    <row r="709">
      <c r="A709" t="inlineStr">
        <is>
          <t>ED212184</t>
        </is>
      </c>
      <c r="B709" s="33" t="n">
        <v>46016.11388888889</v>
      </c>
      <c r="C709" t="inlineStr">
        <is>
          <t>Walk-In</t>
        </is>
      </c>
      <c r="D709" t="n">
        <v>3</v>
      </c>
      <c r="E709" t="inlineStr">
        <is>
          <t>Painful Urination / Fever</t>
        </is>
      </c>
      <c r="F709" t="inlineStr">
        <is>
          <t>Admitted</t>
        </is>
      </c>
      <c r="G709" t="n">
        <v>36</v>
      </c>
      <c r="H709" t="n">
        <v>320</v>
      </c>
    </row>
    <row r="710">
      <c r="A710" t="inlineStr">
        <is>
          <t>ED212186</t>
        </is>
      </c>
      <c r="B710" s="33" t="n">
        <v>46016.29097222222</v>
      </c>
      <c r="C710" t="inlineStr">
        <is>
          <t>Ambulance</t>
        </is>
      </c>
      <c r="D710" t="n">
        <v>2</v>
      </c>
      <c r="E710" t="inlineStr">
        <is>
          <t>Confusion</t>
        </is>
      </c>
      <c r="F710" t="inlineStr">
        <is>
          <t>Admitted</t>
        </is>
      </c>
      <c r="G710" t="n">
        <v>14</v>
      </c>
      <c r="H710" t="n">
        <v>811</v>
      </c>
    </row>
    <row r="711">
      <c r="A711" t="inlineStr">
        <is>
          <t>ED212187</t>
        </is>
      </c>
      <c r="B711" s="33" t="n">
        <v>46016.30833333333</v>
      </c>
      <c r="C711" t="inlineStr">
        <is>
          <t>Walk-In</t>
        </is>
      </c>
      <c r="D711" t="n">
        <v>3</v>
      </c>
      <c r="E711" t="inlineStr">
        <is>
          <t>Abdominal Pain</t>
        </is>
      </c>
      <c r="F711" t="inlineStr">
        <is>
          <t>Admitted</t>
        </is>
      </c>
      <c r="G711" t="n">
        <v>49</v>
      </c>
      <c r="H711" t="n">
        <v>692</v>
      </c>
    </row>
    <row r="712">
      <c r="A712" t="inlineStr">
        <is>
          <t>ED212189</t>
        </is>
      </c>
      <c r="B712" s="33" t="n">
        <v>46016.37777777778</v>
      </c>
      <c r="C712" t="inlineStr">
        <is>
          <t>Walk-In</t>
        </is>
      </c>
      <c r="D712" t="n">
        <v>4</v>
      </c>
      <c r="E712" t="inlineStr">
        <is>
          <t>Vomiting / Diarrhea</t>
        </is>
      </c>
      <c r="F712" t="inlineStr">
        <is>
          <t>Discharged</t>
        </is>
      </c>
      <c r="G712" t="n">
        <v>116</v>
      </c>
      <c r="H712" t="n">
        <v>205</v>
      </c>
    </row>
    <row r="713">
      <c r="A713" t="inlineStr">
        <is>
          <t>ED212191</t>
        </is>
      </c>
      <c r="B713" s="33" t="n">
        <v>46016.39722222222</v>
      </c>
      <c r="C713" t="inlineStr">
        <is>
          <t>Walk-In</t>
        </is>
      </c>
      <c r="D713" t="n">
        <v>2</v>
      </c>
      <c r="E713" t="inlineStr">
        <is>
          <t>Head Injury</t>
        </is>
      </c>
      <c r="F713" t="inlineStr">
        <is>
          <t>Discharged</t>
        </is>
      </c>
      <c r="G713" t="n">
        <v>8</v>
      </c>
      <c r="H713" t="n">
        <v>206</v>
      </c>
    </row>
    <row r="714">
      <c r="A714" t="inlineStr">
        <is>
          <t>ED212192</t>
        </is>
      </c>
      <c r="B714" s="33" t="n">
        <v>46016.41388888889</v>
      </c>
      <c r="C714" t="inlineStr">
        <is>
          <t>Walk-In</t>
        </is>
      </c>
      <c r="D714" t="n">
        <v>4</v>
      </c>
      <c r="E714" t="inlineStr">
        <is>
          <t>Shortness of Breath</t>
        </is>
      </c>
      <c r="F714" t="inlineStr">
        <is>
          <t>Discharged</t>
        </is>
      </c>
      <c r="G714" t="n">
        <v>17</v>
      </c>
      <c r="H714" t="n">
        <v>115</v>
      </c>
    </row>
    <row r="715">
      <c r="A715" t="inlineStr">
        <is>
          <t>ED212193</t>
        </is>
      </c>
      <c r="B715" s="33" t="n">
        <v>46016.45416666667</v>
      </c>
      <c r="C715" t="inlineStr">
        <is>
          <t>Walk-In</t>
        </is>
      </c>
      <c r="D715" t="n">
        <v>4</v>
      </c>
      <c r="E715" t="inlineStr">
        <is>
          <t>Cough / Fever</t>
        </is>
      </c>
      <c r="F715" t="inlineStr">
        <is>
          <t>Discharged</t>
        </is>
      </c>
      <c r="G715" t="n">
        <v>95</v>
      </c>
      <c r="H715" t="n">
        <v>141</v>
      </c>
    </row>
    <row r="716">
      <c r="A716" t="inlineStr">
        <is>
          <t>ED212194</t>
        </is>
      </c>
      <c r="B716" s="33" t="n">
        <v>46016.475</v>
      </c>
      <c r="C716" t="inlineStr">
        <is>
          <t>Ambulance</t>
        </is>
      </c>
      <c r="D716" t="n">
        <v>2</v>
      </c>
      <c r="E716" t="inlineStr">
        <is>
          <t>Weakness / Numbness</t>
        </is>
      </c>
      <c r="F716" t="inlineStr">
        <is>
          <t>Admitted</t>
        </is>
      </c>
      <c r="G716" t="n">
        <v>20</v>
      </c>
      <c r="H716" t="n">
        <v>463</v>
      </c>
    </row>
    <row r="717">
      <c r="A717" t="inlineStr">
        <is>
          <t>ED212196</t>
        </is>
      </c>
      <c r="B717" s="33" t="n">
        <v>46016.55208333334</v>
      </c>
      <c r="C717" t="inlineStr">
        <is>
          <t>Walk-In</t>
        </is>
      </c>
      <c r="D717" t="n">
        <v>3</v>
      </c>
      <c r="E717" t="inlineStr">
        <is>
          <t>Skin Redness / Swelling</t>
        </is>
      </c>
      <c r="F717" t="inlineStr">
        <is>
          <t>Discharged</t>
        </is>
      </c>
      <c r="G717" t="n">
        <v>21</v>
      </c>
      <c r="H717" t="n">
        <v>193</v>
      </c>
    </row>
    <row r="718">
      <c r="A718" t="inlineStr">
        <is>
          <t>ED212197</t>
        </is>
      </c>
      <c r="B718" s="33" t="n">
        <v>46016.60833333333</v>
      </c>
      <c r="C718" t="inlineStr">
        <is>
          <t>Walk-In</t>
        </is>
      </c>
      <c r="D718" t="n">
        <v>4</v>
      </c>
      <c r="E718" t="inlineStr">
        <is>
          <t>Vomiting / Diarrhea</t>
        </is>
      </c>
      <c r="F718" t="inlineStr">
        <is>
          <t>Discharged</t>
        </is>
      </c>
      <c r="G718" t="n">
        <v>65</v>
      </c>
      <c r="H718" t="n">
        <v>110</v>
      </c>
    </row>
    <row r="719">
      <c r="A719" t="inlineStr">
        <is>
          <t>ED212200</t>
        </is>
      </c>
      <c r="B719" s="33" t="n">
        <v>46016.64444444444</v>
      </c>
      <c r="C719" t="inlineStr">
        <is>
          <t>Ambulance</t>
        </is>
      </c>
      <c r="D719" t="n">
        <v>2</v>
      </c>
      <c r="E719" t="inlineStr">
        <is>
          <t>Shortness of Breath</t>
        </is>
      </c>
      <c r="F719" t="inlineStr">
        <is>
          <t>Observation</t>
        </is>
      </c>
      <c r="G719" t="n">
        <v>16</v>
      </c>
      <c r="H719" t="n">
        <v>375</v>
      </c>
    </row>
    <row r="720">
      <c r="A720" t="inlineStr">
        <is>
          <t>ED212203</t>
        </is>
      </c>
      <c r="B720" s="33" t="n">
        <v>46016.68541666667</v>
      </c>
      <c r="C720" t="inlineStr">
        <is>
          <t>Walk-In</t>
        </is>
      </c>
      <c r="D720" t="n">
        <v>2</v>
      </c>
      <c r="E720" t="inlineStr">
        <is>
          <t>Cough / Fever</t>
        </is>
      </c>
      <c r="F720" t="inlineStr">
        <is>
          <t>Transferred</t>
        </is>
      </c>
      <c r="G720" t="n">
        <v>27</v>
      </c>
      <c r="H720" t="n">
        <v>409</v>
      </c>
    </row>
    <row r="721">
      <c r="A721" t="inlineStr">
        <is>
          <t>ED212204</t>
        </is>
      </c>
      <c r="B721" s="33" t="n">
        <v>46016.69236111111</v>
      </c>
      <c r="C721" t="inlineStr">
        <is>
          <t>Walk-In</t>
        </is>
      </c>
      <c r="D721" t="n">
        <v>4</v>
      </c>
      <c r="E721" t="inlineStr">
        <is>
          <t>Vomiting / Dizziness</t>
        </is>
      </c>
      <c r="F721" t="inlineStr">
        <is>
          <t>Discharged</t>
        </is>
      </c>
      <c r="G721" t="n">
        <v>56</v>
      </c>
      <c r="H721" t="n">
        <v>161</v>
      </c>
    </row>
    <row r="722">
      <c r="A722" t="inlineStr">
        <is>
          <t>ED212205</t>
        </is>
      </c>
      <c r="B722" s="33" t="n">
        <v>46016.71805555555</v>
      </c>
      <c r="C722" t="inlineStr">
        <is>
          <t>Walk-In</t>
        </is>
      </c>
      <c r="D722" t="n">
        <v>3</v>
      </c>
      <c r="E722" t="inlineStr">
        <is>
          <t>Painful Urination / Fever</t>
        </is>
      </c>
      <c r="F722" t="inlineStr">
        <is>
          <t>Discharged</t>
        </is>
      </c>
      <c r="G722" t="n">
        <v>79</v>
      </c>
      <c r="H722" t="n">
        <v>246</v>
      </c>
    </row>
    <row r="723">
      <c r="A723" t="inlineStr">
        <is>
          <t>ED212206</t>
        </is>
      </c>
      <c r="B723" s="33" t="n">
        <v>46016.77152777778</v>
      </c>
      <c r="C723" t="inlineStr">
        <is>
          <t>Walk-In</t>
        </is>
      </c>
      <c r="D723" t="n">
        <v>3</v>
      </c>
      <c r="E723" t="inlineStr">
        <is>
          <t>Cough / Trouble Breathing</t>
        </is>
      </c>
      <c r="F723" t="inlineStr">
        <is>
          <t>Admitted</t>
        </is>
      </c>
      <c r="G723" t="n">
        <v>42</v>
      </c>
      <c r="H723" t="n">
        <v>325</v>
      </c>
    </row>
    <row r="724">
      <c r="A724" t="inlineStr">
        <is>
          <t>ED212207</t>
        </is>
      </c>
      <c r="B724" s="33" t="n">
        <v>46016.86180555556</v>
      </c>
      <c r="C724" t="inlineStr">
        <is>
          <t>Walk-In</t>
        </is>
      </c>
      <c r="D724" t="n">
        <v>3</v>
      </c>
      <c r="E724" t="inlineStr">
        <is>
          <t>Seizure</t>
        </is>
      </c>
      <c r="F724" t="inlineStr">
        <is>
          <t>Observation</t>
        </is>
      </c>
      <c r="G724" t="n">
        <v>42</v>
      </c>
      <c r="H724" t="n">
        <v>424</v>
      </c>
    </row>
    <row r="725">
      <c r="A725" t="inlineStr">
        <is>
          <t>ED212208</t>
        </is>
      </c>
      <c r="B725" s="33" t="n">
        <v>46016.92013888889</v>
      </c>
      <c r="C725" t="inlineStr">
        <is>
          <t>Ambulance</t>
        </is>
      </c>
      <c r="D725" t="n">
        <v>2</v>
      </c>
      <c r="E725" t="inlineStr">
        <is>
          <t>High Blood Sugar</t>
        </is>
      </c>
      <c r="F725" t="inlineStr">
        <is>
          <t>Discharged</t>
        </is>
      </c>
      <c r="G725" t="n">
        <v>51</v>
      </c>
      <c r="H725" t="n">
        <v>294</v>
      </c>
    </row>
    <row r="726">
      <c r="A726" t="inlineStr">
        <is>
          <t>ED212211</t>
        </is>
      </c>
      <c r="B726" s="33" t="n">
        <v>46017.33194444444</v>
      </c>
      <c r="C726" t="inlineStr">
        <is>
          <t>Ambulance</t>
        </is>
      </c>
      <c r="D726" t="n">
        <v>5</v>
      </c>
      <c r="E726" t="inlineStr">
        <is>
          <t>Vomiting / Diarrhea</t>
        </is>
      </c>
      <c r="F726" t="inlineStr">
        <is>
          <t>Discharged</t>
        </is>
      </c>
      <c r="G726" t="n">
        <v>98</v>
      </c>
      <c r="H726" t="n">
        <v>157</v>
      </c>
    </row>
    <row r="727">
      <c r="A727" t="inlineStr">
        <is>
          <t>ED212212</t>
        </is>
      </c>
      <c r="B727" s="33" t="n">
        <v>46017.34375</v>
      </c>
      <c r="C727" t="inlineStr">
        <is>
          <t>Ambulance</t>
        </is>
      </c>
      <c r="D727" t="n">
        <v>2</v>
      </c>
      <c r="E727" t="inlineStr">
        <is>
          <t>Shortness of Breath</t>
        </is>
      </c>
      <c r="F727" t="inlineStr">
        <is>
          <t>Admitted</t>
        </is>
      </c>
      <c r="G727" t="n">
        <v>34</v>
      </c>
      <c r="H727" t="n">
        <v>625</v>
      </c>
    </row>
    <row r="728">
      <c r="A728" t="inlineStr">
        <is>
          <t>ED212215</t>
        </is>
      </c>
      <c r="B728" s="33" t="n">
        <v>46017.59166666667</v>
      </c>
      <c r="C728" t="inlineStr">
        <is>
          <t>Walk-In</t>
        </is>
      </c>
      <c r="D728" t="n">
        <v>4</v>
      </c>
      <c r="E728" t="inlineStr">
        <is>
          <t>Vomiting / Dizziness</t>
        </is>
      </c>
      <c r="F728" t="inlineStr">
        <is>
          <t>Admitted</t>
        </is>
      </c>
      <c r="G728" t="n">
        <v>196</v>
      </c>
      <c r="H728" t="n">
        <v>330</v>
      </c>
    </row>
    <row r="729">
      <c r="A729" t="inlineStr">
        <is>
          <t>ED212217</t>
        </is>
      </c>
      <c r="B729" s="33" t="n">
        <v>46017.78958333333</v>
      </c>
      <c r="C729" t="inlineStr">
        <is>
          <t>Walk-In</t>
        </is>
      </c>
      <c r="D729" t="n">
        <v>2</v>
      </c>
      <c r="E729" t="inlineStr">
        <is>
          <t>Shortness of Breath</t>
        </is>
      </c>
      <c r="F729" t="inlineStr">
        <is>
          <t>Admitted</t>
        </is>
      </c>
      <c r="G729" t="n">
        <v>24</v>
      </c>
      <c r="H729" t="n">
        <v>350</v>
      </c>
    </row>
    <row r="730">
      <c r="A730" t="inlineStr">
        <is>
          <t>ED212219</t>
        </is>
      </c>
      <c r="B730" s="33" t="n">
        <v>46017.89027777778</v>
      </c>
      <c r="C730" t="inlineStr">
        <is>
          <t>Walk-In</t>
        </is>
      </c>
      <c r="D730" t="n">
        <v>4</v>
      </c>
      <c r="E730" t="inlineStr">
        <is>
          <t>Cough / Fever</t>
        </is>
      </c>
      <c r="F730" t="inlineStr">
        <is>
          <t>Discharged</t>
        </is>
      </c>
      <c r="G730" t="n">
        <v>55</v>
      </c>
      <c r="H730" t="n">
        <v>131</v>
      </c>
    </row>
    <row r="731">
      <c r="A731" t="inlineStr">
        <is>
          <t>ED212220</t>
        </is>
      </c>
      <c r="B731" s="33" t="n">
        <v>46017.91388888889</v>
      </c>
      <c r="C731" t="inlineStr">
        <is>
          <t>Walk-In</t>
        </is>
      </c>
      <c r="D731" t="n">
        <v>3</v>
      </c>
      <c r="E731" t="inlineStr">
        <is>
          <t>Breast Mass</t>
        </is>
      </c>
      <c r="F731" t="inlineStr">
        <is>
          <t>Admitted</t>
        </is>
      </c>
      <c r="G731" t="n">
        <v>95</v>
      </c>
      <c r="H731" t="n">
        <v>293</v>
      </c>
    </row>
    <row r="732">
      <c r="A732" t="inlineStr">
        <is>
          <t>ED212221</t>
        </is>
      </c>
      <c r="B732" s="33" t="n">
        <v>46017.95625</v>
      </c>
      <c r="C732" t="inlineStr">
        <is>
          <t>Ambulance</t>
        </is>
      </c>
      <c r="D732" t="n">
        <v>2</v>
      </c>
      <c r="E732" t="inlineStr">
        <is>
          <t>Rash</t>
        </is>
      </c>
      <c r="F732" t="inlineStr">
        <is>
          <t>Admitted</t>
        </is>
      </c>
      <c r="G732" t="n">
        <v>7</v>
      </c>
      <c r="H732" t="n">
        <v>331</v>
      </c>
    </row>
    <row r="733">
      <c r="A733" t="inlineStr">
        <is>
          <t>ED212223</t>
        </is>
      </c>
      <c r="B733" s="33" t="n">
        <v>46018.11666666667</v>
      </c>
      <c r="C733" t="inlineStr">
        <is>
          <t>Walk-In</t>
        </is>
      </c>
      <c r="D733" t="n">
        <v>4</v>
      </c>
      <c r="E733" t="inlineStr">
        <is>
          <t>Ear Pain / Fever</t>
        </is>
      </c>
      <c r="F733" t="inlineStr">
        <is>
          <t>Discharged</t>
        </is>
      </c>
      <c r="G733" t="n">
        <v>29</v>
      </c>
      <c r="H733" t="n">
        <v>160</v>
      </c>
    </row>
    <row r="734">
      <c r="A734" t="inlineStr">
        <is>
          <t>ED212224</t>
        </is>
      </c>
      <c r="B734" s="33" t="n">
        <v>46018.14583333334</v>
      </c>
      <c r="C734" t="inlineStr">
        <is>
          <t>Walk-In</t>
        </is>
      </c>
      <c r="D734" t="n">
        <v>3</v>
      </c>
      <c r="E734" t="inlineStr">
        <is>
          <t>Cough / Trouble Breathing</t>
        </is>
      </c>
      <c r="F734" t="inlineStr">
        <is>
          <t>Admitted</t>
        </is>
      </c>
      <c r="G734" t="n">
        <v>35</v>
      </c>
      <c r="H734" t="n">
        <v>760</v>
      </c>
    </row>
    <row r="735">
      <c r="A735" t="inlineStr">
        <is>
          <t>ED212226</t>
        </is>
      </c>
      <c r="B735" s="33" t="n">
        <v>46018.325</v>
      </c>
      <c r="C735" t="inlineStr">
        <is>
          <t>Walk-In</t>
        </is>
      </c>
      <c r="D735" t="n">
        <v>4</v>
      </c>
      <c r="E735" t="inlineStr">
        <is>
          <t>Cough / Fever</t>
        </is>
      </c>
      <c r="F735" t="inlineStr">
        <is>
          <t>Discharged</t>
        </is>
      </c>
      <c r="G735" t="n">
        <v>51</v>
      </c>
      <c r="H735" t="n">
        <v>156</v>
      </c>
    </row>
    <row r="736">
      <c r="A736" t="inlineStr">
        <is>
          <t>ED212227</t>
        </is>
      </c>
      <c r="B736" s="33" t="n">
        <v>46018.32916666667</v>
      </c>
      <c r="C736" t="inlineStr">
        <is>
          <t>Walk-In</t>
        </is>
      </c>
      <c r="D736" t="n">
        <v>3</v>
      </c>
      <c r="E736" t="inlineStr">
        <is>
          <t>Abdominal Pain</t>
        </is>
      </c>
      <c r="F736" t="inlineStr">
        <is>
          <t>Discharged</t>
        </is>
      </c>
      <c r="G736" t="n">
        <v>54</v>
      </c>
      <c r="H736" t="n">
        <v>259</v>
      </c>
    </row>
    <row r="737">
      <c r="A737" t="inlineStr">
        <is>
          <t>ED212228</t>
        </is>
      </c>
      <c r="B737" s="33" t="n">
        <v>46018.33611111111</v>
      </c>
      <c r="C737" t="inlineStr">
        <is>
          <t>Walk-In</t>
        </is>
      </c>
      <c r="D737" t="n">
        <v>5</v>
      </c>
      <c r="E737" t="inlineStr">
        <is>
          <t>Ear Pain / Fever</t>
        </is>
      </c>
      <c r="F737" t="inlineStr">
        <is>
          <t>Discharged</t>
        </is>
      </c>
      <c r="G737" t="n">
        <v>56</v>
      </c>
      <c r="H737" t="n">
        <v>121</v>
      </c>
    </row>
    <row r="738">
      <c r="A738" t="inlineStr">
        <is>
          <t>ED212229</t>
        </is>
      </c>
      <c r="B738" s="33" t="n">
        <v>46018.39236111111</v>
      </c>
      <c r="C738" t="inlineStr">
        <is>
          <t>Walk-In</t>
        </is>
      </c>
      <c r="D738" t="n">
        <v>4</v>
      </c>
      <c r="E738" t="inlineStr">
        <is>
          <t>Cough / Fever</t>
        </is>
      </c>
      <c r="F738" t="inlineStr">
        <is>
          <t>Discharged</t>
        </is>
      </c>
      <c r="G738" t="n">
        <v>22</v>
      </c>
      <c r="H738" t="n">
        <v>110</v>
      </c>
    </row>
    <row r="739">
      <c r="A739" t="inlineStr">
        <is>
          <t>ED212230</t>
        </is>
      </c>
      <c r="B739" s="33" t="n">
        <v>46018.42013888889</v>
      </c>
      <c r="C739" t="inlineStr">
        <is>
          <t>Walk-In</t>
        </is>
      </c>
      <c r="D739" t="n">
        <v>4</v>
      </c>
      <c r="E739" t="inlineStr">
        <is>
          <t>Abdominal Pain</t>
        </is>
      </c>
      <c r="F739" t="inlineStr">
        <is>
          <t>Discharged</t>
        </is>
      </c>
      <c r="G739" t="n">
        <v>66</v>
      </c>
      <c r="H739" t="n">
        <v>157</v>
      </c>
    </row>
    <row r="740">
      <c r="A740" t="inlineStr">
        <is>
          <t>ED212231</t>
        </is>
      </c>
      <c r="B740" s="33" t="n">
        <v>46018.43125</v>
      </c>
      <c r="C740" t="inlineStr">
        <is>
          <t>Ambulance</t>
        </is>
      </c>
      <c r="D740" t="n">
        <v>3</v>
      </c>
      <c r="E740" t="inlineStr">
        <is>
          <t>Cough / Trouble Breathing</t>
        </is>
      </c>
      <c r="F740" t="inlineStr">
        <is>
          <t>Discharged</t>
        </is>
      </c>
      <c r="G740" t="n">
        <v>76</v>
      </c>
      <c r="H740" t="n">
        <v>191</v>
      </c>
    </row>
    <row r="741">
      <c r="A741" t="inlineStr">
        <is>
          <t>ED212232</t>
        </is>
      </c>
      <c r="B741" s="33" t="n">
        <v>46018.575</v>
      </c>
      <c r="C741" t="inlineStr">
        <is>
          <t>Walk-In</t>
        </is>
      </c>
      <c r="D741" t="n">
        <v>2</v>
      </c>
      <c r="E741" t="inlineStr">
        <is>
          <t>Back Pain</t>
        </is>
      </c>
      <c r="F741" t="inlineStr">
        <is>
          <t>Observation</t>
        </is>
      </c>
      <c r="G741" t="n">
        <v>18</v>
      </c>
      <c r="H741" t="n">
        <v>407</v>
      </c>
    </row>
    <row r="742">
      <c r="A742" t="inlineStr">
        <is>
          <t>ED212234</t>
        </is>
      </c>
      <c r="B742" s="33" t="n">
        <v>46018.67638888889</v>
      </c>
      <c r="C742" t="inlineStr">
        <is>
          <t>Walk-In</t>
        </is>
      </c>
      <c r="D742" t="n">
        <v>3</v>
      </c>
      <c r="E742" t="inlineStr">
        <is>
          <t>Nausea</t>
        </is>
      </c>
      <c r="F742" t="inlineStr">
        <is>
          <t>Admitted</t>
        </is>
      </c>
      <c r="G742" t="n">
        <v>67</v>
      </c>
      <c r="H742" t="n">
        <v>332</v>
      </c>
    </row>
    <row r="743">
      <c r="A743" t="inlineStr">
        <is>
          <t>ED212235</t>
        </is>
      </c>
      <c r="B743" s="33" t="n">
        <v>46018.71111111111</v>
      </c>
      <c r="C743" t="inlineStr">
        <is>
          <t>Ambulance</t>
        </is>
      </c>
      <c r="D743" t="n">
        <v>2</v>
      </c>
      <c r="E743" t="inlineStr">
        <is>
          <t>Palpitations</t>
        </is>
      </c>
      <c r="F743" t="inlineStr">
        <is>
          <t>Admitted</t>
        </is>
      </c>
      <c r="G743" t="n">
        <v>38</v>
      </c>
      <c r="H743" t="n">
        <v>910</v>
      </c>
    </row>
    <row r="744">
      <c r="A744" t="inlineStr">
        <is>
          <t>ED212236</t>
        </is>
      </c>
      <c r="B744" s="33" t="n">
        <v>46018.93263888889</v>
      </c>
      <c r="C744" t="inlineStr">
        <is>
          <t>Ambulance</t>
        </is>
      </c>
      <c r="D744" t="n">
        <v>2</v>
      </c>
      <c r="E744" t="inlineStr">
        <is>
          <t>Fever</t>
        </is>
      </c>
      <c r="F744" t="inlineStr">
        <is>
          <t>Admitted</t>
        </is>
      </c>
      <c r="G744" t="n">
        <v>22</v>
      </c>
      <c r="H744" t="n">
        <v>348</v>
      </c>
    </row>
    <row r="745">
      <c r="A745" t="inlineStr">
        <is>
          <t>ED212237</t>
        </is>
      </c>
      <c r="B745" s="33" t="n">
        <v>46019.01388888889</v>
      </c>
      <c r="C745" t="inlineStr">
        <is>
          <t>Walk-In</t>
        </is>
      </c>
      <c r="D745" t="n">
        <v>4</v>
      </c>
      <c r="E745" t="inlineStr">
        <is>
          <t>Cough / Fever</t>
        </is>
      </c>
      <c r="F745" t="inlineStr">
        <is>
          <t>Discharged</t>
        </is>
      </c>
      <c r="G745" t="n">
        <v>52</v>
      </c>
      <c r="H745" t="n">
        <v>161</v>
      </c>
    </row>
    <row r="746">
      <c r="A746" t="inlineStr">
        <is>
          <t>ED212238</t>
        </is>
      </c>
      <c r="B746" s="33" t="n">
        <v>46019.18541666667</v>
      </c>
      <c r="C746" t="inlineStr">
        <is>
          <t>Walk-In</t>
        </is>
      </c>
      <c r="D746" t="n">
        <v>5</v>
      </c>
      <c r="E746" t="inlineStr">
        <is>
          <t>Vomiting / Diarrhea</t>
        </is>
      </c>
      <c r="F746" t="inlineStr">
        <is>
          <t>Discharged</t>
        </is>
      </c>
      <c r="G746" t="n">
        <v>37</v>
      </c>
      <c r="H746" t="n">
        <v>123</v>
      </c>
    </row>
    <row r="747">
      <c r="A747" t="inlineStr">
        <is>
          <t>ED212240</t>
        </is>
      </c>
      <c r="B747" s="33" t="n">
        <v>46019.41180555556</v>
      </c>
      <c r="C747" t="inlineStr">
        <is>
          <t>Walk-In</t>
        </is>
      </c>
      <c r="D747" t="n">
        <v>2</v>
      </c>
      <c r="E747" t="inlineStr">
        <is>
          <t>Cough / Trouble Breathing</t>
        </is>
      </c>
      <c r="F747" t="inlineStr">
        <is>
          <t>Observation</t>
        </is>
      </c>
      <c r="G747" t="n">
        <v>5</v>
      </c>
      <c r="H747" t="n">
        <v>259</v>
      </c>
    </row>
    <row r="748">
      <c r="A748" t="inlineStr">
        <is>
          <t>ED212241</t>
        </is>
      </c>
      <c r="B748" s="33" t="n">
        <v>46019.42986111111</v>
      </c>
      <c r="C748" t="inlineStr">
        <is>
          <t>Walk-In</t>
        </is>
      </c>
      <c r="D748" t="n">
        <v>4</v>
      </c>
      <c r="E748" t="inlineStr">
        <is>
          <t>Headache</t>
        </is>
      </c>
      <c r="F748" t="inlineStr">
        <is>
          <t>Discharged</t>
        </is>
      </c>
      <c r="G748" t="n">
        <v>121</v>
      </c>
      <c r="H748" t="n">
        <v>203</v>
      </c>
    </row>
    <row r="749">
      <c r="A749" t="inlineStr">
        <is>
          <t>ED212243</t>
        </is>
      </c>
      <c r="B749" s="33" t="n">
        <v>46019.59097222222</v>
      </c>
      <c r="C749" t="inlineStr">
        <is>
          <t>Walk-In</t>
        </is>
      </c>
      <c r="D749" t="n">
        <v>3</v>
      </c>
      <c r="E749" t="inlineStr">
        <is>
          <t>Vomiting / Dizziness</t>
        </is>
      </c>
      <c r="F749" t="inlineStr">
        <is>
          <t>Discharged</t>
        </is>
      </c>
      <c r="G749" t="n">
        <v>18</v>
      </c>
      <c r="H749" t="n">
        <v>226</v>
      </c>
    </row>
    <row r="750">
      <c r="A750" t="inlineStr">
        <is>
          <t>ED212244</t>
        </is>
      </c>
      <c r="B750" s="33" t="n">
        <v>46019.65972222222</v>
      </c>
      <c r="C750" t="inlineStr">
        <is>
          <t>Ambulance</t>
        </is>
      </c>
      <c r="D750" t="n">
        <v>2</v>
      </c>
      <c r="E750" t="inlineStr">
        <is>
          <t>Cough / Trouble Breathing</t>
        </is>
      </c>
      <c r="F750" t="inlineStr">
        <is>
          <t>Admitted</t>
        </is>
      </c>
      <c r="G750" t="n">
        <v>8</v>
      </c>
      <c r="H750" t="n">
        <v>364</v>
      </c>
    </row>
    <row r="751">
      <c r="A751" t="inlineStr">
        <is>
          <t>ED212245</t>
        </is>
      </c>
      <c r="B751" s="33" t="n">
        <v>46019.68680555555</v>
      </c>
      <c r="C751" t="inlineStr">
        <is>
          <t>Walk-In</t>
        </is>
      </c>
      <c r="D751" t="n">
        <v>3</v>
      </c>
      <c r="E751" t="inlineStr">
        <is>
          <t>Palpitations</t>
        </is>
      </c>
      <c r="F751" t="inlineStr">
        <is>
          <t>Observation</t>
        </is>
      </c>
      <c r="G751" t="n">
        <v>52</v>
      </c>
      <c r="H751" t="n">
        <v>497</v>
      </c>
    </row>
    <row r="752">
      <c r="A752" t="inlineStr">
        <is>
          <t>ED212247</t>
        </is>
      </c>
      <c r="B752" s="33" t="n">
        <v>46019.78472222222</v>
      </c>
      <c r="C752" t="inlineStr">
        <is>
          <t>Ambulance</t>
        </is>
      </c>
      <c r="D752" t="n">
        <v>3</v>
      </c>
      <c r="E752" t="inlineStr">
        <is>
          <t>Chest Pain</t>
        </is>
      </c>
      <c r="F752" t="inlineStr">
        <is>
          <t>Observation</t>
        </is>
      </c>
      <c r="G752" t="n">
        <v>40</v>
      </c>
      <c r="H752" t="n">
        <v>349</v>
      </c>
    </row>
    <row r="753">
      <c r="A753" t="inlineStr">
        <is>
          <t>ED212248</t>
        </is>
      </c>
      <c r="B753" s="33" t="n">
        <v>46019.79861111111</v>
      </c>
      <c r="C753" t="inlineStr">
        <is>
          <t>Walk-In</t>
        </is>
      </c>
      <c r="D753" t="n">
        <v>5</v>
      </c>
      <c r="E753" t="inlineStr">
        <is>
          <t>Back Pain</t>
        </is>
      </c>
      <c r="F753" t="inlineStr">
        <is>
          <t>LWBS</t>
        </is>
      </c>
      <c r="H753" t="n">
        <v>144</v>
      </c>
    </row>
    <row r="754">
      <c r="A754" t="inlineStr">
        <is>
          <t>ED212249</t>
        </is>
      </c>
      <c r="B754" s="33" t="n">
        <v>46019.975</v>
      </c>
      <c r="C754" t="inlineStr">
        <is>
          <t>Walk-In</t>
        </is>
      </c>
      <c r="D754" t="n">
        <v>3</v>
      </c>
      <c r="E754" t="inlineStr">
        <is>
          <t>Vomiting / Dizziness</t>
        </is>
      </c>
      <c r="F754" t="inlineStr">
        <is>
          <t>Observation</t>
        </is>
      </c>
      <c r="G754" t="n">
        <v>28</v>
      </c>
      <c r="H754" t="n">
        <v>512</v>
      </c>
    </row>
    <row r="755">
      <c r="A755" t="inlineStr">
        <is>
          <t>ED212250</t>
        </is>
      </c>
      <c r="B755" s="33" t="n">
        <v>46020.11319444444</v>
      </c>
      <c r="C755" t="inlineStr">
        <is>
          <t>Ambulance</t>
        </is>
      </c>
      <c r="D755" t="n">
        <v>3</v>
      </c>
      <c r="E755" t="inlineStr">
        <is>
          <t>Cough / Trouble Breathing</t>
        </is>
      </c>
      <c r="F755" t="inlineStr">
        <is>
          <t>Discharged</t>
        </is>
      </c>
      <c r="G755" t="n">
        <v>83</v>
      </c>
      <c r="H755" t="n">
        <v>302</v>
      </c>
    </row>
    <row r="756">
      <c r="A756" t="inlineStr">
        <is>
          <t>ED212251</t>
        </is>
      </c>
      <c r="B756" s="33" t="n">
        <v>46020.32361111111</v>
      </c>
      <c r="C756" t="inlineStr">
        <is>
          <t>Ambulance</t>
        </is>
      </c>
      <c r="D756" t="n">
        <v>2</v>
      </c>
      <c r="E756" t="inlineStr">
        <is>
          <t>Shortness of Breath</t>
        </is>
      </c>
      <c r="F756" t="inlineStr">
        <is>
          <t>Admitted</t>
        </is>
      </c>
      <c r="G756" t="n">
        <v>37</v>
      </c>
      <c r="H756" t="n">
        <v>217</v>
      </c>
    </row>
    <row r="757">
      <c r="A757" t="inlineStr">
        <is>
          <t>ED212253</t>
        </is>
      </c>
      <c r="B757" s="33" t="n">
        <v>46020.42569444444</v>
      </c>
      <c r="C757" t="inlineStr">
        <is>
          <t>Ambulance</t>
        </is>
      </c>
      <c r="D757" t="n">
        <v>3</v>
      </c>
      <c r="E757" t="inlineStr">
        <is>
          <t>Palpitations</t>
        </is>
      </c>
      <c r="F757" t="inlineStr">
        <is>
          <t>Admitted</t>
        </is>
      </c>
      <c r="G757" t="n">
        <v>77</v>
      </c>
      <c r="H757" t="n">
        <v>233</v>
      </c>
    </row>
    <row r="758">
      <c r="A758" t="inlineStr">
        <is>
          <t>ED212255</t>
        </is>
      </c>
      <c r="B758" s="33" t="n">
        <v>46020.64097222222</v>
      </c>
      <c r="C758" t="inlineStr">
        <is>
          <t>Walk-In</t>
        </is>
      </c>
      <c r="D758" t="n">
        <v>2</v>
      </c>
      <c r="E758" t="inlineStr">
        <is>
          <t>Cough / Trouble Breathing</t>
        </is>
      </c>
      <c r="F758" t="inlineStr">
        <is>
          <t>Discharged</t>
        </is>
      </c>
      <c r="G758" t="n">
        <v>16</v>
      </c>
      <c r="H758" t="n">
        <v>212</v>
      </c>
    </row>
    <row r="759">
      <c r="A759" t="inlineStr">
        <is>
          <t>ED212258</t>
        </is>
      </c>
      <c r="B759" s="33" t="n">
        <v>46020.70972222222</v>
      </c>
      <c r="C759" t="inlineStr">
        <is>
          <t>Walk-In</t>
        </is>
      </c>
      <c r="D759" t="n">
        <v>3</v>
      </c>
      <c r="E759" t="inlineStr">
        <is>
          <t>Painful Urination / Fever</t>
        </is>
      </c>
      <c r="F759" t="inlineStr">
        <is>
          <t>Discharged</t>
        </is>
      </c>
      <c r="G759" t="n">
        <v>19</v>
      </c>
      <c r="H759" t="n">
        <v>160</v>
      </c>
    </row>
    <row r="760">
      <c r="A760" t="inlineStr">
        <is>
          <t>ED212259</t>
        </is>
      </c>
      <c r="B760" s="33" t="n">
        <v>46020.71944444445</v>
      </c>
      <c r="C760" t="inlineStr">
        <is>
          <t>Walk-In</t>
        </is>
      </c>
      <c r="D760" t="n">
        <v>4</v>
      </c>
      <c r="E760" t="inlineStr">
        <is>
          <t>Cough / Fever</t>
        </is>
      </c>
      <c r="F760" t="inlineStr">
        <is>
          <t>Discharged</t>
        </is>
      </c>
      <c r="G760" t="n">
        <v>50</v>
      </c>
      <c r="H760" t="n">
        <v>107</v>
      </c>
    </row>
    <row r="761">
      <c r="A761" t="inlineStr">
        <is>
          <t>ED212260</t>
        </is>
      </c>
      <c r="B761" s="33" t="n">
        <v>46020.80625</v>
      </c>
      <c r="C761" t="inlineStr">
        <is>
          <t>Walk-In</t>
        </is>
      </c>
      <c r="D761" t="n">
        <v>5</v>
      </c>
      <c r="E761" t="inlineStr">
        <is>
          <t>Back Pain</t>
        </is>
      </c>
      <c r="F761" t="inlineStr">
        <is>
          <t>Discharged</t>
        </is>
      </c>
      <c r="G761" t="n">
        <v>45</v>
      </c>
      <c r="H761" t="n">
        <v>128</v>
      </c>
    </row>
    <row r="762">
      <c r="A762" t="inlineStr">
        <is>
          <t>ED212261</t>
        </is>
      </c>
      <c r="B762" s="33" t="n">
        <v>46020.81041666667</v>
      </c>
      <c r="C762" t="inlineStr">
        <is>
          <t>Walk-In</t>
        </is>
      </c>
      <c r="D762" t="n">
        <v>3</v>
      </c>
      <c r="E762" t="inlineStr">
        <is>
          <t>Palpitations</t>
        </is>
      </c>
      <c r="F762" t="inlineStr">
        <is>
          <t>Admitted</t>
        </is>
      </c>
      <c r="G762" t="n">
        <v>45</v>
      </c>
      <c r="H762" t="n">
        <v>542</v>
      </c>
    </row>
    <row r="763">
      <c r="A763" t="inlineStr">
        <is>
          <t>ED212262</t>
        </is>
      </c>
      <c r="B763" s="33" t="n">
        <v>46020.82430555556</v>
      </c>
      <c r="C763" t="inlineStr">
        <is>
          <t>Walk-In</t>
        </is>
      </c>
      <c r="D763" t="n">
        <v>5</v>
      </c>
      <c r="E763" t="inlineStr">
        <is>
          <t>Cough / Fever</t>
        </is>
      </c>
      <c r="F763" t="inlineStr">
        <is>
          <t>Discharged</t>
        </is>
      </c>
      <c r="G763" t="n">
        <v>90</v>
      </c>
      <c r="H763" t="n">
        <v>195</v>
      </c>
    </row>
    <row r="764">
      <c r="A764" t="inlineStr">
        <is>
          <t>ED212263</t>
        </is>
      </c>
      <c r="B764" s="33" t="n">
        <v>46020.84305555555</v>
      </c>
      <c r="C764" t="inlineStr">
        <is>
          <t>Walk-In</t>
        </is>
      </c>
      <c r="D764" t="n">
        <v>3</v>
      </c>
      <c r="E764" t="inlineStr">
        <is>
          <t>Seizure</t>
        </is>
      </c>
      <c r="F764" t="inlineStr">
        <is>
          <t>Discharged</t>
        </is>
      </c>
      <c r="G764" t="n">
        <v>88</v>
      </c>
      <c r="H764" t="n">
        <v>181</v>
      </c>
    </row>
    <row r="765">
      <c r="A765" t="inlineStr">
        <is>
          <t>ED212265</t>
        </is>
      </c>
      <c r="B765" s="33" t="n">
        <v>46020.88611111111</v>
      </c>
      <c r="C765" t="inlineStr">
        <is>
          <t>Walk-In</t>
        </is>
      </c>
      <c r="D765" t="n">
        <v>3</v>
      </c>
      <c r="E765" t="inlineStr">
        <is>
          <t>Chest Pain</t>
        </is>
      </c>
      <c r="F765" t="inlineStr">
        <is>
          <t>Discharged</t>
        </is>
      </c>
      <c r="G765" t="n">
        <v>35</v>
      </c>
      <c r="H765" t="n">
        <v>196</v>
      </c>
    </row>
    <row r="766">
      <c r="A766" t="inlineStr">
        <is>
          <t>ED212266</t>
        </is>
      </c>
      <c r="B766" s="33" t="n">
        <v>46020.93402777778</v>
      </c>
      <c r="C766" t="inlineStr">
        <is>
          <t>Walk-In</t>
        </is>
      </c>
      <c r="D766" t="n">
        <v>2</v>
      </c>
      <c r="E766" t="inlineStr">
        <is>
          <t>Cough / Trouble Breathing</t>
        </is>
      </c>
      <c r="F766" t="inlineStr">
        <is>
          <t>Discharged</t>
        </is>
      </c>
      <c r="G766" t="n">
        <v>23</v>
      </c>
      <c r="H766" t="n">
        <v>228</v>
      </c>
    </row>
    <row r="767">
      <c r="A767" t="inlineStr">
        <is>
          <t>ED212267</t>
        </is>
      </c>
      <c r="B767" s="33" t="n">
        <v>46021.04583333333</v>
      </c>
      <c r="C767" t="inlineStr">
        <is>
          <t>Walk-In</t>
        </is>
      </c>
      <c r="D767" t="n">
        <v>3</v>
      </c>
      <c r="E767" t="inlineStr">
        <is>
          <t>Chest Pain</t>
        </is>
      </c>
      <c r="F767" t="inlineStr">
        <is>
          <t>Discharged</t>
        </is>
      </c>
      <c r="G767" t="n">
        <v>41</v>
      </c>
      <c r="H767" t="n">
        <v>271</v>
      </c>
    </row>
    <row r="768">
      <c r="A768" t="inlineStr">
        <is>
          <t>ED212268</t>
        </is>
      </c>
      <c r="B768" s="33" t="n">
        <v>46021.34444444445</v>
      </c>
      <c r="C768" t="inlineStr">
        <is>
          <t>Ambulance</t>
        </is>
      </c>
      <c r="D768" t="n">
        <v>3</v>
      </c>
      <c r="E768" t="inlineStr">
        <is>
          <t>Headache</t>
        </is>
      </c>
      <c r="F768" t="inlineStr">
        <is>
          <t>Discharged</t>
        </is>
      </c>
      <c r="G768" t="n">
        <v>19</v>
      </c>
      <c r="H768" t="n">
        <v>198</v>
      </c>
    </row>
    <row r="769">
      <c r="A769" t="inlineStr">
        <is>
          <t>ED212269</t>
        </is>
      </c>
      <c r="B769" s="33" t="n">
        <v>46021.37916666667</v>
      </c>
      <c r="C769" t="inlineStr">
        <is>
          <t>Walk-In</t>
        </is>
      </c>
      <c r="D769" t="n">
        <v>4</v>
      </c>
      <c r="E769" t="inlineStr">
        <is>
          <t>Headache</t>
        </is>
      </c>
      <c r="F769" t="inlineStr">
        <is>
          <t>Discharged</t>
        </is>
      </c>
      <c r="G769" t="n">
        <v>109</v>
      </c>
      <c r="H769" t="n">
        <v>229</v>
      </c>
    </row>
    <row r="770">
      <c r="A770" t="inlineStr">
        <is>
          <t>ED212270</t>
        </is>
      </c>
      <c r="B770" s="33" t="n">
        <v>46021.41458333333</v>
      </c>
      <c r="C770" t="inlineStr">
        <is>
          <t>Walk-In</t>
        </is>
      </c>
      <c r="D770" t="n">
        <v>3</v>
      </c>
      <c r="E770" t="inlineStr">
        <is>
          <t>Fainting</t>
        </is>
      </c>
      <c r="F770" t="inlineStr">
        <is>
          <t>Observation</t>
        </is>
      </c>
      <c r="G770" t="n">
        <v>140</v>
      </c>
      <c r="H770" t="n">
        <v>564</v>
      </c>
    </row>
    <row r="771">
      <c r="A771" t="inlineStr">
        <is>
          <t>ED212271</t>
        </is>
      </c>
      <c r="B771" s="33" t="n">
        <v>46021.47708333333</v>
      </c>
      <c r="C771" t="inlineStr">
        <is>
          <t>Walk-In</t>
        </is>
      </c>
      <c r="D771" t="n">
        <v>4</v>
      </c>
      <c r="E771" t="inlineStr">
        <is>
          <t>Cough / Fever</t>
        </is>
      </c>
      <c r="F771" t="inlineStr">
        <is>
          <t>Discharged</t>
        </is>
      </c>
      <c r="G771" t="n">
        <v>67</v>
      </c>
      <c r="H771" t="n">
        <v>174</v>
      </c>
    </row>
    <row r="772">
      <c r="A772" t="inlineStr">
        <is>
          <t>ED212273</t>
        </is>
      </c>
      <c r="B772" s="33" t="n">
        <v>46021.49305555555</v>
      </c>
      <c r="C772" t="inlineStr">
        <is>
          <t>Walk-In</t>
        </is>
      </c>
      <c r="D772" t="n">
        <v>4</v>
      </c>
      <c r="E772" t="inlineStr">
        <is>
          <t>Cough / Fever</t>
        </is>
      </c>
      <c r="F772" t="inlineStr">
        <is>
          <t>Discharged</t>
        </is>
      </c>
      <c r="G772" t="n">
        <v>69</v>
      </c>
      <c r="H772" t="n">
        <v>133</v>
      </c>
    </row>
    <row r="773">
      <c r="A773" t="inlineStr">
        <is>
          <t>ED212274</t>
        </is>
      </c>
      <c r="B773" s="33" t="n">
        <v>46021.67847222222</v>
      </c>
      <c r="C773" t="inlineStr">
        <is>
          <t>Walk-In</t>
        </is>
      </c>
      <c r="D773" t="n">
        <v>4</v>
      </c>
      <c r="E773" t="inlineStr">
        <is>
          <t>Cough / Fever</t>
        </is>
      </c>
      <c r="F773" t="inlineStr">
        <is>
          <t>Discharged</t>
        </is>
      </c>
      <c r="G773" t="n">
        <v>86</v>
      </c>
      <c r="H773" t="n">
        <v>175</v>
      </c>
    </row>
    <row r="774">
      <c r="A774" t="inlineStr">
        <is>
          <t>ED212277</t>
        </is>
      </c>
      <c r="B774" s="33" t="n">
        <v>46021.88611111111</v>
      </c>
      <c r="C774" t="inlineStr">
        <is>
          <t>Ambulance</t>
        </is>
      </c>
      <c r="D774" t="n">
        <v>3</v>
      </c>
      <c r="E774" t="inlineStr">
        <is>
          <t>Cough / Fever</t>
        </is>
      </c>
      <c r="F774" t="inlineStr">
        <is>
          <t>Discharged</t>
        </is>
      </c>
      <c r="G774" t="n">
        <v>52</v>
      </c>
      <c r="H774" t="n">
        <v>204</v>
      </c>
    </row>
    <row r="775">
      <c r="A775" t="inlineStr">
        <is>
          <t>ED212278</t>
        </is>
      </c>
      <c r="B775" s="33" t="n">
        <v>46022.30208333334</v>
      </c>
      <c r="C775" t="inlineStr">
        <is>
          <t>Walk-In</t>
        </is>
      </c>
      <c r="D775" t="n">
        <v>3</v>
      </c>
      <c r="E775" t="inlineStr">
        <is>
          <t>Cough / Trouble Breathing</t>
        </is>
      </c>
      <c r="F775" t="inlineStr">
        <is>
          <t>Left AMA</t>
        </is>
      </c>
      <c r="G775" t="n">
        <v>18</v>
      </c>
      <c r="H775" t="n">
        <v>86</v>
      </c>
    </row>
    <row r="776">
      <c r="A776" t="inlineStr">
        <is>
          <t>ED212279</t>
        </is>
      </c>
      <c r="B776" s="33" t="n">
        <v>46022.40208333333</v>
      </c>
      <c r="C776" t="inlineStr">
        <is>
          <t>Walk-In</t>
        </is>
      </c>
      <c r="D776" t="n">
        <v>4</v>
      </c>
      <c r="E776" t="inlineStr">
        <is>
          <t>Cough / Fever</t>
        </is>
      </c>
      <c r="F776" t="inlineStr">
        <is>
          <t>Discharged</t>
        </is>
      </c>
      <c r="G776" t="n">
        <v>44</v>
      </c>
      <c r="H776" t="n">
        <v>130</v>
      </c>
    </row>
    <row r="777">
      <c r="A777" t="inlineStr">
        <is>
          <t>ED212281</t>
        </is>
      </c>
      <c r="B777" s="33" t="n">
        <v>46022.46041666667</v>
      </c>
      <c r="C777" t="inlineStr">
        <is>
          <t>Walk-In</t>
        </is>
      </c>
      <c r="D777" t="n">
        <v>3</v>
      </c>
      <c r="E777" t="inlineStr">
        <is>
          <t>Headache</t>
        </is>
      </c>
      <c r="F777" t="inlineStr">
        <is>
          <t>Discharged</t>
        </is>
      </c>
      <c r="G777" t="n">
        <v>97</v>
      </c>
      <c r="H777" t="n">
        <v>298</v>
      </c>
    </row>
    <row r="778">
      <c r="A778" t="inlineStr">
        <is>
          <t>ED212282</t>
        </is>
      </c>
      <c r="B778" s="33" t="n">
        <v>46022.48680555556</v>
      </c>
      <c r="C778" t="inlineStr">
        <is>
          <t>Walk-In</t>
        </is>
      </c>
      <c r="D778" t="n">
        <v>3</v>
      </c>
      <c r="E778" t="inlineStr">
        <is>
          <t>Vomiting / Dizziness</t>
        </is>
      </c>
      <c r="F778" t="inlineStr">
        <is>
          <t>Discharged</t>
        </is>
      </c>
      <c r="G778" t="n">
        <v>36</v>
      </c>
      <c r="H778" t="n">
        <v>197</v>
      </c>
    </row>
    <row r="779">
      <c r="A779" t="inlineStr">
        <is>
          <t>ED212283</t>
        </is>
      </c>
      <c r="B779" s="33" t="n">
        <v>46022.48888888889</v>
      </c>
      <c r="C779" t="inlineStr">
        <is>
          <t>Walk-In</t>
        </is>
      </c>
      <c r="D779" t="n">
        <v>4</v>
      </c>
      <c r="E779" t="inlineStr">
        <is>
          <t>Vomiting / Dizziness</t>
        </is>
      </c>
      <c r="F779" t="inlineStr">
        <is>
          <t>Discharged</t>
        </is>
      </c>
      <c r="G779" t="n">
        <v>33</v>
      </c>
      <c r="H779" t="n">
        <v>120</v>
      </c>
    </row>
    <row r="780">
      <c r="A780" t="inlineStr">
        <is>
          <t>ED212284</t>
        </is>
      </c>
      <c r="B780" s="33" t="n">
        <v>46022.49444444444</v>
      </c>
      <c r="C780" t="inlineStr">
        <is>
          <t>Ambulance</t>
        </is>
      </c>
      <c r="D780" t="n">
        <v>2</v>
      </c>
      <c r="E780" t="inlineStr">
        <is>
          <t>Shortness of Breath</t>
        </is>
      </c>
      <c r="F780" t="inlineStr">
        <is>
          <t>Discharged</t>
        </is>
      </c>
      <c r="G780" t="n">
        <v>17</v>
      </c>
      <c r="H780" t="n">
        <v>260</v>
      </c>
    </row>
    <row r="781">
      <c r="A781" t="inlineStr">
        <is>
          <t>ED212286</t>
        </is>
      </c>
      <c r="B781" s="33" t="n">
        <v>46022.57430555556</v>
      </c>
      <c r="C781" t="inlineStr">
        <is>
          <t>Walk-In</t>
        </is>
      </c>
      <c r="D781" t="n">
        <v>4</v>
      </c>
      <c r="E781" t="inlineStr">
        <is>
          <t>Cough / Fever</t>
        </is>
      </c>
      <c r="F781" t="inlineStr">
        <is>
          <t>Discharged</t>
        </is>
      </c>
      <c r="G781" t="n">
        <v>62</v>
      </c>
      <c r="H781" t="n">
        <v>148</v>
      </c>
    </row>
    <row r="782">
      <c r="A782" t="inlineStr">
        <is>
          <t>ED212287</t>
        </is>
      </c>
      <c r="B782" s="33" t="n">
        <v>46022.61319444444</v>
      </c>
      <c r="C782" t="inlineStr">
        <is>
          <t>Walk-In</t>
        </is>
      </c>
      <c r="D782" t="n">
        <v>3</v>
      </c>
      <c r="E782" t="inlineStr">
        <is>
          <t>Cough / Trouble Breathing</t>
        </is>
      </c>
      <c r="F782" t="inlineStr">
        <is>
          <t>Discharged</t>
        </is>
      </c>
      <c r="G782" t="n">
        <v>33</v>
      </c>
      <c r="H782" t="n">
        <v>184</v>
      </c>
    </row>
    <row r="783">
      <c r="A783" t="inlineStr">
        <is>
          <t>ED212288</t>
        </is>
      </c>
      <c r="B783" s="33" t="n">
        <v>46022.62222222222</v>
      </c>
      <c r="C783" t="inlineStr">
        <is>
          <t>Walk-In</t>
        </is>
      </c>
      <c r="D783" t="n">
        <v>4</v>
      </c>
      <c r="E783" t="inlineStr">
        <is>
          <t>Headache</t>
        </is>
      </c>
      <c r="F783" t="inlineStr">
        <is>
          <t>Discharged</t>
        </is>
      </c>
      <c r="G783" t="n">
        <v>123</v>
      </c>
      <c r="H783" t="n">
        <v>193</v>
      </c>
    </row>
    <row r="784">
      <c r="A784" t="inlineStr">
        <is>
          <t>ED212290</t>
        </is>
      </c>
      <c r="B784" s="33" t="n">
        <v>46022.67777777778</v>
      </c>
      <c r="C784" t="inlineStr">
        <is>
          <t>Walk-In</t>
        </is>
      </c>
      <c r="D784" t="n">
        <v>3</v>
      </c>
      <c r="E784" t="inlineStr">
        <is>
          <t>Abdominal Pain</t>
        </is>
      </c>
      <c r="F784" t="inlineStr">
        <is>
          <t>Discharged</t>
        </is>
      </c>
      <c r="G784" t="n">
        <v>40</v>
      </c>
      <c r="H784" t="n">
        <v>262</v>
      </c>
    </row>
    <row r="785">
      <c r="A785" t="inlineStr">
        <is>
          <t>ED212291</t>
        </is>
      </c>
      <c r="B785" s="33" t="n">
        <v>46022.68402777778</v>
      </c>
      <c r="C785" t="inlineStr">
        <is>
          <t>Walk-In</t>
        </is>
      </c>
      <c r="D785" t="n">
        <v>2</v>
      </c>
      <c r="E785" t="inlineStr">
        <is>
          <t>Shortness of Breath</t>
        </is>
      </c>
      <c r="F785" t="inlineStr">
        <is>
          <t>Discharged</t>
        </is>
      </c>
      <c r="G785" t="n">
        <v>17</v>
      </c>
      <c r="H785" t="n">
        <v>238</v>
      </c>
    </row>
    <row r="786">
      <c r="A786" t="inlineStr">
        <is>
          <t>ED212292</t>
        </is>
      </c>
      <c r="B786" s="33" t="n">
        <v>46022.74722222222</v>
      </c>
      <c r="C786" t="inlineStr">
        <is>
          <t>Walk-In</t>
        </is>
      </c>
      <c r="D786" t="n">
        <v>4</v>
      </c>
      <c r="E786" t="inlineStr">
        <is>
          <t>Painful Urination / Fever</t>
        </is>
      </c>
      <c r="F786" t="inlineStr">
        <is>
          <t>Discharged</t>
        </is>
      </c>
      <c r="G786" t="n">
        <v>133</v>
      </c>
      <c r="H786" t="n">
        <v>243</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389"/>
  <sheetViews>
    <sheetView tabSelected="0" workbookViewId="0">
      <pane ySplit="1" topLeftCell="A2" activePane="bottomLeft" state="frozen"/>
      <selection pane="bottomLeft" activeCell="A1" sqref="A1"/>
    </sheetView>
  </sheetViews>
  <sheetFormatPr baseColWidth="8" defaultRowHeight="15"/>
  <cols>
    <col width="12" customWidth="1" min="1" max="1"/>
    <col width="13" customWidth="1" min="2" max="2"/>
    <col width="17" customWidth="1" min="3" max="3"/>
    <col width="26" customWidth="1" min="4" max="4"/>
    <col width="15" customWidth="1" min="5" max="5"/>
    <col width="9" customWidth="1" min="6" max="6"/>
    <col width="12" customWidth="1" min="7" max="7"/>
    <col width="15" customWidth="1" min="8" max="8"/>
    <col width="10" customWidth="1" min="9" max="9"/>
  </cols>
  <sheetData>
    <row r="1">
      <c r="A1" s="27" t="inlineStr">
        <is>
          <t>MedOrderID</t>
        </is>
      </c>
      <c r="B1" s="27" t="inlineStr">
        <is>
          <t>EncounterID</t>
        </is>
      </c>
      <c r="C1" s="27" t="inlineStr">
        <is>
          <t>OrderDateTime</t>
        </is>
      </c>
      <c r="D1" s="27" t="inlineStr">
        <is>
          <t>MedicationName</t>
        </is>
      </c>
      <c r="E1" s="27" t="inlineStr">
        <is>
          <t>Dose</t>
        </is>
      </c>
      <c r="F1" s="27" t="inlineStr">
        <is>
          <t>Route</t>
        </is>
      </c>
      <c r="G1" s="27" t="inlineStr">
        <is>
          <t>Frequency</t>
        </is>
      </c>
      <c r="H1" s="27" t="inlineStr">
        <is>
          <t>DosesDispensed</t>
        </is>
      </c>
      <c r="I1" s="27" t="inlineStr">
        <is>
          <t>UnitCost</t>
        </is>
      </c>
    </row>
    <row r="2">
      <c r="A2" t="inlineStr">
        <is>
          <t>RX822105</t>
        </is>
      </c>
      <c r="B2" t="inlineStr">
        <is>
          <t>ENC118667</t>
        </is>
      </c>
      <c r="C2" s="33" t="n">
        <v>45922.77361111111</v>
      </c>
      <c r="D2" t="inlineStr">
        <is>
          <t>Sodium Chloride 0.9%</t>
        </is>
      </c>
      <c r="E2" t="inlineStr">
        <is>
          <t>1000 mL</t>
        </is>
      </c>
      <c r="F2" t="inlineStr">
        <is>
          <t>IV</t>
        </is>
      </c>
      <c r="G2" t="inlineStr">
        <is>
          <t>Continuous</t>
        </is>
      </c>
      <c r="H2" t="n">
        <v>16</v>
      </c>
      <c r="I2" s="31" t="n">
        <v>1.75</v>
      </c>
    </row>
    <row r="3">
      <c r="A3" t="inlineStr">
        <is>
          <t>RX822104</t>
        </is>
      </c>
      <c r="B3" t="inlineStr">
        <is>
          <t>ENC118667</t>
        </is>
      </c>
      <c r="C3" s="33" t="n">
        <v>45922.79375</v>
      </c>
      <c r="D3" t="inlineStr">
        <is>
          <t>Azithromycin</t>
        </is>
      </c>
      <c r="E3" t="inlineStr">
        <is>
          <t>500 mg</t>
        </is>
      </c>
      <c r="F3" t="inlineStr">
        <is>
          <t>PO</t>
        </is>
      </c>
      <c r="G3" t="inlineStr">
        <is>
          <t>Daily</t>
        </is>
      </c>
      <c r="H3" t="n">
        <v>7</v>
      </c>
      <c r="I3" s="31" t="n">
        <v>1.1</v>
      </c>
    </row>
    <row r="4">
      <c r="A4" t="inlineStr">
        <is>
          <t>RX822106</t>
        </is>
      </c>
      <c r="B4" t="inlineStr">
        <is>
          <t>ENC118667</t>
        </is>
      </c>
      <c r="C4" s="33" t="n">
        <v>45922.84791666667</v>
      </c>
      <c r="D4" t="inlineStr">
        <is>
          <t>Acetaminophen</t>
        </is>
      </c>
      <c r="E4" t="inlineStr">
        <is>
          <t>650 mg</t>
        </is>
      </c>
      <c r="F4" t="inlineStr">
        <is>
          <t>PO</t>
        </is>
      </c>
      <c r="G4" t="inlineStr">
        <is>
          <t>Q6H PRN</t>
        </is>
      </c>
      <c r="H4" t="n">
        <v>15</v>
      </c>
      <c r="I4" s="31" t="n">
        <v>0.08</v>
      </c>
    </row>
    <row r="5">
      <c r="A5" t="inlineStr">
        <is>
          <t>RX822103</t>
        </is>
      </c>
      <c r="B5" t="inlineStr">
        <is>
          <t>ENC118667</t>
        </is>
      </c>
      <c r="C5" s="33" t="n">
        <v>45922.98472222222</v>
      </c>
      <c r="D5" t="inlineStr">
        <is>
          <t>Ceftriaxone</t>
        </is>
      </c>
      <c r="E5" t="inlineStr">
        <is>
          <t>1 g</t>
        </is>
      </c>
      <c r="F5" t="inlineStr">
        <is>
          <t>IV</t>
        </is>
      </c>
      <c r="G5" t="inlineStr">
        <is>
          <t>Q24H</t>
        </is>
      </c>
      <c r="H5" t="n">
        <v>8</v>
      </c>
      <c r="I5" s="31" t="n">
        <v>3.2</v>
      </c>
    </row>
    <row r="6">
      <c r="A6" t="inlineStr">
        <is>
          <t>RX822225</t>
        </is>
      </c>
      <c r="B6" t="inlineStr">
        <is>
          <t>ENC118779</t>
        </is>
      </c>
      <c r="C6" s="33" t="n">
        <v>45926.7875</v>
      </c>
      <c r="D6" t="inlineStr">
        <is>
          <t>Acetaminophen</t>
        </is>
      </c>
      <c r="E6" t="inlineStr">
        <is>
          <t>650 mg</t>
        </is>
      </c>
      <c r="F6" t="inlineStr">
        <is>
          <t>PO</t>
        </is>
      </c>
      <c r="G6" t="inlineStr">
        <is>
          <t>Q6H PRN</t>
        </is>
      </c>
      <c r="H6" t="n">
        <v>11</v>
      </c>
      <c r="I6" s="31" t="n">
        <v>0.08</v>
      </c>
    </row>
    <row r="7">
      <c r="A7" t="inlineStr">
        <is>
          <t>RX822224</t>
        </is>
      </c>
      <c r="B7" t="inlineStr">
        <is>
          <t>ENC118779</t>
        </is>
      </c>
      <c r="C7" s="33" t="n">
        <v>45926.90208333333</v>
      </c>
      <c r="D7" t="inlineStr">
        <is>
          <t>Cephalexin</t>
        </is>
      </c>
      <c r="E7" t="inlineStr">
        <is>
          <t>500 mg</t>
        </is>
      </c>
      <c r="F7" t="inlineStr">
        <is>
          <t>PO</t>
        </is>
      </c>
      <c r="G7" t="inlineStr">
        <is>
          <t>Q6H</t>
        </is>
      </c>
      <c r="H7" t="n">
        <v>19</v>
      </c>
      <c r="I7" s="31" t="n">
        <v>0.45</v>
      </c>
    </row>
    <row r="8">
      <c r="A8" t="inlineStr">
        <is>
          <t>RX822273</t>
        </is>
      </c>
      <c r="B8" t="inlineStr">
        <is>
          <t>ENC118807</t>
        </is>
      </c>
      <c r="C8" s="33" t="n">
        <v>45928.14027777778</v>
      </c>
      <c r="D8" t="inlineStr">
        <is>
          <t>Azithromycin</t>
        </is>
      </c>
      <c r="E8" t="inlineStr">
        <is>
          <t>500 mg</t>
        </is>
      </c>
      <c r="F8" t="inlineStr">
        <is>
          <t>PO</t>
        </is>
      </c>
      <c r="G8" t="inlineStr">
        <is>
          <t>Daily</t>
        </is>
      </c>
      <c r="H8" t="n">
        <v>4</v>
      </c>
      <c r="I8" s="31" t="n">
        <v>1.1</v>
      </c>
    </row>
    <row r="9">
      <c r="A9" t="inlineStr">
        <is>
          <t>RX822274</t>
        </is>
      </c>
      <c r="B9" t="inlineStr">
        <is>
          <t>ENC118807</t>
        </is>
      </c>
      <c r="C9" s="33" t="n">
        <v>45928.15416666667</v>
      </c>
      <c r="D9" t="inlineStr">
        <is>
          <t>Acetaminophen</t>
        </is>
      </c>
      <c r="E9" t="inlineStr">
        <is>
          <t>650 mg</t>
        </is>
      </c>
      <c r="F9" t="inlineStr">
        <is>
          <t>PO</t>
        </is>
      </c>
      <c r="G9" t="inlineStr">
        <is>
          <t>Q6H PRN</t>
        </is>
      </c>
      <c r="H9" t="n">
        <v>5</v>
      </c>
      <c r="I9" s="31" t="n">
        <v>0.08</v>
      </c>
    </row>
    <row r="10">
      <c r="A10" t="inlineStr">
        <is>
          <t>RX822275</t>
        </is>
      </c>
      <c r="B10" t="inlineStr">
        <is>
          <t>ENC118807</t>
        </is>
      </c>
      <c r="C10" s="33" t="n">
        <v>45928.17847222222</v>
      </c>
      <c r="D10" t="inlineStr">
        <is>
          <t>Enoxaparin</t>
        </is>
      </c>
      <c r="E10" t="inlineStr">
        <is>
          <t>40 mg</t>
        </is>
      </c>
      <c r="F10" t="inlineStr">
        <is>
          <t>SubQ</t>
        </is>
      </c>
      <c r="G10" t="inlineStr">
        <is>
          <t>Daily</t>
        </is>
      </c>
      <c r="H10" t="n">
        <v>3</v>
      </c>
      <c r="I10" s="31" t="n">
        <v>6.75</v>
      </c>
    </row>
    <row r="11">
      <c r="A11" t="inlineStr">
        <is>
          <t>RX822272</t>
        </is>
      </c>
      <c r="B11" t="inlineStr">
        <is>
          <t>ENC118807</t>
        </is>
      </c>
      <c r="C11" s="33" t="n">
        <v>45928.31597222222</v>
      </c>
      <c r="D11" t="inlineStr">
        <is>
          <t>Ceftriaxone</t>
        </is>
      </c>
      <c r="E11" t="inlineStr">
        <is>
          <t>1 g</t>
        </is>
      </c>
      <c r="F11" t="inlineStr">
        <is>
          <t>IV</t>
        </is>
      </c>
      <c r="G11" t="inlineStr">
        <is>
          <t>Q24H</t>
        </is>
      </c>
      <c r="H11" t="n">
        <v>3</v>
      </c>
      <c r="I11" s="31" t="n">
        <v>3.2</v>
      </c>
    </row>
    <row r="12">
      <c r="A12" t="inlineStr">
        <is>
          <t>RX822296</t>
        </is>
      </c>
      <c r="B12" t="inlineStr">
        <is>
          <t>ENC118818</t>
        </is>
      </c>
      <c r="C12" s="33" t="n">
        <v>45928.64722222222</v>
      </c>
      <c r="D12" t="inlineStr">
        <is>
          <t>Cephalexin</t>
        </is>
      </c>
      <c r="E12" t="inlineStr">
        <is>
          <t>500 mg</t>
        </is>
      </c>
      <c r="F12" t="inlineStr">
        <is>
          <t>PO</t>
        </is>
      </c>
      <c r="G12" t="inlineStr">
        <is>
          <t>Q6H</t>
        </is>
      </c>
      <c r="H12" t="n">
        <v>18</v>
      </c>
      <c r="I12" s="31" t="n">
        <v>0.45</v>
      </c>
    </row>
    <row r="13">
      <c r="A13" t="inlineStr">
        <is>
          <t>RX822297</t>
        </is>
      </c>
      <c r="B13" t="inlineStr">
        <is>
          <t>ENC118818</t>
        </is>
      </c>
      <c r="C13" s="33" t="n">
        <v>45928.7375</v>
      </c>
      <c r="D13" t="inlineStr">
        <is>
          <t>Vancomycin</t>
        </is>
      </c>
      <c r="E13" t="inlineStr">
        <is>
          <t>1250 mg</t>
        </is>
      </c>
      <c r="F13" t="inlineStr">
        <is>
          <t>IV</t>
        </is>
      </c>
      <c r="G13" t="inlineStr">
        <is>
          <t>Q12H</t>
        </is>
      </c>
      <c r="H13" t="n">
        <v>10</v>
      </c>
      <c r="I13" s="31" t="n">
        <v>9.800000000000001</v>
      </c>
    </row>
    <row r="14">
      <c r="A14" t="inlineStr">
        <is>
          <t>RX822348</t>
        </is>
      </c>
      <c r="B14" t="inlineStr">
        <is>
          <t>ENC118877</t>
        </is>
      </c>
      <c r="C14" s="33" t="n">
        <v>45930.96041666667</v>
      </c>
      <c r="D14" t="inlineStr">
        <is>
          <t>Piperacillin-Tazobactam</t>
        </is>
      </c>
      <c r="E14" t="inlineStr">
        <is>
          <t>4.5 g</t>
        </is>
      </c>
      <c r="F14" t="inlineStr">
        <is>
          <t>IV</t>
        </is>
      </c>
      <c r="G14" t="inlineStr">
        <is>
          <t>Q6H</t>
        </is>
      </c>
      <c r="H14" t="n">
        <v>6</v>
      </c>
      <c r="I14" s="31" t="n">
        <v>14.5</v>
      </c>
    </row>
    <row r="15">
      <c r="A15" t="inlineStr">
        <is>
          <t>RX822352</t>
        </is>
      </c>
      <c r="B15" t="inlineStr">
        <is>
          <t>ENC118877</t>
        </is>
      </c>
      <c r="C15" s="33" t="n">
        <v>45931.02986111111</v>
      </c>
      <c r="D15" t="inlineStr">
        <is>
          <t>Ketorolac</t>
        </is>
      </c>
      <c r="E15" t="inlineStr">
        <is>
          <t>15 mg</t>
        </is>
      </c>
      <c r="F15" t="inlineStr">
        <is>
          <t>IV</t>
        </is>
      </c>
      <c r="G15" t="inlineStr">
        <is>
          <t>Q6H</t>
        </is>
      </c>
      <c r="H15" t="n">
        <v>6</v>
      </c>
      <c r="I15" s="31" t="n">
        <v>1.3</v>
      </c>
    </row>
    <row r="16">
      <c r="A16" t="inlineStr">
        <is>
          <t>RX822350</t>
        </is>
      </c>
      <c r="B16" t="inlineStr">
        <is>
          <t>ENC118877</t>
        </is>
      </c>
      <c r="C16" s="33" t="n">
        <v>45931.04097222222</v>
      </c>
      <c r="D16" t="inlineStr">
        <is>
          <t>Morphine</t>
        </is>
      </c>
      <c r="E16" t="inlineStr">
        <is>
          <t>2 mg</t>
        </is>
      </c>
      <c r="F16" t="inlineStr">
        <is>
          <t>IV</t>
        </is>
      </c>
      <c r="G16" t="inlineStr">
        <is>
          <t>Q4H PRN</t>
        </is>
      </c>
      <c r="H16" t="n">
        <v>4</v>
      </c>
      <c r="I16" s="31" t="n">
        <v>1.95</v>
      </c>
    </row>
    <row r="17">
      <c r="A17" t="inlineStr">
        <is>
          <t>RX822351</t>
        </is>
      </c>
      <c r="B17" t="inlineStr">
        <is>
          <t>ENC118877</t>
        </is>
      </c>
      <c r="C17" s="33" t="n">
        <v>45931.06111111111</v>
      </c>
      <c r="D17" t="inlineStr">
        <is>
          <t>Lactated Ringer's</t>
        </is>
      </c>
      <c r="E17" t="inlineStr">
        <is>
          <t>1000 mL</t>
        </is>
      </c>
      <c r="F17" t="inlineStr">
        <is>
          <t>IV</t>
        </is>
      </c>
      <c r="G17" t="inlineStr">
        <is>
          <t>Continuous</t>
        </is>
      </c>
      <c r="H17" t="n">
        <v>3</v>
      </c>
      <c r="I17" s="31" t="n">
        <v>1.9</v>
      </c>
    </row>
    <row r="18">
      <c r="A18" t="inlineStr">
        <is>
          <t>RX822349</t>
        </is>
      </c>
      <c r="B18" t="inlineStr">
        <is>
          <t>ENC118877</t>
        </is>
      </c>
      <c r="C18" s="33" t="n">
        <v>45931.12152777778</v>
      </c>
      <c r="D18" t="inlineStr">
        <is>
          <t>Ceftriaxone</t>
        </is>
      </c>
      <c r="E18" t="inlineStr">
        <is>
          <t>1 g</t>
        </is>
      </c>
      <c r="F18" t="inlineStr">
        <is>
          <t>IV</t>
        </is>
      </c>
      <c r="G18" t="inlineStr">
        <is>
          <t>Q24H</t>
        </is>
      </c>
      <c r="H18" t="n">
        <v>2</v>
      </c>
      <c r="I18" s="31" t="n">
        <v>3.2</v>
      </c>
    </row>
    <row r="19">
      <c r="A19" t="inlineStr">
        <is>
          <t>RX822389</t>
        </is>
      </c>
      <c r="B19" t="inlineStr">
        <is>
          <t>ENC118915</t>
        </is>
      </c>
      <c r="C19" s="33" t="n">
        <v>45932.05</v>
      </c>
      <c r="D19" t="inlineStr">
        <is>
          <t>Ipratropium-Albuterol</t>
        </is>
      </c>
      <c r="E19" t="inlineStr">
        <is>
          <t>3 mL</t>
        </is>
      </c>
      <c r="F19" t="inlineStr">
        <is>
          <t>Inhaled</t>
        </is>
      </c>
      <c r="G19" t="inlineStr">
        <is>
          <t>Q6H</t>
        </is>
      </c>
      <c r="H19" t="n">
        <v>14</v>
      </c>
      <c r="I19" s="31" t="n">
        <v>1.05</v>
      </c>
    </row>
    <row r="20">
      <c r="A20" t="inlineStr">
        <is>
          <t>RX822390</t>
        </is>
      </c>
      <c r="B20" t="inlineStr">
        <is>
          <t>ENC118915</t>
        </is>
      </c>
      <c r="C20" s="33" t="n">
        <v>45932.16666666666</v>
      </c>
      <c r="D20" t="inlineStr">
        <is>
          <t>Enoxaparin</t>
        </is>
      </c>
      <c r="E20" t="inlineStr">
        <is>
          <t>40 mg</t>
        </is>
      </c>
      <c r="F20" t="inlineStr">
        <is>
          <t>SubQ</t>
        </is>
      </c>
      <c r="G20" t="inlineStr">
        <is>
          <t>Daily</t>
        </is>
      </c>
      <c r="H20" t="n">
        <v>3</v>
      </c>
      <c r="I20" s="31" t="n">
        <v>6.75</v>
      </c>
    </row>
    <row r="21">
      <c r="A21" t="inlineStr">
        <is>
          <t>RX822404</t>
        </is>
      </c>
      <c r="B21" t="inlineStr">
        <is>
          <t>ENC118934</t>
        </is>
      </c>
      <c r="C21" s="33" t="n">
        <v>45932.98194444444</v>
      </c>
      <c r="D21" t="inlineStr">
        <is>
          <t>Heparin</t>
        </is>
      </c>
      <c r="E21" t="inlineStr">
        <is>
          <t>5000 units</t>
        </is>
      </c>
      <c r="F21" t="inlineStr">
        <is>
          <t>SubQ</t>
        </is>
      </c>
      <c r="G21" t="inlineStr">
        <is>
          <t>Q8H</t>
        </is>
      </c>
      <c r="H21" t="n">
        <v>11</v>
      </c>
      <c r="I21" s="31" t="n">
        <v>1.6</v>
      </c>
    </row>
    <row r="22">
      <c r="A22" t="inlineStr">
        <is>
          <t>RX822403</t>
        </is>
      </c>
      <c r="B22" t="inlineStr">
        <is>
          <t>ENC118934</t>
        </is>
      </c>
      <c r="C22" s="33" t="n">
        <v>45932.99166666667</v>
      </c>
      <c r="D22" t="inlineStr">
        <is>
          <t>Sodium Chloride 0.9%</t>
        </is>
      </c>
      <c r="E22" t="inlineStr">
        <is>
          <t>1000 mL</t>
        </is>
      </c>
      <c r="F22" t="inlineStr">
        <is>
          <t>IV</t>
        </is>
      </c>
      <c r="G22" t="inlineStr">
        <is>
          <t>Continuous</t>
        </is>
      </c>
      <c r="H22" t="n">
        <v>7</v>
      </c>
      <c r="I22" s="31" t="n">
        <v>1.75</v>
      </c>
    </row>
    <row r="23">
      <c r="A23" t="inlineStr">
        <is>
          <t>RX822452</t>
        </is>
      </c>
      <c r="B23" t="inlineStr">
        <is>
          <t>ENC118978</t>
        </is>
      </c>
      <c r="C23" s="33" t="n">
        <v>45934.22361111111</v>
      </c>
      <c r="D23" t="inlineStr">
        <is>
          <t>Methylprednisolone</t>
        </is>
      </c>
      <c r="E23" t="inlineStr">
        <is>
          <t>40 mg</t>
        </is>
      </c>
      <c r="F23" t="inlineStr">
        <is>
          <t>IV</t>
        </is>
      </c>
      <c r="G23" t="inlineStr">
        <is>
          <t>Q8H</t>
        </is>
      </c>
      <c r="H23" t="n">
        <v>10</v>
      </c>
      <c r="I23" s="31" t="n">
        <v>3.9</v>
      </c>
    </row>
    <row r="24">
      <c r="A24" t="inlineStr">
        <is>
          <t>RX822451</t>
        </is>
      </c>
      <c r="B24" t="inlineStr">
        <is>
          <t>ENC118978</t>
        </is>
      </c>
      <c r="C24" s="33" t="n">
        <v>45934.23611111111</v>
      </c>
      <c r="D24" t="inlineStr">
        <is>
          <t>Albuterol</t>
        </is>
      </c>
      <c r="E24" t="inlineStr">
        <is>
          <t>2.5 mg</t>
        </is>
      </c>
      <c r="F24" t="inlineStr">
        <is>
          <t>Inhaled</t>
        </is>
      </c>
      <c r="G24" t="inlineStr">
        <is>
          <t>Q4H</t>
        </is>
      </c>
      <c r="H24" t="n">
        <v>16</v>
      </c>
      <c r="I24" s="31" t="n">
        <v>0.55</v>
      </c>
    </row>
    <row r="25">
      <c r="A25" t="inlineStr">
        <is>
          <t>RX822476</t>
        </is>
      </c>
      <c r="B25" t="inlineStr">
        <is>
          <t>ENC118995</t>
        </is>
      </c>
      <c r="C25" s="33" t="n">
        <v>45935.01944444444</v>
      </c>
      <c r="D25" t="inlineStr">
        <is>
          <t>Ceftriaxone</t>
        </is>
      </c>
      <c r="E25" t="inlineStr">
        <is>
          <t>1 g</t>
        </is>
      </c>
      <c r="F25" t="inlineStr">
        <is>
          <t>IV</t>
        </is>
      </c>
      <c r="G25" t="inlineStr">
        <is>
          <t>Q24H</t>
        </is>
      </c>
      <c r="H25" t="n">
        <v>8</v>
      </c>
      <c r="I25" s="31" t="n">
        <v>3.2</v>
      </c>
    </row>
    <row r="26">
      <c r="A26" t="inlineStr">
        <is>
          <t>RX822478</t>
        </is>
      </c>
      <c r="B26" t="inlineStr">
        <is>
          <t>ENC118995</t>
        </is>
      </c>
      <c r="C26" s="33" t="n">
        <v>45935.06041666667</v>
      </c>
      <c r="D26" t="inlineStr">
        <is>
          <t>Acetaminophen</t>
        </is>
      </c>
      <c r="E26" t="inlineStr">
        <is>
          <t>650 mg</t>
        </is>
      </c>
      <c r="F26" t="inlineStr">
        <is>
          <t>PO</t>
        </is>
      </c>
      <c r="G26" t="inlineStr">
        <is>
          <t>Q6H PRN</t>
        </is>
      </c>
      <c r="H26" t="n">
        <v>14</v>
      </c>
      <c r="I26" s="31" t="n">
        <v>0.08</v>
      </c>
    </row>
    <row r="27">
      <c r="A27" t="inlineStr">
        <is>
          <t>RX822477</t>
        </is>
      </c>
      <c r="B27" t="inlineStr">
        <is>
          <t>ENC118995</t>
        </is>
      </c>
      <c r="C27" s="33" t="n">
        <v>45935.14791666667</v>
      </c>
      <c r="D27" t="inlineStr">
        <is>
          <t>Sodium Chloride 0.9%</t>
        </is>
      </c>
      <c r="E27" t="inlineStr">
        <is>
          <t>1000 mL</t>
        </is>
      </c>
      <c r="F27" t="inlineStr">
        <is>
          <t>IV</t>
        </is>
      </c>
      <c r="G27" t="inlineStr">
        <is>
          <t>Continuous</t>
        </is>
      </c>
      <c r="H27" t="n">
        <v>15</v>
      </c>
      <c r="I27" s="31" t="n">
        <v>1.75</v>
      </c>
    </row>
    <row r="28">
      <c r="A28" t="inlineStr">
        <is>
          <t>RX822503</t>
        </is>
      </c>
      <c r="B28" t="inlineStr">
        <is>
          <t>ENC119015</t>
        </is>
      </c>
      <c r="C28" s="33" t="n">
        <v>45935.91041666667</v>
      </c>
      <c r="D28" t="inlineStr">
        <is>
          <t>Acetaminophen</t>
        </is>
      </c>
      <c r="E28" t="inlineStr">
        <is>
          <t>650 mg</t>
        </is>
      </c>
      <c r="F28" t="inlineStr">
        <is>
          <t>PO</t>
        </is>
      </c>
      <c r="G28" t="inlineStr">
        <is>
          <t>Q6H PRN</t>
        </is>
      </c>
      <c r="H28" t="n">
        <v>10</v>
      </c>
      <c r="I28" s="31" t="n">
        <v>0.08</v>
      </c>
    </row>
    <row r="29">
      <c r="A29" t="inlineStr">
        <is>
          <t>RX822500</t>
        </is>
      </c>
      <c r="B29" t="inlineStr">
        <is>
          <t>ENC119015</t>
        </is>
      </c>
      <c r="C29" s="33" t="n">
        <v>45935.93194444444</v>
      </c>
      <c r="D29" t="inlineStr">
        <is>
          <t>Piperacillin-Tazobactam</t>
        </is>
      </c>
      <c r="E29" t="inlineStr">
        <is>
          <t>4.5 g</t>
        </is>
      </c>
      <c r="F29" t="inlineStr">
        <is>
          <t>IV</t>
        </is>
      </c>
      <c r="G29" t="inlineStr">
        <is>
          <t>Q6H</t>
        </is>
      </c>
      <c r="H29" t="n">
        <v>25</v>
      </c>
      <c r="I29" s="31" t="n">
        <v>14.5</v>
      </c>
    </row>
    <row r="30">
      <c r="A30" t="inlineStr">
        <is>
          <t>RX822501</t>
        </is>
      </c>
      <c r="B30" t="inlineStr">
        <is>
          <t>ENC119015</t>
        </is>
      </c>
      <c r="C30" s="33" t="n">
        <v>45936.03263888889</v>
      </c>
      <c r="D30" t="inlineStr">
        <is>
          <t>Vancomycin</t>
        </is>
      </c>
      <c r="E30" t="inlineStr">
        <is>
          <t>1250 mg</t>
        </is>
      </c>
      <c r="F30" t="inlineStr">
        <is>
          <t>IV</t>
        </is>
      </c>
      <c r="G30" t="inlineStr">
        <is>
          <t>Q12H</t>
        </is>
      </c>
      <c r="H30" t="n">
        <v>12</v>
      </c>
      <c r="I30" s="31" t="n">
        <v>9.800000000000001</v>
      </c>
    </row>
    <row r="31">
      <c r="A31" t="inlineStr">
        <is>
          <t>RX822504</t>
        </is>
      </c>
      <c r="B31" t="inlineStr">
        <is>
          <t>ENC119015</t>
        </is>
      </c>
      <c r="C31" s="33" t="n">
        <v>45936.03402777778</v>
      </c>
      <c r="D31" t="inlineStr">
        <is>
          <t>Pantoprazole</t>
        </is>
      </c>
      <c r="E31" t="inlineStr">
        <is>
          <t>40 mg</t>
        </is>
      </c>
      <c r="F31" t="inlineStr">
        <is>
          <t>IV</t>
        </is>
      </c>
      <c r="G31" t="inlineStr">
        <is>
          <t>Daily</t>
        </is>
      </c>
      <c r="H31" t="n">
        <v>6</v>
      </c>
      <c r="I31" s="31" t="n">
        <v>2.1</v>
      </c>
    </row>
    <row r="32">
      <c r="A32" t="inlineStr">
        <is>
          <t>RX822502</t>
        </is>
      </c>
      <c r="B32" t="inlineStr">
        <is>
          <t>ENC119015</t>
        </is>
      </c>
      <c r="C32" s="33" t="n">
        <v>45936.05208333334</v>
      </c>
      <c r="D32" t="inlineStr">
        <is>
          <t>Lactated Ringer's</t>
        </is>
      </c>
      <c r="E32" t="inlineStr">
        <is>
          <t>1000 mL</t>
        </is>
      </c>
      <c r="F32" t="inlineStr">
        <is>
          <t>IV</t>
        </is>
      </c>
      <c r="G32" t="inlineStr">
        <is>
          <t>Continuous</t>
        </is>
      </c>
      <c r="H32" t="n">
        <v>11</v>
      </c>
      <c r="I32" s="31" t="n">
        <v>1.9</v>
      </c>
    </row>
    <row r="33">
      <c r="A33" t="inlineStr">
        <is>
          <t>RX822528</t>
        </is>
      </c>
      <c r="B33" t="inlineStr">
        <is>
          <t>ENC119034</t>
        </is>
      </c>
      <c r="C33" s="33" t="n">
        <v>45936.73472222222</v>
      </c>
      <c r="D33" t="inlineStr">
        <is>
          <t>Sodium Chloride 0.9%</t>
        </is>
      </c>
      <c r="E33" t="inlineStr">
        <is>
          <t>1000 mL</t>
        </is>
      </c>
      <c r="F33" t="inlineStr">
        <is>
          <t>IV</t>
        </is>
      </c>
      <c r="G33" t="inlineStr">
        <is>
          <t>Continuous</t>
        </is>
      </c>
      <c r="H33" t="n">
        <v>3</v>
      </c>
      <c r="I33" s="31" t="n">
        <v>1.75</v>
      </c>
    </row>
    <row r="34">
      <c r="A34" t="inlineStr">
        <is>
          <t>RX822529</t>
        </is>
      </c>
      <c r="B34" t="inlineStr">
        <is>
          <t>ENC119034</t>
        </is>
      </c>
      <c r="C34" s="33" t="n">
        <v>45936.74791666667</v>
      </c>
      <c r="D34" t="inlineStr">
        <is>
          <t>Heparin</t>
        </is>
      </c>
      <c r="E34" t="inlineStr">
        <is>
          <t>5000 units</t>
        </is>
      </c>
      <c r="F34" t="inlineStr">
        <is>
          <t>SubQ</t>
        </is>
      </c>
      <c r="G34" t="inlineStr">
        <is>
          <t>Q8H</t>
        </is>
      </c>
      <c r="H34" t="n">
        <v>5</v>
      </c>
      <c r="I34" s="31" t="n">
        <v>1.6</v>
      </c>
    </row>
    <row r="35">
      <c r="A35" t="inlineStr">
        <is>
          <t>RX822610</t>
        </is>
      </c>
      <c r="B35" t="inlineStr">
        <is>
          <t>ENC119103</t>
        </is>
      </c>
      <c r="C35" s="33" t="n">
        <v>45938.71875</v>
      </c>
      <c r="D35" t="inlineStr">
        <is>
          <t>Heparin</t>
        </is>
      </c>
      <c r="E35" t="inlineStr">
        <is>
          <t>5000 units</t>
        </is>
      </c>
      <c r="F35" t="inlineStr">
        <is>
          <t>SubQ</t>
        </is>
      </c>
      <c r="G35" t="inlineStr">
        <is>
          <t>Q8H</t>
        </is>
      </c>
      <c r="H35" t="n">
        <v>7</v>
      </c>
      <c r="I35" s="31" t="n">
        <v>1.6</v>
      </c>
    </row>
    <row r="36">
      <c r="A36" t="inlineStr">
        <is>
          <t>RX822623</t>
        </is>
      </c>
      <c r="B36" t="inlineStr">
        <is>
          <t>ENC119116</t>
        </is>
      </c>
      <c r="C36" s="33" t="n">
        <v>45938.82986111111</v>
      </c>
      <c r="D36" t="inlineStr">
        <is>
          <t>Acetaminophen</t>
        </is>
      </c>
      <c r="E36" t="inlineStr">
        <is>
          <t>650 mg</t>
        </is>
      </c>
      <c r="F36" t="inlineStr">
        <is>
          <t>PO</t>
        </is>
      </c>
      <c r="G36" t="inlineStr">
        <is>
          <t>Q6H PRN</t>
        </is>
      </c>
      <c r="H36" t="n">
        <v>7</v>
      </c>
      <c r="I36" s="31" t="n">
        <v>0.08</v>
      </c>
    </row>
    <row r="37">
      <c r="A37" t="inlineStr">
        <is>
          <t>RX822608</t>
        </is>
      </c>
      <c r="B37" t="inlineStr">
        <is>
          <t>ENC119103</t>
        </is>
      </c>
      <c r="C37" s="33" t="n">
        <v>45938.83819444444</v>
      </c>
      <c r="D37" t="inlineStr">
        <is>
          <t>Insulin Glargine</t>
        </is>
      </c>
      <c r="E37" t="inlineStr">
        <is>
          <t>20 units</t>
        </is>
      </c>
      <c r="F37" t="inlineStr">
        <is>
          <t>SubQ</t>
        </is>
      </c>
      <c r="G37" t="inlineStr">
        <is>
          <t>Daily</t>
        </is>
      </c>
      <c r="H37" t="n">
        <v>2</v>
      </c>
      <c r="I37" s="31" t="n">
        <v>11.4</v>
      </c>
    </row>
    <row r="38">
      <c r="A38" t="inlineStr">
        <is>
          <t>RX822609</t>
        </is>
      </c>
      <c r="B38" t="inlineStr">
        <is>
          <t>ENC119103</t>
        </is>
      </c>
      <c r="C38" s="33" t="n">
        <v>45938.84930555556</v>
      </c>
      <c r="D38" t="inlineStr">
        <is>
          <t>Potassium Chloride</t>
        </is>
      </c>
      <c r="E38" t="inlineStr">
        <is>
          <t>20 mEq</t>
        </is>
      </c>
      <c r="F38" t="inlineStr">
        <is>
          <t>PO</t>
        </is>
      </c>
      <c r="G38" t="inlineStr">
        <is>
          <t>Once</t>
        </is>
      </c>
      <c r="H38" t="n">
        <v>1</v>
      </c>
      <c r="I38" s="31" t="n">
        <v>0.35</v>
      </c>
    </row>
    <row r="39">
      <c r="A39" t="inlineStr">
        <is>
          <t>RX822624</t>
        </is>
      </c>
      <c r="B39" t="inlineStr">
        <is>
          <t>ENC119116</t>
        </is>
      </c>
      <c r="C39" s="33" t="n">
        <v>45938.85833333333</v>
      </c>
      <c r="D39" t="inlineStr">
        <is>
          <t>Heparin</t>
        </is>
      </c>
      <c r="E39" t="inlineStr">
        <is>
          <t>5000 units</t>
        </is>
      </c>
      <c r="F39" t="inlineStr">
        <is>
          <t>SubQ</t>
        </is>
      </c>
      <c r="G39" t="inlineStr">
        <is>
          <t>Q8H</t>
        </is>
      </c>
      <c r="H39" t="n">
        <v>9</v>
      </c>
      <c r="I39" s="31" t="n">
        <v>1.6</v>
      </c>
    </row>
    <row r="40">
      <c r="A40" t="inlineStr">
        <is>
          <t>RX822622</t>
        </is>
      </c>
      <c r="B40" t="inlineStr">
        <is>
          <t>ENC119116</t>
        </is>
      </c>
      <c r="C40" s="33" t="n">
        <v>45938.875</v>
      </c>
      <c r="D40" t="inlineStr">
        <is>
          <t>Cephalexin</t>
        </is>
      </c>
      <c r="E40" t="inlineStr">
        <is>
          <t>500 mg</t>
        </is>
      </c>
      <c r="F40" t="inlineStr">
        <is>
          <t>PO</t>
        </is>
      </c>
      <c r="G40" t="inlineStr">
        <is>
          <t>Q6H</t>
        </is>
      </c>
      <c r="H40" t="n">
        <v>14</v>
      </c>
      <c r="I40" s="31" t="n">
        <v>0.45</v>
      </c>
    </row>
    <row r="41">
      <c r="A41" t="inlineStr">
        <is>
          <t>RX822621</t>
        </is>
      </c>
      <c r="B41" t="inlineStr">
        <is>
          <t>ENC119116</t>
        </is>
      </c>
      <c r="C41" s="33" t="n">
        <v>45938.90555555555</v>
      </c>
      <c r="D41" t="inlineStr">
        <is>
          <t>Ceftriaxone</t>
        </is>
      </c>
      <c r="E41" t="inlineStr">
        <is>
          <t>1 g</t>
        </is>
      </c>
      <c r="F41" t="inlineStr">
        <is>
          <t>IV</t>
        </is>
      </c>
      <c r="G41" t="inlineStr">
        <is>
          <t>Q24H</t>
        </is>
      </c>
      <c r="H41" t="n">
        <v>3</v>
      </c>
      <c r="I41" s="31" t="n">
        <v>3.2</v>
      </c>
    </row>
    <row r="42">
      <c r="A42" t="inlineStr">
        <is>
          <t>RX822689</t>
        </is>
      </c>
      <c r="B42" t="inlineStr">
        <is>
          <t>ENC119174</t>
        </is>
      </c>
      <c r="C42" s="33" t="n">
        <v>45940.82569444444</v>
      </c>
      <c r="D42" t="inlineStr">
        <is>
          <t>Insulin Lispro</t>
        </is>
      </c>
      <c r="E42" t="inlineStr">
        <is>
          <t>Sliding scale</t>
        </is>
      </c>
      <c r="F42" t="inlineStr">
        <is>
          <t>SubQ</t>
        </is>
      </c>
      <c r="G42" t="inlineStr">
        <is>
          <t>AC &amp; HS</t>
        </is>
      </c>
      <c r="H42" t="n">
        <v>5</v>
      </c>
      <c r="I42" s="31" t="n">
        <v>4.1</v>
      </c>
    </row>
    <row r="43">
      <c r="A43" t="inlineStr">
        <is>
          <t>RX822690</t>
        </is>
      </c>
      <c r="B43" t="inlineStr">
        <is>
          <t>ENC119174</t>
        </is>
      </c>
      <c r="C43" s="33" t="n">
        <v>45940.83541666667</v>
      </c>
      <c r="D43" t="inlineStr">
        <is>
          <t>Insulin Glargine</t>
        </is>
      </c>
      <c r="E43" t="inlineStr">
        <is>
          <t>20 units</t>
        </is>
      </c>
      <c r="F43" t="inlineStr">
        <is>
          <t>SubQ</t>
        </is>
      </c>
      <c r="G43" t="inlineStr">
        <is>
          <t>Daily</t>
        </is>
      </c>
      <c r="H43" t="n">
        <v>2</v>
      </c>
      <c r="I43" s="31" t="n">
        <v>11.4</v>
      </c>
    </row>
    <row r="44">
      <c r="A44" t="inlineStr">
        <is>
          <t>RX822752</t>
        </is>
      </c>
      <c r="B44" t="inlineStr">
        <is>
          <t>ENC119214</t>
        </is>
      </c>
      <c r="C44" s="33" t="n">
        <v>45943.28819444445</v>
      </c>
      <c r="D44" t="inlineStr">
        <is>
          <t>Sodium Chloride 0.9%</t>
        </is>
      </c>
      <c r="E44" t="inlineStr">
        <is>
          <t>1000 mL</t>
        </is>
      </c>
      <c r="F44" t="inlineStr">
        <is>
          <t>IV</t>
        </is>
      </c>
      <c r="G44" t="inlineStr">
        <is>
          <t>Continuous</t>
        </is>
      </c>
      <c r="H44" t="n">
        <v>6</v>
      </c>
      <c r="I44" s="31" t="n">
        <v>1.75</v>
      </c>
    </row>
    <row r="45">
      <c r="A45" t="inlineStr">
        <is>
          <t>RX822751</t>
        </is>
      </c>
      <c r="B45" t="inlineStr">
        <is>
          <t>ENC119214</t>
        </is>
      </c>
      <c r="C45" s="33" t="n">
        <v>45943.29652777778</v>
      </c>
      <c r="D45" t="inlineStr">
        <is>
          <t>Azithromycin</t>
        </is>
      </c>
      <c r="E45" t="inlineStr">
        <is>
          <t>500 mg</t>
        </is>
      </c>
      <c r="F45" t="inlineStr">
        <is>
          <t>PO</t>
        </is>
      </c>
      <c r="G45" t="inlineStr">
        <is>
          <t>Daily</t>
        </is>
      </c>
      <c r="H45" t="n">
        <v>3</v>
      </c>
      <c r="I45" s="31" t="n">
        <v>1.1</v>
      </c>
    </row>
    <row r="46">
      <c r="A46" t="inlineStr">
        <is>
          <t>RX822753</t>
        </is>
      </c>
      <c r="B46" t="inlineStr">
        <is>
          <t>ENC119214</t>
        </is>
      </c>
      <c r="C46" s="33" t="n">
        <v>45943.31111111111</v>
      </c>
      <c r="D46" t="inlineStr">
        <is>
          <t>Acetaminophen</t>
        </is>
      </c>
      <c r="E46" t="inlineStr">
        <is>
          <t>650 mg</t>
        </is>
      </c>
      <c r="F46" t="inlineStr">
        <is>
          <t>PO</t>
        </is>
      </c>
      <c r="G46" t="inlineStr">
        <is>
          <t>Q6H PRN</t>
        </is>
      </c>
      <c r="H46" t="n">
        <v>6</v>
      </c>
      <c r="I46" s="31" t="n">
        <v>0.08</v>
      </c>
    </row>
    <row r="47">
      <c r="A47" t="inlineStr">
        <is>
          <t>RX822754</t>
        </is>
      </c>
      <c r="B47" t="inlineStr">
        <is>
          <t>ENC119214</t>
        </is>
      </c>
      <c r="C47" s="33" t="n">
        <v>45943.33958333333</v>
      </c>
      <c r="D47" t="inlineStr">
        <is>
          <t>Enoxaparin</t>
        </is>
      </c>
      <c r="E47" t="inlineStr">
        <is>
          <t>40 mg</t>
        </is>
      </c>
      <c r="F47" t="inlineStr">
        <is>
          <t>SubQ</t>
        </is>
      </c>
      <c r="G47" t="inlineStr">
        <is>
          <t>Daily</t>
        </is>
      </c>
      <c r="H47" t="n">
        <v>3</v>
      </c>
      <c r="I47" s="31" t="n">
        <v>6.75</v>
      </c>
    </row>
    <row r="48">
      <c r="A48" t="inlineStr">
        <is>
          <t>RX822789</t>
        </is>
      </c>
      <c r="B48" t="inlineStr">
        <is>
          <t>ENC119248</t>
        </is>
      </c>
      <c r="C48" s="33" t="n">
        <v>45944.10208333333</v>
      </c>
      <c r="D48" t="inlineStr">
        <is>
          <t>Ceftriaxone</t>
        </is>
      </c>
      <c r="E48" t="inlineStr">
        <is>
          <t>1 g</t>
        </is>
      </c>
      <c r="F48" t="inlineStr">
        <is>
          <t>IV</t>
        </is>
      </c>
      <c r="G48" t="inlineStr">
        <is>
          <t>Q24H</t>
        </is>
      </c>
      <c r="H48" t="n">
        <v>3</v>
      </c>
      <c r="I48" s="31" t="n">
        <v>3.2</v>
      </c>
    </row>
    <row r="49">
      <c r="A49" t="inlineStr">
        <is>
          <t>RX822790</t>
        </is>
      </c>
      <c r="B49" t="inlineStr">
        <is>
          <t>ENC119248</t>
        </is>
      </c>
      <c r="C49" s="33" t="n">
        <v>45944.11458333334</v>
      </c>
      <c r="D49" t="inlineStr">
        <is>
          <t>Morphine</t>
        </is>
      </c>
      <c r="E49" t="inlineStr">
        <is>
          <t>2 mg</t>
        </is>
      </c>
      <c r="F49" t="inlineStr">
        <is>
          <t>IV</t>
        </is>
      </c>
      <c r="G49" t="inlineStr">
        <is>
          <t>Q4H PRN</t>
        </is>
      </c>
      <c r="H49" t="n">
        <v>7</v>
      </c>
      <c r="I49" s="31" t="n">
        <v>1.95</v>
      </c>
    </row>
    <row r="50">
      <c r="A50" t="inlineStr">
        <is>
          <t>RX822788</t>
        </is>
      </c>
      <c r="B50" t="inlineStr">
        <is>
          <t>ENC119248</t>
        </is>
      </c>
      <c r="C50" s="33" t="n">
        <v>45944.19722222222</v>
      </c>
      <c r="D50" t="inlineStr">
        <is>
          <t>Piperacillin-Tazobactam</t>
        </is>
      </c>
      <c r="E50" t="inlineStr">
        <is>
          <t>4.5 g</t>
        </is>
      </c>
      <c r="F50" t="inlineStr">
        <is>
          <t>IV</t>
        </is>
      </c>
      <c r="G50" t="inlineStr">
        <is>
          <t>Q6H</t>
        </is>
      </c>
      <c r="H50" t="n">
        <v>12</v>
      </c>
      <c r="I50" s="31" t="n">
        <v>14.5</v>
      </c>
    </row>
    <row r="51">
      <c r="A51" t="inlineStr">
        <is>
          <t>RX822791</t>
        </is>
      </c>
      <c r="B51" t="inlineStr">
        <is>
          <t>ENC119248</t>
        </is>
      </c>
      <c r="C51" s="33" t="n">
        <v>45944.22638888889</v>
      </c>
      <c r="D51" t="inlineStr">
        <is>
          <t>Ondansetron</t>
        </is>
      </c>
      <c r="E51" t="inlineStr">
        <is>
          <t>4 mg</t>
        </is>
      </c>
      <c r="F51" t="inlineStr">
        <is>
          <t>IV</t>
        </is>
      </c>
      <c r="G51" t="inlineStr">
        <is>
          <t>Q6H PRN</t>
        </is>
      </c>
      <c r="H51" t="n">
        <v>6</v>
      </c>
      <c r="I51" s="31" t="n">
        <v>0.85</v>
      </c>
    </row>
    <row r="52">
      <c r="A52" t="inlineStr">
        <is>
          <t>RX822808</t>
        </is>
      </c>
      <c r="B52" t="inlineStr">
        <is>
          <t>ENC119271</t>
        </is>
      </c>
      <c r="C52" s="33" t="n">
        <v>45944.59236111111</v>
      </c>
      <c r="D52" t="inlineStr">
        <is>
          <t>Acetaminophen</t>
        </is>
      </c>
      <c r="E52" t="inlineStr">
        <is>
          <t>650 mg</t>
        </is>
      </c>
      <c r="F52" t="inlineStr">
        <is>
          <t>PO</t>
        </is>
      </c>
      <c r="G52" t="inlineStr">
        <is>
          <t>Q6H PRN</t>
        </is>
      </c>
      <c r="H52" t="n">
        <v>12</v>
      </c>
      <c r="I52" s="31" t="n">
        <v>0.08</v>
      </c>
    </row>
    <row r="53">
      <c r="A53" t="inlineStr">
        <is>
          <t>RX822806</t>
        </is>
      </c>
      <c r="B53" t="inlineStr">
        <is>
          <t>ENC119271</t>
        </is>
      </c>
      <c r="C53" s="33" t="n">
        <v>45944.62638888889</v>
      </c>
      <c r="D53" t="inlineStr">
        <is>
          <t>Methylprednisolone</t>
        </is>
      </c>
      <c r="E53" t="inlineStr">
        <is>
          <t>40 mg</t>
        </is>
      </c>
      <c r="F53" t="inlineStr">
        <is>
          <t>IV</t>
        </is>
      </c>
      <c r="G53" t="inlineStr">
        <is>
          <t>Q8H</t>
        </is>
      </c>
      <c r="H53" t="n">
        <v>18</v>
      </c>
      <c r="I53" s="31" t="n">
        <v>3.9</v>
      </c>
    </row>
    <row r="54">
      <c r="A54" t="inlineStr">
        <is>
          <t>RX822807</t>
        </is>
      </c>
      <c r="B54" t="inlineStr">
        <is>
          <t>ENC119271</t>
        </is>
      </c>
      <c r="C54" s="33" t="n">
        <v>45944.77708333333</v>
      </c>
      <c r="D54" t="inlineStr">
        <is>
          <t>Azithromycin</t>
        </is>
      </c>
      <c r="E54" t="inlineStr">
        <is>
          <t>500 mg</t>
        </is>
      </c>
      <c r="F54" t="inlineStr">
        <is>
          <t>PO</t>
        </is>
      </c>
      <c r="G54" t="inlineStr">
        <is>
          <t>Daily</t>
        </is>
      </c>
      <c r="H54" t="n">
        <v>5</v>
      </c>
      <c r="I54" s="31" t="n">
        <v>1.1</v>
      </c>
    </row>
    <row r="55">
      <c r="A55" t="inlineStr">
        <is>
          <t>RX822811</t>
        </is>
      </c>
      <c r="B55" t="inlineStr">
        <is>
          <t>ENC119274</t>
        </is>
      </c>
      <c r="C55" s="33" t="n">
        <v>45944.78888888889</v>
      </c>
      <c r="D55" t="inlineStr">
        <is>
          <t>Cephalexin</t>
        </is>
      </c>
      <c r="E55" t="inlineStr">
        <is>
          <t>500 mg</t>
        </is>
      </c>
      <c r="F55" t="inlineStr">
        <is>
          <t>PO</t>
        </is>
      </c>
      <c r="G55" t="inlineStr">
        <is>
          <t>Q6H</t>
        </is>
      </c>
      <c r="H55" t="n">
        <v>19</v>
      </c>
      <c r="I55" s="31" t="n">
        <v>0.45</v>
      </c>
    </row>
    <row r="56">
      <c r="A56" t="inlineStr">
        <is>
          <t>RX822810</t>
        </is>
      </c>
      <c r="B56" t="inlineStr">
        <is>
          <t>ENC119274</t>
        </is>
      </c>
      <c r="C56" s="33" t="n">
        <v>45944.83055555556</v>
      </c>
      <c r="D56" t="inlineStr">
        <is>
          <t>Ceftriaxone</t>
        </is>
      </c>
      <c r="E56" t="inlineStr">
        <is>
          <t>1 g</t>
        </is>
      </c>
      <c r="F56" t="inlineStr">
        <is>
          <t>IV</t>
        </is>
      </c>
      <c r="G56" t="inlineStr">
        <is>
          <t>Q24H</t>
        </is>
      </c>
      <c r="H56" t="n">
        <v>4</v>
      </c>
      <c r="I56" s="31" t="n">
        <v>3.2</v>
      </c>
    </row>
    <row r="57">
      <c r="A57" t="inlineStr">
        <is>
          <t>RX822813</t>
        </is>
      </c>
      <c r="B57" t="inlineStr">
        <is>
          <t>ENC119274</t>
        </is>
      </c>
      <c r="C57" s="33" t="n">
        <v>45944.92013888889</v>
      </c>
      <c r="D57" t="inlineStr">
        <is>
          <t>Heparin</t>
        </is>
      </c>
      <c r="E57" t="inlineStr">
        <is>
          <t>5000 units</t>
        </is>
      </c>
      <c r="F57" t="inlineStr">
        <is>
          <t>SubQ</t>
        </is>
      </c>
      <c r="G57" t="inlineStr">
        <is>
          <t>Q8H</t>
        </is>
      </c>
      <c r="H57" t="n">
        <v>12</v>
      </c>
      <c r="I57" s="31" t="n">
        <v>1.6</v>
      </c>
    </row>
    <row r="58">
      <c r="A58" t="inlineStr">
        <is>
          <t>RX822812</t>
        </is>
      </c>
      <c r="B58" t="inlineStr">
        <is>
          <t>ENC119274</t>
        </is>
      </c>
      <c r="C58" s="33" t="n">
        <v>45944.94027777778</v>
      </c>
      <c r="D58" t="inlineStr">
        <is>
          <t>Acetaminophen</t>
        </is>
      </c>
      <c r="E58" t="inlineStr">
        <is>
          <t>650 mg</t>
        </is>
      </c>
      <c r="F58" t="inlineStr">
        <is>
          <t>PO</t>
        </is>
      </c>
      <c r="G58" t="inlineStr">
        <is>
          <t>Q6H PRN</t>
        </is>
      </c>
      <c r="H58" t="n">
        <v>9</v>
      </c>
      <c r="I58" s="31" t="n">
        <v>0.08</v>
      </c>
    </row>
    <row r="59">
      <c r="A59" t="inlineStr">
        <is>
          <t>RX822841</t>
        </is>
      </c>
      <c r="B59" t="inlineStr">
        <is>
          <t>ENC119289</t>
        </is>
      </c>
      <c r="C59" s="33" t="n">
        <v>45945.01597222222</v>
      </c>
      <c r="D59" t="inlineStr">
        <is>
          <t>Sodium Chloride 0.9%</t>
        </is>
      </c>
      <c r="E59" t="inlineStr">
        <is>
          <t>1000 mL</t>
        </is>
      </c>
      <c r="F59" t="inlineStr">
        <is>
          <t>IV</t>
        </is>
      </c>
      <c r="G59" t="inlineStr">
        <is>
          <t>Continuous</t>
        </is>
      </c>
      <c r="H59" t="n">
        <v>12</v>
      </c>
      <c r="I59" s="31" t="n">
        <v>1.75</v>
      </c>
    </row>
    <row r="60">
      <c r="A60" t="inlineStr">
        <is>
          <t>RX822842</t>
        </is>
      </c>
      <c r="B60" t="inlineStr">
        <is>
          <t>ENC119289</t>
        </is>
      </c>
      <c r="C60" s="33" t="n">
        <v>45945.02638888889</v>
      </c>
      <c r="D60" t="inlineStr">
        <is>
          <t>Heparin</t>
        </is>
      </c>
      <c r="E60" t="inlineStr">
        <is>
          <t>5000 units</t>
        </is>
      </c>
      <c r="F60" t="inlineStr">
        <is>
          <t>SubQ</t>
        </is>
      </c>
      <c r="G60" t="inlineStr">
        <is>
          <t>Q8H</t>
        </is>
      </c>
      <c r="H60" t="n">
        <v>16</v>
      </c>
      <c r="I60" s="31" t="n">
        <v>1.6</v>
      </c>
    </row>
    <row r="61">
      <c r="A61" t="inlineStr">
        <is>
          <t>RX822840</t>
        </is>
      </c>
      <c r="B61" t="inlineStr">
        <is>
          <t>ENC119289</t>
        </is>
      </c>
      <c r="C61" s="33" t="n">
        <v>45945.03958333333</v>
      </c>
      <c r="D61" t="inlineStr">
        <is>
          <t>Lactated Ringer's</t>
        </is>
      </c>
      <c r="E61" t="inlineStr">
        <is>
          <t>1000 mL</t>
        </is>
      </c>
      <c r="F61" t="inlineStr">
        <is>
          <t>IV</t>
        </is>
      </c>
      <c r="G61" t="inlineStr">
        <is>
          <t>Continuous</t>
        </is>
      </c>
      <c r="H61" t="n">
        <v>10</v>
      </c>
      <c r="I61" s="31" t="n">
        <v>1.9</v>
      </c>
    </row>
    <row r="62">
      <c r="A62" t="inlineStr">
        <is>
          <t>RX822837</t>
        </is>
      </c>
      <c r="B62" t="inlineStr">
        <is>
          <t>ENC119289</t>
        </is>
      </c>
      <c r="C62" s="33" t="n">
        <v>45945.04652777778</v>
      </c>
      <c r="D62" t="inlineStr">
        <is>
          <t>Piperacillin-Tazobactam</t>
        </is>
      </c>
      <c r="E62" t="inlineStr">
        <is>
          <t>4.5 g</t>
        </is>
      </c>
      <c r="F62" t="inlineStr">
        <is>
          <t>IV</t>
        </is>
      </c>
      <c r="G62" t="inlineStr">
        <is>
          <t>Q6H</t>
        </is>
      </c>
      <c r="H62" t="n">
        <v>26</v>
      </c>
      <c r="I62" s="31" t="n">
        <v>14.5</v>
      </c>
    </row>
    <row r="63">
      <c r="A63" t="inlineStr">
        <is>
          <t>RX822838</t>
        </is>
      </c>
      <c r="B63" t="inlineStr">
        <is>
          <t>ENC119289</t>
        </is>
      </c>
      <c r="C63" s="33" t="n">
        <v>45945.04652777778</v>
      </c>
      <c r="D63" t="inlineStr">
        <is>
          <t>Vancomycin</t>
        </is>
      </c>
      <c r="E63" t="inlineStr">
        <is>
          <t>1250 mg</t>
        </is>
      </c>
      <c r="F63" t="inlineStr">
        <is>
          <t>IV</t>
        </is>
      </c>
      <c r="G63" t="inlineStr">
        <is>
          <t>Q12H</t>
        </is>
      </c>
      <c r="H63" t="n">
        <v>10</v>
      </c>
      <c r="I63" s="31" t="n">
        <v>9.800000000000001</v>
      </c>
    </row>
    <row r="64">
      <c r="A64" t="inlineStr">
        <is>
          <t>RX822839</t>
        </is>
      </c>
      <c r="B64" t="inlineStr">
        <is>
          <t>ENC119289</t>
        </is>
      </c>
      <c r="C64" s="33" t="n">
        <v>45945.16875</v>
      </c>
      <c r="D64" t="inlineStr">
        <is>
          <t>Ceftriaxone</t>
        </is>
      </c>
      <c r="E64" t="inlineStr">
        <is>
          <t>1 g</t>
        </is>
      </c>
      <c r="F64" t="inlineStr">
        <is>
          <t>IV</t>
        </is>
      </c>
      <c r="G64" t="inlineStr">
        <is>
          <t>Q24H</t>
        </is>
      </c>
      <c r="H64" t="n">
        <v>6</v>
      </c>
      <c r="I64" s="31" t="n">
        <v>3.2</v>
      </c>
    </row>
    <row r="65">
      <c r="A65" t="inlineStr">
        <is>
          <t>RX822864</t>
        </is>
      </c>
      <c r="B65" t="inlineStr">
        <is>
          <t>ENC119318</t>
        </is>
      </c>
      <c r="C65" s="33" t="n">
        <v>45946.25138888889</v>
      </c>
      <c r="D65" t="inlineStr">
        <is>
          <t>Ondansetron</t>
        </is>
      </c>
      <c r="E65" t="inlineStr">
        <is>
          <t>4 mg</t>
        </is>
      </c>
      <c r="F65" t="inlineStr">
        <is>
          <t>IV</t>
        </is>
      </c>
      <c r="G65" t="inlineStr">
        <is>
          <t>Q6H PRN</t>
        </is>
      </c>
      <c r="H65" t="n">
        <v>10</v>
      </c>
      <c r="I65" s="31" t="n">
        <v>0.85</v>
      </c>
    </row>
    <row r="66">
      <c r="A66" t="inlineStr">
        <is>
          <t>RX822863</t>
        </is>
      </c>
      <c r="B66" t="inlineStr">
        <is>
          <t>ENC119318</t>
        </is>
      </c>
      <c r="C66" s="33" t="n">
        <v>45946.30902777778</v>
      </c>
      <c r="D66" t="inlineStr">
        <is>
          <t>Sodium Chloride 0.9%</t>
        </is>
      </c>
      <c r="E66" t="inlineStr">
        <is>
          <t>1000 mL</t>
        </is>
      </c>
      <c r="F66" t="inlineStr">
        <is>
          <t>IV</t>
        </is>
      </c>
      <c r="G66" t="inlineStr">
        <is>
          <t>Continuous</t>
        </is>
      </c>
      <c r="H66" t="n">
        <v>10</v>
      </c>
      <c r="I66" s="31" t="n">
        <v>1.75</v>
      </c>
    </row>
    <row r="67">
      <c r="A67" t="inlineStr">
        <is>
          <t>RX822869</t>
        </is>
      </c>
      <c r="B67" t="inlineStr">
        <is>
          <t>ENC119327</t>
        </is>
      </c>
      <c r="C67" s="33" t="n">
        <v>45946.8125</v>
      </c>
      <c r="D67" t="inlineStr">
        <is>
          <t>Albuterol</t>
        </is>
      </c>
      <c r="E67" t="inlineStr">
        <is>
          <t>2.5 mg</t>
        </is>
      </c>
      <c r="F67" t="inlineStr">
        <is>
          <t>Inhaled</t>
        </is>
      </c>
      <c r="G67" t="inlineStr">
        <is>
          <t>Q4H</t>
        </is>
      </c>
      <c r="H67" t="n">
        <v>25</v>
      </c>
      <c r="I67" s="31" t="n">
        <v>0.55</v>
      </c>
    </row>
    <row r="68">
      <c r="A68" t="inlineStr">
        <is>
          <t>RX822879</t>
        </is>
      </c>
      <c r="B68" t="inlineStr">
        <is>
          <t>ENC119337</t>
        </is>
      </c>
      <c r="C68" s="33" t="n">
        <v>45946.81319444445</v>
      </c>
      <c r="D68" t="inlineStr">
        <is>
          <t>Sodium Chloride 0.9%</t>
        </is>
      </c>
      <c r="E68" t="inlineStr">
        <is>
          <t>1000 mL</t>
        </is>
      </c>
      <c r="F68" t="inlineStr">
        <is>
          <t>IV</t>
        </is>
      </c>
      <c r="G68" t="inlineStr">
        <is>
          <t>Continuous</t>
        </is>
      </c>
      <c r="H68" t="n">
        <v>15</v>
      </c>
      <c r="I68" s="31" t="n">
        <v>1.75</v>
      </c>
    </row>
    <row r="69">
      <c r="A69" t="inlineStr">
        <is>
          <t>RX822871</t>
        </is>
      </c>
      <c r="B69" t="inlineStr">
        <is>
          <t>ENC119327</t>
        </is>
      </c>
      <c r="C69" s="33" t="n">
        <v>45946.85902777778</v>
      </c>
      <c r="D69" t="inlineStr">
        <is>
          <t>Acetaminophen</t>
        </is>
      </c>
      <c r="E69" t="inlineStr">
        <is>
          <t>650 mg</t>
        </is>
      </c>
      <c r="F69" t="inlineStr">
        <is>
          <t>PO</t>
        </is>
      </c>
      <c r="G69" t="inlineStr">
        <is>
          <t>Q6H PRN</t>
        </is>
      </c>
      <c r="H69" t="n">
        <v>8</v>
      </c>
      <c r="I69" s="31" t="n">
        <v>0.08</v>
      </c>
    </row>
    <row r="70">
      <c r="A70" t="inlineStr">
        <is>
          <t>RX822870</t>
        </is>
      </c>
      <c r="B70" t="inlineStr">
        <is>
          <t>ENC119327</t>
        </is>
      </c>
      <c r="C70" s="33" t="n">
        <v>45946.875</v>
      </c>
      <c r="D70" t="inlineStr">
        <is>
          <t>Prednisone</t>
        </is>
      </c>
      <c r="E70" t="inlineStr">
        <is>
          <t>40 mg</t>
        </is>
      </c>
      <c r="F70" t="inlineStr">
        <is>
          <t>PO</t>
        </is>
      </c>
      <c r="G70" t="inlineStr">
        <is>
          <t>Daily</t>
        </is>
      </c>
      <c r="H70" t="n">
        <v>5</v>
      </c>
      <c r="I70" s="31" t="n">
        <v>0.2</v>
      </c>
    </row>
    <row r="71">
      <c r="A71" t="inlineStr">
        <is>
          <t>RX822880</t>
        </is>
      </c>
      <c r="B71" t="inlineStr">
        <is>
          <t>ENC119337</t>
        </is>
      </c>
      <c r="C71" s="33" t="n">
        <v>45946.92430555556</v>
      </c>
      <c r="D71" t="inlineStr">
        <is>
          <t>Lactated Ringer's</t>
        </is>
      </c>
      <c r="E71" t="inlineStr">
        <is>
          <t>1000 mL</t>
        </is>
      </c>
      <c r="F71" t="inlineStr">
        <is>
          <t>IV</t>
        </is>
      </c>
      <c r="G71" t="inlineStr">
        <is>
          <t>Continuous</t>
        </is>
      </c>
      <c r="H71" t="n">
        <v>13</v>
      </c>
      <c r="I71" s="31" t="n">
        <v>1.9</v>
      </c>
    </row>
    <row r="72">
      <c r="A72" t="inlineStr">
        <is>
          <t>RX822881</t>
        </is>
      </c>
      <c r="B72" t="inlineStr">
        <is>
          <t>ENC119337</t>
        </is>
      </c>
      <c r="C72" s="33" t="n">
        <v>45946.92638888889</v>
      </c>
      <c r="D72" t="inlineStr">
        <is>
          <t>Acetaminophen</t>
        </is>
      </c>
      <c r="E72" t="inlineStr">
        <is>
          <t>650 mg</t>
        </is>
      </c>
      <c r="F72" t="inlineStr">
        <is>
          <t>PO</t>
        </is>
      </c>
      <c r="G72" t="inlineStr">
        <is>
          <t>Q6H PRN</t>
        </is>
      </c>
      <c r="H72" t="n">
        <v>17</v>
      </c>
      <c r="I72" s="31" t="n">
        <v>0.08</v>
      </c>
    </row>
    <row r="73">
      <c r="A73" t="inlineStr">
        <is>
          <t>RX822895</t>
        </is>
      </c>
      <c r="B73" t="inlineStr">
        <is>
          <t>ENC119350</t>
        </is>
      </c>
      <c r="C73" s="33" t="n">
        <v>45947.10069444445</v>
      </c>
      <c r="D73" t="inlineStr">
        <is>
          <t>Lactated Ringer's</t>
        </is>
      </c>
      <c r="E73" t="inlineStr">
        <is>
          <t>1000 mL</t>
        </is>
      </c>
      <c r="F73" t="inlineStr">
        <is>
          <t>IV</t>
        </is>
      </c>
      <c r="G73" t="inlineStr">
        <is>
          <t>Continuous</t>
        </is>
      </c>
      <c r="H73" t="n">
        <v>7</v>
      </c>
      <c r="I73" s="31" t="n">
        <v>1.9</v>
      </c>
    </row>
    <row r="74">
      <c r="A74" t="inlineStr">
        <is>
          <t>RX822894</t>
        </is>
      </c>
      <c r="B74" t="inlineStr">
        <is>
          <t>ENC119350</t>
        </is>
      </c>
      <c r="C74" s="33" t="n">
        <v>45947.11180555556</v>
      </c>
      <c r="D74" t="inlineStr">
        <is>
          <t>Ondansetron</t>
        </is>
      </c>
      <c r="E74" t="inlineStr">
        <is>
          <t>4 mg</t>
        </is>
      </c>
      <c r="F74" t="inlineStr">
        <is>
          <t>IV</t>
        </is>
      </c>
      <c r="G74" t="inlineStr">
        <is>
          <t>Q6H PRN</t>
        </is>
      </c>
      <c r="H74" t="n">
        <v>6</v>
      </c>
      <c r="I74" s="31" t="n">
        <v>0.85</v>
      </c>
    </row>
    <row r="75">
      <c r="A75" t="inlineStr">
        <is>
          <t>RX822893</t>
        </is>
      </c>
      <c r="B75" t="inlineStr">
        <is>
          <t>ENC119350</t>
        </is>
      </c>
      <c r="C75" s="33" t="n">
        <v>45947.29444444444</v>
      </c>
      <c r="D75" t="inlineStr">
        <is>
          <t>Morphine</t>
        </is>
      </c>
      <c r="E75" t="inlineStr">
        <is>
          <t>2 mg</t>
        </is>
      </c>
      <c r="F75" t="inlineStr">
        <is>
          <t>IV</t>
        </is>
      </c>
      <c r="G75" t="inlineStr">
        <is>
          <t>Q4H PRN</t>
        </is>
      </c>
      <c r="H75" t="n">
        <v>7</v>
      </c>
      <c r="I75" s="31" t="n">
        <v>1.95</v>
      </c>
    </row>
    <row r="76">
      <c r="A76" t="inlineStr">
        <is>
          <t>RX822903</t>
        </is>
      </c>
      <c r="B76" t="inlineStr">
        <is>
          <t>ENC119356</t>
        </is>
      </c>
      <c r="C76" s="33" t="n">
        <v>45947.55555555555</v>
      </c>
      <c r="D76" t="inlineStr">
        <is>
          <t>Acetaminophen</t>
        </is>
      </c>
      <c r="E76" t="inlineStr">
        <is>
          <t>650 mg</t>
        </is>
      </c>
      <c r="F76" t="inlineStr">
        <is>
          <t>PO</t>
        </is>
      </c>
      <c r="G76" t="inlineStr">
        <is>
          <t>Q6H PRN</t>
        </is>
      </c>
      <c r="H76" t="n">
        <v>4</v>
      </c>
      <c r="I76" s="31" t="n">
        <v>0.08</v>
      </c>
    </row>
    <row r="77">
      <c r="A77" t="inlineStr">
        <is>
          <t>RX822901</t>
        </is>
      </c>
      <c r="B77" t="inlineStr">
        <is>
          <t>ENC119356</t>
        </is>
      </c>
      <c r="C77" s="33" t="n">
        <v>45947.55833333333</v>
      </c>
      <c r="D77" t="inlineStr">
        <is>
          <t>Ceftriaxone</t>
        </is>
      </c>
      <c r="E77" t="inlineStr">
        <is>
          <t>1 g</t>
        </is>
      </c>
      <c r="F77" t="inlineStr">
        <is>
          <t>IV</t>
        </is>
      </c>
      <c r="G77" t="inlineStr">
        <is>
          <t>Q24H</t>
        </is>
      </c>
      <c r="H77" t="n">
        <v>2</v>
      </c>
      <c r="I77" s="31" t="n">
        <v>3.2</v>
      </c>
    </row>
    <row r="78">
      <c r="A78" t="inlineStr">
        <is>
          <t>RX822902</t>
        </is>
      </c>
      <c r="B78" t="inlineStr">
        <is>
          <t>ENC119356</t>
        </is>
      </c>
      <c r="C78" s="33" t="n">
        <v>45947.69375</v>
      </c>
      <c r="D78" t="inlineStr">
        <is>
          <t>Cephalexin</t>
        </is>
      </c>
      <c r="E78" t="inlineStr">
        <is>
          <t>500 mg</t>
        </is>
      </c>
      <c r="F78" t="inlineStr">
        <is>
          <t>PO</t>
        </is>
      </c>
      <c r="G78" t="inlineStr">
        <is>
          <t>Q6H</t>
        </is>
      </c>
      <c r="H78" t="n">
        <v>7</v>
      </c>
      <c r="I78" s="31" t="n">
        <v>0.45</v>
      </c>
    </row>
    <row r="79">
      <c r="A79" t="inlineStr">
        <is>
          <t>RX822917</t>
        </is>
      </c>
      <c r="B79" t="inlineStr">
        <is>
          <t>ENC119382</t>
        </is>
      </c>
      <c r="C79" s="33" t="n">
        <v>45948.0125</v>
      </c>
      <c r="D79" t="inlineStr">
        <is>
          <t>Ondansetron</t>
        </is>
      </c>
      <c r="E79" t="inlineStr">
        <is>
          <t>4 mg</t>
        </is>
      </c>
      <c r="F79" t="inlineStr">
        <is>
          <t>IV</t>
        </is>
      </c>
      <c r="G79" t="inlineStr">
        <is>
          <t>Q6H PRN</t>
        </is>
      </c>
      <c r="H79" t="n">
        <v>9</v>
      </c>
      <c r="I79" s="31" t="n">
        <v>0.85</v>
      </c>
    </row>
    <row r="80">
      <c r="A80" t="inlineStr">
        <is>
          <t>RX822916</t>
        </is>
      </c>
      <c r="B80" t="inlineStr">
        <is>
          <t>ENC119382</t>
        </is>
      </c>
      <c r="C80" s="33" t="n">
        <v>45948.12986111111</v>
      </c>
      <c r="D80" t="inlineStr">
        <is>
          <t>Hydromorphone</t>
        </is>
      </c>
      <c r="E80" t="inlineStr">
        <is>
          <t>0.5 mg</t>
        </is>
      </c>
      <c r="F80" t="inlineStr">
        <is>
          <t>IV</t>
        </is>
      </c>
      <c r="G80" t="inlineStr">
        <is>
          <t>Q3H PRN</t>
        </is>
      </c>
      <c r="H80" t="n">
        <v>14</v>
      </c>
      <c r="I80" s="31" t="n">
        <v>2.4</v>
      </c>
    </row>
    <row r="81">
      <c r="A81" t="inlineStr">
        <is>
          <t>RX822918</t>
        </is>
      </c>
      <c r="B81" t="inlineStr">
        <is>
          <t>ENC119382</t>
        </is>
      </c>
      <c r="C81" s="33" t="n">
        <v>45948.15625</v>
      </c>
      <c r="D81" t="inlineStr">
        <is>
          <t>Sodium Chloride 0.9%</t>
        </is>
      </c>
      <c r="E81" t="inlineStr">
        <is>
          <t>1000 mL</t>
        </is>
      </c>
      <c r="F81" t="inlineStr">
        <is>
          <t>IV</t>
        </is>
      </c>
      <c r="G81" t="inlineStr">
        <is>
          <t>Continuous</t>
        </is>
      </c>
      <c r="H81" t="n">
        <v>11</v>
      </c>
      <c r="I81" s="31" t="n">
        <v>1.75</v>
      </c>
    </row>
    <row r="82">
      <c r="A82" t="inlineStr">
        <is>
          <t>RX822943</t>
        </is>
      </c>
      <c r="B82" t="inlineStr">
        <is>
          <t>ENC119392</t>
        </is>
      </c>
      <c r="C82" s="33" t="n">
        <v>45948.36388888889</v>
      </c>
      <c r="D82" t="inlineStr">
        <is>
          <t>Lactated Ringer's</t>
        </is>
      </c>
      <c r="E82" t="inlineStr">
        <is>
          <t>1000 mL</t>
        </is>
      </c>
      <c r="F82" t="inlineStr">
        <is>
          <t>IV</t>
        </is>
      </c>
      <c r="G82" t="inlineStr">
        <is>
          <t>Continuous</t>
        </is>
      </c>
      <c r="H82" t="n">
        <v>9</v>
      </c>
      <c r="I82" s="31" t="n">
        <v>1.9</v>
      </c>
    </row>
    <row r="83">
      <c r="A83" t="inlineStr">
        <is>
          <t>RX822945</t>
        </is>
      </c>
      <c r="B83" t="inlineStr">
        <is>
          <t>ENC119392</t>
        </is>
      </c>
      <c r="C83" s="33" t="n">
        <v>45948.37916666667</v>
      </c>
      <c r="D83" t="inlineStr">
        <is>
          <t>Heparin</t>
        </is>
      </c>
      <c r="E83" t="inlineStr">
        <is>
          <t>5000 units</t>
        </is>
      </c>
      <c r="F83" t="inlineStr">
        <is>
          <t>SubQ</t>
        </is>
      </c>
      <c r="G83" t="inlineStr">
        <is>
          <t>Q8H</t>
        </is>
      </c>
      <c r="H83" t="n">
        <v>14</v>
      </c>
      <c r="I83" s="31" t="n">
        <v>1.6</v>
      </c>
    </row>
    <row r="84">
      <c r="A84" t="inlineStr">
        <is>
          <t>RX822944</t>
        </is>
      </c>
      <c r="B84" t="inlineStr">
        <is>
          <t>ENC119392</t>
        </is>
      </c>
      <c r="C84" s="33" t="n">
        <v>45948.39444444444</v>
      </c>
      <c r="D84" t="inlineStr">
        <is>
          <t>Sodium Chloride 0.9%</t>
        </is>
      </c>
      <c r="E84" t="inlineStr">
        <is>
          <t>1000 mL</t>
        </is>
      </c>
      <c r="F84" t="inlineStr">
        <is>
          <t>IV</t>
        </is>
      </c>
      <c r="G84" t="inlineStr">
        <is>
          <t>Continuous</t>
        </is>
      </c>
      <c r="H84" t="n">
        <v>10</v>
      </c>
      <c r="I84" s="31" t="n">
        <v>1.75</v>
      </c>
    </row>
    <row r="85">
      <c r="A85" t="inlineStr">
        <is>
          <t>RX822946</t>
        </is>
      </c>
      <c r="B85" t="inlineStr">
        <is>
          <t>ENC119392</t>
        </is>
      </c>
      <c r="C85" s="33" t="n">
        <v>45948.51111111111</v>
      </c>
      <c r="D85" t="inlineStr">
        <is>
          <t>Acetaminophen</t>
        </is>
      </c>
      <c r="E85" t="inlineStr">
        <is>
          <t>650 mg</t>
        </is>
      </c>
      <c r="F85" t="inlineStr">
        <is>
          <t>PO</t>
        </is>
      </c>
      <c r="G85" t="inlineStr">
        <is>
          <t>Q6H PRN</t>
        </is>
      </c>
      <c r="H85" t="n">
        <v>10</v>
      </c>
      <c r="I85" s="31" t="n">
        <v>0.08</v>
      </c>
    </row>
    <row r="86">
      <c r="A86" t="inlineStr">
        <is>
          <t>RX822950</t>
        </is>
      </c>
      <c r="B86" t="inlineStr">
        <is>
          <t>ENC119398</t>
        </is>
      </c>
      <c r="C86" s="33" t="n">
        <v>45948.97291666667</v>
      </c>
      <c r="D86" t="inlineStr">
        <is>
          <t>Heparin</t>
        </is>
      </c>
      <c r="E86" t="inlineStr">
        <is>
          <t>5000 units</t>
        </is>
      </c>
      <c r="F86" t="inlineStr">
        <is>
          <t>SubQ</t>
        </is>
      </c>
      <c r="G86" t="inlineStr">
        <is>
          <t>Q8H</t>
        </is>
      </c>
      <c r="H86" t="n">
        <v>17</v>
      </c>
      <c r="I86" s="31" t="n">
        <v>1.6</v>
      </c>
    </row>
    <row r="87">
      <c r="A87" t="inlineStr">
        <is>
          <t>RX822949</t>
        </is>
      </c>
      <c r="B87" t="inlineStr">
        <is>
          <t>ENC119398</t>
        </is>
      </c>
      <c r="C87" s="33" t="n">
        <v>45948.98194444444</v>
      </c>
      <c r="D87" t="inlineStr">
        <is>
          <t>Thiamine</t>
        </is>
      </c>
      <c r="E87" t="inlineStr">
        <is>
          <t>100 mg</t>
        </is>
      </c>
      <c r="F87" t="inlineStr">
        <is>
          <t>IV</t>
        </is>
      </c>
      <c r="G87" t="inlineStr">
        <is>
          <t>Daily</t>
        </is>
      </c>
      <c r="H87" t="n">
        <v>6</v>
      </c>
      <c r="I87" s="31" t="n">
        <v>0.95</v>
      </c>
    </row>
    <row r="88">
      <c r="A88" t="inlineStr">
        <is>
          <t>RX823000</t>
        </is>
      </c>
      <c r="B88" t="inlineStr">
        <is>
          <t>ENC119421</t>
        </is>
      </c>
      <c r="C88" s="33" t="n">
        <v>45950.54791666667</v>
      </c>
      <c r="D88" t="inlineStr">
        <is>
          <t>Piperacillin-Tazobactam</t>
        </is>
      </c>
      <c r="E88" t="inlineStr">
        <is>
          <t>4.5 g</t>
        </is>
      </c>
      <c r="F88" t="inlineStr">
        <is>
          <t>IV</t>
        </is>
      </c>
      <c r="G88" t="inlineStr">
        <is>
          <t>Q6H</t>
        </is>
      </c>
      <c r="H88" t="n">
        <v>16</v>
      </c>
      <c r="I88" s="31" t="n">
        <v>14.5</v>
      </c>
    </row>
    <row r="89">
      <c r="A89" t="inlineStr">
        <is>
          <t>RX823004</t>
        </is>
      </c>
      <c r="B89" t="inlineStr">
        <is>
          <t>ENC119421</t>
        </is>
      </c>
      <c r="C89" s="33" t="n">
        <v>45950.58055555556</v>
      </c>
      <c r="D89" t="inlineStr">
        <is>
          <t>Acetaminophen</t>
        </is>
      </c>
      <c r="E89" t="inlineStr">
        <is>
          <t>650 mg</t>
        </is>
      </c>
      <c r="F89" t="inlineStr">
        <is>
          <t>PO</t>
        </is>
      </c>
      <c r="G89" t="inlineStr">
        <is>
          <t>Q6H PRN</t>
        </is>
      </c>
      <c r="H89" t="n">
        <v>8</v>
      </c>
      <c r="I89" s="31" t="n">
        <v>0.08</v>
      </c>
    </row>
    <row r="90">
      <c r="A90" t="inlineStr">
        <is>
          <t>RX823001</t>
        </is>
      </c>
      <c r="B90" t="inlineStr">
        <is>
          <t>ENC119421</t>
        </is>
      </c>
      <c r="C90" s="33" t="n">
        <v>45950.60902777778</v>
      </c>
      <c r="D90" t="inlineStr">
        <is>
          <t>Vancomycin</t>
        </is>
      </c>
      <c r="E90" t="inlineStr">
        <is>
          <t>1250 mg</t>
        </is>
      </c>
      <c r="F90" t="inlineStr">
        <is>
          <t>IV</t>
        </is>
      </c>
      <c r="G90" t="inlineStr">
        <is>
          <t>Q12H</t>
        </is>
      </c>
      <c r="H90" t="n">
        <v>6</v>
      </c>
      <c r="I90" s="31" t="n">
        <v>9.800000000000001</v>
      </c>
    </row>
    <row r="91">
      <c r="A91" t="inlineStr">
        <is>
          <t>RX823002</t>
        </is>
      </c>
      <c r="B91" t="inlineStr">
        <is>
          <t>ENC119421</t>
        </is>
      </c>
      <c r="C91" s="33" t="n">
        <v>45950.62083333333</v>
      </c>
      <c r="D91" t="inlineStr">
        <is>
          <t>Lactated Ringer's</t>
        </is>
      </c>
      <c r="E91" t="inlineStr">
        <is>
          <t>1000 mL</t>
        </is>
      </c>
      <c r="F91" t="inlineStr">
        <is>
          <t>IV</t>
        </is>
      </c>
      <c r="G91" t="inlineStr">
        <is>
          <t>Continuous</t>
        </is>
      </c>
      <c r="H91" t="n">
        <v>7</v>
      </c>
      <c r="I91" s="31" t="n">
        <v>1.9</v>
      </c>
    </row>
    <row r="92">
      <c r="A92" t="inlineStr">
        <is>
          <t>RX823003</t>
        </is>
      </c>
      <c r="B92" t="inlineStr">
        <is>
          <t>ENC119421</t>
        </is>
      </c>
      <c r="C92" s="33" t="n">
        <v>45950.73333333333</v>
      </c>
      <c r="D92" t="inlineStr">
        <is>
          <t>Heparin</t>
        </is>
      </c>
      <c r="E92" t="inlineStr">
        <is>
          <t>5000 units</t>
        </is>
      </c>
      <c r="F92" t="inlineStr">
        <is>
          <t>SubQ</t>
        </is>
      </c>
      <c r="G92" t="inlineStr">
        <is>
          <t>Q8H</t>
        </is>
      </c>
      <c r="H92" t="n">
        <v>11</v>
      </c>
      <c r="I92" s="31" t="n">
        <v>1.6</v>
      </c>
    </row>
    <row r="93">
      <c r="A93" t="inlineStr">
        <is>
          <t>RX823035</t>
        </is>
      </c>
      <c r="B93" t="inlineStr">
        <is>
          <t>ENC119449</t>
        </is>
      </c>
      <c r="C93" s="33" t="n">
        <v>45951.1625</v>
      </c>
      <c r="D93" t="inlineStr">
        <is>
          <t>Heparin</t>
        </is>
      </c>
      <c r="E93" t="inlineStr">
        <is>
          <t>5000 units</t>
        </is>
      </c>
      <c r="F93" t="inlineStr">
        <is>
          <t>SubQ</t>
        </is>
      </c>
      <c r="G93" t="inlineStr">
        <is>
          <t>Q8H</t>
        </is>
      </c>
      <c r="H93" t="n">
        <v>10</v>
      </c>
      <c r="I93" s="31" t="n">
        <v>1.6</v>
      </c>
    </row>
    <row r="94">
      <c r="A94" t="inlineStr">
        <is>
          <t>RX823033</t>
        </is>
      </c>
      <c r="B94" t="inlineStr">
        <is>
          <t>ENC119449</t>
        </is>
      </c>
      <c r="C94" s="33" t="n">
        <v>45951.30902777778</v>
      </c>
      <c r="D94" t="inlineStr">
        <is>
          <t>Pantoprazole</t>
        </is>
      </c>
      <c r="E94" t="inlineStr">
        <is>
          <t>40 mg</t>
        </is>
      </c>
      <c r="F94" t="inlineStr">
        <is>
          <t>IV</t>
        </is>
      </c>
      <c r="G94" t="inlineStr">
        <is>
          <t>Daily</t>
        </is>
      </c>
      <c r="H94" t="n">
        <v>3</v>
      </c>
      <c r="I94" s="31" t="n">
        <v>2.1</v>
      </c>
    </row>
    <row r="95">
      <c r="A95" t="inlineStr">
        <is>
          <t>RX823034</t>
        </is>
      </c>
      <c r="B95" t="inlineStr">
        <is>
          <t>ENC119449</t>
        </is>
      </c>
      <c r="C95" s="33" t="n">
        <v>45951.30972222222</v>
      </c>
      <c r="D95" t="inlineStr">
        <is>
          <t>Sodium Chloride 0.9%</t>
        </is>
      </c>
      <c r="E95" t="inlineStr">
        <is>
          <t>1000 mL</t>
        </is>
      </c>
      <c r="F95" t="inlineStr">
        <is>
          <t>IV</t>
        </is>
      </c>
      <c r="G95" t="inlineStr">
        <is>
          <t>Continuous</t>
        </is>
      </c>
      <c r="H95" t="n">
        <v>5</v>
      </c>
      <c r="I95" s="31" t="n">
        <v>1.75</v>
      </c>
    </row>
    <row r="96">
      <c r="A96" t="inlineStr">
        <is>
          <t>RX823043</t>
        </is>
      </c>
      <c r="B96" t="inlineStr">
        <is>
          <t>ENC119456</t>
        </is>
      </c>
      <c r="C96" s="33" t="n">
        <v>45951.58055555556</v>
      </c>
      <c r="D96" t="inlineStr">
        <is>
          <t>Heparin</t>
        </is>
      </c>
      <c r="E96" t="inlineStr">
        <is>
          <t>5000 units</t>
        </is>
      </c>
      <c r="F96" t="inlineStr">
        <is>
          <t>SubQ</t>
        </is>
      </c>
      <c r="G96" t="inlineStr">
        <is>
          <t>Q8H</t>
        </is>
      </c>
      <c r="H96" t="n">
        <v>9</v>
      </c>
      <c r="I96" s="31" t="n">
        <v>1.6</v>
      </c>
    </row>
    <row r="97">
      <c r="A97" t="inlineStr">
        <is>
          <t>RX823042</t>
        </is>
      </c>
      <c r="B97" t="inlineStr">
        <is>
          <t>ENC119456</t>
        </is>
      </c>
      <c r="C97" s="33" t="n">
        <v>45951.66458333333</v>
      </c>
      <c r="D97" t="inlineStr">
        <is>
          <t>Lactated Ringer's</t>
        </is>
      </c>
      <c r="E97" t="inlineStr">
        <is>
          <t>1000 mL</t>
        </is>
      </c>
      <c r="F97" t="inlineStr">
        <is>
          <t>IV</t>
        </is>
      </c>
      <c r="G97" t="inlineStr">
        <is>
          <t>Continuous</t>
        </is>
      </c>
      <c r="H97" t="n">
        <v>5</v>
      </c>
      <c r="I97" s="31" t="n">
        <v>1.9</v>
      </c>
    </row>
    <row r="98">
      <c r="A98" t="inlineStr">
        <is>
          <t>RX823041</t>
        </is>
      </c>
      <c r="B98" t="inlineStr">
        <is>
          <t>ENC119456</t>
        </is>
      </c>
      <c r="C98" s="33" t="n">
        <v>45951.75069444445</v>
      </c>
      <c r="D98" t="inlineStr">
        <is>
          <t>Morphine</t>
        </is>
      </c>
      <c r="E98" t="inlineStr">
        <is>
          <t>2 mg</t>
        </is>
      </c>
      <c r="F98" t="inlineStr">
        <is>
          <t>IV</t>
        </is>
      </c>
      <c r="G98" t="inlineStr">
        <is>
          <t>Q4H PRN</t>
        </is>
      </c>
      <c r="H98" t="n">
        <v>7</v>
      </c>
      <c r="I98" s="31" t="n">
        <v>1.95</v>
      </c>
    </row>
    <row r="99">
      <c r="A99" t="inlineStr">
        <is>
          <t>RX823094</t>
        </is>
      </c>
      <c r="B99" t="inlineStr">
        <is>
          <t>ENC119502</t>
        </is>
      </c>
      <c r="C99" s="33" t="n">
        <v>45952.92777777778</v>
      </c>
      <c r="D99" t="inlineStr">
        <is>
          <t>Insulin Glargine</t>
        </is>
      </c>
      <c r="E99" t="inlineStr">
        <is>
          <t>20 units</t>
        </is>
      </c>
      <c r="F99" t="inlineStr">
        <is>
          <t>SubQ</t>
        </is>
      </c>
      <c r="G99" t="inlineStr">
        <is>
          <t>Daily</t>
        </is>
      </c>
      <c r="H99" t="n">
        <v>1</v>
      </c>
      <c r="I99" s="31" t="n">
        <v>11.4</v>
      </c>
    </row>
    <row r="100">
      <c r="A100" t="inlineStr">
        <is>
          <t>RX823150</t>
        </is>
      </c>
      <c r="B100" t="inlineStr">
        <is>
          <t>ENC119549</t>
        </is>
      </c>
      <c r="C100" s="33" t="n">
        <v>45954.13333333333</v>
      </c>
      <c r="D100" t="inlineStr">
        <is>
          <t>Sodium Chloride 0.9%</t>
        </is>
      </c>
      <c r="E100" t="inlineStr">
        <is>
          <t>1000 mL</t>
        </is>
      </c>
      <c r="F100" t="inlineStr">
        <is>
          <t>IV</t>
        </is>
      </c>
      <c r="G100" t="inlineStr">
        <is>
          <t>Continuous</t>
        </is>
      </c>
      <c r="H100" t="n">
        <v>4</v>
      </c>
      <c r="I100" s="31" t="n">
        <v>1.75</v>
      </c>
    </row>
    <row r="101">
      <c r="A101" t="inlineStr">
        <is>
          <t>RX823149</t>
        </is>
      </c>
      <c r="B101" t="inlineStr">
        <is>
          <t>ENC119549</t>
        </is>
      </c>
      <c r="C101" s="33" t="n">
        <v>45954.14930555555</v>
      </c>
      <c r="D101" t="inlineStr">
        <is>
          <t>Pantoprazole</t>
        </is>
      </c>
      <c r="E101" t="inlineStr">
        <is>
          <t>40 mg</t>
        </is>
      </c>
      <c r="F101" t="inlineStr">
        <is>
          <t>IV</t>
        </is>
      </c>
      <c r="G101" t="inlineStr">
        <is>
          <t>Daily</t>
        </is>
      </c>
      <c r="H101" t="n">
        <v>2</v>
      </c>
      <c r="I101" s="31" t="n">
        <v>2.1</v>
      </c>
    </row>
    <row r="102">
      <c r="A102" t="inlineStr">
        <is>
          <t>RX823227</t>
        </is>
      </c>
      <c r="B102" t="inlineStr">
        <is>
          <t>ENC119608</t>
        </is>
      </c>
      <c r="C102" s="33" t="n">
        <v>45956.95694444444</v>
      </c>
      <c r="D102" t="inlineStr">
        <is>
          <t>Lorazepam</t>
        </is>
      </c>
      <c r="E102" t="inlineStr">
        <is>
          <t>1 mg</t>
        </is>
      </c>
      <c r="F102" t="inlineStr">
        <is>
          <t>IV</t>
        </is>
      </c>
      <c r="G102" t="inlineStr">
        <is>
          <t>Q4H PRN</t>
        </is>
      </c>
      <c r="H102" t="n">
        <v>9</v>
      </c>
      <c r="I102" s="31" t="n">
        <v>1.4</v>
      </c>
    </row>
    <row r="103">
      <c r="A103" t="inlineStr">
        <is>
          <t>RX823230</t>
        </is>
      </c>
      <c r="B103" t="inlineStr">
        <is>
          <t>ENC119608</t>
        </is>
      </c>
      <c r="C103" s="33" t="n">
        <v>45956.98958333334</v>
      </c>
      <c r="D103" t="inlineStr">
        <is>
          <t>Heparin</t>
        </is>
      </c>
      <c r="E103" t="inlineStr">
        <is>
          <t>5000 units</t>
        </is>
      </c>
      <c r="F103" t="inlineStr">
        <is>
          <t>SubQ</t>
        </is>
      </c>
      <c r="G103" t="inlineStr">
        <is>
          <t>Q8H</t>
        </is>
      </c>
      <c r="H103" t="n">
        <v>13</v>
      </c>
      <c r="I103" s="31" t="n">
        <v>1.6</v>
      </c>
    </row>
    <row r="104">
      <c r="A104" t="inlineStr">
        <is>
          <t>RX823229</t>
        </is>
      </c>
      <c r="B104" t="inlineStr">
        <is>
          <t>ENC119608</t>
        </is>
      </c>
      <c r="C104" s="33" t="n">
        <v>45957.03611111111</v>
      </c>
      <c r="D104" t="inlineStr">
        <is>
          <t>Sodium Chloride 0.9%</t>
        </is>
      </c>
      <c r="E104" t="inlineStr">
        <is>
          <t>1000 mL</t>
        </is>
      </c>
      <c r="F104" t="inlineStr">
        <is>
          <t>IV</t>
        </is>
      </c>
      <c r="G104" t="inlineStr">
        <is>
          <t>Continuous</t>
        </is>
      </c>
      <c r="H104" t="n">
        <v>7</v>
      </c>
      <c r="I104" s="31" t="n">
        <v>1.75</v>
      </c>
    </row>
    <row r="105">
      <c r="A105" t="inlineStr">
        <is>
          <t>RX823228</t>
        </is>
      </c>
      <c r="B105" t="inlineStr">
        <is>
          <t>ENC119608</t>
        </is>
      </c>
      <c r="C105" s="33" t="n">
        <v>45957.03680555556</v>
      </c>
      <c r="D105" t="inlineStr">
        <is>
          <t>Thiamine</t>
        </is>
      </c>
      <c r="E105" t="inlineStr">
        <is>
          <t>100 mg</t>
        </is>
      </c>
      <c r="F105" t="inlineStr">
        <is>
          <t>IV</t>
        </is>
      </c>
      <c r="G105" t="inlineStr">
        <is>
          <t>Daily</t>
        </is>
      </c>
      <c r="H105" t="n">
        <v>4</v>
      </c>
      <c r="I105" s="31" t="n">
        <v>0.95</v>
      </c>
    </row>
    <row r="106">
      <c r="A106" t="inlineStr">
        <is>
          <t>RX823258</t>
        </is>
      </c>
      <c r="B106" t="inlineStr">
        <is>
          <t>ENC119628</t>
        </is>
      </c>
      <c r="C106" s="33" t="n">
        <v>45957.56666666667</v>
      </c>
      <c r="D106" t="inlineStr">
        <is>
          <t>Acetaminophen</t>
        </is>
      </c>
      <c r="E106" t="inlineStr">
        <is>
          <t>650 mg</t>
        </is>
      </c>
      <c r="F106" t="inlineStr">
        <is>
          <t>PO</t>
        </is>
      </c>
      <c r="G106" t="inlineStr">
        <is>
          <t>Q6H PRN</t>
        </is>
      </c>
      <c r="H106" t="n">
        <v>11</v>
      </c>
      <c r="I106" s="31" t="n">
        <v>0.08</v>
      </c>
    </row>
    <row r="107">
      <c r="A107" t="inlineStr">
        <is>
          <t>RX823259</t>
        </is>
      </c>
      <c r="B107" t="inlineStr">
        <is>
          <t>ENC119628</t>
        </is>
      </c>
      <c r="C107" s="33" t="n">
        <v>45957.58402777778</v>
      </c>
      <c r="D107" t="inlineStr">
        <is>
          <t>Heparin</t>
        </is>
      </c>
      <c r="E107" t="inlineStr">
        <is>
          <t>5000 units</t>
        </is>
      </c>
      <c r="F107" t="inlineStr">
        <is>
          <t>SubQ</t>
        </is>
      </c>
      <c r="G107" t="inlineStr">
        <is>
          <t>Q8H</t>
        </is>
      </c>
      <c r="H107" t="n">
        <v>16</v>
      </c>
      <c r="I107" s="31" t="n">
        <v>1.6</v>
      </c>
    </row>
    <row r="108">
      <c r="A108" t="inlineStr">
        <is>
          <t>RX823257</t>
        </is>
      </c>
      <c r="B108" t="inlineStr">
        <is>
          <t>ENC119628</t>
        </is>
      </c>
      <c r="C108" s="33" t="n">
        <v>45957.62569444445</v>
      </c>
      <c r="D108" t="inlineStr">
        <is>
          <t>Lactated Ringer's</t>
        </is>
      </c>
      <c r="E108" t="inlineStr">
        <is>
          <t>1000 mL</t>
        </is>
      </c>
      <c r="F108" t="inlineStr">
        <is>
          <t>IV</t>
        </is>
      </c>
      <c r="G108" t="inlineStr">
        <is>
          <t>Continuous</t>
        </is>
      </c>
      <c r="H108" t="n">
        <v>14</v>
      </c>
      <c r="I108" s="31" t="n">
        <v>1.9</v>
      </c>
    </row>
    <row r="109">
      <c r="A109" t="inlineStr">
        <is>
          <t>RX823321</t>
        </is>
      </c>
      <c r="B109" t="inlineStr">
        <is>
          <t>ENC119685</t>
        </is>
      </c>
      <c r="C109" s="33" t="n">
        <v>45958.98888888889</v>
      </c>
      <c r="D109" t="inlineStr">
        <is>
          <t>Sodium Chloride 0.9%</t>
        </is>
      </c>
      <c r="E109" t="inlineStr">
        <is>
          <t>1000 mL</t>
        </is>
      </c>
      <c r="F109" t="inlineStr">
        <is>
          <t>IV</t>
        </is>
      </c>
      <c r="G109" t="inlineStr">
        <is>
          <t>Continuous</t>
        </is>
      </c>
      <c r="H109" t="n">
        <v>8</v>
      </c>
      <c r="I109" s="31" t="n">
        <v>1.75</v>
      </c>
    </row>
    <row r="110">
      <c r="A110" t="inlineStr">
        <is>
          <t>RX823320</t>
        </is>
      </c>
      <c r="B110" t="inlineStr">
        <is>
          <t>ENC119685</t>
        </is>
      </c>
      <c r="C110" s="33" t="n">
        <v>45959.12638888889</v>
      </c>
      <c r="D110" t="inlineStr">
        <is>
          <t>Pantoprazole</t>
        </is>
      </c>
      <c r="E110" t="inlineStr">
        <is>
          <t>40 mg</t>
        </is>
      </c>
      <c r="F110" t="inlineStr">
        <is>
          <t>IV</t>
        </is>
      </c>
      <c r="G110" t="inlineStr">
        <is>
          <t>Daily</t>
        </is>
      </c>
      <c r="H110" t="n">
        <v>4</v>
      </c>
      <c r="I110" s="31" t="n">
        <v>2.1</v>
      </c>
    </row>
    <row r="111">
      <c r="A111" t="inlineStr">
        <is>
          <t>RX823349</t>
        </is>
      </c>
      <c r="B111" t="inlineStr">
        <is>
          <t>ENC119704</t>
        </is>
      </c>
      <c r="C111" s="33" t="n">
        <v>45959.77708333333</v>
      </c>
      <c r="D111" t="inlineStr">
        <is>
          <t>Ipratropium-Albuterol</t>
        </is>
      </c>
      <c r="E111" t="inlineStr">
        <is>
          <t>3 mL</t>
        </is>
      </c>
      <c r="F111" t="inlineStr">
        <is>
          <t>Inhaled</t>
        </is>
      </c>
      <c r="G111" t="inlineStr">
        <is>
          <t>Q6H</t>
        </is>
      </c>
      <c r="H111" t="n">
        <v>10</v>
      </c>
      <c r="I111" s="31" t="n">
        <v>1.05</v>
      </c>
    </row>
    <row r="112">
      <c r="A112" t="inlineStr">
        <is>
          <t>RX823350</t>
        </is>
      </c>
      <c r="B112" t="inlineStr">
        <is>
          <t>ENC119704</t>
        </is>
      </c>
      <c r="C112" s="33" t="n">
        <v>45959.86111111111</v>
      </c>
      <c r="D112" t="inlineStr">
        <is>
          <t>Enoxaparin</t>
        </is>
      </c>
      <c r="E112" t="inlineStr">
        <is>
          <t>40 mg</t>
        </is>
      </c>
      <c r="F112" t="inlineStr">
        <is>
          <t>SubQ</t>
        </is>
      </c>
      <c r="G112" t="inlineStr">
        <is>
          <t>Daily</t>
        </is>
      </c>
      <c r="H112" t="n">
        <v>2</v>
      </c>
      <c r="I112" s="31" t="n">
        <v>6.75</v>
      </c>
    </row>
    <row r="113">
      <c r="A113" t="inlineStr">
        <is>
          <t>RX823382</t>
        </is>
      </c>
      <c r="B113" t="inlineStr">
        <is>
          <t>ENC119729</t>
        </is>
      </c>
      <c r="C113" s="33" t="n">
        <v>45960.55972222222</v>
      </c>
      <c r="D113" t="inlineStr">
        <is>
          <t>Lorazepam</t>
        </is>
      </c>
      <c r="E113" t="inlineStr">
        <is>
          <t>1 mg</t>
        </is>
      </c>
      <c r="F113" t="inlineStr">
        <is>
          <t>IV</t>
        </is>
      </c>
      <c r="G113" t="inlineStr">
        <is>
          <t>Q4H PRN</t>
        </is>
      </c>
      <c r="H113" t="n">
        <v>7</v>
      </c>
      <c r="I113" s="31" t="n">
        <v>1.4</v>
      </c>
    </row>
    <row r="114">
      <c r="A114" t="inlineStr">
        <is>
          <t>RX823378</t>
        </is>
      </c>
      <c r="B114" t="inlineStr">
        <is>
          <t>ENC119728</t>
        </is>
      </c>
      <c r="C114" s="33" t="n">
        <v>45960.56388888889</v>
      </c>
      <c r="D114" t="inlineStr">
        <is>
          <t>Lorazepam</t>
        </is>
      </c>
      <c r="E114" t="inlineStr">
        <is>
          <t>1 mg</t>
        </is>
      </c>
      <c r="F114" t="inlineStr">
        <is>
          <t>IV</t>
        </is>
      </c>
      <c r="G114" t="inlineStr">
        <is>
          <t>Q4H PRN</t>
        </is>
      </c>
      <c r="H114" t="n">
        <v>12</v>
      </c>
      <c r="I114" s="31" t="n">
        <v>1.4</v>
      </c>
    </row>
    <row r="115">
      <c r="A115" t="inlineStr">
        <is>
          <t>RX823381</t>
        </is>
      </c>
      <c r="B115" t="inlineStr">
        <is>
          <t>ENC119728</t>
        </is>
      </c>
      <c r="C115" s="33" t="n">
        <v>45960.56805555556</v>
      </c>
      <c r="D115" t="inlineStr">
        <is>
          <t>Heparin</t>
        </is>
      </c>
      <c r="E115" t="inlineStr">
        <is>
          <t>5000 units</t>
        </is>
      </c>
      <c r="F115" t="inlineStr">
        <is>
          <t>SubQ</t>
        </is>
      </c>
      <c r="G115" t="inlineStr">
        <is>
          <t>Q8H</t>
        </is>
      </c>
      <c r="H115" t="n">
        <v>15</v>
      </c>
      <c r="I115" s="31" t="n">
        <v>1.6</v>
      </c>
    </row>
    <row r="116">
      <c r="A116" t="inlineStr">
        <is>
          <t>RX823394</t>
        </is>
      </c>
      <c r="B116" t="inlineStr">
        <is>
          <t>ENC119751</t>
        </is>
      </c>
      <c r="C116" s="33" t="n">
        <v>45960.67638888889</v>
      </c>
      <c r="D116" t="inlineStr">
        <is>
          <t>Ceftriaxone</t>
        </is>
      </c>
      <c r="E116" t="inlineStr">
        <is>
          <t>1 g</t>
        </is>
      </c>
      <c r="F116" t="inlineStr">
        <is>
          <t>IV</t>
        </is>
      </c>
      <c r="G116" t="inlineStr">
        <is>
          <t>Q24H</t>
        </is>
      </c>
      <c r="H116" t="n">
        <v>4</v>
      </c>
      <c r="I116" s="31" t="n">
        <v>3.2</v>
      </c>
    </row>
    <row r="117">
      <c r="A117" t="inlineStr">
        <is>
          <t>RX823379</t>
        </is>
      </c>
      <c r="B117" t="inlineStr">
        <is>
          <t>ENC119728</t>
        </is>
      </c>
      <c r="C117" s="33" t="n">
        <v>45960.67708333334</v>
      </c>
      <c r="D117" t="inlineStr">
        <is>
          <t>Thiamine</t>
        </is>
      </c>
      <c r="E117" t="inlineStr">
        <is>
          <t>100 mg</t>
        </is>
      </c>
      <c r="F117" t="inlineStr">
        <is>
          <t>IV</t>
        </is>
      </c>
      <c r="G117" t="inlineStr">
        <is>
          <t>Daily</t>
        </is>
      </c>
      <c r="H117" t="n">
        <v>5</v>
      </c>
      <c r="I117" s="31" t="n">
        <v>0.95</v>
      </c>
    </row>
    <row r="118">
      <c r="A118" t="inlineStr">
        <is>
          <t>RX823384</t>
        </is>
      </c>
      <c r="B118" t="inlineStr">
        <is>
          <t>ENC119729</t>
        </is>
      </c>
      <c r="C118" s="33" t="n">
        <v>45960.68611111111</v>
      </c>
      <c r="D118" t="inlineStr">
        <is>
          <t>Heparin</t>
        </is>
      </c>
      <c r="E118" t="inlineStr">
        <is>
          <t>5000 units</t>
        </is>
      </c>
      <c r="F118" t="inlineStr">
        <is>
          <t>SubQ</t>
        </is>
      </c>
      <c r="G118" t="inlineStr">
        <is>
          <t>Q8H</t>
        </is>
      </c>
      <c r="H118" t="n">
        <v>7</v>
      </c>
      <c r="I118" s="31" t="n">
        <v>1.6</v>
      </c>
    </row>
    <row r="119">
      <c r="A119" t="inlineStr">
        <is>
          <t>RX823380</t>
        </is>
      </c>
      <c r="B119" t="inlineStr">
        <is>
          <t>ENC119728</t>
        </is>
      </c>
      <c r="C119" s="33" t="n">
        <v>45960.74097222222</v>
      </c>
      <c r="D119" t="inlineStr">
        <is>
          <t>Sodium Chloride 0.9%</t>
        </is>
      </c>
      <c r="E119" t="inlineStr">
        <is>
          <t>1000 mL</t>
        </is>
      </c>
      <c r="F119" t="inlineStr">
        <is>
          <t>IV</t>
        </is>
      </c>
      <c r="G119" t="inlineStr">
        <is>
          <t>Continuous</t>
        </is>
      </c>
      <c r="H119" t="n">
        <v>10</v>
      </c>
      <c r="I119" s="31" t="n">
        <v>1.75</v>
      </c>
    </row>
    <row r="120">
      <c r="A120" t="inlineStr">
        <is>
          <t>RX823383</t>
        </is>
      </c>
      <c r="B120" t="inlineStr">
        <is>
          <t>ENC119729</t>
        </is>
      </c>
      <c r="C120" s="33" t="n">
        <v>45960.76319444444</v>
      </c>
      <c r="D120" t="inlineStr">
        <is>
          <t>Thiamine</t>
        </is>
      </c>
      <c r="E120" t="inlineStr">
        <is>
          <t>100 mg</t>
        </is>
      </c>
      <c r="F120" t="inlineStr">
        <is>
          <t>IV</t>
        </is>
      </c>
      <c r="G120" t="inlineStr">
        <is>
          <t>Daily</t>
        </is>
      </c>
      <c r="H120" t="n">
        <v>3</v>
      </c>
      <c r="I120" s="31" t="n">
        <v>0.95</v>
      </c>
    </row>
    <row r="121">
      <c r="A121" t="inlineStr">
        <is>
          <t>RX823451</t>
        </is>
      </c>
      <c r="B121" t="inlineStr">
        <is>
          <t>ENC119805</t>
        </is>
      </c>
      <c r="C121" s="33" t="n">
        <v>45962.18888888889</v>
      </c>
      <c r="D121" t="inlineStr">
        <is>
          <t>Acetaminophen</t>
        </is>
      </c>
      <c r="E121" t="inlineStr">
        <is>
          <t>650 mg</t>
        </is>
      </c>
      <c r="F121" t="inlineStr">
        <is>
          <t>PO</t>
        </is>
      </c>
      <c r="G121" t="inlineStr">
        <is>
          <t>Q6H PRN</t>
        </is>
      </c>
      <c r="H121" t="n">
        <v>8</v>
      </c>
      <c r="I121" s="31" t="n">
        <v>0.08</v>
      </c>
    </row>
    <row r="122">
      <c r="A122" t="inlineStr">
        <is>
          <t>RX823450</t>
        </is>
      </c>
      <c r="B122" t="inlineStr">
        <is>
          <t>ENC119805</t>
        </is>
      </c>
      <c r="C122" s="33" t="n">
        <v>45962.36458333334</v>
      </c>
      <c r="D122" t="inlineStr">
        <is>
          <t>Methylprednisolone</t>
        </is>
      </c>
      <c r="E122" t="inlineStr">
        <is>
          <t>40 mg</t>
        </is>
      </c>
      <c r="F122" t="inlineStr">
        <is>
          <t>IV</t>
        </is>
      </c>
      <c r="G122" t="inlineStr">
        <is>
          <t>Q8H</t>
        </is>
      </c>
      <c r="H122" t="n">
        <v>10</v>
      </c>
      <c r="I122" s="31" t="n">
        <v>3.9</v>
      </c>
    </row>
    <row r="123">
      <c r="A123" t="inlineStr">
        <is>
          <t>RX823452</t>
        </is>
      </c>
      <c r="B123" t="inlineStr">
        <is>
          <t>ENC119805</t>
        </is>
      </c>
      <c r="C123" s="33" t="n">
        <v>45962.41388888889</v>
      </c>
      <c r="D123" t="inlineStr">
        <is>
          <t>Ceftriaxone</t>
        </is>
      </c>
      <c r="E123" t="inlineStr">
        <is>
          <t>1 g</t>
        </is>
      </c>
      <c r="F123" t="inlineStr">
        <is>
          <t>IV</t>
        </is>
      </c>
      <c r="G123" t="inlineStr">
        <is>
          <t>Q24H</t>
        </is>
      </c>
      <c r="H123" t="n">
        <v>4</v>
      </c>
      <c r="I123" s="31" t="n">
        <v>3.2</v>
      </c>
    </row>
    <row r="124">
      <c r="A124" t="inlineStr">
        <is>
          <t>RX823468</t>
        </is>
      </c>
      <c r="B124" t="inlineStr">
        <is>
          <t>ENC119821</t>
        </is>
      </c>
      <c r="C124" s="33" t="n">
        <v>45963.73819444444</v>
      </c>
      <c r="D124" t="inlineStr">
        <is>
          <t>Lorazepam</t>
        </is>
      </c>
      <c r="E124" t="inlineStr">
        <is>
          <t>1 mg</t>
        </is>
      </c>
      <c r="F124" t="inlineStr">
        <is>
          <t>IV</t>
        </is>
      </c>
      <c r="G124" t="inlineStr">
        <is>
          <t>Q4H PRN</t>
        </is>
      </c>
      <c r="H124" t="n">
        <v>8</v>
      </c>
      <c r="I124" s="31" t="n">
        <v>1.4</v>
      </c>
    </row>
    <row r="125">
      <c r="A125" t="inlineStr">
        <is>
          <t>RX823469</t>
        </is>
      </c>
      <c r="B125" t="inlineStr">
        <is>
          <t>ENC119821</t>
        </is>
      </c>
      <c r="C125" s="33" t="n">
        <v>45963.88472222222</v>
      </c>
      <c r="D125" t="inlineStr">
        <is>
          <t>Thiamine</t>
        </is>
      </c>
      <c r="E125" t="inlineStr">
        <is>
          <t>100 mg</t>
        </is>
      </c>
      <c r="F125" t="inlineStr">
        <is>
          <t>IV</t>
        </is>
      </c>
      <c r="G125" t="inlineStr">
        <is>
          <t>Daily</t>
        </is>
      </c>
      <c r="H125" t="n">
        <v>3</v>
      </c>
      <c r="I125" s="31" t="n">
        <v>0.95</v>
      </c>
    </row>
    <row r="126">
      <c r="A126" t="inlineStr">
        <is>
          <t>RX823495</t>
        </is>
      </c>
      <c r="B126" t="inlineStr">
        <is>
          <t>ENC119833</t>
        </is>
      </c>
      <c r="C126" s="33" t="n">
        <v>45964.32847222222</v>
      </c>
      <c r="D126" t="inlineStr">
        <is>
          <t>Lactated Ringer's</t>
        </is>
      </c>
      <c r="E126" t="inlineStr">
        <is>
          <t>1000 mL</t>
        </is>
      </c>
      <c r="F126" t="inlineStr">
        <is>
          <t>IV</t>
        </is>
      </c>
      <c r="G126" t="inlineStr">
        <is>
          <t>Continuous</t>
        </is>
      </c>
      <c r="H126" t="n">
        <v>4</v>
      </c>
      <c r="I126" s="31" t="n">
        <v>1.9</v>
      </c>
    </row>
    <row r="127">
      <c r="A127" t="inlineStr">
        <is>
          <t>RX823503</t>
        </is>
      </c>
      <c r="B127" t="inlineStr">
        <is>
          <t>ENC119836</t>
        </is>
      </c>
      <c r="C127" s="33" t="n">
        <v>45964.425</v>
      </c>
      <c r="D127" t="inlineStr">
        <is>
          <t>Pantoprazole</t>
        </is>
      </c>
      <c r="E127" t="inlineStr">
        <is>
          <t>40 mg</t>
        </is>
      </c>
      <c r="F127" t="inlineStr">
        <is>
          <t>IV</t>
        </is>
      </c>
      <c r="G127" t="inlineStr">
        <is>
          <t>Daily</t>
        </is>
      </c>
      <c r="H127" t="n">
        <v>4</v>
      </c>
      <c r="I127" s="31" t="n">
        <v>2.1</v>
      </c>
    </row>
    <row r="128">
      <c r="A128" t="inlineStr">
        <is>
          <t>RX823505</t>
        </is>
      </c>
      <c r="B128" t="inlineStr">
        <is>
          <t>ENC119836</t>
        </is>
      </c>
      <c r="C128" s="33" t="n">
        <v>45964.45069444444</v>
      </c>
      <c r="D128" t="inlineStr">
        <is>
          <t>Acetaminophen</t>
        </is>
      </c>
      <c r="E128" t="inlineStr">
        <is>
          <t>650 mg</t>
        </is>
      </c>
      <c r="F128" t="inlineStr">
        <is>
          <t>PO</t>
        </is>
      </c>
      <c r="G128" t="inlineStr">
        <is>
          <t>Q6H PRN</t>
        </is>
      </c>
      <c r="H128" t="n">
        <v>9</v>
      </c>
      <c r="I128" s="31" t="n">
        <v>0.08</v>
      </c>
    </row>
    <row r="129">
      <c r="A129" t="inlineStr">
        <is>
          <t>RX823494</t>
        </is>
      </c>
      <c r="B129" t="inlineStr">
        <is>
          <t>ENC119833</t>
        </is>
      </c>
      <c r="C129" s="33" t="n">
        <v>45964.49930555555</v>
      </c>
      <c r="D129" t="inlineStr">
        <is>
          <t>Sodium Chloride 0.9%</t>
        </is>
      </c>
      <c r="E129" t="inlineStr">
        <is>
          <t>1000 mL</t>
        </is>
      </c>
      <c r="F129" t="inlineStr">
        <is>
          <t>IV</t>
        </is>
      </c>
      <c r="G129" t="inlineStr">
        <is>
          <t>Continuous</t>
        </is>
      </c>
      <c r="H129" t="n">
        <v>4</v>
      </c>
      <c r="I129" s="31" t="n">
        <v>1.75</v>
      </c>
    </row>
    <row r="130">
      <c r="A130" t="inlineStr">
        <is>
          <t>RX823504</t>
        </is>
      </c>
      <c r="B130" t="inlineStr">
        <is>
          <t>ENC119836</t>
        </is>
      </c>
      <c r="C130" s="33" t="n">
        <v>45964.54861111111</v>
      </c>
      <c r="D130" t="inlineStr">
        <is>
          <t>Sodium Chloride 0.9%</t>
        </is>
      </c>
      <c r="E130" t="inlineStr">
        <is>
          <t>1000 mL</t>
        </is>
      </c>
      <c r="F130" t="inlineStr">
        <is>
          <t>IV</t>
        </is>
      </c>
      <c r="G130" t="inlineStr">
        <is>
          <t>Continuous</t>
        </is>
      </c>
      <c r="H130" t="n">
        <v>10</v>
      </c>
      <c r="I130" s="31" t="n">
        <v>1.75</v>
      </c>
    </row>
    <row r="131">
      <c r="A131" t="inlineStr">
        <is>
          <t>RX823524</t>
        </is>
      </c>
      <c r="B131" t="inlineStr">
        <is>
          <t>ENC119861</t>
        </is>
      </c>
      <c r="C131" s="33" t="n">
        <v>45964.93819444445</v>
      </c>
      <c r="D131" t="inlineStr">
        <is>
          <t>Acetaminophen</t>
        </is>
      </c>
      <c r="E131" t="inlineStr">
        <is>
          <t>650 mg</t>
        </is>
      </c>
      <c r="F131" t="inlineStr">
        <is>
          <t>PO</t>
        </is>
      </c>
      <c r="G131" t="inlineStr">
        <is>
          <t>Q6H PRN</t>
        </is>
      </c>
      <c r="H131" t="n">
        <v>15</v>
      </c>
      <c r="I131" s="31" t="n">
        <v>0.08</v>
      </c>
    </row>
    <row r="132">
      <c r="A132" t="inlineStr">
        <is>
          <t>RX823523</t>
        </is>
      </c>
      <c r="B132" t="inlineStr">
        <is>
          <t>ENC119861</t>
        </is>
      </c>
      <c r="C132" s="33" t="n">
        <v>45964.99166666667</v>
      </c>
      <c r="D132" t="inlineStr">
        <is>
          <t>Enoxaparin</t>
        </is>
      </c>
      <c r="E132" t="inlineStr">
        <is>
          <t>40 mg</t>
        </is>
      </c>
      <c r="F132" t="inlineStr">
        <is>
          <t>SubQ</t>
        </is>
      </c>
      <c r="G132" t="inlineStr">
        <is>
          <t>Daily</t>
        </is>
      </c>
      <c r="H132" t="n">
        <v>9</v>
      </c>
      <c r="I132" s="31" t="n">
        <v>6.75</v>
      </c>
    </row>
    <row r="133">
      <c r="A133" t="inlineStr">
        <is>
          <t>RX823538</t>
        </is>
      </c>
      <c r="B133" t="inlineStr">
        <is>
          <t>ENC119874</t>
        </is>
      </c>
      <c r="C133" s="33" t="n">
        <v>45965.28888888889</v>
      </c>
      <c r="D133" t="inlineStr">
        <is>
          <t>Ceftriaxone</t>
        </is>
      </c>
      <c r="E133" t="inlineStr">
        <is>
          <t>1 g</t>
        </is>
      </c>
      <c r="F133" t="inlineStr">
        <is>
          <t>IV</t>
        </is>
      </c>
      <c r="G133" t="inlineStr">
        <is>
          <t>Q24H</t>
        </is>
      </c>
      <c r="H133" t="n">
        <v>5</v>
      </c>
      <c r="I133" s="31" t="n">
        <v>3.2</v>
      </c>
    </row>
    <row r="134">
      <c r="A134" t="inlineStr">
        <is>
          <t>RX823541</t>
        </is>
      </c>
      <c r="B134" t="inlineStr">
        <is>
          <t>ENC119874</t>
        </is>
      </c>
      <c r="C134" s="33" t="n">
        <v>45965.32222222222</v>
      </c>
      <c r="D134" t="inlineStr">
        <is>
          <t>Enoxaparin</t>
        </is>
      </c>
      <c r="E134" t="inlineStr">
        <is>
          <t>40 mg</t>
        </is>
      </c>
      <c r="F134" t="inlineStr">
        <is>
          <t>SubQ</t>
        </is>
      </c>
      <c r="G134" t="inlineStr">
        <is>
          <t>Daily</t>
        </is>
      </c>
      <c r="H134" t="n">
        <v>6</v>
      </c>
      <c r="I134" s="31" t="n">
        <v>6.75</v>
      </c>
    </row>
    <row r="135">
      <c r="A135" t="inlineStr">
        <is>
          <t>RX823540</t>
        </is>
      </c>
      <c r="B135" t="inlineStr">
        <is>
          <t>ENC119874</t>
        </is>
      </c>
      <c r="C135" s="33" t="n">
        <v>45965.32708333333</v>
      </c>
      <c r="D135" t="inlineStr">
        <is>
          <t>Acetaminophen</t>
        </is>
      </c>
      <c r="E135" t="inlineStr">
        <is>
          <t>650 mg</t>
        </is>
      </c>
      <c r="F135" t="inlineStr">
        <is>
          <t>PO</t>
        </is>
      </c>
      <c r="G135" t="inlineStr">
        <is>
          <t>Q6H PRN</t>
        </is>
      </c>
      <c r="H135" t="n">
        <v>12</v>
      </c>
      <c r="I135" s="31" t="n">
        <v>0.08</v>
      </c>
    </row>
    <row r="136">
      <c r="A136" t="inlineStr">
        <is>
          <t>RX823539</t>
        </is>
      </c>
      <c r="B136" t="inlineStr">
        <is>
          <t>ENC119874</t>
        </is>
      </c>
      <c r="C136" s="33" t="n">
        <v>45965.35</v>
      </c>
      <c r="D136" t="inlineStr">
        <is>
          <t>Azithromycin</t>
        </is>
      </c>
      <c r="E136" t="inlineStr">
        <is>
          <t>500 mg</t>
        </is>
      </c>
      <c r="F136" t="inlineStr">
        <is>
          <t>PO</t>
        </is>
      </c>
      <c r="G136" t="inlineStr">
        <is>
          <t>Daily</t>
        </is>
      </c>
      <c r="H136" t="n">
        <v>6</v>
      </c>
      <c r="I136" s="31" t="n">
        <v>1.1</v>
      </c>
    </row>
    <row r="137">
      <c r="A137" t="inlineStr">
        <is>
          <t>RX823615</t>
        </is>
      </c>
      <c r="B137" t="inlineStr">
        <is>
          <t>ENC119938</t>
        </is>
      </c>
      <c r="C137" s="33" t="n">
        <v>45966.59791666667</v>
      </c>
      <c r="D137" t="inlineStr">
        <is>
          <t>Sodium Chloride 0.9%</t>
        </is>
      </c>
      <c r="E137" t="inlineStr">
        <is>
          <t>1000 mL</t>
        </is>
      </c>
      <c r="F137" t="inlineStr">
        <is>
          <t>IV</t>
        </is>
      </c>
      <c r="G137" t="inlineStr">
        <is>
          <t>Continuous</t>
        </is>
      </c>
      <c r="H137" t="n">
        <v>7</v>
      </c>
      <c r="I137" s="31" t="n">
        <v>1.75</v>
      </c>
    </row>
    <row r="138">
      <c r="A138" t="inlineStr">
        <is>
          <t>RX823610</t>
        </is>
      </c>
      <c r="B138" t="inlineStr">
        <is>
          <t>ENC119935</t>
        </is>
      </c>
      <c r="C138" s="33" t="n">
        <v>45966.67569444444</v>
      </c>
      <c r="D138" t="inlineStr">
        <is>
          <t>Azithromycin</t>
        </is>
      </c>
      <c r="E138" t="inlineStr">
        <is>
          <t>500 mg</t>
        </is>
      </c>
      <c r="F138" t="inlineStr">
        <is>
          <t>PO</t>
        </is>
      </c>
      <c r="G138" t="inlineStr">
        <is>
          <t>Daily</t>
        </is>
      </c>
      <c r="H138" t="n">
        <v>2</v>
      </c>
      <c r="I138" s="31" t="n">
        <v>1.1</v>
      </c>
    </row>
    <row r="139">
      <c r="A139" t="inlineStr">
        <is>
          <t>RX823611</t>
        </is>
      </c>
      <c r="B139" t="inlineStr">
        <is>
          <t>ENC119935</t>
        </is>
      </c>
      <c r="C139" s="33" t="n">
        <v>45966.71597222222</v>
      </c>
      <c r="D139" t="inlineStr">
        <is>
          <t>Enoxaparin</t>
        </is>
      </c>
      <c r="E139" t="inlineStr">
        <is>
          <t>40 mg</t>
        </is>
      </c>
      <c r="F139" t="inlineStr">
        <is>
          <t>SubQ</t>
        </is>
      </c>
      <c r="G139" t="inlineStr">
        <is>
          <t>Daily</t>
        </is>
      </c>
      <c r="H139" t="n">
        <v>3</v>
      </c>
      <c r="I139" s="31" t="n">
        <v>6.75</v>
      </c>
    </row>
    <row r="140">
      <c r="A140" t="inlineStr">
        <is>
          <t>RX823609</t>
        </is>
      </c>
      <c r="B140" t="inlineStr">
        <is>
          <t>ENC119935</t>
        </is>
      </c>
      <c r="C140" s="33" t="n">
        <v>45966.77013888889</v>
      </c>
      <c r="D140" t="inlineStr">
        <is>
          <t>Prednisone</t>
        </is>
      </c>
      <c r="E140" t="inlineStr">
        <is>
          <t>40 mg</t>
        </is>
      </c>
      <c r="F140" t="inlineStr">
        <is>
          <t>PO</t>
        </is>
      </c>
      <c r="G140" t="inlineStr">
        <is>
          <t>Daily</t>
        </is>
      </c>
      <c r="H140" t="n">
        <v>2</v>
      </c>
      <c r="I140" s="31" t="n">
        <v>0.2</v>
      </c>
    </row>
    <row r="141">
      <c r="A141" t="inlineStr">
        <is>
          <t>RX823614</t>
        </is>
      </c>
      <c r="B141" t="inlineStr">
        <is>
          <t>ENC119938</t>
        </is>
      </c>
      <c r="C141" s="33" t="n">
        <v>45966.78472222222</v>
      </c>
      <c r="D141" t="inlineStr">
        <is>
          <t>Azithromycin</t>
        </is>
      </c>
      <c r="E141" t="inlineStr">
        <is>
          <t>500 mg</t>
        </is>
      </c>
      <c r="F141" t="inlineStr">
        <is>
          <t>PO</t>
        </is>
      </c>
      <c r="G141" t="inlineStr">
        <is>
          <t>Daily</t>
        </is>
      </c>
      <c r="H141" t="n">
        <v>4</v>
      </c>
      <c r="I141" s="31" t="n">
        <v>1.1</v>
      </c>
    </row>
    <row r="142">
      <c r="A142" t="inlineStr">
        <is>
          <t>RX823616</t>
        </is>
      </c>
      <c r="B142" t="inlineStr">
        <is>
          <t>ENC119938</t>
        </is>
      </c>
      <c r="C142" s="33" t="n">
        <v>45966.78472222222</v>
      </c>
      <c r="D142" t="inlineStr">
        <is>
          <t>Acetaminophen</t>
        </is>
      </c>
      <c r="E142" t="inlineStr">
        <is>
          <t>650 mg</t>
        </is>
      </c>
      <c r="F142" t="inlineStr">
        <is>
          <t>PO</t>
        </is>
      </c>
      <c r="G142" t="inlineStr">
        <is>
          <t>Q6H PRN</t>
        </is>
      </c>
      <c r="H142" t="n">
        <v>8</v>
      </c>
      <c r="I142" s="31" t="n">
        <v>0.08</v>
      </c>
    </row>
    <row r="143">
      <c r="A143" t="inlineStr">
        <is>
          <t>RX823608</t>
        </is>
      </c>
      <c r="B143" t="inlineStr">
        <is>
          <t>ENC119935</t>
        </is>
      </c>
      <c r="C143" s="33" t="n">
        <v>45966.90694444445</v>
      </c>
      <c r="D143" t="inlineStr">
        <is>
          <t>Ipratropium-Albuterol</t>
        </is>
      </c>
      <c r="E143" t="inlineStr">
        <is>
          <t>3 mL</t>
        </is>
      </c>
      <c r="F143" t="inlineStr">
        <is>
          <t>Inhaled</t>
        </is>
      </c>
      <c r="G143" t="inlineStr">
        <is>
          <t>Q6H</t>
        </is>
      </c>
      <c r="H143" t="n">
        <v>8</v>
      </c>
      <c r="I143" s="31" t="n">
        <v>1.05</v>
      </c>
    </row>
    <row r="144">
      <c r="A144" t="inlineStr">
        <is>
          <t>RX823651</t>
        </is>
      </c>
      <c r="B144" t="inlineStr">
        <is>
          <t>ENC119972</t>
        </is>
      </c>
      <c r="C144" s="33" t="n">
        <v>45967.63125</v>
      </c>
      <c r="D144" t="inlineStr">
        <is>
          <t>Enoxaparin</t>
        </is>
      </c>
      <c r="E144" t="inlineStr">
        <is>
          <t>40 mg</t>
        </is>
      </c>
      <c r="F144" t="inlineStr">
        <is>
          <t>SubQ</t>
        </is>
      </c>
      <c r="G144" t="inlineStr">
        <is>
          <t>Daily</t>
        </is>
      </c>
      <c r="H144" t="n">
        <v>7</v>
      </c>
      <c r="I144" s="31" t="n">
        <v>6.75</v>
      </c>
    </row>
    <row r="145">
      <c r="A145" t="inlineStr">
        <is>
          <t>RX823652</t>
        </is>
      </c>
      <c r="B145" t="inlineStr">
        <is>
          <t>ENC119972</t>
        </is>
      </c>
      <c r="C145" s="33" t="n">
        <v>45967.68611111111</v>
      </c>
      <c r="D145" t="inlineStr">
        <is>
          <t>Acetaminophen</t>
        </is>
      </c>
      <c r="E145" t="inlineStr">
        <is>
          <t>650 mg</t>
        </is>
      </c>
      <c r="F145" t="inlineStr">
        <is>
          <t>PO</t>
        </is>
      </c>
      <c r="G145" t="inlineStr">
        <is>
          <t>Q6H PRN</t>
        </is>
      </c>
      <c r="H145" t="n">
        <v>13</v>
      </c>
      <c r="I145" s="31" t="n">
        <v>0.08</v>
      </c>
    </row>
    <row r="146">
      <c r="A146" t="inlineStr">
        <is>
          <t>RX823660</t>
        </is>
      </c>
      <c r="B146" t="inlineStr">
        <is>
          <t>ENC119978</t>
        </is>
      </c>
      <c r="C146" s="33" t="n">
        <v>45967.76944444444</v>
      </c>
      <c r="D146" t="inlineStr">
        <is>
          <t>Cephalexin</t>
        </is>
      </c>
      <c r="E146" t="inlineStr">
        <is>
          <t>500 mg</t>
        </is>
      </c>
      <c r="F146" t="inlineStr">
        <is>
          <t>PO</t>
        </is>
      </c>
      <c r="G146" t="inlineStr">
        <is>
          <t>Q6H</t>
        </is>
      </c>
      <c r="H146" t="n">
        <v>10</v>
      </c>
      <c r="I146" s="31" t="n">
        <v>0.45</v>
      </c>
    </row>
    <row r="147">
      <c r="A147" t="inlineStr">
        <is>
          <t>RX823659</t>
        </is>
      </c>
      <c r="B147" t="inlineStr">
        <is>
          <t>ENC119978</t>
        </is>
      </c>
      <c r="C147" s="33" t="n">
        <v>45967.90208333333</v>
      </c>
      <c r="D147" t="inlineStr">
        <is>
          <t>Ceftriaxone</t>
        </is>
      </c>
      <c r="E147" t="inlineStr">
        <is>
          <t>1 g</t>
        </is>
      </c>
      <c r="F147" t="inlineStr">
        <is>
          <t>IV</t>
        </is>
      </c>
      <c r="G147" t="inlineStr">
        <is>
          <t>Q24H</t>
        </is>
      </c>
      <c r="H147" t="n">
        <v>2</v>
      </c>
      <c r="I147" s="31" t="n">
        <v>3.2</v>
      </c>
    </row>
    <row r="148">
      <c r="A148" t="inlineStr">
        <is>
          <t>RX823707</t>
        </is>
      </c>
      <c r="B148" t="inlineStr">
        <is>
          <t>ENC120012</t>
        </is>
      </c>
      <c r="C148" s="33" t="n">
        <v>45968.98263888889</v>
      </c>
      <c r="D148" t="inlineStr">
        <is>
          <t>Sodium Chloride 0.9%</t>
        </is>
      </c>
      <c r="E148" t="inlineStr">
        <is>
          <t>1000 mL</t>
        </is>
      </c>
      <c r="F148" t="inlineStr">
        <is>
          <t>IV</t>
        </is>
      </c>
      <c r="G148" t="inlineStr">
        <is>
          <t>Continuous</t>
        </is>
      </c>
      <c r="H148" t="n">
        <v>5</v>
      </c>
      <c r="I148" s="31" t="n">
        <v>1.75</v>
      </c>
    </row>
    <row r="149">
      <c r="A149" t="inlineStr">
        <is>
          <t>RX823704</t>
        </is>
      </c>
      <c r="B149" t="inlineStr">
        <is>
          <t>ENC120012</t>
        </is>
      </c>
      <c r="C149" s="33" t="n">
        <v>45969.01041666666</v>
      </c>
      <c r="D149" t="inlineStr">
        <is>
          <t>Vancomycin</t>
        </is>
      </c>
      <c r="E149" t="inlineStr">
        <is>
          <t>1250 mg</t>
        </is>
      </c>
      <c r="F149" t="inlineStr">
        <is>
          <t>IV</t>
        </is>
      </c>
      <c r="G149" t="inlineStr">
        <is>
          <t>Q12H</t>
        </is>
      </c>
      <c r="H149" t="n">
        <v>7</v>
      </c>
      <c r="I149" s="31" t="n">
        <v>9.800000000000001</v>
      </c>
    </row>
    <row r="150">
      <c r="A150" t="inlineStr">
        <is>
          <t>RX823703</t>
        </is>
      </c>
      <c r="B150" t="inlineStr">
        <is>
          <t>ENC120012</t>
        </is>
      </c>
      <c r="C150" s="33" t="n">
        <v>45969.04861111111</v>
      </c>
      <c r="D150" t="inlineStr">
        <is>
          <t>Piperacillin-Tazobactam</t>
        </is>
      </c>
      <c r="E150" t="inlineStr">
        <is>
          <t>4.5 g</t>
        </is>
      </c>
      <c r="F150" t="inlineStr">
        <is>
          <t>IV</t>
        </is>
      </c>
      <c r="G150" t="inlineStr">
        <is>
          <t>Q6H</t>
        </is>
      </c>
      <c r="H150" t="n">
        <v>12</v>
      </c>
      <c r="I150" s="31" t="n">
        <v>14.5</v>
      </c>
    </row>
    <row r="151">
      <c r="A151" t="inlineStr">
        <is>
          <t>RX823706</t>
        </is>
      </c>
      <c r="B151" t="inlineStr">
        <is>
          <t>ENC120012</t>
        </is>
      </c>
      <c r="C151" s="33" t="n">
        <v>45969.06527777778</v>
      </c>
      <c r="D151" t="inlineStr">
        <is>
          <t>Lactated Ringer's</t>
        </is>
      </c>
      <c r="E151" t="inlineStr">
        <is>
          <t>1000 mL</t>
        </is>
      </c>
      <c r="F151" t="inlineStr">
        <is>
          <t>IV</t>
        </is>
      </c>
      <c r="G151" t="inlineStr">
        <is>
          <t>Continuous</t>
        </is>
      </c>
      <c r="H151" t="n">
        <v>7</v>
      </c>
      <c r="I151" s="31" t="n">
        <v>1.9</v>
      </c>
    </row>
    <row r="152">
      <c r="A152" t="inlineStr">
        <is>
          <t>RX823711</t>
        </is>
      </c>
      <c r="B152" t="inlineStr">
        <is>
          <t>ENC120013</t>
        </is>
      </c>
      <c r="C152" s="33" t="n">
        <v>45969.10625</v>
      </c>
      <c r="D152" t="inlineStr">
        <is>
          <t>Thiamine</t>
        </is>
      </c>
      <c r="E152" t="inlineStr">
        <is>
          <t>100 mg</t>
        </is>
      </c>
      <c r="F152" t="inlineStr">
        <is>
          <t>IV</t>
        </is>
      </c>
      <c r="G152" t="inlineStr">
        <is>
          <t>Daily</t>
        </is>
      </c>
      <c r="H152" t="n">
        <v>2</v>
      </c>
      <c r="I152" s="31" t="n">
        <v>0.95</v>
      </c>
    </row>
    <row r="153">
      <c r="A153" t="inlineStr">
        <is>
          <t>RX823705</t>
        </is>
      </c>
      <c r="B153" t="inlineStr">
        <is>
          <t>ENC120012</t>
        </is>
      </c>
      <c r="C153" s="33" t="n">
        <v>45969.12361111111</v>
      </c>
      <c r="D153" t="inlineStr">
        <is>
          <t>Ceftriaxone</t>
        </is>
      </c>
      <c r="E153" t="inlineStr">
        <is>
          <t>1 g</t>
        </is>
      </c>
      <c r="F153" t="inlineStr">
        <is>
          <t>IV</t>
        </is>
      </c>
      <c r="G153" t="inlineStr">
        <is>
          <t>Q24H</t>
        </is>
      </c>
      <c r="H153" t="n">
        <v>3</v>
      </c>
      <c r="I153" s="31" t="n">
        <v>3.2</v>
      </c>
    </row>
    <row r="154">
      <c r="A154" t="inlineStr">
        <is>
          <t>RX823708</t>
        </is>
      </c>
      <c r="B154" t="inlineStr">
        <is>
          <t>ENC120012</t>
        </is>
      </c>
      <c r="C154" s="33" t="n">
        <v>45969.12916666667</v>
      </c>
      <c r="D154" t="inlineStr">
        <is>
          <t>Heparin</t>
        </is>
      </c>
      <c r="E154" t="inlineStr">
        <is>
          <t>5000 units</t>
        </is>
      </c>
      <c r="F154" t="inlineStr">
        <is>
          <t>SubQ</t>
        </is>
      </c>
      <c r="G154" t="inlineStr">
        <is>
          <t>Q8H</t>
        </is>
      </c>
      <c r="H154" t="n">
        <v>8</v>
      </c>
      <c r="I154" s="31" t="n">
        <v>1.6</v>
      </c>
    </row>
    <row r="155">
      <c r="A155" t="inlineStr">
        <is>
          <t>RX823710</t>
        </is>
      </c>
      <c r="B155" t="inlineStr">
        <is>
          <t>ENC120013</t>
        </is>
      </c>
      <c r="C155" s="33" t="n">
        <v>45969.14513888889</v>
      </c>
      <c r="D155" t="inlineStr">
        <is>
          <t>Lorazepam</t>
        </is>
      </c>
      <c r="E155" t="inlineStr">
        <is>
          <t>1 mg</t>
        </is>
      </c>
      <c r="F155" t="inlineStr">
        <is>
          <t>IV</t>
        </is>
      </c>
      <c r="G155" t="inlineStr">
        <is>
          <t>Q4H PRN</t>
        </is>
      </c>
      <c r="H155" t="n">
        <v>6</v>
      </c>
      <c r="I155" s="31" t="n">
        <v>1.4</v>
      </c>
    </row>
    <row r="156">
      <c r="A156" t="inlineStr">
        <is>
          <t>RX823712</t>
        </is>
      </c>
      <c r="B156" t="inlineStr">
        <is>
          <t>ENC120013</t>
        </is>
      </c>
      <c r="C156" s="33" t="n">
        <v>45969.17152777778</v>
      </c>
      <c r="D156" t="inlineStr">
        <is>
          <t>Sodium Chloride 0.9%</t>
        </is>
      </c>
      <c r="E156" t="inlineStr">
        <is>
          <t>1000 mL</t>
        </is>
      </c>
      <c r="F156" t="inlineStr">
        <is>
          <t>IV</t>
        </is>
      </c>
      <c r="G156" t="inlineStr">
        <is>
          <t>Continuous</t>
        </is>
      </c>
      <c r="H156" t="n">
        <v>5</v>
      </c>
      <c r="I156" s="31" t="n">
        <v>1.75</v>
      </c>
    </row>
    <row r="157">
      <c r="A157" t="inlineStr">
        <is>
          <t>RX823709</t>
        </is>
      </c>
      <c r="B157" t="inlineStr">
        <is>
          <t>ENC120012</t>
        </is>
      </c>
      <c r="C157" s="33" t="n">
        <v>45969.20972222222</v>
      </c>
      <c r="D157" t="inlineStr">
        <is>
          <t>Acetaminophen</t>
        </is>
      </c>
      <c r="E157" t="inlineStr">
        <is>
          <t>650 mg</t>
        </is>
      </c>
      <c r="F157" t="inlineStr">
        <is>
          <t>PO</t>
        </is>
      </c>
      <c r="G157" t="inlineStr">
        <is>
          <t>Q6H PRN</t>
        </is>
      </c>
      <c r="H157" t="n">
        <v>6</v>
      </c>
      <c r="I157" s="31" t="n">
        <v>0.08</v>
      </c>
    </row>
    <row r="158">
      <c r="A158" t="inlineStr">
        <is>
          <t>RX823727</t>
        </is>
      </c>
      <c r="B158" t="inlineStr">
        <is>
          <t>ENC120027</t>
        </is>
      </c>
      <c r="C158" s="33" t="n">
        <v>45969.73680555556</v>
      </c>
      <c r="D158" t="inlineStr">
        <is>
          <t>Ondansetron</t>
        </is>
      </c>
      <c r="E158" t="inlineStr">
        <is>
          <t>4 mg</t>
        </is>
      </c>
      <c r="F158" t="inlineStr">
        <is>
          <t>IV</t>
        </is>
      </c>
      <c r="G158" t="inlineStr">
        <is>
          <t>Q6H PRN</t>
        </is>
      </c>
      <c r="H158" t="n">
        <v>5</v>
      </c>
      <c r="I158" s="31" t="n">
        <v>0.85</v>
      </c>
    </row>
    <row r="159">
      <c r="A159" t="inlineStr">
        <is>
          <t>RX823723</t>
        </is>
      </c>
      <c r="B159" t="inlineStr">
        <is>
          <t>ENC120024</t>
        </is>
      </c>
      <c r="C159" s="33" t="n">
        <v>45969.75069444445</v>
      </c>
      <c r="D159" t="inlineStr">
        <is>
          <t>Azithromycin</t>
        </is>
      </c>
      <c r="E159" t="inlineStr">
        <is>
          <t>500 mg</t>
        </is>
      </c>
      <c r="F159" t="inlineStr">
        <is>
          <t>PO</t>
        </is>
      </c>
      <c r="G159" t="inlineStr">
        <is>
          <t>Daily</t>
        </is>
      </c>
      <c r="H159" t="n">
        <v>4</v>
      </c>
      <c r="I159" s="31" t="n">
        <v>1.1</v>
      </c>
    </row>
    <row r="160">
      <c r="A160" t="inlineStr">
        <is>
          <t>RX823729</t>
        </is>
      </c>
      <c r="B160" t="inlineStr">
        <is>
          <t>ENC120027</t>
        </is>
      </c>
      <c r="C160" s="33" t="n">
        <v>45969.77916666667</v>
      </c>
      <c r="D160" t="inlineStr">
        <is>
          <t>Heparin</t>
        </is>
      </c>
      <c r="E160" t="inlineStr">
        <is>
          <t>5000 units</t>
        </is>
      </c>
      <c r="F160" t="inlineStr">
        <is>
          <t>SubQ</t>
        </is>
      </c>
      <c r="G160" t="inlineStr">
        <is>
          <t>Q8H</t>
        </is>
      </c>
      <c r="H160" t="n">
        <v>8</v>
      </c>
      <c r="I160" s="31" t="n">
        <v>1.6</v>
      </c>
    </row>
    <row r="161">
      <c r="A161" t="inlineStr">
        <is>
          <t>RX823724</t>
        </is>
      </c>
      <c r="B161" t="inlineStr">
        <is>
          <t>ENC120024</t>
        </is>
      </c>
      <c r="C161" s="33" t="n">
        <v>45969.81319444445</v>
      </c>
      <c r="D161" t="inlineStr">
        <is>
          <t>Sodium Chloride 0.9%</t>
        </is>
      </c>
      <c r="E161" t="inlineStr">
        <is>
          <t>1000 mL</t>
        </is>
      </c>
      <c r="F161" t="inlineStr">
        <is>
          <t>IV</t>
        </is>
      </c>
      <c r="G161" t="inlineStr">
        <is>
          <t>Continuous</t>
        </is>
      </c>
      <c r="H161" t="n">
        <v>10</v>
      </c>
      <c r="I161" s="31" t="n">
        <v>1.75</v>
      </c>
    </row>
    <row r="162">
      <c r="A162" t="inlineStr">
        <is>
          <t>RX823730</t>
        </is>
      </c>
      <c r="B162" t="inlineStr">
        <is>
          <t>ENC120028</t>
        </is>
      </c>
      <c r="C162" s="33" t="n">
        <v>45969.88541666666</v>
      </c>
      <c r="D162" t="inlineStr">
        <is>
          <t>Sodium Chloride 0.9%</t>
        </is>
      </c>
      <c r="E162" t="inlineStr">
        <is>
          <t>1000 mL</t>
        </is>
      </c>
      <c r="F162" t="inlineStr">
        <is>
          <t>IV</t>
        </is>
      </c>
      <c r="G162" t="inlineStr">
        <is>
          <t>Continuous</t>
        </is>
      </c>
      <c r="H162" t="n">
        <v>6</v>
      </c>
      <c r="I162" s="31" t="n">
        <v>1.75</v>
      </c>
    </row>
    <row r="163">
      <c r="A163" t="inlineStr">
        <is>
          <t>RX823725</t>
        </is>
      </c>
      <c r="B163" t="inlineStr">
        <is>
          <t>ENC120024</t>
        </is>
      </c>
      <c r="C163" s="33" t="n">
        <v>45969.90277777778</v>
      </c>
      <c r="D163" t="inlineStr">
        <is>
          <t>Acetaminophen</t>
        </is>
      </c>
      <c r="E163" t="inlineStr">
        <is>
          <t>650 mg</t>
        </is>
      </c>
      <c r="F163" t="inlineStr">
        <is>
          <t>PO</t>
        </is>
      </c>
      <c r="G163" t="inlineStr">
        <is>
          <t>Q6H PRN</t>
        </is>
      </c>
      <c r="H163" t="n">
        <v>8</v>
      </c>
      <c r="I163" s="31" t="n">
        <v>0.08</v>
      </c>
    </row>
    <row r="164">
      <c r="A164" t="inlineStr">
        <is>
          <t>RX823726</t>
        </is>
      </c>
      <c r="B164" t="inlineStr">
        <is>
          <t>ENC120024</t>
        </is>
      </c>
      <c r="C164" s="33" t="n">
        <v>45969.90833333333</v>
      </c>
      <c r="D164" t="inlineStr">
        <is>
          <t>Enoxaparin</t>
        </is>
      </c>
      <c r="E164" t="inlineStr">
        <is>
          <t>40 mg</t>
        </is>
      </c>
      <c r="F164" t="inlineStr">
        <is>
          <t>SubQ</t>
        </is>
      </c>
      <c r="G164" t="inlineStr">
        <is>
          <t>Daily</t>
        </is>
      </c>
      <c r="H164" t="n">
        <v>5</v>
      </c>
      <c r="I164" s="31" t="n">
        <v>6.75</v>
      </c>
    </row>
    <row r="165">
      <c r="A165" t="inlineStr">
        <is>
          <t>RX823728</t>
        </is>
      </c>
      <c r="B165" t="inlineStr">
        <is>
          <t>ENC120027</t>
        </is>
      </c>
      <c r="C165" s="33" t="n">
        <v>45969.92222222222</v>
      </c>
      <c r="D165" t="inlineStr">
        <is>
          <t>Lactated Ringer's</t>
        </is>
      </c>
      <c r="E165" t="inlineStr">
        <is>
          <t>1000 mL</t>
        </is>
      </c>
      <c r="F165" t="inlineStr">
        <is>
          <t>IV</t>
        </is>
      </c>
      <c r="G165" t="inlineStr">
        <is>
          <t>Continuous</t>
        </is>
      </c>
      <c r="H165" t="n">
        <v>4</v>
      </c>
      <c r="I165" s="31" t="n">
        <v>1.9</v>
      </c>
    </row>
    <row r="166">
      <c r="A166" t="inlineStr">
        <is>
          <t>RX823731</t>
        </is>
      </c>
      <c r="B166" t="inlineStr">
        <is>
          <t>ENC120028</t>
        </is>
      </c>
      <c r="C166" s="33" t="n">
        <v>45969.93263888889</v>
      </c>
      <c r="D166" t="inlineStr">
        <is>
          <t>Ondansetron</t>
        </is>
      </c>
      <c r="E166" t="inlineStr">
        <is>
          <t>4 mg</t>
        </is>
      </c>
      <c r="F166" t="inlineStr">
        <is>
          <t>IV</t>
        </is>
      </c>
      <c r="G166" t="inlineStr">
        <is>
          <t>Q6H PRN</t>
        </is>
      </c>
      <c r="H166" t="n">
        <v>7</v>
      </c>
      <c r="I166" s="31" t="n">
        <v>0.85</v>
      </c>
    </row>
    <row r="167">
      <c r="A167" t="inlineStr">
        <is>
          <t>RX823722</t>
        </is>
      </c>
      <c r="B167" t="inlineStr">
        <is>
          <t>ENC120024</t>
        </is>
      </c>
      <c r="C167" s="33" t="n">
        <v>45969.96388888889</v>
      </c>
      <c r="D167" t="inlineStr">
        <is>
          <t>Ceftriaxone</t>
        </is>
      </c>
      <c r="E167" t="inlineStr">
        <is>
          <t>1 g</t>
        </is>
      </c>
      <c r="F167" t="inlineStr">
        <is>
          <t>IV</t>
        </is>
      </c>
      <c r="G167" t="inlineStr">
        <is>
          <t>Q24H</t>
        </is>
      </c>
      <c r="H167" t="n">
        <v>4</v>
      </c>
      <c r="I167" s="31" t="n">
        <v>3.2</v>
      </c>
    </row>
    <row r="168">
      <c r="A168" t="inlineStr">
        <is>
          <t>RX823732</t>
        </is>
      </c>
      <c r="B168" t="inlineStr">
        <is>
          <t>ENC120028</t>
        </is>
      </c>
      <c r="C168" s="33" t="n">
        <v>45970.01875</v>
      </c>
      <c r="D168" t="inlineStr">
        <is>
          <t>Heparin</t>
        </is>
      </c>
      <c r="E168" t="inlineStr">
        <is>
          <t>5000 units</t>
        </is>
      </c>
      <c r="F168" t="inlineStr">
        <is>
          <t>SubQ</t>
        </is>
      </c>
      <c r="G168" t="inlineStr">
        <is>
          <t>Q8H</t>
        </is>
      </c>
      <c r="H168" t="n">
        <v>9</v>
      </c>
      <c r="I168" s="31" t="n">
        <v>1.6</v>
      </c>
    </row>
    <row r="169">
      <c r="A169" t="inlineStr">
        <is>
          <t>RX823763</t>
        </is>
      </c>
      <c r="B169" t="inlineStr">
        <is>
          <t>ENC120045</t>
        </is>
      </c>
      <c r="C169" s="33" t="n">
        <v>45970.48541666667</v>
      </c>
      <c r="D169" t="inlineStr">
        <is>
          <t>Azithromycin</t>
        </is>
      </c>
      <c r="E169" t="inlineStr">
        <is>
          <t>500 mg</t>
        </is>
      </c>
      <c r="F169" t="inlineStr">
        <is>
          <t>PO</t>
        </is>
      </c>
      <c r="G169" t="inlineStr">
        <is>
          <t>Daily</t>
        </is>
      </c>
      <c r="H169" t="n">
        <v>4</v>
      </c>
      <c r="I169" s="31" t="n">
        <v>1.1</v>
      </c>
    </row>
    <row r="170">
      <c r="A170" t="inlineStr">
        <is>
          <t>RX823764</t>
        </is>
      </c>
      <c r="B170" t="inlineStr">
        <is>
          <t>ENC120045</t>
        </is>
      </c>
      <c r="C170" s="33" t="n">
        <v>45970.50833333333</v>
      </c>
      <c r="D170" t="inlineStr">
        <is>
          <t>Acetaminophen</t>
        </is>
      </c>
      <c r="E170" t="inlineStr">
        <is>
          <t>650 mg</t>
        </is>
      </c>
      <c r="F170" t="inlineStr">
        <is>
          <t>PO</t>
        </is>
      </c>
      <c r="G170" t="inlineStr">
        <is>
          <t>Q6H PRN</t>
        </is>
      </c>
      <c r="H170" t="n">
        <v>6</v>
      </c>
      <c r="I170" s="31" t="n">
        <v>0.08</v>
      </c>
    </row>
    <row r="171">
      <c r="A171" t="inlineStr">
        <is>
          <t>RX823780</t>
        </is>
      </c>
      <c r="B171" t="inlineStr">
        <is>
          <t>ENC120053</t>
        </is>
      </c>
      <c r="C171" s="33" t="n">
        <v>45970.97708333333</v>
      </c>
      <c r="D171" t="inlineStr">
        <is>
          <t>Acetaminophen</t>
        </is>
      </c>
      <c r="E171" t="inlineStr">
        <is>
          <t>650 mg</t>
        </is>
      </c>
      <c r="F171" t="inlineStr">
        <is>
          <t>PO</t>
        </is>
      </c>
      <c r="G171" t="inlineStr">
        <is>
          <t>Q6H PRN</t>
        </is>
      </c>
      <c r="H171" t="n">
        <v>3</v>
      </c>
      <c r="I171" s="31" t="n">
        <v>0.08</v>
      </c>
    </row>
    <row r="172">
      <c r="A172" t="inlineStr">
        <is>
          <t>RX823779</t>
        </is>
      </c>
      <c r="B172" t="inlineStr">
        <is>
          <t>ENC120053</t>
        </is>
      </c>
      <c r="C172" s="33" t="n">
        <v>45971.01805555556</v>
      </c>
      <c r="D172" t="inlineStr">
        <is>
          <t>Potassium Chloride</t>
        </is>
      </c>
      <c r="E172" t="inlineStr">
        <is>
          <t>20 mEq</t>
        </is>
      </c>
      <c r="F172" t="inlineStr">
        <is>
          <t>PO</t>
        </is>
      </c>
      <c r="G172" t="inlineStr">
        <is>
          <t>Once</t>
        </is>
      </c>
      <c r="H172" t="n">
        <v>1</v>
      </c>
      <c r="I172" s="31" t="n">
        <v>0.35</v>
      </c>
    </row>
    <row r="173">
      <c r="A173" t="inlineStr">
        <is>
          <t>RX823778</t>
        </is>
      </c>
      <c r="B173" t="inlineStr">
        <is>
          <t>ENC120053</t>
        </is>
      </c>
      <c r="C173" s="33" t="n">
        <v>45971.08958333333</v>
      </c>
      <c r="D173" t="inlineStr">
        <is>
          <t>Insulin Lispro</t>
        </is>
      </c>
      <c r="E173" t="inlineStr">
        <is>
          <t>Sliding scale</t>
        </is>
      </c>
      <c r="F173" t="inlineStr">
        <is>
          <t>SubQ</t>
        </is>
      </c>
      <c r="G173" t="inlineStr">
        <is>
          <t>AC &amp; HS</t>
        </is>
      </c>
      <c r="H173" t="n">
        <v>5</v>
      </c>
      <c r="I173" s="31" t="n">
        <v>4.1</v>
      </c>
    </row>
    <row r="174">
      <c r="A174" t="inlineStr">
        <is>
          <t>RX823804</t>
        </is>
      </c>
      <c r="B174" t="inlineStr">
        <is>
          <t>ENC120074</t>
        </is>
      </c>
      <c r="C174" s="33" t="n">
        <v>45971.68333333333</v>
      </c>
      <c r="D174" t="inlineStr">
        <is>
          <t>Azithromycin</t>
        </is>
      </c>
      <c r="E174" t="inlineStr">
        <is>
          <t>500 mg</t>
        </is>
      </c>
      <c r="F174" t="inlineStr">
        <is>
          <t>PO</t>
        </is>
      </c>
      <c r="G174" t="inlineStr">
        <is>
          <t>Daily</t>
        </is>
      </c>
      <c r="H174" t="n">
        <v>3</v>
      </c>
      <c r="I174" s="31" t="n">
        <v>1.1</v>
      </c>
    </row>
    <row r="175">
      <c r="A175" t="inlineStr">
        <is>
          <t>RX823820</t>
        </is>
      </c>
      <c r="B175" t="inlineStr">
        <is>
          <t>ENC120088</t>
        </is>
      </c>
      <c r="C175" s="33" t="n">
        <v>45971.68888888889</v>
      </c>
      <c r="D175" t="inlineStr">
        <is>
          <t>Enoxaparin</t>
        </is>
      </c>
      <c r="E175" t="inlineStr">
        <is>
          <t>40 mg</t>
        </is>
      </c>
      <c r="F175" t="inlineStr">
        <is>
          <t>SubQ</t>
        </is>
      </c>
      <c r="G175" t="inlineStr">
        <is>
          <t>Daily</t>
        </is>
      </c>
      <c r="H175" t="n">
        <v>22</v>
      </c>
      <c r="I175" s="31" t="n">
        <v>6.75</v>
      </c>
    </row>
    <row r="176">
      <c r="A176" t="inlineStr">
        <is>
          <t>RX823805</t>
        </is>
      </c>
      <c r="B176" t="inlineStr">
        <is>
          <t>ENC120074</t>
        </is>
      </c>
      <c r="C176" s="33" t="n">
        <v>45971.71597222222</v>
      </c>
      <c r="D176" t="inlineStr">
        <is>
          <t>Acetaminophen</t>
        </is>
      </c>
      <c r="E176" t="inlineStr">
        <is>
          <t>650 mg</t>
        </is>
      </c>
      <c r="F176" t="inlineStr">
        <is>
          <t>PO</t>
        </is>
      </c>
      <c r="G176" t="inlineStr">
        <is>
          <t>Q6H PRN</t>
        </is>
      </c>
      <c r="H176" t="n">
        <v>5</v>
      </c>
      <c r="I176" s="31" t="n">
        <v>0.08</v>
      </c>
    </row>
    <row r="177">
      <c r="A177" t="inlineStr">
        <is>
          <t>RX823818</t>
        </is>
      </c>
      <c r="B177" t="inlineStr">
        <is>
          <t>ENC120088</t>
        </is>
      </c>
      <c r="C177" s="33" t="n">
        <v>45971.72152777778</v>
      </c>
      <c r="D177" t="inlineStr">
        <is>
          <t>Azithromycin</t>
        </is>
      </c>
      <c r="E177" t="inlineStr">
        <is>
          <t>500 mg</t>
        </is>
      </c>
      <c r="F177" t="inlineStr">
        <is>
          <t>PO</t>
        </is>
      </c>
      <c r="G177" t="inlineStr">
        <is>
          <t>Daily</t>
        </is>
      </c>
      <c r="H177" t="n">
        <v>21</v>
      </c>
      <c r="I177" s="31" t="n">
        <v>1.1</v>
      </c>
    </row>
    <row r="178">
      <c r="A178" t="inlineStr">
        <is>
          <t>RX823817</t>
        </is>
      </c>
      <c r="B178" t="inlineStr">
        <is>
          <t>ENC120088</t>
        </is>
      </c>
      <c r="C178" s="33" t="n">
        <v>45971.80486111111</v>
      </c>
      <c r="D178" t="inlineStr">
        <is>
          <t>Ceftriaxone</t>
        </is>
      </c>
      <c r="E178" t="inlineStr">
        <is>
          <t>1 g</t>
        </is>
      </c>
      <c r="F178" t="inlineStr">
        <is>
          <t>IV</t>
        </is>
      </c>
      <c r="G178" t="inlineStr">
        <is>
          <t>Q24H</t>
        </is>
      </c>
      <c r="H178" t="n">
        <v>20</v>
      </c>
      <c r="I178" s="31" t="n">
        <v>3.2</v>
      </c>
    </row>
    <row r="179">
      <c r="A179" t="inlineStr">
        <is>
          <t>RX823819</t>
        </is>
      </c>
      <c r="B179" t="inlineStr">
        <is>
          <t>ENC120088</t>
        </is>
      </c>
      <c r="C179" s="33" t="n">
        <v>45971.82638888889</v>
      </c>
      <c r="D179" t="inlineStr">
        <is>
          <t>Acetaminophen</t>
        </is>
      </c>
      <c r="E179" t="inlineStr">
        <is>
          <t>650 mg</t>
        </is>
      </c>
      <c r="F179" t="inlineStr">
        <is>
          <t>PO</t>
        </is>
      </c>
      <c r="G179" t="inlineStr">
        <is>
          <t>Q6H PRN</t>
        </is>
      </c>
      <c r="H179" t="n">
        <v>39</v>
      </c>
      <c r="I179" s="31" t="n">
        <v>0.08</v>
      </c>
    </row>
    <row r="180">
      <c r="A180" t="inlineStr">
        <is>
          <t>RX823803</t>
        </is>
      </c>
      <c r="B180" t="inlineStr">
        <is>
          <t>ENC120074</t>
        </is>
      </c>
      <c r="C180" s="33" t="n">
        <v>45971.83541666667</v>
      </c>
      <c r="D180" t="inlineStr">
        <is>
          <t>Ceftriaxone</t>
        </is>
      </c>
      <c r="E180" t="inlineStr">
        <is>
          <t>1 g</t>
        </is>
      </c>
      <c r="F180" t="inlineStr">
        <is>
          <t>IV</t>
        </is>
      </c>
      <c r="G180" t="inlineStr">
        <is>
          <t>Q24H</t>
        </is>
      </c>
      <c r="H180" t="n">
        <v>2</v>
      </c>
      <c r="I180" s="31" t="n">
        <v>3.2</v>
      </c>
    </row>
    <row r="181">
      <c r="A181" t="inlineStr">
        <is>
          <t>RX823833</t>
        </is>
      </c>
      <c r="B181" t="inlineStr">
        <is>
          <t>ENC120098</t>
        </is>
      </c>
      <c r="C181" s="33" t="n">
        <v>45972.04722222222</v>
      </c>
      <c r="D181" t="inlineStr">
        <is>
          <t>Azithromycin</t>
        </is>
      </c>
      <c r="E181" t="inlineStr">
        <is>
          <t>500 mg</t>
        </is>
      </c>
      <c r="F181" t="inlineStr">
        <is>
          <t>PO</t>
        </is>
      </c>
      <c r="G181" t="inlineStr">
        <is>
          <t>Daily</t>
        </is>
      </c>
      <c r="H181" t="n">
        <v>2</v>
      </c>
      <c r="I181" s="31" t="n">
        <v>1.1</v>
      </c>
    </row>
    <row r="182">
      <c r="A182" t="inlineStr">
        <is>
          <t>RX823832</t>
        </is>
      </c>
      <c r="B182" t="inlineStr">
        <is>
          <t>ENC120098</t>
        </is>
      </c>
      <c r="C182" s="33" t="n">
        <v>45972.21597222222</v>
      </c>
      <c r="D182" t="inlineStr">
        <is>
          <t>Ipratropium-Albuterol</t>
        </is>
      </c>
      <c r="E182" t="inlineStr">
        <is>
          <t>3 mL</t>
        </is>
      </c>
      <c r="F182" t="inlineStr">
        <is>
          <t>Inhaled</t>
        </is>
      </c>
      <c r="G182" t="inlineStr">
        <is>
          <t>Q6H</t>
        </is>
      </c>
      <c r="H182" t="n">
        <v>8</v>
      </c>
      <c r="I182" s="31" t="n">
        <v>1.05</v>
      </c>
    </row>
    <row r="183">
      <c r="A183" t="inlineStr">
        <is>
          <t>RX823834</t>
        </is>
      </c>
      <c r="B183" t="inlineStr">
        <is>
          <t>ENC120098</t>
        </is>
      </c>
      <c r="C183" s="33" t="n">
        <v>45972.23263888889</v>
      </c>
      <c r="D183" t="inlineStr">
        <is>
          <t>Acetaminophen</t>
        </is>
      </c>
      <c r="E183" t="inlineStr">
        <is>
          <t>650 mg</t>
        </is>
      </c>
      <c r="F183" t="inlineStr">
        <is>
          <t>PO</t>
        </is>
      </c>
      <c r="G183" t="inlineStr">
        <is>
          <t>Q6H PRN</t>
        </is>
      </c>
      <c r="H183" t="n">
        <v>4</v>
      </c>
      <c r="I183" s="31" t="n">
        <v>0.08</v>
      </c>
    </row>
    <row r="184">
      <c r="A184" t="inlineStr">
        <is>
          <t>RX823885</t>
        </is>
      </c>
      <c r="B184" t="inlineStr">
        <is>
          <t>ENC120139</t>
        </is>
      </c>
      <c r="C184" s="33" t="n">
        <v>45973.32291666666</v>
      </c>
      <c r="D184" t="inlineStr">
        <is>
          <t>Ceftriaxone</t>
        </is>
      </c>
      <c r="E184" t="inlineStr">
        <is>
          <t>1 g</t>
        </is>
      </c>
      <c r="F184" t="inlineStr">
        <is>
          <t>IV</t>
        </is>
      </c>
      <c r="G184" t="inlineStr">
        <is>
          <t>Q24H</t>
        </is>
      </c>
      <c r="H184" t="n">
        <v>2</v>
      </c>
      <c r="I184" s="31" t="n">
        <v>3.2</v>
      </c>
    </row>
    <row r="185">
      <c r="A185" t="inlineStr">
        <is>
          <t>RX823890</t>
        </is>
      </c>
      <c r="B185" t="inlineStr">
        <is>
          <t>ENC120143</t>
        </is>
      </c>
      <c r="C185" s="33" t="n">
        <v>45973.50277777778</v>
      </c>
      <c r="D185" t="inlineStr">
        <is>
          <t>Sodium Chloride 0.9%</t>
        </is>
      </c>
      <c r="E185" t="inlineStr">
        <is>
          <t>1000 mL</t>
        </is>
      </c>
      <c r="F185" t="inlineStr">
        <is>
          <t>IV</t>
        </is>
      </c>
      <c r="G185" t="inlineStr">
        <is>
          <t>Continuous</t>
        </is>
      </c>
      <c r="H185" t="n">
        <v>6</v>
      </c>
      <c r="I185" s="31" t="n">
        <v>1.75</v>
      </c>
    </row>
    <row r="186">
      <c r="A186" t="inlineStr">
        <is>
          <t>RX823889</t>
        </is>
      </c>
      <c r="B186" t="inlineStr">
        <is>
          <t>ENC120143</t>
        </is>
      </c>
      <c r="C186" s="33" t="n">
        <v>45973.55138888889</v>
      </c>
      <c r="D186" t="inlineStr">
        <is>
          <t>Azithromycin</t>
        </is>
      </c>
      <c r="E186" t="inlineStr">
        <is>
          <t>500 mg</t>
        </is>
      </c>
      <c r="F186" t="inlineStr">
        <is>
          <t>PO</t>
        </is>
      </c>
      <c r="G186" t="inlineStr">
        <is>
          <t>Daily</t>
        </is>
      </c>
      <c r="H186" t="n">
        <v>3</v>
      </c>
      <c r="I186" s="31" t="n">
        <v>1.1</v>
      </c>
    </row>
    <row r="187">
      <c r="A187" t="inlineStr">
        <is>
          <t>RX823891</t>
        </is>
      </c>
      <c r="B187" t="inlineStr">
        <is>
          <t>ENC120143</t>
        </is>
      </c>
      <c r="C187" s="33" t="n">
        <v>45973.63194444445</v>
      </c>
      <c r="D187" t="inlineStr">
        <is>
          <t>Acetaminophen</t>
        </is>
      </c>
      <c r="E187" t="inlineStr">
        <is>
          <t>650 mg</t>
        </is>
      </c>
      <c r="F187" t="inlineStr">
        <is>
          <t>PO</t>
        </is>
      </c>
      <c r="G187" t="inlineStr">
        <is>
          <t>Q6H PRN</t>
        </is>
      </c>
      <c r="H187" t="n">
        <v>5</v>
      </c>
      <c r="I187" s="31" t="n">
        <v>0.08</v>
      </c>
    </row>
    <row r="188">
      <c r="A188" t="inlineStr">
        <is>
          <t>RX823888</t>
        </is>
      </c>
      <c r="B188" t="inlineStr">
        <is>
          <t>ENC120143</t>
        </is>
      </c>
      <c r="C188" s="33" t="n">
        <v>45973.64722222222</v>
      </c>
      <c r="D188" t="inlineStr">
        <is>
          <t>Ceftriaxone</t>
        </is>
      </c>
      <c r="E188" t="inlineStr">
        <is>
          <t>1 g</t>
        </is>
      </c>
      <c r="F188" t="inlineStr">
        <is>
          <t>IV</t>
        </is>
      </c>
      <c r="G188" t="inlineStr">
        <is>
          <t>Q24H</t>
        </is>
      </c>
      <c r="H188" t="n">
        <v>3</v>
      </c>
      <c r="I188" s="31" t="n">
        <v>3.2</v>
      </c>
    </row>
    <row r="189">
      <c r="A189" t="inlineStr">
        <is>
          <t>RX823940</t>
        </is>
      </c>
      <c r="B189" t="inlineStr">
        <is>
          <t>ENC120198</t>
        </is>
      </c>
      <c r="C189" s="33" t="n">
        <v>45974.80972222222</v>
      </c>
      <c r="D189" t="inlineStr">
        <is>
          <t>Heparin</t>
        </is>
      </c>
      <c r="E189" t="inlineStr">
        <is>
          <t>5000 units</t>
        </is>
      </c>
      <c r="F189" t="inlineStr">
        <is>
          <t>SubQ</t>
        </is>
      </c>
      <c r="G189" t="inlineStr">
        <is>
          <t>Q8H</t>
        </is>
      </c>
      <c r="H189" t="n">
        <v>12</v>
      </c>
      <c r="I189" s="31" t="n">
        <v>1.6</v>
      </c>
    </row>
    <row r="190">
      <c r="A190" t="inlineStr">
        <is>
          <t>RX823936</t>
        </is>
      </c>
      <c r="B190" t="inlineStr">
        <is>
          <t>ENC120197</t>
        </is>
      </c>
      <c r="C190" s="33" t="n">
        <v>45974.81111111111</v>
      </c>
      <c r="D190" t="inlineStr">
        <is>
          <t>Azithromycin</t>
        </is>
      </c>
      <c r="E190" t="inlineStr">
        <is>
          <t>500 mg</t>
        </is>
      </c>
      <c r="F190" t="inlineStr">
        <is>
          <t>PO</t>
        </is>
      </c>
      <c r="G190" t="inlineStr">
        <is>
          <t>Daily</t>
        </is>
      </c>
      <c r="H190" t="n">
        <v>3</v>
      </c>
      <c r="I190" s="31" t="n">
        <v>1.1</v>
      </c>
    </row>
    <row r="191">
      <c r="A191" t="inlineStr">
        <is>
          <t>RX823937</t>
        </is>
      </c>
      <c r="B191" t="inlineStr">
        <is>
          <t>ENC120197</t>
        </is>
      </c>
      <c r="C191" s="33" t="n">
        <v>45974.84166666667</v>
      </c>
      <c r="D191" t="inlineStr">
        <is>
          <t>Sodium Chloride 0.9%</t>
        </is>
      </c>
      <c r="E191" t="inlineStr">
        <is>
          <t>1000 mL</t>
        </is>
      </c>
      <c r="F191" t="inlineStr">
        <is>
          <t>IV</t>
        </is>
      </c>
      <c r="G191" t="inlineStr">
        <is>
          <t>Continuous</t>
        </is>
      </c>
      <c r="H191" t="n">
        <v>6</v>
      </c>
      <c r="I191" s="31" t="n">
        <v>1.75</v>
      </c>
    </row>
    <row r="192">
      <c r="A192" t="inlineStr">
        <is>
          <t>RX823945</t>
        </is>
      </c>
      <c r="B192" t="inlineStr">
        <is>
          <t>ENC120206</t>
        </is>
      </c>
      <c r="C192" s="33" t="n">
        <v>45974.84583333333</v>
      </c>
      <c r="D192" t="inlineStr">
        <is>
          <t>Sodium Chloride 0.9%</t>
        </is>
      </c>
      <c r="E192" t="inlineStr">
        <is>
          <t>1000 mL</t>
        </is>
      </c>
      <c r="F192" t="inlineStr">
        <is>
          <t>IV</t>
        </is>
      </c>
      <c r="G192" t="inlineStr">
        <is>
          <t>Continuous</t>
        </is>
      </c>
      <c r="H192" t="n">
        <v>7</v>
      </c>
      <c r="I192" s="31" t="n">
        <v>1.75</v>
      </c>
    </row>
    <row r="193">
      <c r="A193" t="inlineStr">
        <is>
          <t>RX823939</t>
        </is>
      </c>
      <c r="B193" t="inlineStr">
        <is>
          <t>ENC120198</t>
        </is>
      </c>
      <c r="C193" s="33" t="n">
        <v>45974.87291666667</v>
      </c>
      <c r="D193" t="inlineStr">
        <is>
          <t>Sodium Chloride 0.9%</t>
        </is>
      </c>
      <c r="E193" t="inlineStr">
        <is>
          <t>1000 mL</t>
        </is>
      </c>
      <c r="F193" t="inlineStr">
        <is>
          <t>IV</t>
        </is>
      </c>
      <c r="G193" t="inlineStr">
        <is>
          <t>Continuous</t>
        </is>
      </c>
      <c r="H193" t="n">
        <v>8</v>
      </c>
      <c r="I193" s="31" t="n">
        <v>1.75</v>
      </c>
    </row>
    <row r="194">
      <c r="A194" t="inlineStr">
        <is>
          <t>RX823943</t>
        </is>
      </c>
      <c r="B194" t="inlineStr">
        <is>
          <t>ENC120203</t>
        </is>
      </c>
      <c r="C194" s="33" t="n">
        <v>45974.93680555555</v>
      </c>
      <c r="D194" t="inlineStr">
        <is>
          <t>Ceftriaxone</t>
        </is>
      </c>
      <c r="E194" t="inlineStr">
        <is>
          <t>1 g</t>
        </is>
      </c>
      <c r="F194" t="inlineStr">
        <is>
          <t>IV</t>
        </is>
      </c>
      <c r="G194" t="inlineStr">
        <is>
          <t>Q24H</t>
        </is>
      </c>
      <c r="H194" t="n">
        <v>3</v>
      </c>
      <c r="I194" s="31" t="n">
        <v>3.2</v>
      </c>
    </row>
    <row r="195">
      <c r="A195" t="inlineStr">
        <is>
          <t>RX823938</t>
        </is>
      </c>
      <c r="B195" t="inlineStr">
        <is>
          <t>ENC120197</t>
        </is>
      </c>
      <c r="C195" s="33" t="n">
        <v>45974.96111111111</v>
      </c>
      <c r="D195" t="inlineStr">
        <is>
          <t>Enoxaparin</t>
        </is>
      </c>
      <c r="E195" t="inlineStr">
        <is>
          <t>40 mg</t>
        </is>
      </c>
      <c r="F195" t="inlineStr">
        <is>
          <t>SubQ</t>
        </is>
      </c>
      <c r="G195" t="inlineStr">
        <is>
          <t>Daily</t>
        </is>
      </c>
      <c r="H195" t="n">
        <v>3</v>
      </c>
      <c r="I195" s="31" t="n">
        <v>6.75</v>
      </c>
    </row>
    <row r="196">
      <c r="A196" t="inlineStr">
        <is>
          <t>RX823944</t>
        </is>
      </c>
      <c r="B196" t="inlineStr">
        <is>
          <t>ENC120203</t>
        </is>
      </c>
      <c r="C196" s="33" t="n">
        <v>45974.96944444445</v>
      </c>
      <c r="D196" t="inlineStr">
        <is>
          <t>Acetaminophen</t>
        </is>
      </c>
      <c r="E196" t="inlineStr">
        <is>
          <t>650 mg</t>
        </is>
      </c>
      <c r="F196" t="inlineStr">
        <is>
          <t>PO</t>
        </is>
      </c>
      <c r="G196" t="inlineStr">
        <is>
          <t>Q6H PRN</t>
        </is>
      </c>
      <c r="H196" t="n">
        <v>4</v>
      </c>
      <c r="I196" s="31" t="n">
        <v>0.08</v>
      </c>
    </row>
    <row r="197">
      <c r="A197" t="inlineStr">
        <is>
          <t>RX823975</t>
        </is>
      </c>
      <c r="B197" t="inlineStr">
        <is>
          <t>ENC120231</t>
        </is>
      </c>
      <c r="C197" s="33" t="n">
        <v>45975.81666666667</v>
      </c>
      <c r="D197" t="inlineStr">
        <is>
          <t>Hydromorphone</t>
        </is>
      </c>
      <c r="E197" t="inlineStr">
        <is>
          <t>0.5 mg</t>
        </is>
      </c>
      <c r="F197" t="inlineStr">
        <is>
          <t>IV</t>
        </is>
      </c>
      <c r="G197" t="inlineStr">
        <is>
          <t>Q3H PRN</t>
        </is>
      </c>
      <c r="H197" t="n">
        <v>10</v>
      </c>
      <c r="I197" s="31" t="n">
        <v>2.4</v>
      </c>
    </row>
    <row r="198">
      <c r="A198" t="inlineStr">
        <is>
          <t>RX823976</t>
        </is>
      </c>
      <c r="B198" t="inlineStr">
        <is>
          <t>ENC120231</t>
        </is>
      </c>
      <c r="C198" s="33" t="n">
        <v>45975.91597222222</v>
      </c>
      <c r="D198" t="inlineStr">
        <is>
          <t>Sodium Chloride 0.9%</t>
        </is>
      </c>
      <c r="E198" t="inlineStr">
        <is>
          <t>1000 mL</t>
        </is>
      </c>
      <c r="F198" t="inlineStr">
        <is>
          <t>IV</t>
        </is>
      </c>
      <c r="G198" t="inlineStr">
        <is>
          <t>Continuous</t>
        </is>
      </c>
      <c r="H198" t="n">
        <v>6</v>
      </c>
      <c r="I198" s="31" t="n">
        <v>1.75</v>
      </c>
    </row>
    <row r="199">
      <c r="A199" t="inlineStr">
        <is>
          <t>RX824010</t>
        </is>
      </c>
      <c r="B199" t="inlineStr">
        <is>
          <t>ENC120252</t>
        </is>
      </c>
      <c r="C199" s="33" t="n">
        <v>45976.89791666667</v>
      </c>
      <c r="D199" t="inlineStr">
        <is>
          <t>Sodium Chloride 0.9%</t>
        </is>
      </c>
      <c r="E199" t="inlineStr">
        <is>
          <t>1000 mL</t>
        </is>
      </c>
      <c r="F199" t="inlineStr">
        <is>
          <t>IV</t>
        </is>
      </c>
      <c r="G199" t="inlineStr">
        <is>
          <t>Continuous</t>
        </is>
      </c>
      <c r="H199" t="n">
        <v>7</v>
      </c>
      <c r="I199" s="31" t="n">
        <v>1.75</v>
      </c>
    </row>
    <row r="200">
      <c r="A200" t="inlineStr">
        <is>
          <t>RX824012</t>
        </is>
      </c>
      <c r="B200" t="inlineStr">
        <is>
          <t>ENC120253</t>
        </is>
      </c>
      <c r="C200" s="33" t="n">
        <v>45977.07083333333</v>
      </c>
      <c r="D200" t="inlineStr">
        <is>
          <t>Lactated Ringer's</t>
        </is>
      </c>
      <c r="E200" t="inlineStr">
        <is>
          <t>1000 mL</t>
        </is>
      </c>
      <c r="F200" t="inlineStr">
        <is>
          <t>IV</t>
        </is>
      </c>
      <c r="G200" t="inlineStr">
        <is>
          <t>Continuous</t>
        </is>
      </c>
      <c r="H200" t="n">
        <v>4</v>
      </c>
      <c r="I200" s="31" t="n">
        <v>1.9</v>
      </c>
    </row>
    <row r="201">
      <c r="A201" t="inlineStr">
        <is>
          <t>RX824011</t>
        </is>
      </c>
      <c r="B201" t="inlineStr">
        <is>
          <t>ENC120253</t>
        </is>
      </c>
      <c r="C201" s="33" t="n">
        <v>45977.10208333333</v>
      </c>
      <c r="D201" t="inlineStr">
        <is>
          <t>Ondansetron</t>
        </is>
      </c>
      <c r="E201" t="inlineStr">
        <is>
          <t>4 mg</t>
        </is>
      </c>
      <c r="F201" t="inlineStr">
        <is>
          <t>IV</t>
        </is>
      </c>
      <c r="G201" t="inlineStr">
        <is>
          <t>Q6H PRN</t>
        </is>
      </c>
      <c r="H201" t="n">
        <v>4</v>
      </c>
      <c r="I201" s="31" t="n">
        <v>0.85</v>
      </c>
    </row>
    <row r="202">
      <c r="A202" t="inlineStr">
        <is>
          <t>RX824035</t>
        </is>
      </c>
      <c r="B202" t="inlineStr">
        <is>
          <t>ENC120268</t>
        </is>
      </c>
      <c r="C202" s="33" t="n">
        <v>45977.80972222222</v>
      </c>
      <c r="D202" t="inlineStr">
        <is>
          <t>Enoxaparin</t>
        </is>
      </c>
      <c r="E202" t="inlineStr">
        <is>
          <t>40 mg</t>
        </is>
      </c>
      <c r="F202" t="inlineStr">
        <is>
          <t>SubQ</t>
        </is>
      </c>
      <c r="G202" t="inlineStr">
        <is>
          <t>Daily</t>
        </is>
      </c>
      <c r="H202" t="n">
        <v>4</v>
      </c>
      <c r="I202" s="31" t="n">
        <v>6.75</v>
      </c>
    </row>
    <row r="203">
      <c r="A203" t="inlineStr">
        <is>
          <t>RX824033</t>
        </is>
      </c>
      <c r="B203" t="inlineStr">
        <is>
          <t>ENC120268</t>
        </is>
      </c>
      <c r="C203" s="33" t="n">
        <v>45977.81597222222</v>
      </c>
      <c r="D203" t="inlineStr">
        <is>
          <t>Azithromycin</t>
        </is>
      </c>
      <c r="E203" t="inlineStr">
        <is>
          <t>500 mg</t>
        </is>
      </c>
      <c r="F203" t="inlineStr">
        <is>
          <t>PO</t>
        </is>
      </c>
      <c r="G203" t="inlineStr">
        <is>
          <t>Daily</t>
        </is>
      </c>
      <c r="H203" t="n">
        <v>4</v>
      </c>
      <c r="I203" s="31" t="n">
        <v>1.1</v>
      </c>
    </row>
    <row r="204">
      <c r="A204" t="inlineStr">
        <is>
          <t>RX824034</t>
        </is>
      </c>
      <c r="B204" t="inlineStr">
        <is>
          <t>ENC120268</t>
        </is>
      </c>
      <c r="C204" s="33" t="n">
        <v>45977.85208333333</v>
      </c>
      <c r="D204" t="inlineStr">
        <is>
          <t>Acetaminophen</t>
        </is>
      </c>
      <c r="E204" t="inlineStr">
        <is>
          <t>650 mg</t>
        </is>
      </c>
      <c r="F204" t="inlineStr">
        <is>
          <t>PO</t>
        </is>
      </c>
      <c r="G204" t="inlineStr">
        <is>
          <t>Q6H PRN</t>
        </is>
      </c>
      <c r="H204" t="n">
        <v>8</v>
      </c>
      <c r="I204" s="31" t="n">
        <v>0.08</v>
      </c>
    </row>
    <row r="205">
      <c r="A205" t="inlineStr">
        <is>
          <t>RX824032</t>
        </is>
      </c>
      <c r="B205" t="inlineStr">
        <is>
          <t>ENC120268</t>
        </is>
      </c>
      <c r="C205" s="33" t="n">
        <v>45977.85277777778</v>
      </c>
      <c r="D205" t="inlineStr">
        <is>
          <t>Ceftriaxone</t>
        </is>
      </c>
      <c r="E205" t="inlineStr">
        <is>
          <t>1 g</t>
        </is>
      </c>
      <c r="F205" t="inlineStr">
        <is>
          <t>IV</t>
        </is>
      </c>
      <c r="G205" t="inlineStr">
        <is>
          <t>Q24H</t>
        </is>
      </c>
      <c r="H205" t="n">
        <v>4</v>
      </c>
      <c r="I205" s="31" t="n">
        <v>3.2</v>
      </c>
    </row>
    <row r="206">
      <c r="A206" t="inlineStr">
        <is>
          <t>RX824142</t>
        </is>
      </c>
      <c r="B206" t="inlineStr">
        <is>
          <t>ENC120363</t>
        </is>
      </c>
      <c r="C206" s="33" t="n">
        <v>45980.04652777778</v>
      </c>
      <c r="D206" t="inlineStr">
        <is>
          <t>Acetaminophen</t>
        </is>
      </c>
      <c r="E206" t="inlineStr">
        <is>
          <t>650 mg</t>
        </is>
      </c>
      <c r="F206" t="inlineStr">
        <is>
          <t>PO</t>
        </is>
      </c>
      <c r="G206" t="inlineStr">
        <is>
          <t>Q6H PRN</t>
        </is>
      </c>
      <c r="H206" t="n">
        <v>14</v>
      </c>
      <c r="I206" s="31" t="n">
        <v>0.08</v>
      </c>
    </row>
    <row r="207">
      <c r="A207" t="inlineStr">
        <is>
          <t>RX824141</t>
        </is>
      </c>
      <c r="B207" t="inlineStr">
        <is>
          <t>ENC120363</t>
        </is>
      </c>
      <c r="C207" s="33" t="n">
        <v>45980.10416666666</v>
      </c>
      <c r="D207" t="inlineStr">
        <is>
          <t>Piperacillin-Tazobactam</t>
        </is>
      </c>
      <c r="E207" t="inlineStr">
        <is>
          <t>4.5 g</t>
        </is>
      </c>
      <c r="F207" t="inlineStr">
        <is>
          <t>IV</t>
        </is>
      </c>
      <c r="G207" t="inlineStr">
        <is>
          <t>Q6H</t>
        </is>
      </c>
      <c r="H207" t="n">
        <v>27</v>
      </c>
      <c r="I207" s="31" t="n">
        <v>14.5</v>
      </c>
    </row>
    <row r="208">
      <c r="A208" t="inlineStr">
        <is>
          <t>RX824182</t>
        </is>
      </c>
      <c r="B208" t="inlineStr">
        <is>
          <t>ENC120395</t>
        </is>
      </c>
      <c r="C208" s="33" t="n">
        <v>45980.82222222222</v>
      </c>
      <c r="D208" t="inlineStr">
        <is>
          <t>Ondansetron</t>
        </is>
      </c>
      <c r="E208" t="inlineStr">
        <is>
          <t>4 mg</t>
        </is>
      </c>
      <c r="F208" t="inlineStr">
        <is>
          <t>IV</t>
        </is>
      </c>
      <c r="G208" t="inlineStr">
        <is>
          <t>Q6H PRN</t>
        </is>
      </c>
      <c r="H208" t="n">
        <v>7</v>
      </c>
      <c r="I208" s="31" t="n">
        <v>0.85</v>
      </c>
    </row>
    <row r="209">
      <c r="A209" t="inlineStr">
        <is>
          <t>RX824183</t>
        </is>
      </c>
      <c r="B209" t="inlineStr">
        <is>
          <t>ENC120395</t>
        </is>
      </c>
      <c r="C209" s="33" t="n">
        <v>45980.84097222222</v>
      </c>
      <c r="D209" t="inlineStr">
        <is>
          <t>Sodium Chloride 0.9%</t>
        </is>
      </c>
      <c r="E209" t="inlineStr">
        <is>
          <t>1000 mL</t>
        </is>
      </c>
      <c r="F209" t="inlineStr">
        <is>
          <t>IV</t>
        </is>
      </c>
      <c r="G209" t="inlineStr">
        <is>
          <t>Continuous</t>
        </is>
      </c>
      <c r="H209" t="n">
        <v>6</v>
      </c>
      <c r="I209" s="31" t="n">
        <v>1.75</v>
      </c>
    </row>
    <row r="210">
      <c r="A210" t="inlineStr">
        <is>
          <t>RX824184</t>
        </is>
      </c>
      <c r="B210" t="inlineStr">
        <is>
          <t>ENC120395</t>
        </is>
      </c>
      <c r="C210" s="33" t="n">
        <v>45980.84513888889</v>
      </c>
      <c r="D210" t="inlineStr">
        <is>
          <t>Acetaminophen</t>
        </is>
      </c>
      <c r="E210" t="inlineStr">
        <is>
          <t>650 mg</t>
        </is>
      </c>
      <c r="F210" t="inlineStr">
        <is>
          <t>PO</t>
        </is>
      </c>
      <c r="G210" t="inlineStr">
        <is>
          <t>Q6H PRN</t>
        </is>
      </c>
      <c r="H210" t="n">
        <v>7</v>
      </c>
      <c r="I210" s="31" t="n">
        <v>0.08</v>
      </c>
    </row>
    <row r="211">
      <c r="A211" t="inlineStr">
        <is>
          <t>RX824181</t>
        </is>
      </c>
      <c r="B211" t="inlineStr">
        <is>
          <t>ENC120395</t>
        </is>
      </c>
      <c r="C211" s="33" t="n">
        <v>45980.92986111111</v>
      </c>
      <c r="D211" t="inlineStr">
        <is>
          <t>Hydromorphone</t>
        </is>
      </c>
      <c r="E211" t="inlineStr">
        <is>
          <t>0.5 mg</t>
        </is>
      </c>
      <c r="F211" t="inlineStr">
        <is>
          <t>IV</t>
        </is>
      </c>
      <c r="G211" t="inlineStr">
        <is>
          <t>Q3H PRN</t>
        </is>
      </c>
      <c r="H211" t="n">
        <v>11</v>
      </c>
      <c r="I211" s="31" t="n">
        <v>2.4</v>
      </c>
    </row>
    <row r="212">
      <c r="A212" t="inlineStr">
        <is>
          <t>RX824215</t>
        </is>
      </c>
      <c r="B212" t="inlineStr">
        <is>
          <t>ENC120424</t>
        </is>
      </c>
      <c r="C212" s="33" t="n">
        <v>45981.70694444444</v>
      </c>
      <c r="D212" t="inlineStr">
        <is>
          <t>Azithromycin</t>
        </is>
      </c>
      <c r="E212" t="inlineStr">
        <is>
          <t>500 mg</t>
        </is>
      </c>
      <c r="F212" t="inlineStr">
        <is>
          <t>PO</t>
        </is>
      </c>
      <c r="G212" t="inlineStr">
        <is>
          <t>Daily</t>
        </is>
      </c>
      <c r="H212" t="n">
        <v>2</v>
      </c>
      <c r="I212" s="31" t="n">
        <v>1.1</v>
      </c>
    </row>
    <row r="213">
      <c r="A213" t="inlineStr">
        <is>
          <t>RX824216</t>
        </is>
      </c>
      <c r="B213" t="inlineStr">
        <is>
          <t>ENC120424</t>
        </is>
      </c>
      <c r="C213" s="33" t="n">
        <v>45981.72986111111</v>
      </c>
      <c r="D213" t="inlineStr">
        <is>
          <t>Acetaminophen</t>
        </is>
      </c>
      <c r="E213" t="inlineStr">
        <is>
          <t>650 mg</t>
        </is>
      </c>
      <c r="F213" t="inlineStr">
        <is>
          <t>PO</t>
        </is>
      </c>
      <c r="G213" t="inlineStr">
        <is>
          <t>Q6H PRN</t>
        </is>
      </c>
      <c r="H213" t="n">
        <v>4</v>
      </c>
      <c r="I213" s="31" t="n">
        <v>0.08</v>
      </c>
    </row>
    <row r="214">
      <c r="A214" t="inlineStr">
        <is>
          <t>RX824217</t>
        </is>
      </c>
      <c r="B214" t="inlineStr">
        <is>
          <t>ENC120424</t>
        </is>
      </c>
      <c r="C214" s="33" t="n">
        <v>45981.74930555555</v>
      </c>
      <c r="D214" t="inlineStr">
        <is>
          <t>Enoxaparin</t>
        </is>
      </c>
      <c r="E214" t="inlineStr">
        <is>
          <t>40 mg</t>
        </is>
      </c>
      <c r="F214" t="inlineStr">
        <is>
          <t>SubQ</t>
        </is>
      </c>
      <c r="G214" t="inlineStr">
        <is>
          <t>Daily</t>
        </is>
      </c>
      <c r="H214" t="n">
        <v>2</v>
      </c>
      <c r="I214" s="31" t="n">
        <v>6.75</v>
      </c>
    </row>
    <row r="215">
      <c r="A215" t="inlineStr">
        <is>
          <t>RX824214</t>
        </is>
      </c>
      <c r="B215" t="inlineStr">
        <is>
          <t>ENC120424</t>
        </is>
      </c>
      <c r="C215" s="33" t="n">
        <v>45981.79166666666</v>
      </c>
      <c r="D215" t="inlineStr">
        <is>
          <t>Ceftriaxone</t>
        </is>
      </c>
      <c r="E215" t="inlineStr">
        <is>
          <t>1 g</t>
        </is>
      </c>
      <c r="F215" t="inlineStr">
        <is>
          <t>IV</t>
        </is>
      </c>
      <c r="G215" t="inlineStr">
        <is>
          <t>Q24H</t>
        </is>
      </c>
      <c r="H215" t="n">
        <v>1</v>
      </c>
      <c r="I215" s="31" t="n">
        <v>3.2</v>
      </c>
    </row>
    <row r="216">
      <c r="A216" t="inlineStr">
        <is>
          <t>RX824243</t>
        </is>
      </c>
      <c r="B216" t="inlineStr">
        <is>
          <t>ENC120445</t>
        </is>
      </c>
      <c r="C216" s="33" t="n">
        <v>45982.37708333333</v>
      </c>
      <c r="D216" t="inlineStr">
        <is>
          <t>Hydromorphone</t>
        </is>
      </c>
      <c r="E216" t="inlineStr">
        <is>
          <t>0.5 mg</t>
        </is>
      </c>
      <c r="F216" t="inlineStr">
        <is>
          <t>IV</t>
        </is>
      </c>
      <c r="G216" t="inlineStr">
        <is>
          <t>Q3H PRN</t>
        </is>
      </c>
      <c r="H216" t="n">
        <v>3</v>
      </c>
      <c r="I216" s="31" t="n">
        <v>2.4</v>
      </c>
    </row>
    <row r="217">
      <c r="A217" t="inlineStr">
        <is>
          <t>RX824244</t>
        </is>
      </c>
      <c r="B217" t="inlineStr">
        <is>
          <t>ENC120445</t>
        </is>
      </c>
      <c r="C217" s="33" t="n">
        <v>45982.425</v>
      </c>
      <c r="D217" t="inlineStr">
        <is>
          <t>Lactated Ringer's</t>
        </is>
      </c>
      <c r="E217" t="inlineStr">
        <is>
          <t>1000 mL</t>
        </is>
      </c>
      <c r="F217" t="inlineStr">
        <is>
          <t>IV</t>
        </is>
      </c>
      <c r="G217" t="inlineStr">
        <is>
          <t>Continuous</t>
        </is>
      </c>
      <c r="H217" t="n">
        <v>2</v>
      </c>
      <c r="I217" s="31" t="n">
        <v>1.9</v>
      </c>
    </row>
    <row r="218">
      <c r="A218" t="inlineStr">
        <is>
          <t>RX824274</t>
        </is>
      </c>
      <c r="B218" t="inlineStr">
        <is>
          <t>ENC120476</t>
        </is>
      </c>
      <c r="C218" s="33" t="n">
        <v>45983.15208333333</v>
      </c>
      <c r="D218" t="inlineStr">
        <is>
          <t>Acetaminophen</t>
        </is>
      </c>
      <c r="E218" t="inlineStr">
        <is>
          <t>650 mg</t>
        </is>
      </c>
      <c r="F218" t="inlineStr">
        <is>
          <t>PO</t>
        </is>
      </c>
      <c r="G218" t="inlineStr">
        <is>
          <t>Q6H PRN</t>
        </is>
      </c>
      <c r="H218" t="n">
        <v>17</v>
      </c>
      <c r="I218" s="31" t="n">
        <v>0.08</v>
      </c>
    </row>
    <row r="219">
      <c r="A219" t="inlineStr">
        <is>
          <t>RX824273</t>
        </is>
      </c>
      <c r="B219" t="inlineStr">
        <is>
          <t>ENC120476</t>
        </is>
      </c>
      <c r="C219" s="33" t="n">
        <v>45983.30833333333</v>
      </c>
      <c r="D219" t="inlineStr">
        <is>
          <t>Ceftriaxone</t>
        </is>
      </c>
      <c r="E219" t="inlineStr">
        <is>
          <t>1 g</t>
        </is>
      </c>
      <c r="F219" t="inlineStr">
        <is>
          <t>IV</t>
        </is>
      </c>
      <c r="G219" t="inlineStr">
        <is>
          <t>Q24H</t>
        </is>
      </c>
      <c r="H219" t="n">
        <v>7</v>
      </c>
      <c r="I219" s="31" t="n">
        <v>3.2</v>
      </c>
    </row>
    <row r="220">
      <c r="A220" t="inlineStr">
        <is>
          <t>RX824295</t>
        </is>
      </c>
      <c r="B220" t="inlineStr">
        <is>
          <t>ENC120490</t>
        </is>
      </c>
      <c r="C220" s="33" t="n">
        <v>45983.96041666667</v>
      </c>
      <c r="D220" t="inlineStr">
        <is>
          <t>Ceftriaxone</t>
        </is>
      </c>
      <c r="E220" t="inlineStr">
        <is>
          <t>1 g</t>
        </is>
      </c>
      <c r="F220" t="inlineStr">
        <is>
          <t>IV</t>
        </is>
      </c>
      <c r="G220" t="inlineStr">
        <is>
          <t>Q24H</t>
        </is>
      </c>
      <c r="H220" t="n">
        <v>6</v>
      </c>
      <c r="I220" s="31" t="n">
        <v>3.2</v>
      </c>
    </row>
    <row r="221">
      <c r="A221" t="inlineStr">
        <is>
          <t>RX824296</t>
        </is>
      </c>
      <c r="B221" t="inlineStr">
        <is>
          <t>ENC120490</t>
        </is>
      </c>
      <c r="C221" s="33" t="n">
        <v>45984.01388888889</v>
      </c>
      <c r="D221" t="inlineStr">
        <is>
          <t>Cephalexin</t>
        </is>
      </c>
      <c r="E221" t="inlineStr">
        <is>
          <t>500 mg</t>
        </is>
      </c>
      <c r="F221" t="inlineStr">
        <is>
          <t>PO</t>
        </is>
      </c>
      <c r="G221" t="inlineStr">
        <is>
          <t>Q6H</t>
        </is>
      </c>
      <c r="H221" t="n">
        <v>17</v>
      </c>
      <c r="I221" s="31" t="n">
        <v>0.45</v>
      </c>
    </row>
    <row r="222">
      <c r="A222" t="inlineStr">
        <is>
          <t>RX824297</t>
        </is>
      </c>
      <c r="B222" t="inlineStr">
        <is>
          <t>ENC120490</t>
        </is>
      </c>
      <c r="C222" s="33" t="n">
        <v>45984.14791666667</v>
      </c>
      <c r="D222" t="inlineStr">
        <is>
          <t>Heparin</t>
        </is>
      </c>
      <c r="E222" t="inlineStr">
        <is>
          <t>5000 units</t>
        </is>
      </c>
      <c r="F222" t="inlineStr">
        <is>
          <t>SubQ</t>
        </is>
      </c>
      <c r="G222" t="inlineStr">
        <is>
          <t>Q8H</t>
        </is>
      </c>
      <c r="H222" t="n">
        <v>12</v>
      </c>
      <c r="I222" s="31" t="n">
        <v>1.6</v>
      </c>
    </row>
    <row r="223">
      <c r="A223" t="inlineStr">
        <is>
          <t>RX824319</t>
        </is>
      </c>
      <c r="B223" t="inlineStr">
        <is>
          <t>ENC120504</t>
        </is>
      </c>
      <c r="C223" s="33" t="n">
        <v>45984.77291666667</v>
      </c>
      <c r="D223" t="inlineStr">
        <is>
          <t>Ceftriaxone</t>
        </is>
      </c>
      <c r="E223" t="inlineStr">
        <is>
          <t>1 g</t>
        </is>
      </c>
      <c r="F223" t="inlineStr">
        <is>
          <t>IV</t>
        </is>
      </c>
      <c r="G223" t="inlineStr">
        <is>
          <t>Q24H</t>
        </is>
      </c>
      <c r="H223" t="n">
        <v>2</v>
      </c>
      <c r="I223" s="31" t="n">
        <v>3.2</v>
      </c>
    </row>
    <row r="224">
      <c r="A224" t="inlineStr">
        <is>
          <t>RX824321</t>
        </is>
      </c>
      <c r="B224" t="inlineStr">
        <is>
          <t>ENC120504</t>
        </is>
      </c>
      <c r="C224" s="33" t="n">
        <v>45984.86805555555</v>
      </c>
      <c r="D224" t="inlineStr">
        <is>
          <t>Acetaminophen</t>
        </is>
      </c>
      <c r="E224" t="inlineStr">
        <is>
          <t>650 mg</t>
        </is>
      </c>
      <c r="F224" t="inlineStr">
        <is>
          <t>PO</t>
        </is>
      </c>
      <c r="G224" t="inlineStr">
        <is>
          <t>Q6H PRN</t>
        </is>
      </c>
      <c r="H224" t="n">
        <v>4</v>
      </c>
      <c r="I224" s="31" t="n">
        <v>0.08</v>
      </c>
    </row>
    <row r="225">
      <c r="A225" t="inlineStr">
        <is>
          <t>RX824322</t>
        </is>
      </c>
      <c r="B225" t="inlineStr">
        <is>
          <t>ENC120504</t>
        </is>
      </c>
      <c r="C225" s="33" t="n">
        <v>45984.87986111111</v>
      </c>
      <c r="D225" t="inlineStr">
        <is>
          <t>Enoxaparin</t>
        </is>
      </c>
      <c r="E225" t="inlineStr">
        <is>
          <t>40 mg</t>
        </is>
      </c>
      <c r="F225" t="inlineStr">
        <is>
          <t>SubQ</t>
        </is>
      </c>
      <c r="G225" t="inlineStr">
        <is>
          <t>Daily</t>
        </is>
      </c>
      <c r="H225" t="n">
        <v>3</v>
      </c>
      <c r="I225" s="31" t="n">
        <v>6.75</v>
      </c>
    </row>
    <row r="226">
      <c r="A226" t="inlineStr">
        <is>
          <t>RX824320</t>
        </is>
      </c>
      <c r="B226" t="inlineStr">
        <is>
          <t>ENC120504</t>
        </is>
      </c>
      <c r="C226" s="33" t="n">
        <v>45984.91041666667</v>
      </c>
      <c r="D226" t="inlineStr">
        <is>
          <t>Azithromycin</t>
        </is>
      </c>
      <c r="E226" t="inlineStr">
        <is>
          <t>500 mg</t>
        </is>
      </c>
      <c r="F226" t="inlineStr">
        <is>
          <t>PO</t>
        </is>
      </c>
      <c r="G226" t="inlineStr">
        <is>
          <t>Daily</t>
        </is>
      </c>
      <c r="H226" t="n">
        <v>3</v>
      </c>
      <c r="I226" s="31" t="n">
        <v>1.1</v>
      </c>
    </row>
    <row r="227">
      <c r="A227" t="inlineStr">
        <is>
          <t>RX824341</t>
        </is>
      </c>
      <c r="B227" t="inlineStr">
        <is>
          <t>ENC120519</t>
        </is>
      </c>
      <c r="C227" s="33" t="n">
        <v>45985.36875</v>
      </c>
      <c r="D227" t="inlineStr">
        <is>
          <t>Lactated Ringer's</t>
        </is>
      </c>
      <c r="E227" t="inlineStr">
        <is>
          <t>1000 mL</t>
        </is>
      </c>
      <c r="F227" t="inlineStr">
        <is>
          <t>IV</t>
        </is>
      </c>
      <c r="G227" t="inlineStr">
        <is>
          <t>Continuous</t>
        </is>
      </c>
      <c r="H227" t="n">
        <v>5</v>
      </c>
      <c r="I227" s="31" t="n">
        <v>1.9</v>
      </c>
    </row>
    <row r="228">
      <c r="A228" t="inlineStr">
        <is>
          <t>RX824392</t>
        </is>
      </c>
      <c r="B228" t="inlineStr">
        <is>
          <t>ENC120573</t>
        </is>
      </c>
      <c r="C228" s="33" t="n">
        <v>45986.83958333333</v>
      </c>
      <c r="D228" t="inlineStr">
        <is>
          <t>Ceftriaxone</t>
        </is>
      </c>
      <c r="E228" t="inlineStr">
        <is>
          <t>1 g</t>
        </is>
      </c>
      <c r="F228" t="inlineStr">
        <is>
          <t>IV</t>
        </is>
      </c>
      <c r="G228" t="inlineStr">
        <is>
          <t>Q24H</t>
        </is>
      </c>
      <c r="H228" t="n">
        <v>2</v>
      </c>
      <c r="I228" s="31" t="n">
        <v>3.2</v>
      </c>
    </row>
    <row r="229">
      <c r="A229" t="inlineStr">
        <is>
          <t>RX824394</t>
        </is>
      </c>
      <c r="B229" t="inlineStr">
        <is>
          <t>ENC120573</t>
        </is>
      </c>
      <c r="C229" s="33" t="n">
        <v>45986.84791666667</v>
      </c>
      <c r="D229" t="inlineStr">
        <is>
          <t>Acetaminophen</t>
        </is>
      </c>
      <c r="E229" t="inlineStr">
        <is>
          <t>650 mg</t>
        </is>
      </c>
      <c r="F229" t="inlineStr">
        <is>
          <t>PO</t>
        </is>
      </c>
      <c r="G229" t="inlineStr">
        <is>
          <t>Q6H PRN</t>
        </is>
      </c>
      <c r="H229" t="n">
        <v>5</v>
      </c>
      <c r="I229" s="31" t="n">
        <v>0.08</v>
      </c>
    </row>
    <row r="230">
      <c r="A230" t="inlineStr">
        <is>
          <t>RX824393</t>
        </is>
      </c>
      <c r="B230" t="inlineStr">
        <is>
          <t>ENC120573</t>
        </is>
      </c>
      <c r="C230" s="33" t="n">
        <v>45986.87430555555</v>
      </c>
      <c r="D230" t="inlineStr">
        <is>
          <t>Azithromycin</t>
        </is>
      </c>
      <c r="E230" t="inlineStr">
        <is>
          <t>500 mg</t>
        </is>
      </c>
      <c r="F230" t="inlineStr">
        <is>
          <t>PO</t>
        </is>
      </c>
      <c r="G230" t="inlineStr">
        <is>
          <t>Daily</t>
        </is>
      </c>
      <c r="H230" t="n">
        <v>3</v>
      </c>
      <c r="I230" s="31" t="n">
        <v>1.1</v>
      </c>
    </row>
    <row r="231">
      <c r="A231" t="inlineStr">
        <is>
          <t>RX824395</t>
        </is>
      </c>
      <c r="B231" t="inlineStr">
        <is>
          <t>ENC120573</t>
        </is>
      </c>
      <c r="C231" s="33" t="n">
        <v>45986.89722222222</v>
      </c>
      <c r="D231" t="inlineStr">
        <is>
          <t>Enoxaparin</t>
        </is>
      </c>
      <c r="E231" t="inlineStr">
        <is>
          <t>40 mg</t>
        </is>
      </c>
      <c r="F231" t="inlineStr">
        <is>
          <t>SubQ</t>
        </is>
      </c>
      <c r="G231" t="inlineStr">
        <is>
          <t>Daily</t>
        </is>
      </c>
      <c r="H231" t="n">
        <v>2</v>
      </c>
      <c r="I231" s="31" t="n">
        <v>6.75</v>
      </c>
    </row>
    <row r="232">
      <c r="A232" t="inlineStr">
        <is>
          <t>RX824421</t>
        </is>
      </c>
      <c r="B232" t="inlineStr">
        <is>
          <t>ENC120602</t>
        </is>
      </c>
      <c r="C232" s="33" t="n">
        <v>45987.79166666666</v>
      </c>
      <c r="D232" t="inlineStr">
        <is>
          <t>Ceftriaxone</t>
        </is>
      </c>
      <c r="E232" t="inlineStr">
        <is>
          <t>1 g</t>
        </is>
      </c>
      <c r="F232" t="inlineStr">
        <is>
          <t>IV</t>
        </is>
      </c>
      <c r="G232" t="inlineStr">
        <is>
          <t>Q24H</t>
        </is>
      </c>
      <c r="H232" t="n">
        <v>3</v>
      </c>
      <c r="I232" s="31" t="n">
        <v>3.2</v>
      </c>
    </row>
    <row r="233">
      <c r="A233" t="inlineStr">
        <is>
          <t>RX824424</t>
        </is>
      </c>
      <c r="B233" t="inlineStr">
        <is>
          <t>ENC120602</t>
        </is>
      </c>
      <c r="C233" s="33" t="n">
        <v>45987.85486111111</v>
      </c>
      <c r="D233" t="inlineStr">
        <is>
          <t>Enoxaparin</t>
        </is>
      </c>
      <c r="E233" t="inlineStr">
        <is>
          <t>40 mg</t>
        </is>
      </c>
      <c r="F233" t="inlineStr">
        <is>
          <t>SubQ</t>
        </is>
      </c>
      <c r="G233" t="inlineStr">
        <is>
          <t>Daily</t>
        </is>
      </c>
      <c r="H233" t="n">
        <v>3</v>
      </c>
      <c r="I233" s="31" t="n">
        <v>6.75</v>
      </c>
    </row>
    <row r="234">
      <c r="A234" t="inlineStr">
        <is>
          <t>RX824422</t>
        </is>
      </c>
      <c r="B234" t="inlineStr">
        <is>
          <t>ENC120602</t>
        </is>
      </c>
      <c r="C234" s="33" t="n">
        <v>45987.90416666667</v>
      </c>
      <c r="D234" t="inlineStr">
        <is>
          <t>Azithromycin</t>
        </is>
      </c>
      <c r="E234" t="inlineStr">
        <is>
          <t>500 mg</t>
        </is>
      </c>
      <c r="F234" t="inlineStr">
        <is>
          <t>PO</t>
        </is>
      </c>
      <c r="G234" t="inlineStr">
        <is>
          <t>Daily</t>
        </is>
      </c>
      <c r="H234" t="n">
        <v>2</v>
      </c>
      <c r="I234" s="31" t="n">
        <v>1.1</v>
      </c>
    </row>
    <row r="235">
      <c r="A235" t="inlineStr">
        <is>
          <t>RX824423</t>
        </is>
      </c>
      <c r="B235" t="inlineStr">
        <is>
          <t>ENC120602</t>
        </is>
      </c>
      <c r="C235" s="33" t="n">
        <v>45987.975</v>
      </c>
      <c r="D235" t="inlineStr">
        <is>
          <t>Acetaminophen</t>
        </is>
      </c>
      <c r="E235" t="inlineStr">
        <is>
          <t>650 mg</t>
        </is>
      </c>
      <c r="F235" t="inlineStr">
        <is>
          <t>PO</t>
        </is>
      </c>
      <c r="G235" t="inlineStr">
        <is>
          <t>Q6H PRN</t>
        </is>
      </c>
      <c r="H235" t="n">
        <v>5</v>
      </c>
      <c r="I235" s="31" t="n">
        <v>0.08</v>
      </c>
    </row>
    <row r="236">
      <c r="A236" t="inlineStr">
        <is>
          <t>RX824472</t>
        </is>
      </c>
      <c r="B236" t="inlineStr">
        <is>
          <t>ENC120643</t>
        </is>
      </c>
      <c r="C236" s="33" t="n">
        <v>45988.97361111111</v>
      </c>
      <c r="D236" t="inlineStr">
        <is>
          <t>Enoxaparin</t>
        </is>
      </c>
      <c r="E236" t="inlineStr">
        <is>
          <t>40 mg</t>
        </is>
      </c>
      <c r="F236" t="inlineStr">
        <is>
          <t>SubQ</t>
        </is>
      </c>
      <c r="G236" t="inlineStr">
        <is>
          <t>Daily</t>
        </is>
      </c>
      <c r="H236" t="n">
        <v>3</v>
      </c>
      <c r="I236" s="31" t="n">
        <v>6.75</v>
      </c>
    </row>
    <row r="237">
      <c r="A237" t="inlineStr">
        <is>
          <t>RX824467</t>
        </is>
      </c>
      <c r="B237" t="inlineStr">
        <is>
          <t>ENC120640</t>
        </is>
      </c>
      <c r="C237" s="33" t="n">
        <v>45988.98819444444</v>
      </c>
      <c r="D237" t="inlineStr">
        <is>
          <t>Acetaminophen</t>
        </is>
      </c>
      <c r="E237" t="inlineStr">
        <is>
          <t>650 mg</t>
        </is>
      </c>
      <c r="F237" t="inlineStr">
        <is>
          <t>PO</t>
        </is>
      </c>
      <c r="G237" t="inlineStr">
        <is>
          <t>Q6H PRN</t>
        </is>
      </c>
      <c r="H237" t="n">
        <v>4</v>
      </c>
      <c r="I237" s="31" t="n">
        <v>0.08</v>
      </c>
    </row>
    <row r="238">
      <c r="A238" t="inlineStr">
        <is>
          <t>RX824466</t>
        </is>
      </c>
      <c r="B238" t="inlineStr">
        <is>
          <t>ENC120640</t>
        </is>
      </c>
      <c r="C238" s="33" t="n">
        <v>45989.02916666667</v>
      </c>
      <c r="D238" t="inlineStr">
        <is>
          <t>Enoxaparin</t>
        </is>
      </c>
      <c r="E238" t="inlineStr">
        <is>
          <t>40 mg</t>
        </is>
      </c>
      <c r="F238" t="inlineStr">
        <is>
          <t>SubQ</t>
        </is>
      </c>
      <c r="G238" t="inlineStr">
        <is>
          <t>Daily</t>
        </is>
      </c>
      <c r="H238" t="n">
        <v>2</v>
      </c>
      <c r="I238" s="31" t="n">
        <v>6.75</v>
      </c>
    </row>
    <row r="239">
      <c r="A239" t="inlineStr">
        <is>
          <t>RX824470</t>
        </is>
      </c>
      <c r="B239" t="inlineStr">
        <is>
          <t>ENC120643</t>
        </is>
      </c>
      <c r="C239" s="33" t="n">
        <v>45989.15972222222</v>
      </c>
      <c r="D239" t="inlineStr">
        <is>
          <t>Azithromycin</t>
        </is>
      </c>
      <c r="E239" t="inlineStr">
        <is>
          <t>500 mg</t>
        </is>
      </c>
      <c r="F239" t="inlineStr">
        <is>
          <t>PO</t>
        </is>
      </c>
      <c r="G239" t="inlineStr">
        <is>
          <t>Daily</t>
        </is>
      </c>
      <c r="H239" t="n">
        <v>2</v>
      </c>
      <c r="I239" s="31" t="n">
        <v>1.1</v>
      </c>
    </row>
    <row r="240">
      <c r="A240" t="inlineStr">
        <is>
          <t>RX824471</t>
        </is>
      </c>
      <c r="B240" t="inlineStr">
        <is>
          <t>ENC120643</t>
        </is>
      </c>
      <c r="C240" s="33" t="n">
        <v>45989.16666666666</v>
      </c>
      <c r="D240" t="inlineStr">
        <is>
          <t>Acetaminophen</t>
        </is>
      </c>
      <c r="E240" t="inlineStr">
        <is>
          <t>650 mg</t>
        </is>
      </c>
      <c r="F240" t="inlineStr">
        <is>
          <t>PO</t>
        </is>
      </c>
      <c r="G240" t="inlineStr">
        <is>
          <t>Q6H PRN</t>
        </is>
      </c>
      <c r="H240" t="n">
        <v>4</v>
      </c>
      <c r="I240" s="31" t="n">
        <v>0.08</v>
      </c>
    </row>
    <row r="241">
      <c r="A241" t="inlineStr">
        <is>
          <t>RX824469</t>
        </is>
      </c>
      <c r="B241" t="inlineStr">
        <is>
          <t>ENC120643</t>
        </is>
      </c>
      <c r="C241" s="33" t="n">
        <v>45989.175</v>
      </c>
      <c r="D241" t="inlineStr">
        <is>
          <t>Ceftriaxone</t>
        </is>
      </c>
      <c r="E241" t="inlineStr">
        <is>
          <t>1 g</t>
        </is>
      </c>
      <c r="F241" t="inlineStr">
        <is>
          <t>IV</t>
        </is>
      </c>
      <c r="G241" t="inlineStr">
        <is>
          <t>Q24H</t>
        </is>
      </c>
      <c r="H241" t="n">
        <v>2</v>
      </c>
      <c r="I241" s="31" t="n">
        <v>3.2</v>
      </c>
    </row>
    <row r="242">
      <c r="A242" t="inlineStr">
        <is>
          <t>RX824465</t>
        </is>
      </c>
      <c r="B242" t="inlineStr">
        <is>
          <t>ENC120640</t>
        </is>
      </c>
      <c r="C242" s="33" t="n">
        <v>45989.19652777778</v>
      </c>
      <c r="D242" t="inlineStr">
        <is>
          <t>Ceftriaxone</t>
        </is>
      </c>
      <c r="E242" t="inlineStr">
        <is>
          <t>1 g</t>
        </is>
      </c>
      <c r="F242" t="inlineStr">
        <is>
          <t>IV</t>
        </is>
      </c>
      <c r="G242" t="inlineStr">
        <is>
          <t>Q24H</t>
        </is>
      </c>
      <c r="H242" t="n">
        <v>2</v>
      </c>
      <c r="I242" s="31" t="n">
        <v>3.2</v>
      </c>
    </row>
    <row r="243">
      <c r="A243" t="inlineStr">
        <is>
          <t>RX824515</t>
        </is>
      </c>
      <c r="B243" t="inlineStr">
        <is>
          <t>ENC120682</t>
        </is>
      </c>
      <c r="C243" s="33" t="n">
        <v>45989.84791666667</v>
      </c>
      <c r="D243" t="inlineStr">
        <is>
          <t>Lactated Ringer's</t>
        </is>
      </c>
      <c r="E243" t="inlineStr">
        <is>
          <t>1000 mL</t>
        </is>
      </c>
      <c r="F243" t="inlineStr">
        <is>
          <t>IV</t>
        </is>
      </c>
      <c r="G243" t="inlineStr">
        <is>
          <t>Continuous</t>
        </is>
      </c>
      <c r="H243" t="n">
        <v>6</v>
      </c>
      <c r="I243" s="31" t="n">
        <v>1.9</v>
      </c>
    </row>
    <row r="244">
      <c r="A244" t="inlineStr">
        <is>
          <t>RX824513</t>
        </is>
      </c>
      <c r="B244" t="inlineStr">
        <is>
          <t>ENC120682</t>
        </is>
      </c>
      <c r="C244" s="33" t="n">
        <v>45989.94166666667</v>
      </c>
      <c r="D244" t="inlineStr">
        <is>
          <t>Piperacillin-Tazobactam</t>
        </is>
      </c>
      <c r="E244" t="inlineStr">
        <is>
          <t>4.5 g</t>
        </is>
      </c>
      <c r="F244" t="inlineStr">
        <is>
          <t>IV</t>
        </is>
      </c>
      <c r="G244" t="inlineStr">
        <is>
          <t>Q6H</t>
        </is>
      </c>
      <c r="H244" t="n">
        <v>12</v>
      </c>
      <c r="I244" s="31" t="n">
        <v>14.5</v>
      </c>
    </row>
    <row r="245">
      <c r="A245" t="inlineStr">
        <is>
          <t>RX824524</t>
        </is>
      </c>
      <c r="B245" t="inlineStr">
        <is>
          <t>ENC120685</t>
        </is>
      </c>
      <c r="C245" s="33" t="n">
        <v>45989.95347222222</v>
      </c>
      <c r="D245" t="inlineStr">
        <is>
          <t>Prednisone</t>
        </is>
      </c>
      <c r="E245" t="inlineStr">
        <is>
          <t>40 mg</t>
        </is>
      </c>
      <c r="F245" t="inlineStr">
        <is>
          <t>PO</t>
        </is>
      </c>
      <c r="G245" t="inlineStr">
        <is>
          <t>Daily</t>
        </is>
      </c>
      <c r="H245" t="n">
        <v>4</v>
      </c>
      <c r="I245" s="31" t="n">
        <v>0.2</v>
      </c>
    </row>
    <row r="246">
      <c r="A246" t="inlineStr">
        <is>
          <t>RX824522</t>
        </is>
      </c>
      <c r="B246" t="inlineStr">
        <is>
          <t>ENC120685</t>
        </is>
      </c>
      <c r="C246" s="33" t="n">
        <v>45989.97638888889</v>
      </c>
      <c r="D246" t="inlineStr">
        <is>
          <t>Ipratropium-Albuterol</t>
        </is>
      </c>
      <c r="E246" t="inlineStr">
        <is>
          <t>3 mL</t>
        </is>
      </c>
      <c r="F246" t="inlineStr">
        <is>
          <t>Inhaled</t>
        </is>
      </c>
      <c r="G246" t="inlineStr">
        <is>
          <t>Q6H</t>
        </is>
      </c>
      <c r="H246" t="n">
        <v>18</v>
      </c>
      <c r="I246" s="31" t="n">
        <v>1.05</v>
      </c>
    </row>
    <row r="247">
      <c r="A247" t="inlineStr">
        <is>
          <t>RX824514</t>
        </is>
      </c>
      <c r="B247" t="inlineStr">
        <is>
          <t>ENC120682</t>
        </is>
      </c>
      <c r="C247" s="33" t="n">
        <v>45990.02291666667</v>
      </c>
      <c r="D247" t="inlineStr">
        <is>
          <t>Ondansetron</t>
        </is>
      </c>
      <c r="E247" t="inlineStr">
        <is>
          <t>4 mg</t>
        </is>
      </c>
      <c r="F247" t="inlineStr">
        <is>
          <t>IV</t>
        </is>
      </c>
      <c r="G247" t="inlineStr">
        <is>
          <t>Q6H PRN</t>
        </is>
      </c>
      <c r="H247" t="n">
        <v>6</v>
      </c>
      <c r="I247" s="31" t="n">
        <v>0.85</v>
      </c>
    </row>
    <row r="248">
      <c r="A248" t="inlineStr">
        <is>
          <t>RX824516</t>
        </is>
      </c>
      <c r="B248" t="inlineStr">
        <is>
          <t>ENC120682</t>
        </is>
      </c>
      <c r="C248" s="33" t="n">
        <v>45990.04236111111</v>
      </c>
      <c r="D248" t="inlineStr">
        <is>
          <t>Heparin</t>
        </is>
      </c>
      <c r="E248" t="inlineStr">
        <is>
          <t>5000 units</t>
        </is>
      </c>
      <c r="F248" t="inlineStr">
        <is>
          <t>SubQ</t>
        </is>
      </c>
      <c r="G248" t="inlineStr">
        <is>
          <t>Q8H</t>
        </is>
      </c>
      <c r="H248" t="n">
        <v>8</v>
      </c>
      <c r="I248" s="31" t="n">
        <v>1.6</v>
      </c>
    </row>
    <row r="249">
      <c r="A249" t="inlineStr">
        <is>
          <t>RX824523</t>
        </is>
      </c>
      <c r="B249" t="inlineStr">
        <is>
          <t>ENC120685</t>
        </is>
      </c>
      <c r="C249" s="33" t="n">
        <v>45990.05902777778</v>
      </c>
      <c r="D249" t="inlineStr">
        <is>
          <t>Methylprednisolone</t>
        </is>
      </c>
      <c r="E249" t="inlineStr">
        <is>
          <t>40 mg</t>
        </is>
      </c>
      <c r="F249" t="inlineStr">
        <is>
          <t>IV</t>
        </is>
      </c>
      <c r="G249" t="inlineStr">
        <is>
          <t>Q8H</t>
        </is>
      </c>
      <c r="H249" t="n">
        <v>14</v>
      </c>
      <c r="I249" s="31" t="n">
        <v>3.9</v>
      </c>
    </row>
    <row r="250">
      <c r="A250" t="inlineStr">
        <is>
          <t>RX824527</t>
        </is>
      </c>
      <c r="B250" t="inlineStr">
        <is>
          <t>ENC120688</t>
        </is>
      </c>
      <c r="C250" s="33" t="n">
        <v>45990.09236111111</v>
      </c>
      <c r="D250" t="inlineStr">
        <is>
          <t>Ipratropium-Albuterol</t>
        </is>
      </c>
      <c r="E250" t="inlineStr">
        <is>
          <t>3 mL</t>
        </is>
      </c>
      <c r="F250" t="inlineStr">
        <is>
          <t>Inhaled</t>
        </is>
      </c>
      <c r="G250" t="inlineStr">
        <is>
          <t>Q6H</t>
        </is>
      </c>
      <c r="H250" t="n">
        <v>18</v>
      </c>
      <c r="I250" s="31" t="n">
        <v>1.05</v>
      </c>
    </row>
    <row r="251">
      <c r="A251" t="inlineStr">
        <is>
          <t>RX824528</t>
        </is>
      </c>
      <c r="B251" t="inlineStr">
        <is>
          <t>ENC120688</t>
        </is>
      </c>
      <c r="C251" s="33" t="n">
        <v>45990.17916666667</v>
      </c>
      <c r="D251" t="inlineStr">
        <is>
          <t>Azithromycin</t>
        </is>
      </c>
      <c r="E251" t="inlineStr">
        <is>
          <t>500 mg</t>
        </is>
      </c>
      <c r="F251" t="inlineStr">
        <is>
          <t>PO</t>
        </is>
      </c>
      <c r="G251" t="inlineStr">
        <is>
          <t>Daily</t>
        </is>
      </c>
      <c r="H251" t="n">
        <v>5</v>
      </c>
      <c r="I251" s="31" t="n">
        <v>1.1</v>
      </c>
    </row>
    <row r="252">
      <c r="A252" t="inlineStr">
        <is>
          <t>RX824529</t>
        </is>
      </c>
      <c r="B252" t="inlineStr">
        <is>
          <t>ENC120688</t>
        </is>
      </c>
      <c r="C252" s="33" t="n">
        <v>45990.18402777778</v>
      </c>
      <c r="D252" t="inlineStr">
        <is>
          <t>Enoxaparin</t>
        </is>
      </c>
      <c r="E252" t="inlineStr">
        <is>
          <t>40 mg</t>
        </is>
      </c>
      <c r="F252" t="inlineStr">
        <is>
          <t>SubQ</t>
        </is>
      </c>
      <c r="G252" t="inlineStr">
        <is>
          <t>Daily</t>
        </is>
      </c>
      <c r="H252" t="n">
        <v>4</v>
      </c>
      <c r="I252" s="31" t="n">
        <v>6.75</v>
      </c>
    </row>
    <row r="253">
      <c r="A253" t="inlineStr">
        <is>
          <t>RX824602</t>
        </is>
      </c>
      <c r="B253" t="inlineStr">
        <is>
          <t>ENC120727</t>
        </is>
      </c>
      <c r="C253" s="33" t="n">
        <v>45991.80694444444</v>
      </c>
      <c r="D253" t="inlineStr">
        <is>
          <t>Ceftriaxone</t>
        </is>
      </c>
      <c r="E253" t="inlineStr">
        <is>
          <t>1 g</t>
        </is>
      </c>
      <c r="F253" t="inlineStr">
        <is>
          <t>IV</t>
        </is>
      </c>
      <c r="G253" t="inlineStr">
        <is>
          <t>Q24H</t>
        </is>
      </c>
      <c r="H253" t="n">
        <v>12</v>
      </c>
      <c r="I253" s="31" t="n">
        <v>3.2</v>
      </c>
    </row>
    <row r="254">
      <c r="A254" t="inlineStr">
        <is>
          <t>RX824600</t>
        </is>
      </c>
      <c r="B254" t="inlineStr">
        <is>
          <t>ENC120727</t>
        </is>
      </c>
      <c r="C254" s="33" t="n">
        <v>45991.8375</v>
      </c>
      <c r="D254" t="inlineStr">
        <is>
          <t>Piperacillin-Tazobactam</t>
        </is>
      </c>
      <c r="E254" t="inlineStr">
        <is>
          <t>4.5 g</t>
        </is>
      </c>
      <c r="F254" t="inlineStr">
        <is>
          <t>IV</t>
        </is>
      </c>
      <c r="G254" t="inlineStr">
        <is>
          <t>Q6H</t>
        </is>
      </c>
      <c r="H254" t="n">
        <v>47</v>
      </c>
      <c r="I254" s="31" t="n">
        <v>14.5</v>
      </c>
    </row>
    <row r="255">
      <c r="A255" t="inlineStr">
        <is>
          <t>RX824601</t>
        </is>
      </c>
      <c r="B255" t="inlineStr">
        <is>
          <t>ENC120727</t>
        </is>
      </c>
      <c r="C255" s="33" t="n">
        <v>45991.86180555556</v>
      </c>
      <c r="D255" t="inlineStr">
        <is>
          <t>Vancomycin</t>
        </is>
      </c>
      <c r="E255" t="inlineStr">
        <is>
          <t>1250 mg</t>
        </is>
      </c>
      <c r="F255" t="inlineStr">
        <is>
          <t>IV</t>
        </is>
      </c>
      <c r="G255" t="inlineStr">
        <is>
          <t>Q12H</t>
        </is>
      </c>
      <c r="H255" t="n">
        <v>24</v>
      </c>
      <c r="I255" s="31" t="n">
        <v>9.800000000000001</v>
      </c>
    </row>
    <row r="256">
      <c r="A256" t="inlineStr">
        <is>
          <t>RX824597</t>
        </is>
      </c>
      <c r="B256" t="inlineStr">
        <is>
          <t>ENC120726</t>
        </is>
      </c>
      <c r="C256" s="33" t="n">
        <v>45991.9375</v>
      </c>
      <c r="D256" t="inlineStr">
        <is>
          <t>Azithromycin</t>
        </is>
      </c>
      <c r="E256" t="inlineStr">
        <is>
          <t>500 mg</t>
        </is>
      </c>
      <c r="F256" t="inlineStr">
        <is>
          <t>PO</t>
        </is>
      </c>
      <c r="G256" t="inlineStr">
        <is>
          <t>Daily</t>
        </is>
      </c>
      <c r="H256" t="n">
        <v>3</v>
      </c>
      <c r="I256" s="31" t="n">
        <v>1.1</v>
      </c>
    </row>
    <row r="257">
      <c r="A257" t="inlineStr">
        <is>
          <t>RX824604</t>
        </is>
      </c>
      <c r="B257" t="inlineStr">
        <is>
          <t>ENC120727</t>
        </is>
      </c>
      <c r="C257" s="33" t="n">
        <v>45991.94583333333</v>
      </c>
      <c r="D257" t="inlineStr">
        <is>
          <t>Heparin</t>
        </is>
      </c>
      <c r="E257" t="inlineStr">
        <is>
          <t>5000 units</t>
        </is>
      </c>
      <c r="F257" t="inlineStr">
        <is>
          <t>SubQ</t>
        </is>
      </c>
      <c r="G257" t="inlineStr">
        <is>
          <t>Q8H</t>
        </is>
      </c>
      <c r="H257" t="n">
        <v>29</v>
      </c>
      <c r="I257" s="31" t="n">
        <v>1.6</v>
      </c>
    </row>
    <row r="258">
      <c r="A258" t="inlineStr">
        <is>
          <t>RX824596</t>
        </is>
      </c>
      <c r="B258" t="inlineStr">
        <is>
          <t>ENC120726</t>
        </is>
      </c>
      <c r="C258" s="33" t="n">
        <v>45991.99027777778</v>
      </c>
      <c r="D258" t="inlineStr">
        <is>
          <t>Ceftriaxone</t>
        </is>
      </c>
      <c r="E258" t="inlineStr">
        <is>
          <t>1 g</t>
        </is>
      </c>
      <c r="F258" t="inlineStr">
        <is>
          <t>IV</t>
        </is>
      </c>
      <c r="G258" t="inlineStr">
        <is>
          <t>Q24H</t>
        </is>
      </c>
      <c r="H258" t="n">
        <v>3</v>
      </c>
      <c r="I258" s="31" t="n">
        <v>3.2</v>
      </c>
    </row>
    <row r="259">
      <c r="A259" t="inlineStr">
        <is>
          <t>RX824599</t>
        </is>
      </c>
      <c r="B259" t="inlineStr">
        <is>
          <t>ENC120726</t>
        </is>
      </c>
      <c r="C259" s="33" t="n">
        <v>45992.00625</v>
      </c>
      <c r="D259" t="inlineStr">
        <is>
          <t>Enoxaparin</t>
        </is>
      </c>
      <c r="E259" t="inlineStr">
        <is>
          <t>40 mg</t>
        </is>
      </c>
      <c r="F259" t="inlineStr">
        <is>
          <t>SubQ</t>
        </is>
      </c>
      <c r="G259" t="inlineStr">
        <is>
          <t>Daily</t>
        </is>
      </c>
      <c r="H259" t="n">
        <v>3</v>
      </c>
      <c r="I259" s="31" t="n">
        <v>6.75</v>
      </c>
    </row>
    <row r="260">
      <c r="A260" t="inlineStr">
        <is>
          <t>RX824603</t>
        </is>
      </c>
      <c r="B260" t="inlineStr">
        <is>
          <t>ENC120727</t>
        </is>
      </c>
      <c r="C260" s="33" t="n">
        <v>45992.01111111111</v>
      </c>
      <c r="D260" t="inlineStr">
        <is>
          <t>Lactated Ringer's</t>
        </is>
      </c>
      <c r="E260" t="inlineStr">
        <is>
          <t>1000 mL</t>
        </is>
      </c>
      <c r="F260" t="inlineStr">
        <is>
          <t>IV</t>
        </is>
      </c>
      <c r="G260" t="inlineStr">
        <is>
          <t>Continuous</t>
        </is>
      </c>
      <c r="H260" t="n">
        <v>19</v>
      </c>
      <c r="I260" s="31" t="n">
        <v>1.9</v>
      </c>
    </row>
    <row r="261">
      <c r="A261" t="inlineStr">
        <is>
          <t>RX824598</t>
        </is>
      </c>
      <c r="B261" t="inlineStr">
        <is>
          <t>ENC120726</t>
        </is>
      </c>
      <c r="C261" s="33" t="n">
        <v>45992.01458333333</v>
      </c>
      <c r="D261" t="inlineStr">
        <is>
          <t>Acetaminophen</t>
        </is>
      </c>
      <c r="E261" t="inlineStr">
        <is>
          <t>650 mg</t>
        </is>
      </c>
      <c r="F261" t="inlineStr">
        <is>
          <t>PO</t>
        </is>
      </c>
      <c r="G261" t="inlineStr">
        <is>
          <t>Q6H PRN</t>
        </is>
      </c>
      <c r="H261" t="n">
        <v>7</v>
      </c>
      <c r="I261" s="31" t="n">
        <v>0.08</v>
      </c>
    </row>
    <row r="262">
      <c r="A262" t="inlineStr">
        <is>
          <t>RX824622</t>
        </is>
      </c>
      <c r="B262" t="inlineStr">
        <is>
          <t>ENC120740</t>
        </is>
      </c>
      <c r="C262" s="33" t="n">
        <v>45992.53680555556</v>
      </c>
      <c r="D262" t="inlineStr">
        <is>
          <t>Ceftriaxone</t>
        </is>
      </c>
      <c r="E262" t="inlineStr">
        <is>
          <t>1 g</t>
        </is>
      </c>
      <c r="F262" t="inlineStr">
        <is>
          <t>IV</t>
        </is>
      </c>
      <c r="G262" t="inlineStr">
        <is>
          <t>Q24H</t>
        </is>
      </c>
      <c r="H262" t="n">
        <v>2</v>
      </c>
      <c r="I262" s="31" t="n">
        <v>3.2</v>
      </c>
    </row>
    <row r="263">
      <c r="A263" t="inlineStr">
        <is>
          <t>RX824653</t>
        </is>
      </c>
      <c r="B263" t="inlineStr">
        <is>
          <t>ENC120770</t>
        </is>
      </c>
      <c r="C263" s="33" t="n">
        <v>45992.7625</v>
      </c>
      <c r="D263" t="inlineStr">
        <is>
          <t>Methylprednisolone</t>
        </is>
      </c>
      <c r="E263" t="inlineStr">
        <is>
          <t>40 mg</t>
        </is>
      </c>
      <c r="F263" t="inlineStr">
        <is>
          <t>IV</t>
        </is>
      </c>
      <c r="G263" t="inlineStr">
        <is>
          <t>Q8H</t>
        </is>
      </c>
      <c r="H263" t="n">
        <v>18</v>
      </c>
      <c r="I263" s="31" t="n">
        <v>3.9</v>
      </c>
    </row>
    <row r="264">
      <c r="A264" t="inlineStr">
        <is>
          <t>RX824652</t>
        </is>
      </c>
      <c r="B264" t="inlineStr">
        <is>
          <t>ENC120770</t>
        </is>
      </c>
      <c r="C264" s="33" t="n">
        <v>45992.81666666667</v>
      </c>
      <c r="D264" t="inlineStr">
        <is>
          <t>Ipratropium-Albuterol</t>
        </is>
      </c>
      <c r="E264" t="inlineStr">
        <is>
          <t>3 mL</t>
        </is>
      </c>
      <c r="F264" t="inlineStr">
        <is>
          <t>Inhaled</t>
        </is>
      </c>
      <c r="G264" t="inlineStr">
        <is>
          <t>Q6H</t>
        </is>
      </c>
      <c r="H264" t="n">
        <v>22</v>
      </c>
      <c r="I264" s="31" t="n">
        <v>1.05</v>
      </c>
    </row>
    <row r="265">
      <c r="A265" t="inlineStr">
        <is>
          <t>RX824650</t>
        </is>
      </c>
      <c r="B265" t="inlineStr">
        <is>
          <t>ENC120769</t>
        </is>
      </c>
      <c r="C265" s="33" t="n">
        <v>45992.90347222222</v>
      </c>
      <c r="D265" t="inlineStr">
        <is>
          <t>Azithromycin</t>
        </is>
      </c>
      <c r="E265" t="inlineStr">
        <is>
          <t>500 mg</t>
        </is>
      </c>
      <c r="F265" t="inlineStr">
        <is>
          <t>PO</t>
        </is>
      </c>
      <c r="G265" t="inlineStr">
        <is>
          <t>Daily</t>
        </is>
      </c>
      <c r="H265" t="n">
        <v>4</v>
      </c>
      <c r="I265" s="31" t="n">
        <v>1.1</v>
      </c>
    </row>
    <row r="266">
      <c r="A266" t="inlineStr">
        <is>
          <t>RX824649</t>
        </is>
      </c>
      <c r="B266" t="inlineStr">
        <is>
          <t>ENC120769</t>
        </is>
      </c>
      <c r="C266" s="33" t="n">
        <v>45993.075</v>
      </c>
      <c r="D266" t="inlineStr">
        <is>
          <t>Ceftriaxone</t>
        </is>
      </c>
      <c r="E266" t="inlineStr">
        <is>
          <t>1 g</t>
        </is>
      </c>
      <c r="F266" t="inlineStr">
        <is>
          <t>IV</t>
        </is>
      </c>
      <c r="G266" t="inlineStr">
        <is>
          <t>Q24H</t>
        </is>
      </c>
      <c r="H266" t="n">
        <v>4</v>
      </c>
      <c r="I266" s="31" t="n">
        <v>3.2</v>
      </c>
    </row>
    <row r="267">
      <c r="A267" t="inlineStr">
        <is>
          <t>RX824651</t>
        </is>
      </c>
      <c r="B267" t="inlineStr">
        <is>
          <t>ENC120769</t>
        </is>
      </c>
      <c r="C267" s="33" t="n">
        <v>45993.07847222222</v>
      </c>
      <c r="D267" t="inlineStr">
        <is>
          <t>Sodium Chloride 0.9%</t>
        </is>
      </c>
      <c r="E267" t="inlineStr">
        <is>
          <t>1000 mL</t>
        </is>
      </c>
      <c r="F267" t="inlineStr">
        <is>
          <t>IV</t>
        </is>
      </c>
      <c r="G267" t="inlineStr">
        <is>
          <t>Continuous</t>
        </is>
      </c>
      <c r="H267" t="n">
        <v>7</v>
      </c>
      <c r="I267" s="31" t="n">
        <v>1.75</v>
      </c>
    </row>
    <row r="268">
      <c r="A268" t="inlineStr">
        <is>
          <t>RX824671</t>
        </is>
      </c>
      <c r="B268" t="inlineStr">
        <is>
          <t>ENC120780</t>
        </is>
      </c>
      <c r="C268" s="33" t="n">
        <v>45993.36597222222</v>
      </c>
      <c r="D268" t="inlineStr">
        <is>
          <t>Ondansetron</t>
        </is>
      </c>
      <c r="E268" t="inlineStr">
        <is>
          <t>4 mg</t>
        </is>
      </c>
      <c r="F268" t="inlineStr">
        <is>
          <t>IV</t>
        </is>
      </c>
      <c r="G268" t="inlineStr">
        <is>
          <t>Q6H PRN</t>
        </is>
      </c>
      <c r="H268" t="n">
        <v>4</v>
      </c>
      <c r="I268" s="31" t="n">
        <v>0.85</v>
      </c>
    </row>
    <row r="269">
      <c r="A269" t="inlineStr">
        <is>
          <t>RX824672</t>
        </is>
      </c>
      <c r="B269" t="inlineStr">
        <is>
          <t>ENC120780</t>
        </is>
      </c>
      <c r="C269" s="33" t="n">
        <v>45993.37083333333</v>
      </c>
      <c r="D269" t="inlineStr">
        <is>
          <t>Lactated Ringer's</t>
        </is>
      </c>
      <c r="E269" t="inlineStr">
        <is>
          <t>1000 mL</t>
        </is>
      </c>
      <c r="F269" t="inlineStr">
        <is>
          <t>IV</t>
        </is>
      </c>
      <c r="G269" t="inlineStr">
        <is>
          <t>Continuous</t>
        </is>
      </c>
      <c r="H269" t="n">
        <v>4</v>
      </c>
      <c r="I269" s="31" t="n">
        <v>1.9</v>
      </c>
    </row>
    <row r="270">
      <c r="A270" t="inlineStr">
        <is>
          <t>RX824673</t>
        </is>
      </c>
      <c r="B270" t="inlineStr">
        <is>
          <t>ENC120780</t>
        </is>
      </c>
      <c r="C270" s="33" t="n">
        <v>45993.39236111111</v>
      </c>
      <c r="D270" t="inlineStr">
        <is>
          <t>Ketorolac</t>
        </is>
      </c>
      <c r="E270" t="inlineStr">
        <is>
          <t>15 mg</t>
        </is>
      </c>
      <c r="F270" t="inlineStr">
        <is>
          <t>IV</t>
        </is>
      </c>
      <c r="G270" t="inlineStr">
        <is>
          <t>Q6H</t>
        </is>
      </c>
      <c r="H270" t="n">
        <v>8</v>
      </c>
      <c r="I270" s="31" t="n">
        <v>1.3</v>
      </c>
    </row>
    <row r="271">
      <c r="A271" t="inlineStr">
        <is>
          <t>RX824670</t>
        </is>
      </c>
      <c r="B271" t="inlineStr">
        <is>
          <t>ENC120780</t>
        </is>
      </c>
      <c r="C271" s="33" t="n">
        <v>45993.40833333333</v>
      </c>
      <c r="D271" t="inlineStr">
        <is>
          <t>Piperacillin-Tazobactam</t>
        </is>
      </c>
      <c r="E271" t="inlineStr">
        <is>
          <t>4.5 g</t>
        </is>
      </c>
      <c r="F271" t="inlineStr">
        <is>
          <t>IV</t>
        </is>
      </c>
      <c r="G271" t="inlineStr">
        <is>
          <t>Q6H</t>
        </is>
      </c>
      <c r="H271" t="n">
        <v>7</v>
      </c>
      <c r="I271" s="31" t="n">
        <v>14.5</v>
      </c>
    </row>
    <row r="272">
      <c r="A272" t="inlineStr">
        <is>
          <t>RX824674</t>
        </is>
      </c>
      <c r="B272" t="inlineStr">
        <is>
          <t>ENC120780</t>
        </is>
      </c>
      <c r="C272" s="33" t="n">
        <v>45993.44097222222</v>
      </c>
      <c r="D272" t="inlineStr">
        <is>
          <t>Acetaminophen</t>
        </is>
      </c>
      <c r="E272" t="inlineStr">
        <is>
          <t>650 mg</t>
        </is>
      </c>
      <c r="F272" t="inlineStr">
        <is>
          <t>PO</t>
        </is>
      </c>
      <c r="G272" t="inlineStr">
        <is>
          <t>Q6H PRN</t>
        </is>
      </c>
      <c r="H272" t="n">
        <v>4</v>
      </c>
      <c r="I272" s="31" t="n">
        <v>0.08</v>
      </c>
    </row>
    <row r="273">
      <c r="A273" t="inlineStr">
        <is>
          <t>RX824690</t>
        </is>
      </c>
      <c r="B273" t="inlineStr">
        <is>
          <t>ENC120798</t>
        </is>
      </c>
      <c r="C273" s="33" t="n">
        <v>45993.80347222222</v>
      </c>
      <c r="D273" t="inlineStr">
        <is>
          <t>Insulin Glargine</t>
        </is>
      </c>
      <c r="E273" t="inlineStr">
        <is>
          <t>20 units</t>
        </is>
      </c>
      <c r="F273" t="inlineStr">
        <is>
          <t>SubQ</t>
        </is>
      </c>
      <c r="G273" t="inlineStr">
        <is>
          <t>Daily</t>
        </is>
      </c>
      <c r="H273" t="n">
        <v>1</v>
      </c>
      <c r="I273" s="31" t="n">
        <v>11.4</v>
      </c>
    </row>
    <row r="274">
      <c r="A274" t="inlineStr">
        <is>
          <t>RX824691</t>
        </is>
      </c>
      <c r="B274" t="inlineStr">
        <is>
          <t>ENC120798</t>
        </is>
      </c>
      <c r="C274" s="33" t="n">
        <v>45993.81944444445</v>
      </c>
      <c r="D274" t="inlineStr">
        <is>
          <t>Potassium Chloride</t>
        </is>
      </c>
      <c r="E274" t="inlineStr">
        <is>
          <t>20 mEq</t>
        </is>
      </c>
      <c r="F274" t="inlineStr">
        <is>
          <t>PO</t>
        </is>
      </c>
      <c r="G274" t="inlineStr">
        <is>
          <t>Once</t>
        </is>
      </c>
      <c r="H274" t="n">
        <v>1</v>
      </c>
      <c r="I274" s="31" t="n">
        <v>0.35</v>
      </c>
    </row>
    <row r="275">
      <c r="A275" t="inlineStr">
        <is>
          <t>RX824709</t>
        </is>
      </c>
      <c r="B275" t="inlineStr">
        <is>
          <t>ENC120818</t>
        </is>
      </c>
      <c r="C275" s="33" t="n">
        <v>45993.93541666667</v>
      </c>
      <c r="D275" t="inlineStr">
        <is>
          <t>Acetaminophen</t>
        </is>
      </c>
      <c r="E275" t="inlineStr">
        <is>
          <t>650 mg</t>
        </is>
      </c>
      <c r="F275" t="inlineStr">
        <is>
          <t>PO</t>
        </is>
      </c>
      <c r="G275" t="inlineStr">
        <is>
          <t>Q6H PRN</t>
        </is>
      </c>
      <c r="H275" t="n">
        <v>14</v>
      </c>
      <c r="I275" s="31" t="n">
        <v>0.08</v>
      </c>
    </row>
    <row r="276">
      <c r="A276" t="inlineStr">
        <is>
          <t>RX824708</t>
        </is>
      </c>
      <c r="B276" t="inlineStr">
        <is>
          <t>ENC120818</t>
        </is>
      </c>
      <c r="C276" s="33" t="n">
        <v>45993.98333333333</v>
      </c>
      <c r="D276" t="inlineStr">
        <is>
          <t>Azithromycin</t>
        </is>
      </c>
      <c r="E276" t="inlineStr">
        <is>
          <t>500 mg</t>
        </is>
      </c>
      <c r="F276" t="inlineStr">
        <is>
          <t>PO</t>
        </is>
      </c>
      <c r="G276" t="inlineStr">
        <is>
          <t>Daily</t>
        </is>
      </c>
      <c r="H276" t="n">
        <v>7</v>
      </c>
      <c r="I276" s="31" t="n">
        <v>1.1</v>
      </c>
    </row>
    <row r="277">
      <c r="A277" t="inlineStr">
        <is>
          <t>RX824712</t>
        </is>
      </c>
      <c r="B277" t="inlineStr">
        <is>
          <t>ENC120820</t>
        </is>
      </c>
      <c r="C277" s="33" t="n">
        <v>45994.04583333333</v>
      </c>
      <c r="D277" t="inlineStr">
        <is>
          <t>Methylprednisolone</t>
        </is>
      </c>
      <c r="E277" t="inlineStr">
        <is>
          <t>40 mg</t>
        </is>
      </c>
      <c r="F277" t="inlineStr">
        <is>
          <t>IV</t>
        </is>
      </c>
      <c r="G277" t="inlineStr">
        <is>
          <t>Q8H</t>
        </is>
      </c>
      <c r="H277" t="n">
        <v>10</v>
      </c>
      <c r="I277" s="31" t="n">
        <v>3.9</v>
      </c>
    </row>
    <row r="278">
      <c r="A278" t="inlineStr">
        <is>
          <t>RX824707</t>
        </is>
      </c>
      <c r="B278" t="inlineStr">
        <is>
          <t>ENC120818</t>
        </is>
      </c>
      <c r="C278" s="33" t="n">
        <v>45994.06458333333</v>
      </c>
      <c r="D278" t="inlineStr">
        <is>
          <t>Ceftriaxone</t>
        </is>
      </c>
      <c r="E278" t="inlineStr">
        <is>
          <t>1 g</t>
        </is>
      </c>
      <c r="F278" t="inlineStr">
        <is>
          <t>IV</t>
        </is>
      </c>
      <c r="G278" t="inlineStr">
        <is>
          <t>Q24H</t>
        </is>
      </c>
      <c r="H278" t="n">
        <v>7</v>
      </c>
      <c r="I278" s="31" t="n">
        <v>3.2</v>
      </c>
    </row>
    <row r="279">
      <c r="A279" t="inlineStr">
        <is>
          <t>RX824710</t>
        </is>
      </c>
      <c r="B279" t="inlineStr">
        <is>
          <t>ENC120818</t>
        </is>
      </c>
      <c r="C279" s="33" t="n">
        <v>45994.06875</v>
      </c>
      <c r="D279" t="inlineStr">
        <is>
          <t>Enoxaparin</t>
        </is>
      </c>
      <c r="E279" t="inlineStr">
        <is>
          <t>40 mg</t>
        </is>
      </c>
      <c r="F279" t="inlineStr">
        <is>
          <t>SubQ</t>
        </is>
      </c>
      <c r="G279" t="inlineStr">
        <is>
          <t>Daily</t>
        </is>
      </c>
      <c r="H279" t="n">
        <v>6</v>
      </c>
      <c r="I279" s="31" t="n">
        <v>6.75</v>
      </c>
    </row>
    <row r="280">
      <c r="A280" t="inlineStr">
        <is>
          <t>RX824711</t>
        </is>
      </c>
      <c r="B280" t="inlineStr">
        <is>
          <t>ENC120820</t>
        </is>
      </c>
      <c r="C280" s="33" t="n">
        <v>45994.11666666667</v>
      </c>
      <c r="D280" t="inlineStr">
        <is>
          <t>Ipratropium-Albuterol</t>
        </is>
      </c>
      <c r="E280" t="inlineStr">
        <is>
          <t>3 mL</t>
        </is>
      </c>
      <c r="F280" t="inlineStr">
        <is>
          <t>Inhaled</t>
        </is>
      </c>
      <c r="G280" t="inlineStr">
        <is>
          <t>Q6H</t>
        </is>
      </c>
      <c r="H280" t="n">
        <v>10</v>
      </c>
      <c r="I280" s="31" t="n">
        <v>1.05</v>
      </c>
    </row>
    <row r="281">
      <c r="A281" t="inlineStr">
        <is>
          <t>RX824713</t>
        </is>
      </c>
      <c r="B281" t="inlineStr">
        <is>
          <t>ENC120820</t>
        </is>
      </c>
      <c r="C281" s="33" t="n">
        <v>45994.16041666667</v>
      </c>
      <c r="D281" t="inlineStr">
        <is>
          <t>Enoxaparin</t>
        </is>
      </c>
      <c r="E281" t="inlineStr">
        <is>
          <t>40 mg</t>
        </is>
      </c>
      <c r="F281" t="inlineStr">
        <is>
          <t>SubQ</t>
        </is>
      </c>
      <c r="G281" t="inlineStr">
        <is>
          <t>Daily</t>
        </is>
      </c>
      <c r="H281" t="n">
        <v>3</v>
      </c>
      <c r="I281" s="31" t="n">
        <v>6.75</v>
      </c>
    </row>
    <row r="282">
      <c r="A282" t="inlineStr">
        <is>
          <t>RX824767</t>
        </is>
      </c>
      <c r="B282" t="inlineStr">
        <is>
          <t>ENC120859</t>
        </is>
      </c>
      <c r="C282" s="33" t="n">
        <v>45994.78472222222</v>
      </c>
      <c r="D282" t="inlineStr">
        <is>
          <t>Hydromorphone</t>
        </is>
      </c>
      <c r="E282" t="inlineStr">
        <is>
          <t>0.5 mg</t>
        </is>
      </c>
      <c r="F282" t="inlineStr">
        <is>
          <t>IV</t>
        </is>
      </c>
      <c r="G282" t="inlineStr">
        <is>
          <t>Q3H PRN</t>
        </is>
      </c>
      <c r="H282" t="n">
        <v>16</v>
      </c>
      <c r="I282" s="31" t="n">
        <v>2.4</v>
      </c>
    </row>
    <row r="283">
      <c r="A283" t="inlineStr">
        <is>
          <t>RX824768</t>
        </is>
      </c>
      <c r="B283" t="inlineStr">
        <is>
          <t>ENC120859</t>
        </is>
      </c>
      <c r="C283" s="33" t="n">
        <v>45994.85347222222</v>
      </c>
      <c r="D283" t="inlineStr">
        <is>
          <t>Ondansetron</t>
        </is>
      </c>
      <c r="E283" t="inlineStr">
        <is>
          <t>4 mg</t>
        </is>
      </c>
      <c r="F283" t="inlineStr">
        <is>
          <t>IV</t>
        </is>
      </c>
      <c r="G283" t="inlineStr">
        <is>
          <t>Q6H PRN</t>
        </is>
      </c>
      <c r="H283" t="n">
        <v>9</v>
      </c>
      <c r="I283" s="31" t="n">
        <v>0.85</v>
      </c>
    </row>
    <row r="284">
      <c r="A284" t="inlineStr">
        <is>
          <t>RX824769</t>
        </is>
      </c>
      <c r="B284" t="inlineStr">
        <is>
          <t>ENC120859</t>
        </is>
      </c>
      <c r="C284" s="33" t="n">
        <v>45994.95138888889</v>
      </c>
      <c r="D284" t="inlineStr">
        <is>
          <t>Sodium Chloride 0.9%</t>
        </is>
      </c>
      <c r="E284" t="inlineStr">
        <is>
          <t>1000 mL</t>
        </is>
      </c>
      <c r="F284" t="inlineStr">
        <is>
          <t>IV</t>
        </is>
      </c>
      <c r="G284" t="inlineStr">
        <is>
          <t>Continuous</t>
        </is>
      </c>
      <c r="H284" t="n">
        <v>11</v>
      </c>
      <c r="I284" s="31" t="n">
        <v>1.75</v>
      </c>
    </row>
    <row r="285">
      <c r="A285" t="inlineStr">
        <is>
          <t>RX824808</t>
        </is>
      </c>
      <c r="B285" t="inlineStr">
        <is>
          <t>ENC120901</t>
        </is>
      </c>
      <c r="C285" s="33" t="n">
        <v>45995.84513888889</v>
      </c>
      <c r="D285" t="inlineStr">
        <is>
          <t>Acetaminophen</t>
        </is>
      </c>
      <c r="E285" t="inlineStr">
        <is>
          <t>650 mg</t>
        </is>
      </c>
      <c r="F285" t="inlineStr">
        <is>
          <t>PO</t>
        </is>
      </c>
      <c r="G285" t="inlineStr">
        <is>
          <t>Q6H PRN</t>
        </is>
      </c>
      <c r="H285" t="n">
        <v>7</v>
      </c>
      <c r="I285" s="31" t="n">
        <v>0.08</v>
      </c>
    </row>
    <row r="286">
      <c r="A286" t="inlineStr">
        <is>
          <t>RX824819</t>
        </is>
      </c>
      <c r="B286" t="inlineStr">
        <is>
          <t>ENC120907</t>
        </is>
      </c>
      <c r="C286" s="33" t="n">
        <v>45996.06666666667</v>
      </c>
      <c r="D286" t="inlineStr">
        <is>
          <t>Heparin</t>
        </is>
      </c>
      <c r="E286" t="inlineStr">
        <is>
          <t>5000 units</t>
        </is>
      </c>
      <c r="F286" t="inlineStr">
        <is>
          <t>SubQ</t>
        </is>
      </c>
      <c r="G286" t="inlineStr">
        <is>
          <t>Q8H</t>
        </is>
      </c>
      <c r="H286" t="n">
        <v>7</v>
      </c>
      <c r="I286" s="31" t="n">
        <v>1.6</v>
      </c>
    </row>
    <row r="287">
      <c r="A287" t="inlineStr">
        <is>
          <t>RX824818</t>
        </is>
      </c>
      <c r="B287" t="inlineStr">
        <is>
          <t>ENC120907</t>
        </is>
      </c>
      <c r="C287" s="33" t="n">
        <v>45996.15069444444</v>
      </c>
      <c r="D287" t="inlineStr">
        <is>
          <t>Cephalexin</t>
        </is>
      </c>
      <c r="E287" t="inlineStr">
        <is>
          <t>500 mg</t>
        </is>
      </c>
      <c r="F287" t="inlineStr">
        <is>
          <t>PO</t>
        </is>
      </c>
      <c r="G287" t="inlineStr">
        <is>
          <t>Q6H</t>
        </is>
      </c>
      <c r="H287" t="n">
        <v>9</v>
      </c>
      <c r="I287" s="31" t="n">
        <v>0.45</v>
      </c>
    </row>
    <row r="288">
      <c r="A288" t="inlineStr">
        <is>
          <t>RX824870</t>
        </is>
      </c>
      <c r="B288" t="inlineStr">
        <is>
          <t>ENC120959</t>
        </is>
      </c>
      <c r="C288" s="33" t="n">
        <v>45997.45625</v>
      </c>
      <c r="D288" t="inlineStr">
        <is>
          <t>Sodium Chloride 0.9%</t>
        </is>
      </c>
      <c r="E288" t="inlineStr">
        <is>
          <t>1000 mL</t>
        </is>
      </c>
      <c r="F288" t="inlineStr">
        <is>
          <t>IV</t>
        </is>
      </c>
      <c r="G288" t="inlineStr">
        <is>
          <t>Continuous</t>
        </is>
      </c>
      <c r="H288" t="n">
        <v>11</v>
      </c>
      <c r="I288" s="31" t="n">
        <v>1.75</v>
      </c>
    </row>
    <row r="289">
      <c r="A289" t="inlineStr">
        <is>
          <t>RX824880</t>
        </is>
      </c>
      <c r="B289" t="inlineStr">
        <is>
          <t>ENC120967</t>
        </is>
      </c>
      <c r="C289" s="33" t="n">
        <v>45997.56875</v>
      </c>
      <c r="D289" t="inlineStr">
        <is>
          <t>Ceftriaxone</t>
        </is>
      </c>
      <c r="E289" t="inlineStr">
        <is>
          <t>1 g</t>
        </is>
      </c>
      <c r="F289" t="inlineStr">
        <is>
          <t>IV</t>
        </is>
      </c>
      <c r="G289" t="inlineStr">
        <is>
          <t>Q24H</t>
        </is>
      </c>
      <c r="H289" t="n">
        <v>6</v>
      </c>
      <c r="I289" s="31" t="n">
        <v>3.2</v>
      </c>
    </row>
    <row r="290">
      <c r="A290" t="inlineStr">
        <is>
          <t>RX824944</t>
        </is>
      </c>
      <c r="B290" t="inlineStr">
        <is>
          <t>ENC120997</t>
        </is>
      </c>
      <c r="C290" s="33" t="n">
        <v>45999.33680555555</v>
      </c>
      <c r="D290" t="inlineStr">
        <is>
          <t>Pantoprazole</t>
        </is>
      </c>
      <c r="E290" t="inlineStr">
        <is>
          <t>40 mg</t>
        </is>
      </c>
      <c r="F290" t="inlineStr">
        <is>
          <t>IV</t>
        </is>
      </c>
      <c r="G290" t="inlineStr">
        <is>
          <t>Daily</t>
        </is>
      </c>
      <c r="H290" t="n">
        <v>1</v>
      </c>
      <c r="I290" s="31" t="n">
        <v>2.1</v>
      </c>
    </row>
    <row r="291">
      <c r="A291" t="inlineStr">
        <is>
          <t>RX824945</t>
        </is>
      </c>
      <c r="B291" t="inlineStr">
        <is>
          <t>ENC120997</t>
        </is>
      </c>
      <c r="C291" s="33" t="n">
        <v>45999.41944444444</v>
      </c>
      <c r="D291" t="inlineStr">
        <is>
          <t>Sodium Chloride 0.9%</t>
        </is>
      </c>
      <c r="E291" t="inlineStr">
        <is>
          <t>1000 mL</t>
        </is>
      </c>
      <c r="F291" t="inlineStr">
        <is>
          <t>IV</t>
        </is>
      </c>
      <c r="G291" t="inlineStr">
        <is>
          <t>Continuous</t>
        </is>
      </c>
      <c r="H291" t="n">
        <v>2</v>
      </c>
      <c r="I291" s="31" t="n">
        <v>1.75</v>
      </c>
    </row>
    <row r="292">
      <c r="A292" t="inlineStr">
        <is>
          <t>RX824946</t>
        </is>
      </c>
      <c r="B292" t="inlineStr">
        <is>
          <t>ENC120999</t>
        </is>
      </c>
      <c r="C292" s="33" t="n">
        <v>45999.64861111111</v>
      </c>
      <c r="D292" t="inlineStr">
        <is>
          <t>Heparin</t>
        </is>
      </c>
      <c r="E292" t="inlineStr">
        <is>
          <t>5000 units</t>
        </is>
      </c>
      <c r="F292" t="inlineStr">
        <is>
          <t>SubQ</t>
        </is>
      </c>
      <c r="G292" t="inlineStr">
        <is>
          <t>Q8H</t>
        </is>
      </c>
      <c r="H292" t="n">
        <v>12</v>
      </c>
      <c r="I292" s="31" t="n">
        <v>1.6</v>
      </c>
    </row>
    <row r="293">
      <c r="A293" t="inlineStr">
        <is>
          <t>RX824956</t>
        </is>
      </c>
      <c r="B293" t="inlineStr">
        <is>
          <t>ENC121017</t>
        </is>
      </c>
      <c r="C293" s="33" t="n">
        <v>45999.775</v>
      </c>
      <c r="D293" t="inlineStr">
        <is>
          <t>Heparin</t>
        </is>
      </c>
      <c r="E293" t="inlineStr">
        <is>
          <t>5000 units</t>
        </is>
      </c>
      <c r="F293" t="inlineStr">
        <is>
          <t>SubQ</t>
        </is>
      </c>
      <c r="G293" t="inlineStr">
        <is>
          <t>Q8H</t>
        </is>
      </c>
      <c r="H293" t="n">
        <v>8</v>
      </c>
      <c r="I293" s="31" t="n">
        <v>1.6</v>
      </c>
    </row>
    <row r="294">
      <c r="A294" t="inlineStr">
        <is>
          <t>RX824950</t>
        </is>
      </c>
      <c r="B294" t="inlineStr">
        <is>
          <t>ENC121013</t>
        </is>
      </c>
      <c r="C294" s="33" t="n">
        <v>45999.80347222222</v>
      </c>
      <c r="D294" t="inlineStr">
        <is>
          <t>Methylprednisolone</t>
        </is>
      </c>
      <c r="E294" t="inlineStr">
        <is>
          <t>40 mg</t>
        </is>
      </c>
      <c r="F294" t="inlineStr">
        <is>
          <t>IV</t>
        </is>
      </c>
      <c r="G294" t="inlineStr">
        <is>
          <t>Q8H</t>
        </is>
      </c>
      <c r="H294" t="n">
        <v>21</v>
      </c>
      <c r="I294" s="31" t="n">
        <v>3.9</v>
      </c>
    </row>
    <row r="295">
      <c r="A295" t="inlineStr">
        <is>
          <t>RX824954</t>
        </is>
      </c>
      <c r="B295" t="inlineStr">
        <is>
          <t>ENC121017</t>
        </is>
      </c>
      <c r="C295" s="33" t="n">
        <v>45999.80416666667</v>
      </c>
      <c r="D295" t="inlineStr">
        <is>
          <t>Vancomycin</t>
        </is>
      </c>
      <c r="E295" t="inlineStr">
        <is>
          <t>1250 mg</t>
        </is>
      </c>
      <c r="F295" t="inlineStr">
        <is>
          <t>IV</t>
        </is>
      </c>
      <c r="G295" t="inlineStr">
        <is>
          <t>Q12H</t>
        </is>
      </c>
      <c r="H295" t="n">
        <v>5</v>
      </c>
      <c r="I295" s="31" t="n">
        <v>9.800000000000001</v>
      </c>
    </row>
    <row r="296">
      <c r="A296" t="inlineStr">
        <is>
          <t>RX824955</t>
        </is>
      </c>
      <c r="B296" t="inlineStr">
        <is>
          <t>ENC121017</t>
        </is>
      </c>
      <c r="C296" s="33" t="n">
        <v>45999.82222222222</v>
      </c>
      <c r="D296" t="inlineStr">
        <is>
          <t>Acetaminophen</t>
        </is>
      </c>
      <c r="E296" t="inlineStr">
        <is>
          <t>650 mg</t>
        </is>
      </c>
      <c r="F296" t="inlineStr">
        <is>
          <t>PO</t>
        </is>
      </c>
      <c r="G296" t="inlineStr">
        <is>
          <t>Q6H PRN</t>
        </is>
      </c>
      <c r="H296" t="n">
        <v>6</v>
      </c>
      <c r="I296" s="31" t="n">
        <v>0.08</v>
      </c>
    </row>
    <row r="297">
      <c r="A297" t="inlineStr">
        <is>
          <t>RX825006</t>
        </is>
      </c>
      <c r="B297" t="inlineStr">
        <is>
          <t>ENC121051</t>
        </is>
      </c>
      <c r="C297" s="33" t="n">
        <v>46000.33541666667</v>
      </c>
      <c r="D297" t="inlineStr">
        <is>
          <t>Ketorolac</t>
        </is>
      </c>
      <c r="E297" t="inlineStr">
        <is>
          <t>15 mg</t>
        </is>
      </c>
      <c r="F297" t="inlineStr">
        <is>
          <t>IV</t>
        </is>
      </c>
      <c r="G297" t="inlineStr">
        <is>
          <t>Q6H</t>
        </is>
      </c>
      <c r="H297" t="n">
        <v>17</v>
      </c>
      <c r="I297" s="31" t="n">
        <v>1.3</v>
      </c>
    </row>
    <row r="298">
      <c r="A298" t="inlineStr">
        <is>
          <t>RX825004</t>
        </is>
      </c>
      <c r="B298" t="inlineStr">
        <is>
          <t>ENC121051</t>
        </is>
      </c>
      <c r="C298" s="33" t="n">
        <v>46000.47569444445</v>
      </c>
      <c r="D298" t="inlineStr">
        <is>
          <t>Ondansetron</t>
        </is>
      </c>
      <c r="E298" t="inlineStr">
        <is>
          <t>4 mg</t>
        </is>
      </c>
      <c r="F298" t="inlineStr">
        <is>
          <t>IV</t>
        </is>
      </c>
      <c r="G298" t="inlineStr">
        <is>
          <t>Q6H PRN</t>
        </is>
      </c>
      <c r="H298" t="n">
        <v>7</v>
      </c>
      <c r="I298" s="31" t="n">
        <v>0.85</v>
      </c>
    </row>
    <row r="299">
      <c r="A299" t="inlineStr">
        <is>
          <t>RX825003</t>
        </is>
      </c>
      <c r="B299" t="inlineStr">
        <is>
          <t>ENC121051</t>
        </is>
      </c>
      <c r="C299" s="33" t="n">
        <v>46000.54097222222</v>
      </c>
      <c r="D299" t="inlineStr">
        <is>
          <t>Hydromorphone</t>
        </is>
      </c>
      <c r="E299" t="inlineStr">
        <is>
          <t>0.5 mg</t>
        </is>
      </c>
      <c r="F299" t="inlineStr">
        <is>
          <t>IV</t>
        </is>
      </c>
      <c r="G299" t="inlineStr">
        <is>
          <t>Q3H PRN</t>
        </is>
      </c>
      <c r="H299" t="n">
        <v>10</v>
      </c>
      <c r="I299" s="31" t="n">
        <v>2.4</v>
      </c>
    </row>
    <row r="300">
      <c r="A300" t="inlineStr">
        <is>
          <t>RX825005</t>
        </is>
      </c>
      <c r="B300" t="inlineStr">
        <is>
          <t>ENC121051</t>
        </is>
      </c>
      <c r="C300" s="33" t="n">
        <v>46000.56388888889</v>
      </c>
      <c r="D300" t="inlineStr">
        <is>
          <t>Lactated Ringer's</t>
        </is>
      </c>
      <c r="E300" t="inlineStr">
        <is>
          <t>1000 mL</t>
        </is>
      </c>
      <c r="F300" t="inlineStr">
        <is>
          <t>IV</t>
        </is>
      </c>
      <c r="G300" t="inlineStr">
        <is>
          <t>Continuous</t>
        </is>
      </c>
      <c r="H300" t="n">
        <v>7</v>
      </c>
      <c r="I300" s="31" t="n">
        <v>1.9</v>
      </c>
    </row>
    <row r="301">
      <c r="A301" t="inlineStr">
        <is>
          <t>RX825087</t>
        </is>
      </c>
      <c r="B301" t="inlineStr">
        <is>
          <t>ENC121119</t>
        </is>
      </c>
      <c r="C301" s="33" t="n">
        <v>46001.95277777778</v>
      </c>
      <c r="D301" t="inlineStr">
        <is>
          <t>Sodium Chloride 0.9%</t>
        </is>
      </c>
      <c r="E301" t="inlineStr">
        <is>
          <t>1000 mL</t>
        </is>
      </c>
      <c r="F301" t="inlineStr">
        <is>
          <t>IV</t>
        </is>
      </c>
      <c r="G301" t="inlineStr">
        <is>
          <t>Continuous</t>
        </is>
      </c>
      <c r="H301" t="n">
        <v>6</v>
      </c>
      <c r="I301" s="31" t="n">
        <v>1.75</v>
      </c>
    </row>
    <row r="302">
      <c r="A302" t="inlineStr">
        <is>
          <t>RX825118</t>
        </is>
      </c>
      <c r="B302" t="inlineStr">
        <is>
          <t>ENC121149</t>
        </is>
      </c>
      <c r="C302" s="33" t="n">
        <v>46002.45486111111</v>
      </c>
      <c r="D302" t="inlineStr">
        <is>
          <t>Heparin</t>
        </is>
      </c>
      <c r="E302" t="inlineStr">
        <is>
          <t>5000 units</t>
        </is>
      </c>
      <c r="F302" t="inlineStr">
        <is>
          <t>SubQ</t>
        </is>
      </c>
      <c r="G302" t="inlineStr">
        <is>
          <t>Q8H</t>
        </is>
      </c>
      <c r="H302" t="n">
        <v>6</v>
      </c>
      <c r="I302" s="31" t="n">
        <v>1.6</v>
      </c>
    </row>
    <row r="303">
      <c r="A303" t="inlineStr">
        <is>
          <t>RX825117</t>
        </is>
      </c>
      <c r="B303" t="inlineStr">
        <is>
          <t>ENC121149</t>
        </is>
      </c>
      <c r="C303" s="33" t="n">
        <v>46002.47986111111</v>
      </c>
      <c r="D303" t="inlineStr">
        <is>
          <t>Ipratropium-Albuterol</t>
        </is>
      </c>
      <c r="E303" t="inlineStr">
        <is>
          <t>3 mL</t>
        </is>
      </c>
      <c r="F303" t="inlineStr">
        <is>
          <t>Inhaled</t>
        </is>
      </c>
      <c r="G303" t="inlineStr">
        <is>
          <t>Q6H</t>
        </is>
      </c>
      <c r="H303" t="n">
        <v>8</v>
      </c>
      <c r="I303" s="31" t="n">
        <v>1.05</v>
      </c>
    </row>
    <row r="304">
      <c r="A304" t="inlineStr">
        <is>
          <t>RX825133</t>
        </is>
      </c>
      <c r="B304" t="inlineStr">
        <is>
          <t>ENC121164</t>
        </is>
      </c>
      <c r="C304" s="33" t="n">
        <v>46002.81875</v>
      </c>
      <c r="D304" t="inlineStr">
        <is>
          <t>Lactated Ringer's</t>
        </is>
      </c>
      <c r="E304" t="inlineStr">
        <is>
          <t>1000 mL</t>
        </is>
      </c>
      <c r="F304" t="inlineStr">
        <is>
          <t>IV</t>
        </is>
      </c>
      <c r="G304" t="inlineStr">
        <is>
          <t>Continuous</t>
        </is>
      </c>
      <c r="H304" t="n">
        <v>19</v>
      </c>
      <c r="I304" s="31" t="n">
        <v>1.9</v>
      </c>
    </row>
    <row r="305">
      <c r="A305" t="inlineStr">
        <is>
          <t>RX825135</t>
        </is>
      </c>
      <c r="B305" t="inlineStr">
        <is>
          <t>ENC121164</t>
        </is>
      </c>
      <c r="C305" s="33" t="n">
        <v>46002.82222222222</v>
      </c>
      <c r="D305" t="inlineStr">
        <is>
          <t>Acetaminophen</t>
        </is>
      </c>
      <c r="E305" t="inlineStr">
        <is>
          <t>650 mg</t>
        </is>
      </c>
      <c r="F305" t="inlineStr">
        <is>
          <t>PO</t>
        </is>
      </c>
      <c r="G305" t="inlineStr">
        <is>
          <t>Q6H PRN</t>
        </is>
      </c>
      <c r="H305" t="n">
        <v>19</v>
      </c>
      <c r="I305" s="31" t="n">
        <v>0.08</v>
      </c>
    </row>
    <row r="306">
      <c r="A306" t="inlineStr">
        <is>
          <t>RX825131</t>
        </is>
      </c>
      <c r="B306" t="inlineStr">
        <is>
          <t>ENC121164</t>
        </is>
      </c>
      <c r="C306" s="33" t="n">
        <v>46002.87569444445</v>
      </c>
      <c r="D306" t="inlineStr">
        <is>
          <t>Piperacillin-Tazobactam</t>
        </is>
      </c>
      <c r="E306" t="inlineStr">
        <is>
          <t>4.5 g</t>
        </is>
      </c>
      <c r="F306" t="inlineStr">
        <is>
          <t>IV</t>
        </is>
      </c>
      <c r="G306" t="inlineStr">
        <is>
          <t>Q6H</t>
        </is>
      </c>
      <c r="H306" t="n">
        <v>41</v>
      </c>
      <c r="I306" s="31" t="n">
        <v>14.5</v>
      </c>
    </row>
    <row r="307">
      <c r="A307" t="inlineStr">
        <is>
          <t>RX825134</t>
        </is>
      </c>
      <c r="B307" t="inlineStr">
        <is>
          <t>ENC121164</t>
        </is>
      </c>
      <c r="C307" s="33" t="n">
        <v>46002.89236111111</v>
      </c>
      <c r="D307" t="inlineStr">
        <is>
          <t>Sodium Chloride 0.9%</t>
        </is>
      </c>
      <c r="E307" t="inlineStr">
        <is>
          <t>1000 mL</t>
        </is>
      </c>
      <c r="F307" t="inlineStr">
        <is>
          <t>IV</t>
        </is>
      </c>
      <c r="G307" t="inlineStr">
        <is>
          <t>Continuous</t>
        </is>
      </c>
      <c r="H307" t="n">
        <v>19</v>
      </c>
      <c r="I307" s="31" t="n">
        <v>1.75</v>
      </c>
    </row>
    <row r="308">
      <c r="A308" t="inlineStr">
        <is>
          <t>RX825132</t>
        </is>
      </c>
      <c r="B308" t="inlineStr">
        <is>
          <t>ENC121164</t>
        </is>
      </c>
      <c r="C308" s="33" t="n">
        <v>46002.975</v>
      </c>
      <c r="D308" t="inlineStr">
        <is>
          <t>Vancomycin</t>
        </is>
      </c>
      <c r="E308" t="inlineStr">
        <is>
          <t>1250 mg</t>
        </is>
      </c>
      <c r="F308" t="inlineStr">
        <is>
          <t>IV</t>
        </is>
      </c>
      <c r="G308" t="inlineStr">
        <is>
          <t>Q12H</t>
        </is>
      </c>
      <c r="H308" t="n">
        <v>21</v>
      </c>
      <c r="I308" s="31" t="n">
        <v>9.800000000000001</v>
      </c>
    </row>
    <row r="309">
      <c r="A309" t="inlineStr">
        <is>
          <t>RX825149</t>
        </is>
      </c>
      <c r="B309" t="inlineStr">
        <is>
          <t>ENC121178</t>
        </is>
      </c>
      <c r="C309" s="33" t="n">
        <v>46003.35347222222</v>
      </c>
      <c r="D309" t="inlineStr">
        <is>
          <t>Ceftriaxone</t>
        </is>
      </c>
      <c r="E309" t="inlineStr">
        <is>
          <t>1 g</t>
        </is>
      </c>
      <c r="F309" t="inlineStr">
        <is>
          <t>IV</t>
        </is>
      </c>
      <c r="G309" t="inlineStr">
        <is>
          <t>Q24H</t>
        </is>
      </c>
      <c r="H309" t="n">
        <v>4</v>
      </c>
      <c r="I309" s="31" t="n">
        <v>3.2</v>
      </c>
    </row>
    <row r="310">
      <c r="A310" t="inlineStr">
        <is>
          <t>RX825152</t>
        </is>
      </c>
      <c r="B310" t="inlineStr">
        <is>
          <t>ENC121178</t>
        </is>
      </c>
      <c r="C310" s="33" t="n">
        <v>46003.43680555555</v>
      </c>
      <c r="D310" t="inlineStr">
        <is>
          <t>Acetaminophen</t>
        </is>
      </c>
      <c r="E310" t="inlineStr">
        <is>
          <t>650 mg</t>
        </is>
      </c>
      <c r="F310" t="inlineStr">
        <is>
          <t>PO</t>
        </is>
      </c>
      <c r="G310" t="inlineStr">
        <is>
          <t>Q6H PRN</t>
        </is>
      </c>
      <c r="H310" t="n">
        <v>7</v>
      </c>
      <c r="I310" s="31" t="n">
        <v>0.08</v>
      </c>
    </row>
    <row r="311">
      <c r="A311" t="inlineStr">
        <is>
          <t>RX825151</t>
        </is>
      </c>
      <c r="B311" t="inlineStr">
        <is>
          <t>ENC121178</t>
        </is>
      </c>
      <c r="C311" s="33" t="n">
        <v>46003.44583333333</v>
      </c>
      <c r="D311" t="inlineStr">
        <is>
          <t>Sodium Chloride 0.9%</t>
        </is>
      </c>
      <c r="E311" t="inlineStr">
        <is>
          <t>1000 mL</t>
        </is>
      </c>
      <c r="F311" t="inlineStr">
        <is>
          <t>IV</t>
        </is>
      </c>
      <c r="G311" t="inlineStr">
        <is>
          <t>Continuous</t>
        </is>
      </c>
      <c r="H311" t="n">
        <v>7</v>
      </c>
      <c r="I311" s="31" t="n">
        <v>1.75</v>
      </c>
    </row>
    <row r="312">
      <c r="A312" t="inlineStr">
        <is>
          <t>RX825154</t>
        </is>
      </c>
      <c r="B312" t="inlineStr">
        <is>
          <t>ENC121183</t>
        </is>
      </c>
      <c r="C312" s="33" t="n">
        <v>46003.45416666667</v>
      </c>
      <c r="D312" t="inlineStr">
        <is>
          <t>Azithromycin</t>
        </is>
      </c>
      <c r="E312" t="inlineStr">
        <is>
          <t>500 mg</t>
        </is>
      </c>
      <c r="F312" t="inlineStr">
        <is>
          <t>PO</t>
        </is>
      </c>
      <c r="G312" t="inlineStr">
        <is>
          <t>Daily</t>
        </is>
      </c>
      <c r="H312" t="n">
        <v>3</v>
      </c>
      <c r="I312" s="31" t="n">
        <v>1.1</v>
      </c>
    </row>
    <row r="313">
      <c r="A313" t="inlineStr">
        <is>
          <t>RX825150</t>
        </is>
      </c>
      <c r="B313" t="inlineStr">
        <is>
          <t>ENC121178</t>
        </is>
      </c>
      <c r="C313" s="33" t="n">
        <v>46003.48819444444</v>
      </c>
      <c r="D313" t="inlineStr">
        <is>
          <t>Azithromycin</t>
        </is>
      </c>
      <c r="E313" t="inlineStr">
        <is>
          <t>500 mg</t>
        </is>
      </c>
      <c r="F313" t="inlineStr">
        <is>
          <t>PO</t>
        </is>
      </c>
      <c r="G313" t="inlineStr">
        <is>
          <t>Daily</t>
        </is>
      </c>
      <c r="H313" t="n">
        <v>4</v>
      </c>
      <c r="I313" s="31" t="n">
        <v>1.1</v>
      </c>
    </row>
    <row r="314">
      <c r="A314" t="inlineStr">
        <is>
          <t>RX825156</t>
        </is>
      </c>
      <c r="B314" t="inlineStr">
        <is>
          <t>ENC121183</t>
        </is>
      </c>
      <c r="C314" s="33" t="n">
        <v>46003.50694444445</v>
      </c>
      <c r="D314" t="inlineStr">
        <is>
          <t>Acetaminophen</t>
        </is>
      </c>
      <c r="E314" t="inlineStr">
        <is>
          <t>650 mg</t>
        </is>
      </c>
      <c r="F314" t="inlineStr">
        <is>
          <t>PO</t>
        </is>
      </c>
      <c r="G314" t="inlineStr">
        <is>
          <t>Q6H PRN</t>
        </is>
      </c>
      <c r="H314" t="n">
        <v>6</v>
      </c>
      <c r="I314" s="31" t="n">
        <v>0.08</v>
      </c>
    </row>
    <row r="315">
      <c r="A315" t="inlineStr">
        <is>
          <t>RX825155</t>
        </is>
      </c>
      <c r="B315" t="inlineStr">
        <is>
          <t>ENC121183</t>
        </is>
      </c>
      <c r="C315" s="33" t="n">
        <v>46003.53263888889</v>
      </c>
      <c r="D315" t="inlineStr">
        <is>
          <t>Enoxaparin</t>
        </is>
      </c>
      <c r="E315" t="inlineStr">
        <is>
          <t>40 mg</t>
        </is>
      </c>
      <c r="F315" t="inlineStr">
        <is>
          <t>SubQ</t>
        </is>
      </c>
      <c r="G315" t="inlineStr">
        <is>
          <t>Daily</t>
        </is>
      </c>
      <c r="H315" t="n">
        <v>3</v>
      </c>
      <c r="I315" s="31" t="n">
        <v>6.75</v>
      </c>
    </row>
    <row r="316">
      <c r="A316" t="inlineStr">
        <is>
          <t>RX825153</t>
        </is>
      </c>
      <c r="B316" t="inlineStr">
        <is>
          <t>ENC121183</t>
        </is>
      </c>
      <c r="C316" s="33" t="n">
        <v>46003.56875</v>
      </c>
      <c r="D316" t="inlineStr">
        <is>
          <t>Ceftriaxone</t>
        </is>
      </c>
      <c r="E316" t="inlineStr">
        <is>
          <t>1 g</t>
        </is>
      </c>
      <c r="F316" t="inlineStr">
        <is>
          <t>IV</t>
        </is>
      </c>
      <c r="G316" t="inlineStr">
        <is>
          <t>Q24H</t>
        </is>
      </c>
      <c r="H316" t="n">
        <v>3</v>
      </c>
      <c r="I316" s="31" t="n">
        <v>3.2</v>
      </c>
    </row>
    <row r="317">
      <c r="A317" t="inlineStr">
        <is>
          <t>RX825166</t>
        </is>
      </c>
      <c r="B317" t="inlineStr">
        <is>
          <t>ENC121195</t>
        </is>
      </c>
      <c r="C317" s="33" t="n">
        <v>46003.69097222222</v>
      </c>
      <c r="D317" t="inlineStr">
        <is>
          <t>Acetaminophen</t>
        </is>
      </c>
      <c r="E317" t="inlineStr">
        <is>
          <t>650 mg</t>
        </is>
      </c>
      <c r="F317" t="inlineStr">
        <is>
          <t>PO</t>
        </is>
      </c>
      <c r="G317" t="inlineStr">
        <is>
          <t>Q6H PRN</t>
        </is>
      </c>
      <c r="H317" t="n">
        <v>12</v>
      </c>
      <c r="I317" s="31" t="n">
        <v>0.08</v>
      </c>
    </row>
    <row r="318">
      <c r="A318" t="inlineStr">
        <is>
          <t>RX825164</t>
        </is>
      </c>
      <c r="B318" t="inlineStr">
        <is>
          <t>ENC121195</t>
        </is>
      </c>
      <c r="C318" s="33" t="n">
        <v>46003.69166666667</v>
      </c>
      <c r="D318" t="inlineStr">
        <is>
          <t>Ceftriaxone</t>
        </is>
      </c>
      <c r="E318" t="inlineStr">
        <is>
          <t>1 g</t>
        </is>
      </c>
      <c r="F318" t="inlineStr">
        <is>
          <t>IV</t>
        </is>
      </c>
      <c r="G318" t="inlineStr">
        <is>
          <t>Q24H</t>
        </is>
      </c>
      <c r="H318" t="n">
        <v>6</v>
      </c>
      <c r="I318" s="31" t="n">
        <v>3.2</v>
      </c>
    </row>
    <row r="319">
      <c r="A319" t="inlineStr">
        <is>
          <t>RX825165</t>
        </is>
      </c>
      <c r="B319" t="inlineStr">
        <is>
          <t>ENC121195</t>
        </is>
      </c>
      <c r="C319" s="33" t="n">
        <v>46003.82916666667</v>
      </c>
      <c r="D319" t="inlineStr">
        <is>
          <t>Sodium Chloride 0.9%</t>
        </is>
      </c>
      <c r="E319" t="inlineStr">
        <is>
          <t>1000 mL</t>
        </is>
      </c>
      <c r="F319" t="inlineStr">
        <is>
          <t>IV</t>
        </is>
      </c>
      <c r="G319" t="inlineStr">
        <is>
          <t>Continuous</t>
        </is>
      </c>
      <c r="H319" t="n">
        <v>13</v>
      </c>
      <c r="I319" s="31" t="n">
        <v>1.75</v>
      </c>
    </row>
    <row r="320">
      <c r="A320" t="inlineStr">
        <is>
          <t>RX825167</t>
        </is>
      </c>
      <c r="B320" t="inlineStr">
        <is>
          <t>ENC121195</t>
        </is>
      </c>
      <c r="C320" s="33" t="n">
        <v>46003.90555555555</v>
      </c>
      <c r="D320" t="inlineStr">
        <is>
          <t>Enoxaparin</t>
        </is>
      </c>
      <c r="E320" t="inlineStr">
        <is>
          <t>40 mg</t>
        </is>
      </c>
      <c r="F320" t="inlineStr">
        <is>
          <t>SubQ</t>
        </is>
      </c>
      <c r="G320" t="inlineStr">
        <is>
          <t>Daily</t>
        </is>
      </c>
      <c r="H320" t="n">
        <v>5</v>
      </c>
      <c r="I320" s="31" t="n">
        <v>6.75</v>
      </c>
    </row>
    <row r="321">
      <c r="A321" t="inlineStr">
        <is>
          <t>RX825224</t>
        </is>
      </c>
      <c r="B321" t="inlineStr">
        <is>
          <t>ENC121233</t>
        </is>
      </c>
      <c r="C321" s="33" t="n">
        <v>46005.25416666667</v>
      </c>
      <c r="D321" t="inlineStr">
        <is>
          <t>Pantoprazole</t>
        </is>
      </c>
      <c r="E321" t="inlineStr">
        <is>
          <t>40 mg</t>
        </is>
      </c>
      <c r="F321" t="inlineStr">
        <is>
          <t>IV</t>
        </is>
      </c>
      <c r="G321" t="inlineStr">
        <is>
          <t>Daily</t>
        </is>
      </c>
      <c r="H321" t="n">
        <v>7</v>
      </c>
      <c r="I321" s="31" t="n">
        <v>2.1</v>
      </c>
    </row>
    <row r="322">
      <c r="A322" t="inlineStr">
        <is>
          <t>RX825267</t>
        </is>
      </c>
      <c r="B322" t="inlineStr">
        <is>
          <t>ENC121256</t>
        </is>
      </c>
      <c r="C322" s="33" t="n">
        <v>46006.60277777778</v>
      </c>
      <c r="D322" t="inlineStr">
        <is>
          <t>Azithromycin</t>
        </is>
      </c>
      <c r="E322" t="inlineStr">
        <is>
          <t>500 mg</t>
        </is>
      </c>
      <c r="F322" t="inlineStr">
        <is>
          <t>PO</t>
        </is>
      </c>
      <c r="G322" t="inlineStr">
        <is>
          <t>Daily</t>
        </is>
      </c>
      <c r="H322" t="n">
        <v>4</v>
      </c>
      <c r="I322" s="31" t="n">
        <v>1.1</v>
      </c>
    </row>
    <row r="323">
      <c r="A323" t="inlineStr">
        <is>
          <t>RX825265</t>
        </is>
      </c>
      <c r="B323" t="inlineStr">
        <is>
          <t>ENC121256</t>
        </is>
      </c>
      <c r="C323" s="33" t="n">
        <v>46006.64930555555</v>
      </c>
      <c r="D323" t="inlineStr">
        <is>
          <t>Methylprednisolone</t>
        </is>
      </c>
      <c r="E323" t="inlineStr">
        <is>
          <t>40 mg</t>
        </is>
      </c>
      <c r="F323" t="inlineStr">
        <is>
          <t>IV</t>
        </is>
      </c>
      <c r="G323" t="inlineStr">
        <is>
          <t>Q8H</t>
        </is>
      </c>
      <c r="H323" t="n">
        <v>15</v>
      </c>
      <c r="I323" s="31" t="n">
        <v>3.9</v>
      </c>
    </row>
    <row r="324">
      <c r="A324" t="inlineStr">
        <is>
          <t>RX825266</t>
        </is>
      </c>
      <c r="B324" t="inlineStr">
        <is>
          <t>ENC121256</t>
        </is>
      </c>
      <c r="C324" s="33" t="n">
        <v>46006.65208333333</v>
      </c>
      <c r="D324" t="inlineStr">
        <is>
          <t>Prednisone</t>
        </is>
      </c>
      <c r="E324" t="inlineStr">
        <is>
          <t>40 mg</t>
        </is>
      </c>
      <c r="F324" t="inlineStr">
        <is>
          <t>PO</t>
        </is>
      </c>
      <c r="G324" t="inlineStr">
        <is>
          <t>Daily</t>
        </is>
      </c>
      <c r="H324" t="n">
        <v>5</v>
      </c>
      <c r="I324" s="31" t="n">
        <v>0.2</v>
      </c>
    </row>
    <row r="325">
      <c r="A325" t="inlineStr">
        <is>
          <t>RX825264</t>
        </is>
      </c>
      <c r="B325" t="inlineStr">
        <is>
          <t>ENC121256</t>
        </is>
      </c>
      <c r="C325" s="33" t="n">
        <v>46006.75</v>
      </c>
      <c r="D325" t="inlineStr">
        <is>
          <t>Ipratropium-Albuterol</t>
        </is>
      </c>
      <c r="E325" t="inlineStr">
        <is>
          <t>3 mL</t>
        </is>
      </c>
      <c r="F325" t="inlineStr">
        <is>
          <t>Inhaled</t>
        </is>
      </c>
      <c r="G325" t="inlineStr">
        <is>
          <t>Q6H</t>
        </is>
      </c>
      <c r="H325" t="n">
        <v>15</v>
      </c>
      <c r="I325" s="31" t="n">
        <v>1.05</v>
      </c>
    </row>
    <row r="326">
      <c r="A326" t="inlineStr">
        <is>
          <t>RX825288</t>
        </is>
      </c>
      <c r="B326" t="inlineStr">
        <is>
          <t>ENC121292</t>
        </is>
      </c>
      <c r="C326" s="33" t="n">
        <v>46007.00833333333</v>
      </c>
      <c r="D326" t="inlineStr">
        <is>
          <t>Acetaminophen</t>
        </is>
      </c>
      <c r="E326" t="inlineStr">
        <is>
          <t>650 mg</t>
        </is>
      </c>
      <c r="F326" t="inlineStr">
        <is>
          <t>PO</t>
        </is>
      </c>
      <c r="G326" t="inlineStr">
        <is>
          <t>Q6H PRN</t>
        </is>
      </c>
      <c r="H326" t="n">
        <v>7</v>
      </c>
      <c r="I326" s="31" t="n">
        <v>0.08</v>
      </c>
    </row>
    <row r="327">
      <c r="A327" t="inlineStr">
        <is>
          <t>RX825287</t>
        </is>
      </c>
      <c r="B327" t="inlineStr">
        <is>
          <t>ENC121292</t>
        </is>
      </c>
      <c r="C327" s="33" t="n">
        <v>46007.06875</v>
      </c>
      <c r="D327" t="inlineStr">
        <is>
          <t>Heparin</t>
        </is>
      </c>
      <c r="E327" t="inlineStr">
        <is>
          <t>5000 units</t>
        </is>
      </c>
      <c r="F327" t="inlineStr">
        <is>
          <t>SubQ</t>
        </is>
      </c>
      <c r="G327" t="inlineStr">
        <is>
          <t>Q8H</t>
        </is>
      </c>
      <c r="H327" t="n">
        <v>10</v>
      </c>
      <c r="I327" s="31" t="n">
        <v>1.6</v>
      </c>
    </row>
    <row r="328">
      <c r="A328" t="inlineStr">
        <is>
          <t>RX825326</t>
        </is>
      </c>
      <c r="B328" t="inlineStr">
        <is>
          <t>ENC121329</t>
        </is>
      </c>
      <c r="C328" s="33" t="n">
        <v>46007.94861111111</v>
      </c>
      <c r="D328" t="inlineStr">
        <is>
          <t>Enoxaparin</t>
        </is>
      </c>
      <c r="E328" t="inlineStr">
        <is>
          <t>40 mg</t>
        </is>
      </c>
      <c r="F328" t="inlineStr">
        <is>
          <t>SubQ</t>
        </is>
      </c>
      <c r="G328" t="inlineStr">
        <is>
          <t>Daily</t>
        </is>
      </c>
      <c r="H328" t="n">
        <v>2</v>
      </c>
      <c r="I328" s="31" t="n">
        <v>6.75</v>
      </c>
    </row>
    <row r="329">
      <c r="A329" t="inlineStr">
        <is>
          <t>RX825325</t>
        </is>
      </c>
      <c r="B329" t="inlineStr">
        <is>
          <t>ENC121329</t>
        </is>
      </c>
      <c r="C329" s="33" t="n">
        <v>46008.13958333333</v>
      </c>
      <c r="D329" t="inlineStr">
        <is>
          <t>Methylprednisolone</t>
        </is>
      </c>
      <c r="E329" t="inlineStr">
        <is>
          <t>40 mg</t>
        </is>
      </c>
      <c r="F329" t="inlineStr">
        <is>
          <t>IV</t>
        </is>
      </c>
      <c r="G329" t="inlineStr">
        <is>
          <t>Q8H</t>
        </is>
      </c>
      <c r="H329" t="n">
        <v>7</v>
      </c>
      <c r="I329" s="31" t="n">
        <v>3.9</v>
      </c>
    </row>
    <row r="330">
      <c r="A330" t="inlineStr">
        <is>
          <t>RX825349</t>
        </is>
      </c>
      <c r="B330" t="inlineStr">
        <is>
          <t>ENC121351</t>
        </is>
      </c>
      <c r="C330" s="33" t="n">
        <v>46008.55555555555</v>
      </c>
      <c r="D330" t="inlineStr">
        <is>
          <t>Ceftriaxone</t>
        </is>
      </c>
      <c r="E330" t="inlineStr">
        <is>
          <t>1 g</t>
        </is>
      </c>
      <c r="F330" t="inlineStr">
        <is>
          <t>IV</t>
        </is>
      </c>
      <c r="G330" t="inlineStr">
        <is>
          <t>Q24H</t>
        </is>
      </c>
      <c r="H330" t="n">
        <v>4</v>
      </c>
      <c r="I330" s="31" t="n">
        <v>3.2</v>
      </c>
    </row>
    <row r="331">
      <c r="A331" t="inlineStr">
        <is>
          <t>RX825351</t>
        </is>
      </c>
      <c r="B331" t="inlineStr">
        <is>
          <t>ENC121351</t>
        </is>
      </c>
      <c r="C331" s="33" t="n">
        <v>46008.60138888889</v>
      </c>
      <c r="D331" t="inlineStr">
        <is>
          <t>Acetaminophen</t>
        </is>
      </c>
      <c r="E331" t="inlineStr">
        <is>
          <t>650 mg</t>
        </is>
      </c>
      <c r="F331" t="inlineStr">
        <is>
          <t>PO</t>
        </is>
      </c>
      <c r="G331" t="inlineStr">
        <is>
          <t>Q6H PRN</t>
        </is>
      </c>
      <c r="H331" t="n">
        <v>7</v>
      </c>
      <c r="I331" s="31" t="n">
        <v>0.08</v>
      </c>
    </row>
    <row r="332">
      <c r="A332" t="inlineStr">
        <is>
          <t>RX825350</t>
        </is>
      </c>
      <c r="B332" t="inlineStr">
        <is>
          <t>ENC121351</t>
        </is>
      </c>
      <c r="C332" s="33" t="n">
        <v>46008.60555555556</v>
      </c>
      <c r="D332" t="inlineStr">
        <is>
          <t>Azithromycin</t>
        </is>
      </c>
      <c r="E332" t="inlineStr">
        <is>
          <t>500 mg</t>
        </is>
      </c>
      <c r="F332" t="inlineStr">
        <is>
          <t>PO</t>
        </is>
      </c>
      <c r="G332" t="inlineStr">
        <is>
          <t>Daily</t>
        </is>
      </c>
      <c r="H332" t="n">
        <v>3</v>
      </c>
      <c r="I332" s="31" t="n">
        <v>1.1</v>
      </c>
    </row>
    <row r="333">
      <c r="A333" t="inlineStr">
        <is>
          <t>RX825352</t>
        </is>
      </c>
      <c r="B333" t="inlineStr">
        <is>
          <t>ENC121351</t>
        </is>
      </c>
      <c r="C333" s="33" t="n">
        <v>46008.73472222222</v>
      </c>
      <c r="D333" t="inlineStr">
        <is>
          <t>Enoxaparin</t>
        </is>
      </c>
      <c r="E333" t="inlineStr">
        <is>
          <t>40 mg</t>
        </is>
      </c>
      <c r="F333" t="inlineStr">
        <is>
          <t>SubQ</t>
        </is>
      </c>
      <c r="G333" t="inlineStr">
        <is>
          <t>Daily</t>
        </is>
      </c>
      <c r="H333" t="n">
        <v>3</v>
      </c>
      <c r="I333" s="31" t="n">
        <v>6.75</v>
      </c>
    </row>
    <row r="334">
      <c r="A334" t="inlineStr">
        <is>
          <t>RX825387</t>
        </is>
      </c>
      <c r="B334" t="inlineStr">
        <is>
          <t>ENC121389</t>
        </is>
      </c>
      <c r="C334" s="33" t="n">
        <v>46009.35</v>
      </c>
      <c r="D334" t="inlineStr">
        <is>
          <t>Morphine</t>
        </is>
      </c>
      <c r="E334" t="inlineStr">
        <is>
          <t>2 mg</t>
        </is>
      </c>
      <c r="F334" t="inlineStr">
        <is>
          <t>IV</t>
        </is>
      </c>
      <c r="G334" t="inlineStr">
        <is>
          <t>Q4H PRN</t>
        </is>
      </c>
      <c r="H334" t="n">
        <v>7</v>
      </c>
      <c r="I334" s="31" t="n">
        <v>1.95</v>
      </c>
    </row>
    <row r="335">
      <c r="A335" t="inlineStr">
        <is>
          <t>RX825388</t>
        </is>
      </c>
      <c r="B335" t="inlineStr">
        <is>
          <t>ENC121389</t>
        </is>
      </c>
      <c r="C335" s="33" t="n">
        <v>46009.39097222222</v>
      </c>
      <c r="D335" t="inlineStr">
        <is>
          <t>Lactated Ringer's</t>
        </is>
      </c>
      <c r="E335" t="inlineStr">
        <is>
          <t>1000 mL</t>
        </is>
      </c>
      <c r="F335" t="inlineStr">
        <is>
          <t>IV</t>
        </is>
      </c>
      <c r="G335" t="inlineStr">
        <is>
          <t>Continuous</t>
        </is>
      </c>
      <c r="H335" t="n">
        <v>7</v>
      </c>
      <c r="I335" s="31" t="n">
        <v>1.9</v>
      </c>
    </row>
    <row r="336">
      <c r="A336" t="inlineStr">
        <is>
          <t>RX825389</t>
        </is>
      </c>
      <c r="B336" t="inlineStr">
        <is>
          <t>ENC121389</t>
        </is>
      </c>
      <c r="C336" s="33" t="n">
        <v>46009.42777777778</v>
      </c>
      <c r="D336" t="inlineStr">
        <is>
          <t>Acetaminophen</t>
        </is>
      </c>
      <c r="E336" t="inlineStr">
        <is>
          <t>650 mg</t>
        </is>
      </c>
      <c r="F336" t="inlineStr">
        <is>
          <t>PO</t>
        </is>
      </c>
      <c r="G336" t="inlineStr">
        <is>
          <t>Q6H PRN</t>
        </is>
      </c>
      <c r="H336" t="n">
        <v>5</v>
      </c>
      <c r="I336" s="31" t="n">
        <v>0.08</v>
      </c>
    </row>
    <row r="337">
      <c r="A337" t="inlineStr">
        <is>
          <t>RX825386</t>
        </is>
      </c>
      <c r="B337" t="inlineStr">
        <is>
          <t>ENC121389</t>
        </is>
      </c>
      <c r="C337" s="33" t="n">
        <v>46009.46805555555</v>
      </c>
      <c r="D337" t="inlineStr">
        <is>
          <t>Ceftriaxone</t>
        </is>
      </c>
      <c r="E337" t="inlineStr">
        <is>
          <t>1 g</t>
        </is>
      </c>
      <c r="F337" t="inlineStr">
        <is>
          <t>IV</t>
        </is>
      </c>
      <c r="G337" t="inlineStr">
        <is>
          <t>Q24H</t>
        </is>
      </c>
      <c r="H337" t="n">
        <v>3</v>
      </c>
      <c r="I337" s="31" t="n">
        <v>3.2</v>
      </c>
    </row>
    <row r="338">
      <c r="A338" t="inlineStr">
        <is>
          <t>RX825385</t>
        </is>
      </c>
      <c r="B338" t="inlineStr">
        <is>
          <t>ENC121389</t>
        </is>
      </c>
      <c r="C338" s="33" t="n">
        <v>46009.55763888889</v>
      </c>
      <c r="D338" t="inlineStr">
        <is>
          <t>Piperacillin-Tazobactam</t>
        </is>
      </c>
      <c r="E338" t="inlineStr">
        <is>
          <t>4.5 g</t>
        </is>
      </c>
      <c r="F338" t="inlineStr">
        <is>
          <t>IV</t>
        </is>
      </c>
      <c r="G338" t="inlineStr">
        <is>
          <t>Q6H</t>
        </is>
      </c>
      <c r="H338" t="n">
        <v>10</v>
      </c>
      <c r="I338" s="31" t="n">
        <v>14.5</v>
      </c>
    </row>
    <row r="339">
      <c r="A339" t="inlineStr">
        <is>
          <t>RX825405</t>
        </is>
      </c>
      <c r="B339" t="inlineStr">
        <is>
          <t>ENC121410</t>
        </is>
      </c>
      <c r="C339" s="33" t="n">
        <v>46009.61666666667</v>
      </c>
      <c r="D339" t="inlineStr">
        <is>
          <t>Acetaminophen</t>
        </is>
      </c>
      <c r="E339" t="inlineStr">
        <is>
          <t>650 mg</t>
        </is>
      </c>
      <c r="F339" t="inlineStr">
        <is>
          <t>PO</t>
        </is>
      </c>
      <c r="G339" t="inlineStr">
        <is>
          <t>Q6H PRN</t>
        </is>
      </c>
      <c r="H339" t="n">
        <v>10</v>
      </c>
      <c r="I339" s="31" t="n">
        <v>0.08</v>
      </c>
    </row>
    <row r="340">
      <c r="A340" t="inlineStr">
        <is>
          <t>RX825404</t>
        </is>
      </c>
      <c r="B340" t="inlineStr">
        <is>
          <t>ENC121410</t>
        </is>
      </c>
      <c r="C340" s="33" t="n">
        <v>46009.62291666667</v>
      </c>
      <c r="D340" t="inlineStr">
        <is>
          <t>Methylprednisolone</t>
        </is>
      </c>
      <c r="E340" t="inlineStr">
        <is>
          <t>40 mg</t>
        </is>
      </c>
      <c r="F340" t="inlineStr">
        <is>
          <t>IV</t>
        </is>
      </c>
      <c r="G340" t="inlineStr">
        <is>
          <t>Q8H</t>
        </is>
      </c>
      <c r="H340" t="n">
        <v>15</v>
      </c>
      <c r="I340" s="31" t="n">
        <v>3.9</v>
      </c>
    </row>
    <row r="341">
      <c r="A341" t="inlineStr">
        <is>
          <t>RX825416</t>
        </is>
      </c>
      <c r="B341" t="inlineStr">
        <is>
          <t>ENC121423</t>
        </is>
      </c>
      <c r="C341" s="33" t="n">
        <v>46010.0375</v>
      </c>
      <c r="D341" t="inlineStr">
        <is>
          <t>Enoxaparin</t>
        </is>
      </c>
      <c r="E341" t="inlineStr">
        <is>
          <t>40 mg</t>
        </is>
      </c>
      <c r="F341" t="inlineStr">
        <is>
          <t>SubQ</t>
        </is>
      </c>
      <c r="G341" t="inlineStr">
        <is>
          <t>Daily</t>
        </is>
      </c>
      <c r="H341" t="n">
        <v>3</v>
      </c>
      <c r="I341" s="31" t="n">
        <v>6.75</v>
      </c>
    </row>
    <row r="342">
      <c r="A342" t="inlineStr">
        <is>
          <t>RX825415</t>
        </is>
      </c>
      <c r="B342" t="inlineStr">
        <is>
          <t>ENC121423</t>
        </is>
      </c>
      <c r="C342" s="33" t="n">
        <v>46010.19236111111</v>
      </c>
      <c r="D342" t="inlineStr">
        <is>
          <t>Ipratropium-Albuterol</t>
        </is>
      </c>
      <c r="E342" t="inlineStr">
        <is>
          <t>3 mL</t>
        </is>
      </c>
      <c r="F342" t="inlineStr">
        <is>
          <t>Inhaled</t>
        </is>
      </c>
      <c r="G342" t="inlineStr">
        <is>
          <t>Q6H</t>
        </is>
      </c>
      <c r="H342" t="n">
        <v>8</v>
      </c>
      <c r="I342" s="31" t="n">
        <v>1.05</v>
      </c>
    </row>
    <row r="343">
      <c r="A343" t="inlineStr">
        <is>
          <t>RX825417</t>
        </is>
      </c>
      <c r="B343" t="inlineStr">
        <is>
          <t>ENC121423</t>
        </is>
      </c>
      <c r="C343" s="33" t="n">
        <v>46010.25902777778</v>
      </c>
      <c r="D343" t="inlineStr">
        <is>
          <t>Acetaminophen</t>
        </is>
      </c>
      <c r="E343" t="inlineStr">
        <is>
          <t>650 mg</t>
        </is>
      </c>
      <c r="F343" t="inlineStr">
        <is>
          <t>PO</t>
        </is>
      </c>
      <c r="G343" t="inlineStr">
        <is>
          <t>Q6H PRN</t>
        </is>
      </c>
      <c r="H343" t="n">
        <v>5</v>
      </c>
      <c r="I343" s="31" t="n">
        <v>0.08</v>
      </c>
    </row>
    <row r="344">
      <c r="A344" t="inlineStr">
        <is>
          <t>RX825430</t>
        </is>
      </c>
      <c r="B344" t="inlineStr">
        <is>
          <t>ENC121436</t>
        </is>
      </c>
      <c r="C344" s="33" t="n">
        <v>46010.65972222222</v>
      </c>
      <c r="D344" t="inlineStr">
        <is>
          <t>Acetaminophen</t>
        </is>
      </c>
      <c r="E344" t="inlineStr">
        <is>
          <t>650 mg</t>
        </is>
      </c>
      <c r="F344" t="inlineStr">
        <is>
          <t>PO</t>
        </is>
      </c>
      <c r="G344" t="inlineStr">
        <is>
          <t>Q6H PRN</t>
        </is>
      </c>
      <c r="H344" t="n">
        <v>6</v>
      </c>
      <c r="I344" s="31" t="n">
        <v>0.08</v>
      </c>
    </row>
    <row r="345">
      <c r="A345" t="inlineStr">
        <is>
          <t>RX825428</t>
        </is>
      </c>
      <c r="B345" t="inlineStr">
        <is>
          <t>ENC121436</t>
        </is>
      </c>
      <c r="C345" s="33" t="n">
        <v>46010.74444444444</v>
      </c>
      <c r="D345" t="inlineStr">
        <is>
          <t>Ceftriaxone</t>
        </is>
      </c>
      <c r="E345" t="inlineStr">
        <is>
          <t>1 g</t>
        </is>
      </c>
      <c r="F345" t="inlineStr">
        <is>
          <t>IV</t>
        </is>
      </c>
      <c r="G345" t="inlineStr">
        <is>
          <t>Q24H</t>
        </is>
      </c>
      <c r="H345" t="n">
        <v>2</v>
      </c>
      <c r="I345" s="31" t="n">
        <v>3.2</v>
      </c>
    </row>
    <row r="346">
      <c r="A346" t="inlineStr">
        <is>
          <t>RX825431</t>
        </is>
      </c>
      <c r="B346" t="inlineStr">
        <is>
          <t>ENC121436</t>
        </is>
      </c>
      <c r="C346" s="33" t="n">
        <v>46010.775</v>
      </c>
      <c r="D346" t="inlineStr">
        <is>
          <t>Enoxaparin</t>
        </is>
      </c>
      <c r="E346" t="inlineStr">
        <is>
          <t>40 mg</t>
        </is>
      </c>
      <c r="F346" t="inlineStr">
        <is>
          <t>SubQ</t>
        </is>
      </c>
      <c r="G346" t="inlineStr">
        <is>
          <t>Daily</t>
        </is>
      </c>
      <c r="H346" t="n">
        <v>2</v>
      </c>
      <c r="I346" s="31" t="n">
        <v>6.75</v>
      </c>
    </row>
    <row r="347">
      <c r="A347" t="inlineStr">
        <is>
          <t>RX825429</t>
        </is>
      </c>
      <c r="B347" t="inlineStr">
        <is>
          <t>ENC121436</t>
        </is>
      </c>
      <c r="C347" s="33" t="n">
        <v>46010.88611111111</v>
      </c>
      <c r="D347" t="inlineStr">
        <is>
          <t>Azithromycin</t>
        </is>
      </c>
      <c r="E347" t="inlineStr">
        <is>
          <t>500 mg</t>
        </is>
      </c>
      <c r="F347" t="inlineStr">
        <is>
          <t>PO</t>
        </is>
      </c>
      <c r="G347" t="inlineStr">
        <is>
          <t>Daily</t>
        </is>
      </c>
      <c r="H347" t="n">
        <v>2</v>
      </c>
      <c r="I347" s="31" t="n">
        <v>1.1</v>
      </c>
    </row>
    <row r="348">
      <c r="A348" t="inlineStr">
        <is>
          <t>RX825445</t>
        </is>
      </c>
      <c r="B348" t="inlineStr">
        <is>
          <t>ENC121458</t>
        </is>
      </c>
      <c r="C348" s="33" t="n">
        <v>46011.13125</v>
      </c>
      <c r="D348" t="inlineStr">
        <is>
          <t>Heparin</t>
        </is>
      </c>
      <c r="E348" t="inlineStr">
        <is>
          <t>5000 units</t>
        </is>
      </c>
      <c r="F348" t="inlineStr">
        <is>
          <t>SubQ</t>
        </is>
      </c>
      <c r="G348" t="inlineStr">
        <is>
          <t>Q8H</t>
        </is>
      </c>
      <c r="H348" t="n">
        <v>12</v>
      </c>
      <c r="I348" s="31" t="n">
        <v>1.6</v>
      </c>
    </row>
    <row r="349">
      <c r="A349" t="inlineStr">
        <is>
          <t>RX825444</t>
        </is>
      </c>
      <c r="B349" t="inlineStr">
        <is>
          <t>ENC121458</t>
        </is>
      </c>
      <c r="C349" s="33" t="n">
        <v>46011.18958333333</v>
      </c>
      <c r="D349" t="inlineStr">
        <is>
          <t>Acetaminophen</t>
        </is>
      </c>
      <c r="E349" t="inlineStr">
        <is>
          <t>650 mg</t>
        </is>
      </c>
      <c r="F349" t="inlineStr">
        <is>
          <t>PO</t>
        </is>
      </c>
      <c r="G349" t="inlineStr">
        <is>
          <t>Q6H PRN</t>
        </is>
      </c>
      <c r="H349" t="n">
        <v>7</v>
      </c>
      <c r="I349" s="31" t="n">
        <v>0.08</v>
      </c>
    </row>
    <row r="350">
      <c r="A350" t="inlineStr">
        <is>
          <t>RX825512</t>
        </is>
      </c>
      <c r="B350" t="inlineStr">
        <is>
          <t>ENC121501</t>
        </is>
      </c>
      <c r="C350" s="33" t="n">
        <v>46012.80833333333</v>
      </c>
      <c r="D350" t="inlineStr">
        <is>
          <t>Acetaminophen</t>
        </is>
      </c>
      <c r="E350" t="inlineStr">
        <is>
          <t>650 mg</t>
        </is>
      </c>
      <c r="F350" t="inlineStr">
        <is>
          <t>PO</t>
        </is>
      </c>
      <c r="G350" t="inlineStr">
        <is>
          <t>Q6H PRN</t>
        </is>
      </c>
      <c r="H350" t="n">
        <v>4</v>
      </c>
      <c r="I350" s="31" t="n">
        <v>0.08</v>
      </c>
    </row>
    <row r="351">
      <c r="A351" t="inlineStr">
        <is>
          <t>RX825511</t>
        </is>
      </c>
      <c r="B351" t="inlineStr">
        <is>
          <t>ENC121501</t>
        </is>
      </c>
      <c r="C351" s="33" t="n">
        <v>46012.82152777778</v>
      </c>
      <c r="D351" t="inlineStr">
        <is>
          <t>Azithromycin</t>
        </is>
      </c>
      <c r="E351" t="inlineStr">
        <is>
          <t>500 mg</t>
        </is>
      </c>
      <c r="F351" t="inlineStr">
        <is>
          <t>PO</t>
        </is>
      </c>
      <c r="G351" t="inlineStr">
        <is>
          <t>Daily</t>
        </is>
      </c>
      <c r="H351" t="n">
        <v>2</v>
      </c>
      <c r="I351" s="31" t="n">
        <v>1.1</v>
      </c>
    </row>
    <row r="352">
      <c r="A352" t="inlineStr">
        <is>
          <t>RX825510</t>
        </is>
      </c>
      <c r="B352" t="inlineStr">
        <is>
          <t>ENC121501</t>
        </is>
      </c>
      <c r="C352" s="33" t="n">
        <v>46012.83472222222</v>
      </c>
      <c r="D352" t="inlineStr">
        <is>
          <t>Ceftriaxone</t>
        </is>
      </c>
      <c r="E352" t="inlineStr">
        <is>
          <t>1 g</t>
        </is>
      </c>
      <c r="F352" t="inlineStr">
        <is>
          <t>IV</t>
        </is>
      </c>
      <c r="G352" t="inlineStr">
        <is>
          <t>Q24H</t>
        </is>
      </c>
      <c r="H352" t="n">
        <v>2</v>
      </c>
      <c r="I352" s="31" t="n">
        <v>3.2</v>
      </c>
    </row>
    <row r="353">
      <c r="A353" t="inlineStr">
        <is>
          <t>RX825513</t>
        </is>
      </c>
      <c r="B353" t="inlineStr">
        <is>
          <t>ENC121503</t>
        </is>
      </c>
      <c r="C353" s="33" t="n">
        <v>46012.93333333333</v>
      </c>
      <c r="D353" t="inlineStr">
        <is>
          <t>Sodium Chloride 0.9%</t>
        </is>
      </c>
      <c r="E353" t="inlineStr">
        <is>
          <t>1000 mL</t>
        </is>
      </c>
      <c r="F353" t="inlineStr">
        <is>
          <t>IV</t>
        </is>
      </c>
      <c r="G353" t="inlineStr">
        <is>
          <t>Continuous</t>
        </is>
      </c>
      <c r="H353" t="n">
        <v>6</v>
      </c>
      <c r="I353" s="31" t="n">
        <v>1.75</v>
      </c>
    </row>
    <row r="354">
      <c r="A354" t="inlineStr">
        <is>
          <t>RX825547</t>
        </is>
      </c>
      <c r="B354" t="inlineStr">
        <is>
          <t>ENC121535</t>
        </is>
      </c>
      <c r="C354" s="33" t="n">
        <v>46013.61180555556</v>
      </c>
      <c r="D354" t="inlineStr">
        <is>
          <t>Acetaminophen</t>
        </is>
      </c>
      <c r="E354" t="inlineStr">
        <is>
          <t>650 mg</t>
        </is>
      </c>
      <c r="F354" t="inlineStr">
        <is>
          <t>PO</t>
        </is>
      </c>
      <c r="G354" t="inlineStr">
        <is>
          <t>Q6H PRN</t>
        </is>
      </c>
      <c r="H354" t="n">
        <v>5</v>
      </c>
      <c r="I354" s="31" t="n">
        <v>0.08</v>
      </c>
    </row>
    <row r="355">
      <c r="A355" t="inlineStr">
        <is>
          <t>RX825524</t>
        </is>
      </c>
      <c r="B355" t="inlineStr">
        <is>
          <t>ENC121519</t>
        </is>
      </c>
      <c r="C355" s="33" t="n">
        <v>46013.65416666667</v>
      </c>
      <c r="D355" t="inlineStr">
        <is>
          <t>Sodium Chloride 0.9%</t>
        </is>
      </c>
      <c r="E355" t="inlineStr">
        <is>
          <t>1000 mL</t>
        </is>
      </c>
      <c r="F355" t="inlineStr">
        <is>
          <t>IV</t>
        </is>
      </c>
      <c r="G355" t="inlineStr">
        <is>
          <t>Continuous</t>
        </is>
      </c>
      <c r="H355" t="n">
        <v>5</v>
      </c>
      <c r="I355" s="31" t="n">
        <v>1.75</v>
      </c>
    </row>
    <row r="356">
      <c r="A356" t="inlineStr">
        <is>
          <t>RX825546</t>
        </is>
      </c>
      <c r="B356" t="inlineStr">
        <is>
          <t>ENC121535</t>
        </is>
      </c>
      <c r="C356" s="33" t="n">
        <v>46013.65972222222</v>
      </c>
      <c r="D356" t="inlineStr">
        <is>
          <t>Azithromycin</t>
        </is>
      </c>
      <c r="E356" t="inlineStr">
        <is>
          <t>500 mg</t>
        </is>
      </c>
      <c r="F356" t="inlineStr">
        <is>
          <t>PO</t>
        </is>
      </c>
      <c r="G356" t="inlineStr">
        <is>
          <t>Daily</t>
        </is>
      </c>
      <c r="H356" t="n">
        <v>2</v>
      </c>
      <c r="I356" s="31" t="n">
        <v>1.1</v>
      </c>
    </row>
    <row r="357">
      <c r="A357" t="inlineStr">
        <is>
          <t>RX825545</t>
        </is>
      </c>
      <c r="B357" t="inlineStr">
        <is>
          <t>ENC121535</t>
        </is>
      </c>
      <c r="C357" s="33" t="n">
        <v>46013.71458333333</v>
      </c>
      <c r="D357" t="inlineStr">
        <is>
          <t>Ceftriaxone</t>
        </is>
      </c>
      <c r="E357" t="inlineStr">
        <is>
          <t>1 g</t>
        </is>
      </c>
      <c r="F357" t="inlineStr">
        <is>
          <t>IV</t>
        </is>
      </c>
      <c r="G357" t="inlineStr">
        <is>
          <t>Q24H</t>
        </is>
      </c>
      <c r="H357" t="n">
        <v>3</v>
      </c>
      <c r="I357" s="31" t="n">
        <v>3.2</v>
      </c>
    </row>
    <row r="358">
      <c r="A358" t="inlineStr">
        <is>
          <t>RX825525</t>
        </is>
      </c>
      <c r="B358" t="inlineStr">
        <is>
          <t>ENC121519</t>
        </is>
      </c>
      <c r="C358" s="33" t="n">
        <v>46013.75138888889</v>
      </c>
      <c r="D358" t="inlineStr">
        <is>
          <t>Ondansetron</t>
        </is>
      </c>
      <c r="E358" t="inlineStr">
        <is>
          <t>4 mg</t>
        </is>
      </c>
      <c r="F358" t="inlineStr">
        <is>
          <t>IV</t>
        </is>
      </c>
      <c r="G358" t="inlineStr">
        <is>
          <t>Q6H PRN</t>
        </is>
      </c>
      <c r="H358" t="n">
        <v>6</v>
      </c>
      <c r="I358" s="31" t="n">
        <v>0.85</v>
      </c>
    </row>
    <row r="359">
      <c r="A359" t="inlineStr">
        <is>
          <t>RX825583</t>
        </is>
      </c>
      <c r="B359" t="inlineStr">
        <is>
          <t>ENC121582</t>
        </is>
      </c>
      <c r="C359" s="33" t="n">
        <v>46014.8</v>
      </c>
      <c r="D359" t="inlineStr">
        <is>
          <t>Piperacillin-Tazobactam</t>
        </is>
      </c>
      <c r="E359" t="inlineStr">
        <is>
          <t>4.5 g</t>
        </is>
      </c>
      <c r="F359" t="inlineStr">
        <is>
          <t>IV</t>
        </is>
      </c>
      <c r="G359" t="inlineStr">
        <is>
          <t>Q6H</t>
        </is>
      </c>
      <c r="H359" t="n">
        <v>14</v>
      </c>
      <c r="I359" s="31" t="n">
        <v>14.5</v>
      </c>
    </row>
    <row r="360">
      <c r="A360" t="inlineStr">
        <is>
          <t>RX825585</t>
        </is>
      </c>
      <c r="B360" t="inlineStr">
        <is>
          <t>ENC121582</t>
        </is>
      </c>
      <c r="C360" s="33" t="n">
        <v>46014.81180555555</v>
      </c>
      <c r="D360" t="inlineStr">
        <is>
          <t>Ceftriaxone</t>
        </is>
      </c>
      <c r="E360" t="inlineStr">
        <is>
          <t>1 g</t>
        </is>
      </c>
      <c r="F360" t="inlineStr">
        <is>
          <t>IV</t>
        </is>
      </c>
      <c r="G360" t="inlineStr">
        <is>
          <t>Q24H</t>
        </is>
      </c>
      <c r="H360" t="n">
        <v>3</v>
      </c>
      <c r="I360" s="31" t="n">
        <v>3.2</v>
      </c>
    </row>
    <row r="361">
      <c r="A361" t="inlineStr">
        <is>
          <t>RX825587</t>
        </is>
      </c>
      <c r="B361" t="inlineStr">
        <is>
          <t>ENC121582</t>
        </is>
      </c>
      <c r="C361" s="33" t="n">
        <v>46014.81736111111</v>
      </c>
      <c r="D361" t="inlineStr">
        <is>
          <t>Acetaminophen</t>
        </is>
      </c>
      <c r="E361" t="inlineStr">
        <is>
          <t>650 mg</t>
        </is>
      </c>
      <c r="F361" t="inlineStr">
        <is>
          <t>PO</t>
        </is>
      </c>
      <c r="G361" t="inlineStr">
        <is>
          <t>Q6H PRN</t>
        </is>
      </c>
      <c r="H361" t="n">
        <v>7</v>
      </c>
      <c r="I361" s="31" t="n">
        <v>0.08</v>
      </c>
    </row>
    <row r="362">
      <c r="A362" t="inlineStr">
        <is>
          <t>RX825590</t>
        </is>
      </c>
      <c r="B362" t="inlineStr">
        <is>
          <t>ENC121585</t>
        </is>
      </c>
      <c r="C362" s="33" t="n">
        <v>46014.84375</v>
      </c>
      <c r="D362" t="inlineStr">
        <is>
          <t>Acetaminophen</t>
        </is>
      </c>
      <c r="E362" t="inlineStr">
        <is>
          <t>650 mg</t>
        </is>
      </c>
      <c r="F362" t="inlineStr">
        <is>
          <t>PO</t>
        </is>
      </c>
      <c r="G362" t="inlineStr">
        <is>
          <t>Q6H PRN</t>
        </is>
      </c>
      <c r="H362" t="n">
        <v>3</v>
      </c>
      <c r="I362" s="31" t="n">
        <v>0.08</v>
      </c>
    </row>
    <row r="363">
      <c r="A363" t="inlineStr">
        <is>
          <t>RX825589</t>
        </is>
      </c>
      <c r="B363" t="inlineStr">
        <is>
          <t>ENC121585</t>
        </is>
      </c>
      <c r="C363" s="33" t="n">
        <v>46014.85972222222</v>
      </c>
      <c r="D363" t="inlineStr">
        <is>
          <t>Ondansetron</t>
        </is>
      </c>
      <c r="E363" t="inlineStr">
        <is>
          <t>4 mg</t>
        </is>
      </c>
      <c r="F363" t="inlineStr">
        <is>
          <t>IV</t>
        </is>
      </c>
      <c r="G363" t="inlineStr">
        <is>
          <t>Q6H PRN</t>
        </is>
      </c>
      <c r="H363" t="n">
        <v>3</v>
      </c>
      <c r="I363" s="31" t="n">
        <v>0.85</v>
      </c>
    </row>
    <row r="364">
      <c r="A364" t="inlineStr">
        <is>
          <t>RX825584</t>
        </is>
      </c>
      <c r="B364" t="inlineStr">
        <is>
          <t>ENC121582</t>
        </is>
      </c>
      <c r="C364" s="33" t="n">
        <v>46014.87291666667</v>
      </c>
      <c r="D364" t="inlineStr">
        <is>
          <t>Vancomycin</t>
        </is>
      </c>
      <c r="E364" t="inlineStr">
        <is>
          <t>1250 mg</t>
        </is>
      </c>
      <c r="F364" t="inlineStr">
        <is>
          <t>IV</t>
        </is>
      </c>
      <c r="G364" t="inlineStr">
        <is>
          <t>Q12H</t>
        </is>
      </c>
      <c r="H364" t="n">
        <v>7</v>
      </c>
      <c r="I364" s="31" t="n">
        <v>9.800000000000001</v>
      </c>
    </row>
    <row r="365">
      <c r="A365" t="inlineStr">
        <is>
          <t>RX825588</t>
        </is>
      </c>
      <c r="B365" t="inlineStr">
        <is>
          <t>ENC121582</t>
        </is>
      </c>
      <c r="C365" s="33" t="n">
        <v>46014.90763888889</v>
      </c>
      <c r="D365" t="inlineStr">
        <is>
          <t>Heparin</t>
        </is>
      </c>
      <c r="E365" t="inlineStr">
        <is>
          <t>5000 units</t>
        </is>
      </c>
      <c r="F365" t="inlineStr">
        <is>
          <t>SubQ</t>
        </is>
      </c>
      <c r="G365" t="inlineStr">
        <is>
          <t>Q8H</t>
        </is>
      </c>
      <c r="H365" t="n">
        <v>11</v>
      </c>
      <c r="I365" s="31" t="n">
        <v>1.6</v>
      </c>
    </row>
    <row r="366">
      <c r="A366" t="inlineStr">
        <is>
          <t>RX825586</t>
        </is>
      </c>
      <c r="B366" t="inlineStr">
        <is>
          <t>ENC121582</t>
        </is>
      </c>
      <c r="C366" s="33" t="n">
        <v>46014.91944444444</v>
      </c>
      <c r="D366" t="inlineStr">
        <is>
          <t>Lactated Ringer's</t>
        </is>
      </c>
      <c r="E366" t="inlineStr">
        <is>
          <t>1000 mL</t>
        </is>
      </c>
      <c r="F366" t="inlineStr">
        <is>
          <t>IV</t>
        </is>
      </c>
      <c r="G366" t="inlineStr">
        <is>
          <t>Continuous</t>
        </is>
      </c>
      <c r="H366" t="n">
        <v>6</v>
      </c>
      <c r="I366" s="31" t="n">
        <v>1.9</v>
      </c>
    </row>
    <row r="367">
      <c r="A367" t="inlineStr">
        <is>
          <t>RX825625</t>
        </is>
      </c>
      <c r="B367" t="inlineStr">
        <is>
          <t>ENC121611</t>
        </is>
      </c>
      <c r="C367" s="33" t="n">
        <v>46015.21041666667</v>
      </c>
      <c r="D367" t="inlineStr">
        <is>
          <t>Enoxaparin</t>
        </is>
      </c>
      <c r="E367" t="inlineStr">
        <is>
          <t>40 mg</t>
        </is>
      </c>
      <c r="F367" t="inlineStr">
        <is>
          <t>SubQ</t>
        </is>
      </c>
      <c r="G367" t="inlineStr">
        <is>
          <t>Daily</t>
        </is>
      </c>
      <c r="H367" t="n">
        <v>3</v>
      </c>
      <c r="I367" s="31" t="n">
        <v>6.75</v>
      </c>
    </row>
    <row r="368">
      <c r="A368" t="inlineStr">
        <is>
          <t>RX825624</t>
        </is>
      </c>
      <c r="B368" t="inlineStr">
        <is>
          <t>ENC121611</t>
        </is>
      </c>
      <c r="C368" s="33" t="n">
        <v>46015.23194444444</v>
      </c>
      <c r="D368" t="inlineStr">
        <is>
          <t>Azithromycin</t>
        </is>
      </c>
      <c r="E368" t="inlineStr">
        <is>
          <t>500 mg</t>
        </is>
      </c>
      <c r="F368" t="inlineStr">
        <is>
          <t>PO</t>
        </is>
      </c>
      <c r="G368" t="inlineStr">
        <is>
          <t>Daily</t>
        </is>
      </c>
      <c r="H368" t="n">
        <v>3</v>
      </c>
      <c r="I368" s="31" t="n">
        <v>1.1</v>
      </c>
    </row>
    <row r="369">
      <c r="A369" t="inlineStr">
        <is>
          <t>RX825622</t>
        </is>
      </c>
      <c r="B369" t="inlineStr">
        <is>
          <t>ENC121611</t>
        </is>
      </c>
      <c r="C369" s="33" t="n">
        <v>46015.27361111111</v>
      </c>
      <c r="D369" t="inlineStr">
        <is>
          <t>Methylprednisolone</t>
        </is>
      </c>
      <c r="E369" t="inlineStr">
        <is>
          <t>40 mg</t>
        </is>
      </c>
      <c r="F369" t="inlineStr">
        <is>
          <t>IV</t>
        </is>
      </c>
      <c r="G369" t="inlineStr">
        <is>
          <t>Q8H</t>
        </is>
      </c>
      <c r="H369" t="n">
        <v>8</v>
      </c>
      <c r="I369" s="31" t="n">
        <v>3.9</v>
      </c>
    </row>
    <row r="370">
      <c r="A370" t="inlineStr">
        <is>
          <t>RX825623</t>
        </is>
      </c>
      <c r="B370" t="inlineStr">
        <is>
          <t>ENC121611</t>
        </is>
      </c>
      <c r="C370" s="33" t="n">
        <v>46015.37430555555</v>
      </c>
      <c r="D370" t="inlineStr">
        <is>
          <t>Prednisone</t>
        </is>
      </c>
      <c r="E370" t="inlineStr">
        <is>
          <t>40 mg</t>
        </is>
      </c>
      <c r="F370" t="inlineStr">
        <is>
          <t>PO</t>
        </is>
      </c>
      <c r="G370" t="inlineStr">
        <is>
          <t>Daily</t>
        </is>
      </c>
      <c r="H370" t="n">
        <v>3</v>
      </c>
      <c r="I370" s="31" t="n">
        <v>0.2</v>
      </c>
    </row>
    <row r="371">
      <c r="A371" t="inlineStr">
        <is>
          <t>RX825632</t>
        </is>
      </c>
      <c r="B371" t="inlineStr">
        <is>
          <t>ENC121613</t>
        </is>
      </c>
      <c r="C371" s="33" t="n">
        <v>46015.43055555555</v>
      </c>
      <c r="D371" t="inlineStr">
        <is>
          <t>Ketorolac</t>
        </is>
      </c>
      <c r="E371" t="inlineStr">
        <is>
          <t>15 mg</t>
        </is>
      </c>
      <c r="F371" t="inlineStr">
        <is>
          <t>IV</t>
        </is>
      </c>
      <c r="G371" t="inlineStr">
        <is>
          <t>Q6H</t>
        </is>
      </c>
      <c r="H371" t="n">
        <v>11</v>
      </c>
      <c r="I371" s="31" t="n">
        <v>1.3</v>
      </c>
    </row>
    <row r="372">
      <c r="A372" t="inlineStr">
        <is>
          <t>RX825629</t>
        </is>
      </c>
      <c r="B372" t="inlineStr">
        <is>
          <t>ENC121613</t>
        </is>
      </c>
      <c r="C372" s="33" t="n">
        <v>46015.51319444444</v>
      </c>
      <c r="D372" t="inlineStr">
        <is>
          <t>Hydromorphone</t>
        </is>
      </c>
      <c r="E372" t="inlineStr">
        <is>
          <t>0.5 mg</t>
        </is>
      </c>
      <c r="F372" t="inlineStr">
        <is>
          <t>IV</t>
        </is>
      </c>
      <c r="G372" t="inlineStr">
        <is>
          <t>Q3H PRN</t>
        </is>
      </c>
      <c r="H372" t="n">
        <v>9</v>
      </c>
      <c r="I372" s="31" t="n">
        <v>2.4</v>
      </c>
    </row>
    <row r="373">
      <c r="A373" t="inlineStr">
        <is>
          <t>RX825631</t>
        </is>
      </c>
      <c r="B373" t="inlineStr">
        <is>
          <t>ENC121613</t>
        </is>
      </c>
      <c r="C373" s="33" t="n">
        <v>46015.55277777778</v>
      </c>
      <c r="D373" t="inlineStr">
        <is>
          <t>Lactated Ringer's</t>
        </is>
      </c>
      <c r="E373" t="inlineStr">
        <is>
          <t>1000 mL</t>
        </is>
      </c>
      <c r="F373" t="inlineStr">
        <is>
          <t>IV</t>
        </is>
      </c>
      <c r="G373" t="inlineStr">
        <is>
          <t>Continuous</t>
        </is>
      </c>
      <c r="H373" t="n">
        <v>6</v>
      </c>
      <c r="I373" s="31" t="n">
        <v>1.9</v>
      </c>
    </row>
    <row r="374">
      <c r="A374" t="inlineStr">
        <is>
          <t>RX825628</t>
        </is>
      </c>
      <c r="B374" t="inlineStr">
        <is>
          <t>ENC121613</t>
        </is>
      </c>
      <c r="C374" s="33" t="n">
        <v>46015.61041666667</v>
      </c>
      <c r="D374" t="inlineStr">
        <is>
          <t>Ceftriaxone</t>
        </is>
      </c>
      <c r="E374" t="inlineStr">
        <is>
          <t>1 g</t>
        </is>
      </c>
      <c r="F374" t="inlineStr">
        <is>
          <t>IV</t>
        </is>
      </c>
      <c r="G374" t="inlineStr">
        <is>
          <t>Q24H</t>
        </is>
      </c>
      <c r="H374" t="n">
        <v>3</v>
      </c>
      <c r="I374" s="31" t="n">
        <v>3.2</v>
      </c>
    </row>
    <row r="375">
      <c r="A375" t="inlineStr">
        <is>
          <t>RX825630</t>
        </is>
      </c>
      <c r="B375" t="inlineStr">
        <is>
          <t>ENC121613</t>
        </is>
      </c>
      <c r="C375" s="33" t="n">
        <v>46015.61458333334</v>
      </c>
      <c r="D375" t="inlineStr">
        <is>
          <t>Ondansetron</t>
        </is>
      </c>
      <c r="E375" t="inlineStr">
        <is>
          <t>4 mg</t>
        </is>
      </c>
      <c r="F375" t="inlineStr">
        <is>
          <t>IV</t>
        </is>
      </c>
      <c r="G375" t="inlineStr">
        <is>
          <t>Q6H PRN</t>
        </is>
      </c>
      <c r="H375" t="n">
        <v>5</v>
      </c>
      <c r="I375" s="31" t="n">
        <v>0.85</v>
      </c>
    </row>
    <row r="376">
      <c r="A376" t="inlineStr">
        <is>
          <t>RX825656</t>
        </is>
      </c>
      <c r="B376" t="inlineStr">
        <is>
          <t>ENC121630</t>
        </is>
      </c>
      <c r="C376" s="33" t="n">
        <v>46015.83472222222</v>
      </c>
      <c r="D376" t="inlineStr">
        <is>
          <t>Azithromycin</t>
        </is>
      </c>
      <c r="E376" t="inlineStr">
        <is>
          <t>500 mg</t>
        </is>
      </c>
      <c r="F376" t="inlineStr">
        <is>
          <t>PO</t>
        </is>
      </c>
      <c r="G376" t="inlineStr">
        <is>
          <t>Daily</t>
        </is>
      </c>
      <c r="H376" t="n">
        <v>1</v>
      </c>
      <c r="I376" s="31" t="n">
        <v>1.1</v>
      </c>
    </row>
    <row r="377">
      <c r="A377" t="inlineStr">
        <is>
          <t>RX825655</t>
        </is>
      </c>
      <c r="B377" t="inlineStr">
        <is>
          <t>ENC121630</t>
        </is>
      </c>
      <c r="C377" s="33" t="n">
        <v>46015.89652777778</v>
      </c>
      <c r="D377" t="inlineStr">
        <is>
          <t>Ceftriaxone</t>
        </is>
      </c>
      <c r="E377" t="inlineStr">
        <is>
          <t>1 g</t>
        </is>
      </c>
      <c r="F377" t="inlineStr">
        <is>
          <t>IV</t>
        </is>
      </c>
      <c r="G377" t="inlineStr">
        <is>
          <t>Q24H</t>
        </is>
      </c>
      <c r="H377" t="n">
        <v>2</v>
      </c>
      <c r="I377" s="31" t="n">
        <v>3.2</v>
      </c>
    </row>
    <row r="378">
      <c r="A378" t="inlineStr">
        <is>
          <t>RX825657</t>
        </is>
      </c>
      <c r="B378" t="inlineStr">
        <is>
          <t>ENC121630</t>
        </is>
      </c>
      <c r="C378" s="33" t="n">
        <v>46015.95347222222</v>
      </c>
      <c r="D378" t="inlineStr">
        <is>
          <t>Enoxaparin</t>
        </is>
      </c>
      <c r="E378" t="inlineStr">
        <is>
          <t>40 mg</t>
        </is>
      </c>
      <c r="F378" t="inlineStr">
        <is>
          <t>SubQ</t>
        </is>
      </c>
      <c r="G378" t="inlineStr">
        <is>
          <t>Daily</t>
        </is>
      </c>
      <c r="H378" t="n">
        <v>1</v>
      </c>
      <c r="I378" s="31" t="n">
        <v>6.75</v>
      </c>
    </row>
    <row r="379">
      <c r="A379" t="inlineStr">
        <is>
          <t>RX825718</t>
        </is>
      </c>
      <c r="B379" t="inlineStr">
        <is>
          <t>ENC121687</t>
        </is>
      </c>
      <c r="C379" s="33" t="n">
        <v>46016.75069444445</v>
      </c>
      <c r="D379" t="inlineStr">
        <is>
          <t>Sodium Chloride 0.9%</t>
        </is>
      </c>
      <c r="E379" t="inlineStr">
        <is>
          <t>1000 mL</t>
        </is>
      </c>
      <c r="F379" t="inlineStr">
        <is>
          <t>IV</t>
        </is>
      </c>
      <c r="G379" t="inlineStr">
        <is>
          <t>Continuous</t>
        </is>
      </c>
      <c r="H379" t="n">
        <v>5</v>
      </c>
      <c r="I379" s="31" t="n">
        <v>1.75</v>
      </c>
    </row>
    <row r="380">
      <c r="A380" t="inlineStr">
        <is>
          <t>RX825716</t>
        </is>
      </c>
      <c r="B380" t="inlineStr">
        <is>
          <t>ENC121687</t>
        </is>
      </c>
      <c r="C380" s="33" t="n">
        <v>46016.78194444445</v>
      </c>
      <c r="D380" t="inlineStr">
        <is>
          <t>Ceftriaxone</t>
        </is>
      </c>
      <c r="E380" t="inlineStr">
        <is>
          <t>1 g</t>
        </is>
      </c>
      <c r="F380" t="inlineStr">
        <is>
          <t>IV</t>
        </is>
      </c>
      <c r="G380" t="inlineStr">
        <is>
          <t>Q24H</t>
        </is>
      </c>
      <c r="H380" t="n">
        <v>2</v>
      </c>
      <c r="I380" s="31" t="n">
        <v>3.2</v>
      </c>
    </row>
    <row r="381">
      <c r="A381" t="inlineStr">
        <is>
          <t>RX825717</t>
        </is>
      </c>
      <c r="B381" t="inlineStr">
        <is>
          <t>ENC121687</t>
        </is>
      </c>
      <c r="C381" s="33" t="n">
        <v>46016.81527777778</v>
      </c>
      <c r="D381" t="inlineStr">
        <is>
          <t>Azithromycin</t>
        </is>
      </c>
      <c r="E381" t="inlineStr">
        <is>
          <t>500 mg</t>
        </is>
      </c>
      <c r="F381" t="inlineStr">
        <is>
          <t>PO</t>
        </is>
      </c>
      <c r="G381" t="inlineStr">
        <is>
          <t>Daily</t>
        </is>
      </c>
      <c r="H381" t="n">
        <v>3</v>
      </c>
      <c r="I381" s="31" t="n">
        <v>1.1</v>
      </c>
    </row>
    <row r="382">
      <c r="A382" t="inlineStr">
        <is>
          <t>RX825719</t>
        </is>
      </c>
      <c r="B382" t="inlineStr">
        <is>
          <t>ENC121687</t>
        </is>
      </c>
      <c r="C382" s="33" t="n">
        <v>46016.86736111111</v>
      </c>
      <c r="D382" t="inlineStr">
        <is>
          <t>Enoxaparin</t>
        </is>
      </c>
      <c r="E382" t="inlineStr">
        <is>
          <t>40 mg</t>
        </is>
      </c>
      <c r="F382" t="inlineStr">
        <is>
          <t>SubQ</t>
        </is>
      </c>
      <c r="G382" t="inlineStr">
        <is>
          <t>Daily</t>
        </is>
      </c>
      <c r="H382" t="n">
        <v>3</v>
      </c>
      <c r="I382" s="31" t="n">
        <v>6.75</v>
      </c>
    </row>
    <row r="383">
      <c r="A383" t="inlineStr">
        <is>
          <t>RX825722</t>
        </is>
      </c>
      <c r="B383" t="inlineStr">
        <is>
          <t>ENC121692</t>
        </is>
      </c>
      <c r="C383" s="33" t="n">
        <v>46016.97430555556</v>
      </c>
      <c r="D383" t="inlineStr">
        <is>
          <t>Ceftriaxone</t>
        </is>
      </c>
      <c r="E383" t="inlineStr">
        <is>
          <t>1 g</t>
        </is>
      </c>
      <c r="F383" t="inlineStr">
        <is>
          <t>IV</t>
        </is>
      </c>
      <c r="G383" t="inlineStr">
        <is>
          <t>Q24H</t>
        </is>
      </c>
      <c r="H383" t="n">
        <v>3</v>
      </c>
      <c r="I383" s="31" t="n">
        <v>3.2</v>
      </c>
    </row>
    <row r="384">
      <c r="A384" t="inlineStr">
        <is>
          <t>RX825723</t>
        </is>
      </c>
      <c r="B384" t="inlineStr">
        <is>
          <t>ENC121692</t>
        </is>
      </c>
      <c r="C384" s="33" t="n">
        <v>46017.05</v>
      </c>
      <c r="D384" t="inlineStr">
        <is>
          <t>Acetaminophen</t>
        </is>
      </c>
      <c r="E384" t="inlineStr">
        <is>
          <t>650 mg</t>
        </is>
      </c>
      <c r="F384" t="inlineStr">
        <is>
          <t>PO</t>
        </is>
      </c>
      <c r="G384" t="inlineStr">
        <is>
          <t>Q6H PRN</t>
        </is>
      </c>
      <c r="H384" t="n">
        <v>7</v>
      </c>
      <c r="I384" s="31" t="n">
        <v>0.08</v>
      </c>
    </row>
    <row r="385">
      <c r="A385" t="inlineStr">
        <is>
          <t>RX825735</t>
        </is>
      </c>
      <c r="B385" t="inlineStr">
        <is>
          <t>ENC121697</t>
        </is>
      </c>
      <c r="C385" s="33" t="n">
        <v>46017.53402777778</v>
      </c>
      <c r="D385" t="inlineStr">
        <is>
          <t>Azithromycin</t>
        </is>
      </c>
      <c r="E385" t="inlineStr">
        <is>
          <t>500 mg</t>
        </is>
      </c>
      <c r="F385" t="inlineStr">
        <is>
          <t>PO</t>
        </is>
      </c>
      <c r="G385" t="inlineStr">
        <is>
          <t>Daily</t>
        </is>
      </c>
      <c r="H385" t="n">
        <v>4</v>
      </c>
      <c r="I385" s="31" t="n">
        <v>1.1</v>
      </c>
    </row>
    <row r="386">
      <c r="A386" t="inlineStr">
        <is>
          <t>RX825733</t>
        </is>
      </c>
      <c r="B386" t="inlineStr">
        <is>
          <t>ENC121697</t>
        </is>
      </c>
      <c r="C386" s="33" t="n">
        <v>46017.58611111111</v>
      </c>
      <c r="D386" t="inlineStr">
        <is>
          <t>Methylprednisolone</t>
        </is>
      </c>
      <c r="E386" t="inlineStr">
        <is>
          <t>40 mg</t>
        </is>
      </c>
      <c r="F386" t="inlineStr">
        <is>
          <t>IV</t>
        </is>
      </c>
      <c r="G386" t="inlineStr">
        <is>
          <t>Q8H</t>
        </is>
      </c>
      <c r="H386" t="n">
        <v>10</v>
      </c>
      <c r="I386" s="31" t="n">
        <v>3.9</v>
      </c>
    </row>
    <row r="387">
      <c r="A387" t="inlineStr">
        <is>
          <t>RX825732</t>
        </is>
      </c>
      <c r="B387" t="inlineStr">
        <is>
          <t>ENC121697</t>
        </is>
      </c>
      <c r="C387" s="33" t="n">
        <v>46017.66458333333</v>
      </c>
      <c r="D387" t="inlineStr">
        <is>
          <t>Ipratropium-Albuterol</t>
        </is>
      </c>
      <c r="E387" t="inlineStr">
        <is>
          <t>3 mL</t>
        </is>
      </c>
      <c r="F387" t="inlineStr">
        <is>
          <t>Inhaled</t>
        </is>
      </c>
      <c r="G387" t="inlineStr">
        <is>
          <t>Q6H</t>
        </is>
      </c>
      <c r="H387" t="n">
        <v>13</v>
      </c>
      <c r="I387" s="31" t="n">
        <v>1.05</v>
      </c>
    </row>
    <row r="388">
      <c r="A388" t="inlineStr">
        <is>
          <t>RX825734</t>
        </is>
      </c>
      <c r="B388" t="inlineStr">
        <is>
          <t>ENC121697</t>
        </is>
      </c>
      <c r="C388" s="33" t="n">
        <v>46017.69583333333</v>
      </c>
      <c r="D388" t="inlineStr">
        <is>
          <t>Prednisone</t>
        </is>
      </c>
      <c r="E388" t="inlineStr">
        <is>
          <t>40 mg</t>
        </is>
      </c>
      <c r="F388" t="inlineStr">
        <is>
          <t>PO</t>
        </is>
      </c>
      <c r="G388" t="inlineStr">
        <is>
          <t>Daily</t>
        </is>
      </c>
      <c r="H388" t="n">
        <v>3</v>
      </c>
      <c r="I388" s="31" t="n">
        <v>0.2</v>
      </c>
    </row>
    <row r="389">
      <c r="A389" t="inlineStr">
        <is>
          <t>RX825736</t>
        </is>
      </c>
      <c r="B389" t="inlineStr">
        <is>
          <t>ENC121697</t>
        </is>
      </c>
      <c r="C389" s="33" t="n">
        <v>46017.72569444445</v>
      </c>
      <c r="D389" t="inlineStr">
        <is>
          <t>Acetaminophen</t>
        </is>
      </c>
      <c r="E389" t="inlineStr">
        <is>
          <t>650 mg</t>
        </is>
      </c>
      <c r="F389" t="inlineStr">
        <is>
          <t>PO</t>
        </is>
      </c>
      <c r="G389" t="inlineStr">
        <is>
          <t>Q6H PRN</t>
        </is>
      </c>
      <c r="H389" t="n">
        <v>7</v>
      </c>
      <c r="I389" s="31" t="n">
        <v>0.08</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2.4 · Bonus: Which stays are driving the average charge?</t>
        </is>
      </c>
    </row>
    <row r="2" ht="49" customHeight="1">
      <c r="A2" s="14" t="inlineStr">
        <is>
          <t>The CFO's draft board report says the average inpatient charge in Q4 was $32,042. A board member asks whether that number is typical and which stays are unusually expensive. Flag the high-charge outliers with two common rules, measure how much they matter, and find a more representative average. Use the TotalCharges column on the Stays sheet (Stays!J2:J574). Your B1 answer lands in cell D6 of this sheet, so later parts can refer to it.</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B1</t>
        </is>
      </c>
      <c r="B6" s="19" t="inlineStr">
        <is>
          <t>Calculate the upper outlier fence with the IQR rule: Q3 + 1.5 × (Q3 − Q1), using QUARTILE.INC. Enter it in dollars, to the cent.</t>
        </is>
      </c>
      <c r="C6" s="20" t="inlineStr">
        <is>
          <t>Find Q1 and Q3 with QUARTILE.INC, then combine them</t>
        </is>
      </c>
      <c r="D6" s="23" t="n"/>
      <c r="E6" s="22">
        <f>IF(IFERROR(D6="",FALSE),"",IF(IFERROR(AND(ISNUMBER(D6),OR(ABS(D6-'Bonus Key'!$C$5)&lt;=0.0051)),FALSE),"✔ Correct","✘ Not yet"))</f>
        <v/>
      </c>
    </row>
    <row r="7" ht="36" customHeight="1">
      <c r="A7" s="18" t="inlineStr">
        <is>
          <t>B2</t>
        </is>
      </c>
      <c r="B7" s="19" t="inlineStr">
        <is>
          <t>How many stays have TotalCharges above the fence from B1?</t>
        </is>
      </c>
      <c r="C7" s="20" t="inlineStr">
        <is>
          <t>COUNTIF(range, "&gt;"&amp;cell) joins the operator to your B1 cell</t>
        </is>
      </c>
      <c r="D7" s="21" t="n"/>
      <c r="E7" s="22">
        <f>IF(IFERROR(D7="",FALSE),"",IF(IFERROR(AND(ISNUMBER(D7),OR(ABS(D7-'Bonus Key'!$C$6)&lt;=0.0001)),FALSE),"✔ Correct","✘ Not yet"))</f>
        <v/>
      </c>
    </row>
    <row r="8" ht="51" customHeight="1">
      <c r="A8" s="18" t="inlineStr">
        <is>
          <t>B3</t>
        </is>
      </c>
      <c r="B8" s="19" t="inlineStr">
        <is>
          <t>What share of all Q4 TotalCharges came from the stays above the fence? Enter it as a percentage with one decimal place.</t>
        </is>
      </c>
      <c r="C8" s="20" t="inlineStr">
        <is>
          <t>(range&gt;D6) is TRUE or FALSE for each stay. Multiply it by the charges inside SUMPRODUCT, then divide by the total</t>
        </is>
      </c>
      <c r="D8" s="34" t="n"/>
      <c r="E8" s="22">
        <f>IF(IFERROR(D8="",FALSE),"",IF(IFERROR(AND(ISNUMBER(D8),OR(ABS(D8-'Bonus Key'!$C$7)&lt;=0.00051,ABS(D8-'Bonus Key'!$C$7*100)&lt;=0.051000000000000004)),FALSE),"✔ Correct","✘ Not yet"))</f>
        <v/>
      </c>
    </row>
    <row r="9" ht="36" customHeight="1">
      <c r="A9" s="18" t="inlineStr">
        <is>
          <t>B4</t>
        </is>
      </c>
      <c r="B9" s="19" t="inlineStr">
        <is>
          <t>A second common rule flags any value more than 3 standard deviations above the mean. How many stays have TotalCharges above AVERAGE + 3 × STDEV.S?</t>
        </is>
      </c>
      <c r="C9" s="20" t="inlineStr">
        <is>
          <t>Build the threshold inside the criterion: "&gt;"&amp;(AVERAGE(…)+3*STDEV.S(…))</t>
        </is>
      </c>
      <c r="D9" s="21" t="n"/>
      <c r="E9" s="22">
        <f>IF(IFERROR(D9="",FALSE),"",IF(IFERROR(AND(ISNUMBER(D9),OR(ABS(D9-'Bonus Key'!$C$8)&lt;=0.0001)),FALSE),"✔ Correct","✘ Not yet"))</f>
        <v/>
      </c>
    </row>
    <row r="10" ht="36" customHeight="1">
      <c r="A10" s="18" t="inlineStr">
        <is>
          <t>B5</t>
        </is>
      </c>
      <c r="B10" s="19" t="inlineStr">
        <is>
          <t>Calculate a 10% trimmed mean of TotalCharges with TRIMMEAN, which drops about 5% of stays from each end before averaging. Enter it in dollars, to the cent.</t>
        </is>
      </c>
      <c r="C10" s="20" t="inlineStr">
        <is>
          <t>TRIMMEAN(array, percent). The percent is the TOTAL share to drop</t>
        </is>
      </c>
      <c r="D10" s="23" t="n"/>
      <c r="E10" s="22">
        <f>IF(IFERROR(D10="",FALSE),"",IF(IFERROR(AND(ISNUMBER(D10),OR(ABS(D10-'Bonus Key'!$C$9)&lt;=0.0051)),FALSE),"✔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5" t="inlineStr">
        <is>
          <t>🔑 Answer Key — Lesson 2.4</t>
        </is>
      </c>
    </row>
    <row r="2" ht="32" customHeight="1">
      <c r="A2" s="36" t="inlineStr">
        <is>
          <t>Spoiler alert: try every task before reading this sheet. Column C is the value the Check column compares against. Column D is a sample solution, and column E recalculates a formula for it live, proving the answer.</t>
        </is>
      </c>
    </row>
    <row r="4">
      <c r="A4" s="37" t="inlineStr">
        <is>
          <t>#</t>
        </is>
      </c>
      <c r="B4" s="37" t="inlineStr">
        <is>
          <t>Task</t>
        </is>
      </c>
      <c r="C4" s="37" t="inlineStr">
        <is>
          <t>Answer</t>
        </is>
      </c>
      <c r="D4" s="37" t="inlineStr">
        <is>
          <t>Sample solution</t>
        </is>
      </c>
      <c r="E4" s="37" t="inlineStr">
        <is>
          <t>Live result</t>
        </is>
      </c>
      <c r="F4" s="37" t="inlineStr">
        <is>
          <t>Explanation</t>
        </is>
      </c>
    </row>
    <row r="5" ht="81" customHeight="1">
      <c r="A5" s="18" t="inlineStr">
        <is>
          <t>1</t>
        </is>
      </c>
      <c r="B5" s="19" t="inlineStr">
        <is>
          <t>What is the most common ESI triage level among the ED visits?</t>
        </is>
      </c>
      <c r="C5" s="38" t="n">
        <v>3</v>
      </c>
      <c r="D5" s="39" t="inlineStr">
        <is>
          <t>=MODE.SNGL(ED!D2:D786)</t>
        </is>
      </c>
      <c r="E5" cm="1" s="19">
        <f t="array" ref="E5">_xlfn.MODE.SNGL(ED!D2:D786)</f>
        <v/>
      </c>
      <c r="F5" s="19" t="inlineStr">
        <is>
          <t>MODE.SNGL returns the value that occurs most often: level 3 appears 328 times out of 785. ESI levels are codes on a 1–5 scale, so their mean (3.12) isn't a real triage level. For codes and categories, the mode is the honest "typical" value. The older MODE function gives the same result.</t>
        </is>
      </c>
    </row>
    <row r="6" ht="96" customHeight="1">
      <c r="A6" s="18" t="inlineStr">
        <is>
          <t>2</t>
        </is>
      </c>
      <c r="B6" s="19" t="inlineStr">
        <is>
          <t>How much higher is the mean (average) TotalCharges per stay than the median TotalCharges? Enter the difference in dollars, to the cent.</t>
        </is>
      </c>
      <c r="C6" s="40" t="n">
        <v>8076.03</v>
      </c>
      <c r="D6" s="39" t="inlineStr">
        <is>
          <t>=AVERAGE(Stays!J2:J574)-MEDIAN(Stays!J2:J574)</t>
        </is>
      </c>
      <c r="E6" cm="1" s="41">
        <f t="array" ref="E6">AVERAGE(Stays!J2:J574)-MEDIAN(Stays!J2:J574)</f>
        <v/>
      </c>
      <c r="F6" s="19" t="inlineStr">
        <is>
          <t>The mean is $32,041.72 but the median is $23,965.69, so half of all stays were charged less than $23,966. In fact 375 of the 573 stays (65%) fall below the mean. A handful of very long, very expensive stays pull the mean up, while the median only cares about the middle value. When data is skewed like this, the median describes a typical stay better.</t>
        </is>
      </c>
    </row>
    <row r="7" ht="81" customHeight="1">
      <c r="A7" s="18" t="inlineStr">
        <is>
          <t>3</t>
        </is>
      </c>
      <c r="B7" s="19" t="inlineStr">
        <is>
          <t>What is the sample standard deviation of TotalCharges, rounded to the nearest $100 with ROUND?</t>
        </is>
      </c>
      <c r="C7" s="42" t="n">
        <v>24100</v>
      </c>
      <c r="D7" s="39" t="inlineStr">
        <is>
          <t>=ROUND(STDEV.S(Stays!J2:J574),-2)</t>
        </is>
      </c>
      <c r="E7" cm="1" s="43">
        <f t="array" ref="E7">ROUND(_xlfn.STDEV.S(Stays!J2:J574),-2)</f>
        <v/>
      </c>
      <c r="F7" s="19" t="inlineStr">
        <is>
          <t>STDEV.S returns $24,056.39. A num_digits of -2 rounds to the hundreds place, giving $24,100. STDEV.S treats the stays as a sample of an ongoing process, which is the usual choice. STDEV.P gives $24,035.39, which rounds to $24,000, so the check tells the two apart.</t>
        </is>
      </c>
    </row>
    <row r="8" ht="126" customHeight="1">
      <c r="A8" s="18" t="inlineStr">
        <is>
          <t>4</t>
        </is>
      </c>
      <c r="B8" s="19" t="inlineStr">
        <is>
          <t>ED leaders review the three longest ED visits for boarding delays, where an admitted patient waits in the ED for an inpatient bed. They report each visit's length of stay in whole hours and count any started hour as a full hour. Find the 3rd-longest EDLOSMin on the ED sheet, convert it to hours, and round it up to a whole number of hours with ROUNDUP.</t>
        </is>
      </c>
      <c r="C8" s="38" t="n">
        <v>20</v>
      </c>
      <c r="D8" s="39" t="inlineStr">
        <is>
          <t>=ROUNDUP(LARGE(ED!H2:H786,3)/60,0)</t>
        </is>
      </c>
      <c r="E8" cm="1" s="19">
        <f t="array" ref="E8">ROUNDUP(LARGE(ED!H2:H786,3)/60,0)</f>
        <v/>
      </c>
      <c r="F8" s="19" t="inlineStr">
        <is>
          <t>LARGE returns the k-th largest value, so LARGE(range,1) is the same as MAX. The three longest visits lasted 1,304, 1,281, and 1,169 minutes. The 3rd is 1,169 ÷ 60 = 19.48 hours, and ROUNDUP turns the started hour into a full one, giving 20. ROUND and ROUNDDOWN both give 19 here, which would under-report the visit because the rule counts every started hour. =CEILING.MATH(LARGE(…,3)/60) gives the same 20. Change k to 2 or 1 to see the other two visits.</t>
        </is>
      </c>
    </row>
    <row r="9" ht="51" customHeight="1">
      <c r="A9" s="18" t="inlineStr">
        <is>
          <t>5</t>
        </is>
      </c>
      <c r="B9" s="19" t="inlineStr">
        <is>
          <t>The charge-capture team audits the cheapest stays, because an unusually low charge often means some charges were never posted. What is the 3rd-lowest TotalCharges?</t>
        </is>
      </c>
      <c r="C9" s="40" t="n">
        <v>6249.27</v>
      </c>
      <c r="D9" s="39" t="inlineStr">
        <is>
          <t>=SMALL(Stays!J2:J574,3)</t>
        </is>
      </c>
      <c r="E9" cm="1" s="41">
        <f t="array" ref="E9">SMALL(Stays!J2:J574,3)</f>
        <v/>
      </c>
      <c r="F9" s="19" t="inlineStr">
        <is>
          <t>SMALL(array, k) returns the k-th smallest value, so SMALL(range,1) equals MIN. Like LARGE, it ignores blank cells and text.</t>
        </is>
      </c>
    </row>
    <row r="10" ht="96" customHeight="1">
      <c r="A10" s="18" t="inlineStr">
        <is>
          <t>6</t>
        </is>
      </c>
      <c r="B10" s="19" t="inlineStr">
        <is>
          <t>Encounter ENC119052 (Stays row 70) stayed 10 days. Rank its LOSDays among all 573 stays with RANK.EQ, where the longest stay is rank 1.</t>
        </is>
      </c>
      <c r="C10" s="38" t="n">
        <v>28</v>
      </c>
      <c r="D10" s="39" t="inlineStr">
        <is>
          <t>=RANK.EQ(Stays!I70,Stays!I2:I574)</t>
        </is>
      </c>
      <c r="E10" cm="1" s="19">
        <f t="array" ref="E10">_xlfn.RANK.EQ(Stays!I70,Stays!I2:I574)</f>
        <v/>
      </c>
      <c r="F10" s="19" t="inlineStr">
        <is>
          <t>27 stays were longer than 10 days, so this one ranks 28. The other 7 stays of exactly 10 days share rank 28, and the next rank used is 36. RANK.AVG returns 31.5 instead, which is the average of positions 28–35. If you copy a RANK formula down a column, lock the ref with $ ($I$2:$I$574) so it doesn't slide.</t>
        </is>
      </c>
    </row>
    <row r="11" ht="111" customHeight="1">
      <c r="A11" s="18" t="inlineStr">
        <is>
          <t>7</t>
        </is>
      </c>
      <c r="B11" s="19" t="inlineStr">
        <is>
          <t>Ninety percent of the patients who saw a provider waited at most how many minutes? Calculate the 90th percentile of DoorToProviderMin. (The 16 blank cells are patients who left without being seen.)</t>
        </is>
      </c>
      <c r="C11" s="38" t="n">
        <v>102</v>
      </c>
      <c r="D11" s="39" t="inlineStr">
        <is>
          <t>=PERCENTILE.INC(ED!G2:G786,0.9)</t>
        </is>
      </c>
      <c r="E11" cm="1" s="19">
        <f t="array" ref="E11">_xlfn.PERCENTILE.INC(ED!G2:G786,0.9)</f>
        <v/>
      </c>
      <c r="F11" s="19" t="inlineStr">
        <is>
          <t>PERCENTILE.INC ignores blank cells, so it uses only the 769 visits with a provider time. The median wait was 38 minutes, yet 74 of the 769 waits (9.6%) were longer than 102 minutes. That long tail is why ED leaders track the 90th percentile alongside the median. If someone had typed 0 into the blank cells, the percentile would drop and the report would look better than reality.</t>
        </is>
      </c>
    </row>
    <row r="12" ht="81" customHeight="1">
      <c r="A12" s="18" t="inlineStr">
        <is>
          <t>8</t>
        </is>
      </c>
      <c r="B12" s="19" t="inlineStr">
        <is>
          <t>What is the interquartile range (IQR = Q3 − Q1) of EDLOSMin, in minutes? Use QUARTILE.INC.</t>
        </is>
      </c>
      <c r="C12" s="38" t="n">
        <v>155</v>
      </c>
      <c r="D12" s="39" t="inlineStr">
        <is>
          <t>=QUARTILE.INC(ED!H2:H786,3)-QUARTILE.INC(ED!H2:H786,1)</t>
        </is>
      </c>
      <c r="E12" cm="1" s="19">
        <f t="array" ref="E12">_xlfn.QUARTILE.INC(ED!H2:H786,3)-_xlfn.QUARTILE.INC(ED!H2:H786,1)</f>
        <v/>
      </c>
      <c r="F12" s="19" t="inlineStr">
        <is>
          <t>Q1 is 167 and Q3 is 322, so the middle half of ED visits lasted between 2 h 47 min and 5 h 22 min. The IQR ignores the extreme visits at both ends, so a few boarding patients can't stretch it. QUARTILE.EXC interpolates slightly differently, but with 785 visits it lands on the same Q1 and Q3 here.</t>
        </is>
      </c>
    </row>
    <row r="13" ht="111" customHeight="1">
      <c r="A13" s="18" t="inlineStr">
        <is>
          <t>9</t>
        </is>
      </c>
      <c r="B13" s="19" t="inlineStr">
        <is>
          <t>What was the total acquisition cost of the medications dispensed for the 5 East stays? Multiply each order's DosesDispensed by its UnitCost and add up all the orders, in one formula. Enter the total in dollars, to the cent.</t>
        </is>
      </c>
      <c r="C13" s="40" t="n">
        <v>9252.379999999999</v>
      </c>
      <c r="D13" s="39" t="inlineStr">
        <is>
          <t>=SUMPRODUCT(Meds!H2:H389,Meds!I2:I389)</t>
        </is>
      </c>
      <c r="E13" cm="1" s="41">
        <f t="array" ref="E13">SUMPRODUCT(Meds!H2:H389,Meds!I2:I389)</f>
        <v/>
      </c>
      <c r="F13" s="19" t="inlineStr">
        <is>
          <t>SUMPRODUCT multiplies the two columns row by row, then adds the 388 products. It gives the same result as a helper column of =H2*I2 totaled with SUM. Multiplying two totals, as in =SUM(H…)*SUM(I…), is wrong (it gives $3,108,585.48) because it pairs every order's doses with every other order's price. Divide by SUM(Meds!H2:H389) to get the average cost per dose, $3.08.</t>
        </is>
      </c>
    </row>
    <row r="14" ht="111" customHeight="1">
      <c r="A14" s="18" t="inlineStr">
        <is>
          <t>10</t>
        </is>
      </c>
      <c r="B14" s="19" t="inlineStr">
        <is>
          <t>Fill the yellow AgeBand column on the Stays sheet with each stay's 10-year age band using FLOOR.MATH, so age 78 becomes 70 and age 80 becomes 80. Type the formula in K2. Stays is an Excel Table, so Excel fills the formula down the whole column for you. If it doesn't, double-click the fill handle. The gray cell counts the stays in the 80–89 band.</t>
        </is>
      </c>
      <c r="C14" s="38" t="n">
        <v>44</v>
      </c>
      <c r="D14" s="39" t="inlineStr">
        <is>
          <t>=FLOOR.MATH(E2,10)</t>
        </is>
      </c>
      <c r="E14" cm="1" s="19">
        <f t="array" ref="E14">SUMPRODUCT((Stays!E2:E574&gt;=80)*(Stays!E2:E574&lt;90))</f>
        <v/>
      </c>
      <c r="F14" s="19" t="inlineStr">
        <is>
          <t>FLOOR.MATH rounds down to the nearest multiple of 10, so every age from 80 to 89 lands in the 80 band. ROUND(E2,-1) would be wrong, because it sends ages 75–84 to 80 and gives 93 instead of 44. =INT(E2/10)*10, =TRUNC(E2,-1), and =ROUNDDOWN(E2,-1) all work too. In the Table you may see =FLOOR.MATH([@Age],10). The most common band is the 70s.</t>
        </is>
      </c>
    </row>
    <row r="15" ht="126" customHeight="1">
      <c r="A15" s="18" t="inlineStr">
        <is>
          <t>11</t>
        </is>
      </c>
      <c r="B15" s="19" t="inlineStr">
        <is>
          <t>Order RX824601 (Meds row 255) is vancomycin 1,250 mg every 12 hours, with 24 doses dispensed. Assume the IV room mixes every dose from 500 mg single-dose vials and throws away whatever is left in an opened vial. How many vials did this order use?</t>
        </is>
      </c>
      <c r="C15" s="38" t="n">
        <v>72</v>
      </c>
      <c r="D15" s="39" t="inlineStr">
        <is>
          <t>=CEILING.MATH(1250,500)/500*Meds!H255</t>
        </is>
      </c>
      <c r="E15" cm="1" s="19">
        <f t="array" ref="E15">_xlfn.CEILING.MATH(1250,500)/500*Meds!H255</f>
        <v/>
      </c>
      <c r="F15" s="19" t="inlineStr">
        <is>
          <t>CEILING.MATH(1250,500) rounds up to 1,500 mg, which is 3 vials per dose. Two vials would hold only 1,000 mg, so ROUNDDOWN would under-dose. 3 vials × 24 doses = 72 vials. Rounding the order's total instead (CEILING.MATH(1250*24,500)/500 = 60) assumes leftover drug carries over to the next dose, which a single-dose vial doesn't allow. =ROUNDUP(1250/500,0)*Meds!H255 also works. The order wasted 6,000 mg in partly used vials.</t>
        </is>
      </c>
    </row>
    <row r="16" ht="126" customHeight="1">
      <c r="A16" s="18" t="inlineStr">
        <is>
          <t>12</t>
        </is>
      </c>
      <c r="B16" s="19" t="inlineStr">
        <is>
          <t>Case managers call a stay "on target" when its LOSDays is within 1 day of its ExpectedLOS in either direction (a difference of 1.0 day or less, longer or shorter). How many of the 573 stays were on target? Use one formula.</t>
        </is>
      </c>
      <c r="C16" s="38" t="n">
        <v>264</v>
      </c>
      <c r="D16" s="39" t="inlineStr">
        <is>
          <t>=SUMPRODUCT(--(ABS(Stays!I2:I574-Stays!H2:H574)&lt;=1))</t>
        </is>
      </c>
      <c r="E16" cm="1" s="19">
        <f t="array" ref="E16">SUMPRODUCT(--(ABS(Stays!I2:I574-Stays!H2:H574)&lt;=1))</f>
        <v/>
      </c>
      <c r="F16" s="19" t="inlineStr">
        <is>
          <t>Subtracting the two columns gives each stay's difference from expected, which is negative when the stay was shorter than expected. ABS turns every difference into a distance, the comparison turns each distance into TRUE or FALSE, -- turns those into 1s and 0s, and SUMPRODUCT adds them. Without ABS, every stay that ended early would count as on target, and you'd get 348. A helper column of =ABS(I2-H2) counted with COUNTIF(range,"&lt;=1") gives the same 264.</t>
        </is>
      </c>
    </row>
    <row r="17" ht="96" customHeight="1">
      <c r="A17" s="18" t="inlineStr">
        <is>
          <t>13</t>
        </is>
      </c>
      <c r="B17" s="19" t="inlineStr">
        <is>
          <t>The ED status board rounds each visit's length of stay to the nearest 15 minutes and shows it as hours and minutes, like "6 h 45 min". What does it show for visit ED211176 (ED row 2, EDLOSMin = 624)? Build the text with one formula that refers to the EDLOSMin cell.</t>
        </is>
      </c>
      <c r="C17" s="38" t="inlineStr">
        <is>
          <t>10 h 30 min</t>
        </is>
      </c>
      <c r="D17" s="39" t="inlineStr">
        <is>
          <t>=INT(MROUND(ED!H2,15)/60)&amp;" h "&amp;MOD(MROUND(ED!H2,15),60)&amp;" min"</t>
        </is>
      </c>
      <c r="E17" cm="1" s="19">
        <f t="array" ref="E17">INT(MROUND(ED!H2,15)/60)&amp;" h "&amp;MOD(MROUND(ED!H2,15),60)&amp;" min"</f>
        <v/>
      </c>
      <c r="F17" s="19" t="inlineStr">
        <is>
          <t>MROUND(624,15) returns 630, because 624 is closer to 630 than to 615. Then INT(630/60) is 10 whole hours and MOD(630,60) is the 30 minutes left over. The &amp; operator joins the pieces into "10 h 30 min". Without the rounding the board would show "10 h 24 min". TRUNC or ROUNDDOWN(…,0) can replace INT here because the minutes are positive.</t>
        </is>
      </c>
    </row>
  </sheetData>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5" t="inlineStr">
        <is>
          <t>🔑 Bonus Key — Lesson 2.4</t>
        </is>
      </c>
    </row>
    <row r="2" ht="32" customHeight="1">
      <c r="A2" s="36" t="inlineStr">
        <is>
          <t>Spoiler alert: try every task before reading this sheet. Column C is the value the Check column compares against. Column D is a sample solution, and column E recalculates a formula for it live, proving the answer.</t>
        </is>
      </c>
    </row>
    <row r="4">
      <c r="A4" s="37" t="inlineStr">
        <is>
          <t>#</t>
        </is>
      </c>
      <c r="B4" s="37" t="inlineStr">
        <is>
          <t>Task</t>
        </is>
      </c>
      <c r="C4" s="37" t="inlineStr">
        <is>
          <t>Answer</t>
        </is>
      </c>
      <c r="D4" s="37" t="inlineStr">
        <is>
          <t>Sample solution</t>
        </is>
      </c>
      <c r="E4" s="37" t="inlineStr">
        <is>
          <t>Live result</t>
        </is>
      </c>
      <c r="F4" s="37" t="inlineStr">
        <is>
          <t>Explanation</t>
        </is>
      </c>
    </row>
    <row r="5" ht="96" customHeight="1">
      <c r="A5" s="18" t="inlineStr">
        <is>
          <t>B1</t>
        </is>
      </c>
      <c r="B5" s="19" t="inlineStr">
        <is>
          <t>Calculate the upper outlier fence with the IQR rule: Q3 + 1.5 × (Q3 − Q1), using QUARTILE.INC. Enter it in dollars, to the cent.</t>
        </is>
      </c>
      <c r="C5" s="40" t="n">
        <v>70379.05</v>
      </c>
      <c r="D5" s="39" t="inlineStr">
        <is>
          <t>=QUARTILE.INC(Stays!J2:J574,3)+1.5*(QUARTILE.INC(Stays!J2:J574,3)-QUARTILE.INC(Stays!J2:J574,1))</t>
        </is>
      </c>
      <c r="E5" cm="1" s="41">
        <f t="array" ref="E5">_xlfn.QUARTILE.INC(Stays!J2:J574,3)+1.5*(_xlfn.QUARTILE.INC(Stays!J2:J574,3)-_xlfn.QUARTILE.INC(Stays!J2:J574,1))</f>
        <v/>
      </c>
      <c r="F5" s="19" t="inlineStr">
        <is>
          <t>Q1 is $16,511.45 and Q3 is $38,058.49, so the IQR is $21,547.04 and the fence is $38,058.49 + 1.5 × $21,547.04 = $70,379.05. The lower fence, Q1 − 1.5 × IQR, is −$15,809.11. That's below zero, so the rule can't flag any low outliers. Right-skewed data like charges usually has outliers on the high side only.</t>
        </is>
      </c>
    </row>
    <row r="6" ht="51" customHeight="1">
      <c r="A6" s="18" t="inlineStr">
        <is>
          <t>B2</t>
        </is>
      </c>
      <c r="B6" s="19" t="inlineStr">
        <is>
          <t>How many stays have TotalCharges above the fence from B1?</t>
        </is>
      </c>
      <c r="C6" s="38" t="n">
        <v>50</v>
      </c>
      <c r="D6" s="39" t="inlineStr">
        <is>
          <t>=COUNTIF(Stays!J2:J574,"&gt;"&amp;D6)</t>
        </is>
      </c>
      <c r="E6" cm="1" s="19">
        <f t="array" ref="E6">COUNTIF(Stays!J2:J574,"&gt;"&amp;(_xlfn.QUARTILE.INC(Stays!J2:J574,3)+1.5*(_xlfn.QUARTILE.INC(Stays!J2:J574,3)-_xlfn.QUARTILE.INC(Stays!J2:J574,1))))</f>
        <v/>
      </c>
      <c r="F6" s="19" t="inlineStr">
        <is>
          <t>"&gt;"&amp;D6 builds the criterion text "&gt;70379.05", so COUNTIF counts charges above your fence. That's 50 stays, or 8.7% of all stays.</t>
        </is>
      </c>
    </row>
    <row r="7" ht="111" customHeight="1">
      <c r="A7" s="18" t="inlineStr">
        <is>
          <t>B3</t>
        </is>
      </c>
      <c r="B7" s="19" t="inlineStr">
        <is>
          <t>What share of all Q4 TotalCharges came from the stays above the fence? Enter it as a percentage with one decimal place.</t>
        </is>
      </c>
      <c r="C7" s="44" t="n">
        <v>0.2570680283097148</v>
      </c>
      <c r="D7" s="39" t="inlineStr">
        <is>
          <t>=SUMPRODUCT((Stays!J2:J574&gt;D6)*Stays!J2:J574)/SUM(Stays!J2:J574)</t>
        </is>
      </c>
      <c r="E7" cm="1" s="45">
        <f t="array" ref="E7">SUMPRODUCT((Stays!J2:J574&gt;(_xlfn.QUARTILE.INC(Stays!J2:J574,3)+1.5*(_xlfn.QUARTILE.INC(Stays!J2:J574,3)-_xlfn.QUARTILE.INC(Stays!J2:J574,1))))*Stays!J2:J574)/SUM(Stays!J2:J574)</f>
        <v/>
      </c>
      <c r="F7" s="19" t="inlineStr">
        <is>
          <t>(Stays!J2:J574&gt;D6) is TRUE for an outlier and FALSE otherwise. Multiplying by the charges turns TRUE into 1 and FALSE into 0, so only the outlier charges survive, and SUMPRODUCT adds them. Just 8.7% of stays produced 25.7% of all charges. That concentration is exactly why the mean sits so far above the median. (=SUMIF(Stays!J2:J574,"&gt;"&amp;D6)/SUM(Stays!J2:J574) from Lesson 2.5 gives the same answer.)</t>
        </is>
      </c>
    </row>
    <row r="8" ht="126" customHeight="1">
      <c r="A8" s="18" t="inlineStr">
        <is>
          <t>B4</t>
        </is>
      </c>
      <c r="B8" s="19" t="inlineStr">
        <is>
          <t>A second common rule flags any value more than 3 standard deviations above the mean. How many stays have TotalCharges above AVERAGE + 3 × STDEV.S?</t>
        </is>
      </c>
      <c r="C8" s="38" t="n">
        <v>13</v>
      </c>
      <c r="D8" s="39" t="inlineStr">
        <is>
          <t>=COUNTIF(Stays!J2:J574,"&gt;"&amp;(AVERAGE(Stays!J2:J574)+3*STDEV.S(Stays!J2:J574)))</t>
        </is>
      </c>
      <c r="E8" cm="1" s="19">
        <f t="array" ref="E8">COUNTIF(Stays!J2:J574,"&gt;"&amp;(AVERAGE(Stays!J2:J574)+3*_xlfn.STDEV.S(Stays!J2:J574)))</f>
        <v/>
      </c>
      <c r="F8" s="19" t="inlineStr">
        <is>
          <t>The threshold is $32,041.72 + 3 × $24,056.39 = $104,210.89, and only 13 stays exceed it, compared with 50 under the IQR rule. The outliers themselves inflate the mean and the standard deviation, which raises the bar they have to clear. This effect is called masking. The 3-SD rule assumes roughly symmetric data. Quartiles barely move when a few extreme values change, so the IQR rule is the better screen for skewed data like charges and length of stay.</t>
        </is>
      </c>
    </row>
    <row r="9" ht="111" customHeight="1">
      <c r="A9" s="18" t="inlineStr">
        <is>
          <t>B5</t>
        </is>
      </c>
      <c r="B9" s="19" t="inlineStr">
        <is>
          <t>Calculate a 10% trimmed mean of TotalCharges with TRIMMEAN, which drops about 5% of stays from each end before averaging. Enter it in dollars, to the cent.</t>
        </is>
      </c>
      <c r="C9" s="40" t="n">
        <v>29241.27</v>
      </c>
      <c r="D9" s="39" t="inlineStr">
        <is>
          <t>=TRIMMEAN(Stays!J2:J574,0.1)</t>
        </is>
      </c>
      <c r="E9" cm="1" s="41">
        <f t="array" ref="E9">TRIMMEAN(Stays!J2:J574,0.1)</f>
        <v/>
      </c>
      <c r="F9" s="19" t="inlineStr">
        <is>
          <t>573 × 10% = 57.3 stays. TRIMMEAN rounds that down to an even number (56) and drops 28 from each end. The result, $29,241.27, sits between the median ($23,965.69) and the mean ($32,041.72). For the board, report the median as the typical stay and keep the mean for budgeting, because mean × number of stays = total charges. Then list the outlier stays separately so nobody mistakes them for the norm.</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2.4 — Math &amp; Statistical Functions</dc:title>
  <dcterms:created xsi:type="dcterms:W3CDTF">2026-10-02T20:04:40Z</dcterms:created>
  <dcterms:modified xsi:type="dcterms:W3CDTF">2026-10-02T20:04:40Z</dcterms:modified>
</cp:coreProperties>
</file>
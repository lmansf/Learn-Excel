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Claims" sheetId="4" state="visible" r:id="rId4"/>
    <sheet name="Payer Mix" sheetId="5" state="visible" r:id="rId5"/>
    <sheet name="Bonus" sheetId="6" state="visible" r:id="rId6"/>
    <sheet name="Scorecard"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
      <i val="1"/>
      <color rgb="00595959"/>
      <sz val="10"/>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166" fontId="0" fillId="3" borderId="2" applyAlignment="1" pivotButton="0" quotePrefix="0" xfId="0">
      <alignment horizontal="right" vertical="top"/>
    </xf>
    <xf numFmtId="165" fontId="0" fillId="3" borderId="2" applyAlignment="1" pivotButton="0" quotePrefix="0" xfId="0">
      <alignment horizontal="right" vertical="top"/>
    </xf>
    <xf numFmtId="0" fontId="11" fillId="6" borderId="1" applyAlignment="1" pivotButton="0" quotePrefix="0" xfId="0">
      <alignment horizontal="right" vertical="top"/>
    </xf>
    <xf numFmtId="167" fontId="0" fillId="3"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1" fontId="0" fillId="3" borderId="0" pivotButton="0" quotePrefix="0" xfId="0"/>
    <xf numFmtId="0" fontId="17" fillId="0" borderId="0" pivotButton="0" quotePrefix="0" xfId="0"/>
    <xf numFmtId="0" fontId="18" fillId="0" borderId="0" applyAlignment="1" pivotButton="0" quotePrefix="0" xfId="0">
      <alignment vertical="top" wrapText="1"/>
    </xf>
    <xf numFmtId="0" fontId="5" fillId="5" borderId="1" applyAlignment="1" pivotButton="0" quotePrefix="0" xfId="0">
      <alignment horizontal="center" vertical="center" wrapText="1"/>
    </xf>
    <xf numFmtId="0" fontId="1" fillId="9" borderId="1" pivotButton="0" quotePrefix="0" xfId="0"/>
    <xf numFmtId="3" fontId="0" fillId="3" borderId="2" applyAlignment="1" pivotButton="0" quotePrefix="0" xfId="0">
      <alignment horizontal="right"/>
    </xf>
    <xf numFmtId="3" fontId="11" fillId="6" borderId="1" pivotButton="0" quotePrefix="0" xfId="0"/>
    <xf numFmtId="0" fontId="1" fillId="0" borderId="1" pivotButton="0" quotePrefix="0" xfId="0"/>
    <xf numFmtId="2" fontId="11" fillId="6" borderId="1" applyAlignment="1" pivotButton="0" quotePrefix="0" xfId="0">
      <alignment horizontal="right" vertical="top"/>
    </xf>
    <xf numFmtId="167" fontId="11" fillId="6" borderId="1" applyAlignment="1" pivotButton="0" quotePrefix="0" xfId="0">
      <alignment horizontal="right" vertical="top"/>
    </xf>
    <xf numFmtId="0" fontId="0" fillId="3" borderId="2" applyAlignment="1" pivotButton="0" quotePrefix="0" xfId="0">
      <alignment horizontal="left" vertical="top"/>
    </xf>
    <xf numFmtId="167" fontId="0" fillId="3" borderId="2" applyAlignment="1" pivotButton="0" quotePrefix="0" xfId="0">
      <alignment horizontal="right"/>
    </xf>
    <xf numFmtId="166" fontId="0" fillId="3" borderId="2" applyAlignment="1" pivotButton="0" quotePrefix="0" xfId="0">
      <alignment horizontal="righ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725" headerRowCount="1">
  <autoFilter ref="A1:P2725"/>
  <tableColumns count="16">
    <tableColumn id="1" name="EncounterID"/>
    <tableColumn id="2" name="PatientID"/>
    <tableColumn id="3" name="EncounterType"/>
    <tableColumn id="4" name="FacilityName"/>
    <tableColumn id="5" name="DeptName"/>
    <tableColumn id="6" name="ServiceLine"/>
    <tableColumn id="7" name="AdmitDate"/>
    <tableColumn id="8" name="DischargeDate"/>
    <tableColumn id="9" name="LOSDays"/>
    <tableColumn id="10" name="PrimaryDxCode"/>
    <tableColumn id="11" name="DxDescription"/>
    <tableColumn id="12" name="DxCategory"/>
    <tableColumn id="13" name="DischargeDisposition"/>
    <tableColumn id="14" name="PayerName"/>
    <tableColumn id="15" name="TotalCharges"/>
    <tableColumn id="16" name="Readmit30"/>
  </tableColumns>
  <tableStyleInfo name="TableStyleMedium2" showRowStripes="1"/>
</table>
</file>

<file path=xl/tables/table2.xml><?xml version="1.0" encoding="utf-8"?>
<table xmlns="http://schemas.openxmlformats.org/spreadsheetml/2006/main" id="2" name="tblClaims" displayName="tblClaims" ref="A1:L2667" headerRowCount="1">
  <autoFilter ref="A1:L2667"/>
  <tableColumns count="12">
    <tableColumn id="1" name="ClaimID"/>
    <tableColumn id="2" name="EncounterID"/>
    <tableColumn id="3" name="PayerName"/>
    <tableColumn id="4" name="EncounterType"/>
    <tableColumn id="5" name="ServiceDate"/>
    <tableColumn id="6" name="SubmitDate"/>
    <tableColumn id="7" name="BilledAmount"/>
    <tableColumn id="8" name="PaidAmount"/>
    <tableColumn id="9" name="ClaimStatus"/>
    <tableColumn id="10" name="DenialReason"/>
    <tableColumn id="11" name="PaidDate"/>
    <tableColumn id="12" name="DaysToP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2.5</t>
        </is>
      </c>
    </row>
    <row r="3">
      <c r="B3" s="2" t="inlineStr">
        <is>
          <t>Conditional Counting &amp; Summing</t>
        </is>
      </c>
    </row>
    <row r="4">
      <c r="B4" s="3" t="inlineStr">
        <is>
          <t>Beginner → Intermediate  ·  about 110 minutes  ·  Bluestone Health System (fictional)</t>
        </is>
      </c>
    </row>
    <row r="6">
      <c r="B6" s="4" t="inlineStr">
        <is>
          <t>What you'll learn</t>
        </is>
      </c>
      <c r="C6" s="5" t="n"/>
    </row>
    <row r="7" ht="18" customHeight="1">
      <c r="B7" s="6" t="inlineStr">
        <is>
          <t>•</t>
        </is>
      </c>
      <c r="C7" s="7" t="inlineStr">
        <is>
          <t>Count and sum with conditions using COUNTIF(S), SUMIF(S), and AVERAGEIF(S)</t>
        </is>
      </c>
    </row>
    <row r="8" ht="18" customHeight="1">
      <c r="B8" s="6" t="inlineStr">
        <is>
          <t>•</t>
        </is>
      </c>
      <c r="C8" s="7" t="inlineStr">
        <is>
          <t>Find conditional extremes with MAXIFS and MINIFS</t>
        </is>
      </c>
    </row>
    <row r="9" ht="18" customHeight="1">
      <c r="B9" s="6" t="inlineStr">
        <is>
          <t>•</t>
        </is>
      </c>
      <c r="C9" s="7" t="inlineStr">
        <is>
          <t>Write criteria with operators, cell references, wildcards, and date ranges</t>
        </is>
      </c>
    </row>
    <row r="10" ht="18" customHeight="1">
      <c r="B10" s="6" t="inlineStr">
        <is>
          <t>•</t>
        </is>
      </c>
      <c r="C10" s="7" t="inlineStr">
        <is>
          <t>Build summary grids that fill with a single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https://github.com/lmansf/learn-excel/tree/main/02-formulas-functions/05-conditional-aggregation</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Encounters and Claims are Excel Tables. If you select a whole Table column while writing a formula, Excel may write it as tblEncounters[EncounterType] instead of Encounters!C2:C2725. Both give the same result.</t>
        </is>
      </c>
    </row>
    <row r="19" ht="18" customHeight="1">
      <c r="B19" s="8" t="inlineStr">
        <is>
          <t>Note</t>
        </is>
      </c>
      <c r="C19" s="7" t="inlineStr">
        <is>
          <t>58 encounters from 2025 had not been billed by 12/31/2025, so the Claims sheet has 2,666 rows.</t>
        </is>
      </c>
    </row>
    <row r="20" ht="33" customHeight="1">
      <c r="B20" s="8" t="inlineStr">
        <is>
          <t>Note</t>
        </is>
      </c>
      <c r="C20" s="7" t="inlineStr">
        <is>
          <t>Practice task 12 is filled on the Payer Mix sheet, and the bonus scorecard on the Scorecard sheet. Their gray cells are pre-filled totals and checks.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8">
      <c r="B28" s="4" t="inlineStr">
        <is>
          <t>Sheets in this workbook</t>
        </is>
      </c>
      <c r="C28" s="5" t="n"/>
    </row>
    <row r="29" ht="18" customHeight="1">
      <c r="B29" s="8" t="inlineStr">
        <is>
          <t>Practice</t>
        </is>
      </c>
      <c r="C29" s="7" t="inlineStr">
        <is>
          <t>13 practice tasks, each with a Check cell.</t>
        </is>
      </c>
    </row>
    <row r="30" ht="18" customHeight="1">
      <c r="B30" s="8" t="inlineStr">
        <is>
          <t>Encounters</t>
        </is>
      </c>
      <c r="C30" s="7" t="inlineStr">
        <is>
          <t>Data: 2,724 rows, in the Excel Table 'tblEncounters'</t>
        </is>
      </c>
    </row>
    <row r="31" ht="18" customHeight="1">
      <c r="B31" s="8" t="inlineStr">
        <is>
          <t>Claims</t>
        </is>
      </c>
      <c r="C31" s="7" t="inlineStr">
        <is>
          <t>Data: 2,666 rows, in the Excel Table 'tblClaims'</t>
        </is>
      </c>
    </row>
    <row r="32" ht="18" customHeight="1">
      <c r="B32" s="8" t="inlineStr">
        <is>
          <t>Bonus</t>
        </is>
      </c>
      <c r="C32" s="7" t="inlineStr">
        <is>
          <t>The bonus challenge (5 parts).</t>
        </is>
      </c>
    </row>
    <row r="33" ht="63" customHeight="1">
      <c r="B33" s="8" t="inlineStr">
        <is>
          <t>About the data</t>
        </is>
      </c>
      <c r="C33" s="7" t="inlineStr">
        <is>
          <t>2,724 encounters that ended in 2025 across all four Bluestone Health System facilities (every 2025 encounter for a fixed sample of about 900 patients), with facility, department, service line, diagnosis, payer, charges, and length of stay. The 2,666 claims for those encounters that had been submitted by 12/31/2025, with status, denial reason, and payment dates.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Practice</t>
        </is>
      </c>
    </row>
    <row r="2" ht="34" customHeight="1">
      <c r="A2" s="14" t="inlineStr">
        <is>
          <t>The Encounters sheet holds rows 2–2725 and the Claims sheet holds rows 2–2667. Type text criteria exactly as the task spells them. Upper and lower case don't matter, but every other character does. Task 12 is filled on the Payer Mix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How many encounters were Emergency visits (EncounterType = Emergency)?</t>
        </is>
      </c>
      <c r="C6" s="20" t="inlineStr">
        <is>
          <t>COUNTIF(range, criteria)</t>
        </is>
      </c>
      <c r="D6" s="21" t="n"/>
      <c r="E6" s="22">
        <f>IF(IFERROR(D6="",FALSE),"",IF(IFERROR(AND(ISNUMBER(D6),OR(ABS(D6-'Answer Key'!$C$5)&lt;=0.0001)),FALSE),"✔ Correct","✘ Not yet"))</f>
        <v/>
      </c>
    </row>
    <row r="7" ht="36" customHeight="1">
      <c r="A7" s="18" t="inlineStr">
        <is>
          <t>2</t>
        </is>
      </c>
      <c r="B7" s="19" t="inlineStr">
        <is>
          <t>How many Inpatient encounters were at Cedar Ridge Medical Center?</t>
        </is>
      </c>
      <c r="C7" s="20" t="inlineStr">
        <is>
          <t>COUNTIFS takes range/criteria pairs, and a row must pass every pair</t>
        </is>
      </c>
      <c r="D7" s="21" t="n"/>
      <c r="E7" s="22">
        <f>IF(IFERROR(D7="",FALSE),"",IF(IFERROR(AND(ISNUMBER(D7),OR(ABS(D7-'Answer Key'!$C$6)&lt;=0.0001)),FALSE),"✔ Correct","✘ Not yet"))</f>
        <v/>
      </c>
    </row>
    <row r="8" ht="51" customHeight="1">
      <c r="A8" s="18" t="inlineStr">
        <is>
          <t>3</t>
        </is>
      </c>
      <c r="B8" s="19" t="inlineStr">
        <is>
          <t>What were the total charges (TotalCharges) of encounters billed to Medicare? Use PayerName = Medicare exactly, because Silverline Medicare Advantage is a separate payer.</t>
        </is>
      </c>
      <c r="C8" s="20" t="inlineStr">
        <is>
          <t>SUMIF(range, criteria, sum_range)</t>
        </is>
      </c>
      <c r="D8" s="23" t="n"/>
      <c r="E8" s="22">
        <f>IF(IFERROR(D8="",FALSE),"",IF(IFERROR(AND(ISNUMBER(D8),OR(ABS(D8-'Answer Key'!$C$7)&lt;=0.0051)),FALSE),"✔ Correct","✘ Not yet"))</f>
        <v/>
      </c>
    </row>
    <row r="9" ht="36" customHeight="1">
      <c r="A9" s="18" t="inlineStr">
        <is>
          <t>4</t>
        </is>
      </c>
      <c r="B9" s="19" t="inlineStr">
        <is>
          <t>How much was billed (BilledAmount) on claims with ClaimStatus = Denied and DenialReason = Authorization Required? Use the Claims sheet.</t>
        </is>
      </c>
      <c r="C9" s="20" t="inlineStr">
        <is>
          <t>SUMIFS puts the sum_range FIRST</t>
        </is>
      </c>
      <c r="D9" s="23" t="n"/>
      <c r="E9" s="22">
        <f>IF(IFERROR(D9="",FALSE),"",IF(IFERROR(AND(ISNUMBER(D9),OR(ABS(D9-'Answer Key'!$C$8)&lt;=0.0051)),FALSE),"✔ Correct","✘ Not yet"))</f>
        <v/>
      </c>
    </row>
    <row r="10" ht="36" customHeight="1">
      <c r="A10" s="18" t="inlineStr">
        <is>
          <t>5</t>
        </is>
      </c>
      <c r="B10" s="19" t="inlineStr">
        <is>
          <t>What was the average length of stay (LOSDays) of Inpatient encounters with PrimaryDxCode I50.9 (heart failure)? Round to 1 decimal place with ROUND.</t>
        </is>
      </c>
      <c r="C10" s="20" t="inlineStr">
        <is>
          <t>AVERAGEIFS(average_range, criteria_range1, criteria1, …), wrapped in ROUND</t>
        </is>
      </c>
      <c r="D10" s="24" t="n"/>
      <c r="E10" s="22">
        <f>IF(IFERROR(D10="",FALSE),"",IF(IFERROR(AND(ISNUMBER(D10),OR(ABS(D10-'Answer Key'!$C$9)&lt;=0.0001)),FALSE),"✔ Correct","✘ Not yet"))</f>
        <v/>
      </c>
    </row>
    <row r="11" ht="36" customHeight="1">
      <c r="A11" s="18" t="inlineStr">
        <is>
          <t>6</t>
        </is>
      </c>
      <c r="B11" s="19" t="inlineStr">
        <is>
          <t>How many claims were submitted in Q3 2025 (SubmitDate from 07/01/2025 through 09/30/2025)? Build the dates with DATE.</t>
        </is>
      </c>
      <c r="C11" s="20" t="inlineStr">
        <is>
          <t>Use the same column twice, once for the start and once for the end</t>
        </is>
      </c>
      <c r="D11" s="21" t="n"/>
      <c r="E11" s="22">
        <f>IF(IFERROR(D11="",FALSE),"",IF(IFERROR(AND(ISNUMBER(D11),OR(ABS(D11-'Answer Key'!$C$10)&lt;=0.0001)),FALSE),"✔ Correct","✘ Not yet"))</f>
        <v/>
      </c>
    </row>
    <row r="12" ht="36" customHeight="1">
      <c r="A12" s="18" t="inlineStr">
        <is>
          <t>7</t>
        </is>
      </c>
      <c r="B12" s="19" t="inlineStr">
        <is>
          <t>How many encounters had a primary diagnosis code in the circulatory chapter of ICD-10, meaning a PrimaryDxCode that starts with the letter I?</t>
        </is>
      </c>
      <c r="C12" s="20" t="inlineStr">
        <is>
          <t>An asterisk matches any number of characters</t>
        </is>
      </c>
      <c r="D12" s="21" t="n"/>
      <c r="E12" s="22">
        <f>IF(IFERROR(D12="",FALSE),"",IF(IFERROR(AND(ISNUMBER(D12),OR(ABS(D12-'Answer Key'!$C$11)&lt;=0.0001)),FALSE),"✔ Correct","✘ Not yet"))</f>
        <v/>
      </c>
    </row>
    <row r="13" ht="51" customHeight="1">
      <c r="A13" s="18" t="inlineStr">
        <is>
          <t>8</t>
        </is>
      </c>
      <c r="B13" s="19" t="inlineStr">
        <is>
          <t>How many Inpatient encounters had TotalCharges above the average TotalCharges of all Inpatient encounters? Calculate the average inside the formula rather than typing it.</t>
        </is>
      </c>
      <c r="C13" s="20" t="inlineStr">
        <is>
          <t>Join an operator to a function: "&gt;"&amp;AVERAGEIF(…)</t>
        </is>
      </c>
      <c r="D13" s="21" t="n"/>
      <c r="E13" s="22">
        <f>IF(IFERROR(D13="",FALSE),"",IF(IFERROR(AND(ISNUMBER(D13),OR(ABS(D13-'Answer Key'!$C$12)&lt;=0.0001)),FALSE),"✔ Correct","✘ Not yet"))</f>
        <v/>
      </c>
    </row>
    <row r="14" ht="36" customHeight="1">
      <c r="A14" s="18" t="inlineStr">
        <is>
          <t>9</t>
        </is>
      </c>
      <c r="B14" s="19" t="inlineStr">
        <is>
          <t>How many encounters at Bluestone Memorial Hospital were hospital stays, meaning EncounterType is Inpatient OR Observation?</t>
        </is>
      </c>
      <c r="C14" s="20" t="inlineStr">
        <is>
          <t>COUNTIFS joins conditions with AND. For OR, add two counts together</t>
        </is>
      </c>
      <c r="D14" s="21" t="n"/>
      <c r="E14" s="22">
        <f>IF(IFERROR(D14="",FALSE),"",IF(IFERROR(AND(ISNUMBER(D14),OR(ABS(D14-'Answer Key'!$C$13)&lt;=0.0001)),FALSE),"✔ Correct","✘ Not yet"))</f>
        <v/>
      </c>
    </row>
    <row r="15" ht="51" customHeight="1">
      <c r="A15" s="18" t="inlineStr">
        <is>
          <t>10</t>
        </is>
      </c>
      <c r="B15" s="19" t="inlineStr">
        <is>
          <t>What was the highest TotalCharges for an encounter whose DxDescription contains the word sepsis?</t>
        </is>
      </c>
      <c r="C15" s="20" t="inlineStr">
        <is>
          <t>MAXIFS(max_range, criteria_range1, criteria1, …). "Contains" needs an asterisk on both sides</t>
        </is>
      </c>
      <c r="D15" s="23" t="n"/>
      <c r="E15" s="22">
        <f>IF(IFERROR(D15="",FALSE),"",IF(IFERROR(AND(ISNUMBER(D15),OR(ABS(D15-'Answer Key'!$C$14)&lt;=0.0051)),FALSE),"✔ Correct","✘ Not yet"))</f>
        <v/>
      </c>
    </row>
    <row r="16" ht="51" customHeight="1">
      <c r="A16" s="18" t="inlineStr">
        <is>
          <t>11</t>
        </is>
      </c>
      <c r="B16" s="19" t="inlineStr">
        <is>
          <t>Collections wants the oldest claim still waiting on an insurance company. What is the earliest SubmitDate among claims with ClaimStatus = Pending and a PayerName other than Self-Pay? Enter it as a date.</t>
        </is>
      </c>
      <c r="C16" s="20" t="inlineStr">
        <is>
          <t>MINIFS works on dates too, and "&lt;&gt;" means not equal to</t>
        </is>
      </c>
      <c r="D16" s="25" t="n"/>
      <c r="E16" s="22">
        <f>IF(IFERROR(D16="",FALSE),"",IF(IFERROR(AND(ISNUMBER(D16),INT(D16)=INT('Answer Key'!$C$15)),FALSE),"✔ Correct","✘ Not yet"))</f>
        <v/>
      </c>
    </row>
    <row r="17" ht="81" customHeight="1">
      <c r="A17" s="18" t="inlineStr">
        <is>
          <t>12</t>
        </is>
      </c>
      <c r="B17" s="19" t="inlineStr">
        <is>
          <t>On the Payer Mix sheet, fill the yellow grid B5:E12 with ONE COUNTIFS formula: the number of encounters for the payer in column A and the encounter type in row 4. Type it in B5, then copy it across and down. Type the data ranges as cell addresses with $ signs instead of selecting Table columns (guide section 11 explains why). The gray cell adds up your grid.</t>
        </is>
      </c>
      <c r="C17" s="20" t="inlineStr">
        <is>
          <t>Lock the data ranges fully. For each label, lock only the part (row or column) that must stay put</t>
        </is>
      </c>
      <c r="D17" cm="1" s="26">
        <f t="array" ref="D17">IF(COUNT('Payer Mix'!B5:E12)=0,"",SUM('Payer Mix'!B5:E12))</f>
        <v/>
      </c>
      <c r="E17" s="22">
        <f>IF(IFERROR(D17="",FALSE),"",IF(IFERROR(AND(ISNUMBER(D17),OR(ABS(D17-'Answer Key'!$C$16)&lt;=0.0001)),FALSE),"✔ Correct","✘ Not yet"))</f>
        <v/>
      </c>
    </row>
    <row r="18" ht="51" customHeight="1">
      <c r="A18" s="18" t="inlineStr">
        <is>
          <t>13</t>
        </is>
      </c>
      <c r="B18" s="19" t="inlineStr">
        <is>
          <t>What was the 30-day readmission rate for the Cardiovascular service line? Divide the Cardiovascular Inpatient stays with Readmit30 = Y by all Cardiovascular Inpatient stays. Enter it as a percentage.</t>
        </is>
      </c>
      <c r="C18" s="20" t="inlineStr">
        <is>
          <t>Rate = COUNTIFS(numerator) / COUNTIFS(denominator). Same filters, plus one more on top</t>
        </is>
      </c>
      <c r="D18" s="27"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P27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30" customWidth="1" min="4" max="4"/>
    <col width="26" customWidth="1" min="5" max="5"/>
    <col width="18" customWidth="1" min="6" max="6"/>
    <col width="12" customWidth="1" min="7" max="7"/>
    <col width="15" customWidth="1" min="8" max="8"/>
    <col width="9" customWidth="1" min="9" max="9"/>
    <col width="15" customWidth="1" min="10" max="10"/>
    <col width="44" customWidth="1" min="11" max="11"/>
    <col width="28" customWidth="1" min="12" max="12"/>
    <col width="26" customWidth="1" min="13" max="13"/>
    <col width="29" customWidth="1" min="14" max="14"/>
    <col width="13" customWidth="1" min="15" max="15"/>
    <col width="11" customWidth="1" min="16" max="16"/>
  </cols>
  <sheetData>
    <row r="1">
      <c r="A1" s="28" t="inlineStr">
        <is>
          <t>EncounterID</t>
        </is>
      </c>
      <c r="B1" s="28" t="inlineStr">
        <is>
          <t>PatientID</t>
        </is>
      </c>
      <c r="C1" s="28" t="inlineStr">
        <is>
          <t>EncounterType</t>
        </is>
      </c>
      <c r="D1" s="28" t="inlineStr">
        <is>
          <t>FacilityName</t>
        </is>
      </c>
      <c r="E1" s="28" t="inlineStr">
        <is>
          <t>DeptName</t>
        </is>
      </c>
      <c r="F1" s="28" t="inlineStr">
        <is>
          <t>ServiceLine</t>
        </is>
      </c>
      <c r="G1" s="28" t="inlineStr">
        <is>
          <t>AdmitDate</t>
        </is>
      </c>
      <c r="H1" s="28" t="inlineStr">
        <is>
          <t>DischargeDate</t>
        </is>
      </c>
      <c r="I1" s="28" t="inlineStr">
        <is>
          <t>LOSDays</t>
        </is>
      </c>
      <c r="J1" s="28" t="inlineStr">
        <is>
          <t>PrimaryDxCode</t>
        </is>
      </c>
      <c r="K1" s="28" t="inlineStr">
        <is>
          <t>DxDescription</t>
        </is>
      </c>
      <c r="L1" s="28" t="inlineStr">
        <is>
          <t>DxCategory</t>
        </is>
      </c>
      <c r="M1" s="28" t="inlineStr">
        <is>
          <t>DischargeDisposition</t>
        </is>
      </c>
      <c r="N1" s="28" t="inlineStr">
        <is>
          <t>PayerName</t>
        </is>
      </c>
      <c r="O1" s="28" t="inlineStr">
        <is>
          <t>TotalCharges</t>
        </is>
      </c>
      <c r="P1" s="28" t="inlineStr">
        <is>
          <t>Readmit30</t>
        </is>
      </c>
    </row>
    <row r="2">
      <c r="A2" t="inlineStr">
        <is>
          <t>ENC110146</t>
        </is>
      </c>
      <c r="B2" t="inlineStr">
        <is>
          <t>PT11176</t>
        </is>
      </c>
      <c r="C2" t="inlineStr">
        <is>
          <t>Inpatient</t>
        </is>
      </c>
      <c r="D2" t="inlineStr">
        <is>
          <t>Bluestone Memorial Hospital</t>
        </is>
      </c>
      <c r="E2" t="inlineStr">
        <is>
          <t>Medical-Surgical 4 West</t>
        </is>
      </c>
      <c r="F2" t="inlineStr">
        <is>
          <t>Medicine</t>
        </is>
      </c>
      <c r="G2" s="29" t="n">
        <v>45642</v>
      </c>
      <c r="H2" s="29" t="n">
        <v>45658</v>
      </c>
      <c r="I2" s="30" t="n">
        <v>16</v>
      </c>
      <c r="J2" t="inlineStr">
        <is>
          <t>A41.9</t>
        </is>
      </c>
      <c r="K2" t="inlineStr">
        <is>
          <t>Sepsis, unspecified organism</t>
        </is>
      </c>
      <c r="L2" t="inlineStr">
        <is>
          <t>Infectious</t>
        </is>
      </c>
      <c r="M2" t="inlineStr">
        <is>
          <t>Expired</t>
        </is>
      </c>
      <c r="N2" t="inlineStr">
        <is>
          <t>Medicare</t>
        </is>
      </c>
      <c r="O2" s="31" t="n">
        <v>125504.99</v>
      </c>
      <c r="P2" t="inlineStr">
        <is>
          <t>N</t>
        </is>
      </c>
    </row>
    <row r="3">
      <c r="A3" t="inlineStr">
        <is>
          <t>ENC110513</t>
        </is>
      </c>
      <c r="B3" t="inlineStr">
        <is>
          <t>PT11000</t>
        </is>
      </c>
      <c r="C3" t="inlineStr">
        <is>
          <t>Inpatient</t>
        </is>
      </c>
      <c r="D3" t="inlineStr">
        <is>
          <t>Bluestone Memorial Hospital</t>
        </is>
      </c>
      <c r="E3" t="inlineStr">
        <is>
          <t>Medical-Surgical 5 East</t>
        </is>
      </c>
      <c r="F3" t="inlineStr">
        <is>
          <t>Medicine</t>
        </is>
      </c>
      <c r="G3" s="29" t="n">
        <v>45652</v>
      </c>
      <c r="H3" s="29" t="n">
        <v>45659</v>
      </c>
      <c r="I3" s="30" t="n">
        <v>7</v>
      </c>
      <c r="J3" t="inlineStr">
        <is>
          <t>J18.9</t>
        </is>
      </c>
      <c r="K3" t="inlineStr">
        <is>
          <t>Pneumonia, unspecified organism</t>
        </is>
      </c>
      <c r="L3" t="inlineStr">
        <is>
          <t>Respiratory</t>
        </is>
      </c>
      <c r="M3" t="inlineStr">
        <is>
          <t>Home/Self-Care</t>
        </is>
      </c>
      <c r="N3" t="inlineStr">
        <is>
          <t>Evergreen Mutual Insurance</t>
        </is>
      </c>
      <c r="O3" s="31" t="n">
        <v>31528.36</v>
      </c>
      <c r="P3" t="inlineStr">
        <is>
          <t>N</t>
        </is>
      </c>
    </row>
    <row r="4">
      <c r="A4" t="inlineStr">
        <is>
          <t>ENC110582</t>
        </is>
      </c>
      <c r="B4" t="inlineStr">
        <is>
          <t>PT10784</t>
        </is>
      </c>
      <c r="C4" t="inlineStr">
        <is>
          <t>Inpatient</t>
        </is>
      </c>
      <c r="D4" t="inlineStr">
        <is>
          <t>Bluestone Memorial Hospital</t>
        </is>
      </c>
      <c r="E4" t="inlineStr">
        <is>
          <t>Medical-Surgical 5 East</t>
        </is>
      </c>
      <c r="F4" t="inlineStr">
        <is>
          <t>Medicine</t>
        </is>
      </c>
      <c r="G4" s="29" t="n">
        <v>45653</v>
      </c>
      <c r="H4" s="29" t="n">
        <v>45658</v>
      </c>
      <c r="I4" s="30" t="n">
        <v>5</v>
      </c>
      <c r="J4" t="inlineStr">
        <is>
          <t>U07.1</t>
        </is>
      </c>
      <c r="K4" t="inlineStr">
        <is>
          <t>COVID-19</t>
        </is>
      </c>
      <c r="L4" t="inlineStr">
        <is>
          <t>Respiratory</t>
        </is>
      </c>
      <c r="M4" t="inlineStr">
        <is>
          <t>Home/Self-Care</t>
        </is>
      </c>
      <c r="N4" t="inlineStr">
        <is>
          <t>Silverline Medicare Advantage</t>
        </is>
      </c>
      <c r="O4" s="31" t="n">
        <v>17877.15</v>
      </c>
      <c r="P4" t="inlineStr">
        <is>
          <t>N</t>
        </is>
      </c>
    </row>
    <row r="5">
      <c r="A5" t="inlineStr">
        <is>
          <t>ENC110584</t>
        </is>
      </c>
      <c r="B5" t="inlineStr">
        <is>
          <t>PT10500</t>
        </is>
      </c>
      <c r="C5" t="inlineStr">
        <is>
          <t>Inpatient</t>
        </is>
      </c>
      <c r="D5" t="inlineStr">
        <is>
          <t>Ashby Falls Community Hospital</t>
        </is>
      </c>
      <c r="E5" t="inlineStr">
        <is>
          <t>Intensive Care Unit</t>
        </is>
      </c>
      <c r="F5" t="inlineStr">
        <is>
          <t>Critical Care</t>
        </is>
      </c>
      <c r="G5" s="29" t="n">
        <v>45653</v>
      </c>
      <c r="H5" s="29" t="n">
        <v>45658</v>
      </c>
      <c r="I5" s="30" t="n">
        <v>5</v>
      </c>
      <c r="J5" t="inlineStr">
        <is>
          <t>A41.9</t>
        </is>
      </c>
      <c r="K5" t="inlineStr">
        <is>
          <t>Sepsis, unspecified organism</t>
        </is>
      </c>
      <c r="L5" t="inlineStr">
        <is>
          <t>Infectious</t>
        </is>
      </c>
      <c r="M5" t="inlineStr">
        <is>
          <t>Home/Self-Care</t>
        </is>
      </c>
      <c r="N5" t="inlineStr">
        <is>
          <t>Evergreen Mutual Insurance</t>
        </is>
      </c>
      <c r="O5" s="31" t="n">
        <v>48056.23</v>
      </c>
      <c r="P5" t="inlineStr">
        <is>
          <t>N</t>
        </is>
      </c>
    </row>
    <row r="6">
      <c r="A6" t="inlineStr">
        <is>
          <t>ENC110589</t>
        </is>
      </c>
      <c r="B6" t="inlineStr">
        <is>
          <t>PT10568</t>
        </is>
      </c>
      <c r="C6" t="inlineStr">
        <is>
          <t>Inpatient</t>
        </is>
      </c>
      <c r="D6" t="inlineStr">
        <is>
          <t>Bluestone Memorial Hospital</t>
        </is>
      </c>
      <c r="E6" t="inlineStr">
        <is>
          <t>Neuroscience &amp; Stroke</t>
        </is>
      </c>
      <c r="F6" t="inlineStr">
        <is>
          <t>Neuroscience</t>
        </is>
      </c>
      <c r="G6" s="29" t="n">
        <v>45654</v>
      </c>
      <c r="H6" s="29" t="n">
        <v>45658</v>
      </c>
      <c r="I6" s="30" t="n">
        <v>4</v>
      </c>
      <c r="J6" t="inlineStr">
        <is>
          <t>I63.9</t>
        </is>
      </c>
      <c r="K6" t="inlineStr">
        <is>
          <t>Cerebral infarction, unspecified</t>
        </is>
      </c>
      <c r="L6" t="inlineStr">
        <is>
          <t>Circulatory</t>
        </is>
      </c>
      <c r="M6" t="inlineStr">
        <is>
          <t>Skilled Nursing Facility</t>
        </is>
      </c>
      <c r="N6" t="inlineStr">
        <is>
          <t>Silverline Medicare Advantage</t>
        </is>
      </c>
      <c r="O6" s="31" t="n">
        <v>26241.95</v>
      </c>
      <c r="P6" t="inlineStr">
        <is>
          <t>N</t>
        </is>
      </c>
    </row>
    <row r="7">
      <c r="A7" t="inlineStr">
        <is>
          <t>ENC110598</t>
        </is>
      </c>
      <c r="B7" t="inlineStr">
        <is>
          <t>PT12264</t>
        </is>
      </c>
      <c r="C7" t="inlineStr">
        <is>
          <t>Inpatient</t>
        </is>
      </c>
      <c r="D7" t="inlineStr">
        <is>
          <t>Ashby Falls Community Hospital</t>
        </is>
      </c>
      <c r="E7" t="inlineStr">
        <is>
          <t>Medical-Surgical</t>
        </is>
      </c>
      <c r="F7" t="inlineStr">
        <is>
          <t>Medicine</t>
        </is>
      </c>
      <c r="G7" s="29" t="n">
        <v>45654</v>
      </c>
      <c r="H7" s="29" t="n">
        <v>45660</v>
      </c>
      <c r="I7" s="30" t="n">
        <v>6</v>
      </c>
      <c r="J7" t="inlineStr">
        <is>
          <t>K92.2</t>
        </is>
      </c>
      <c r="K7" t="inlineStr">
        <is>
          <t>Gastrointestinal hemorrhage, unspecified</t>
        </is>
      </c>
      <c r="L7" t="inlineStr">
        <is>
          <t>Digestive</t>
        </is>
      </c>
      <c r="M7" t="inlineStr">
        <is>
          <t>Home/Self-Care</t>
        </is>
      </c>
      <c r="N7" t="inlineStr">
        <is>
          <t>Medicare</t>
        </is>
      </c>
      <c r="O7" s="31" t="n">
        <v>25192.09</v>
      </c>
      <c r="P7" t="inlineStr">
        <is>
          <t>Y</t>
        </is>
      </c>
    </row>
    <row r="8">
      <c r="A8" t="inlineStr">
        <is>
          <t>ENC110628</t>
        </is>
      </c>
      <c r="B8" t="inlineStr">
        <is>
          <t>PT10644</t>
        </is>
      </c>
      <c r="C8" t="inlineStr">
        <is>
          <t>Inpatient</t>
        </is>
      </c>
      <c r="D8" t="inlineStr">
        <is>
          <t>Cedar Ridge Medical Center</t>
        </is>
      </c>
      <c r="E8" t="inlineStr">
        <is>
          <t>Cardiac Step-Down</t>
        </is>
      </c>
      <c r="F8" t="inlineStr">
        <is>
          <t>Cardiovascular</t>
        </is>
      </c>
      <c r="G8" s="29" t="n">
        <v>45656</v>
      </c>
      <c r="H8" s="29" t="n">
        <v>45662</v>
      </c>
      <c r="I8" s="30" t="n">
        <v>6</v>
      </c>
      <c r="J8" t="inlineStr">
        <is>
          <t>I50.9</t>
        </is>
      </c>
      <c r="K8" t="inlineStr">
        <is>
          <t>Heart failure, unspecified</t>
        </is>
      </c>
      <c r="L8" t="inlineStr">
        <is>
          <t>Circulatory</t>
        </is>
      </c>
      <c r="M8" t="inlineStr">
        <is>
          <t>Home Health</t>
        </is>
      </c>
      <c r="N8" t="inlineStr">
        <is>
          <t>Medicare</t>
        </is>
      </c>
      <c r="O8" s="31" t="n">
        <v>54996.54</v>
      </c>
      <c r="P8" t="inlineStr">
        <is>
          <t>Y</t>
        </is>
      </c>
    </row>
    <row r="9">
      <c r="A9" t="inlineStr">
        <is>
          <t>ENC110664</t>
        </is>
      </c>
      <c r="B9" t="inlineStr">
        <is>
          <t>PT11696</t>
        </is>
      </c>
      <c r="C9" t="inlineStr">
        <is>
          <t>Inpatient</t>
        </is>
      </c>
      <c r="D9" t="inlineStr">
        <is>
          <t>Bluestone Memorial Hospital</t>
        </is>
      </c>
      <c r="E9" t="inlineStr">
        <is>
          <t>Medical-Surgical 4 West</t>
        </is>
      </c>
      <c r="F9" t="inlineStr">
        <is>
          <t>Medicine</t>
        </is>
      </c>
      <c r="G9" s="29" t="n">
        <v>45656</v>
      </c>
      <c r="H9" s="29" t="n">
        <v>45661</v>
      </c>
      <c r="I9" s="30" t="n">
        <v>5</v>
      </c>
      <c r="J9" t="inlineStr">
        <is>
          <t>J44.1</t>
        </is>
      </c>
      <c r="K9" t="inlineStr">
        <is>
          <t>Chronic obstructive pulmonary disease with (acute) exacerbation</t>
        </is>
      </c>
      <c r="L9" t="inlineStr">
        <is>
          <t>Respiratory</t>
        </is>
      </c>
      <c r="M9" t="inlineStr">
        <is>
          <t>Home Health</t>
        </is>
      </c>
      <c r="N9" t="inlineStr">
        <is>
          <t>Medicare</t>
        </is>
      </c>
      <c r="O9" s="31" t="n">
        <v>25224.94</v>
      </c>
      <c r="P9" t="inlineStr">
        <is>
          <t>N</t>
        </is>
      </c>
    </row>
    <row r="10">
      <c r="A10" t="inlineStr">
        <is>
          <t>ENC110683</t>
        </is>
      </c>
      <c r="B10" t="inlineStr">
        <is>
          <t>PT10116</t>
        </is>
      </c>
      <c r="C10" t="inlineStr">
        <is>
          <t>Inpatient</t>
        </is>
      </c>
      <c r="D10" t="inlineStr">
        <is>
          <t>Bluestone Memorial Hospital</t>
        </is>
      </c>
      <c r="E10" t="inlineStr">
        <is>
          <t>Intensive Care Unit</t>
        </is>
      </c>
      <c r="F10" t="inlineStr">
        <is>
          <t>Critical Care</t>
        </is>
      </c>
      <c r="G10" s="29" t="n">
        <v>45657</v>
      </c>
      <c r="H10" s="29" t="n">
        <v>45671</v>
      </c>
      <c r="I10" s="30" t="n">
        <v>14</v>
      </c>
      <c r="J10" t="inlineStr">
        <is>
          <t>A41.9</t>
        </is>
      </c>
      <c r="K10" t="inlineStr">
        <is>
          <t>Sepsis, unspecified organism</t>
        </is>
      </c>
      <c r="L10" t="inlineStr">
        <is>
          <t>Infectious</t>
        </is>
      </c>
      <c r="M10" t="inlineStr">
        <is>
          <t>Home/Self-Care</t>
        </is>
      </c>
      <c r="N10" t="inlineStr">
        <is>
          <t>Silverline Medicare Advantage</t>
        </is>
      </c>
      <c r="O10" s="31" t="n">
        <v>136726.43</v>
      </c>
      <c r="P10" t="inlineStr">
        <is>
          <t>N</t>
        </is>
      </c>
    </row>
    <row r="11">
      <c r="A11" t="inlineStr">
        <is>
          <t>ENC110711</t>
        </is>
      </c>
      <c r="B11" t="inlineStr">
        <is>
          <t>PT12128</t>
        </is>
      </c>
      <c r="C11" t="inlineStr">
        <is>
          <t>Emergency</t>
        </is>
      </c>
      <c r="D11" t="inlineStr">
        <is>
          <t>Ashby Falls Community Hospital</t>
        </is>
      </c>
      <c r="E11" t="inlineStr">
        <is>
          <t>Emergency Department</t>
        </is>
      </c>
      <c r="F11" t="inlineStr">
        <is>
          <t>Emergency</t>
        </is>
      </c>
      <c r="G11" s="29" t="n">
        <v>45657</v>
      </c>
      <c r="H11" s="29" t="n">
        <v>45658</v>
      </c>
      <c r="I11" s="30" t="n"/>
      <c r="J11" t="inlineStr">
        <is>
          <t>A08.4</t>
        </is>
      </c>
      <c r="K11" t="inlineStr">
        <is>
          <t>Viral intestinal infection, unspecified</t>
        </is>
      </c>
      <c r="L11" t="inlineStr">
        <is>
          <t>Infectious</t>
        </is>
      </c>
      <c r="M11" t="inlineStr">
        <is>
          <t>Home/Self-Care</t>
        </is>
      </c>
      <c r="N11" t="inlineStr">
        <is>
          <t>State Medicaid</t>
        </is>
      </c>
      <c r="O11" s="31" t="n">
        <v>595.04</v>
      </c>
    </row>
    <row r="12">
      <c r="A12" t="inlineStr">
        <is>
          <t>ENC110713</t>
        </is>
      </c>
      <c r="B12" t="inlineStr">
        <is>
          <t>PT13324</t>
        </is>
      </c>
      <c r="C12" t="inlineStr">
        <is>
          <t>Inpatient</t>
        </is>
      </c>
      <c r="D12" t="inlineStr">
        <is>
          <t>Bluestone Memorial Hospital</t>
        </is>
      </c>
      <c r="E12" t="inlineStr">
        <is>
          <t>Medical-Surgical 4 West</t>
        </is>
      </c>
      <c r="F12" t="inlineStr">
        <is>
          <t>Medicine</t>
        </is>
      </c>
      <c r="G12" s="29" t="n">
        <v>45658</v>
      </c>
      <c r="H12" s="29" t="n">
        <v>45661</v>
      </c>
      <c r="I12" s="30" t="n">
        <v>3</v>
      </c>
      <c r="J12" t="inlineStr">
        <is>
          <t>J44.1</t>
        </is>
      </c>
      <c r="K12" t="inlineStr">
        <is>
          <t>Chronic obstructive pulmonary disease with (acute) exacerbation</t>
        </is>
      </c>
      <c r="L12" t="inlineStr">
        <is>
          <t>Respiratory</t>
        </is>
      </c>
      <c r="M12" t="inlineStr">
        <is>
          <t>Home/Self-Care</t>
        </is>
      </c>
      <c r="N12" t="inlineStr">
        <is>
          <t>Evergreen Mutual Insurance</t>
        </is>
      </c>
      <c r="O12" s="31" t="n">
        <v>10673.63</v>
      </c>
      <c r="P12" t="inlineStr">
        <is>
          <t>N</t>
        </is>
      </c>
    </row>
    <row r="13">
      <c r="A13" t="inlineStr">
        <is>
          <t>ENC110716</t>
        </is>
      </c>
      <c r="B13" t="inlineStr">
        <is>
          <t>PT13152</t>
        </is>
      </c>
      <c r="C13" t="inlineStr">
        <is>
          <t>Outpatient</t>
        </is>
      </c>
      <c r="D13" t="inlineStr">
        <is>
          <t>Bluestone Outpatient Pavilion</t>
        </is>
      </c>
      <c r="E13" t="inlineStr">
        <is>
          <t>Primary Care Clinic</t>
        </is>
      </c>
      <c r="F13" t="inlineStr">
        <is>
          <t>Ambulatory</t>
        </is>
      </c>
      <c r="G13" s="29" t="n">
        <v>45658</v>
      </c>
      <c r="H13" s="29" t="n">
        <v>45658</v>
      </c>
      <c r="I13" s="30" t="n"/>
      <c r="J13" t="inlineStr">
        <is>
          <t>Z00.00</t>
        </is>
      </c>
      <c r="K13" t="inlineStr">
        <is>
          <t>Encounter for general adult medical examination without abnormal findings</t>
        </is>
      </c>
      <c r="L13" t="inlineStr">
        <is>
          <t>Factors Influencing Health</t>
        </is>
      </c>
      <c r="M13" t="inlineStr">
        <is>
          <t>Home/Self-Care</t>
        </is>
      </c>
      <c r="N13" t="inlineStr">
        <is>
          <t>State Medicaid</t>
        </is>
      </c>
      <c r="O13" s="31" t="n">
        <v>277.43</v>
      </c>
    </row>
    <row r="14">
      <c r="A14" t="inlineStr">
        <is>
          <t>ENC110724</t>
        </is>
      </c>
      <c r="B14" t="inlineStr">
        <is>
          <t>PT12272</t>
        </is>
      </c>
      <c r="C14" t="inlineStr">
        <is>
          <t>Inpatient</t>
        </is>
      </c>
      <c r="D14" t="inlineStr">
        <is>
          <t>Bluestone Memorial Hospital</t>
        </is>
      </c>
      <c r="E14" t="inlineStr">
        <is>
          <t>Medical-Surgical 4 West</t>
        </is>
      </c>
      <c r="F14" t="inlineStr">
        <is>
          <t>Medicine</t>
        </is>
      </c>
      <c r="G14" s="29" t="n">
        <v>45658</v>
      </c>
      <c r="H14" s="29" t="n">
        <v>45664</v>
      </c>
      <c r="I14" s="30" t="n">
        <v>6</v>
      </c>
      <c r="J14" t="inlineStr">
        <is>
          <t>U07.1</t>
        </is>
      </c>
      <c r="K14" t="inlineStr">
        <is>
          <t>COVID-19</t>
        </is>
      </c>
      <c r="L14" t="inlineStr">
        <is>
          <t>Respiratory</t>
        </is>
      </c>
      <c r="M14" t="inlineStr">
        <is>
          <t>Home/Self-Care</t>
        </is>
      </c>
      <c r="N14" t="inlineStr">
        <is>
          <t>Keystone Health Partners</t>
        </is>
      </c>
      <c r="O14" s="31" t="n">
        <v>18778.86</v>
      </c>
      <c r="P14" t="inlineStr">
        <is>
          <t>N</t>
        </is>
      </c>
    </row>
    <row r="15">
      <c r="A15" t="inlineStr">
        <is>
          <t>ENC110738</t>
        </is>
      </c>
      <c r="B15" t="inlineStr">
        <is>
          <t>PT12632</t>
        </is>
      </c>
      <c r="C15" t="inlineStr">
        <is>
          <t>Outpatient</t>
        </is>
      </c>
      <c r="D15" t="inlineStr">
        <is>
          <t>Bluestone Outpatient Pavilion</t>
        </is>
      </c>
      <c r="E15" t="inlineStr">
        <is>
          <t>Pediatric Clinic</t>
        </is>
      </c>
      <c r="F15" t="inlineStr">
        <is>
          <t>Women &amp; Children</t>
        </is>
      </c>
      <c r="G15" s="29" t="n">
        <v>45658</v>
      </c>
      <c r="H15" s="29" t="n">
        <v>45658</v>
      </c>
      <c r="I15" s="30" t="n"/>
      <c r="J15" t="inlineStr">
        <is>
          <t>H66.90</t>
        </is>
      </c>
      <c r="K15" t="inlineStr">
        <is>
          <t>Otitis media, unspecified, unspecified ear</t>
        </is>
      </c>
      <c r="L15" t="inlineStr">
        <is>
          <t>Ear</t>
        </is>
      </c>
      <c r="M15" t="inlineStr">
        <is>
          <t>Home/Self-Care</t>
        </is>
      </c>
      <c r="N15" t="inlineStr">
        <is>
          <t>Evergreen Mutual Insurance</t>
        </is>
      </c>
      <c r="O15" s="31" t="n">
        <v>292.94</v>
      </c>
    </row>
    <row r="16">
      <c r="A16" t="inlineStr">
        <is>
          <t>ENC110744</t>
        </is>
      </c>
      <c r="B16" t="inlineStr">
        <is>
          <t>PT10444</t>
        </is>
      </c>
      <c r="C16" t="inlineStr">
        <is>
          <t>Inpatient</t>
        </is>
      </c>
      <c r="D16" t="inlineStr">
        <is>
          <t>Bluestone Memorial Hospital</t>
        </is>
      </c>
      <c r="E16" t="inlineStr">
        <is>
          <t>Medical-Surgical 5 East</t>
        </is>
      </c>
      <c r="F16" t="inlineStr">
        <is>
          <t>Medicine</t>
        </is>
      </c>
      <c r="G16" s="29" t="n">
        <v>45658</v>
      </c>
      <c r="H16" s="29" t="n">
        <v>45660</v>
      </c>
      <c r="I16" s="30" t="n">
        <v>2</v>
      </c>
      <c r="J16" t="inlineStr">
        <is>
          <t>K35.80</t>
        </is>
      </c>
      <c r="K16" t="inlineStr">
        <is>
          <t>Unspecified acute appendicitis</t>
        </is>
      </c>
      <c r="L16" t="inlineStr">
        <is>
          <t>Digestive</t>
        </is>
      </c>
      <c r="M16" t="inlineStr">
        <is>
          <t>Skilled Nursing Facility</t>
        </is>
      </c>
      <c r="N16" t="inlineStr">
        <is>
          <t>Medicare</t>
        </is>
      </c>
      <c r="O16" s="31" t="n">
        <v>48442.42</v>
      </c>
      <c r="P16" t="inlineStr">
        <is>
          <t>N</t>
        </is>
      </c>
    </row>
    <row r="17">
      <c r="A17" t="inlineStr">
        <is>
          <t>ENC110747</t>
        </is>
      </c>
      <c r="B17" t="inlineStr">
        <is>
          <t>PT11596</t>
        </is>
      </c>
      <c r="C17" t="inlineStr">
        <is>
          <t>Inpatient</t>
        </is>
      </c>
      <c r="D17" t="inlineStr">
        <is>
          <t>Ashby Falls Community Hospital</t>
        </is>
      </c>
      <c r="E17" t="inlineStr">
        <is>
          <t>Intensive Care Unit</t>
        </is>
      </c>
      <c r="F17" t="inlineStr">
        <is>
          <t>Critical Care</t>
        </is>
      </c>
      <c r="G17" s="29" t="n">
        <v>45659</v>
      </c>
      <c r="H17" s="29" t="n">
        <v>45667</v>
      </c>
      <c r="I17" s="30" t="n">
        <v>8</v>
      </c>
      <c r="J17" t="inlineStr">
        <is>
          <t>J96.01</t>
        </is>
      </c>
      <c r="K17" t="inlineStr">
        <is>
          <t>Acute respiratory failure with hypoxia</t>
        </is>
      </c>
      <c r="L17" t="inlineStr">
        <is>
          <t>Respiratory</t>
        </is>
      </c>
      <c r="M17" t="inlineStr">
        <is>
          <t>Inpatient Rehab</t>
        </is>
      </c>
      <c r="N17" t="inlineStr">
        <is>
          <t>Keystone Health Partners</t>
        </is>
      </c>
      <c r="O17" s="31" t="n">
        <v>87037.78</v>
      </c>
      <c r="P17" t="inlineStr">
        <is>
          <t>N</t>
        </is>
      </c>
    </row>
    <row r="18">
      <c r="A18" t="inlineStr">
        <is>
          <t>ENC110748</t>
        </is>
      </c>
      <c r="B18" t="inlineStr">
        <is>
          <t>PT10252</t>
        </is>
      </c>
      <c r="C18" t="inlineStr">
        <is>
          <t>Emergency</t>
        </is>
      </c>
      <c r="D18" t="inlineStr">
        <is>
          <t>Cedar Ridge Medical Center</t>
        </is>
      </c>
      <c r="E18" t="inlineStr">
        <is>
          <t>Emergency Department</t>
        </is>
      </c>
      <c r="F18" t="inlineStr">
        <is>
          <t>Emergency</t>
        </is>
      </c>
      <c r="G18" s="29" t="n">
        <v>45658</v>
      </c>
      <c r="H18" s="29" t="n">
        <v>45659</v>
      </c>
      <c r="I18" s="30" t="n"/>
      <c r="J18" t="inlineStr">
        <is>
          <t>J06.9</t>
        </is>
      </c>
      <c r="K18" t="inlineStr">
        <is>
          <t>Acute upper respiratory infection, unspecified</t>
        </is>
      </c>
      <c r="L18" t="inlineStr">
        <is>
          <t>Respiratory</t>
        </is>
      </c>
      <c r="M18" t="inlineStr">
        <is>
          <t>Home/Self-Care</t>
        </is>
      </c>
      <c r="N18" t="inlineStr">
        <is>
          <t>Evergreen Mutual Insurance</t>
        </is>
      </c>
      <c r="O18" s="31" t="n">
        <v>1740.98</v>
      </c>
    </row>
    <row r="19">
      <c r="A19" t="inlineStr">
        <is>
          <t>ENC110757</t>
        </is>
      </c>
      <c r="B19" t="inlineStr">
        <is>
          <t>PT10648</t>
        </is>
      </c>
      <c r="C19" t="inlineStr">
        <is>
          <t>Outpatient</t>
        </is>
      </c>
      <c r="D19" t="inlineStr">
        <is>
          <t>Bluestone Outpatient Pavilion</t>
        </is>
      </c>
      <c r="E19" t="inlineStr">
        <is>
          <t>Infusion &amp; Oncology Clinic</t>
        </is>
      </c>
      <c r="F19" t="inlineStr">
        <is>
          <t>Oncology</t>
        </is>
      </c>
      <c r="G19" s="29" t="n">
        <v>45659</v>
      </c>
      <c r="H19" s="29" t="n">
        <v>45659</v>
      </c>
      <c r="I19" s="30" t="n"/>
      <c r="J19" t="inlineStr">
        <is>
          <t>C50.911</t>
        </is>
      </c>
      <c r="K19" t="inlineStr">
        <is>
          <t>Malignant neoplasm of unspecified site of right female breast</t>
        </is>
      </c>
      <c r="L19" t="inlineStr">
        <is>
          <t>Neoplasms</t>
        </is>
      </c>
      <c r="M19" t="inlineStr">
        <is>
          <t>Home/Self-Care</t>
        </is>
      </c>
      <c r="N19" t="inlineStr">
        <is>
          <t>Self-Pay</t>
        </is>
      </c>
      <c r="O19" s="31" t="n">
        <v>1049.61</v>
      </c>
    </row>
    <row r="20">
      <c r="A20" t="inlineStr">
        <is>
          <t>ENC110760</t>
        </is>
      </c>
      <c r="B20" t="inlineStr">
        <is>
          <t>PT13320</t>
        </is>
      </c>
      <c r="C20" t="inlineStr">
        <is>
          <t>Emergency</t>
        </is>
      </c>
      <c r="D20" t="inlineStr">
        <is>
          <t>Bluestone Memorial Hospital</t>
        </is>
      </c>
      <c r="E20" t="inlineStr">
        <is>
          <t>Emergency Department</t>
        </is>
      </c>
      <c r="F20" t="inlineStr">
        <is>
          <t>Emergency</t>
        </is>
      </c>
      <c r="G20" s="29" t="n">
        <v>45659</v>
      </c>
      <c r="H20" s="29" t="n">
        <v>45659</v>
      </c>
      <c r="I20" s="30" t="n"/>
      <c r="J20" t="inlineStr">
        <is>
          <t>R10.9</t>
        </is>
      </c>
      <c r="K20" t="inlineStr">
        <is>
          <t>Unspecified abdominal pain</t>
        </is>
      </c>
      <c r="L20" t="inlineStr">
        <is>
          <t>Symptoms &amp; Signs</t>
        </is>
      </c>
      <c r="M20" t="inlineStr">
        <is>
          <t>Home/Self-Care</t>
        </is>
      </c>
      <c r="N20" t="inlineStr">
        <is>
          <t>Silverline Medicare Advantage</t>
        </is>
      </c>
      <c r="O20" s="31" t="n">
        <v>1727.32</v>
      </c>
    </row>
    <row r="21">
      <c r="A21" t="inlineStr">
        <is>
          <t>ENC110774</t>
        </is>
      </c>
      <c r="B21" t="inlineStr">
        <is>
          <t>PT11628</t>
        </is>
      </c>
      <c r="C21" t="inlineStr">
        <is>
          <t>Outpatient</t>
        </is>
      </c>
      <c r="D21" t="inlineStr">
        <is>
          <t>Bluestone Outpatient Pavilion</t>
        </is>
      </c>
      <c r="E21" t="inlineStr">
        <is>
          <t>Endocrinology &amp; Diabetes Clinic</t>
        </is>
      </c>
      <c r="F21" t="inlineStr">
        <is>
          <t>Ambulatory</t>
        </is>
      </c>
      <c r="G21" s="29" t="n">
        <v>45659</v>
      </c>
      <c r="H21" s="29" t="n">
        <v>45659</v>
      </c>
      <c r="I21" s="30" t="n"/>
      <c r="J21" t="inlineStr">
        <is>
          <t>E11.65</t>
        </is>
      </c>
      <c r="K21" t="inlineStr">
        <is>
          <t>Type 2 diabetes mellitus with hyperglycemia</t>
        </is>
      </c>
      <c r="L21" t="inlineStr">
        <is>
          <t>Endocrine</t>
        </is>
      </c>
      <c r="M21" t="inlineStr">
        <is>
          <t>Home/Self-Care</t>
        </is>
      </c>
      <c r="N21" t="inlineStr">
        <is>
          <t>Silverline Medicare Advantage</t>
        </is>
      </c>
      <c r="O21" s="31" t="n">
        <v>153.45</v>
      </c>
    </row>
    <row r="22">
      <c r="A22" t="inlineStr">
        <is>
          <t>ENC110779</t>
        </is>
      </c>
      <c r="B22" t="inlineStr">
        <is>
          <t>PT12704</t>
        </is>
      </c>
      <c r="C22" t="inlineStr">
        <is>
          <t>Inpatient</t>
        </is>
      </c>
      <c r="D22" t="inlineStr">
        <is>
          <t>Bluestone Memorial Hospital</t>
        </is>
      </c>
      <c r="E22" t="inlineStr">
        <is>
          <t>Behavioral Health</t>
        </is>
      </c>
      <c r="F22" t="inlineStr">
        <is>
          <t>Behavioral Health</t>
        </is>
      </c>
      <c r="G22" s="29" t="n">
        <v>45659</v>
      </c>
      <c r="H22" s="29" t="n">
        <v>45669</v>
      </c>
      <c r="I22" s="30" t="n">
        <v>10</v>
      </c>
      <c r="J22" t="inlineStr">
        <is>
          <t>F20.9</t>
        </is>
      </c>
      <c r="K22" t="inlineStr">
        <is>
          <t>Schizophrenia, unspecified</t>
        </is>
      </c>
      <c r="L22" t="inlineStr">
        <is>
          <t>Mental &amp; Behavioral</t>
        </is>
      </c>
      <c r="M22" t="inlineStr">
        <is>
          <t>Home/Self-Care</t>
        </is>
      </c>
      <c r="N22" t="inlineStr">
        <is>
          <t>Summit Choice PPO</t>
        </is>
      </c>
      <c r="O22" s="31" t="n">
        <v>34645.11</v>
      </c>
      <c r="P22" t="inlineStr">
        <is>
          <t>N</t>
        </is>
      </c>
    </row>
    <row r="23">
      <c r="A23" t="inlineStr">
        <is>
          <t>ENC110783</t>
        </is>
      </c>
      <c r="B23" t="inlineStr">
        <is>
          <t>PT13860</t>
        </is>
      </c>
      <c r="C23" t="inlineStr">
        <is>
          <t>Outpatient</t>
        </is>
      </c>
      <c r="D23" t="inlineStr">
        <is>
          <t>Bluestone Outpatient Pavilion</t>
        </is>
      </c>
      <c r="E23" t="inlineStr">
        <is>
          <t>Primary Care Clinic</t>
        </is>
      </c>
      <c r="F23" t="inlineStr">
        <is>
          <t>Ambulatory</t>
        </is>
      </c>
      <c r="G23" s="29" t="n">
        <v>45659</v>
      </c>
      <c r="H23" s="29" t="n">
        <v>45659</v>
      </c>
      <c r="I23" s="30" t="n"/>
      <c r="J23" t="inlineStr">
        <is>
          <t>Z00.00</t>
        </is>
      </c>
      <c r="K23" t="inlineStr">
        <is>
          <t>Encounter for general adult medical examination without abnormal findings</t>
        </is>
      </c>
      <c r="L23" t="inlineStr">
        <is>
          <t>Factors Influencing Health</t>
        </is>
      </c>
      <c r="M23" t="inlineStr">
        <is>
          <t>Home/Self-Care</t>
        </is>
      </c>
      <c r="N23" t="inlineStr">
        <is>
          <t>Self-Pay</t>
        </is>
      </c>
      <c r="O23" s="31" t="n">
        <v>386.18</v>
      </c>
    </row>
    <row r="24">
      <c r="A24" t="inlineStr">
        <is>
          <t>ENC110791</t>
        </is>
      </c>
      <c r="B24" t="inlineStr">
        <is>
          <t>PT10220</t>
        </is>
      </c>
      <c r="C24" t="inlineStr">
        <is>
          <t>Inpatient</t>
        </is>
      </c>
      <c r="D24" t="inlineStr">
        <is>
          <t>Bluestone Memorial Hospital</t>
        </is>
      </c>
      <c r="E24" t="inlineStr">
        <is>
          <t>Cardiac Step-Down</t>
        </is>
      </c>
      <c r="F24" t="inlineStr">
        <is>
          <t>Cardiovascular</t>
        </is>
      </c>
      <c r="G24" s="29" t="n">
        <v>45659</v>
      </c>
      <c r="H24" s="29" t="n">
        <v>45661</v>
      </c>
      <c r="I24" s="30" t="n">
        <v>2</v>
      </c>
      <c r="J24" t="inlineStr">
        <is>
          <t>I48.91</t>
        </is>
      </c>
      <c r="K24" t="inlineStr">
        <is>
          <t>Unspecified atrial fibrillation</t>
        </is>
      </c>
      <c r="L24" t="inlineStr">
        <is>
          <t>Circulatory</t>
        </is>
      </c>
      <c r="M24" t="inlineStr">
        <is>
          <t>Home Health</t>
        </is>
      </c>
      <c r="N24" t="inlineStr">
        <is>
          <t>Self-Pay</t>
        </is>
      </c>
      <c r="O24" s="31" t="n">
        <v>13130.81</v>
      </c>
      <c r="P24" t="inlineStr">
        <is>
          <t>N</t>
        </is>
      </c>
    </row>
    <row r="25">
      <c r="A25" t="inlineStr">
        <is>
          <t>ENC110794</t>
        </is>
      </c>
      <c r="B25" t="inlineStr">
        <is>
          <t>PT12020</t>
        </is>
      </c>
      <c r="C25" t="inlineStr">
        <is>
          <t>Emergency</t>
        </is>
      </c>
      <c r="D25" t="inlineStr">
        <is>
          <t>Bluestone Memorial Hospital</t>
        </is>
      </c>
      <c r="E25" t="inlineStr">
        <is>
          <t>Emergency Department</t>
        </is>
      </c>
      <c r="F25" t="inlineStr">
        <is>
          <t>Emergency</t>
        </is>
      </c>
      <c r="G25" s="29" t="n">
        <v>45659</v>
      </c>
      <c r="H25" s="29" t="n">
        <v>45659</v>
      </c>
      <c r="I25" s="30" t="n"/>
      <c r="J25" t="inlineStr">
        <is>
          <t>H66.90</t>
        </is>
      </c>
      <c r="K25" t="inlineStr">
        <is>
          <t>Otitis media, unspecified, unspecified ear</t>
        </is>
      </c>
      <c r="L25" t="inlineStr">
        <is>
          <t>Ear</t>
        </is>
      </c>
      <c r="M25" t="inlineStr">
        <is>
          <t>Home/Self-Care</t>
        </is>
      </c>
      <c r="N25" t="inlineStr">
        <is>
          <t>State Medicaid</t>
        </is>
      </c>
      <c r="O25" s="31" t="n">
        <v>824.66</v>
      </c>
    </row>
    <row r="26">
      <c r="A26" t="inlineStr">
        <is>
          <t>ENC110798</t>
        </is>
      </c>
      <c r="B26" t="inlineStr">
        <is>
          <t>PT13300</t>
        </is>
      </c>
      <c r="C26" t="inlineStr">
        <is>
          <t>Outpatient</t>
        </is>
      </c>
      <c r="D26" t="inlineStr">
        <is>
          <t>Bluestone Outpatient Pavilion</t>
        </is>
      </c>
      <c r="E26" t="inlineStr">
        <is>
          <t>Infusion &amp; Oncology Clinic</t>
        </is>
      </c>
      <c r="F26" t="inlineStr">
        <is>
          <t>Oncology</t>
        </is>
      </c>
      <c r="G26" s="29" t="n">
        <v>45660</v>
      </c>
      <c r="H26" s="29" t="n">
        <v>45660</v>
      </c>
      <c r="I26" s="30" t="n"/>
      <c r="J26" t="inlineStr">
        <is>
          <t>Z51.11</t>
        </is>
      </c>
      <c r="K26" t="inlineStr">
        <is>
          <t>Encounter for antineoplastic chemotherapy</t>
        </is>
      </c>
      <c r="L26" t="inlineStr">
        <is>
          <t>Factors Influencing Health</t>
        </is>
      </c>
      <c r="M26" t="inlineStr">
        <is>
          <t>Home/Self-Care</t>
        </is>
      </c>
      <c r="N26" t="inlineStr">
        <is>
          <t>Evergreen Mutual Insurance</t>
        </is>
      </c>
      <c r="O26" s="31" t="n">
        <v>11989.7</v>
      </c>
    </row>
    <row r="27">
      <c r="A27" t="inlineStr">
        <is>
          <t>ENC110801</t>
        </is>
      </c>
      <c r="B27" t="inlineStr">
        <is>
          <t>PT13856</t>
        </is>
      </c>
      <c r="C27" t="inlineStr">
        <is>
          <t>Outpatient</t>
        </is>
      </c>
      <c r="D27" t="inlineStr">
        <is>
          <t>Bluestone Outpatient Pavilion</t>
        </is>
      </c>
      <c r="E27" t="inlineStr">
        <is>
          <t>Primary Care Clinic</t>
        </is>
      </c>
      <c r="F27" t="inlineStr">
        <is>
          <t>Ambulatory</t>
        </is>
      </c>
      <c r="G27" s="29" t="n">
        <v>45660</v>
      </c>
      <c r="H27" s="29" t="n">
        <v>45660</v>
      </c>
      <c r="I27" s="30" t="n"/>
      <c r="J27" t="inlineStr">
        <is>
          <t>Z23</t>
        </is>
      </c>
      <c r="K27" t="inlineStr">
        <is>
          <t>Encounter for immunization</t>
        </is>
      </c>
      <c r="L27" t="inlineStr">
        <is>
          <t>Factors Influencing Health</t>
        </is>
      </c>
      <c r="M27" t="inlineStr">
        <is>
          <t>Home/Self-Care</t>
        </is>
      </c>
      <c r="N27" t="inlineStr">
        <is>
          <t>Keystone Health Partners</t>
        </is>
      </c>
      <c r="O27" s="31" t="n">
        <v>110.04</v>
      </c>
    </row>
    <row r="28">
      <c r="A28" t="inlineStr">
        <is>
          <t>ENC110802</t>
        </is>
      </c>
      <c r="B28" t="inlineStr">
        <is>
          <t>PT11756</t>
        </is>
      </c>
      <c r="C28" t="inlineStr">
        <is>
          <t>Inpatient</t>
        </is>
      </c>
      <c r="D28" t="inlineStr">
        <is>
          <t>Bluestone Memorial Hospital</t>
        </is>
      </c>
      <c r="E28" t="inlineStr">
        <is>
          <t>Neuroscience &amp; Stroke</t>
        </is>
      </c>
      <c r="F28" t="inlineStr">
        <is>
          <t>Neuroscience</t>
        </is>
      </c>
      <c r="G28" s="29" t="n">
        <v>45660</v>
      </c>
      <c r="H28" s="29" t="n">
        <v>45665</v>
      </c>
      <c r="I28" s="30" t="n">
        <v>5</v>
      </c>
      <c r="J28" t="inlineStr">
        <is>
          <t>I63.9</t>
        </is>
      </c>
      <c r="K28" t="inlineStr">
        <is>
          <t>Cerebral infarction, unspecified</t>
        </is>
      </c>
      <c r="L28" t="inlineStr">
        <is>
          <t>Circulatory</t>
        </is>
      </c>
      <c r="M28" t="inlineStr">
        <is>
          <t>Home/Self-Care</t>
        </is>
      </c>
      <c r="N28" t="inlineStr">
        <is>
          <t>Keystone Health Partners</t>
        </is>
      </c>
      <c r="O28" s="31" t="n">
        <v>29599.26</v>
      </c>
      <c r="P28" t="inlineStr">
        <is>
          <t>N</t>
        </is>
      </c>
    </row>
    <row r="29">
      <c r="A29" t="inlineStr">
        <is>
          <t>ENC110804</t>
        </is>
      </c>
      <c r="B29" t="inlineStr">
        <is>
          <t>PT10652</t>
        </is>
      </c>
      <c r="C29" t="inlineStr">
        <is>
          <t>Emergency</t>
        </is>
      </c>
      <c r="D29" t="inlineStr">
        <is>
          <t>Bluestone Memorial Hospital</t>
        </is>
      </c>
      <c r="E29" t="inlineStr">
        <is>
          <t>Emergency Department</t>
        </is>
      </c>
      <c r="F29" t="inlineStr">
        <is>
          <t>Emergency</t>
        </is>
      </c>
      <c r="G29" s="29" t="n">
        <v>45660</v>
      </c>
      <c r="H29" s="29" t="n">
        <v>45660</v>
      </c>
      <c r="I29" s="30" t="n"/>
      <c r="J29" t="inlineStr">
        <is>
          <t>J21.9</t>
        </is>
      </c>
      <c r="K29" t="inlineStr">
        <is>
          <t>Acute bronchiolitis, unspecified</t>
        </is>
      </c>
      <c r="L29" t="inlineStr">
        <is>
          <t>Respiratory</t>
        </is>
      </c>
      <c r="M29" t="inlineStr">
        <is>
          <t>Home/Self-Care</t>
        </is>
      </c>
      <c r="N29" t="inlineStr">
        <is>
          <t>Evergreen Mutual Insurance</t>
        </is>
      </c>
      <c r="O29" s="31" t="n">
        <v>4878.71</v>
      </c>
    </row>
    <row r="30">
      <c r="A30" t="inlineStr">
        <is>
          <t>ENC110805</t>
        </is>
      </c>
      <c r="B30" t="inlineStr">
        <is>
          <t>PT10432</t>
        </is>
      </c>
      <c r="C30" t="inlineStr">
        <is>
          <t>Emergency</t>
        </is>
      </c>
      <c r="D30" t="inlineStr">
        <is>
          <t>Bluestone Memorial Hospital</t>
        </is>
      </c>
      <c r="E30" t="inlineStr">
        <is>
          <t>Emergency Department</t>
        </is>
      </c>
      <c r="F30" t="inlineStr">
        <is>
          <t>Emergency</t>
        </is>
      </c>
      <c r="G30" s="29" t="n">
        <v>45660</v>
      </c>
      <c r="H30" s="29" t="n">
        <v>45660</v>
      </c>
      <c r="I30" s="30" t="n"/>
      <c r="J30" t="inlineStr">
        <is>
          <t>G40.909</t>
        </is>
      </c>
      <c r="K30" t="inlineStr">
        <is>
          <t>Epilepsy, unspecified, not intractable, without status epilepticus</t>
        </is>
      </c>
      <c r="L30" t="inlineStr">
        <is>
          <t>Nervous System</t>
        </is>
      </c>
      <c r="M30" t="inlineStr">
        <is>
          <t>Home/Self-Care</t>
        </is>
      </c>
      <c r="N30" t="inlineStr">
        <is>
          <t>Medicare</t>
        </is>
      </c>
      <c r="O30" s="31" t="n">
        <v>4646.04</v>
      </c>
    </row>
    <row r="31">
      <c r="A31" t="inlineStr">
        <is>
          <t>ENC110806</t>
        </is>
      </c>
      <c r="B31" t="inlineStr">
        <is>
          <t>PT10304</t>
        </is>
      </c>
      <c r="C31" t="inlineStr">
        <is>
          <t>Emergency</t>
        </is>
      </c>
      <c r="D31" t="inlineStr">
        <is>
          <t>Bluestone Memorial Hospital</t>
        </is>
      </c>
      <c r="E31" t="inlineStr">
        <is>
          <t>Emergency Department</t>
        </is>
      </c>
      <c r="F31" t="inlineStr">
        <is>
          <t>Emergency</t>
        </is>
      </c>
      <c r="G31" s="29" t="n">
        <v>45660</v>
      </c>
      <c r="H31" s="29" t="n">
        <v>45660</v>
      </c>
      <c r="I31" s="30" t="n"/>
      <c r="J31" t="inlineStr">
        <is>
          <t>A08.4</t>
        </is>
      </c>
      <c r="K31" t="inlineStr">
        <is>
          <t>Viral intestinal infection, unspecified</t>
        </is>
      </c>
      <c r="L31" t="inlineStr">
        <is>
          <t>Infectious</t>
        </is>
      </c>
      <c r="M31" t="inlineStr">
        <is>
          <t>Home/Self-Care</t>
        </is>
      </c>
      <c r="N31" t="inlineStr">
        <is>
          <t>Medicare</t>
        </is>
      </c>
      <c r="O31" s="31" t="n">
        <v>792.61</v>
      </c>
    </row>
    <row r="32">
      <c r="A32" t="inlineStr">
        <is>
          <t>ENC110807</t>
        </is>
      </c>
      <c r="B32" t="inlineStr">
        <is>
          <t>PT11024</t>
        </is>
      </c>
      <c r="C32" t="inlineStr">
        <is>
          <t>Outpatient</t>
        </is>
      </c>
      <c r="D32" t="inlineStr">
        <is>
          <t>Bluestone Outpatient Pavilion</t>
        </is>
      </c>
      <c r="E32" t="inlineStr">
        <is>
          <t>Primary Care Clinic</t>
        </is>
      </c>
      <c r="F32" t="inlineStr">
        <is>
          <t>Ambulatory</t>
        </is>
      </c>
      <c r="G32" s="29" t="n">
        <v>45660</v>
      </c>
      <c r="H32" s="29" t="n">
        <v>45660</v>
      </c>
      <c r="I32" s="30" t="n"/>
      <c r="J32" t="inlineStr">
        <is>
          <t>I10</t>
        </is>
      </c>
      <c r="K32" t="inlineStr">
        <is>
          <t>Essential (primary) hypertension</t>
        </is>
      </c>
      <c r="L32" t="inlineStr">
        <is>
          <t>Circulatory</t>
        </is>
      </c>
      <c r="M32" t="inlineStr">
        <is>
          <t>Home/Self-Care</t>
        </is>
      </c>
      <c r="N32" t="inlineStr">
        <is>
          <t>Evergreen Mutual Insurance</t>
        </is>
      </c>
      <c r="O32" s="31" t="n">
        <v>485.97</v>
      </c>
    </row>
    <row r="33">
      <c r="A33" t="inlineStr">
        <is>
          <t>ENC110811</t>
        </is>
      </c>
      <c r="B33" t="inlineStr">
        <is>
          <t>PT12572</t>
        </is>
      </c>
      <c r="C33" t="inlineStr">
        <is>
          <t>Outpatient</t>
        </is>
      </c>
      <c r="D33" t="inlineStr">
        <is>
          <t>Bluestone Outpatient Pavilion</t>
        </is>
      </c>
      <c r="E33" t="inlineStr">
        <is>
          <t>Primary Care Clinic</t>
        </is>
      </c>
      <c r="F33" t="inlineStr">
        <is>
          <t>Ambulatory</t>
        </is>
      </c>
      <c r="G33" s="29" t="n">
        <v>45660</v>
      </c>
      <c r="H33" s="29" t="n">
        <v>45660</v>
      </c>
      <c r="I33" s="30" t="n"/>
      <c r="J33" t="inlineStr">
        <is>
          <t>E78.5</t>
        </is>
      </c>
      <c r="K33" t="inlineStr">
        <is>
          <t>Hyperlipidemia, unspecified</t>
        </is>
      </c>
      <c r="L33" t="inlineStr">
        <is>
          <t>Endocrine</t>
        </is>
      </c>
      <c r="M33" t="inlineStr">
        <is>
          <t>Home/Self-Care</t>
        </is>
      </c>
      <c r="N33" t="inlineStr">
        <is>
          <t>Silverline Medicare Advantage</t>
        </is>
      </c>
      <c r="O33" s="31" t="n">
        <v>402.79</v>
      </c>
    </row>
    <row r="34">
      <c r="A34" t="inlineStr">
        <is>
          <t>ENC110817</t>
        </is>
      </c>
      <c r="B34" t="inlineStr">
        <is>
          <t>PT12776</t>
        </is>
      </c>
      <c r="C34" t="inlineStr">
        <is>
          <t>Inpatient</t>
        </is>
      </c>
      <c r="D34" t="inlineStr">
        <is>
          <t>Ashby Falls Community Hospital</t>
        </is>
      </c>
      <c r="E34" t="inlineStr">
        <is>
          <t>Medical-Surgical</t>
        </is>
      </c>
      <c r="F34" t="inlineStr">
        <is>
          <t>Medicine</t>
        </is>
      </c>
      <c r="G34" s="29" t="n">
        <v>45660</v>
      </c>
      <c r="H34" s="29" t="n">
        <v>45666</v>
      </c>
      <c r="I34" s="30" t="n">
        <v>6</v>
      </c>
      <c r="J34" t="inlineStr">
        <is>
          <t>A41.9</t>
        </is>
      </c>
      <c r="K34" t="inlineStr">
        <is>
          <t>Sepsis, unspecified organism</t>
        </is>
      </c>
      <c r="L34" t="inlineStr">
        <is>
          <t>Infectious</t>
        </is>
      </c>
      <c r="M34" t="inlineStr">
        <is>
          <t>Home/Self-Care</t>
        </is>
      </c>
      <c r="N34" t="inlineStr">
        <is>
          <t>Silverline Medicare Advantage</t>
        </is>
      </c>
      <c r="O34" s="31" t="n">
        <v>41433.73</v>
      </c>
      <c r="P34" t="inlineStr">
        <is>
          <t>Y</t>
        </is>
      </c>
    </row>
    <row r="35">
      <c r="A35" t="inlineStr">
        <is>
          <t>ENC110818</t>
        </is>
      </c>
      <c r="B35" t="inlineStr">
        <is>
          <t>PT13500</t>
        </is>
      </c>
      <c r="C35" t="inlineStr">
        <is>
          <t>Outpatient</t>
        </is>
      </c>
      <c r="D35" t="inlineStr">
        <is>
          <t>Bluestone Outpatient Pavilion</t>
        </is>
      </c>
      <c r="E35" t="inlineStr">
        <is>
          <t>Primary Care Clinic</t>
        </is>
      </c>
      <c r="F35" t="inlineStr">
        <is>
          <t>Ambulatory</t>
        </is>
      </c>
      <c r="G35" s="29" t="n">
        <v>45660</v>
      </c>
      <c r="H35" s="29" t="n">
        <v>45660</v>
      </c>
      <c r="I35" s="30" t="n"/>
      <c r="J35" t="inlineStr">
        <is>
          <t>E78.5</t>
        </is>
      </c>
      <c r="K35" t="inlineStr">
        <is>
          <t>Hyperlipidemia, unspecified</t>
        </is>
      </c>
      <c r="L35" t="inlineStr">
        <is>
          <t>Endocrine</t>
        </is>
      </c>
      <c r="M35" t="inlineStr">
        <is>
          <t>Home/Self-Care</t>
        </is>
      </c>
      <c r="N35" t="inlineStr">
        <is>
          <t>Medicare</t>
        </is>
      </c>
      <c r="O35" s="31" t="n">
        <v>285</v>
      </c>
    </row>
    <row r="36">
      <c r="A36" t="inlineStr">
        <is>
          <t>ENC110827</t>
        </is>
      </c>
      <c r="B36" t="inlineStr">
        <is>
          <t>PT11568</t>
        </is>
      </c>
      <c r="C36" t="inlineStr">
        <is>
          <t>Outpatient</t>
        </is>
      </c>
      <c r="D36" t="inlineStr">
        <is>
          <t>Bluestone Outpatient Pavilion</t>
        </is>
      </c>
      <c r="E36" t="inlineStr">
        <is>
          <t>Primary Care Clinic</t>
        </is>
      </c>
      <c r="F36" t="inlineStr">
        <is>
          <t>Ambulatory</t>
        </is>
      </c>
      <c r="G36" s="29" t="n">
        <v>45660</v>
      </c>
      <c r="H36" s="29" t="n">
        <v>45660</v>
      </c>
      <c r="I36" s="30" t="n"/>
      <c r="J36" t="inlineStr">
        <is>
          <t>J06.9</t>
        </is>
      </c>
      <c r="K36" t="inlineStr">
        <is>
          <t>Acute upper respiratory infection, unspecified</t>
        </is>
      </c>
      <c r="L36" t="inlineStr">
        <is>
          <t>Respiratory</t>
        </is>
      </c>
      <c r="M36" t="inlineStr">
        <is>
          <t>Home/Self-Care</t>
        </is>
      </c>
      <c r="N36" t="inlineStr">
        <is>
          <t>Self-Pay</t>
        </is>
      </c>
      <c r="O36" s="31" t="n">
        <v>518.83</v>
      </c>
    </row>
    <row r="37">
      <c r="A37" t="inlineStr">
        <is>
          <t>ENC110831</t>
        </is>
      </c>
      <c r="B37" t="inlineStr">
        <is>
          <t>PT13484</t>
        </is>
      </c>
      <c r="C37" t="inlineStr">
        <is>
          <t>Observation</t>
        </is>
      </c>
      <c r="D37" t="inlineStr">
        <is>
          <t>Bluestone Memorial Hospital</t>
        </is>
      </c>
      <c r="E37" t="inlineStr">
        <is>
          <t>Observation Unit</t>
        </is>
      </c>
      <c r="F37" t="inlineStr">
        <is>
          <t>Medicine</t>
        </is>
      </c>
      <c r="G37" s="29" t="n">
        <v>45660</v>
      </c>
      <c r="H37" s="29" t="n">
        <v>45661</v>
      </c>
      <c r="I37" s="30" t="n">
        <v>1</v>
      </c>
      <c r="J37" t="inlineStr">
        <is>
          <t>R55</t>
        </is>
      </c>
      <c r="K37" t="inlineStr">
        <is>
          <t>Syncope and collapse</t>
        </is>
      </c>
      <c r="L37" t="inlineStr">
        <is>
          <t>Symptoms &amp; Signs</t>
        </is>
      </c>
      <c r="M37" t="inlineStr">
        <is>
          <t>Home/Self-Care</t>
        </is>
      </c>
      <c r="N37" t="inlineStr">
        <is>
          <t>Silverline Medicare Advantage</t>
        </is>
      </c>
      <c r="O37" s="31" t="n">
        <v>4715.78</v>
      </c>
    </row>
    <row r="38">
      <c r="A38" t="inlineStr">
        <is>
          <t>ENC110838</t>
        </is>
      </c>
      <c r="B38" t="inlineStr">
        <is>
          <t>PT10044</t>
        </is>
      </c>
      <c r="C38" t="inlineStr">
        <is>
          <t>Emergency</t>
        </is>
      </c>
      <c r="D38" t="inlineStr">
        <is>
          <t>Ashby Falls Community Hospital</t>
        </is>
      </c>
      <c r="E38" t="inlineStr">
        <is>
          <t>Emergency Department</t>
        </is>
      </c>
      <c r="F38" t="inlineStr">
        <is>
          <t>Emergency</t>
        </is>
      </c>
      <c r="G38" s="29" t="n">
        <v>45660</v>
      </c>
      <c r="H38" s="29" t="n">
        <v>45661</v>
      </c>
      <c r="I38" s="30" t="n"/>
      <c r="J38" t="inlineStr">
        <is>
          <t>R07.9</t>
        </is>
      </c>
      <c r="K38" t="inlineStr">
        <is>
          <t>Chest pain, unspecified</t>
        </is>
      </c>
      <c r="L38" t="inlineStr">
        <is>
          <t>Symptoms &amp; Signs</t>
        </is>
      </c>
      <c r="M38" t="inlineStr">
        <is>
          <t>Home/Self-Care</t>
        </is>
      </c>
      <c r="N38" t="inlineStr">
        <is>
          <t>Keystone Health Partners</t>
        </is>
      </c>
      <c r="O38" s="31" t="n">
        <v>1653.5</v>
      </c>
    </row>
    <row r="39">
      <c r="A39" t="inlineStr">
        <is>
          <t>ENC110843</t>
        </is>
      </c>
      <c r="B39" t="inlineStr">
        <is>
          <t>PT12836</t>
        </is>
      </c>
      <c r="C39" t="inlineStr">
        <is>
          <t>Emergency</t>
        </is>
      </c>
      <c r="D39" t="inlineStr">
        <is>
          <t>Bluestone Memorial Hospital</t>
        </is>
      </c>
      <c r="E39" t="inlineStr">
        <is>
          <t>Emergency Department</t>
        </is>
      </c>
      <c r="F39" t="inlineStr">
        <is>
          <t>Emergency</t>
        </is>
      </c>
      <c r="G39" s="29" t="n">
        <v>45661</v>
      </c>
      <c r="H39" s="29" t="n">
        <v>45661</v>
      </c>
      <c r="I39" s="30" t="n"/>
      <c r="J39" t="inlineStr">
        <is>
          <t>J06.9</t>
        </is>
      </c>
      <c r="K39" t="inlineStr">
        <is>
          <t>Acute upper respiratory infection, unspecified</t>
        </is>
      </c>
      <c r="L39" t="inlineStr">
        <is>
          <t>Respiratory</t>
        </is>
      </c>
      <c r="M39" t="inlineStr">
        <is>
          <t>Home/Self-Care</t>
        </is>
      </c>
      <c r="N39" t="inlineStr">
        <is>
          <t>State Medicaid</t>
        </is>
      </c>
      <c r="O39" s="31" t="n">
        <v>656.92</v>
      </c>
    </row>
    <row r="40">
      <c r="A40" t="inlineStr">
        <is>
          <t>ENC110851</t>
        </is>
      </c>
      <c r="B40" t="inlineStr">
        <is>
          <t>PT11872</t>
        </is>
      </c>
      <c r="C40" t="inlineStr">
        <is>
          <t>Observation</t>
        </is>
      </c>
      <c r="D40" t="inlineStr">
        <is>
          <t>Bluestone Memorial Hospital</t>
        </is>
      </c>
      <c r="E40" t="inlineStr">
        <is>
          <t>Observation Unit</t>
        </is>
      </c>
      <c r="F40" t="inlineStr">
        <is>
          <t>Medicine</t>
        </is>
      </c>
      <c r="G40" s="29" t="n">
        <v>45662</v>
      </c>
      <c r="H40" s="29" t="n">
        <v>45663</v>
      </c>
      <c r="I40" s="30" t="n">
        <v>1</v>
      </c>
      <c r="J40" t="inlineStr">
        <is>
          <t>J21.9</t>
        </is>
      </c>
      <c r="K40" t="inlineStr">
        <is>
          <t>Acute bronchiolitis, unspecified</t>
        </is>
      </c>
      <c r="L40" t="inlineStr">
        <is>
          <t>Respiratory</t>
        </is>
      </c>
      <c r="M40" t="inlineStr">
        <is>
          <t>Home/Self-Care</t>
        </is>
      </c>
      <c r="N40" t="inlineStr">
        <is>
          <t>State Medicaid</t>
        </is>
      </c>
      <c r="O40" s="31" t="n">
        <v>11753.03</v>
      </c>
    </row>
    <row r="41">
      <c r="A41" t="inlineStr">
        <is>
          <t>ENC110856</t>
        </is>
      </c>
      <c r="B41" t="inlineStr">
        <is>
          <t>PT11628</t>
        </is>
      </c>
      <c r="C41" t="inlineStr">
        <is>
          <t>Emergency</t>
        </is>
      </c>
      <c r="D41" t="inlineStr">
        <is>
          <t>Bluestone Memorial Hospital</t>
        </is>
      </c>
      <c r="E41" t="inlineStr">
        <is>
          <t>Emergency Department</t>
        </is>
      </c>
      <c r="F41" t="inlineStr">
        <is>
          <t>Emergency</t>
        </is>
      </c>
      <c r="G41" s="29" t="n">
        <v>45662</v>
      </c>
      <c r="H41" s="29" t="n">
        <v>45662</v>
      </c>
      <c r="I41" s="30" t="n"/>
      <c r="J41" t="inlineStr">
        <is>
          <t>J06.9</t>
        </is>
      </c>
      <c r="K41" t="inlineStr">
        <is>
          <t>Acute upper respiratory infection, unspecified</t>
        </is>
      </c>
      <c r="L41" t="inlineStr">
        <is>
          <t>Respiratory</t>
        </is>
      </c>
      <c r="M41" t="inlineStr">
        <is>
          <t>Home/Self-Care</t>
        </is>
      </c>
      <c r="N41" t="inlineStr">
        <is>
          <t>Silverline Medicare Advantage</t>
        </is>
      </c>
      <c r="O41" s="31" t="n">
        <v>2329.16</v>
      </c>
    </row>
    <row r="42">
      <c r="A42" t="inlineStr">
        <is>
          <t>ENC110862</t>
        </is>
      </c>
      <c r="B42" t="inlineStr">
        <is>
          <t>PT10524</t>
        </is>
      </c>
      <c r="C42" t="inlineStr">
        <is>
          <t>Emergency</t>
        </is>
      </c>
      <c r="D42" t="inlineStr">
        <is>
          <t>Ashby Falls Community Hospital</t>
        </is>
      </c>
      <c r="E42" t="inlineStr">
        <is>
          <t>Emergency Department</t>
        </is>
      </c>
      <c r="F42" t="inlineStr">
        <is>
          <t>Emergency</t>
        </is>
      </c>
      <c r="G42" s="29" t="n">
        <v>45662</v>
      </c>
      <c r="H42" s="29" t="n">
        <v>45662</v>
      </c>
      <c r="I42" s="30" t="n"/>
      <c r="J42" t="inlineStr">
        <is>
          <t>J06.9</t>
        </is>
      </c>
      <c r="K42" t="inlineStr">
        <is>
          <t>Acute upper respiratory infection, unspecified</t>
        </is>
      </c>
      <c r="L42" t="inlineStr">
        <is>
          <t>Respiratory</t>
        </is>
      </c>
      <c r="M42" t="inlineStr">
        <is>
          <t>Home/Self-Care</t>
        </is>
      </c>
      <c r="N42" t="inlineStr">
        <is>
          <t>Evergreen Mutual Insurance</t>
        </is>
      </c>
      <c r="O42" s="31" t="n">
        <v>1094.73</v>
      </c>
    </row>
    <row r="43">
      <c r="A43" t="inlineStr">
        <is>
          <t>ENC110871</t>
        </is>
      </c>
      <c r="B43" t="inlineStr">
        <is>
          <t>PT13276</t>
        </is>
      </c>
      <c r="C43" t="inlineStr">
        <is>
          <t>Emergency</t>
        </is>
      </c>
      <c r="D43" t="inlineStr">
        <is>
          <t>Bluestone Memorial Hospital</t>
        </is>
      </c>
      <c r="E43" t="inlineStr">
        <is>
          <t>Emergency Department</t>
        </is>
      </c>
      <c r="F43" t="inlineStr">
        <is>
          <t>Emergency</t>
        </is>
      </c>
      <c r="G43" s="29" t="n">
        <v>45662</v>
      </c>
      <c r="H43" s="29" t="n">
        <v>45662</v>
      </c>
      <c r="I43" s="30" t="n"/>
      <c r="J43" t="inlineStr">
        <is>
          <t>J21.9</t>
        </is>
      </c>
      <c r="K43" t="inlineStr">
        <is>
          <t>Acute bronchiolitis, unspecified</t>
        </is>
      </c>
      <c r="L43" t="inlineStr">
        <is>
          <t>Respiratory</t>
        </is>
      </c>
      <c r="M43" t="inlineStr">
        <is>
          <t>Home/Self-Care</t>
        </is>
      </c>
      <c r="N43" t="inlineStr">
        <is>
          <t>Keystone Health Partners</t>
        </is>
      </c>
      <c r="O43" s="31" t="n">
        <v>5712.21</v>
      </c>
    </row>
    <row r="44">
      <c r="A44" t="inlineStr">
        <is>
          <t>ENC110874</t>
        </is>
      </c>
      <c r="B44" t="inlineStr">
        <is>
          <t>PT11204</t>
        </is>
      </c>
      <c r="C44" t="inlineStr">
        <is>
          <t>Inpatient</t>
        </is>
      </c>
      <c r="D44" t="inlineStr">
        <is>
          <t>Cedar Ridge Medical Center</t>
        </is>
      </c>
      <c r="E44" t="inlineStr">
        <is>
          <t>Medical-Surgical</t>
        </is>
      </c>
      <c r="F44" t="inlineStr">
        <is>
          <t>Medicine</t>
        </is>
      </c>
      <c r="G44" s="29" t="n">
        <v>45663</v>
      </c>
      <c r="H44" s="29" t="n">
        <v>45669</v>
      </c>
      <c r="I44" s="30" t="n">
        <v>6</v>
      </c>
      <c r="J44" t="inlineStr">
        <is>
          <t>J44.1</t>
        </is>
      </c>
      <c r="K44" t="inlineStr">
        <is>
          <t>Chronic obstructive pulmonary disease with (acute) exacerbation</t>
        </is>
      </c>
      <c r="L44" t="inlineStr">
        <is>
          <t>Respiratory</t>
        </is>
      </c>
      <c r="M44" t="inlineStr">
        <is>
          <t>Home/Self-Care</t>
        </is>
      </c>
      <c r="N44" t="inlineStr">
        <is>
          <t>Silverline Medicare Advantage</t>
        </is>
      </c>
      <c r="O44" s="31" t="n">
        <v>29103.37</v>
      </c>
      <c r="P44" t="inlineStr">
        <is>
          <t>N</t>
        </is>
      </c>
    </row>
    <row r="45">
      <c r="A45" t="inlineStr">
        <is>
          <t>ENC110877</t>
        </is>
      </c>
      <c r="B45" t="inlineStr">
        <is>
          <t>PT11948</t>
        </is>
      </c>
      <c r="C45" t="inlineStr">
        <is>
          <t>Emergency</t>
        </is>
      </c>
      <c r="D45" t="inlineStr">
        <is>
          <t>Ashby Falls Community Hospital</t>
        </is>
      </c>
      <c r="E45" t="inlineStr">
        <is>
          <t>Emergency Department</t>
        </is>
      </c>
      <c r="F45" t="inlineStr">
        <is>
          <t>Emergency</t>
        </is>
      </c>
      <c r="G45" s="29" t="n">
        <v>45663</v>
      </c>
      <c r="H45" s="29" t="n">
        <v>45663</v>
      </c>
      <c r="I45" s="30" t="n"/>
      <c r="J45" t="inlineStr">
        <is>
          <t>J06.9</t>
        </is>
      </c>
      <c r="K45" t="inlineStr">
        <is>
          <t>Acute upper respiratory infection, unspecified</t>
        </is>
      </c>
      <c r="L45" t="inlineStr">
        <is>
          <t>Respiratory</t>
        </is>
      </c>
      <c r="M45" t="inlineStr">
        <is>
          <t>Home/Self-Care</t>
        </is>
      </c>
      <c r="N45" t="inlineStr">
        <is>
          <t>Medicare</t>
        </is>
      </c>
      <c r="O45" s="31" t="n">
        <v>616.72</v>
      </c>
    </row>
    <row r="46">
      <c r="A46" t="inlineStr">
        <is>
          <t>ENC110884</t>
        </is>
      </c>
      <c r="B46" t="inlineStr">
        <is>
          <t>PT11620</t>
        </is>
      </c>
      <c r="C46" t="inlineStr">
        <is>
          <t>Outpatient</t>
        </is>
      </c>
      <c r="D46" t="inlineStr">
        <is>
          <t>Bluestone Outpatient Pavilion</t>
        </is>
      </c>
      <c r="E46" t="inlineStr">
        <is>
          <t>Primary Care Clinic</t>
        </is>
      </c>
      <c r="F46" t="inlineStr">
        <is>
          <t>Ambulatory</t>
        </is>
      </c>
      <c r="G46" s="29" t="n">
        <v>45663</v>
      </c>
      <c r="H46" s="29" t="n">
        <v>45663</v>
      </c>
      <c r="I46" s="30" t="n"/>
      <c r="J46" t="inlineStr">
        <is>
          <t>G43.909</t>
        </is>
      </c>
      <c r="K46" t="inlineStr">
        <is>
          <t>Migraine, unspecified, not intractable, without status migrainosus</t>
        </is>
      </c>
      <c r="L46" t="inlineStr">
        <is>
          <t>Nervous System</t>
        </is>
      </c>
      <c r="M46" t="inlineStr">
        <is>
          <t>Home/Self-Care</t>
        </is>
      </c>
      <c r="N46" t="inlineStr">
        <is>
          <t>Medicare</t>
        </is>
      </c>
      <c r="O46" s="31" t="n">
        <v>303.36</v>
      </c>
    </row>
    <row r="47">
      <c r="A47" t="inlineStr">
        <is>
          <t>ENC110886</t>
        </is>
      </c>
      <c r="B47" t="inlineStr">
        <is>
          <t>PT11800</t>
        </is>
      </c>
      <c r="C47" t="inlineStr">
        <is>
          <t>Outpatient</t>
        </is>
      </c>
      <c r="D47" t="inlineStr">
        <is>
          <t>Bluestone Outpatient Pavilion</t>
        </is>
      </c>
      <c r="E47" t="inlineStr">
        <is>
          <t>Infusion &amp; Oncology Clinic</t>
        </is>
      </c>
      <c r="F47" t="inlineStr">
        <is>
          <t>Oncology</t>
        </is>
      </c>
      <c r="G47" s="29" t="n">
        <v>45663</v>
      </c>
      <c r="H47" s="29" t="n">
        <v>45663</v>
      </c>
      <c r="I47" s="30" t="n"/>
      <c r="J47" t="inlineStr">
        <is>
          <t>Z51.11</t>
        </is>
      </c>
      <c r="K47" t="inlineStr">
        <is>
          <t>Encounter for antineoplastic chemotherapy</t>
        </is>
      </c>
      <c r="L47" t="inlineStr">
        <is>
          <t>Factors Influencing Health</t>
        </is>
      </c>
      <c r="M47" t="inlineStr">
        <is>
          <t>Home/Self-Care</t>
        </is>
      </c>
      <c r="N47" t="inlineStr">
        <is>
          <t>Medicare</t>
        </is>
      </c>
      <c r="O47" s="31" t="n">
        <v>15176.95</v>
      </c>
    </row>
    <row r="48">
      <c r="A48" t="inlineStr">
        <is>
          <t>ENC110888</t>
        </is>
      </c>
      <c r="B48" t="inlineStr">
        <is>
          <t>PT13708</t>
        </is>
      </c>
      <c r="C48" t="inlineStr">
        <is>
          <t>Outpatient</t>
        </is>
      </c>
      <c r="D48" t="inlineStr">
        <is>
          <t>Bluestone Outpatient Pavilion</t>
        </is>
      </c>
      <c r="E48" t="inlineStr">
        <is>
          <t>Infusion &amp; Oncology Clinic</t>
        </is>
      </c>
      <c r="F48" t="inlineStr">
        <is>
          <t>Oncology</t>
        </is>
      </c>
      <c r="G48" s="29" t="n">
        <v>45663</v>
      </c>
      <c r="H48" s="29" t="n">
        <v>45663</v>
      </c>
      <c r="I48" s="30" t="n"/>
      <c r="J48" t="inlineStr">
        <is>
          <t>Z51.11</t>
        </is>
      </c>
      <c r="K48" t="inlineStr">
        <is>
          <t>Encounter for antineoplastic chemotherapy</t>
        </is>
      </c>
      <c r="L48" t="inlineStr">
        <is>
          <t>Factors Influencing Health</t>
        </is>
      </c>
      <c r="M48" t="inlineStr">
        <is>
          <t>Home/Self-Care</t>
        </is>
      </c>
      <c r="N48" t="inlineStr">
        <is>
          <t>Summit Choice PPO</t>
        </is>
      </c>
      <c r="O48" s="31" t="n">
        <v>17057.68</v>
      </c>
    </row>
    <row r="49">
      <c r="A49" t="inlineStr">
        <is>
          <t>ENC110891</t>
        </is>
      </c>
      <c r="B49" t="inlineStr">
        <is>
          <t>PT11812</t>
        </is>
      </c>
      <c r="C49" t="inlineStr">
        <is>
          <t>Inpatient</t>
        </is>
      </c>
      <c r="D49" t="inlineStr">
        <is>
          <t>Bluestone Memorial Hospital</t>
        </is>
      </c>
      <c r="E49" t="inlineStr">
        <is>
          <t>Oncology</t>
        </is>
      </c>
      <c r="F49" t="inlineStr">
        <is>
          <t>Oncology</t>
        </is>
      </c>
      <c r="G49" s="29" t="n">
        <v>45663</v>
      </c>
      <c r="H49" s="29" t="n">
        <v>45668</v>
      </c>
      <c r="I49" s="30" t="n">
        <v>5</v>
      </c>
      <c r="J49" t="inlineStr">
        <is>
          <t>C34.90</t>
        </is>
      </c>
      <c r="K49" t="inlineStr">
        <is>
          <t>Malignant neoplasm of unspecified part of unspecified bronchus or lung</t>
        </is>
      </c>
      <c r="L49" t="inlineStr">
        <is>
          <t>Neoplasms</t>
        </is>
      </c>
      <c r="M49" t="inlineStr">
        <is>
          <t>Home/Self-Care</t>
        </is>
      </c>
      <c r="N49" t="inlineStr">
        <is>
          <t>Silverline Medicare Advantage</t>
        </is>
      </c>
      <c r="O49" s="31" t="n">
        <v>23337.44</v>
      </c>
      <c r="P49" t="inlineStr">
        <is>
          <t>N</t>
        </is>
      </c>
    </row>
    <row r="50">
      <c r="A50" t="inlineStr">
        <is>
          <t>ENC110895</t>
        </is>
      </c>
      <c r="B50" t="inlineStr">
        <is>
          <t>PT13608</t>
        </is>
      </c>
      <c r="C50" t="inlineStr">
        <is>
          <t>Outpatient</t>
        </is>
      </c>
      <c r="D50" t="inlineStr">
        <is>
          <t>Bluestone Outpatient Pavilion</t>
        </is>
      </c>
      <c r="E50" t="inlineStr">
        <is>
          <t>Primary Care Clinic</t>
        </is>
      </c>
      <c r="F50" t="inlineStr">
        <is>
          <t>Ambulatory</t>
        </is>
      </c>
      <c r="G50" s="29" t="n">
        <v>45663</v>
      </c>
      <c r="H50" s="29" t="n">
        <v>45663</v>
      </c>
      <c r="I50" s="30" t="n"/>
      <c r="J50" t="inlineStr">
        <is>
          <t>G43.909</t>
        </is>
      </c>
      <c r="K50" t="inlineStr">
        <is>
          <t>Migraine, unspecified, not intractable, without status migrainosus</t>
        </is>
      </c>
      <c r="L50" t="inlineStr">
        <is>
          <t>Nervous System</t>
        </is>
      </c>
      <c r="M50" t="inlineStr">
        <is>
          <t>Home/Self-Care</t>
        </is>
      </c>
      <c r="N50" t="inlineStr">
        <is>
          <t>Summit Choice PPO</t>
        </is>
      </c>
      <c r="O50" s="31" t="n">
        <v>308.42</v>
      </c>
    </row>
    <row r="51">
      <c r="A51" t="inlineStr">
        <is>
          <t>ENC110896</t>
        </is>
      </c>
      <c r="B51" t="inlineStr">
        <is>
          <t>PT11664</t>
        </is>
      </c>
      <c r="C51" t="inlineStr">
        <is>
          <t>Emergency</t>
        </is>
      </c>
      <c r="D51" t="inlineStr">
        <is>
          <t>Bluestone Memorial Hospital</t>
        </is>
      </c>
      <c r="E51" t="inlineStr">
        <is>
          <t>Emergency Department</t>
        </is>
      </c>
      <c r="F51" t="inlineStr">
        <is>
          <t>Emergency</t>
        </is>
      </c>
      <c r="G51" s="29" t="n">
        <v>45663</v>
      </c>
      <c r="H51" s="29" t="n">
        <v>45663</v>
      </c>
      <c r="I51" s="30" t="n"/>
      <c r="J51" t="inlineStr">
        <is>
          <t>A08.4</t>
        </is>
      </c>
      <c r="K51" t="inlineStr">
        <is>
          <t>Viral intestinal infection, unspecified</t>
        </is>
      </c>
      <c r="L51" t="inlineStr">
        <is>
          <t>Infectious</t>
        </is>
      </c>
      <c r="M51" t="inlineStr">
        <is>
          <t>Home/Self-Care</t>
        </is>
      </c>
      <c r="N51" t="inlineStr">
        <is>
          <t>State Medicaid</t>
        </is>
      </c>
      <c r="O51" s="31" t="n">
        <v>1905.91</v>
      </c>
    </row>
    <row r="52">
      <c r="A52" t="inlineStr">
        <is>
          <t>ENC110900</t>
        </is>
      </c>
      <c r="B52" t="inlineStr">
        <is>
          <t>PT10264</t>
        </is>
      </c>
      <c r="C52" t="inlineStr">
        <is>
          <t>Inpatient</t>
        </is>
      </c>
      <c r="D52" t="inlineStr">
        <is>
          <t>Bluestone Memorial Hospital</t>
        </is>
      </c>
      <c r="E52" t="inlineStr">
        <is>
          <t>Labor &amp; Delivery</t>
        </is>
      </c>
      <c r="F52" t="inlineStr">
        <is>
          <t>Women &amp; Children</t>
        </is>
      </c>
      <c r="G52" s="29" t="n">
        <v>45663</v>
      </c>
      <c r="H52" s="29" t="n">
        <v>45666</v>
      </c>
      <c r="I52" s="30" t="n">
        <v>3</v>
      </c>
      <c r="J52" t="inlineStr">
        <is>
          <t>O80</t>
        </is>
      </c>
      <c r="K52" t="inlineStr">
        <is>
          <t>Encounter for full-term uncomplicated delivery</t>
        </is>
      </c>
      <c r="L52" t="inlineStr">
        <is>
          <t>Pregnancy</t>
        </is>
      </c>
      <c r="M52" t="inlineStr">
        <is>
          <t>Home/Self-Care</t>
        </is>
      </c>
      <c r="N52" t="inlineStr">
        <is>
          <t>Keystone Health Partners</t>
        </is>
      </c>
      <c r="O52" s="31" t="n">
        <v>13917.66</v>
      </c>
      <c r="P52" t="inlineStr">
        <is>
          <t>N</t>
        </is>
      </c>
    </row>
    <row r="53">
      <c r="A53" t="inlineStr">
        <is>
          <t>ENC110906</t>
        </is>
      </c>
      <c r="B53" t="inlineStr">
        <is>
          <t>PT13344</t>
        </is>
      </c>
      <c r="C53" t="inlineStr">
        <is>
          <t>Outpatient</t>
        </is>
      </c>
      <c r="D53" t="inlineStr">
        <is>
          <t>Bluestone Outpatient Pavilion</t>
        </is>
      </c>
      <c r="E53" t="inlineStr">
        <is>
          <t>Endocrinology &amp; Diabetes Clinic</t>
        </is>
      </c>
      <c r="F53" t="inlineStr">
        <is>
          <t>Ambulatory</t>
        </is>
      </c>
      <c r="G53" s="29" t="n">
        <v>45663</v>
      </c>
      <c r="H53" s="29" t="n">
        <v>45663</v>
      </c>
      <c r="I53" s="30" t="n"/>
      <c r="J53" t="inlineStr">
        <is>
          <t>E11.9</t>
        </is>
      </c>
      <c r="K53" t="inlineStr">
        <is>
          <t>Type 2 diabetes mellitus without complications</t>
        </is>
      </c>
      <c r="L53" t="inlineStr">
        <is>
          <t>Endocrine</t>
        </is>
      </c>
      <c r="M53" t="inlineStr">
        <is>
          <t>Home/Self-Care</t>
        </is>
      </c>
      <c r="N53" t="inlineStr">
        <is>
          <t>Medicare</t>
        </is>
      </c>
      <c r="O53" s="31" t="n">
        <v>217.25</v>
      </c>
    </row>
    <row r="54">
      <c r="A54" t="inlineStr">
        <is>
          <t>ENC110912</t>
        </is>
      </c>
      <c r="B54" t="inlineStr">
        <is>
          <t>PT12444</t>
        </is>
      </c>
      <c r="C54" t="inlineStr">
        <is>
          <t>Emergency</t>
        </is>
      </c>
      <c r="D54" t="inlineStr">
        <is>
          <t>Bluestone Memorial Hospital</t>
        </is>
      </c>
      <c r="E54" t="inlineStr">
        <is>
          <t>Emergency Department</t>
        </is>
      </c>
      <c r="F54" t="inlineStr">
        <is>
          <t>Emergency</t>
        </is>
      </c>
      <c r="G54" s="29" t="n">
        <v>45663</v>
      </c>
      <c r="H54" s="29" t="n">
        <v>45663</v>
      </c>
      <c r="I54" s="30" t="n"/>
      <c r="J54" t="inlineStr">
        <is>
          <t>R07.9</t>
        </is>
      </c>
      <c r="K54" t="inlineStr">
        <is>
          <t>Chest pain, unspecified</t>
        </is>
      </c>
      <c r="L54" t="inlineStr">
        <is>
          <t>Symptoms &amp; Signs</t>
        </is>
      </c>
      <c r="M54" t="inlineStr">
        <is>
          <t>Home/Self-Care</t>
        </is>
      </c>
      <c r="N54" t="inlineStr">
        <is>
          <t>Keystone Health Partners</t>
        </is>
      </c>
      <c r="O54" s="31" t="n">
        <v>2542.05</v>
      </c>
    </row>
    <row r="55">
      <c r="A55" t="inlineStr">
        <is>
          <t>ENC110913</t>
        </is>
      </c>
      <c r="B55" t="inlineStr">
        <is>
          <t>PT13044</t>
        </is>
      </c>
      <c r="C55" t="inlineStr">
        <is>
          <t>Emergency</t>
        </is>
      </c>
      <c r="D55" t="inlineStr">
        <is>
          <t>Bluestone Memorial Hospital</t>
        </is>
      </c>
      <c r="E55" t="inlineStr">
        <is>
          <t>Emergency Department</t>
        </is>
      </c>
      <c r="F55" t="inlineStr">
        <is>
          <t>Emergency</t>
        </is>
      </c>
      <c r="G55" s="29" t="n">
        <v>45663</v>
      </c>
      <c r="H55" s="29" t="n">
        <v>45663</v>
      </c>
      <c r="I55" s="30" t="n"/>
      <c r="J55" t="inlineStr">
        <is>
          <t>J06.9</t>
        </is>
      </c>
      <c r="K55" t="inlineStr">
        <is>
          <t>Acute upper respiratory infection, unspecified</t>
        </is>
      </c>
      <c r="L55" t="inlineStr">
        <is>
          <t>Respiratory</t>
        </is>
      </c>
      <c r="M55" t="inlineStr">
        <is>
          <t>Home/Self-Care</t>
        </is>
      </c>
      <c r="N55" t="inlineStr">
        <is>
          <t>State Medicaid</t>
        </is>
      </c>
      <c r="O55" s="31" t="n">
        <v>1570.3</v>
      </c>
    </row>
    <row r="56">
      <c r="A56" t="inlineStr">
        <is>
          <t>ENC110915</t>
        </is>
      </c>
      <c r="B56" t="inlineStr">
        <is>
          <t>PT13404</t>
        </is>
      </c>
      <c r="C56" t="inlineStr">
        <is>
          <t>Emergency</t>
        </is>
      </c>
      <c r="D56" t="inlineStr">
        <is>
          <t>Bluestone Memorial Hospital</t>
        </is>
      </c>
      <c r="E56" t="inlineStr">
        <is>
          <t>Emergency Department</t>
        </is>
      </c>
      <c r="F56" t="inlineStr">
        <is>
          <t>Emergency</t>
        </is>
      </c>
      <c r="G56" s="29" t="n">
        <v>45663</v>
      </c>
      <c r="H56" s="29" t="n">
        <v>45663</v>
      </c>
      <c r="I56" s="30" t="n"/>
      <c r="J56" t="inlineStr">
        <is>
          <t>H66.90</t>
        </is>
      </c>
      <c r="K56" t="inlineStr">
        <is>
          <t>Otitis media, unspecified, unspecified ear</t>
        </is>
      </c>
      <c r="L56" t="inlineStr">
        <is>
          <t>Ear</t>
        </is>
      </c>
      <c r="M56" t="inlineStr">
        <is>
          <t>Home/Self-Care</t>
        </is>
      </c>
      <c r="N56" t="inlineStr">
        <is>
          <t>State Medicaid</t>
        </is>
      </c>
      <c r="O56" s="31" t="n">
        <v>1489.5</v>
      </c>
    </row>
    <row r="57">
      <c r="A57" t="inlineStr">
        <is>
          <t>ENC110919</t>
        </is>
      </c>
      <c r="B57" t="inlineStr">
        <is>
          <t>PT13372</t>
        </is>
      </c>
      <c r="C57" t="inlineStr">
        <is>
          <t>Inpatient</t>
        </is>
      </c>
      <c r="D57" t="inlineStr">
        <is>
          <t>Bluestone Memorial Hospital</t>
        </is>
      </c>
      <c r="E57" t="inlineStr">
        <is>
          <t>Cardiac Step-Down</t>
        </is>
      </c>
      <c r="F57" t="inlineStr">
        <is>
          <t>Cardiovascular</t>
        </is>
      </c>
      <c r="G57" s="29" t="n">
        <v>45663</v>
      </c>
      <c r="H57" s="29" t="n">
        <v>45674</v>
      </c>
      <c r="I57" s="30" t="n">
        <v>11</v>
      </c>
      <c r="J57" t="inlineStr">
        <is>
          <t>I50.9</t>
        </is>
      </c>
      <c r="K57" t="inlineStr">
        <is>
          <t>Heart failure, unspecified</t>
        </is>
      </c>
      <c r="L57" t="inlineStr">
        <is>
          <t>Circulatory</t>
        </is>
      </c>
      <c r="M57" t="inlineStr">
        <is>
          <t>Skilled Nursing Facility</t>
        </is>
      </c>
      <c r="N57" t="inlineStr">
        <is>
          <t>Silverline Medicare Advantage</t>
        </is>
      </c>
      <c r="O57" s="31" t="n">
        <v>63749.8</v>
      </c>
      <c r="P57" t="inlineStr">
        <is>
          <t>N</t>
        </is>
      </c>
    </row>
    <row r="58">
      <c r="A58" t="inlineStr">
        <is>
          <t>ENC110924</t>
        </is>
      </c>
      <c r="B58" t="inlineStr">
        <is>
          <t>PT11972</t>
        </is>
      </c>
      <c r="C58" t="inlineStr">
        <is>
          <t>Inpatient</t>
        </is>
      </c>
      <c r="D58" t="inlineStr">
        <is>
          <t>Ashby Falls Community Hospital</t>
        </is>
      </c>
      <c r="E58" t="inlineStr">
        <is>
          <t>Medical-Surgical</t>
        </is>
      </c>
      <c r="F58" t="inlineStr">
        <is>
          <t>Medicine</t>
        </is>
      </c>
      <c r="G58" s="29" t="n">
        <v>45664</v>
      </c>
      <c r="H58" s="29" t="n">
        <v>45666</v>
      </c>
      <c r="I58" s="30" t="n">
        <v>2</v>
      </c>
      <c r="J58" t="inlineStr">
        <is>
          <t>J18.9</t>
        </is>
      </c>
      <c r="K58" t="inlineStr">
        <is>
          <t>Pneumonia, unspecified organism</t>
        </is>
      </c>
      <c r="L58" t="inlineStr">
        <is>
          <t>Respiratory</t>
        </is>
      </c>
      <c r="M58" t="inlineStr">
        <is>
          <t>Home/Self-Care</t>
        </is>
      </c>
      <c r="N58" t="inlineStr">
        <is>
          <t>Medicare</t>
        </is>
      </c>
      <c r="O58" s="31" t="n">
        <v>17052.17</v>
      </c>
      <c r="P58" t="inlineStr">
        <is>
          <t>N</t>
        </is>
      </c>
    </row>
    <row r="59">
      <c r="A59" t="inlineStr">
        <is>
          <t>ENC110926</t>
        </is>
      </c>
      <c r="B59" t="inlineStr">
        <is>
          <t>PT13088</t>
        </is>
      </c>
      <c r="C59" t="inlineStr">
        <is>
          <t>Inpatient</t>
        </is>
      </c>
      <c r="D59" t="inlineStr">
        <is>
          <t>Bluestone Memorial Hospital</t>
        </is>
      </c>
      <c r="E59" t="inlineStr">
        <is>
          <t>Orthopedics &amp; Spine</t>
        </is>
      </c>
      <c r="F59" t="inlineStr">
        <is>
          <t>Orthopedics</t>
        </is>
      </c>
      <c r="G59" s="29" t="n">
        <v>45664</v>
      </c>
      <c r="H59" s="29" t="n">
        <v>45665</v>
      </c>
      <c r="I59" s="30" t="n">
        <v>1</v>
      </c>
      <c r="J59" t="inlineStr">
        <is>
          <t>M16.11</t>
        </is>
      </c>
      <c r="K59" t="inlineStr">
        <is>
          <t>Unilateral primary osteoarthritis, right hip</t>
        </is>
      </c>
      <c r="L59" t="inlineStr">
        <is>
          <t>Musculoskeletal</t>
        </is>
      </c>
      <c r="M59" t="inlineStr">
        <is>
          <t>Home Health</t>
        </is>
      </c>
      <c r="N59" t="inlineStr">
        <is>
          <t>State Medicaid</t>
        </is>
      </c>
      <c r="O59" s="31" t="n">
        <v>47044.2</v>
      </c>
      <c r="P59" t="inlineStr">
        <is>
          <t>N</t>
        </is>
      </c>
    </row>
    <row r="60">
      <c r="A60" t="inlineStr">
        <is>
          <t>ENC110928</t>
        </is>
      </c>
      <c r="B60" t="inlineStr">
        <is>
          <t>PT11816</t>
        </is>
      </c>
      <c r="C60" t="inlineStr">
        <is>
          <t>Outpatient</t>
        </is>
      </c>
      <c r="D60" t="inlineStr">
        <is>
          <t>Bluestone Outpatient Pavilion</t>
        </is>
      </c>
      <c r="E60" t="inlineStr">
        <is>
          <t>Endocrinology &amp; Diabetes Clinic</t>
        </is>
      </c>
      <c r="F60" t="inlineStr">
        <is>
          <t>Ambulatory</t>
        </is>
      </c>
      <c r="G60" s="29" t="n">
        <v>45664</v>
      </c>
      <c r="H60" s="29" t="n">
        <v>45664</v>
      </c>
      <c r="I60" s="30" t="n"/>
      <c r="J60" t="inlineStr">
        <is>
          <t>E11.65</t>
        </is>
      </c>
      <c r="K60" t="inlineStr">
        <is>
          <t>Type 2 diabetes mellitus with hyperglycemia</t>
        </is>
      </c>
      <c r="L60" t="inlineStr">
        <is>
          <t>Endocrine</t>
        </is>
      </c>
      <c r="M60" t="inlineStr">
        <is>
          <t>Home/Self-Care</t>
        </is>
      </c>
      <c r="N60" t="inlineStr">
        <is>
          <t>Medicare</t>
        </is>
      </c>
      <c r="O60" s="31" t="n">
        <v>208.59</v>
      </c>
    </row>
    <row r="61">
      <c r="A61" t="inlineStr">
        <is>
          <t>ENC110930</t>
        </is>
      </c>
      <c r="B61" t="inlineStr">
        <is>
          <t>PT13132</t>
        </is>
      </c>
      <c r="C61" t="inlineStr">
        <is>
          <t>Outpatient</t>
        </is>
      </c>
      <c r="D61" t="inlineStr">
        <is>
          <t>Bluestone Outpatient Pavilion</t>
        </is>
      </c>
      <c r="E61" t="inlineStr">
        <is>
          <t>Endocrinology &amp; Diabetes Clinic</t>
        </is>
      </c>
      <c r="F61" t="inlineStr">
        <is>
          <t>Ambulatory</t>
        </is>
      </c>
      <c r="G61" s="29" t="n">
        <v>45664</v>
      </c>
      <c r="H61" s="29" t="n">
        <v>45664</v>
      </c>
      <c r="I61" s="30" t="n"/>
      <c r="J61" t="inlineStr">
        <is>
          <t>E11.65</t>
        </is>
      </c>
      <c r="K61" t="inlineStr">
        <is>
          <t>Type 2 diabetes mellitus with hyperglycemia</t>
        </is>
      </c>
      <c r="L61" t="inlineStr">
        <is>
          <t>Endocrine</t>
        </is>
      </c>
      <c r="M61" t="inlineStr">
        <is>
          <t>Home/Self-Care</t>
        </is>
      </c>
      <c r="N61" t="inlineStr">
        <is>
          <t>Keystone Health Partners</t>
        </is>
      </c>
      <c r="O61" s="31" t="n">
        <v>353.05</v>
      </c>
    </row>
    <row r="62">
      <c r="A62" t="inlineStr">
        <is>
          <t>ENC110946</t>
        </is>
      </c>
      <c r="B62" t="inlineStr">
        <is>
          <t>PT13320</t>
        </is>
      </c>
      <c r="C62" t="inlineStr">
        <is>
          <t>Outpatient</t>
        </is>
      </c>
      <c r="D62" t="inlineStr">
        <is>
          <t>Bluestone Outpatient Pavilion</t>
        </is>
      </c>
      <c r="E62" t="inlineStr">
        <is>
          <t>Primary Care Clinic</t>
        </is>
      </c>
      <c r="F62" t="inlineStr">
        <is>
          <t>Ambulatory</t>
        </is>
      </c>
      <c r="G62" s="29" t="n">
        <v>45664</v>
      </c>
      <c r="H62" s="29" t="n">
        <v>45664</v>
      </c>
      <c r="I62" s="30" t="n"/>
      <c r="J62" t="inlineStr">
        <is>
          <t>E78.5</t>
        </is>
      </c>
      <c r="K62" t="inlineStr">
        <is>
          <t>Hyperlipidemia, unspecified</t>
        </is>
      </c>
      <c r="L62" t="inlineStr">
        <is>
          <t>Endocrine</t>
        </is>
      </c>
      <c r="M62" t="inlineStr">
        <is>
          <t>Home/Self-Care</t>
        </is>
      </c>
      <c r="N62" t="inlineStr">
        <is>
          <t>Silverline Medicare Advantage</t>
        </is>
      </c>
      <c r="O62" s="31" t="n">
        <v>232.12</v>
      </c>
    </row>
    <row r="63">
      <c r="A63" t="inlineStr">
        <is>
          <t>ENC110949</t>
        </is>
      </c>
      <c r="B63" t="inlineStr">
        <is>
          <t>PT11320</t>
        </is>
      </c>
      <c r="C63" t="inlineStr">
        <is>
          <t>Outpatient</t>
        </is>
      </c>
      <c r="D63" t="inlineStr">
        <is>
          <t>Bluestone Outpatient Pavilion</t>
        </is>
      </c>
      <c r="E63" t="inlineStr">
        <is>
          <t>Infusion &amp; Oncology Clinic</t>
        </is>
      </c>
      <c r="F63" t="inlineStr">
        <is>
          <t>Oncology</t>
        </is>
      </c>
      <c r="G63" s="29" t="n">
        <v>45664</v>
      </c>
      <c r="H63" s="29" t="n">
        <v>45664</v>
      </c>
      <c r="I63" s="30" t="n"/>
      <c r="J63" t="inlineStr">
        <is>
          <t>Z51.11</t>
        </is>
      </c>
      <c r="K63" t="inlineStr">
        <is>
          <t>Encounter for antineoplastic chemotherapy</t>
        </is>
      </c>
      <c r="L63" t="inlineStr">
        <is>
          <t>Factors Influencing Health</t>
        </is>
      </c>
      <c r="M63" t="inlineStr">
        <is>
          <t>Home/Self-Care</t>
        </is>
      </c>
      <c r="N63" t="inlineStr">
        <is>
          <t>Medicare</t>
        </is>
      </c>
      <c r="O63" s="31" t="n">
        <v>11341.4</v>
      </c>
    </row>
    <row r="64">
      <c r="A64" t="inlineStr">
        <is>
          <t>ENC110950</t>
        </is>
      </c>
      <c r="B64" t="inlineStr">
        <is>
          <t>PT10816</t>
        </is>
      </c>
      <c r="C64" t="inlineStr">
        <is>
          <t>Outpatient</t>
        </is>
      </c>
      <c r="D64" t="inlineStr">
        <is>
          <t>Bluestone Outpatient Pavilion</t>
        </is>
      </c>
      <c r="E64" t="inlineStr">
        <is>
          <t>Pediatric Clinic</t>
        </is>
      </c>
      <c r="F64" t="inlineStr">
        <is>
          <t>Women &amp; Children</t>
        </is>
      </c>
      <c r="G64" s="29" t="n">
        <v>45664</v>
      </c>
      <c r="H64" s="29" t="n">
        <v>45664</v>
      </c>
      <c r="I64" s="30" t="n"/>
      <c r="J64" t="inlineStr">
        <is>
          <t>Z00.129</t>
        </is>
      </c>
      <c r="K64" t="inlineStr">
        <is>
          <t>Encounter for routine child health examination without abnormal findings</t>
        </is>
      </c>
      <c r="L64" t="inlineStr">
        <is>
          <t>Factors Influencing Health</t>
        </is>
      </c>
      <c r="M64" t="inlineStr">
        <is>
          <t>Home/Self-Care</t>
        </is>
      </c>
      <c r="N64" t="inlineStr">
        <is>
          <t>Summit Choice PPO</t>
        </is>
      </c>
      <c r="O64" s="31" t="n">
        <v>356.16</v>
      </c>
    </row>
    <row r="65">
      <c r="A65" t="inlineStr">
        <is>
          <t>ENC110952</t>
        </is>
      </c>
      <c r="B65" t="inlineStr">
        <is>
          <t>PT11420</t>
        </is>
      </c>
      <c r="C65" t="inlineStr">
        <is>
          <t>Inpatient</t>
        </is>
      </c>
      <c r="D65" t="inlineStr">
        <is>
          <t>Cedar Ridge Medical Center</t>
        </is>
      </c>
      <c r="E65" t="inlineStr">
        <is>
          <t>Orthopedics</t>
        </is>
      </c>
      <c r="F65" t="inlineStr">
        <is>
          <t>Orthopedics</t>
        </is>
      </c>
      <c r="G65" s="29" t="n">
        <v>45664</v>
      </c>
      <c r="H65" s="29" t="n">
        <v>45669</v>
      </c>
      <c r="I65" s="30" t="n">
        <v>5</v>
      </c>
      <c r="J65" t="inlineStr">
        <is>
          <t>S72.001A</t>
        </is>
      </c>
      <c r="K65" t="inlineStr">
        <is>
          <t>Fracture of unspecified part of neck of right femur, initial encounter</t>
        </is>
      </c>
      <c r="L65" t="inlineStr">
        <is>
          <t>Injury</t>
        </is>
      </c>
      <c r="M65" t="inlineStr">
        <is>
          <t>Skilled Nursing Facility</t>
        </is>
      </c>
      <c r="N65" t="inlineStr">
        <is>
          <t>Silverline Medicare Advantage</t>
        </is>
      </c>
      <c r="O65" s="31" t="n">
        <v>64067.75</v>
      </c>
      <c r="P65" t="inlineStr">
        <is>
          <t>N</t>
        </is>
      </c>
    </row>
    <row r="66">
      <c r="A66" t="inlineStr">
        <is>
          <t>ENC110957</t>
        </is>
      </c>
      <c r="B66" t="inlineStr">
        <is>
          <t>PT12504</t>
        </is>
      </c>
      <c r="C66" t="inlineStr">
        <is>
          <t>Inpatient</t>
        </is>
      </c>
      <c r="D66" t="inlineStr">
        <is>
          <t>Bluestone Memorial Hospital</t>
        </is>
      </c>
      <c r="E66" t="inlineStr">
        <is>
          <t>Medical-Surgical 4 West</t>
        </is>
      </c>
      <c r="F66" t="inlineStr">
        <is>
          <t>Medicine</t>
        </is>
      </c>
      <c r="G66" s="29" t="n">
        <v>45664</v>
      </c>
      <c r="H66" s="29" t="n">
        <v>45676</v>
      </c>
      <c r="I66" s="30" t="n">
        <v>12</v>
      </c>
      <c r="J66" t="inlineStr">
        <is>
          <t>J18.9</t>
        </is>
      </c>
      <c r="K66" t="inlineStr">
        <is>
          <t>Pneumonia, unspecified organism</t>
        </is>
      </c>
      <c r="L66" t="inlineStr">
        <is>
          <t>Respiratory</t>
        </is>
      </c>
      <c r="M66" t="inlineStr">
        <is>
          <t>Home/Self-Care</t>
        </is>
      </c>
      <c r="N66" t="inlineStr">
        <is>
          <t>Medicare</t>
        </is>
      </c>
      <c r="O66" s="31" t="n">
        <v>52897.86</v>
      </c>
      <c r="P66" t="inlineStr">
        <is>
          <t>N</t>
        </is>
      </c>
    </row>
    <row r="67">
      <c r="A67" t="inlineStr">
        <is>
          <t>ENC110959</t>
        </is>
      </c>
      <c r="B67" t="inlineStr">
        <is>
          <t>PT10232</t>
        </is>
      </c>
      <c r="C67" t="inlineStr">
        <is>
          <t>Inpatient</t>
        </is>
      </c>
      <c r="D67" t="inlineStr">
        <is>
          <t>Bluestone Memorial Hospital</t>
        </is>
      </c>
      <c r="E67" t="inlineStr">
        <is>
          <t>Pediatrics</t>
        </is>
      </c>
      <c r="F67" t="inlineStr">
        <is>
          <t>Women &amp; Children</t>
        </is>
      </c>
      <c r="G67" s="29" t="n">
        <v>45664</v>
      </c>
      <c r="H67" s="29" t="n">
        <v>45668</v>
      </c>
      <c r="I67" s="30" t="n">
        <v>4</v>
      </c>
      <c r="J67" t="inlineStr">
        <is>
          <t>J21.9</t>
        </is>
      </c>
      <c r="K67" t="inlineStr">
        <is>
          <t>Acute bronchiolitis, unspecified</t>
        </is>
      </c>
      <c r="L67" t="inlineStr">
        <is>
          <t>Respiratory</t>
        </is>
      </c>
      <c r="M67" t="inlineStr">
        <is>
          <t>Home/Self-Care</t>
        </is>
      </c>
      <c r="N67" t="inlineStr">
        <is>
          <t>Summit Choice PPO</t>
        </is>
      </c>
      <c r="O67" s="31" t="n">
        <v>13197.21</v>
      </c>
      <c r="P67" t="inlineStr">
        <is>
          <t>N</t>
        </is>
      </c>
    </row>
    <row r="68">
      <c r="A68" t="inlineStr">
        <is>
          <t>ENC110962</t>
        </is>
      </c>
      <c r="B68" t="inlineStr">
        <is>
          <t>PT10516</t>
        </is>
      </c>
      <c r="C68" t="inlineStr">
        <is>
          <t>Emergency</t>
        </is>
      </c>
      <c r="D68" t="inlineStr">
        <is>
          <t>Bluestone Memorial Hospital</t>
        </is>
      </c>
      <c r="E68" t="inlineStr">
        <is>
          <t>Emergency Department</t>
        </is>
      </c>
      <c r="F68" t="inlineStr">
        <is>
          <t>Emergency</t>
        </is>
      </c>
      <c r="G68" s="29" t="n">
        <v>45664</v>
      </c>
      <c r="H68" s="29" t="n">
        <v>45665</v>
      </c>
      <c r="I68" s="30" t="n"/>
      <c r="J68" t="inlineStr">
        <is>
          <t>A08.4</t>
        </is>
      </c>
      <c r="K68" t="inlineStr">
        <is>
          <t>Viral intestinal infection, unspecified</t>
        </is>
      </c>
      <c r="L68" t="inlineStr">
        <is>
          <t>Infectious</t>
        </is>
      </c>
      <c r="M68" t="inlineStr">
        <is>
          <t>Home/Self-Care</t>
        </is>
      </c>
      <c r="N68" t="inlineStr">
        <is>
          <t>Evergreen Mutual Insurance</t>
        </is>
      </c>
      <c r="O68" s="31" t="n">
        <v>3048.1</v>
      </c>
    </row>
    <row r="69">
      <c r="A69" t="inlineStr">
        <is>
          <t>ENC110970</t>
        </is>
      </c>
      <c r="B69" t="inlineStr">
        <is>
          <t>PT11488</t>
        </is>
      </c>
      <c r="C69" t="inlineStr">
        <is>
          <t>Outpatient</t>
        </is>
      </c>
      <c r="D69" t="inlineStr">
        <is>
          <t>Bluestone Outpatient Pavilion</t>
        </is>
      </c>
      <c r="E69" t="inlineStr">
        <is>
          <t>Primary Care Clinic</t>
        </is>
      </c>
      <c r="F69" t="inlineStr">
        <is>
          <t>Ambulatory</t>
        </is>
      </c>
      <c r="G69" s="29" t="n">
        <v>45665</v>
      </c>
      <c r="H69" s="29" t="n">
        <v>45665</v>
      </c>
      <c r="I69" s="30" t="n"/>
      <c r="J69" t="inlineStr">
        <is>
          <t>Z00.00</t>
        </is>
      </c>
      <c r="K69" t="inlineStr">
        <is>
          <t>Encounter for general adult medical examination without abnormal findings</t>
        </is>
      </c>
      <c r="L69" t="inlineStr">
        <is>
          <t>Factors Influencing Health</t>
        </is>
      </c>
      <c r="M69" t="inlineStr">
        <is>
          <t>Home/Self-Care</t>
        </is>
      </c>
      <c r="N69" t="inlineStr">
        <is>
          <t>Self-Pay</t>
        </is>
      </c>
      <c r="O69" s="31" t="n">
        <v>265.29</v>
      </c>
    </row>
    <row r="70">
      <c r="A70" t="inlineStr">
        <is>
          <t>ENC110979</t>
        </is>
      </c>
      <c r="B70" t="inlineStr">
        <is>
          <t>PT13900</t>
        </is>
      </c>
      <c r="C70" t="inlineStr">
        <is>
          <t>Outpatient</t>
        </is>
      </c>
      <c r="D70" t="inlineStr">
        <is>
          <t>Bluestone Outpatient Pavilion</t>
        </is>
      </c>
      <c r="E70" t="inlineStr">
        <is>
          <t>Primary Care Clinic</t>
        </is>
      </c>
      <c r="F70" t="inlineStr">
        <is>
          <t>Ambulatory</t>
        </is>
      </c>
      <c r="G70" s="29" t="n">
        <v>45665</v>
      </c>
      <c r="H70" s="29" t="n">
        <v>45665</v>
      </c>
      <c r="I70" s="30" t="n"/>
      <c r="J70" t="inlineStr">
        <is>
          <t>E78.5</t>
        </is>
      </c>
      <c r="K70" t="inlineStr">
        <is>
          <t>Hyperlipidemia, unspecified</t>
        </is>
      </c>
      <c r="L70" t="inlineStr">
        <is>
          <t>Endocrine</t>
        </is>
      </c>
      <c r="M70" t="inlineStr">
        <is>
          <t>Home/Self-Care</t>
        </is>
      </c>
      <c r="N70" t="inlineStr">
        <is>
          <t>Medicare</t>
        </is>
      </c>
      <c r="O70" s="31" t="n">
        <v>450.46</v>
      </c>
    </row>
    <row r="71">
      <c r="A71" t="inlineStr">
        <is>
          <t>ENC110980</t>
        </is>
      </c>
      <c r="B71" t="inlineStr">
        <is>
          <t>PT13252</t>
        </is>
      </c>
      <c r="C71" t="inlineStr">
        <is>
          <t>Outpatient</t>
        </is>
      </c>
      <c r="D71" t="inlineStr">
        <is>
          <t>Bluestone Outpatient Pavilion</t>
        </is>
      </c>
      <c r="E71" t="inlineStr">
        <is>
          <t>Primary Care Clinic</t>
        </is>
      </c>
      <c r="F71" t="inlineStr">
        <is>
          <t>Ambulatory</t>
        </is>
      </c>
      <c r="G71" s="29" t="n">
        <v>45665</v>
      </c>
      <c r="H71" s="29" t="n">
        <v>45665</v>
      </c>
      <c r="I71" s="30" t="n"/>
      <c r="J71" t="inlineStr">
        <is>
          <t>J06.9</t>
        </is>
      </c>
      <c r="K71" t="inlineStr">
        <is>
          <t>Acute upper respiratory infection, unspecified</t>
        </is>
      </c>
      <c r="L71" t="inlineStr">
        <is>
          <t>Respiratory</t>
        </is>
      </c>
      <c r="M71" t="inlineStr">
        <is>
          <t>Home/Self-Care</t>
        </is>
      </c>
      <c r="N71" t="inlineStr">
        <is>
          <t>Medicare</t>
        </is>
      </c>
      <c r="O71" s="31" t="n">
        <v>380.14</v>
      </c>
    </row>
    <row r="72">
      <c r="A72" t="inlineStr">
        <is>
          <t>ENC110987</t>
        </is>
      </c>
      <c r="B72" t="inlineStr">
        <is>
          <t>PT11976</t>
        </is>
      </c>
      <c r="C72" t="inlineStr">
        <is>
          <t>Outpatient</t>
        </is>
      </c>
      <c r="D72" t="inlineStr">
        <is>
          <t>Bluestone Outpatient Pavilion</t>
        </is>
      </c>
      <c r="E72" t="inlineStr">
        <is>
          <t>Infusion &amp; Oncology Clinic</t>
        </is>
      </c>
      <c r="F72" t="inlineStr">
        <is>
          <t>Oncology</t>
        </is>
      </c>
      <c r="G72" s="29" t="n">
        <v>45665</v>
      </c>
      <c r="H72" s="29" t="n">
        <v>45665</v>
      </c>
      <c r="I72" s="30" t="n"/>
      <c r="J72" t="inlineStr">
        <is>
          <t>Z51.11</t>
        </is>
      </c>
      <c r="K72" t="inlineStr">
        <is>
          <t>Encounter for antineoplastic chemotherapy</t>
        </is>
      </c>
      <c r="L72" t="inlineStr">
        <is>
          <t>Factors Influencing Health</t>
        </is>
      </c>
      <c r="M72" t="inlineStr">
        <is>
          <t>Home/Self-Care</t>
        </is>
      </c>
      <c r="N72" t="inlineStr">
        <is>
          <t>Keystone Health Partners</t>
        </is>
      </c>
      <c r="O72" s="31" t="n">
        <v>7413.09</v>
      </c>
    </row>
    <row r="73">
      <c r="A73" t="inlineStr">
        <is>
          <t>ENC110989</t>
        </is>
      </c>
      <c r="B73" t="inlineStr">
        <is>
          <t>PT10444</t>
        </is>
      </c>
      <c r="C73" t="inlineStr">
        <is>
          <t>Emergency</t>
        </is>
      </c>
      <c r="D73" t="inlineStr">
        <is>
          <t>Bluestone Memorial Hospital</t>
        </is>
      </c>
      <c r="E73" t="inlineStr">
        <is>
          <t>Emergency Department</t>
        </is>
      </c>
      <c r="F73" t="inlineStr">
        <is>
          <t>Emergency</t>
        </is>
      </c>
      <c r="G73" s="29" t="n">
        <v>45665</v>
      </c>
      <c r="H73" s="29" t="n">
        <v>45665</v>
      </c>
      <c r="I73" s="30" t="n"/>
      <c r="J73" t="inlineStr">
        <is>
          <t>J44.1</t>
        </is>
      </c>
      <c r="K73" t="inlineStr">
        <is>
          <t>Chronic obstructive pulmonary disease with (acute) exacerbation</t>
        </is>
      </c>
      <c r="L73" t="inlineStr">
        <is>
          <t>Respiratory</t>
        </is>
      </c>
      <c r="M73" t="inlineStr">
        <is>
          <t>Home/Self-Care</t>
        </is>
      </c>
      <c r="N73" t="inlineStr">
        <is>
          <t>Medicare</t>
        </is>
      </c>
      <c r="O73" s="31" t="n">
        <v>3793.84</v>
      </c>
    </row>
    <row r="74">
      <c r="A74" t="inlineStr">
        <is>
          <t>ENC110992</t>
        </is>
      </c>
      <c r="B74" t="inlineStr">
        <is>
          <t>PT10272</t>
        </is>
      </c>
      <c r="C74" t="inlineStr">
        <is>
          <t>Emergency</t>
        </is>
      </c>
      <c r="D74" t="inlineStr">
        <is>
          <t>Bluestone Memorial Hospital</t>
        </is>
      </c>
      <c r="E74" t="inlineStr">
        <is>
          <t>Emergency Department</t>
        </is>
      </c>
      <c r="F74" t="inlineStr">
        <is>
          <t>Emergency</t>
        </is>
      </c>
      <c r="G74" s="29" t="n">
        <v>45665</v>
      </c>
      <c r="H74" s="29" t="n">
        <v>45665</v>
      </c>
      <c r="I74" s="30" t="n"/>
      <c r="J74" t="inlineStr">
        <is>
          <t>J18.9</t>
        </is>
      </c>
      <c r="K74" t="inlineStr">
        <is>
          <t>Pneumonia, unspecified organism</t>
        </is>
      </c>
      <c r="L74" t="inlineStr">
        <is>
          <t>Respiratory</t>
        </is>
      </c>
      <c r="M74" t="inlineStr">
        <is>
          <t>Home/Self-Care</t>
        </is>
      </c>
      <c r="N74" t="inlineStr">
        <is>
          <t>Keystone Health Partners</t>
        </is>
      </c>
      <c r="O74" s="31" t="n">
        <v>5207.98</v>
      </c>
    </row>
    <row r="75">
      <c r="A75" t="inlineStr">
        <is>
          <t>ENC110999</t>
        </is>
      </c>
      <c r="B75" t="inlineStr">
        <is>
          <t>PT10628</t>
        </is>
      </c>
      <c r="C75" t="inlineStr">
        <is>
          <t>Observation</t>
        </is>
      </c>
      <c r="D75" t="inlineStr">
        <is>
          <t>Bluestone Memorial Hospital</t>
        </is>
      </c>
      <c r="E75" t="inlineStr">
        <is>
          <t>Observation Unit</t>
        </is>
      </c>
      <c r="F75" t="inlineStr">
        <is>
          <t>Medicine</t>
        </is>
      </c>
      <c r="G75" s="29" t="n">
        <v>45666</v>
      </c>
      <c r="H75" s="29" t="n">
        <v>45666</v>
      </c>
      <c r="I75" s="30" t="n">
        <v>0</v>
      </c>
      <c r="J75" t="inlineStr">
        <is>
          <t>I21.4</t>
        </is>
      </c>
      <c r="K75" t="inlineStr">
        <is>
          <t>Non-ST elevation (NSTEMI) myocardial infarction</t>
        </is>
      </c>
      <c r="L75" t="inlineStr">
        <is>
          <t>Circulatory</t>
        </is>
      </c>
      <c r="M75" t="inlineStr">
        <is>
          <t>Home/Self-Care</t>
        </is>
      </c>
      <c r="N75" t="inlineStr">
        <is>
          <t>Silverline Medicare Advantage</t>
        </is>
      </c>
      <c r="O75" s="31" t="n">
        <v>8994.18</v>
      </c>
    </row>
    <row r="76">
      <c r="A76" t="inlineStr">
        <is>
          <t>ENC111003</t>
        </is>
      </c>
      <c r="B76" t="inlineStr">
        <is>
          <t>PT11104</t>
        </is>
      </c>
      <c r="C76" t="inlineStr">
        <is>
          <t>Emergency</t>
        </is>
      </c>
      <c r="D76" t="inlineStr">
        <is>
          <t>Cedar Ridge Medical Center</t>
        </is>
      </c>
      <c r="E76" t="inlineStr">
        <is>
          <t>Emergency Department</t>
        </is>
      </c>
      <c r="F76" t="inlineStr">
        <is>
          <t>Emergency</t>
        </is>
      </c>
      <c r="G76" s="29" t="n">
        <v>45666</v>
      </c>
      <c r="H76" s="29" t="n">
        <v>45666</v>
      </c>
      <c r="I76" s="30" t="n"/>
      <c r="J76" t="inlineStr">
        <is>
          <t>J06.9</t>
        </is>
      </c>
      <c r="K76" t="inlineStr">
        <is>
          <t>Acute upper respiratory infection, unspecified</t>
        </is>
      </c>
      <c r="L76" t="inlineStr">
        <is>
          <t>Respiratory</t>
        </is>
      </c>
      <c r="M76" t="inlineStr">
        <is>
          <t>Home/Self-Care</t>
        </is>
      </c>
      <c r="N76" t="inlineStr">
        <is>
          <t>Medicare</t>
        </is>
      </c>
      <c r="O76" s="31" t="n">
        <v>1280.28</v>
      </c>
    </row>
    <row r="77">
      <c r="A77" t="inlineStr">
        <is>
          <t>ENC111008</t>
        </is>
      </c>
      <c r="B77" t="inlineStr">
        <is>
          <t>PT11852</t>
        </is>
      </c>
      <c r="C77" t="inlineStr">
        <is>
          <t>Outpatient</t>
        </is>
      </c>
      <c r="D77" t="inlineStr">
        <is>
          <t>Bluestone Outpatient Pavilion</t>
        </is>
      </c>
      <c r="E77" t="inlineStr">
        <is>
          <t>Primary Care Clinic</t>
        </is>
      </c>
      <c r="F77" t="inlineStr">
        <is>
          <t>Ambulatory</t>
        </is>
      </c>
      <c r="G77" s="29" t="n">
        <v>45666</v>
      </c>
      <c r="H77" s="29" t="n">
        <v>45666</v>
      </c>
      <c r="I77" s="30" t="n"/>
      <c r="J77" t="inlineStr">
        <is>
          <t>Z23</t>
        </is>
      </c>
      <c r="K77" t="inlineStr">
        <is>
          <t>Encounter for immunization</t>
        </is>
      </c>
      <c r="L77" t="inlineStr">
        <is>
          <t>Factors Influencing Health</t>
        </is>
      </c>
      <c r="M77" t="inlineStr">
        <is>
          <t>Home/Self-Care</t>
        </is>
      </c>
      <c r="N77" t="inlineStr">
        <is>
          <t>Medicare</t>
        </is>
      </c>
      <c r="O77" s="31" t="n">
        <v>102.2</v>
      </c>
    </row>
    <row r="78">
      <c r="A78" t="inlineStr">
        <is>
          <t>ENC111009</t>
        </is>
      </c>
      <c r="B78" t="inlineStr">
        <is>
          <t>PT10416</t>
        </is>
      </c>
      <c r="C78" t="inlineStr">
        <is>
          <t>Outpatient</t>
        </is>
      </c>
      <c r="D78" t="inlineStr">
        <is>
          <t>Bluestone Outpatient Pavilion</t>
        </is>
      </c>
      <c r="E78" t="inlineStr">
        <is>
          <t>Infusion &amp; Oncology Clinic</t>
        </is>
      </c>
      <c r="F78" t="inlineStr">
        <is>
          <t>Oncology</t>
        </is>
      </c>
      <c r="G78" s="29" t="n">
        <v>45666</v>
      </c>
      <c r="H78" s="29" t="n">
        <v>45666</v>
      </c>
      <c r="I78" s="30" t="n"/>
      <c r="J78" t="inlineStr">
        <is>
          <t>Z51.11</t>
        </is>
      </c>
      <c r="K78" t="inlineStr">
        <is>
          <t>Encounter for antineoplastic chemotherapy</t>
        </is>
      </c>
      <c r="L78" t="inlineStr">
        <is>
          <t>Factors Influencing Health</t>
        </is>
      </c>
      <c r="M78" t="inlineStr">
        <is>
          <t>Home/Self-Care</t>
        </is>
      </c>
      <c r="N78" t="inlineStr">
        <is>
          <t>Self-Pay</t>
        </is>
      </c>
      <c r="O78" s="31" t="n">
        <v>9629.860000000001</v>
      </c>
    </row>
    <row r="79">
      <c r="A79" t="inlineStr">
        <is>
          <t>ENC111022</t>
        </is>
      </c>
      <c r="B79" t="inlineStr">
        <is>
          <t>PT13276</t>
        </is>
      </c>
      <c r="C79" t="inlineStr">
        <is>
          <t>Outpatient</t>
        </is>
      </c>
      <c r="D79" t="inlineStr">
        <is>
          <t>Bluestone Outpatient Pavilion</t>
        </is>
      </c>
      <c r="E79" t="inlineStr">
        <is>
          <t>Pediatric Clinic</t>
        </is>
      </c>
      <c r="F79" t="inlineStr">
        <is>
          <t>Women &amp; Children</t>
        </is>
      </c>
      <c r="G79" s="29" t="n">
        <v>45666</v>
      </c>
      <c r="H79" s="29" t="n">
        <v>45666</v>
      </c>
      <c r="I79" s="30" t="n"/>
      <c r="J79" t="inlineStr">
        <is>
          <t>H66.90</t>
        </is>
      </c>
      <c r="K79" t="inlineStr">
        <is>
          <t>Otitis media, unspecified, unspecified ear</t>
        </is>
      </c>
      <c r="L79" t="inlineStr">
        <is>
          <t>Ear</t>
        </is>
      </c>
      <c r="M79" t="inlineStr">
        <is>
          <t>Home/Self-Care</t>
        </is>
      </c>
      <c r="N79" t="inlineStr">
        <is>
          <t>Keystone Health Partners</t>
        </is>
      </c>
      <c r="O79" s="31" t="n">
        <v>393.23</v>
      </c>
    </row>
    <row r="80">
      <c r="A80" t="inlineStr">
        <is>
          <t>ENC111032</t>
        </is>
      </c>
      <c r="B80" t="inlineStr">
        <is>
          <t>PT12524</t>
        </is>
      </c>
      <c r="C80" t="inlineStr">
        <is>
          <t>Outpatient</t>
        </is>
      </c>
      <c r="D80" t="inlineStr">
        <is>
          <t>Bluestone Outpatient Pavilion</t>
        </is>
      </c>
      <c r="E80" t="inlineStr">
        <is>
          <t>Endocrinology &amp; Diabetes Clinic</t>
        </is>
      </c>
      <c r="F80" t="inlineStr">
        <is>
          <t>Ambulatory</t>
        </is>
      </c>
      <c r="G80" s="29" t="n">
        <v>45666</v>
      </c>
      <c r="H80" s="29" t="n">
        <v>45666</v>
      </c>
      <c r="I80" s="30" t="n"/>
      <c r="J80" t="inlineStr">
        <is>
          <t>E11.9</t>
        </is>
      </c>
      <c r="K80" t="inlineStr">
        <is>
          <t>Type 2 diabetes mellitus without complications</t>
        </is>
      </c>
      <c r="L80" t="inlineStr">
        <is>
          <t>Endocrine</t>
        </is>
      </c>
      <c r="M80" t="inlineStr">
        <is>
          <t>Home/Self-Care</t>
        </is>
      </c>
      <c r="N80" t="inlineStr">
        <is>
          <t>Medicare</t>
        </is>
      </c>
      <c r="O80" s="31" t="n">
        <v>246.38</v>
      </c>
    </row>
    <row r="81">
      <c r="A81" t="inlineStr">
        <is>
          <t>ENC111033</t>
        </is>
      </c>
      <c r="B81" t="inlineStr">
        <is>
          <t>PT11244</t>
        </is>
      </c>
      <c r="C81" t="inlineStr">
        <is>
          <t>Emergency</t>
        </is>
      </c>
      <c r="D81" t="inlineStr">
        <is>
          <t>Bluestone Memorial Hospital</t>
        </is>
      </c>
      <c r="E81" t="inlineStr">
        <is>
          <t>Emergency Department</t>
        </is>
      </c>
      <c r="F81" t="inlineStr">
        <is>
          <t>Emergency</t>
        </is>
      </c>
      <c r="G81" s="29" t="n">
        <v>45666</v>
      </c>
      <c r="H81" s="29" t="n">
        <v>45666</v>
      </c>
      <c r="I81" s="30" t="n"/>
      <c r="J81" t="inlineStr">
        <is>
          <t>H66.90</t>
        </is>
      </c>
      <c r="K81" t="inlineStr">
        <is>
          <t>Otitis media, unspecified, unspecified ear</t>
        </is>
      </c>
      <c r="L81" t="inlineStr">
        <is>
          <t>Ear</t>
        </is>
      </c>
      <c r="M81" t="inlineStr">
        <is>
          <t>Home/Self-Care</t>
        </is>
      </c>
      <c r="N81" t="inlineStr">
        <is>
          <t>State Medicaid</t>
        </is>
      </c>
      <c r="O81" s="31" t="n">
        <v>591.0599999999999</v>
      </c>
    </row>
    <row r="82">
      <c r="A82" t="inlineStr">
        <is>
          <t>ENC111036</t>
        </is>
      </c>
      <c r="B82" t="inlineStr">
        <is>
          <t>PT13252</t>
        </is>
      </c>
      <c r="C82" t="inlineStr">
        <is>
          <t>Emergency</t>
        </is>
      </c>
      <c r="D82" t="inlineStr">
        <is>
          <t>Bluestone Memorial Hospital</t>
        </is>
      </c>
      <c r="E82" t="inlineStr">
        <is>
          <t>Emergency Department</t>
        </is>
      </c>
      <c r="F82" t="inlineStr">
        <is>
          <t>Emergency</t>
        </is>
      </c>
      <c r="G82" s="29" t="n">
        <v>45666</v>
      </c>
      <c r="H82" s="29" t="n">
        <v>45666</v>
      </c>
      <c r="I82" s="30" t="n"/>
      <c r="J82" t="inlineStr">
        <is>
          <t>E86.0</t>
        </is>
      </c>
      <c r="K82" t="inlineStr">
        <is>
          <t>Dehydration</t>
        </is>
      </c>
      <c r="L82" t="inlineStr">
        <is>
          <t>Endocrine</t>
        </is>
      </c>
      <c r="M82" t="inlineStr">
        <is>
          <t>Home/Self-Care</t>
        </is>
      </c>
      <c r="N82" t="inlineStr">
        <is>
          <t>Medicare</t>
        </is>
      </c>
      <c r="O82" s="31" t="n">
        <v>3276.04</v>
      </c>
    </row>
    <row r="83">
      <c r="A83" t="inlineStr">
        <is>
          <t>ENC111046</t>
        </is>
      </c>
      <c r="B83" t="inlineStr">
        <is>
          <t>PT13152</t>
        </is>
      </c>
      <c r="C83" t="inlineStr">
        <is>
          <t>Outpatient</t>
        </is>
      </c>
      <c r="D83" t="inlineStr">
        <is>
          <t>Bluestone Outpatient Pavilion</t>
        </is>
      </c>
      <c r="E83" t="inlineStr">
        <is>
          <t>Primary Care Clinic</t>
        </is>
      </c>
      <c r="F83" t="inlineStr">
        <is>
          <t>Ambulatory</t>
        </is>
      </c>
      <c r="G83" s="29" t="n">
        <v>45667</v>
      </c>
      <c r="H83" s="29" t="n">
        <v>45667</v>
      </c>
      <c r="I83" s="30" t="n"/>
      <c r="J83" t="inlineStr">
        <is>
          <t>J06.9</t>
        </is>
      </c>
      <c r="K83" t="inlineStr">
        <is>
          <t>Acute upper respiratory infection, unspecified</t>
        </is>
      </c>
      <c r="L83" t="inlineStr">
        <is>
          <t>Respiratory</t>
        </is>
      </c>
      <c r="M83" t="inlineStr">
        <is>
          <t>Home/Self-Care</t>
        </is>
      </c>
      <c r="N83" t="inlineStr">
        <is>
          <t>State Medicaid</t>
        </is>
      </c>
      <c r="O83" s="31" t="n">
        <v>457.62</v>
      </c>
    </row>
    <row r="84">
      <c r="A84" t="inlineStr">
        <is>
          <t>ENC111047</t>
        </is>
      </c>
      <c r="B84" t="inlineStr">
        <is>
          <t>PT13000</t>
        </is>
      </c>
      <c r="C84" t="inlineStr">
        <is>
          <t>Outpatient</t>
        </is>
      </c>
      <c r="D84" t="inlineStr">
        <is>
          <t>Bluestone Outpatient Pavilion</t>
        </is>
      </c>
      <c r="E84" t="inlineStr">
        <is>
          <t>Cardiology Clinic</t>
        </is>
      </c>
      <c r="F84" t="inlineStr">
        <is>
          <t>Cardiovascular</t>
        </is>
      </c>
      <c r="G84" s="29" t="n">
        <v>45667</v>
      </c>
      <c r="H84" s="29" t="n">
        <v>45667</v>
      </c>
      <c r="I84" s="30" t="n"/>
      <c r="J84" t="inlineStr">
        <is>
          <t>I48.91</t>
        </is>
      </c>
      <c r="K84" t="inlineStr">
        <is>
          <t>Unspecified atrial fibrillation</t>
        </is>
      </c>
      <c r="L84" t="inlineStr">
        <is>
          <t>Circulatory</t>
        </is>
      </c>
      <c r="M84" t="inlineStr">
        <is>
          <t>Home/Self-Care</t>
        </is>
      </c>
      <c r="N84" t="inlineStr">
        <is>
          <t>Medicare</t>
        </is>
      </c>
      <c r="O84" s="31" t="n">
        <v>514.67</v>
      </c>
    </row>
    <row r="85">
      <c r="A85" t="inlineStr">
        <is>
          <t>ENC111050</t>
        </is>
      </c>
      <c r="B85" t="inlineStr">
        <is>
          <t>PT11468</t>
        </is>
      </c>
      <c r="C85" t="inlineStr">
        <is>
          <t>Outpatient</t>
        </is>
      </c>
      <c r="D85" t="inlineStr">
        <is>
          <t>Bluestone Outpatient Pavilion</t>
        </is>
      </c>
      <c r="E85" t="inlineStr">
        <is>
          <t>Primary Care Clinic</t>
        </is>
      </c>
      <c r="F85" t="inlineStr">
        <is>
          <t>Ambulatory</t>
        </is>
      </c>
      <c r="G85" s="29" t="n">
        <v>45667</v>
      </c>
      <c r="H85" s="29" t="n">
        <v>45667</v>
      </c>
      <c r="I85" s="30" t="n"/>
      <c r="J85" t="inlineStr">
        <is>
          <t>M54.50</t>
        </is>
      </c>
      <c r="K85" t="inlineStr">
        <is>
          <t>Low back pain, unspecified</t>
        </is>
      </c>
      <c r="L85" t="inlineStr">
        <is>
          <t>Musculoskeletal</t>
        </is>
      </c>
      <c r="M85" t="inlineStr">
        <is>
          <t>Home/Self-Care</t>
        </is>
      </c>
      <c r="N85" t="inlineStr">
        <is>
          <t>Self-Pay</t>
        </is>
      </c>
      <c r="O85" s="31" t="n">
        <v>258.26</v>
      </c>
    </row>
    <row r="86">
      <c r="A86" t="inlineStr">
        <is>
          <t>ENC111064</t>
        </is>
      </c>
      <c r="B86" t="inlineStr">
        <is>
          <t>PT10668</t>
        </is>
      </c>
      <c r="C86" t="inlineStr">
        <is>
          <t>Emergency</t>
        </is>
      </c>
      <c r="D86" t="inlineStr">
        <is>
          <t>Cedar Ridge Medical Center</t>
        </is>
      </c>
      <c r="E86" t="inlineStr">
        <is>
          <t>Emergency Department</t>
        </is>
      </c>
      <c r="F86" t="inlineStr">
        <is>
          <t>Emergency</t>
        </is>
      </c>
      <c r="G86" s="29" t="n">
        <v>45667</v>
      </c>
      <c r="H86" s="29" t="n">
        <v>45667</v>
      </c>
      <c r="I86" s="30" t="n"/>
      <c r="J86" t="inlineStr">
        <is>
          <t>J06.9</t>
        </is>
      </c>
      <c r="K86" t="inlineStr">
        <is>
          <t>Acute upper respiratory infection, unspecified</t>
        </is>
      </c>
      <c r="L86" t="inlineStr">
        <is>
          <t>Respiratory</t>
        </is>
      </c>
      <c r="M86" t="inlineStr">
        <is>
          <t>Home/Self-Care</t>
        </is>
      </c>
      <c r="N86" t="inlineStr">
        <is>
          <t>Silverline Medicare Advantage</t>
        </is>
      </c>
      <c r="O86" s="31" t="n">
        <v>623.05</v>
      </c>
    </row>
    <row r="87">
      <c r="A87" t="inlineStr">
        <is>
          <t>ENC111065</t>
        </is>
      </c>
      <c r="B87" t="inlineStr">
        <is>
          <t>PT13128</t>
        </is>
      </c>
      <c r="C87" t="inlineStr">
        <is>
          <t>Outpatient</t>
        </is>
      </c>
      <c r="D87" t="inlineStr">
        <is>
          <t>Bluestone Outpatient Pavilion</t>
        </is>
      </c>
      <c r="E87" t="inlineStr">
        <is>
          <t>Primary Care Clinic</t>
        </is>
      </c>
      <c r="F87" t="inlineStr">
        <is>
          <t>Ambulatory</t>
        </is>
      </c>
      <c r="G87" s="29" t="n">
        <v>45667</v>
      </c>
      <c r="H87" s="29" t="n">
        <v>45667</v>
      </c>
      <c r="I87" s="30" t="n"/>
      <c r="J87" t="inlineStr">
        <is>
          <t>Z00.00</t>
        </is>
      </c>
      <c r="K87" t="inlineStr">
        <is>
          <t>Encounter for general adult medical examination without abnormal findings</t>
        </is>
      </c>
      <c r="L87" t="inlineStr">
        <is>
          <t>Factors Influencing Health</t>
        </is>
      </c>
      <c r="M87" t="inlineStr">
        <is>
          <t>Home/Self-Care</t>
        </is>
      </c>
      <c r="N87" t="inlineStr">
        <is>
          <t>Summit Choice PPO</t>
        </is>
      </c>
      <c r="O87" s="31" t="n">
        <v>446.29</v>
      </c>
    </row>
    <row r="88">
      <c r="A88" t="inlineStr">
        <is>
          <t>ENC111068</t>
        </is>
      </c>
      <c r="B88" t="inlineStr">
        <is>
          <t>PT10344</t>
        </is>
      </c>
      <c r="C88" t="inlineStr">
        <is>
          <t>Inpatient</t>
        </is>
      </c>
      <c r="D88" t="inlineStr">
        <is>
          <t>Bluestone Memorial Hospital</t>
        </is>
      </c>
      <c r="E88" t="inlineStr">
        <is>
          <t>Cardiac Step-Down</t>
        </is>
      </c>
      <c r="F88" t="inlineStr">
        <is>
          <t>Cardiovascular</t>
        </is>
      </c>
      <c r="G88" s="29" t="n">
        <v>45667</v>
      </c>
      <c r="H88" s="29" t="n">
        <v>45671</v>
      </c>
      <c r="I88" s="30" t="n">
        <v>4</v>
      </c>
      <c r="J88" t="inlineStr">
        <is>
          <t>I50.9</t>
        </is>
      </c>
      <c r="K88" t="inlineStr">
        <is>
          <t>Heart failure, unspecified</t>
        </is>
      </c>
      <c r="L88" t="inlineStr">
        <is>
          <t>Circulatory</t>
        </is>
      </c>
      <c r="M88" t="inlineStr">
        <is>
          <t>Home/Self-Care</t>
        </is>
      </c>
      <c r="N88" t="inlineStr">
        <is>
          <t>Keystone Health Partners</t>
        </is>
      </c>
      <c r="O88" s="31" t="n">
        <v>24976.35</v>
      </c>
      <c r="P88" t="inlineStr">
        <is>
          <t>N</t>
        </is>
      </c>
    </row>
    <row r="89">
      <c r="A89" t="inlineStr">
        <is>
          <t>ENC111078</t>
        </is>
      </c>
      <c r="B89" t="inlineStr">
        <is>
          <t>PT10952</t>
        </is>
      </c>
      <c r="C89" t="inlineStr">
        <is>
          <t>Emergency</t>
        </is>
      </c>
      <c r="D89" t="inlineStr">
        <is>
          <t>Ashby Falls Community Hospital</t>
        </is>
      </c>
      <c r="E89" t="inlineStr">
        <is>
          <t>Emergency Department</t>
        </is>
      </c>
      <c r="F89" t="inlineStr">
        <is>
          <t>Emergency</t>
        </is>
      </c>
      <c r="G89" s="29" t="n">
        <v>45667</v>
      </c>
      <c r="H89" s="29" t="n">
        <v>45667</v>
      </c>
      <c r="I89" s="30" t="n"/>
      <c r="J89" t="inlineStr">
        <is>
          <t>J06.9</t>
        </is>
      </c>
      <c r="K89" t="inlineStr">
        <is>
          <t>Acute upper respiratory infection, unspecified</t>
        </is>
      </c>
      <c r="L89" t="inlineStr">
        <is>
          <t>Respiratory</t>
        </is>
      </c>
      <c r="M89" t="inlineStr">
        <is>
          <t>Home/Self-Care</t>
        </is>
      </c>
      <c r="N89" t="inlineStr">
        <is>
          <t>State Medicaid</t>
        </is>
      </c>
      <c r="O89" s="31" t="n">
        <v>934.27</v>
      </c>
    </row>
    <row r="90">
      <c r="A90" t="inlineStr">
        <is>
          <t>ENC111079</t>
        </is>
      </c>
      <c r="B90" t="inlineStr">
        <is>
          <t>PT12060</t>
        </is>
      </c>
      <c r="C90" t="inlineStr">
        <is>
          <t>Inpatient</t>
        </is>
      </c>
      <c r="D90" t="inlineStr">
        <is>
          <t>Cedar Ridge Medical Center</t>
        </is>
      </c>
      <c r="E90" t="inlineStr">
        <is>
          <t>Intensive Care Unit</t>
        </is>
      </c>
      <c r="F90" t="inlineStr">
        <is>
          <t>Critical Care</t>
        </is>
      </c>
      <c r="G90" s="29" t="n">
        <v>45667</v>
      </c>
      <c r="H90" s="29" t="n">
        <v>45675</v>
      </c>
      <c r="I90" s="30" t="n">
        <v>8</v>
      </c>
      <c r="J90" t="inlineStr">
        <is>
          <t>A41.9</t>
        </is>
      </c>
      <c r="K90" t="inlineStr">
        <is>
          <t>Sepsis, unspecified organism</t>
        </is>
      </c>
      <c r="L90" t="inlineStr">
        <is>
          <t>Infectious</t>
        </is>
      </c>
      <c r="M90" t="inlineStr">
        <is>
          <t>Home/Self-Care</t>
        </is>
      </c>
      <c r="N90" t="inlineStr">
        <is>
          <t>Summit Choice PPO</t>
        </is>
      </c>
      <c r="O90" s="31" t="n">
        <v>89500.47</v>
      </c>
      <c r="P90" t="inlineStr">
        <is>
          <t>Y</t>
        </is>
      </c>
    </row>
    <row r="91">
      <c r="A91" t="inlineStr">
        <is>
          <t>ENC111080</t>
        </is>
      </c>
      <c r="B91" t="inlineStr">
        <is>
          <t>PT10676</t>
        </is>
      </c>
      <c r="C91" t="inlineStr">
        <is>
          <t>Inpatient</t>
        </is>
      </c>
      <c r="D91" t="inlineStr">
        <is>
          <t>Bluestone Memorial Hospital</t>
        </is>
      </c>
      <c r="E91" t="inlineStr">
        <is>
          <t>Oncology</t>
        </is>
      </c>
      <c r="F91" t="inlineStr">
        <is>
          <t>Oncology</t>
        </is>
      </c>
      <c r="G91" s="29" t="n">
        <v>45668</v>
      </c>
      <c r="H91" s="29" t="n">
        <v>45675</v>
      </c>
      <c r="I91" s="30" t="n">
        <v>7</v>
      </c>
      <c r="J91" t="inlineStr">
        <is>
          <t>C34.90</t>
        </is>
      </c>
      <c r="K91" t="inlineStr">
        <is>
          <t>Malignant neoplasm of unspecified part of unspecified bronchus or lung</t>
        </is>
      </c>
      <c r="L91" t="inlineStr">
        <is>
          <t>Neoplasms</t>
        </is>
      </c>
      <c r="M91" t="inlineStr">
        <is>
          <t>Home/Self-Care</t>
        </is>
      </c>
      <c r="N91" t="inlineStr">
        <is>
          <t>Medicare</t>
        </is>
      </c>
      <c r="O91" s="31" t="n">
        <v>33768.16</v>
      </c>
      <c r="P91" t="inlineStr">
        <is>
          <t>Y</t>
        </is>
      </c>
    </row>
    <row r="92">
      <c r="A92" t="inlineStr">
        <is>
          <t>ENC111084</t>
        </is>
      </c>
      <c r="B92" t="inlineStr">
        <is>
          <t>PT11676</t>
        </is>
      </c>
      <c r="C92" t="inlineStr">
        <is>
          <t>Emergency</t>
        </is>
      </c>
      <c r="D92" t="inlineStr">
        <is>
          <t>Bluestone Memorial Hospital</t>
        </is>
      </c>
      <c r="E92" t="inlineStr">
        <is>
          <t>Emergency Department</t>
        </is>
      </c>
      <c r="F92" t="inlineStr">
        <is>
          <t>Emergency</t>
        </is>
      </c>
      <c r="G92" s="29" t="n">
        <v>45667</v>
      </c>
      <c r="H92" s="29" t="n">
        <v>45668</v>
      </c>
      <c r="I92" s="30" t="n"/>
      <c r="J92" t="inlineStr">
        <is>
          <t>R10.9</t>
        </is>
      </c>
      <c r="K92" t="inlineStr">
        <is>
          <t>Unspecified abdominal pain</t>
        </is>
      </c>
      <c r="L92" t="inlineStr">
        <is>
          <t>Symptoms &amp; Signs</t>
        </is>
      </c>
      <c r="M92" t="inlineStr">
        <is>
          <t>Home/Self-Care</t>
        </is>
      </c>
      <c r="N92" t="inlineStr">
        <is>
          <t>State Medicaid</t>
        </is>
      </c>
      <c r="O92" s="31" t="n">
        <v>1263.89</v>
      </c>
    </row>
    <row r="93">
      <c r="A93" t="inlineStr">
        <is>
          <t>ENC111086</t>
        </is>
      </c>
      <c r="B93" t="inlineStr">
        <is>
          <t>PT13588</t>
        </is>
      </c>
      <c r="C93" t="inlineStr">
        <is>
          <t>Emergency</t>
        </is>
      </c>
      <c r="D93" t="inlineStr">
        <is>
          <t>Bluestone Memorial Hospital</t>
        </is>
      </c>
      <c r="E93" t="inlineStr">
        <is>
          <t>Emergency Department</t>
        </is>
      </c>
      <c r="F93" t="inlineStr">
        <is>
          <t>Emergency</t>
        </is>
      </c>
      <c r="G93" s="29" t="n">
        <v>45668</v>
      </c>
      <c r="H93" s="29" t="n">
        <v>45668</v>
      </c>
      <c r="I93" s="30" t="n"/>
      <c r="J93" t="inlineStr">
        <is>
          <t>I48.91</t>
        </is>
      </c>
      <c r="K93" t="inlineStr">
        <is>
          <t>Unspecified atrial fibrillation</t>
        </is>
      </c>
      <c r="L93" t="inlineStr">
        <is>
          <t>Circulatory</t>
        </is>
      </c>
      <c r="M93" t="inlineStr">
        <is>
          <t>Home/Self-Care</t>
        </is>
      </c>
      <c r="N93" t="inlineStr">
        <is>
          <t>State Medicaid</t>
        </is>
      </c>
      <c r="O93" s="31" t="n">
        <v>3645.75</v>
      </c>
    </row>
    <row r="94">
      <c r="A94" t="inlineStr">
        <is>
          <t>ENC111089</t>
        </is>
      </c>
      <c r="B94" t="inlineStr">
        <is>
          <t>PT11336</t>
        </is>
      </c>
      <c r="C94" t="inlineStr">
        <is>
          <t>Inpatient</t>
        </is>
      </c>
      <c r="D94" t="inlineStr">
        <is>
          <t>Bluestone Memorial Hospital</t>
        </is>
      </c>
      <c r="E94" t="inlineStr">
        <is>
          <t>Orthopedics &amp; Spine</t>
        </is>
      </c>
      <c r="F94" t="inlineStr">
        <is>
          <t>Orthopedics</t>
        </is>
      </c>
      <c r="G94" s="29" t="n">
        <v>45668</v>
      </c>
      <c r="H94" s="29" t="n">
        <v>45673</v>
      </c>
      <c r="I94" s="30" t="n">
        <v>5</v>
      </c>
      <c r="J94" t="inlineStr">
        <is>
          <t>S72.001A</t>
        </is>
      </c>
      <c r="K94" t="inlineStr">
        <is>
          <t>Fracture of unspecified part of neck of right femur, initial encounter</t>
        </is>
      </c>
      <c r="L94" t="inlineStr">
        <is>
          <t>Injury</t>
        </is>
      </c>
      <c r="M94" t="inlineStr">
        <is>
          <t>Inpatient Rehab</t>
        </is>
      </c>
      <c r="N94" t="inlineStr">
        <is>
          <t>Summit Choice PPO</t>
        </is>
      </c>
      <c r="O94" s="31" t="n">
        <v>69733.36</v>
      </c>
      <c r="P94" t="inlineStr">
        <is>
          <t>N</t>
        </is>
      </c>
    </row>
    <row r="95">
      <c r="A95" t="inlineStr">
        <is>
          <t>ENC111093</t>
        </is>
      </c>
      <c r="B95" t="inlineStr">
        <is>
          <t>PT11024</t>
        </is>
      </c>
      <c r="C95" t="inlineStr">
        <is>
          <t>Observation</t>
        </is>
      </c>
      <c r="D95" t="inlineStr">
        <is>
          <t>Bluestone Memorial Hospital</t>
        </is>
      </c>
      <c r="E95" t="inlineStr">
        <is>
          <t>Observation Unit</t>
        </is>
      </c>
      <c r="F95" t="inlineStr">
        <is>
          <t>Medicine</t>
        </is>
      </c>
      <c r="G95" s="29" t="n">
        <v>45668</v>
      </c>
      <c r="H95" s="29" t="n">
        <v>45669</v>
      </c>
      <c r="I95" s="30" t="n">
        <v>1</v>
      </c>
      <c r="J95" t="inlineStr">
        <is>
          <t>N17.9</t>
        </is>
      </c>
      <c r="K95" t="inlineStr">
        <is>
          <t>Acute kidney failure, unspecified</t>
        </is>
      </c>
      <c r="L95" t="inlineStr">
        <is>
          <t>Genitourinary</t>
        </is>
      </c>
      <c r="M95" t="inlineStr">
        <is>
          <t>Home/Self-Care</t>
        </is>
      </c>
      <c r="N95" t="inlineStr">
        <is>
          <t>Evergreen Mutual Insurance</t>
        </is>
      </c>
      <c r="O95" s="31" t="n">
        <v>8579.809999999999</v>
      </c>
    </row>
    <row r="96">
      <c r="A96" t="inlineStr">
        <is>
          <t>ENC111097</t>
        </is>
      </c>
      <c r="B96" t="inlineStr">
        <is>
          <t>PT11704</t>
        </is>
      </c>
      <c r="C96" t="inlineStr">
        <is>
          <t>Inpatient</t>
        </is>
      </c>
      <c r="D96" t="inlineStr">
        <is>
          <t>Bluestone Memorial Hospital</t>
        </is>
      </c>
      <c r="E96" t="inlineStr">
        <is>
          <t>Medical-Surgical 5 East</t>
        </is>
      </c>
      <c r="F96" t="inlineStr">
        <is>
          <t>Medicine</t>
        </is>
      </c>
      <c r="G96" s="29" t="n">
        <v>45668</v>
      </c>
      <c r="H96" s="29" t="n">
        <v>45671</v>
      </c>
      <c r="I96" s="30" t="n">
        <v>3</v>
      </c>
      <c r="J96" t="inlineStr">
        <is>
          <t>J44.1</t>
        </is>
      </c>
      <c r="K96" t="inlineStr">
        <is>
          <t>Chronic obstructive pulmonary disease with (acute) exacerbation</t>
        </is>
      </c>
      <c r="L96" t="inlineStr">
        <is>
          <t>Respiratory</t>
        </is>
      </c>
      <c r="M96" t="inlineStr">
        <is>
          <t>Home/Self-Care</t>
        </is>
      </c>
      <c r="N96" t="inlineStr">
        <is>
          <t>State Medicaid</t>
        </is>
      </c>
      <c r="O96" s="31" t="n">
        <v>9557.26</v>
      </c>
      <c r="P96" t="inlineStr">
        <is>
          <t>N</t>
        </is>
      </c>
    </row>
    <row r="97">
      <c r="A97" t="inlineStr">
        <is>
          <t>ENC111100</t>
        </is>
      </c>
      <c r="B97" t="inlineStr">
        <is>
          <t>PT12648</t>
        </is>
      </c>
      <c r="C97" t="inlineStr">
        <is>
          <t>Emergency</t>
        </is>
      </c>
      <c r="D97" t="inlineStr">
        <is>
          <t>Bluestone Memorial Hospital</t>
        </is>
      </c>
      <c r="E97" t="inlineStr">
        <is>
          <t>Emergency Department</t>
        </is>
      </c>
      <c r="F97" t="inlineStr">
        <is>
          <t>Emergency</t>
        </is>
      </c>
      <c r="G97" s="29" t="n">
        <v>45668</v>
      </c>
      <c r="H97" s="29" t="n">
        <v>45668</v>
      </c>
      <c r="I97" s="30" t="n"/>
      <c r="J97" t="inlineStr">
        <is>
          <t>J18.9</t>
        </is>
      </c>
      <c r="K97" t="inlineStr">
        <is>
          <t>Pneumonia, unspecified organism</t>
        </is>
      </c>
      <c r="L97" t="inlineStr">
        <is>
          <t>Respiratory</t>
        </is>
      </c>
      <c r="M97" t="inlineStr">
        <is>
          <t>Home/Self-Care</t>
        </is>
      </c>
      <c r="N97" t="inlineStr">
        <is>
          <t>Self-Pay</t>
        </is>
      </c>
      <c r="O97" s="31" t="n">
        <v>8054.55</v>
      </c>
    </row>
    <row r="98">
      <c r="A98" t="inlineStr">
        <is>
          <t>ENC111101</t>
        </is>
      </c>
      <c r="B98" t="inlineStr">
        <is>
          <t>PT12264</t>
        </is>
      </c>
      <c r="C98" t="inlineStr">
        <is>
          <t>Inpatient</t>
        </is>
      </c>
      <c r="D98" t="inlineStr">
        <is>
          <t>Cedar Ridge Medical Center</t>
        </is>
      </c>
      <c r="E98" t="inlineStr">
        <is>
          <t>Medical-Surgical</t>
        </is>
      </c>
      <c r="F98" t="inlineStr">
        <is>
          <t>Medicine</t>
        </is>
      </c>
      <c r="G98" s="29" t="n">
        <v>45668</v>
      </c>
      <c r="H98" s="29" t="n">
        <v>45671</v>
      </c>
      <c r="I98" s="30" t="n">
        <v>3</v>
      </c>
      <c r="J98" t="inlineStr">
        <is>
          <t>E87.1</t>
        </is>
      </c>
      <c r="K98" t="inlineStr">
        <is>
          <t>Hypo-osmolality and hyponatremia</t>
        </is>
      </c>
      <c r="L98" t="inlineStr">
        <is>
          <t>Endocrine</t>
        </is>
      </c>
      <c r="M98" t="inlineStr">
        <is>
          <t>Home/Self-Care</t>
        </is>
      </c>
      <c r="N98" t="inlineStr">
        <is>
          <t>Medicare</t>
        </is>
      </c>
      <c r="O98" s="31" t="n">
        <v>16418.17</v>
      </c>
      <c r="P98" t="inlineStr">
        <is>
          <t>N</t>
        </is>
      </c>
    </row>
    <row r="99">
      <c r="A99" t="inlineStr">
        <is>
          <t>ENC111104</t>
        </is>
      </c>
      <c r="B99" t="inlineStr">
        <is>
          <t>PT12676</t>
        </is>
      </c>
      <c r="C99" t="inlineStr">
        <is>
          <t>Inpatient</t>
        </is>
      </c>
      <c r="D99" t="inlineStr">
        <is>
          <t>Bluestone Memorial Hospital</t>
        </is>
      </c>
      <c r="E99" t="inlineStr">
        <is>
          <t>Cardiac Step-Down</t>
        </is>
      </c>
      <c r="F99" t="inlineStr">
        <is>
          <t>Cardiovascular</t>
        </is>
      </c>
      <c r="G99" s="29" t="n">
        <v>45668</v>
      </c>
      <c r="H99" s="29" t="n">
        <v>45674</v>
      </c>
      <c r="I99" s="30" t="n">
        <v>6</v>
      </c>
      <c r="J99" t="inlineStr">
        <is>
          <t>I21.4</t>
        </is>
      </c>
      <c r="K99" t="inlineStr">
        <is>
          <t>Non-ST elevation (NSTEMI) myocardial infarction</t>
        </is>
      </c>
      <c r="L99" t="inlineStr">
        <is>
          <t>Circulatory</t>
        </is>
      </c>
      <c r="M99" t="inlineStr">
        <is>
          <t>Home/Self-Care</t>
        </is>
      </c>
      <c r="N99" t="inlineStr">
        <is>
          <t>Medicare</t>
        </is>
      </c>
      <c r="O99" s="31" t="n">
        <v>110148.87</v>
      </c>
      <c r="P99" t="inlineStr">
        <is>
          <t>N</t>
        </is>
      </c>
    </row>
    <row r="100">
      <c r="A100" t="inlineStr">
        <is>
          <t>ENC111113</t>
        </is>
      </c>
      <c r="B100" t="inlineStr">
        <is>
          <t>PT10076</t>
        </is>
      </c>
      <c r="C100" t="inlineStr">
        <is>
          <t>Emergency</t>
        </is>
      </c>
      <c r="D100" t="inlineStr">
        <is>
          <t>Cedar Ridge Medical Center</t>
        </is>
      </c>
      <c r="E100" t="inlineStr">
        <is>
          <t>Emergency Department</t>
        </is>
      </c>
      <c r="F100" t="inlineStr">
        <is>
          <t>Emergency</t>
        </is>
      </c>
      <c r="G100" s="29" t="n">
        <v>45669</v>
      </c>
      <c r="H100" s="29" t="n">
        <v>45669</v>
      </c>
      <c r="I100" s="30" t="n"/>
      <c r="J100" t="inlineStr">
        <is>
          <t>F41.9</t>
        </is>
      </c>
      <c r="K100" t="inlineStr">
        <is>
          <t>Anxiety disorder, unspecified</t>
        </is>
      </c>
      <c r="L100" t="inlineStr">
        <is>
          <t>Mental &amp; Behavioral</t>
        </is>
      </c>
      <c r="M100" t="inlineStr">
        <is>
          <t>Home/Self-Care</t>
        </is>
      </c>
      <c r="N100" t="inlineStr">
        <is>
          <t>Silverline Medicare Advantage</t>
        </is>
      </c>
      <c r="O100" s="31" t="n">
        <v>2095.02</v>
      </c>
    </row>
    <row r="101">
      <c r="A101" t="inlineStr">
        <is>
          <t>ENC111116</t>
        </is>
      </c>
      <c r="B101" t="inlineStr">
        <is>
          <t>PT12240</t>
        </is>
      </c>
      <c r="C101" t="inlineStr">
        <is>
          <t>Emergency</t>
        </is>
      </c>
      <c r="D101" t="inlineStr">
        <is>
          <t>Bluestone Memorial Hospital</t>
        </is>
      </c>
      <c r="E101" t="inlineStr">
        <is>
          <t>Emergency Department</t>
        </is>
      </c>
      <c r="F101" t="inlineStr">
        <is>
          <t>Emergency</t>
        </is>
      </c>
      <c r="G101" s="29" t="n">
        <v>45669</v>
      </c>
      <c r="H101" s="29" t="n">
        <v>45669</v>
      </c>
      <c r="I101" s="30" t="n"/>
      <c r="J101" t="inlineStr">
        <is>
          <t>F32.9</t>
        </is>
      </c>
      <c r="K101" t="inlineStr">
        <is>
          <t>Major depressive disorder, single episode, unspecified</t>
        </is>
      </c>
      <c r="L101" t="inlineStr">
        <is>
          <t>Mental &amp; Behavioral</t>
        </is>
      </c>
      <c r="M101" t="inlineStr">
        <is>
          <t>Home/Self-Care</t>
        </is>
      </c>
      <c r="N101" t="inlineStr">
        <is>
          <t>Evergreen Mutual Insurance</t>
        </is>
      </c>
      <c r="O101" s="31" t="n">
        <v>2996.74</v>
      </c>
    </row>
    <row r="102">
      <c r="A102" t="inlineStr">
        <is>
          <t>ENC111119</t>
        </is>
      </c>
      <c r="B102" t="inlineStr">
        <is>
          <t>PT11696</t>
        </is>
      </c>
      <c r="C102" t="inlineStr">
        <is>
          <t>Emergency</t>
        </is>
      </c>
      <c r="D102" t="inlineStr">
        <is>
          <t>Bluestone Memorial Hospital</t>
        </is>
      </c>
      <c r="E102" t="inlineStr">
        <is>
          <t>Emergency Department</t>
        </is>
      </c>
      <c r="F102" t="inlineStr">
        <is>
          <t>Emergency</t>
        </is>
      </c>
      <c r="G102" s="29" t="n">
        <v>45669</v>
      </c>
      <c r="H102" s="29" t="n">
        <v>45669</v>
      </c>
      <c r="I102" s="30" t="n"/>
      <c r="J102" t="inlineStr">
        <is>
          <t>J06.9</t>
        </is>
      </c>
      <c r="K102" t="inlineStr">
        <is>
          <t>Acute upper respiratory infection, unspecified</t>
        </is>
      </c>
      <c r="L102" t="inlineStr">
        <is>
          <t>Respiratory</t>
        </is>
      </c>
      <c r="M102" t="inlineStr">
        <is>
          <t>Home/Self-Care</t>
        </is>
      </c>
      <c r="N102" t="inlineStr">
        <is>
          <t>Medicare</t>
        </is>
      </c>
      <c r="O102" s="31" t="n">
        <v>1231.89</v>
      </c>
    </row>
    <row r="103">
      <c r="A103" t="inlineStr">
        <is>
          <t>ENC111120</t>
        </is>
      </c>
      <c r="B103" t="inlineStr">
        <is>
          <t>PT10900</t>
        </is>
      </c>
      <c r="C103" t="inlineStr">
        <is>
          <t>Inpatient</t>
        </is>
      </c>
      <c r="D103" t="inlineStr">
        <is>
          <t>Ashby Falls Community Hospital</t>
        </is>
      </c>
      <c r="E103" t="inlineStr">
        <is>
          <t>Medical-Surgical</t>
        </is>
      </c>
      <c r="F103" t="inlineStr">
        <is>
          <t>Medicine</t>
        </is>
      </c>
      <c r="G103" s="29" t="n">
        <v>45669</v>
      </c>
      <c r="H103" s="29" t="n">
        <v>45673</v>
      </c>
      <c r="I103" s="30" t="n">
        <v>4</v>
      </c>
      <c r="J103" t="inlineStr">
        <is>
          <t>N39.0</t>
        </is>
      </c>
      <c r="K103" t="inlineStr">
        <is>
          <t>Urinary tract infection, site not specified</t>
        </is>
      </c>
      <c r="L103" t="inlineStr">
        <is>
          <t>Genitourinary</t>
        </is>
      </c>
      <c r="M103" t="inlineStr">
        <is>
          <t>Home/Self-Care</t>
        </is>
      </c>
      <c r="N103" t="inlineStr">
        <is>
          <t>Silverline Medicare Advantage</t>
        </is>
      </c>
      <c r="O103" s="31" t="n">
        <v>15523.02</v>
      </c>
      <c r="P103" t="inlineStr">
        <is>
          <t>N</t>
        </is>
      </c>
    </row>
    <row r="104">
      <c r="A104" t="inlineStr">
        <is>
          <t>ENC111123</t>
        </is>
      </c>
      <c r="B104" t="inlineStr">
        <is>
          <t>PT12436</t>
        </is>
      </c>
      <c r="C104" t="inlineStr">
        <is>
          <t>Emergency</t>
        </is>
      </c>
      <c r="D104" t="inlineStr">
        <is>
          <t>Bluestone Memorial Hospital</t>
        </is>
      </c>
      <c r="E104" t="inlineStr">
        <is>
          <t>Emergency Department</t>
        </is>
      </c>
      <c r="F104" t="inlineStr">
        <is>
          <t>Emergency</t>
        </is>
      </c>
      <c r="G104" s="29" t="n">
        <v>45669</v>
      </c>
      <c r="H104" s="29" t="n">
        <v>45669</v>
      </c>
      <c r="I104" s="30" t="n"/>
      <c r="J104" t="inlineStr">
        <is>
          <t>J44.1</t>
        </is>
      </c>
      <c r="K104" t="inlineStr">
        <is>
          <t>Chronic obstructive pulmonary disease with (acute) exacerbation</t>
        </is>
      </c>
      <c r="L104" t="inlineStr">
        <is>
          <t>Respiratory</t>
        </is>
      </c>
      <c r="M104" t="inlineStr">
        <is>
          <t>Home/Self-Care</t>
        </is>
      </c>
      <c r="N104" t="inlineStr">
        <is>
          <t>Medicare</t>
        </is>
      </c>
      <c r="O104" s="31" t="n">
        <v>2372.95</v>
      </c>
    </row>
    <row r="105">
      <c r="A105" t="inlineStr">
        <is>
          <t>ENC111128</t>
        </is>
      </c>
      <c r="B105" t="inlineStr">
        <is>
          <t>PT10928</t>
        </is>
      </c>
      <c r="C105" t="inlineStr">
        <is>
          <t>Emergency</t>
        </is>
      </c>
      <c r="D105" t="inlineStr">
        <is>
          <t>Bluestone Memorial Hospital</t>
        </is>
      </c>
      <c r="E105" t="inlineStr">
        <is>
          <t>Emergency Department</t>
        </is>
      </c>
      <c r="F105" t="inlineStr">
        <is>
          <t>Emergency</t>
        </is>
      </c>
      <c r="G105" s="29" t="n">
        <v>45669</v>
      </c>
      <c r="H105" s="29" t="n">
        <v>45669</v>
      </c>
      <c r="I105" s="30" t="n"/>
      <c r="J105" t="inlineStr">
        <is>
          <t>S93.401A</t>
        </is>
      </c>
      <c r="K105" t="inlineStr">
        <is>
          <t>Sprain of unspecified ligament of right ankle, initial encounter</t>
        </is>
      </c>
      <c r="L105" t="inlineStr">
        <is>
          <t>Injury</t>
        </is>
      </c>
      <c r="M105" t="inlineStr">
        <is>
          <t>Home/Self-Care</t>
        </is>
      </c>
      <c r="N105" t="inlineStr">
        <is>
          <t>Keystone Health Partners</t>
        </is>
      </c>
      <c r="O105" s="31" t="n">
        <v>1812.3</v>
      </c>
    </row>
    <row r="106">
      <c r="A106" t="inlineStr">
        <is>
          <t>ENC111148</t>
        </is>
      </c>
      <c r="B106" t="inlineStr">
        <is>
          <t>PT12176</t>
        </is>
      </c>
      <c r="C106" t="inlineStr">
        <is>
          <t>Emergency</t>
        </is>
      </c>
      <c r="D106" t="inlineStr">
        <is>
          <t>Bluestone Memorial Hospital</t>
        </is>
      </c>
      <c r="E106" t="inlineStr">
        <is>
          <t>Emergency Department</t>
        </is>
      </c>
      <c r="F106" t="inlineStr">
        <is>
          <t>Emergency</t>
        </is>
      </c>
      <c r="G106" s="29" t="n">
        <v>45670</v>
      </c>
      <c r="H106" s="29" t="n">
        <v>45670</v>
      </c>
      <c r="I106" s="30" t="n"/>
      <c r="J106" t="inlineStr">
        <is>
          <t>J06.9</t>
        </is>
      </c>
      <c r="K106" t="inlineStr">
        <is>
          <t>Acute upper respiratory infection, unspecified</t>
        </is>
      </c>
      <c r="L106" t="inlineStr">
        <is>
          <t>Respiratory</t>
        </is>
      </c>
      <c r="M106" t="inlineStr">
        <is>
          <t>Home/Self-Care</t>
        </is>
      </c>
      <c r="N106" t="inlineStr">
        <is>
          <t>Silverline Medicare Advantage</t>
        </is>
      </c>
      <c r="O106" s="31" t="n">
        <v>1731.22</v>
      </c>
    </row>
    <row r="107">
      <c r="A107" t="inlineStr">
        <is>
          <t>ENC111152</t>
        </is>
      </c>
      <c r="B107" t="inlineStr">
        <is>
          <t>PT12192</t>
        </is>
      </c>
      <c r="C107" t="inlineStr">
        <is>
          <t>Inpatient</t>
        </is>
      </c>
      <c r="D107" t="inlineStr">
        <is>
          <t>Bluestone Memorial Hospital</t>
        </is>
      </c>
      <c r="E107" t="inlineStr">
        <is>
          <t>Medical-Surgical 4 West</t>
        </is>
      </c>
      <c r="F107" t="inlineStr">
        <is>
          <t>Medicine</t>
        </is>
      </c>
      <c r="G107" s="29" t="n">
        <v>45670</v>
      </c>
      <c r="H107" s="29" t="n">
        <v>45672</v>
      </c>
      <c r="I107" s="30" t="n">
        <v>2</v>
      </c>
      <c r="J107" t="inlineStr">
        <is>
          <t>J44.1</t>
        </is>
      </c>
      <c r="K107" t="inlineStr">
        <is>
          <t>Chronic obstructive pulmonary disease with (acute) exacerbation</t>
        </is>
      </c>
      <c r="L107" t="inlineStr">
        <is>
          <t>Respiratory</t>
        </is>
      </c>
      <c r="M107" t="inlineStr">
        <is>
          <t>Home/Self-Care</t>
        </is>
      </c>
      <c r="N107" t="inlineStr">
        <is>
          <t>Evergreen Mutual Insurance</t>
        </is>
      </c>
      <c r="O107" s="31" t="n">
        <v>11711.1</v>
      </c>
      <c r="P107" t="inlineStr">
        <is>
          <t>Y</t>
        </is>
      </c>
    </row>
    <row r="108">
      <c r="A108" t="inlineStr">
        <is>
          <t>ENC111155</t>
        </is>
      </c>
      <c r="B108" t="inlineStr">
        <is>
          <t>PT13420</t>
        </is>
      </c>
      <c r="C108" t="inlineStr">
        <is>
          <t>Emergency</t>
        </is>
      </c>
      <c r="D108" t="inlineStr">
        <is>
          <t>Bluestone Memorial Hospital</t>
        </is>
      </c>
      <c r="E108" t="inlineStr">
        <is>
          <t>Emergency Department</t>
        </is>
      </c>
      <c r="F108" t="inlineStr">
        <is>
          <t>Emergency</t>
        </is>
      </c>
      <c r="G108" s="29" t="n">
        <v>45670</v>
      </c>
      <c r="H108" s="29" t="n">
        <v>45670</v>
      </c>
      <c r="I108" s="30" t="n"/>
      <c r="J108" t="inlineStr">
        <is>
          <t>J06.9</t>
        </is>
      </c>
      <c r="K108" t="inlineStr">
        <is>
          <t>Acute upper respiratory infection, unspecified</t>
        </is>
      </c>
      <c r="L108" t="inlineStr">
        <is>
          <t>Respiratory</t>
        </is>
      </c>
      <c r="M108" t="inlineStr">
        <is>
          <t>Home/Self-Care</t>
        </is>
      </c>
      <c r="N108" t="inlineStr">
        <is>
          <t>Keystone Health Partners</t>
        </is>
      </c>
      <c r="O108" s="31" t="n">
        <v>821.73</v>
      </c>
    </row>
    <row r="109">
      <c r="A109" t="inlineStr">
        <is>
          <t>ENC111157</t>
        </is>
      </c>
      <c r="B109" t="inlineStr">
        <is>
          <t>PT10332</t>
        </is>
      </c>
      <c r="C109" t="inlineStr">
        <is>
          <t>Outpatient</t>
        </is>
      </c>
      <c r="D109" t="inlineStr">
        <is>
          <t>Bluestone Outpatient Pavilion</t>
        </is>
      </c>
      <c r="E109" t="inlineStr">
        <is>
          <t>Endocrinology &amp; Diabetes Clinic</t>
        </is>
      </c>
      <c r="F109" t="inlineStr">
        <is>
          <t>Ambulatory</t>
        </is>
      </c>
      <c r="G109" s="29" t="n">
        <v>45670</v>
      </c>
      <c r="H109" s="29" t="n">
        <v>45670</v>
      </c>
      <c r="I109" s="30" t="n"/>
      <c r="J109" t="inlineStr">
        <is>
          <t>E11.65</t>
        </is>
      </c>
      <c r="K109" t="inlineStr">
        <is>
          <t>Type 2 diabetes mellitus with hyperglycemia</t>
        </is>
      </c>
      <c r="L109" t="inlineStr">
        <is>
          <t>Endocrine</t>
        </is>
      </c>
      <c r="M109" t="inlineStr">
        <is>
          <t>Home/Self-Care</t>
        </is>
      </c>
      <c r="N109" t="inlineStr">
        <is>
          <t>Medicare</t>
        </is>
      </c>
      <c r="O109" s="31" t="n">
        <v>445.96</v>
      </c>
    </row>
    <row r="110">
      <c r="A110" t="inlineStr">
        <is>
          <t>ENC111158</t>
        </is>
      </c>
      <c r="B110" t="inlineStr">
        <is>
          <t>PT10968</t>
        </is>
      </c>
      <c r="C110" t="inlineStr">
        <is>
          <t>Outpatient</t>
        </is>
      </c>
      <c r="D110" t="inlineStr">
        <is>
          <t>Bluestone Outpatient Pavilion</t>
        </is>
      </c>
      <c r="E110" t="inlineStr">
        <is>
          <t>Primary Care Clinic</t>
        </is>
      </c>
      <c r="F110" t="inlineStr">
        <is>
          <t>Ambulatory</t>
        </is>
      </c>
      <c r="G110" s="29" t="n">
        <v>45670</v>
      </c>
      <c r="H110" s="29" t="n">
        <v>45670</v>
      </c>
      <c r="I110" s="30" t="n"/>
      <c r="J110" t="inlineStr">
        <is>
          <t>J06.9</t>
        </is>
      </c>
      <c r="K110" t="inlineStr">
        <is>
          <t>Acute upper respiratory infection, unspecified</t>
        </is>
      </c>
      <c r="L110" t="inlineStr">
        <is>
          <t>Respiratory</t>
        </is>
      </c>
      <c r="M110" t="inlineStr">
        <is>
          <t>Home/Self-Care</t>
        </is>
      </c>
      <c r="N110" t="inlineStr">
        <is>
          <t>Medicare</t>
        </is>
      </c>
      <c r="O110" s="31" t="n">
        <v>327.94</v>
      </c>
    </row>
    <row r="111">
      <c r="A111" t="inlineStr">
        <is>
          <t>ENC111159</t>
        </is>
      </c>
      <c r="B111" t="inlineStr">
        <is>
          <t>PT10592</t>
        </is>
      </c>
      <c r="C111" t="inlineStr">
        <is>
          <t>Inpatient</t>
        </is>
      </c>
      <c r="D111" t="inlineStr">
        <is>
          <t>Bluestone Memorial Hospital</t>
        </is>
      </c>
      <c r="E111" t="inlineStr">
        <is>
          <t>Medical-Surgical 4 West</t>
        </is>
      </c>
      <c r="F111" t="inlineStr">
        <is>
          <t>Medicine</t>
        </is>
      </c>
      <c r="G111" s="29" t="n">
        <v>45670</v>
      </c>
      <c r="H111" s="29" t="n">
        <v>45672</v>
      </c>
      <c r="I111" s="30" t="n">
        <v>2</v>
      </c>
      <c r="J111" t="inlineStr">
        <is>
          <t>L03.115</t>
        </is>
      </c>
      <c r="K111" t="inlineStr">
        <is>
          <t>Cellulitis of right lower limb</t>
        </is>
      </c>
      <c r="L111" t="inlineStr">
        <is>
          <t>Skin</t>
        </is>
      </c>
      <c r="M111" t="inlineStr">
        <is>
          <t>Home/Self-Care</t>
        </is>
      </c>
      <c r="N111" t="inlineStr">
        <is>
          <t>Silverline Medicare Advantage</t>
        </is>
      </c>
      <c r="O111" s="31" t="n">
        <v>9226.18</v>
      </c>
      <c r="P111" t="inlineStr">
        <is>
          <t>Y</t>
        </is>
      </c>
    </row>
    <row r="112">
      <c r="A112" t="inlineStr">
        <is>
          <t>ENC111160</t>
        </is>
      </c>
      <c r="B112" t="inlineStr">
        <is>
          <t>PT10604</t>
        </is>
      </c>
      <c r="C112" t="inlineStr">
        <is>
          <t>Inpatient</t>
        </is>
      </c>
      <c r="D112" t="inlineStr">
        <is>
          <t>Bluestone Memorial Hospital</t>
        </is>
      </c>
      <c r="E112" t="inlineStr">
        <is>
          <t>Intensive Care Unit</t>
        </is>
      </c>
      <c r="F112" t="inlineStr">
        <is>
          <t>Critical Care</t>
        </is>
      </c>
      <c r="G112" s="29" t="n">
        <v>45670</v>
      </c>
      <c r="H112" s="29" t="n">
        <v>45674</v>
      </c>
      <c r="I112" s="30" t="n">
        <v>4</v>
      </c>
      <c r="J112" t="inlineStr">
        <is>
          <t>K92.2</t>
        </is>
      </c>
      <c r="K112" t="inlineStr">
        <is>
          <t>Gastrointestinal hemorrhage, unspecified</t>
        </is>
      </c>
      <c r="L112" t="inlineStr">
        <is>
          <t>Digestive</t>
        </is>
      </c>
      <c r="M112" t="inlineStr">
        <is>
          <t>Home/Self-Care</t>
        </is>
      </c>
      <c r="N112" t="inlineStr">
        <is>
          <t>Keystone Health Partners</t>
        </is>
      </c>
      <c r="O112" s="31" t="n">
        <v>46111.93</v>
      </c>
      <c r="P112" t="inlineStr">
        <is>
          <t>N</t>
        </is>
      </c>
    </row>
    <row r="113">
      <c r="A113" t="inlineStr">
        <is>
          <t>ENC111163</t>
        </is>
      </c>
      <c r="B113" t="inlineStr">
        <is>
          <t>PT11544</t>
        </is>
      </c>
      <c r="C113" t="inlineStr">
        <is>
          <t>Outpatient</t>
        </is>
      </c>
      <c r="D113" t="inlineStr">
        <is>
          <t>Bluestone Outpatient Pavilion</t>
        </is>
      </c>
      <c r="E113" t="inlineStr">
        <is>
          <t>Pediatric Clinic</t>
        </is>
      </c>
      <c r="F113" t="inlineStr">
        <is>
          <t>Women &amp; Children</t>
        </is>
      </c>
      <c r="G113" s="29" t="n">
        <v>45670</v>
      </c>
      <c r="H113" s="29" t="n">
        <v>45670</v>
      </c>
      <c r="I113" s="30" t="n"/>
      <c r="J113" t="inlineStr">
        <is>
          <t>Z23</t>
        </is>
      </c>
      <c r="K113" t="inlineStr">
        <is>
          <t>Encounter for immunization</t>
        </is>
      </c>
      <c r="L113" t="inlineStr">
        <is>
          <t>Factors Influencing Health</t>
        </is>
      </c>
      <c r="M113" t="inlineStr">
        <is>
          <t>Home/Self-Care</t>
        </is>
      </c>
      <c r="N113" t="inlineStr">
        <is>
          <t>Evergreen Mutual Insurance</t>
        </is>
      </c>
      <c r="O113" s="31" t="n">
        <v>123.17</v>
      </c>
    </row>
    <row r="114">
      <c r="A114" t="inlineStr">
        <is>
          <t>ENC111167</t>
        </is>
      </c>
      <c r="B114" t="inlineStr">
        <is>
          <t>PT11016</t>
        </is>
      </c>
      <c r="C114" t="inlineStr">
        <is>
          <t>Outpatient</t>
        </is>
      </c>
      <c r="D114" t="inlineStr">
        <is>
          <t>Bluestone Outpatient Pavilion</t>
        </is>
      </c>
      <c r="E114" t="inlineStr">
        <is>
          <t>Primary Care Clinic</t>
        </is>
      </c>
      <c r="F114" t="inlineStr">
        <is>
          <t>Ambulatory</t>
        </is>
      </c>
      <c r="G114" s="29" t="n">
        <v>45670</v>
      </c>
      <c r="H114" s="29" t="n">
        <v>45670</v>
      </c>
      <c r="I114" s="30" t="n"/>
      <c r="J114" t="inlineStr">
        <is>
          <t>J06.9</t>
        </is>
      </c>
      <c r="K114" t="inlineStr">
        <is>
          <t>Acute upper respiratory infection, unspecified</t>
        </is>
      </c>
      <c r="L114" t="inlineStr">
        <is>
          <t>Respiratory</t>
        </is>
      </c>
      <c r="M114" t="inlineStr">
        <is>
          <t>Home/Self-Care</t>
        </is>
      </c>
      <c r="N114" t="inlineStr">
        <is>
          <t>Keystone Health Partners</t>
        </is>
      </c>
      <c r="O114" s="31" t="n">
        <v>227.62</v>
      </c>
    </row>
    <row r="115">
      <c r="A115" t="inlineStr">
        <is>
          <t>ENC111169</t>
        </is>
      </c>
      <c r="B115" t="inlineStr">
        <is>
          <t>PT10728</t>
        </is>
      </c>
      <c r="C115" t="inlineStr">
        <is>
          <t>Inpatient</t>
        </is>
      </c>
      <c r="D115" t="inlineStr">
        <is>
          <t>Bluestone Memorial Hospital</t>
        </is>
      </c>
      <c r="E115" t="inlineStr">
        <is>
          <t>Medical-Surgical 4 West</t>
        </is>
      </c>
      <c r="F115" t="inlineStr">
        <is>
          <t>Medicine</t>
        </is>
      </c>
      <c r="G115" s="29" t="n">
        <v>45670</v>
      </c>
      <c r="H115" s="29" t="n">
        <v>45677</v>
      </c>
      <c r="I115" s="30" t="n">
        <v>7</v>
      </c>
      <c r="J115" t="inlineStr">
        <is>
          <t>J18.9</t>
        </is>
      </c>
      <c r="K115" t="inlineStr">
        <is>
          <t>Pneumonia, unspecified organism</t>
        </is>
      </c>
      <c r="L115" t="inlineStr">
        <is>
          <t>Respiratory</t>
        </is>
      </c>
      <c r="M115" t="inlineStr">
        <is>
          <t>Home/Self-Care</t>
        </is>
      </c>
      <c r="N115" t="inlineStr">
        <is>
          <t>Keystone Health Partners</t>
        </is>
      </c>
      <c r="O115" s="31" t="n">
        <v>36790.28</v>
      </c>
      <c r="P115" t="inlineStr">
        <is>
          <t>N</t>
        </is>
      </c>
    </row>
    <row r="116">
      <c r="A116" t="inlineStr">
        <is>
          <t>ENC111171</t>
        </is>
      </c>
      <c r="B116" t="inlineStr">
        <is>
          <t>PT12484</t>
        </is>
      </c>
      <c r="C116" t="inlineStr">
        <is>
          <t>Inpatient</t>
        </is>
      </c>
      <c r="D116" t="inlineStr">
        <is>
          <t>Cedar Ridge Medical Center</t>
        </is>
      </c>
      <c r="E116" t="inlineStr">
        <is>
          <t>Cardiac Step-Down</t>
        </is>
      </c>
      <c r="F116" t="inlineStr">
        <is>
          <t>Cardiovascular</t>
        </is>
      </c>
      <c r="G116" s="29" t="n">
        <v>45670</v>
      </c>
      <c r="H116" s="29" t="n">
        <v>45672</v>
      </c>
      <c r="I116" s="30" t="n">
        <v>2</v>
      </c>
      <c r="J116" t="inlineStr">
        <is>
          <t>I50.9</t>
        </is>
      </c>
      <c r="K116" t="inlineStr">
        <is>
          <t>Heart failure, unspecified</t>
        </is>
      </c>
      <c r="L116" t="inlineStr">
        <is>
          <t>Circulatory</t>
        </is>
      </c>
      <c r="M116" t="inlineStr">
        <is>
          <t>Home Health</t>
        </is>
      </c>
      <c r="N116" t="inlineStr">
        <is>
          <t>Medicare</t>
        </is>
      </c>
      <c r="O116" s="31" t="n">
        <v>15267.59</v>
      </c>
      <c r="P116" t="inlineStr">
        <is>
          <t>Y</t>
        </is>
      </c>
    </row>
    <row r="117">
      <c r="A117" t="inlineStr">
        <is>
          <t>ENC111175</t>
        </is>
      </c>
      <c r="B117" t="inlineStr">
        <is>
          <t>PT12316</t>
        </is>
      </c>
      <c r="C117" t="inlineStr">
        <is>
          <t>Outpatient</t>
        </is>
      </c>
      <c r="D117" t="inlineStr">
        <is>
          <t>Bluestone Outpatient Pavilion</t>
        </is>
      </c>
      <c r="E117" t="inlineStr">
        <is>
          <t>Primary Care Clinic</t>
        </is>
      </c>
      <c r="F117" t="inlineStr">
        <is>
          <t>Ambulatory</t>
        </is>
      </c>
      <c r="G117" s="29" t="n">
        <v>45670</v>
      </c>
      <c r="H117" s="29" t="n">
        <v>45670</v>
      </c>
      <c r="I117" s="30" t="n"/>
      <c r="J117" t="inlineStr">
        <is>
          <t>Z23</t>
        </is>
      </c>
      <c r="K117" t="inlineStr">
        <is>
          <t>Encounter for immunization</t>
        </is>
      </c>
      <c r="L117" t="inlineStr">
        <is>
          <t>Factors Influencing Health</t>
        </is>
      </c>
      <c r="M117" t="inlineStr">
        <is>
          <t>Home/Self-Care</t>
        </is>
      </c>
      <c r="N117" t="inlineStr">
        <is>
          <t>Silverline Medicare Advantage</t>
        </is>
      </c>
      <c r="O117" s="31" t="n">
        <v>125.99</v>
      </c>
    </row>
    <row r="118">
      <c r="A118" t="inlineStr">
        <is>
          <t>ENC111178</t>
        </is>
      </c>
      <c r="B118" t="inlineStr">
        <is>
          <t>PT10752</t>
        </is>
      </c>
      <c r="C118" t="inlineStr">
        <is>
          <t>Emergency</t>
        </is>
      </c>
      <c r="D118" t="inlineStr">
        <is>
          <t>Ashby Falls Community Hospital</t>
        </is>
      </c>
      <c r="E118" t="inlineStr">
        <is>
          <t>Emergency Department</t>
        </is>
      </c>
      <c r="F118" t="inlineStr">
        <is>
          <t>Emergency</t>
        </is>
      </c>
      <c r="G118" s="29" t="n">
        <v>45670</v>
      </c>
      <c r="H118" s="29" t="n">
        <v>45670</v>
      </c>
      <c r="I118" s="30" t="n"/>
      <c r="J118" t="inlineStr">
        <is>
          <t>J06.9</t>
        </is>
      </c>
      <c r="K118" t="inlineStr">
        <is>
          <t>Acute upper respiratory infection, unspecified</t>
        </is>
      </c>
      <c r="L118" t="inlineStr">
        <is>
          <t>Respiratory</t>
        </is>
      </c>
      <c r="M118" t="inlineStr">
        <is>
          <t>Home/Self-Care</t>
        </is>
      </c>
      <c r="N118" t="inlineStr">
        <is>
          <t>State Medicaid</t>
        </is>
      </c>
      <c r="O118" s="31" t="n">
        <v>1948.54</v>
      </c>
    </row>
    <row r="119">
      <c r="A119" t="inlineStr">
        <is>
          <t>ENC111185</t>
        </is>
      </c>
      <c r="B119" t="inlineStr">
        <is>
          <t>PT10644</t>
        </is>
      </c>
      <c r="C119" t="inlineStr">
        <is>
          <t>Inpatient</t>
        </is>
      </c>
      <c r="D119" t="inlineStr">
        <is>
          <t>Cedar Ridge Medical Center</t>
        </is>
      </c>
      <c r="E119" t="inlineStr">
        <is>
          <t>Cardiac Step-Down</t>
        </is>
      </c>
      <c r="F119" t="inlineStr">
        <is>
          <t>Cardiovascular</t>
        </is>
      </c>
      <c r="G119" s="29" t="n">
        <v>45670</v>
      </c>
      <c r="H119" s="29" t="n">
        <v>45675</v>
      </c>
      <c r="I119" s="30" t="n">
        <v>5</v>
      </c>
      <c r="J119" t="inlineStr">
        <is>
          <t>I50.9</t>
        </is>
      </c>
      <c r="K119" t="inlineStr">
        <is>
          <t>Heart failure, unspecified</t>
        </is>
      </c>
      <c r="L119" t="inlineStr">
        <is>
          <t>Circulatory</t>
        </is>
      </c>
      <c r="M119" t="inlineStr">
        <is>
          <t>Skilled Nursing Facility</t>
        </is>
      </c>
      <c r="N119" t="inlineStr">
        <is>
          <t>Medicare</t>
        </is>
      </c>
      <c r="O119" s="31" t="n">
        <v>19932.18</v>
      </c>
      <c r="P119" t="inlineStr">
        <is>
          <t>Y</t>
        </is>
      </c>
    </row>
    <row r="120">
      <c r="A120" t="inlineStr">
        <is>
          <t>ENC111190</t>
        </is>
      </c>
      <c r="B120" t="inlineStr">
        <is>
          <t>PT12420</t>
        </is>
      </c>
      <c r="C120" t="inlineStr">
        <is>
          <t>Inpatient</t>
        </is>
      </c>
      <c r="D120" t="inlineStr">
        <is>
          <t>Cedar Ridge Medical Center</t>
        </is>
      </c>
      <c r="E120" t="inlineStr">
        <is>
          <t>Orthopedics</t>
        </is>
      </c>
      <c r="F120" t="inlineStr">
        <is>
          <t>Orthopedics</t>
        </is>
      </c>
      <c r="G120" s="29" t="n">
        <v>45671</v>
      </c>
      <c r="H120" s="29" t="n">
        <v>45672</v>
      </c>
      <c r="I120" s="30" t="n">
        <v>1</v>
      </c>
      <c r="J120" t="inlineStr">
        <is>
          <t>M17.11</t>
        </is>
      </c>
      <c r="K120" t="inlineStr">
        <is>
          <t>Unilateral primary osteoarthritis, right knee</t>
        </is>
      </c>
      <c r="L120" t="inlineStr">
        <is>
          <t>Musculoskeletal</t>
        </is>
      </c>
      <c r="M120" t="inlineStr">
        <is>
          <t>Home/Self-Care</t>
        </is>
      </c>
      <c r="N120" t="inlineStr">
        <is>
          <t>Evergreen Mutual Insurance</t>
        </is>
      </c>
      <c r="O120" s="31" t="n">
        <v>40948.84</v>
      </c>
      <c r="P120" t="inlineStr">
        <is>
          <t>N</t>
        </is>
      </c>
    </row>
    <row r="121">
      <c r="A121" t="inlineStr">
        <is>
          <t>ENC111199</t>
        </is>
      </c>
      <c r="B121" t="inlineStr">
        <is>
          <t>PT12372</t>
        </is>
      </c>
      <c r="C121" t="inlineStr">
        <is>
          <t>Outpatient</t>
        </is>
      </c>
      <c r="D121" t="inlineStr">
        <is>
          <t>Bluestone Outpatient Pavilion</t>
        </is>
      </c>
      <c r="E121" t="inlineStr">
        <is>
          <t>Primary Care Clinic</t>
        </is>
      </c>
      <c r="F121" t="inlineStr">
        <is>
          <t>Ambulatory</t>
        </is>
      </c>
      <c r="G121" s="29" t="n">
        <v>45671</v>
      </c>
      <c r="H121" s="29" t="n">
        <v>45671</v>
      </c>
      <c r="I121" s="30" t="n"/>
      <c r="J121" t="inlineStr">
        <is>
          <t>E78.5</t>
        </is>
      </c>
      <c r="K121" t="inlineStr">
        <is>
          <t>Hyperlipidemia, unspecified</t>
        </is>
      </c>
      <c r="L121" t="inlineStr">
        <is>
          <t>Endocrine</t>
        </is>
      </c>
      <c r="M121" t="inlineStr">
        <is>
          <t>Home/Self-Care</t>
        </is>
      </c>
      <c r="N121" t="inlineStr">
        <is>
          <t>Evergreen Mutual Insurance</t>
        </is>
      </c>
      <c r="O121" s="31" t="n">
        <v>340.09</v>
      </c>
    </row>
    <row r="122">
      <c r="A122" t="inlineStr">
        <is>
          <t>ENC111201</t>
        </is>
      </c>
      <c r="B122" t="inlineStr">
        <is>
          <t>PT10360</t>
        </is>
      </c>
      <c r="C122" t="inlineStr">
        <is>
          <t>Outpatient</t>
        </is>
      </c>
      <c r="D122" t="inlineStr">
        <is>
          <t>Bluestone Outpatient Pavilion</t>
        </is>
      </c>
      <c r="E122" t="inlineStr">
        <is>
          <t>Infusion &amp; Oncology Clinic</t>
        </is>
      </c>
      <c r="F122" t="inlineStr">
        <is>
          <t>Oncology</t>
        </is>
      </c>
      <c r="G122" s="29" t="n">
        <v>45671</v>
      </c>
      <c r="H122" s="29" t="n">
        <v>45671</v>
      </c>
      <c r="I122" s="30" t="n"/>
      <c r="J122" t="inlineStr">
        <is>
          <t>Z51.11</t>
        </is>
      </c>
      <c r="K122" t="inlineStr">
        <is>
          <t>Encounter for antineoplastic chemotherapy</t>
        </is>
      </c>
      <c r="L122" t="inlineStr">
        <is>
          <t>Factors Influencing Health</t>
        </is>
      </c>
      <c r="M122" t="inlineStr">
        <is>
          <t>Home/Self-Care</t>
        </is>
      </c>
      <c r="N122" t="inlineStr">
        <is>
          <t>Silverline Medicare Advantage</t>
        </is>
      </c>
      <c r="O122" s="31" t="n">
        <v>12402.28</v>
      </c>
    </row>
    <row r="123">
      <c r="A123" t="inlineStr">
        <is>
          <t>ENC111202</t>
        </is>
      </c>
      <c r="B123" t="inlineStr">
        <is>
          <t>PT12512</t>
        </is>
      </c>
      <c r="C123" t="inlineStr">
        <is>
          <t>Outpatient</t>
        </is>
      </c>
      <c r="D123" t="inlineStr">
        <is>
          <t>Bluestone Outpatient Pavilion</t>
        </is>
      </c>
      <c r="E123" t="inlineStr">
        <is>
          <t>Endocrinology &amp; Diabetes Clinic</t>
        </is>
      </c>
      <c r="F123" t="inlineStr">
        <is>
          <t>Ambulatory</t>
        </is>
      </c>
      <c r="G123" s="29" t="n">
        <v>45671</v>
      </c>
      <c r="H123" s="29" t="n">
        <v>45671</v>
      </c>
      <c r="I123" s="30" t="n"/>
      <c r="J123" t="inlineStr">
        <is>
          <t>E11.65</t>
        </is>
      </c>
      <c r="K123" t="inlineStr">
        <is>
          <t>Type 2 diabetes mellitus with hyperglycemia</t>
        </is>
      </c>
      <c r="L123" t="inlineStr">
        <is>
          <t>Endocrine</t>
        </is>
      </c>
      <c r="M123" t="inlineStr">
        <is>
          <t>Home/Self-Care</t>
        </is>
      </c>
      <c r="N123" t="inlineStr">
        <is>
          <t>Keystone Health Partners</t>
        </is>
      </c>
      <c r="O123" s="31" t="n">
        <v>428.6</v>
      </c>
    </row>
    <row r="124">
      <c r="A124" t="inlineStr">
        <is>
          <t>ENC111203</t>
        </is>
      </c>
      <c r="B124" t="inlineStr">
        <is>
          <t>PT11408</t>
        </is>
      </c>
      <c r="C124" t="inlineStr">
        <is>
          <t>Outpatient</t>
        </is>
      </c>
      <c r="D124" t="inlineStr">
        <is>
          <t>Bluestone Outpatient Pavilion</t>
        </is>
      </c>
      <c r="E124" t="inlineStr">
        <is>
          <t>Pediatric Clinic</t>
        </is>
      </c>
      <c r="F124" t="inlineStr">
        <is>
          <t>Women &amp; Children</t>
        </is>
      </c>
      <c r="G124" s="29" t="n">
        <v>45671</v>
      </c>
      <c r="H124" s="29" t="n">
        <v>45671</v>
      </c>
      <c r="I124" s="30" t="n"/>
      <c r="J124" t="inlineStr">
        <is>
          <t>H66.90</t>
        </is>
      </c>
      <c r="K124" t="inlineStr">
        <is>
          <t>Otitis media, unspecified, unspecified ear</t>
        </is>
      </c>
      <c r="L124" t="inlineStr">
        <is>
          <t>Ear</t>
        </is>
      </c>
      <c r="M124" t="inlineStr">
        <is>
          <t>Home/Self-Care</t>
        </is>
      </c>
      <c r="N124" t="inlineStr">
        <is>
          <t>State Medicaid</t>
        </is>
      </c>
      <c r="O124" s="31" t="n">
        <v>482.76</v>
      </c>
    </row>
    <row r="125">
      <c r="A125" t="inlineStr">
        <is>
          <t>ENC111211</t>
        </is>
      </c>
      <c r="B125" t="inlineStr">
        <is>
          <t>PT10372</t>
        </is>
      </c>
      <c r="C125" t="inlineStr">
        <is>
          <t>Emergency</t>
        </is>
      </c>
      <c r="D125" t="inlineStr">
        <is>
          <t>Bluestone Memorial Hospital</t>
        </is>
      </c>
      <c r="E125" t="inlineStr">
        <is>
          <t>Emergency Department</t>
        </is>
      </c>
      <c r="F125" t="inlineStr">
        <is>
          <t>Emergency</t>
        </is>
      </c>
      <c r="G125" s="29" t="n">
        <v>45671</v>
      </c>
      <c r="H125" s="29" t="n">
        <v>45671</v>
      </c>
      <c r="I125" s="30" t="n"/>
      <c r="J125" t="inlineStr">
        <is>
          <t>R10.9</t>
        </is>
      </c>
      <c r="K125" t="inlineStr">
        <is>
          <t>Unspecified abdominal pain</t>
        </is>
      </c>
      <c r="L125" t="inlineStr">
        <is>
          <t>Symptoms &amp; Signs</t>
        </is>
      </c>
      <c r="M125" t="inlineStr">
        <is>
          <t>Home/Self-Care</t>
        </is>
      </c>
      <c r="N125" t="inlineStr">
        <is>
          <t>Medicare</t>
        </is>
      </c>
      <c r="O125" s="31" t="n">
        <v>4283.92</v>
      </c>
    </row>
    <row r="126">
      <c r="A126" t="inlineStr">
        <is>
          <t>ENC111225</t>
        </is>
      </c>
      <c r="B126" t="inlineStr">
        <is>
          <t>PT10652</t>
        </is>
      </c>
      <c r="C126" t="inlineStr">
        <is>
          <t>Inpatient</t>
        </is>
      </c>
      <c r="D126" t="inlineStr">
        <is>
          <t>Bluestone Memorial Hospital</t>
        </is>
      </c>
      <c r="E126" t="inlineStr">
        <is>
          <t>Intensive Care Unit</t>
        </is>
      </c>
      <c r="F126" t="inlineStr">
        <is>
          <t>Critical Care</t>
        </is>
      </c>
      <c r="G126" s="29" t="n">
        <v>45672</v>
      </c>
      <c r="H126" s="29" t="n">
        <v>45677</v>
      </c>
      <c r="I126" s="30" t="n">
        <v>5</v>
      </c>
      <c r="J126" t="inlineStr">
        <is>
          <t>A41.9</t>
        </is>
      </c>
      <c r="K126" t="inlineStr">
        <is>
          <t>Sepsis, unspecified organism</t>
        </is>
      </c>
      <c r="L126" t="inlineStr">
        <is>
          <t>Infectious</t>
        </is>
      </c>
      <c r="M126" t="inlineStr">
        <is>
          <t>Home/Self-Care</t>
        </is>
      </c>
      <c r="N126" t="inlineStr">
        <is>
          <t>Evergreen Mutual Insurance</t>
        </is>
      </c>
      <c r="O126" s="31" t="n">
        <v>60727.45</v>
      </c>
      <c r="P126" t="inlineStr">
        <is>
          <t>Y</t>
        </is>
      </c>
    </row>
    <row r="127">
      <c r="A127" t="inlineStr">
        <is>
          <t>ENC111233</t>
        </is>
      </c>
      <c r="B127" t="inlineStr">
        <is>
          <t>PT13536</t>
        </is>
      </c>
      <c r="C127" t="inlineStr">
        <is>
          <t>Inpatient</t>
        </is>
      </c>
      <c r="D127" t="inlineStr">
        <is>
          <t>Cedar Ridge Medical Center</t>
        </is>
      </c>
      <c r="E127" t="inlineStr">
        <is>
          <t>Cardiac Step-Down</t>
        </is>
      </c>
      <c r="F127" t="inlineStr">
        <is>
          <t>Cardiovascular</t>
        </is>
      </c>
      <c r="G127" s="29" t="n">
        <v>45672</v>
      </c>
      <c r="H127" s="29" t="n">
        <v>45676</v>
      </c>
      <c r="I127" s="30" t="n">
        <v>4</v>
      </c>
      <c r="J127" t="inlineStr">
        <is>
          <t>I48.91</t>
        </is>
      </c>
      <c r="K127" t="inlineStr">
        <is>
          <t>Unspecified atrial fibrillation</t>
        </is>
      </c>
      <c r="L127" t="inlineStr">
        <is>
          <t>Circulatory</t>
        </is>
      </c>
      <c r="M127" t="inlineStr">
        <is>
          <t>Home/Self-Care</t>
        </is>
      </c>
      <c r="N127" t="inlineStr">
        <is>
          <t>Silverline Medicare Advantage</t>
        </is>
      </c>
      <c r="O127" s="31" t="n">
        <v>23835.84</v>
      </c>
      <c r="P127" t="inlineStr">
        <is>
          <t>N</t>
        </is>
      </c>
    </row>
    <row r="128">
      <c r="A128" t="inlineStr">
        <is>
          <t>ENC111240</t>
        </is>
      </c>
      <c r="B128" t="inlineStr">
        <is>
          <t>PT11840</t>
        </is>
      </c>
      <c r="C128" t="inlineStr">
        <is>
          <t>Outpatient</t>
        </is>
      </c>
      <c r="D128" t="inlineStr">
        <is>
          <t>Bluestone Outpatient Pavilion</t>
        </is>
      </c>
      <c r="E128" t="inlineStr">
        <is>
          <t>Infusion &amp; Oncology Clinic</t>
        </is>
      </c>
      <c r="F128" t="inlineStr">
        <is>
          <t>Oncology</t>
        </is>
      </c>
      <c r="G128" s="29" t="n">
        <v>45672</v>
      </c>
      <c r="H128" s="29" t="n">
        <v>45672</v>
      </c>
      <c r="I128" s="30" t="n"/>
      <c r="J128" t="inlineStr">
        <is>
          <t>C50.911</t>
        </is>
      </c>
      <c r="K128" t="inlineStr">
        <is>
          <t>Malignant neoplasm of unspecified site of right female breast</t>
        </is>
      </c>
      <c r="L128" t="inlineStr">
        <is>
          <t>Neoplasms</t>
        </is>
      </c>
      <c r="M128" t="inlineStr">
        <is>
          <t>Home/Self-Care</t>
        </is>
      </c>
      <c r="N128" t="inlineStr">
        <is>
          <t>Silverline Medicare Advantage</t>
        </is>
      </c>
      <c r="O128" s="31" t="n">
        <v>849.05</v>
      </c>
    </row>
    <row r="129">
      <c r="A129" t="inlineStr">
        <is>
          <t>ENC111242</t>
        </is>
      </c>
      <c r="B129" t="inlineStr">
        <is>
          <t>PT11492</t>
        </is>
      </c>
      <c r="C129" t="inlineStr">
        <is>
          <t>Outpatient</t>
        </is>
      </c>
      <c r="D129" t="inlineStr">
        <is>
          <t>Bluestone Outpatient Pavilion</t>
        </is>
      </c>
      <c r="E129" t="inlineStr">
        <is>
          <t>Primary Care Clinic</t>
        </is>
      </c>
      <c r="F129" t="inlineStr">
        <is>
          <t>Ambulatory</t>
        </is>
      </c>
      <c r="G129" s="29" t="n">
        <v>45672</v>
      </c>
      <c r="H129" s="29" t="n">
        <v>45672</v>
      </c>
      <c r="I129" s="30" t="n"/>
      <c r="J129" t="inlineStr">
        <is>
          <t>Z23</t>
        </is>
      </c>
      <c r="K129" t="inlineStr">
        <is>
          <t>Encounter for immunization</t>
        </is>
      </c>
      <c r="L129" t="inlineStr">
        <is>
          <t>Factors Influencing Health</t>
        </is>
      </c>
      <c r="M129" t="inlineStr">
        <is>
          <t>Home/Self-Care</t>
        </is>
      </c>
      <c r="N129" t="inlineStr">
        <is>
          <t>Silverline Medicare Advantage</t>
        </is>
      </c>
      <c r="O129" s="31" t="n">
        <v>139.12</v>
      </c>
    </row>
    <row r="130">
      <c r="A130" t="inlineStr">
        <is>
          <t>ENC111248</t>
        </is>
      </c>
      <c r="B130" t="inlineStr">
        <is>
          <t>PT12256</t>
        </is>
      </c>
      <c r="C130" t="inlineStr">
        <is>
          <t>Emergency</t>
        </is>
      </c>
      <c r="D130" t="inlineStr">
        <is>
          <t>Bluestone Memorial Hospital</t>
        </is>
      </c>
      <c r="E130" t="inlineStr">
        <is>
          <t>Emergency Department</t>
        </is>
      </c>
      <c r="F130" t="inlineStr">
        <is>
          <t>Emergency</t>
        </is>
      </c>
      <c r="G130" s="29" t="n">
        <v>45672</v>
      </c>
      <c r="H130" s="29" t="n">
        <v>45672</v>
      </c>
      <c r="I130" s="30" t="n"/>
      <c r="J130" t="inlineStr">
        <is>
          <t>M54.50</t>
        </is>
      </c>
      <c r="K130" t="inlineStr">
        <is>
          <t>Low back pain, unspecified</t>
        </is>
      </c>
      <c r="L130" t="inlineStr">
        <is>
          <t>Musculoskeletal</t>
        </is>
      </c>
      <c r="M130" t="inlineStr">
        <is>
          <t>Home/Self-Care</t>
        </is>
      </c>
      <c r="N130" t="inlineStr">
        <is>
          <t>Evergreen Mutual Insurance</t>
        </is>
      </c>
      <c r="O130" s="31" t="n">
        <v>1582.78</v>
      </c>
    </row>
    <row r="131">
      <c r="A131" t="inlineStr">
        <is>
          <t>ENC111257</t>
        </is>
      </c>
      <c r="B131" t="inlineStr">
        <is>
          <t>PT12636</t>
        </is>
      </c>
      <c r="C131" t="inlineStr">
        <is>
          <t>Inpatient</t>
        </is>
      </c>
      <c r="D131" t="inlineStr">
        <is>
          <t>Cedar Ridge Medical Center</t>
        </is>
      </c>
      <c r="E131" t="inlineStr">
        <is>
          <t>Cardiac Step-Down</t>
        </is>
      </c>
      <c r="F131" t="inlineStr">
        <is>
          <t>Cardiovascular</t>
        </is>
      </c>
      <c r="G131" s="29" t="n">
        <v>45673</v>
      </c>
      <c r="H131" s="29" t="n">
        <v>45678</v>
      </c>
      <c r="I131" s="30" t="n">
        <v>5</v>
      </c>
      <c r="J131" t="inlineStr">
        <is>
          <t>I48.91</t>
        </is>
      </c>
      <c r="K131" t="inlineStr">
        <is>
          <t>Unspecified atrial fibrillation</t>
        </is>
      </c>
      <c r="L131" t="inlineStr">
        <is>
          <t>Circulatory</t>
        </is>
      </c>
      <c r="M131" t="inlineStr">
        <is>
          <t>Home Health</t>
        </is>
      </c>
      <c r="N131" t="inlineStr">
        <is>
          <t>Medicare</t>
        </is>
      </c>
      <c r="O131" s="31" t="n">
        <v>24715</v>
      </c>
      <c r="P131" t="inlineStr">
        <is>
          <t>N</t>
        </is>
      </c>
    </row>
    <row r="132">
      <c r="A132" t="inlineStr">
        <is>
          <t>ENC111264</t>
        </is>
      </c>
      <c r="B132" t="inlineStr">
        <is>
          <t>PT10248</t>
        </is>
      </c>
      <c r="C132" t="inlineStr">
        <is>
          <t>Outpatient</t>
        </is>
      </c>
      <c r="D132" t="inlineStr">
        <is>
          <t>Bluestone Outpatient Pavilion</t>
        </is>
      </c>
      <c r="E132" t="inlineStr">
        <is>
          <t>Pediatric Clinic</t>
        </is>
      </c>
      <c r="F132" t="inlineStr">
        <is>
          <t>Women &amp; Children</t>
        </is>
      </c>
      <c r="G132" s="29" t="n">
        <v>45673</v>
      </c>
      <c r="H132" s="29" t="n">
        <v>45673</v>
      </c>
      <c r="I132" s="30" t="n"/>
      <c r="J132" t="inlineStr">
        <is>
          <t>H66.90</t>
        </is>
      </c>
      <c r="K132" t="inlineStr">
        <is>
          <t>Otitis media, unspecified, unspecified ear</t>
        </is>
      </c>
      <c r="L132" t="inlineStr">
        <is>
          <t>Ear</t>
        </is>
      </c>
      <c r="M132" t="inlineStr">
        <is>
          <t>Home/Self-Care</t>
        </is>
      </c>
      <c r="N132" t="inlineStr">
        <is>
          <t>Keystone Health Partners</t>
        </is>
      </c>
      <c r="O132" s="31" t="n">
        <v>346.57</v>
      </c>
    </row>
    <row r="133">
      <c r="A133" t="inlineStr">
        <is>
          <t>ENC111265</t>
        </is>
      </c>
      <c r="B133" t="inlineStr">
        <is>
          <t>PT11428</t>
        </is>
      </c>
      <c r="C133" t="inlineStr">
        <is>
          <t>Observation</t>
        </is>
      </c>
      <c r="D133" t="inlineStr">
        <is>
          <t>Bluestone Memorial Hospital</t>
        </is>
      </c>
      <c r="E133" t="inlineStr">
        <is>
          <t>Observation Unit</t>
        </is>
      </c>
      <c r="F133" t="inlineStr">
        <is>
          <t>Medicine</t>
        </is>
      </c>
      <c r="G133" s="29" t="n">
        <v>45673</v>
      </c>
      <c r="H133" s="29" t="n">
        <v>45674</v>
      </c>
      <c r="I133" s="30" t="n">
        <v>1</v>
      </c>
      <c r="J133" t="inlineStr">
        <is>
          <t>R07.9</t>
        </is>
      </c>
      <c r="K133" t="inlineStr">
        <is>
          <t>Chest pain, unspecified</t>
        </is>
      </c>
      <c r="L133" t="inlineStr">
        <is>
          <t>Symptoms &amp; Signs</t>
        </is>
      </c>
      <c r="M133" t="inlineStr">
        <is>
          <t>Home/Self-Care</t>
        </is>
      </c>
      <c r="N133" t="inlineStr">
        <is>
          <t>Medicare</t>
        </is>
      </c>
      <c r="O133" s="31" t="n">
        <v>5783.16</v>
      </c>
    </row>
    <row r="134">
      <c r="A134" t="inlineStr">
        <is>
          <t>ENC111268</t>
        </is>
      </c>
      <c r="B134" t="inlineStr">
        <is>
          <t>PT12608</t>
        </is>
      </c>
      <c r="C134" t="inlineStr">
        <is>
          <t>Outpatient</t>
        </is>
      </c>
      <c r="D134" t="inlineStr">
        <is>
          <t>Bluestone Outpatient Pavilion</t>
        </is>
      </c>
      <c r="E134" t="inlineStr">
        <is>
          <t>Primary Care Clinic</t>
        </is>
      </c>
      <c r="F134" t="inlineStr">
        <is>
          <t>Ambulatory</t>
        </is>
      </c>
      <c r="G134" s="29" t="n">
        <v>45673</v>
      </c>
      <c r="H134" s="29" t="n">
        <v>45673</v>
      </c>
      <c r="I134" s="30" t="n"/>
      <c r="J134" t="inlineStr">
        <is>
          <t>E78.5</t>
        </is>
      </c>
      <c r="K134" t="inlineStr">
        <is>
          <t>Hyperlipidemia, unspecified</t>
        </is>
      </c>
      <c r="L134" t="inlineStr">
        <is>
          <t>Endocrine</t>
        </is>
      </c>
      <c r="M134" t="inlineStr">
        <is>
          <t>Home/Self-Care</t>
        </is>
      </c>
      <c r="N134" t="inlineStr">
        <is>
          <t>Summit Choice PPO</t>
        </is>
      </c>
      <c r="O134" s="31" t="n">
        <v>464.84</v>
      </c>
    </row>
    <row r="135">
      <c r="A135" t="inlineStr">
        <is>
          <t>ENC111269</t>
        </is>
      </c>
      <c r="B135" t="inlineStr">
        <is>
          <t>PT11716</t>
        </is>
      </c>
      <c r="C135" t="inlineStr">
        <is>
          <t>Outpatient</t>
        </is>
      </c>
      <c r="D135" t="inlineStr">
        <is>
          <t>Bluestone Outpatient Pavilion</t>
        </is>
      </c>
      <c r="E135" t="inlineStr">
        <is>
          <t>Primary Care Clinic</t>
        </is>
      </c>
      <c r="F135" t="inlineStr">
        <is>
          <t>Ambulatory</t>
        </is>
      </c>
      <c r="G135" s="29" t="n">
        <v>45673</v>
      </c>
      <c r="H135" s="29" t="n">
        <v>45673</v>
      </c>
      <c r="I135" s="30" t="n"/>
      <c r="J135" t="inlineStr">
        <is>
          <t>G40.909</t>
        </is>
      </c>
      <c r="K135" t="inlineStr">
        <is>
          <t>Epilepsy, unspecified, not intractable, without status epilepticus</t>
        </is>
      </c>
      <c r="L135" t="inlineStr">
        <is>
          <t>Nervous System</t>
        </is>
      </c>
      <c r="M135" t="inlineStr">
        <is>
          <t>Home/Self-Care</t>
        </is>
      </c>
      <c r="N135" t="inlineStr">
        <is>
          <t>Silverline Medicare Advantage</t>
        </is>
      </c>
      <c r="O135" s="31" t="n">
        <v>278.85</v>
      </c>
    </row>
    <row r="136">
      <c r="A136" t="inlineStr">
        <is>
          <t>ENC111275</t>
        </is>
      </c>
      <c r="B136" t="inlineStr">
        <is>
          <t>PT12052</t>
        </is>
      </c>
      <c r="C136" t="inlineStr">
        <is>
          <t>Emergency</t>
        </is>
      </c>
      <c r="D136" t="inlineStr">
        <is>
          <t>Bluestone Memorial Hospital</t>
        </is>
      </c>
      <c r="E136" t="inlineStr">
        <is>
          <t>Emergency Department</t>
        </is>
      </c>
      <c r="F136" t="inlineStr">
        <is>
          <t>Emergency</t>
        </is>
      </c>
      <c r="G136" s="29" t="n">
        <v>45673</v>
      </c>
      <c r="H136" s="29" t="n">
        <v>45673</v>
      </c>
      <c r="I136" s="30" t="n"/>
      <c r="J136" t="inlineStr">
        <is>
          <t>H66.90</t>
        </is>
      </c>
      <c r="K136" t="inlineStr">
        <is>
          <t>Otitis media, unspecified, unspecified ear</t>
        </is>
      </c>
      <c r="L136" t="inlineStr">
        <is>
          <t>Ear</t>
        </is>
      </c>
      <c r="M136" t="inlineStr">
        <is>
          <t>Home/Self-Care</t>
        </is>
      </c>
      <c r="N136" t="inlineStr">
        <is>
          <t>Keystone Health Partners</t>
        </is>
      </c>
      <c r="O136" s="31" t="n">
        <v>1489.24</v>
      </c>
    </row>
    <row r="137">
      <c r="A137" t="inlineStr">
        <is>
          <t>ENC111279</t>
        </is>
      </c>
      <c r="B137" t="inlineStr">
        <is>
          <t>PT11504</t>
        </is>
      </c>
      <c r="C137" t="inlineStr">
        <is>
          <t>Outpatient</t>
        </is>
      </c>
      <c r="D137" t="inlineStr">
        <is>
          <t>Bluestone Outpatient Pavilion</t>
        </is>
      </c>
      <c r="E137" t="inlineStr">
        <is>
          <t>Primary Care Clinic</t>
        </is>
      </c>
      <c r="F137" t="inlineStr">
        <is>
          <t>Ambulatory</t>
        </is>
      </c>
      <c r="G137" s="29" t="n">
        <v>45673</v>
      </c>
      <c r="H137" s="29" t="n">
        <v>45673</v>
      </c>
      <c r="I137" s="30" t="n"/>
      <c r="J137" t="inlineStr">
        <is>
          <t>J06.9</t>
        </is>
      </c>
      <c r="K137" t="inlineStr">
        <is>
          <t>Acute upper respiratory infection, unspecified</t>
        </is>
      </c>
      <c r="L137" t="inlineStr">
        <is>
          <t>Respiratory</t>
        </is>
      </c>
      <c r="M137" t="inlineStr">
        <is>
          <t>Home/Self-Care</t>
        </is>
      </c>
      <c r="N137" t="inlineStr">
        <is>
          <t>Medicare</t>
        </is>
      </c>
      <c r="O137" s="31" t="n">
        <v>282.54</v>
      </c>
    </row>
    <row r="138">
      <c r="A138" t="inlineStr">
        <is>
          <t>ENC111283</t>
        </is>
      </c>
      <c r="B138" t="inlineStr">
        <is>
          <t>PT11696</t>
        </is>
      </c>
      <c r="C138" t="inlineStr">
        <is>
          <t>Outpatient</t>
        </is>
      </c>
      <c r="D138" t="inlineStr">
        <is>
          <t>Bluestone Outpatient Pavilion</t>
        </is>
      </c>
      <c r="E138" t="inlineStr">
        <is>
          <t>Cardiology Clinic</t>
        </is>
      </c>
      <c r="F138" t="inlineStr">
        <is>
          <t>Cardiovascular</t>
        </is>
      </c>
      <c r="G138" s="29" t="n">
        <v>45673</v>
      </c>
      <c r="H138" s="29" t="n">
        <v>45673</v>
      </c>
      <c r="I138" s="30" t="n"/>
      <c r="J138" t="inlineStr">
        <is>
          <t>I48.91</t>
        </is>
      </c>
      <c r="K138" t="inlineStr">
        <is>
          <t>Unspecified atrial fibrillation</t>
        </is>
      </c>
      <c r="L138" t="inlineStr">
        <is>
          <t>Circulatory</t>
        </is>
      </c>
      <c r="M138" t="inlineStr">
        <is>
          <t>Home/Self-Care</t>
        </is>
      </c>
      <c r="N138" t="inlineStr">
        <is>
          <t>Medicare</t>
        </is>
      </c>
      <c r="O138" s="31" t="n">
        <v>537.08</v>
      </c>
    </row>
    <row r="139">
      <c r="A139" t="inlineStr">
        <is>
          <t>ENC111285</t>
        </is>
      </c>
      <c r="B139" t="inlineStr">
        <is>
          <t>PT13464</t>
        </is>
      </c>
      <c r="C139" t="inlineStr">
        <is>
          <t>Outpatient</t>
        </is>
      </c>
      <c r="D139" t="inlineStr">
        <is>
          <t>Bluestone Outpatient Pavilion</t>
        </is>
      </c>
      <c r="E139" t="inlineStr">
        <is>
          <t>Primary Care Clinic</t>
        </is>
      </c>
      <c r="F139" t="inlineStr">
        <is>
          <t>Ambulatory</t>
        </is>
      </c>
      <c r="G139" s="29" t="n">
        <v>45673</v>
      </c>
      <c r="H139" s="29" t="n">
        <v>45673</v>
      </c>
      <c r="I139" s="30" t="n"/>
      <c r="J139" t="inlineStr">
        <is>
          <t>Z00.00</t>
        </is>
      </c>
      <c r="K139" t="inlineStr">
        <is>
          <t>Encounter for general adult medical examination without abnormal findings</t>
        </is>
      </c>
      <c r="L139" t="inlineStr">
        <is>
          <t>Factors Influencing Health</t>
        </is>
      </c>
      <c r="M139" t="inlineStr">
        <is>
          <t>Home/Self-Care</t>
        </is>
      </c>
      <c r="N139" t="inlineStr">
        <is>
          <t>Silverline Medicare Advantage</t>
        </is>
      </c>
      <c r="O139" s="31" t="n">
        <v>511.19</v>
      </c>
    </row>
    <row r="140">
      <c r="A140" t="inlineStr">
        <is>
          <t>ENC111289</t>
        </is>
      </c>
      <c r="B140" t="inlineStr">
        <is>
          <t>PT13004</t>
        </is>
      </c>
      <c r="C140" t="inlineStr">
        <is>
          <t>Inpatient</t>
        </is>
      </c>
      <c r="D140" t="inlineStr">
        <is>
          <t>Bluestone Memorial Hospital</t>
        </is>
      </c>
      <c r="E140" t="inlineStr">
        <is>
          <t>Oncology</t>
        </is>
      </c>
      <c r="F140" t="inlineStr">
        <is>
          <t>Oncology</t>
        </is>
      </c>
      <c r="G140" s="29" t="n">
        <v>45673</v>
      </c>
      <c r="H140" s="29" t="n">
        <v>45683</v>
      </c>
      <c r="I140" s="30" t="n">
        <v>10</v>
      </c>
      <c r="J140" t="inlineStr">
        <is>
          <t>C34.90</t>
        </is>
      </c>
      <c r="K140" t="inlineStr">
        <is>
          <t>Malignant neoplasm of unspecified part of unspecified bronchus or lung</t>
        </is>
      </c>
      <c r="L140" t="inlineStr">
        <is>
          <t>Neoplasms</t>
        </is>
      </c>
      <c r="M140" t="inlineStr">
        <is>
          <t>Home Health</t>
        </is>
      </c>
      <c r="N140" t="inlineStr">
        <is>
          <t>Medicare</t>
        </is>
      </c>
      <c r="O140" s="31" t="n">
        <v>41322.22</v>
      </c>
      <c r="P140" t="inlineStr">
        <is>
          <t>N</t>
        </is>
      </c>
    </row>
    <row r="141">
      <c r="A141" t="inlineStr">
        <is>
          <t>ENC111290</t>
        </is>
      </c>
      <c r="B141" t="inlineStr">
        <is>
          <t>PT10936</t>
        </is>
      </c>
      <c r="C141" t="inlineStr">
        <is>
          <t>Emergency</t>
        </is>
      </c>
      <c r="D141" t="inlineStr">
        <is>
          <t>Bluestone Memorial Hospital</t>
        </is>
      </c>
      <c r="E141" t="inlineStr">
        <is>
          <t>Emergency Department</t>
        </is>
      </c>
      <c r="F141" t="inlineStr">
        <is>
          <t>Emergency</t>
        </is>
      </c>
      <c r="G141" s="29" t="n">
        <v>45673</v>
      </c>
      <c r="H141" s="29" t="n">
        <v>45673</v>
      </c>
      <c r="I141" s="30" t="n"/>
      <c r="J141" t="inlineStr">
        <is>
          <t>I10</t>
        </is>
      </c>
      <c r="K141" t="inlineStr">
        <is>
          <t>Essential (primary) hypertension</t>
        </is>
      </c>
      <c r="L141" t="inlineStr">
        <is>
          <t>Circulatory</t>
        </is>
      </c>
      <c r="M141" t="inlineStr">
        <is>
          <t>Home/Self-Care</t>
        </is>
      </c>
      <c r="N141" t="inlineStr">
        <is>
          <t>Evergreen Mutual Insurance</t>
        </is>
      </c>
      <c r="O141" s="31" t="n">
        <v>3348.78</v>
      </c>
    </row>
    <row r="142">
      <c r="A142" t="inlineStr">
        <is>
          <t>ENC111291</t>
        </is>
      </c>
      <c r="B142" t="inlineStr">
        <is>
          <t>PT10132</t>
        </is>
      </c>
      <c r="C142" t="inlineStr">
        <is>
          <t>Inpatient</t>
        </is>
      </c>
      <c r="D142" t="inlineStr">
        <is>
          <t>Bluestone Memorial Hospital</t>
        </is>
      </c>
      <c r="E142" t="inlineStr">
        <is>
          <t>Medical-Surgical 4 West</t>
        </is>
      </c>
      <c r="F142" t="inlineStr">
        <is>
          <t>Medicine</t>
        </is>
      </c>
      <c r="G142" s="29" t="n">
        <v>45673</v>
      </c>
      <c r="H142" s="29" t="n">
        <v>45677</v>
      </c>
      <c r="I142" s="30" t="n">
        <v>4</v>
      </c>
      <c r="J142" t="inlineStr">
        <is>
          <t>J44.1</t>
        </is>
      </c>
      <c r="K142" t="inlineStr">
        <is>
          <t>Chronic obstructive pulmonary disease with (acute) exacerbation</t>
        </is>
      </c>
      <c r="L142" t="inlineStr">
        <is>
          <t>Respiratory</t>
        </is>
      </c>
      <c r="M142" t="inlineStr">
        <is>
          <t>Home/Self-Care</t>
        </is>
      </c>
      <c r="N142" t="inlineStr">
        <is>
          <t>Medicare</t>
        </is>
      </c>
      <c r="O142" s="31" t="n">
        <v>14176.82</v>
      </c>
      <c r="P142" t="inlineStr">
        <is>
          <t>N</t>
        </is>
      </c>
    </row>
    <row r="143">
      <c r="A143" t="inlineStr">
        <is>
          <t>ENC111293</t>
        </is>
      </c>
      <c r="B143" t="inlineStr">
        <is>
          <t>PT11784</t>
        </is>
      </c>
      <c r="C143" t="inlineStr">
        <is>
          <t>Emergency</t>
        </is>
      </c>
      <c r="D143" t="inlineStr">
        <is>
          <t>Bluestone Memorial Hospital</t>
        </is>
      </c>
      <c r="E143" t="inlineStr">
        <is>
          <t>Emergency Department</t>
        </is>
      </c>
      <c r="F143" t="inlineStr">
        <is>
          <t>Emergency</t>
        </is>
      </c>
      <c r="G143" s="29" t="n">
        <v>45673</v>
      </c>
      <c r="H143" s="29" t="n">
        <v>45673</v>
      </c>
      <c r="I143" s="30" t="n"/>
      <c r="J143" t="inlineStr">
        <is>
          <t>J06.9</t>
        </is>
      </c>
      <c r="K143" t="inlineStr">
        <is>
          <t>Acute upper respiratory infection, unspecified</t>
        </is>
      </c>
      <c r="L143" t="inlineStr">
        <is>
          <t>Respiratory</t>
        </is>
      </c>
      <c r="M143" t="inlineStr">
        <is>
          <t>Home/Self-Care</t>
        </is>
      </c>
      <c r="N143" t="inlineStr">
        <is>
          <t>Evergreen Mutual Insurance</t>
        </is>
      </c>
      <c r="O143" s="31" t="n">
        <v>1202.42</v>
      </c>
    </row>
    <row r="144">
      <c r="A144" t="inlineStr">
        <is>
          <t>ENC111294</t>
        </is>
      </c>
      <c r="B144" t="inlineStr">
        <is>
          <t>PT10120</t>
        </is>
      </c>
      <c r="C144" t="inlineStr">
        <is>
          <t>Emergency</t>
        </is>
      </c>
      <c r="D144" t="inlineStr">
        <is>
          <t>Cedar Ridge Medical Center</t>
        </is>
      </c>
      <c r="E144" t="inlineStr">
        <is>
          <t>Emergency Department</t>
        </is>
      </c>
      <c r="F144" t="inlineStr">
        <is>
          <t>Emergency</t>
        </is>
      </c>
      <c r="G144" s="29" t="n">
        <v>45673</v>
      </c>
      <c r="H144" s="29" t="n">
        <v>45674</v>
      </c>
      <c r="I144" s="30" t="n"/>
      <c r="J144" t="inlineStr">
        <is>
          <t>N39.0</t>
        </is>
      </c>
      <c r="K144" t="inlineStr">
        <is>
          <t>Urinary tract infection, site not specified</t>
        </is>
      </c>
      <c r="L144" t="inlineStr">
        <is>
          <t>Genitourinary</t>
        </is>
      </c>
      <c r="M144" t="inlineStr">
        <is>
          <t>Home/Self-Care</t>
        </is>
      </c>
      <c r="N144" t="inlineStr">
        <is>
          <t>Evergreen Mutual Insurance</t>
        </is>
      </c>
      <c r="O144" s="31" t="n">
        <v>2540.52</v>
      </c>
    </row>
    <row r="145">
      <c r="A145" t="inlineStr">
        <is>
          <t>ENC111300</t>
        </is>
      </c>
      <c r="B145" t="inlineStr">
        <is>
          <t>PT11244</t>
        </is>
      </c>
      <c r="C145" t="inlineStr">
        <is>
          <t>Outpatient</t>
        </is>
      </c>
      <c r="D145" t="inlineStr">
        <is>
          <t>Bluestone Outpatient Pavilion</t>
        </is>
      </c>
      <c r="E145" t="inlineStr">
        <is>
          <t>Pediatric Clinic</t>
        </is>
      </c>
      <c r="F145" t="inlineStr">
        <is>
          <t>Women &amp; Children</t>
        </is>
      </c>
      <c r="G145" s="29" t="n">
        <v>45674</v>
      </c>
      <c r="H145" s="29" t="n">
        <v>45674</v>
      </c>
      <c r="I145" s="30" t="n"/>
      <c r="J145" t="inlineStr">
        <is>
          <t>Z00.129</t>
        </is>
      </c>
      <c r="K145" t="inlineStr">
        <is>
          <t>Encounter for routine child health examination without abnormal findings</t>
        </is>
      </c>
      <c r="L145" t="inlineStr">
        <is>
          <t>Factors Influencing Health</t>
        </is>
      </c>
      <c r="M145" t="inlineStr">
        <is>
          <t>Home/Self-Care</t>
        </is>
      </c>
      <c r="N145" t="inlineStr">
        <is>
          <t>State Medicaid</t>
        </is>
      </c>
      <c r="O145" s="31" t="n">
        <v>306.56</v>
      </c>
    </row>
    <row r="146">
      <c r="A146" t="inlineStr">
        <is>
          <t>ENC111309</t>
        </is>
      </c>
      <c r="B146" t="inlineStr">
        <is>
          <t>PT13136</t>
        </is>
      </c>
      <c r="C146" t="inlineStr">
        <is>
          <t>Emergency</t>
        </is>
      </c>
      <c r="D146" t="inlineStr">
        <is>
          <t>Bluestone Memorial Hospital</t>
        </is>
      </c>
      <c r="E146" t="inlineStr">
        <is>
          <t>Emergency Department</t>
        </is>
      </c>
      <c r="F146" t="inlineStr">
        <is>
          <t>Emergency</t>
        </is>
      </c>
      <c r="G146" s="29" t="n">
        <v>45674</v>
      </c>
      <c r="H146" s="29" t="n">
        <v>45674</v>
      </c>
      <c r="I146" s="30" t="n"/>
      <c r="J146" t="inlineStr">
        <is>
          <t>G43.909</t>
        </is>
      </c>
      <c r="K146" t="inlineStr">
        <is>
          <t>Migraine, unspecified, not intractable, without status migrainosus</t>
        </is>
      </c>
      <c r="L146" t="inlineStr">
        <is>
          <t>Nervous System</t>
        </is>
      </c>
      <c r="M146" t="inlineStr">
        <is>
          <t>Home/Self-Care</t>
        </is>
      </c>
      <c r="N146" t="inlineStr">
        <is>
          <t>Medicare</t>
        </is>
      </c>
      <c r="O146" s="31" t="n">
        <v>1679.5</v>
      </c>
    </row>
    <row r="147">
      <c r="A147" t="inlineStr">
        <is>
          <t>ENC111313</t>
        </is>
      </c>
      <c r="B147" t="inlineStr">
        <is>
          <t>PT11284</t>
        </is>
      </c>
      <c r="C147" t="inlineStr">
        <is>
          <t>Emergency</t>
        </is>
      </c>
      <c r="D147" t="inlineStr">
        <is>
          <t>Bluestone Memorial Hospital</t>
        </is>
      </c>
      <c r="E147" t="inlineStr">
        <is>
          <t>Emergency Department</t>
        </is>
      </c>
      <c r="F147" t="inlineStr">
        <is>
          <t>Emergency</t>
        </is>
      </c>
      <c r="G147" s="29" t="n">
        <v>45674</v>
      </c>
      <c r="H147" s="29" t="n">
        <v>45674</v>
      </c>
      <c r="I147" s="30" t="n"/>
      <c r="J147" t="inlineStr">
        <is>
          <t>J06.9</t>
        </is>
      </c>
      <c r="K147" t="inlineStr">
        <is>
          <t>Acute upper respiratory infection, unspecified</t>
        </is>
      </c>
      <c r="L147" t="inlineStr">
        <is>
          <t>Respiratory</t>
        </is>
      </c>
      <c r="M147" t="inlineStr">
        <is>
          <t>Home/Self-Care</t>
        </is>
      </c>
      <c r="N147" t="inlineStr">
        <is>
          <t>Keystone Health Partners</t>
        </is>
      </c>
      <c r="O147" s="31" t="n">
        <v>2692.7</v>
      </c>
    </row>
    <row r="148">
      <c r="A148" t="inlineStr">
        <is>
          <t>ENC111318</t>
        </is>
      </c>
      <c r="B148" t="inlineStr">
        <is>
          <t>PT10088</t>
        </is>
      </c>
      <c r="C148" t="inlineStr">
        <is>
          <t>Outpatient</t>
        </is>
      </c>
      <c r="D148" t="inlineStr">
        <is>
          <t>Bluestone Outpatient Pavilion</t>
        </is>
      </c>
      <c r="E148" t="inlineStr">
        <is>
          <t>Orthopedic Clinic</t>
        </is>
      </c>
      <c r="F148" t="inlineStr">
        <is>
          <t>Orthopedics</t>
        </is>
      </c>
      <c r="G148" s="29" t="n">
        <v>45674</v>
      </c>
      <c r="H148" s="29" t="n">
        <v>45674</v>
      </c>
      <c r="I148" s="30" t="n"/>
      <c r="J148" t="inlineStr">
        <is>
          <t>S93.401A</t>
        </is>
      </c>
      <c r="K148" t="inlineStr">
        <is>
          <t>Sprain of unspecified ligament of right ankle, initial encounter</t>
        </is>
      </c>
      <c r="L148" t="inlineStr">
        <is>
          <t>Injury</t>
        </is>
      </c>
      <c r="M148" t="inlineStr">
        <is>
          <t>Home/Self-Care</t>
        </is>
      </c>
      <c r="N148" t="inlineStr">
        <is>
          <t>Medicare</t>
        </is>
      </c>
      <c r="O148" s="31" t="n">
        <v>531.3200000000001</v>
      </c>
    </row>
    <row r="149">
      <c r="A149" t="inlineStr">
        <is>
          <t>ENC111320</t>
        </is>
      </c>
      <c r="B149" t="inlineStr">
        <is>
          <t>PT12268</t>
        </is>
      </c>
      <c r="C149" t="inlineStr">
        <is>
          <t>Outpatient</t>
        </is>
      </c>
      <c r="D149" t="inlineStr">
        <is>
          <t>Bluestone Outpatient Pavilion</t>
        </is>
      </c>
      <c r="E149" t="inlineStr">
        <is>
          <t>Primary Care Clinic</t>
        </is>
      </c>
      <c r="F149" t="inlineStr">
        <is>
          <t>Ambulatory</t>
        </is>
      </c>
      <c r="G149" s="29" t="n">
        <v>45674</v>
      </c>
      <c r="H149" s="29" t="n">
        <v>45674</v>
      </c>
      <c r="I149" s="30" t="n"/>
      <c r="J149" t="inlineStr">
        <is>
          <t>J06.9</t>
        </is>
      </c>
      <c r="K149" t="inlineStr">
        <is>
          <t>Acute upper respiratory infection, unspecified</t>
        </is>
      </c>
      <c r="L149" t="inlineStr">
        <is>
          <t>Respiratory</t>
        </is>
      </c>
      <c r="M149" t="inlineStr">
        <is>
          <t>Home/Self-Care</t>
        </is>
      </c>
      <c r="N149" t="inlineStr">
        <is>
          <t>Evergreen Mutual Insurance</t>
        </is>
      </c>
      <c r="O149" s="31" t="n">
        <v>424.45</v>
      </c>
    </row>
    <row r="150">
      <c r="A150" t="inlineStr">
        <is>
          <t>ENC111322</t>
        </is>
      </c>
      <c r="B150" t="inlineStr">
        <is>
          <t>PT12996</t>
        </is>
      </c>
      <c r="C150" t="inlineStr">
        <is>
          <t>Outpatient</t>
        </is>
      </c>
      <c r="D150" t="inlineStr">
        <is>
          <t>Bluestone Outpatient Pavilion</t>
        </is>
      </c>
      <c r="E150" t="inlineStr">
        <is>
          <t>Primary Care Clinic</t>
        </is>
      </c>
      <c r="F150" t="inlineStr">
        <is>
          <t>Ambulatory</t>
        </is>
      </c>
      <c r="G150" s="29" t="n">
        <v>45674</v>
      </c>
      <c r="H150" s="29" t="n">
        <v>45674</v>
      </c>
      <c r="I150" s="30" t="n"/>
      <c r="J150" t="inlineStr">
        <is>
          <t>Z00.00</t>
        </is>
      </c>
      <c r="K150" t="inlineStr">
        <is>
          <t>Encounter for general adult medical examination without abnormal findings</t>
        </is>
      </c>
      <c r="L150" t="inlineStr">
        <is>
          <t>Factors Influencing Health</t>
        </is>
      </c>
      <c r="M150" t="inlineStr">
        <is>
          <t>Home/Self-Care</t>
        </is>
      </c>
      <c r="N150" t="inlineStr">
        <is>
          <t>Medicare</t>
        </is>
      </c>
      <c r="O150" s="31" t="n">
        <v>301.2</v>
      </c>
    </row>
    <row r="151">
      <c r="A151" t="inlineStr">
        <is>
          <t>ENC111325</t>
        </is>
      </c>
      <c r="B151" t="inlineStr">
        <is>
          <t>PT13940</t>
        </is>
      </c>
      <c r="C151" t="inlineStr">
        <is>
          <t>Observation</t>
        </is>
      </c>
      <c r="D151" t="inlineStr">
        <is>
          <t>Cedar Ridge Medical Center</t>
        </is>
      </c>
      <c r="E151" t="inlineStr">
        <is>
          <t>Medical-Surgical</t>
        </is>
      </c>
      <c r="F151" t="inlineStr">
        <is>
          <t>Medicine</t>
        </is>
      </c>
      <c r="G151" s="29" t="n">
        <v>45674</v>
      </c>
      <c r="H151" s="29" t="n">
        <v>45676</v>
      </c>
      <c r="I151" s="30" t="n">
        <v>2</v>
      </c>
      <c r="J151" t="inlineStr">
        <is>
          <t>J18.9</t>
        </is>
      </c>
      <c r="K151" t="inlineStr">
        <is>
          <t>Pneumonia, unspecified organism</t>
        </is>
      </c>
      <c r="L151" t="inlineStr">
        <is>
          <t>Respiratory</t>
        </is>
      </c>
      <c r="M151" t="inlineStr">
        <is>
          <t>Home/Self-Care</t>
        </is>
      </c>
      <c r="N151" t="inlineStr">
        <is>
          <t>Evergreen Mutual Insurance</t>
        </is>
      </c>
      <c r="O151" s="31" t="n">
        <v>4409.79</v>
      </c>
    </row>
    <row r="152">
      <c r="A152" t="inlineStr">
        <is>
          <t>ENC111327</t>
        </is>
      </c>
      <c r="B152" t="inlineStr">
        <is>
          <t>PT12592</t>
        </is>
      </c>
      <c r="C152" t="inlineStr">
        <is>
          <t>Emergency</t>
        </is>
      </c>
      <c r="D152" t="inlineStr">
        <is>
          <t>Bluestone Memorial Hospital</t>
        </is>
      </c>
      <c r="E152" t="inlineStr">
        <is>
          <t>Emergency Department</t>
        </is>
      </c>
      <c r="F152" t="inlineStr">
        <is>
          <t>Emergency</t>
        </is>
      </c>
      <c r="G152" s="29" t="n">
        <v>45674</v>
      </c>
      <c r="H152" s="29" t="n">
        <v>45675</v>
      </c>
      <c r="I152" s="30" t="n"/>
      <c r="J152" t="inlineStr">
        <is>
          <t>G40.909</t>
        </is>
      </c>
      <c r="K152" t="inlineStr">
        <is>
          <t>Epilepsy, unspecified, not intractable, without status epilepticus</t>
        </is>
      </c>
      <c r="L152" t="inlineStr">
        <is>
          <t>Nervous System</t>
        </is>
      </c>
      <c r="M152" t="inlineStr">
        <is>
          <t>Home/Self-Care</t>
        </is>
      </c>
      <c r="N152" t="inlineStr">
        <is>
          <t>Evergreen Mutual Insurance</t>
        </is>
      </c>
      <c r="O152" s="31" t="n">
        <v>5764.68</v>
      </c>
    </row>
    <row r="153">
      <c r="A153" t="inlineStr">
        <is>
          <t>ENC111334</t>
        </is>
      </c>
      <c r="B153" t="inlineStr">
        <is>
          <t>PT10932</t>
        </is>
      </c>
      <c r="C153" t="inlineStr">
        <is>
          <t>Emergency</t>
        </is>
      </c>
      <c r="D153" t="inlineStr">
        <is>
          <t>Bluestone Memorial Hospital</t>
        </is>
      </c>
      <c r="E153" t="inlineStr">
        <is>
          <t>Emergency Department</t>
        </is>
      </c>
      <c r="F153" t="inlineStr">
        <is>
          <t>Emergency</t>
        </is>
      </c>
      <c r="G153" s="29" t="n">
        <v>45674</v>
      </c>
      <c r="H153" s="29" t="n">
        <v>45675</v>
      </c>
      <c r="I153" s="30" t="n"/>
      <c r="J153" t="inlineStr">
        <is>
          <t>U07.1</t>
        </is>
      </c>
      <c r="K153" t="inlineStr">
        <is>
          <t>COVID-19</t>
        </is>
      </c>
      <c r="L153" t="inlineStr">
        <is>
          <t>Respiratory</t>
        </is>
      </c>
      <c r="M153" t="inlineStr">
        <is>
          <t>Home/Self-Care</t>
        </is>
      </c>
      <c r="N153" t="inlineStr">
        <is>
          <t>Evergreen Mutual Insurance</t>
        </is>
      </c>
      <c r="O153" s="31" t="n">
        <v>4019.23</v>
      </c>
    </row>
    <row r="154">
      <c r="A154" t="inlineStr">
        <is>
          <t>ENC111335</t>
        </is>
      </c>
      <c r="B154" t="inlineStr">
        <is>
          <t>PT12484</t>
        </is>
      </c>
      <c r="C154" t="inlineStr">
        <is>
          <t>Inpatient</t>
        </is>
      </c>
      <c r="D154" t="inlineStr">
        <is>
          <t>Bluestone Memorial Hospital</t>
        </is>
      </c>
      <c r="E154" t="inlineStr">
        <is>
          <t>Medical-Surgical 4 West</t>
        </is>
      </c>
      <c r="F154" t="inlineStr">
        <is>
          <t>Medicine</t>
        </is>
      </c>
      <c r="G154" s="29" t="n">
        <v>45675</v>
      </c>
      <c r="H154" s="29" t="n">
        <v>45677</v>
      </c>
      <c r="I154" s="30" t="n">
        <v>2</v>
      </c>
      <c r="J154" t="inlineStr">
        <is>
          <t>J18.9</t>
        </is>
      </c>
      <c r="K154" t="inlineStr">
        <is>
          <t>Pneumonia, unspecified organism</t>
        </is>
      </c>
      <c r="L154" t="inlineStr">
        <is>
          <t>Respiratory</t>
        </is>
      </c>
      <c r="M154" t="inlineStr">
        <is>
          <t>Home/Self-Care</t>
        </is>
      </c>
      <c r="N154" t="inlineStr">
        <is>
          <t>Medicare</t>
        </is>
      </c>
      <c r="O154" s="31" t="n">
        <v>7486.05</v>
      </c>
      <c r="P154" t="inlineStr">
        <is>
          <t>N</t>
        </is>
      </c>
    </row>
    <row r="155">
      <c r="A155" t="inlineStr">
        <is>
          <t>ENC111338</t>
        </is>
      </c>
      <c r="B155" t="inlineStr">
        <is>
          <t>PT11388</t>
        </is>
      </c>
      <c r="C155" t="inlineStr">
        <is>
          <t>Emergency</t>
        </is>
      </c>
      <c r="D155" t="inlineStr">
        <is>
          <t>Bluestone Memorial Hospital</t>
        </is>
      </c>
      <c r="E155" t="inlineStr">
        <is>
          <t>Emergency Department</t>
        </is>
      </c>
      <c r="F155" t="inlineStr">
        <is>
          <t>Emergency</t>
        </is>
      </c>
      <c r="G155" s="29" t="n">
        <v>45675</v>
      </c>
      <c r="H155" s="29" t="n">
        <v>45675</v>
      </c>
      <c r="I155" s="30" t="n"/>
      <c r="J155" t="inlineStr">
        <is>
          <t>F41.9</t>
        </is>
      </c>
      <c r="K155" t="inlineStr">
        <is>
          <t>Anxiety disorder, unspecified</t>
        </is>
      </c>
      <c r="L155" t="inlineStr">
        <is>
          <t>Mental &amp; Behavioral</t>
        </is>
      </c>
      <c r="M155" t="inlineStr">
        <is>
          <t>Home/Self-Care</t>
        </is>
      </c>
      <c r="N155" t="inlineStr">
        <is>
          <t>Keystone Health Partners</t>
        </is>
      </c>
      <c r="O155" s="31" t="n">
        <v>1258.44</v>
      </c>
    </row>
    <row r="156">
      <c r="A156" t="inlineStr">
        <is>
          <t>ENC111339</t>
        </is>
      </c>
      <c r="B156" t="inlineStr">
        <is>
          <t>PT10400</t>
        </is>
      </c>
      <c r="C156" t="inlineStr">
        <is>
          <t>Emergency</t>
        </is>
      </c>
      <c r="D156" t="inlineStr">
        <is>
          <t>Ashby Falls Community Hospital</t>
        </is>
      </c>
      <c r="E156" t="inlineStr">
        <is>
          <t>Emergency Department</t>
        </is>
      </c>
      <c r="F156" t="inlineStr">
        <is>
          <t>Emergency</t>
        </is>
      </c>
      <c r="G156" s="29" t="n">
        <v>45675</v>
      </c>
      <c r="H156" s="29" t="n">
        <v>45675</v>
      </c>
      <c r="I156" s="30" t="n"/>
      <c r="J156" t="inlineStr">
        <is>
          <t>J06.9</t>
        </is>
      </c>
      <c r="K156" t="inlineStr">
        <is>
          <t>Acute upper respiratory infection, unspecified</t>
        </is>
      </c>
      <c r="L156" t="inlineStr">
        <is>
          <t>Respiratory</t>
        </is>
      </c>
      <c r="M156" t="inlineStr">
        <is>
          <t>Home/Self-Care</t>
        </is>
      </c>
      <c r="N156" t="inlineStr">
        <is>
          <t>Silverline Medicare Advantage</t>
        </is>
      </c>
      <c r="O156" s="31" t="n">
        <v>1063.03</v>
      </c>
    </row>
    <row r="157">
      <c r="A157" t="inlineStr">
        <is>
          <t>ENC111346</t>
        </is>
      </c>
      <c r="B157" t="inlineStr">
        <is>
          <t>PT13864</t>
        </is>
      </c>
      <c r="C157" t="inlineStr">
        <is>
          <t>Observation</t>
        </is>
      </c>
      <c r="D157" t="inlineStr">
        <is>
          <t>Bluestone Memorial Hospital</t>
        </is>
      </c>
      <c r="E157" t="inlineStr">
        <is>
          <t>Observation Unit</t>
        </is>
      </c>
      <c r="F157" t="inlineStr">
        <is>
          <t>Medicine</t>
        </is>
      </c>
      <c r="G157" s="29" t="n">
        <v>45675</v>
      </c>
      <c r="H157" s="29" t="n">
        <v>45677</v>
      </c>
      <c r="I157" s="30" t="n">
        <v>2</v>
      </c>
      <c r="J157" t="inlineStr">
        <is>
          <t>J44.1</t>
        </is>
      </c>
      <c r="K157" t="inlineStr">
        <is>
          <t>Chronic obstructive pulmonary disease with (acute) exacerbation</t>
        </is>
      </c>
      <c r="L157" t="inlineStr">
        <is>
          <t>Respiratory</t>
        </is>
      </c>
      <c r="M157" t="inlineStr">
        <is>
          <t>Home/Self-Care</t>
        </is>
      </c>
      <c r="N157" t="inlineStr">
        <is>
          <t>Silverline Medicare Advantage</t>
        </is>
      </c>
      <c r="O157" s="31" t="n">
        <v>11238.38</v>
      </c>
    </row>
    <row r="158">
      <c r="A158" t="inlineStr">
        <is>
          <t>ENC111367</t>
        </is>
      </c>
      <c r="B158" t="inlineStr">
        <is>
          <t>PT10016</t>
        </is>
      </c>
      <c r="C158" t="inlineStr">
        <is>
          <t>Observation</t>
        </is>
      </c>
      <c r="D158" t="inlineStr">
        <is>
          <t>Cedar Ridge Medical Center</t>
        </is>
      </c>
      <c r="E158" t="inlineStr">
        <is>
          <t>Medical-Surgical</t>
        </is>
      </c>
      <c r="F158" t="inlineStr">
        <is>
          <t>Medicine</t>
        </is>
      </c>
      <c r="G158" s="29" t="n">
        <v>45676</v>
      </c>
      <c r="H158" s="29" t="n">
        <v>45677</v>
      </c>
      <c r="I158" s="30" t="n">
        <v>1</v>
      </c>
      <c r="J158" t="inlineStr">
        <is>
          <t>R07.9</t>
        </is>
      </c>
      <c r="K158" t="inlineStr">
        <is>
          <t>Chest pain, unspecified</t>
        </is>
      </c>
      <c r="L158" t="inlineStr">
        <is>
          <t>Symptoms &amp; Signs</t>
        </is>
      </c>
      <c r="M158" t="inlineStr">
        <is>
          <t>Home/Self-Care</t>
        </is>
      </c>
      <c r="N158" t="inlineStr">
        <is>
          <t>Keystone Health Partners</t>
        </is>
      </c>
      <c r="O158" s="31" t="n">
        <v>9933.16</v>
      </c>
    </row>
    <row r="159">
      <c r="A159" t="inlineStr">
        <is>
          <t>ENC111369</t>
        </is>
      </c>
      <c r="B159" t="inlineStr">
        <is>
          <t>PT13032</t>
        </is>
      </c>
      <c r="C159" t="inlineStr">
        <is>
          <t>Emergency</t>
        </is>
      </c>
      <c r="D159" t="inlineStr">
        <is>
          <t>Bluestone Memorial Hospital</t>
        </is>
      </c>
      <c r="E159" t="inlineStr">
        <is>
          <t>Emergency Department</t>
        </is>
      </c>
      <c r="F159" t="inlineStr">
        <is>
          <t>Emergency</t>
        </is>
      </c>
      <c r="G159" s="29" t="n">
        <v>45677</v>
      </c>
      <c r="H159" s="29" t="n">
        <v>45677</v>
      </c>
      <c r="I159" s="30" t="n"/>
      <c r="J159" t="inlineStr">
        <is>
          <t>A08.4</t>
        </is>
      </c>
      <c r="K159" t="inlineStr">
        <is>
          <t>Viral intestinal infection, unspecified</t>
        </is>
      </c>
      <c r="L159" t="inlineStr">
        <is>
          <t>Infectious</t>
        </is>
      </c>
      <c r="M159" t="inlineStr">
        <is>
          <t>Home/Self-Care</t>
        </is>
      </c>
      <c r="N159" t="inlineStr">
        <is>
          <t>State Medicaid</t>
        </is>
      </c>
      <c r="O159" s="31" t="n">
        <v>2733.2</v>
      </c>
    </row>
    <row r="160">
      <c r="A160" t="inlineStr">
        <is>
          <t>ENC111372</t>
        </is>
      </c>
      <c r="B160" t="inlineStr">
        <is>
          <t>PT11608</t>
        </is>
      </c>
      <c r="C160" t="inlineStr">
        <is>
          <t>Outpatient</t>
        </is>
      </c>
      <c r="D160" t="inlineStr">
        <is>
          <t>Bluestone Outpatient Pavilion</t>
        </is>
      </c>
      <c r="E160" t="inlineStr">
        <is>
          <t>Primary Care Clinic</t>
        </is>
      </c>
      <c r="F160" t="inlineStr">
        <is>
          <t>Ambulatory</t>
        </is>
      </c>
      <c r="G160" s="29" t="n">
        <v>45677</v>
      </c>
      <c r="H160" s="29" t="n">
        <v>45677</v>
      </c>
      <c r="I160" s="30" t="n"/>
      <c r="J160" t="inlineStr">
        <is>
          <t>M54.50</t>
        </is>
      </c>
      <c r="K160" t="inlineStr">
        <is>
          <t>Low back pain, unspecified</t>
        </is>
      </c>
      <c r="L160" t="inlineStr">
        <is>
          <t>Musculoskeletal</t>
        </is>
      </c>
      <c r="M160" t="inlineStr">
        <is>
          <t>Home/Self-Care</t>
        </is>
      </c>
      <c r="N160" t="inlineStr">
        <is>
          <t>Keystone Health Partners</t>
        </is>
      </c>
      <c r="O160" s="31" t="n">
        <v>163.79</v>
      </c>
    </row>
    <row r="161">
      <c r="A161" t="inlineStr">
        <is>
          <t>ENC111374</t>
        </is>
      </c>
      <c r="B161" t="inlineStr">
        <is>
          <t>PT11132</t>
        </is>
      </c>
      <c r="C161" t="inlineStr">
        <is>
          <t>Outpatient</t>
        </is>
      </c>
      <c r="D161" t="inlineStr">
        <is>
          <t>Bluestone Outpatient Pavilion</t>
        </is>
      </c>
      <c r="E161" t="inlineStr">
        <is>
          <t>Pediatric Clinic</t>
        </is>
      </c>
      <c r="F161" t="inlineStr">
        <is>
          <t>Women &amp; Children</t>
        </is>
      </c>
      <c r="G161" s="29" t="n">
        <v>45677</v>
      </c>
      <c r="H161" s="29" t="n">
        <v>45677</v>
      </c>
      <c r="I161" s="30" t="n"/>
      <c r="J161" t="inlineStr">
        <is>
          <t>H66.90</t>
        </is>
      </c>
      <c r="K161" t="inlineStr">
        <is>
          <t>Otitis media, unspecified, unspecified ear</t>
        </is>
      </c>
      <c r="L161" t="inlineStr">
        <is>
          <t>Ear</t>
        </is>
      </c>
      <c r="M161" t="inlineStr">
        <is>
          <t>Home/Self-Care</t>
        </is>
      </c>
      <c r="N161" t="inlineStr">
        <is>
          <t>State Medicaid</t>
        </is>
      </c>
      <c r="O161" s="31" t="n">
        <v>245.63</v>
      </c>
    </row>
    <row r="162">
      <c r="A162" t="inlineStr">
        <is>
          <t>ENC111377</t>
        </is>
      </c>
      <c r="B162" t="inlineStr">
        <is>
          <t>PT12796</t>
        </is>
      </c>
      <c r="C162" t="inlineStr">
        <is>
          <t>Inpatient</t>
        </is>
      </c>
      <c r="D162" t="inlineStr">
        <is>
          <t>Bluestone Memorial Hospital</t>
        </is>
      </c>
      <c r="E162" t="inlineStr">
        <is>
          <t>Oncology</t>
        </is>
      </c>
      <c r="F162" t="inlineStr">
        <is>
          <t>Oncology</t>
        </is>
      </c>
      <c r="G162" s="29" t="n">
        <v>45677</v>
      </c>
      <c r="H162" s="29" t="n">
        <v>45685</v>
      </c>
      <c r="I162" s="30" t="n">
        <v>8</v>
      </c>
      <c r="J162" t="inlineStr">
        <is>
          <t>C34.90</t>
        </is>
      </c>
      <c r="K162" t="inlineStr">
        <is>
          <t>Malignant neoplasm of unspecified part of unspecified bronchus or lung</t>
        </is>
      </c>
      <c r="L162" t="inlineStr">
        <is>
          <t>Neoplasms</t>
        </is>
      </c>
      <c r="M162" t="inlineStr">
        <is>
          <t>Home/Self-Care</t>
        </is>
      </c>
      <c r="N162" t="inlineStr">
        <is>
          <t>State Medicaid</t>
        </is>
      </c>
      <c r="O162" s="31" t="n">
        <v>44045.97</v>
      </c>
      <c r="P162" t="inlineStr">
        <is>
          <t>N</t>
        </is>
      </c>
    </row>
    <row r="163">
      <c r="A163" t="inlineStr">
        <is>
          <t>ENC111379</t>
        </is>
      </c>
      <c r="B163" t="inlineStr">
        <is>
          <t>PT13424</t>
        </is>
      </c>
      <c r="C163" t="inlineStr">
        <is>
          <t>Emergency</t>
        </is>
      </c>
      <c r="D163" t="inlineStr">
        <is>
          <t>Cedar Ridge Medical Center</t>
        </is>
      </c>
      <c r="E163" t="inlineStr">
        <is>
          <t>Emergency Department</t>
        </is>
      </c>
      <c r="F163" t="inlineStr">
        <is>
          <t>Emergency</t>
        </is>
      </c>
      <c r="G163" s="29" t="n">
        <v>45677</v>
      </c>
      <c r="H163" s="29" t="n">
        <v>45677</v>
      </c>
      <c r="I163" s="30" t="n"/>
      <c r="J163" t="inlineStr">
        <is>
          <t>N39.0</t>
        </is>
      </c>
      <c r="K163" t="inlineStr">
        <is>
          <t>Urinary tract infection, site not specified</t>
        </is>
      </c>
      <c r="L163" t="inlineStr">
        <is>
          <t>Genitourinary</t>
        </is>
      </c>
      <c r="M163" t="inlineStr">
        <is>
          <t>Home/Self-Care</t>
        </is>
      </c>
      <c r="N163" t="inlineStr">
        <is>
          <t>Evergreen Mutual Insurance</t>
        </is>
      </c>
      <c r="O163" s="31" t="n">
        <v>4104.08</v>
      </c>
    </row>
    <row r="164">
      <c r="A164" t="inlineStr">
        <is>
          <t>ENC111383</t>
        </is>
      </c>
      <c r="B164" t="inlineStr">
        <is>
          <t>PT12584</t>
        </is>
      </c>
      <c r="C164" t="inlineStr">
        <is>
          <t>Outpatient</t>
        </is>
      </c>
      <c r="D164" t="inlineStr">
        <is>
          <t>Bluestone Outpatient Pavilion</t>
        </is>
      </c>
      <c r="E164" t="inlineStr">
        <is>
          <t>Primary Care Clinic</t>
        </is>
      </c>
      <c r="F164" t="inlineStr">
        <is>
          <t>Ambulatory</t>
        </is>
      </c>
      <c r="G164" s="29" t="n">
        <v>45677</v>
      </c>
      <c r="H164" s="29" t="n">
        <v>45677</v>
      </c>
      <c r="I164" s="30" t="n"/>
      <c r="J164" t="inlineStr">
        <is>
          <t>L03.115</t>
        </is>
      </c>
      <c r="K164" t="inlineStr">
        <is>
          <t>Cellulitis of right lower limb</t>
        </is>
      </c>
      <c r="L164" t="inlineStr">
        <is>
          <t>Skin</t>
        </is>
      </c>
      <c r="M164" t="inlineStr">
        <is>
          <t>Home/Self-Care</t>
        </is>
      </c>
      <c r="N164" t="inlineStr">
        <is>
          <t>Silverline Medicare Advantage</t>
        </is>
      </c>
      <c r="O164" s="31" t="n">
        <v>475.03</v>
      </c>
    </row>
    <row r="165">
      <c r="A165" t="inlineStr">
        <is>
          <t>ENC111390</t>
        </is>
      </c>
      <c r="B165" t="inlineStr">
        <is>
          <t>PT13832</t>
        </is>
      </c>
      <c r="C165" t="inlineStr">
        <is>
          <t>Outpatient</t>
        </is>
      </c>
      <c r="D165" t="inlineStr">
        <is>
          <t>Bluestone Outpatient Pavilion</t>
        </is>
      </c>
      <c r="E165" t="inlineStr">
        <is>
          <t>Infusion &amp; Oncology Clinic</t>
        </is>
      </c>
      <c r="F165" t="inlineStr">
        <is>
          <t>Oncology</t>
        </is>
      </c>
      <c r="G165" s="29" t="n">
        <v>45677</v>
      </c>
      <c r="H165" s="29" t="n">
        <v>45677</v>
      </c>
      <c r="I165" s="30" t="n"/>
      <c r="J165" t="inlineStr">
        <is>
          <t>Z51.11</t>
        </is>
      </c>
      <c r="K165" t="inlineStr">
        <is>
          <t>Encounter for antineoplastic chemotherapy</t>
        </is>
      </c>
      <c r="L165" t="inlineStr">
        <is>
          <t>Factors Influencing Health</t>
        </is>
      </c>
      <c r="M165" t="inlineStr">
        <is>
          <t>Home/Self-Care</t>
        </is>
      </c>
      <c r="N165" t="inlineStr">
        <is>
          <t>Medicare</t>
        </is>
      </c>
      <c r="O165" s="31" t="n">
        <v>14358.29</v>
      </c>
    </row>
    <row r="166">
      <c r="A166" t="inlineStr">
        <is>
          <t>ENC111392</t>
        </is>
      </c>
      <c r="B166" t="inlineStr">
        <is>
          <t>PT12068</t>
        </is>
      </c>
      <c r="C166" t="inlineStr">
        <is>
          <t>Outpatient</t>
        </is>
      </c>
      <c r="D166" t="inlineStr">
        <is>
          <t>Bluestone Outpatient Pavilion</t>
        </is>
      </c>
      <c r="E166" t="inlineStr">
        <is>
          <t>Primary Care Clinic</t>
        </is>
      </c>
      <c r="F166" t="inlineStr">
        <is>
          <t>Ambulatory</t>
        </is>
      </c>
      <c r="G166" s="29" t="n">
        <v>45677</v>
      </c>
      <c r="H166" s="29" t="n">
        <v>45677</v>
      </c>
      <c r="I166" s="30" t="n"/>
      <c r="J166" t="inlineStr">
        <is>
          <t>Z23</t>
        </is>
      </c>
      <c r="K166" t="inlineStr">
        <is>
          <t>Encounter for immunization</t>
        </is>
      </c>
      <c r="L166" t="inlineStr">
        <is>
          <t>Factors Influencing Health</t>
        </is>
      </c>
      <c r="M166" t="inlineStr">
        <is>
          <t>Home/Self-Care</t>
        </is>
      </c>
      <c r="N166" t="inlineStr">
        <is>
          <t>Keystone Health Partners</t>
        </is>
      </c>
      <c r="O166" s="31" t="n">
        <v>119.31</v>
      </c>
    </row>
    <row r="167">
      <c r="A167" t="inlineStr">
        <is>
          <t>ENC111393</t>
        </is>
      </c>
      <c r="B167" t="inlineStr">
        <is>
          <t>PT10740</t>
        </is>
      </c>
      <c r="C167" t="inlineStr">
        <is>
          <t>Observation</t>
        </is>
      </c>
      <c r="D167" t="inlineStr">
        <is>
          <t>Bluestone Memorial Hospital</t>
        </is>
      </c>
      <c r="E167" t="inlineStr">
        <is>
          <t>Observation Unit</t>
        </is>
      </c>
      <c r="F167" t="inlineStr">
        <is>
          <t>Medicine</t>
        </is>
      </c>
      <c r="G167" s="29" t="n">
        <v>45677</v>
      </c>
      <c r="H167" s="29" t="n">
        <v>45678</v>
      </c>
      <c r="I167" s="30" t="n">
        <v>1</v>
      </c>
      <c r="J167" t="inlineStr">
        <is>
          <t>J18.9</t>
        </is>
      </c>
      <c r="K167" t="inlineStr">
        <is>
          <t>Pneumonia, unspecified organism</t>
        </is>
      </c>
      <c r="L167" t="inlineStr">
        <is>
          <t>Respiratory</t>
        </is>
      </c>
      <c r="M167" t="inlineStr">
        <is>
          <t>Home/Self-Care</t>
        </is>
      </c>
      <c r="N167" t="inlineStr">
        <is>
          <t>Keystone Health Partners</t>
        </is>
      </c>
      <c r="O167" s="31" t="n">
        <v>10471.55</v>
      </c>
    </row>
    <row r="168">
      <c r="A168" t="inlineStr">
        <is>
          <t>ENC111395</t>
        </is>
      </c>
      <c r="B168" t="inlineStr">
        <is>
          <t>PT13400</t>
        </is>
      </c>
      <c r="C168" t="inlineStr">
        <is>
          <t>Outpatient</t>
        </is>
      </c>
      <c r="D168" t="inlineStr">
        <is>
          <t>Bluestone Outpatient Pavilion</t>
        </is>
      </c>
      <c r="E168" t="inlineStr">
        <is>
          <t>Orthopedic Clinic</t>
        </is>
      </c>
      <c r="F168" t="inlineStr">
        <is>
          <t>Orthopedics</t>
        </is>
      </c>
      <c r="G168" s="29" t="n">
        <v>45677</v>
      </c>
      <c r="H168" s="29" t="n">
        <v>45677</v>
      </c>
      <c r="I168" s="30" t="n"/>
      <c r="J168" t="inlineStr">
        <is>
          <t>M16.11</t>
        </is>
      </c>
      <c r="K168" t="inlineStr">
        <is>
          <t>Unilateral primary osteoarthritis, right hip</t>
        </is>
      </c>
      <c r="L168" t="inlineStr">
        <is>
          <t>Musculoskeletal</t>
        </is>
      </c>
      <c r="M168" t="inlineStr">
        <is>
          <t>Home/Self-Care</t>
        </is>
      </c>
      <c r="N168" t="inlineStr">
        <is>
          <t>Keystone Health Partners</t>
        </is>
      </c>
      <c r="O168" s="31" t="n">
        <v>194.21</v>
      </c>
    </row>
    <row r="169">
      <c r="A169" t="inlineStr">
        <is>
          <t>ENC111397</t>
        </is>
      </c>
      <c r="B169" t="inlineStr">
        <is>
          <t>PT12860</t>
        </is>
      </c>
      <c r="C169" t="inlineStr">
        <is>
          <t>Emergency</t>
        </is>
      </c>
      <c r="D169" t="inlineStr">
        <is>
          <t>Cedar Ridge Medical Center</t>
        </is>
      </c>
      <c r="E169" t="inlineStr">
        <is>
          <t>Emergency Department</t>
        </is>
      </c>
      <c r="F169" t="inlineStr">
        <is>
          <t>Emergency</t>
        </is>
      </c>
      <c r="G169" s="29" t="n">
        <v>45677</v>
      </c>
      <c r="H169" s="29" t="n">
        <v>45677</v>
      </c>
      <c r="I169" s="30" t="n"/>
      <c r="J169" t="inlineStr">
        <is>
          <t>M54.50</t>
        </is>
      </c>
      <c r="K169" t="inlineStr">
        <is>
          <t>Low back pain, unspecified</t>
        </is>
      </c>
      <c r="L169" t="inlineStr">
        <is>
          <t>Musculoskeletal</t>
        </is>
      </c>
      <c r="M169" t="inlineStr">
        <is>
          <t>Home/Self-Care</t>
        </is>
      </c>
      <c r="N169" t="inlineStr">
        <is>
          <t>Self-Pay</t>
        </is>
      </c>
      <c r="O169" s="31" t="n">
        <v>1054.43</v>
      </c>
    </row>
    <row r="170">
      <c r="A170" t="inlineStr">
        <is>
          <t>ENC111399</t>
        </is>
      </c>
      <c r="B170" t="inlineStr">
        <is>
          <t>PT10384</t>
        </is>
      </c>
      <c r="C170" t="inlineStr">
        <is>
          <t>Outpatient</t>
        </is>
      </c>
      <c r="D170" t="inlineStr">
        <is>
          <t>Bluestone Outpatient Pavilion</t>
        </is>
      </c>
      <c r="E170" t="inlineStr">
        <is>
          <t>Endocrinology &amp; Diabetes Clinic</t>
        </is>
      </c>
      <c r="F170" t="inlineStr">
        <is>
          <t>Ambulatory</t>
        </is>
      </c>
      <c r="G170" s="29" t="n">
        <v>45677</v>
      </c>
      <c r="H170" s="29" t="n">
        <v>45677</v>
      </c>
      <c r="I170" s="30" t="n"/>
      <c r="J170" t="inlineStr">
        <is>
          <t>E11.9</t>
        </is>
      </c>
      <c r="K170" t="inlineStr">
        <is>
          <t>Type 2 diabetes mellitus without complications</t>
        </is>
      </c>
      <c r="L170" t="inlineStr">
        <is>
          <t>Endocrine</t>
        </is>
      </c>
      <c r="M170" t="inlineStr">
        <is>
          <t>Home/Self-Care</t>
        </is>
      </c>
      <c r="N170" t="inlineStr">
        <is>
          <t>State Medicaid</t>
        </is>
      </c>
      <c r="O170" s="31" t="n">
        <v>467.86</v>
      </c>
    </row>
    <row r="171">
      <c r="A171" t="inlineStr">
        <is>
          <t>ENC111402</t>
        </is>
      </c>
      <c r="B171" t="inlineStr">
        <is>
          <t>PT11952</t>
        </is>
      </c>
      <c r="C171" t="inlineStr">
        <is>
          <t>Inpatient</t>
        </is>
      </c>
      <c r="D171" t="inlineStr">
        <is>
          <t>Ashby Falls Community Hospital</t>
        </is>
      </c>
      <c r="E171" t="inlineStr">
        <is>
          <t>Intensive Care Unit</t>
        </is>
      </c>
      <c r="F171" t="inlineStr">
        <is>
          <t>Critical Care</t>
        </is>
      </c>
      <c r="G171" s="29" t="n">
        <v>45677</v>
      </c>
      <c r="H171" s="29" t="n">
        <v>45689</v>
      </c>
      <c r="I171" s="30" t="n">
        <v>12</v>
      </c>
      <c r="J171" t="inlineStr">
        <is>
          <t>A41.9</t>
        </is>
      </c>
      <c r="K171" t="inlineStr">
        <is>
          <t>Sepsis, unspecified organism</t>
        </is>
      </c>
      <c r="L171" t="inlineStr">
        <is>
          <t>Infectious</t>
        </is>
      </c>
      <c r="M171" t="inlineStr">
        <is>
          <t>Home/Self-Care</t>
        </is>
      </c>
      <c r="N171" t="inlineStr">
        <is>
          <t>Silverline Medicare Advantage</t>
        </is>
      </c>
      <c r="O171" s="31" t="n">
        <v>93422.94</v>
      </c>
      <c r="P171" t="inlineStr">
        <is>
          <t>N</t>
        </is>
      </c>
    </row>
    <row r="172">
      <c r="A172" t="inlineStr">
        <is>
          <t>ENC111408</t>
        </is>
      </c>
      <c r="B172" t="inlineStr">
        <is>
          <t>PT10600</t>
        </is>
      </c>
      <c r="C172" t="inlineStr">
        <is>
          <t>Inpatient</t>
        </is>
      </c>
      <c r="D172" t="inlineStr">
        <is>
          <t>Bluestone Memorial Hospital</t>
        </is>
      </c>
      <c r="E172" t="inlineStr">
        <is>
          <t>Medical-Surgical 4 West</t>
        </is>
      </c>
      <c r="F172" t="inlineStr">
        <is>
          <t>Medicine</t>
        </is>
      </c>
      <c r="G172" s="29" t="n">
        <v>45677</v>
      </c>
      <c r="H172" s="29" t="n">
        <v>45684</v>
      </c>
      <c r="I172" s="30" t="n">
        <v>7</v>
      </c>
      <c r="J172" t="inlineStr">
        <is>
          <t>N39.0</t>
        </is>
      </c>
      <c r="K172" t="inlineStr">
        <is>
          <t>Urinary tract infection, site not specified</t>
        </is>
      </c>
      <c r="L172" t="inlineStr">
        <is>
          <t>Genitourinary</t>
        </is>
      </c>
      <c r="M172" t="inlineStr">
        <is>
          <t>Home/Self-Care</t>
        </is>
      </c>
      <c r="N172" t="inlineStr">
        <is>
          <t>Summit Choice PPO</t>
        </is>
      </c>
      <c r="O172" s="31" t="n">
        <v>34599.32</v>
      </c>
      <c r="P172" t="inlineStr">
        <is>
          <t>Y</t>
        </is>
      </c>
    </row>
    <row r="173">
      <c r="A173" t="inlineStr">
        <is>
          <t>ENC111410</t>
        </is>
      </c>
      <c r="B173" t="inlineStr">
        <is>
          <t>PT12576</t>
        </is>
      </c>
      <c r="C173" t="inlineStr">
        <is>
          <t>Inpatient</t>
        </is>
      </c>
      <c r="D173" t="inlineStr">
        <is>
          <t>Bluestone Memorial Hospital</t>
        </is>
      </c>
      <c r="E173" t="inlineStr">
        <is>
          <t>Medical-Surgical 4 West</t>
        </is>
      </c>
      <c r="F173" t="inlineStr">
        <is>
          <t>Medicine</t>
        </is>
      </c>
      <c r="G173" s="29" t="n">
        <v>45678</v>
      </c>
      <c r="H173" s="29" t="n">
        <v>45683</v>
      </c>
      <c r="I173" s="30" t="n">
        <v>5</v>
      </c>
      <c r="J173" t="inlineStr">
        <is>
          <t>J44.1</t>
        </is>
      </c>
      <c r="K173" t="inlineStr">
        <is>
          <t>Chronic obstructive pulmonary disease with (acute) exacerbation</t>
        </is>
      </c>
      <c r="L173" t="inlineStr">
        <is>
          <t>Respiratory</t>
        </is>
      </c>
      <c r="M173" t="inlineStr">
        <is>
          <t>Home/Self-Care</t>
        </is>
      </c>
      <c r="N173" t="inlineStr">
        <is>
          <t>Medicare</t>
        </is>
      </c>
      <c r="O173" s="31" t="n">
        <v>33824.54</v>
      </c>
      <c r="P173" t="inlineStr">
        <is>
          <t>Y</t>
        </is>
      </c>
    </row>
    <row r="174">
      <c r="A174" t="inlineStr">
        <is>
          <t>ENC111414</t>
        </is>
      </c>
      <c r="B174" t="inlineStr">
        <is>
          <t>PT12180</t>
        </is>
      </c>
      <c r="C174" t="inlineStr">
        <is>
          <t>Emergency</t>
        </is>
      </c>
      <c r="D174" t="inlineStr">
        <is>
          <t>Bluestone Memorial Hospital</t>
        </is>
      </c>
      <c r="E174" t="inlineStr">
        <is>
          <t>Emergency Department</t>
        </is>
      </c>
      <c r="F174" t="inlineStr">
        <is>
          <t>Emergency</t>
        </is>
      </c>
      <c r="G174" s="29" t="n">
        <v>45677</v>
      </c>
      <c r="H174" s="29" t="n">
        <v>45678</v>
      </c>
      <c r="I174" s="30" t="n"/>
      <c r="J174" t="inlineStr">
        <is>
          <t>E11.65</t>
        </is>
      </c>
      <c r="K174" t="inlineStr">
        <is>
          <t>Type 2 diabetes mellitus with hyperglycemia</t>
        </is>
      </c>
      <c r="L174" t="inlineStr">
        <is>
          <t>Endocrine</t>
        </is>
      </c>
      <c r="M174" t="inlineStr">
        <is>
          <t>Home/Self-Care</t>
        </is>
      </c>
      <c r="N174" t="inlineStr">
        <is>
          <t>Silverline Medicare Advantage</t>
        </is>
      </c>
      <c r="O174" s="31" t="n">
        <v>4210.76</v>
      </c>
    </row>
    <row r="175">
      <c r="A175" t="inlineStr">
        <is>
          <t>ENC111415</t>
        </is>
      </c>
      <c r="B175" t="inlineStr">
        <is>
          <t>PT11656</t>
        </is>
      </c>
      <c r="C175" t="inlineStr">
        <is>
          <t>Inpatient</t>
        </is>
      </c>
      <c r="D175" t="inlineStr">
        <is>
          <t>Bluestone Memorial Hospital</t>
        </is>
      </c>
      <c r="E175" t="inlineStr">
        <is>
          <t>Cardiac Step-Down</t>
        </is>
      </c>
      <c r="F175" t="inlineStr">
        <is>
          <t>Cardiovascular</t>
        </is>
      </c>
      <c r="G175" s="29" t="n">
        <v>45678</v>
      </c>
      <c r="H175" s="29" t="n">
        <v>45685</v>
      </c>
      <c r="I175" s="30" t="n">
        <v>7</v>
      </c>
      <c r="J175" t="inlineStr">
        <is>
          <t>I21.4</t>
        </is>
      </c>
      <c r="K175" t="inlineStr">
        <is>
          <t>Non-ST elevation (NSTEMI) myocardial infarction</t>
        </is>
      </c>
      <c r="L175" t="inlineStr">
        <is>
          <t>Circulatory</t>
        </is>
      </c>
      <c r="M175" t="inlineStr">
        <is>
          <t>Home/Self-Care</t>
        </is>
      </c>
      <c r="N175" t="inlineStr">
        <is>
          <t>Self-Pay</t>
        </is>
      </c>
      <c r="O175" s="31" t="n">
        <v>74694.27</v>
      </c>
      <c r="P175" t="inlineStr">
        <is>
          <t>Y</t>
        </is>
      </c>
    </row>
    <row r="176">
      <c r="A176" t="inlineStr">
        <is>
          <t>ENC111424</t>
        </is>
      </c>
      <c r="B176" t="inlineStr">
        <is>
          <t>PT13640</t>
        </is>
      </c>
      <c r="C176" t="inlineStr">
        <is>
          <t>Observation</t>
        </is>
      </c>
      <c r="D176" t="inlineStr">
        <is>
          <t>Bluestone Memorial Hospital</t>
        </is>
      </c>
      <c r="E176" t="inlineStr">
        <is>
          <t>Observation Unit</t>
        </is>
      </c>
      <c r="F176" t="inlineStr">
        <is>
          <t>Medicine</t>
        </is>
      </c>
      <c r="G176" s="29" t="n">
        <v>45678</v>
      </c>
      <c r="H176" s="29" t="n">
        <v>45679</v>
      </c>
      <c r="I176" s="30" t="n">
        <v>1</v>
      </c>
      <c r="J176" t="inlineStr">
        <is>
          <t>R07.9</t>
        </is>
      </c>
      <c r="K176" t="inlineStr">
        <is>
          <t>Chest pain, unspecified</t>
        </is>
      </c>
      <c r="L176" t="inlineStr">
        <is>
          <t>Symptoms &amp; Signs</t>
        </is>
      </c>
      <c r="M176" t="inlineStr">
        <is>
          <t>Home/Self-Care</t>
        </is>
      </c>
      <c r="N176" t="inlineStr">
        <is>
          <t>Evergreen Mutual Insurance</t>
        </is>
      </c>
      <c r="O176" s="31" t="n">
        <v>4972.6</v>
      </c>
    </row>
    <row r="177">
      <c r="A177" t="inlineStr">
        <is>
          <t>ENC111429</t>
        </is>
      </c>
      <c r="B177" t="inlineStr">
        <is>
          <t>PT13524</t>
        </is>
      </c>
      <c r="C177" t="inlineStr">
        <is>
          <t>Outpatient</t>
        </is>
      </c>
      <c r="D177" t="inlineStr">
        <is>
          <t>Bluestone Outpatient Pavilion</t>
        </is>
      </c>
      <c r="E177" t="inlineStr">
        <is>
          <t>Primary Care Clinic</t>
        </is>
      </c>
      <c r="F177" t="inlineStr">
        <is>
          <t>Ambulatory</t>
        </is>
      </c>
      <c r="G177" s="29" t="n">
        <v>45678</v>
      </c>
      <c r="H177" s="29" t="n">
        <v>45678</v>
      </c>
      <c r="I177" s="30" t="n"/>
      <c r="J177" t="inlineStr">
        <is>
          <t>F32.9</t>
        </is>
      </c>
      <c r="K177" t="inlineStr">
        <is>
          <t>Major depressive disorder, single episode, unspecified</t>
        </is>
      </c>
      <c r="L177" t="inlineStr">
        <is>
          <t>Mental &amp; Behavioral</t>
        </is>
      </c>
      <c r="M177" t="inlineStr">
        <is>
          <t>Home/Self-Care</t>
        </is>
      </c>
      <c r="N177" t="inlineStr">
        <is>
          <t>Evergreen Mutual Insurance</t>
        </is>
      </c>
      <c r="O177" s="31" t="n">
        <v>183.73</v>
      </c>
    </row>
    <row r="178">
      <c r="A178" t="inlineStr">
        <is>
          <t>ENC111444</t>
        </is>
      </c>
      <c r="B178" t="inlineStr">
        <is>
          <t>PT12276</t>
        </is>
      </c>
      <c r="C178" t="inlineStr">
        <is>
          <t>Emergency</t>
        </is>
      </c>
      <c r="D178" t="inlineStr">
        <is>
          <t>Ashby Falls Community Hospital</t>
        </is>
      </c>
      <c r="E178" t="inlineStr">
        <is>
          <t>Emergency Department</t>
        </is>
      </c>
      <c r="F178" t="inlineStr">
        <is>
          <t>Emergency</t>
        </is>
      </c>
      <c r="G178" s="29" t="n">
        <v>45678</v>
      </c>
      <c r="H178" s="29" t="n">
        <v>45678</v>
      </c>
      <c r="I178" s="30" t="n"/>
      <c r="J178" t="inlineStr">
        <is>
          <t>R10.9</t>
        </is>
      </c>
      <c r="K178" t="inlineStr">
        <is>
          <t>Unspecified abdominal pain</t>
        </is>
      </c>
      <c r="L178" t="inlineStr">
        <is>
          <t>Symptoms &amp; Signs</t>
        </is>
      </c>
      <c r="M178" t="inlineStr">
        <is>
          <t>Home/Self-Care</t>
        </is>
      </c>
      <c r="N178" t="inlineStr">
        <is>
          <t>State Medicaid</t>
        </is>
      </c>
      <c r="O178" s="31" t="n">
        <v>2850.39</v>
      </c>
    </row>
    <row r="179">
      <c r="A179" t="inlineStr">
        <is>
          <t>ENC111447</t>
        </is>
      </c>
      <c r="B179" t="inlineStr">
        <is>
          <t>PT11768</t>
        </is>
      </c>
      <c r="C179" t="inlineStr">
        <is>
          <t>Outpatient</t>
        </is>
      </c>
      <c r="D179" t="inlineStr">
        <is>
          <t>Bluestone Outpatient Pavilion</t>
        </is>
      </c>
      <c r="E179" t="inlineStr">
        <is>
          <t>Pediatric Clinic</t>
        </is>
      </c>
      <c r="F179" t="inlineStr">
        <is>
          <t>Women &amp; Children</t>
        </is>
      </c>
      <c r="G179" s="29" t="n">
        <v>45678</v>
      </c>
      <c r="H179" s="29" t="n">
        <v>45678</v>
      </c>
      <c r="I179" s="30" t="n"/>
      <c r="J179" t="inlineStr">
        <is>
          <t>F41.9</t>
        </is>
      </c>
      <c r="K179" t="inlineStr">
        <is>
          <t>Anxiety disorder, unspecified</t>
        </is>
      </c>
      <c r="L179" t="inlineStr">
        <is>
          <t>Mental &amp; Behavioral</t>
        </is>
      </c>
      <c r="M179" t="inlineStr">
        <is>
          <t>Home/Self-Care</t>
        </is>
      </c>
      <c r="N179" t="inlineStr">
        <is>
          <t>State Medicaid</t>
        </is>
      </c>
      <c r="O179" s="31" t="n">
        <v>226.29</v>
      </c>
    </row>
    <row r="180">
      <c r="A180" t="inlineStr">
        <is>
          <t>ENC111454</t>
        </is>
      </c>
      <c r="B180" t="inlineStr">
        <is>
          <t>PT12424</t>
        </is>
      </c>
      <c r="C180" t="inlineStr">
        <is>
          <t>Observation</t>
        </is>
      </c>
      <c r="D180" t="inlineStr">
        <is>
          <t>Bluestone Memorial Hospital</t>
        </is>
      </c>
      <c r="E180" t="inlineStr">
        <is>
          <t>Observation Unit</t>
        </is>
      </c>
      <c r="F180" t="inlineStr">
        <is>
          <t>Medicine</t>
        </is>
      </c>
      <c r="G180" s="29" t="n">
        <v>45678</v>
      </c>
      <c r="H180" s="29" t="n">
        <v>45679</v>
      </c>
      <c r="I180" s="30" t="n">
        <v>1</v>
      </c>
      <c r="J180" t="inlineStr">
        <is>
          <t>J21.9</t>
        </is>
      </c>
      <c r="K180" t="inlineStr">
        <is>
          <t>Acute bronchiolitis, unspecified</t>
        </is>
      </c>
      <c r="L180" t="inlineStr">
        <is>
          <t>Respiratory</t>
        </is>
      </c>
      <c r="M180" t="inlineStr">
        <is>
          <t>Home/Self-Care</t>
        </is>
      </c>
      <c r="N180" t="inlineStr">
        <is>
          <t>Self-Pay</t>
        </is>
      </c>
      <c r="O180" s="31" t="n">
        <v>6864.06</v>
      </c>
    </row>
    <row r="181">
      <c r="A181" t="inlineStr">
        <is>
          <t>ENC111455</t>
        </is>
      </c>
      <c r="B181" t="inlineStr">
        <is>
          <t>PT11820</t>
        </is>
      </c>
      <c r="C181" t="inlineStr">
        <is>
          <t>Emergency</t>
        </is>
      </c>
      <c r="D181" t="inlineStr">
        <is>
          <t>Bluestone Memorial Hospital</t>
        </is>
      </c>
      <c r="E181" t="inlineStr">
        <is>
          <t>Emergency Department</t>
        </is>
      </c>
      <c r="F181" t="inlineStr">
        <is>
          <t>Emergency</t>
        </is>
      </c>
      <c r="G181" s="29" t="n">
        <v>45678</v>
      </c>
      <c r="H181" s="29" t="n">
        <v>45678</v>
      </c>
      <c r="I181" s="30" t="n"/>
      <c r="J181" t="inlineStr">
        <is>
          <t>R10.9</t>
        </is>
      </c>
      <c r="K181" t="inlineStr">
        <is>
          <t>Unspecified abdominal pain</t>
        </is>
      </c>
      <c r="L181" t="inlineStr">
        <is>
          <t>Symptoms &amp; Signs</t>
        </is>
      </c>
      <c r="M181" t="inlineStr">
        <is>
          <t>Home/Self-Care</t>
        </is>
      </c>
      <c r="N181" t="inlineStr">
        <is>
          <t>Silverline Medicare Advantage</t>
        </is>
      </c>
      <c r="O181" s="31" t="n">
        <v>2254.82</v>
      </c>
    </row>
    <row r="182">
      <c r="A182" t="inlineStr">
        <is>
          <t>ENC111460</t>
        </is>
      </c>
      <c r="B182" t="inlineStr">
        <is>
          <t>PT12636</t>
        </is>
      </c>
      <c r="C182" t="inlineStr">
        <is>
          <t>Emergency</t>
        </is>
      </c>
      <c r="D182" t="inlineStr">
        <is>
          <t>Cedar Ridge Medical Center</t>
        </is>
      </c>
      <c r="E182" t="inlineStr">
        <is>
          <t>Emergency Department</t>
        </is>
      </c>
      <c r="F182" t="inlineStr">
        <is>
          <t>Emergency</t>
        </is>
      </c>
      <c r="G182" s="29" t="n">
        <v>45679</v>
      </c>
      <c r="H182" s="29" t="n">
        <v>45679</v>
      </c>
      <c r="I182" s="30" t="n"/>
      <c r="J182" t="inlineStr">
        <is>
          <t>R07.9</t>
        </is>
      </c>
      <c r="K182" t="inlineStr">
        <is>
          <t>Chest pain, unspecified</t>
        </is>
      </c>
      <c r="L182" t="inlineStr">
        <is>
          <t>Symptoms &amp; Signs</t>
        </is>
      </c>
      <c r="M182" t="inlineStr">
        <is>
          <t>Home/Self-Care</t>
        </is>
      </c>
      <c r="N182" t="inlineStr">
        <is>
          <t>Medicare</t>
        </is>
      </c>
      <c r="O182" s="31" t="n">
        <v>3294.5</v>
      </c>
    </row>
    <row r="183">
      <c r="A183" t="inlineStr">
        <is>
          <t>ENC111464</t>
        </is>
      </c>
      <c r="B183" t="inlineStr">
        <is>
          <t>PT13412</t>
        </is>
      </c>
      <c r="C183" t="inlineStr">
        <is>
          <t>Outpatient</t>
        </is>
      </c>
      <c r="D183" t="inlineStr">
        <is>
          <t>Bluestone Outpatient Pavilion</t>
        </is>
      </c>
      <c r="E183" t="inlineStr">
        <is>
          <t>Endocrinology &amp; Diabetes Clinic</t>
        </is>
      </c>
      <c r="F183" t="inlineStr">
        <is>
          <t>Ambulatory</t>
        </is>
      </c>
      <c r="G183" s="29" t="n">
        <v>45679</v>
      </c>
      <c r="H183" s="29" t="n">
        <v>45679</v>
      </c>
      <c r="I183" s="30" t="n"/>
      <c r="J183" t="inlineStr">
        <is>
          <t>E11.65</t>
        </is>
      </c>
      <c r="K183" t="inlineStr">
        <is>
          <t>Type 2 diabetes mellitus with hyperglycemia</t>
        </is>
      </c>
      <c r="L183" t="inlineStr">
        <is>
          <t>Endocrine</t>
        </is>
      </c>
      <c r="M183" t="inlineStr">
        <is>
          <t>Home/Self-Care</t>
        </is>
      </c>
      <c r="N183" t="inlineStr">
        <is>
          <t>Medicare</t>
        </is>
      </c>
      <c r="O183" s="31" t="n">
        <v>314.83</v>
      </c>
    </row>
    <row r="184">
      <c r="A184" t="inlineStr">
        <is>
          <t>ENC111470</t>
        </is>
      </c>
      <c r="B184" t="inlineStr">
        <is>
          <t>PT10572</t>
        </is>
      </c>
      <c r="C184" t="inlineStr">
        <is>
          <t>Outpatient</t>
        </is>
      </c>
      <c r="D184" t="inlineStr">
        <is>
          <t>Bluestone Outpatient Pavilion</t>
        </is>
      </c>
      <c r="E184" t="inlineStr">
        <is>
          <t>Primary Care Clinic</t>
        </is>
      </c>
      <c r="F184" t="inlineStr">
        <is>
          <t>Ambulatory</t>
        </is>
      </c>
      <c r="G184" s="29" t="n">
        <v>45679</v>
      </c>
      <c r="H184" s="29" t="n">
        <v>45679</v>
      </c>
      <c r="I184" s="30" t="n"/>
      <c r="J184" t="inlineStr">
        <is>
          <t>I10</t>
        </is>
      </c>
      <c r="K184" t="inlineStr">
        <is>
          <t>Essential (primary) hypertension</t>
        </is>
      </c>
      <c r="L184" t="inlineStr">
        <is>
          <t>Circulatory</t>
        </is>
      </c>
      <c r="M184" t="inlineStr">
        <is>
          <t>Home/Self-Care</t>
        </is>
      </c>
      <c r="N184" t="inlineStr">
        <is>
          <t>Evergreen Mutual Insurance</t>
        </is>
      </c>
      <c r="O184" s="31" t="n">
        <v>319.82</v>
      </c>
    </row>
    <row r="185">
      <c r="A185" t="inlineStr">
        <is>
          <t>ENC111472</t>
        </is>
      </c>
      <c r="B185" t="inlineStr">
        <is>
          <t>PT11232</t>
        </is>
      </c>
      <c r="C185" t="inlineStr">
        <is>
          <t>Emergency</t>
        </is>
      </c>
      <c r="D185" t="inlineStr">
        <is>
          <t>Bluestone Memorial Hospital</t>
        </is>
      </c>
      <c r="E185" t="inlineStr">
        <is>
          <t>Emergency Department</t>
        </is>
      </c>
      <c r="F185" t="inlineStr">
        <is>
          <t>Emergency</t>
        </is>
      </c>
      <c r="G185" s="29" t="n">
        <v>45679</v>
      </c>
      <c r="H185" s="29" t="n">
        <v>45679</v>
      </c>
      <c r="I185" s="30" t="n"/>
      <c r="J185" t="inlineStr">
        <is>
          <t>S06.0X0A</t>
        </is>
      </c>
      <c r="K185" t="inlineStr">
        <is>
          <t>Concussion without loss of consciousness, initial encounter</t>
        </is>
      </c>
      <c r="L185" t="inlineStr">
        <is>
          <t>Injury</t>
        </is>
      </c>
      <c r="M185" t="inlineStr">
        <is>
          <t>Home/Self-Care</t>
        </is>
      </c>
      <c r="N185" t="inlineStr">
        <is>
          <t>State Medicaid</t>
        </is>
      </c>
      <c r="O185" s="31" t="n">
        <v>3648.96</v>
      </c>
    </row>
    <row r="186">
      <c r="A186" t="inlineStr">
        <is>
          <t>ENC111474</t>
        </is>
      </c>
      <c r="B186" t="inlineStr">
        <is>
          <t>PT13408</t>
        </is>
      </c>
      <c r="C186" t="inlineStr">
        <is>
          <t>Emergency</t>
        </is>
      </c>
      <c r="D186" t="inlineStr">
        <is>
          <t>Cedar Ridge Medical Center</t>
        </is>
      </c>
      <c r="E186" t="inlineStr">
        <is>
          <t>Emergency Department</t>
        </is>
      </c>
      <c r="F186" t="inlineStr">
        <is>
          <t>Emergency</t>
        </is>
      </c>
      <c r="G186" s="29" t="n">
        <v>45679</v>
      </c>
      <c r="H186" s="29" t="n">
        <v>45679</v>
      </c>
      <c r="I186" s="30" t="n"/>
      <c r="J186" t="inlineStr">
        <is>
          <t>J06.9</t>
        </is>
      </c>
      <c r="K186" t="inlineStr">
        <is>
          <t>Acute upper respiratory infection, unspecified</t>
        </is>
      </c>
      <c r="L186" t="inlineStr">
        <is>
          <t>Respiratory</t>
        </is>
      </c>
      <c r="M186" t="inlineStr">
        <is>
          <t>Home/Self-Care</t>
        </is>
      </c>
      <c r="N186" t="inlineStr">
        <is>
          <t>Keystone Health Partners</t>
        </is>
      </c>
      <c r="O186" s="31" t="n">
        <v>1686.79</v>
      </c>
    </row>
    <row r="187">
      <c r="A187" t="inlineStr">
        <is>
          <t>ENC111477</t>
        </is>
      </c>
      <c r="B187" t="inlineStr">
        <is>
          <t>PT11732</t>
        </is>
      </c>
      <c r="C187" t="inlineStr">
        <is>
          <t>Outpatient</t>
        </is>
      </c>
      <c r="D187" t="inlineStr">
        <is>
          <t>Bluestone Outpatient Pavilion</t>
        </is>
      </c>
      <c r="E187" t="inlineStr">
        <is>
          <t>Pediatric Clinic</t>
        </is>
      </c>
      <c r="F187" t="inlineStr">
        <is>
          <t>Women &amp; Children</t>
        </is>
      </c>
      <c r="G187" s="29" t="n">
        <v>45679</v>
      </c>
      <c r="H187" s="29" t="n">
        <v>45679</v>
      </c>
      <c r="I187" s="30" t="n"/>
      <c r="J187" t="inlineStr">
        <is>
          <t>Z23</t>
        </is>
      </c>
      <c r="K187" t="inlineStr">
        <is>
          <t>Encounter for immunization</t>
        </is>
      </c>
      <c r="L187" t="inlineStr">
        <is>
          <t>Factors Influencing Health</t>
        </is>
      </c>
      <c r="M187" t="inlineStr">
        <is>
          <t>Home/Self-Care</t>
        </is>
      </c>
      <c r="N187" t="inlineStr">
        <is>
          <t>State Medicaid</t>
        </is>
      </c>
      <c r="O187" s="31" t="n">
        <v>139.29</v>
      </c>
    </row>
    <row r="188">
      <c r="A188" t="inlineStr">
        <is>
          <t>ENC111479</t>
        </is>
      </c>
      <c r="B188" t="inlineStr">
        <is>
          <t>PT10112</t>
        </is>
      </c>
      <c r="C188" t="inlineStr">
        <is>
          <t>Outpatient</t>
        </is>
      </c>
      <c r="D188" t="inlineStr">
        <is>
          <t>Bluestone Outpatient Pavilion</t>
        </is>
      </c>
      <c r="E188" t="inlineStr">
        <is>
          <t>Primary Care Clinic</t>
        </is>
      </c>
      <c r="F188" t="inlineStr">
        <is>
          <t>Ambulatory</t>
        </is>
      </c>
      <c r="G188" s="29" t="n">
        <v>45679</v>
      </c>
      <c r="H188" s="29" t="n">
        <v>45679</v>
      </c>
      <c r="I188" s="30" t="n"/>
      <c r="J188" t="inlineStr">
        <is>
          <t>A08.4</t>
        </is>
      </c>
      <c r="K188" t="inlineStr">
        <is>
          <t>Viral intestinal infection, unspecified</t>
        </is>
      </c>
      <c r="L188" t="inlineStr">
        <is>
          <t>Infectious</t>
        </is>
      </c>
      <c r="M188" t="inlineStr">
        <is>
          <t>Home/Self-Care</t>
        </is>
      </c>
      <c r="N188" t="inlineStr">
        <is>
          <t>Silverline Medicare Advantage</t>
        </is>
      </c>
      <c r="O188" s="31" t="n">
        <v>238.14</v>
      </c>
    </row>
    <row r="189">
      <c r="A189" t="inlineStr">
        <is>
          <t>ENC111482</t>
        </is>
      </c>
      <c r="B189" t="inlineStr">
        <is>
          <t>PT13704</t>
        </is>
      </c>
      <c r="C189" t="inlineStr">
        <is>
          <t>Inpatient</t>
        </is>
      </c>
      <c r="D189" t="inlineStr">
        <is>
          <t>Bluestone Memorial Hospital</t>
        </is>
      </c>
      <c r="E189" t="inlineStr">
        <is>
          <t>Medical-Surgical 4 West</t>
        </is>
      </c>
      <c r="F189" t="inlineStr">
        <is>
          <t>Medicine</t>
        </is>
      </c>
      <c r="G189" s="29" t="n">
        <v>45679</v>
      </c>
      <c r="H189" s="29" t="n">
        <v>45686</v>
      </c>
      <c r="I189" s="30" t="n">
        <v>7</v>
      </c>
      <c r="J189" t="inlineStr">
        <is>
          <t>L03.115</t>
        </is>
      </c>
      <c r="K189" t="inlineStr">
        <is>
          <t>Cellulitis of right lower limb</t>
        </is>
      </c>
      <c r="L189" t="inlineStr">
        <is>
          <t>Skin</t>
        </is>
      </c>
      <c r="M189" t="inlineStr">
        <is>
          <t>Home Health</t>
        </is>
      </c>
      <c r="N189" t="inlineStr">
        <is>
          <t>Medicare</t>
        </is>
      </c>
      <c r="O189" s="31" t="n">
        <v>25040.74</v>
      </c>
      <c r="P189" t="inlineStr">
        <is>
          <t>N</t>
        </is>
      </c>
    </row>
    <row r="190">
      <c r="A190" t="inlineStr">
        <is>
          <t>ENC111487</t>
        </is>
      </c>
      <c r="B190" t="inlineStr">
        <is>
          <t>PT11800</t>
        </is>
      </c>
      <c r="C190" t="inlineStr">
        <is>
          <t>Inpatient</t>
        </is>
      </c>
      <c r="D190" t="inlineStr">
        <is>
          <t>Bluestone Memorial Hospital</t>
        </is>
      </c>
      <c r="E190" t="inlineStr">
        <is>
          <t>Medical-Surgical 4 West</t>
        </is>
      </c>
      <c r="F190" t="inlineStr">
        <is>
          <t>Medicine</t>
        </is>
      </c>
      <c r="G190" s="29" t="n">
        <v>45679</v>
      </c>
      <c r="H190" s="29" t="n">
        <v>45683</v>
      </c>
      <c r="I190" s="30" t="n">
        <v>4</v>
      </c>
      <c r="J190" t="inlineStr">
        <is>
          <t>J18.9</t>
        </is>
      </c>
      <c r="K190" t="inlineStr">
        <is>
          <t>Pneumonia, unspecified organism</t>
        </is>
      </c>
      <c r="L190" t="inlineStr">
        <is>
          <t>Respiratory</t>
        </is>
      </c>
      <c r="M190" t="inlineStr">
        <is>
          <t>Home/Self-Care</t>
        </is>
      </c>
      <c r="N190" t="inlineStr">
        <is>
          <t>Medicare</t>
        </is>
      </c>
      <c r="O190" s="31" t="n">
        <v>21283.17</v>
      </c>
      <c r="P190" t="inlineStr">
        <is>
          <t>N</t>
        </is>
      </c>
    </row>
    <row r="191">
      <c r="A191" t="inlineStr">
        <is>
          <t>ENC111489</t>
        </is>
      </c>
      <c r="B191" t="inlineStr">
        <is>
          <t>PT13908</t>
        </is>
      </c>
      <c r="C191" t="inlineStr">
        <is>
          <t>Inpatient</t>
        </is>
      </c>
      <c r="D191" t="inlineStr">
        <is>
          <t>Bluestone Memorial Hospital</t>
        </is>
      </c>
      <c r="E191" t="inlineStr">
        <is>
          <t>Cardiac Step-Down</t>
        </is>
      </c>
      <c r="F191" t="inlineStr">
        <is>
          <t>Cardiovascular</t>
        </is>
      </c>
      <c r="G191" s="29" t="n">
        <v>45679</v>
      </c>
      <c r="H191" s="29" t="n">
        <v>45682</v>
      </c>
      <c r="I191" s="30" t="n">
        <v>3</v>
      </c>
      <c r="J191" t="inlineStr">
        <is>
          <t>I21.4</t>
        </is>
      </c>
      <c r="K191" t="inlineStr">
        <is>
          <t>Non-ST elevation (NSTEMI) myocardial infarction</t>
        </is>
      </c>
      <c r="L191" t="inlineStr">
        <is>
          <t>Circulatory</t>
        </is>
      </c>
      <c r="M191" t="inlineStr">
        <is>
          <t>Home/Self-Care</t>
        </is>
      </c>
      <c r="N191" t="inlineStr">
        <is>
          <t>Summit Choice PPO</t>
        </is>
      </c>
      <c r="O191" s="31" t="n">
        <v>45789.95</v>
      </c>
      <c r="P191" t="inlineStr">
        <is>
          <t>N</t>
        </is>
      </c>
    </row>
    <row r="192">
      <c r="A192" t="inlineStr">
        <is>
          <t>ENC111491</t>
        </is>
      </c>
      <c r="B192" t="inlineStr">
        <is>
          <t>PT12160</t>
        </is>
      </c>
      <c r="C192" t="inlineStr">
        <is>
          <t>Emergency</t>
        </is>
      </c>
      <c r="D192" t="inlineStr">
        <is>
          <t>Bluestone Memorial Hospital</t>
        </is>
      </c>
      <c r="E192" t="inlineStr">
        <is>
          <t>Emergency Department</t>
        </is>
      </c>
      <c r="F192" t="inlineStr">
        <is>
          <t>Emergency</t>
        </is>
      </c>
      <c r="G192" s="29" t="n">
        <v>45679</v>
      </c>
      <c r="H192" s="29" t="n">
        <v>45679</v>
      </c>
      <c r="I192" s="30" t="n"/>
      <c r="J192" t="inlineStr">
        <is>
          <t>R10.9</t>
        </is>
      </c>
      <c r="K192" t="inlineStr">
        <is>
          <t>Unspecified abdominal pain</t>
        </is>
      </c>
      <c r="L192" t="inlineStr">
        <is>
          <t>Symptoms &amp; Signs</t>
        </is>
      </c>
      <c r="M192" t="inlineStr">
        <is>
          <t>Home/Self-Care</t>
        </is>
      </c>
      <c r="N192" t="inlineStr">
        <is>
          <t>State Medicaid</t>
        </is>
      </c>
      <c r="O192" s="31" t="n">
        <v>1077.88</v>
      </c>
    </row>
    <row r="193">
      <c r="A193" t="inlineStr">
        <is>
          <t>ENC111494</t>
        </is>
      </c>
      <c r="B193" t="inlineStr">
        <is>
          <t>PT10096</t>
        </is>
      </c>
      <c r="C193" t="inlineStr">
        <is>
          <t>Emergency</t>
        </is>
      </c>
      <c r="D193" t="inlineStr">
        <is>
          <t>Bluestone Memorial Hospital</t>
        </is>
      </c>
      <c r="E193" t="inlineStr">
        <is>
          <t>Emergency Department</t>
        </is>
      </c>
      <c r="F193" t="inlineStr">
        <is>
          <t>Emergency</t>
        </is>
      </c>
      <c r="G193" s="29" t="n">
        <v>45679</v>
      </c>
      <c r="H193" s="29" t="n">
        <v>45680</v>
      </c>
      <c r="I193" s="30" t="n"/>
      <c r="J193" t="inlineStr">
        <is>
          <t>N39.0</t>
        </is>
      </c>
      <c r="K193" t="inlineStr">
        <is>
          <t>Urinary tract infection, site not specified</t>
        </is>
      </c>
      <c r="L193" t="inlineStr">
        <is>
          <t>Genitourinary</t>
        </is>
      </c>
      <c r="M193" t="inlineStr">
        <is>
          <t>Home/Self-Care</t>
        </is>
      </c>
      <c r="N193" t="inlineStr">
        <is>
          <t>Evergreen Mutual Insurance</t>
        </is>
      </c>
      <c r="O193" s="31" t="n">
        <v>3525.66</v>
      </c>
    </row>
    <row r="194">
      <c r="A194" t="inlineStr">
        <is>
          <t>ENC111495</t>
        </is>
      </c>
      <c r="B194" t="inlineStr">
        <is>
          <t>PT11372</t>
        </is>
      </c>
      <c r="C194" t="inlineStr">
        <is>
          <t>Inpatient</t>
        </is>
      </c>
      <c r="D194" t="inlineStr">
        <is>
          <t>Cedar Ridge Medical Center</t>
        </is>
      </c>
      <c r="E194" t="inlineStr">
        <is>
          <t>Medical-Surgical</t>
        </is>
      </c>
      <c r="F194" t="inlineStr">
        <is>
          <t>Medicine</t>
        </is>
      </c>
      <c r="G194" s="29" t="n">
        <v>45680</v>
      </c>
      <c r="H194" s="29" t="n">
        <v>45684</v>
      </c>
      <c r="I194" s="30" t="n">
        <v>4</v>
      </c>
      <c r="J194" t="inlineStr">
        <is>
          <t>J44.1</t>
        </is>
      </c>
      <c r="K194" t="inlineStr">
        <is>
          <t>Chronic obstructive pulmonary disease with (acute) exacerbation</t>
        </is>
      </c>
      <c r="L194" t="inlineStr">
        <is>
          <t>Respiratory</t>
        </is>
      </c>
      <c r="M194" t="inlineStr">
        <is>
          <t>Home/Self-Care</t>
        </is>
      </c>
      <c r="N194" t="inlineStr">
        <is>
          <t>Silverline Medicare Advantage</t>
        </is>
      </c>
      <c r="O194" s="31" t="n">
        <v>17354.07</v>
      </c>
      <c r="P194" t="inlineStr">
        <is>
          <t>N</t>
        </is>
      </c>
    </row>
    <row r="195">
      <c r="A195" t="inlineStr">
        <is>
          <t>ENC111500</t>
        </is>
      </c>
      <c r="B195" t="inlineStr">
        <is>
          <t>PT11188</t>
        </is>
      </c>
      <c r="C195" t="inlineStr">
        <is>
          <t>Inpatient</t>
        </is>
      </c>
      <c r="D195" t="inlineStr">
        <is>
          <t>Bluestone Memorial Hospital</t>
        </is>
      </c>
      <c r="E195" t="inlineStr">
        <is>
          <t>Cardiac Step-Down</t>
        </is>
      </c>
      <c r="F195" t="inlineStr">
        <is>
          <t>Cardiovascular</t>
        </is>
      </c>
      <c r="G195" s="29" t="n">
        <v>45680</v>
      </c>
      <c r="H195" s="29" t="n">
        <v>45686</v>
      </c>
      <c r="I195" s="30" t="n">
        <v>6</v>
      </c>
      <c r="J195" t="inlineStr">
        <is>
          <t>I50.9</t>
        </is>
      </c>
      <c r="K195" t="inlineStr">
        <is>
          <t>Heart failure, unspecified</t>
        </is>
      </c>
      <c r="L195" t="inlineStr">
        <is>
          <t>Circulatory</t>
        </is>
      </c>
      <c r="M195" t="inlineStr">
        <is>
          <t>Home/Self-Care</t>
        </is>
      </c>
      <c r="N195" t="inlineStr">
        <is>
          <t>Medicare</t>
        </is>
      </c>
      <c r="O195" s="31" t="n">
        <v>53062.75</v>
      </c>
      <c r="P195" t="inlineStr">
        <is>
          <t>N</t>
        </is>
      </c>
    </row>
    <row r="196">
      <c r="A196" t="inlineStr">
        <is>
          <t>ENC111507</t>
        </is>
      </c>
      <c r="B196" t="inlineStr">
        <is>
          <t>PT11068</t>
        </is>
      </c>
      <c r="C196" t="inlineStr">
        <is>
          <t>Emergency</t>
        </is>
      </c>
      <c r="D196" t="inlineStr">
        <is>
          <t>Cedar Ridge Medical Center</t>
        </is>
      </c>
      <c r="E196" t="inlineStr">
        <is>
          <t>Emergency Department</t>
        </is>
      </c>
      <c r="F196" t="inlineStr">
        <is>
          <t>Emergency</t>
        </is>
      </c>
      <c r="G196" s="29" t="n">
        <v>45680</v>
      </c>
      <c r="H196" s="29" t="n">
        <v>45680</v>
      </c>
      <c r="I196" s="30" t="n"/>
      <c r="J196" t="inlineStr">
        <is>
          <t>N39.0</t>
        </is>
      </c>
      <c r="K196" t="inlineStr">
        <is>
          <t>Urinary tract infection, site not specified</t>
        </is>
      </c>
      <c r="L196" t="inlineStr">
        <is>
          <t>Genitourinary</t>
        </is>
      </c>
      <c r="M196" t="inlineStr">
        <is>
          <t>Home/Self-Care</t>
        </is>
      </c>
      <c r="N196" t="inlineStr">
        <is>
          <t>Keystone Health Partners</t>
        </is>
      </c>
      <c r="O196" s="31" t="n">
        <v>3253.76</v>
      </c>
    </row>
    <row r="197">
      <c r="A197" t="inlineStr">
        <is>
          <t>ENC111509</t>
        </is>
      </c>
      <c r="B197" t="inlineStr">
        <is>
          <t>PT13744</t>
        </is>
      </c>
      <c r="C197" t="inlineStr">
        <is>
          <t>Inpatient</t>
        </is>
      </c>
      <c r="D197" t="inlineStr">
        <is>
          <t>Bluestone Memorial Hospital</t>
        </is>
      </c>
      <c r="E197" t="inlineStr">
        <is>
          <t>Neuroscience &amp; Stroke</t>
        </is>
      </c>
      <c r="F197" t="inlineStr">
        <is>
          <t>Neuroscience</t>
        </is>
      </c>
      <c r="G197" s="29" t="n">
        <v>45680</v>
      </c>
      <c r="H197" s="29" t="n">
        <v>45687</v>
      </c>
      <c r="I197" s="30" t="n">
        <v>7</v>
      </c>
      <c r="J197" t="inlineStr">
        <is>
          <t>I63.9</t>
        </is>
      </c>
      <c r="K197" t="inlineStr">
        <is>
          <t>Cerebral infarction, unspecified</t>
        </is>
      </c>
      <c r="L197" t="inlineStr">
        <is>
          <t>Circulatory</t>
        </is>
      </c>
      <c r="M197" t="inlineStr">
        <is>
          <t>Home/Self-Care</t>
        </is>
      </c>
      <c r="N197" t="inlineStr">
        <is>
          <t>Medicare</t>
        </is>
      </c>
      <c r="O197" s="31" t="n">
        <v>35823.13</v>
      </c>
      <c r="P197" t="inlineStr">
        <is>
          <t>N</t>
        </is>
      </c>
    </row>
    <row r="198">
      <c r="A198" t="inlineStr">
        <is>
          <t>ENC111513</t>
        </is>
      </c>
      <c r="B198" t="inlineStr">
        <is>
          <t>PT11232</t>
        </is>
      </c>
      <c r="C198" t="inlineStr">
        <is>
          <t>Inpatient</t>
        </is>
      </c>
      <c r="D198" t="inlineStr">
        <is>
          <t>Bluestone Memorial Hospital</t>
        </is>
      </c>
      <c r="E198" t="inlineStr">
        <is>
          <t>Medical-Surgical 5 East</t>
        </is>
      </c>
      <c r="F198" t="inlineStr">
        <is>
          <t>Medicine</t>
        </is>
      </c>
      <c r="G198" s="29" t="n">
        <v>45680</v>
      </c>
      <c r="H198" s="29" t="n">
        <v>45682</v>
      </c>
      <c r="I198" s="30" t="n">
        <v>2</v>
      </c>
      <c r="J198" t="inlineStr">
        <is>
          <t>K56.609</t>
        </is>
      </c>
      <c r="K198" t="inlineStr">
        <is>
          <t>Unspecified intestinal obstruction</t>
        </is>
      </c>
      <c r="L198" t="inlineStr">
        <is>
          <t>Digestive</t>
        </is>
      </c>
      <c r="M198" t="inlineStr">
        <is>
          <t>Home/Self-Care</t>
        </is>
      </c>
      <c r="N198" t="inlineStr">
        <is>
          <t>State Medicaid</t>
        </is>
      </c>
      <c r="O198" s="31" t="n">
        <v>15953.63</v>
      </c>
      <c r="P198" t="inlineStr">
        <is>
          <t>N</t>
        </is>
      </c>
    </row>
    <row r="199">
      <c r="A199" t="inlineStr">
        <is>
          <t>ENC111515</t>
        </is>
      </c>
      <c r="B199" t="inlineStr">
        <is>
          <t>PT13000</t>
        </is>
      </c>
      <c r="C199" t="inlineStr">
        <is>
          <t>Outpatient</t>
        </is>
      </c>
      <c r="D199" t="inlineStr">
        <is>
          <t>Bluestone Outpatient Pavilion</t>
        </is>
      </c>
      <c r="E199" t="inlineStr">
        <is>
          <t>Primary Care Clinic</t>
        </is>
      </c>
      <c r="F199" t="inlineStr">
        <is>
          <t>Ambulatory</t>
        </is>
      </c>
      <c r="G199" s="29" t="n">
        <v>45680</v>
      </c>
      <c r="H199" s="29" t="n">
        <v>45680</v>
      </c>
      <c r="I199" s="30" t="n"/>
      <c r="J199" t="inlineStr">
        <is>
          <t>Z23</t>
        </is>
      </c>
      <c r="K199" t="inlineStr">
        <is>
          <t>Encounter for immunization</t>
        </is>
      </c>
      <c r="L199" t="inlineStr">
        <is>
          <t>Factors Influencing Health</t>
        </is>
      </c>
      <c r="M199" t="inlineStr">
        <is>
          <t>Home/Self-Care</t>
        </is>
      </c>
      <c r="N199" t="inlineStr">
        <is>
          <t>Medicare</t>
        </is>
      </c>
      <c r="O199" s="31" t="n">
        <v>127.85</v>
      </c>
    </row>
    <row r="200">
      <c r="A200" t="inlineStr">
        <is>
          <t>ENC111516</t>
        </is>
      </c>
      <c r="B200" t="inlineStr">
        <is>
          <t>PT12256</t>
        </is>
      </c>
      <c r="C200" t="inlineStr">
        <is>
          <t>Outpatient</t>
        </is>
      </c>
      <c r="D200" t="inlineStr">
        <is>
          <t>Bluestone Outpatient Pavilion</t>
        </is>
      </c>
      <c r="E200" t="inlineStr">
        <is>
          <t>Primary Care Clinic</t>
        </is>
      </c>
      <c r="F200" t="inlineStr">
        <is>
          <t>Ambulatory</t>
        </is>
      </c>
      <c r="G200" s="29" t="n">
        <v>45680</v>
      </c>
      <c r="H200" s="29" t="n">
        <v>45680</v>
      </c>
      <c r="I200" s="30" t="n"/>
      <c r="J200" t="inlineStr">
        <is>
          <t>J45.909</t>
        </is>
      </c>
      <c r="K200" t="inlineStr">
        <is>
          <t>Unspecified asthma, uncomplicated</t>
        </is>
      </c>
      <c r="L200" t="inlineStr">
        <is>
          <t>Respiratory</t>
        </is>
      </c>
      <c r="M200" t="inlineStr">
        <is>
          <t>Home/Self-Care</t>
        </is>
      </c>
      <c r="N200" t="inlineStr">
        <is>
          <t>Evergreen Mutual Insurance</t>
        </is>
      </c>
      <c r="O200" s="31" t="n">
        <v>439.38</v>
      </c>
    </row>
    <row r="201">
      <c r="A201" t="inlineStr">
        <is>
          <t>ENC111520</t>
        </is>
      </c>
      <c r="B201" t="inlineStr">
        <is>
          <t>PT10988</t>
        </is>
      </c>
      <c r="C201" t="inlineStr">
        <is>
          <t>Outpatient</t>
        </is>
      </c>
      <c r="D201" t="inlineStr">
        <is>
          <t>Bluestone Outpatient Pavilion</t>
        </is>
      </c>
      <c r="E201" t="inlineStr">
        <is>
          <t>Cardiology Clinic</t>
        </is>
      </c>
      <c r="F201" t="inlineStr">
        <is>
          <t>Cardiovascular</t>
        </is>
      </c>
      <c r="G201" s="29" t="n">
        <v>45680</v>
      </c>
      <c r="H201" s="29" t="n">
        <v>45680</v>
      </c>
      <c r="I201" s="30" t="n"/>
      <c r="J201" t="inlineStr">
        <is>
          <t>I48.91</t>
        </is>
      </c>
      <c r="K201" t="inlineStr">
        <is>
          <t>Unspecified atrial fibrillation</t>
        </is>
      </c>
      <c r="L201" t="inlineStr">
        <is>
          <t>Circulatory</t>
        </is>
      </c>
      <c r="M201" t="inlineStr">
        <is>
          <t>Home/Self-Care</t>
        </is>
      </c>
      <c r="N201" t="inlineStr">
        <is>
          <t>Medicare</t>
        </is>
      </c>
      <c r="O201" s="31" t="n">
        <v>482.95</v>
      </c>
    </row>
    <row r="202">
      <c r="A202" t="inlineStr">
        <is>
          <t>ENC111521</t>
        </is>
      </c>
      <c r="B202" t="inlineStr">
        <is>
          <t>PT11488</t>
        </is>
      </c>
      <c r="C202" t="inlineStr">
        <is>
          <t>Observation</t>
        </is>
      </c>
      <c r="D202" t="inlineStr">
        <is>
          <t>Ashby Falls Community Hospital</t>
        </is>
      </c>
      <c r="E202" t="inlineStr">
        <is>
          <t>Medical-Surgical</t>
        </is>
      </c>
      <c r="F202" t="inlineStr">
        <is>
          <t>Medicine</t>
        </is>
      </c>
      <c r="G202" s="29" t="n">
        <v>45680</v>
      </c>
      <c r="H202" s="29" t="n">
        <v>45681</v>
      </c>
      <c r="I202" s="30" t="n">
        <v>1</v>
      </c>
      <c r="J202" t="inlineStr">
        <is>
          <t>U07.1</t>
        </is>
      </c>
      <c r="K202" t="inlineStr">
        <is>
          <t>COVID-19</t>
        </is>
      </c>
      <c r="L202" t="inlineStr">
        <is>
          <t>Respiratory</t>
        </is>
      </c>
      <c r="M202" t="inlineStr">
        <is>
          <t>Home/Self-Care</t>
        </is>
      </c>
      <c r="N202" t="inlineStr">
        <is>
          <t>Self-Pay</t>
        </is>
      </c>
      <c r="O202" s="31" t="n">
        <v>12029.45</v>
      </c>
    </row>
    <row r="203">
      <c r="A203" t="inlineStr">
        <is>
          <t>ENC111522</t>
        </is>
      </c>
      <c r="B203" t="inlineStr">
        <is>
          <t>PT10956</t>
        </is>
      </c>
      <c r="C203" t="inlineStr">
        <is>
          <t>Inpatient</t>
        </is>
      </c>
      <c r="D203" t="inlineStr">
        <is>
          <t>Bluestone Memorial Hospital</t>
        </is>
      </c>
      <c r="E203" t="inlineStr">
        <is>
          <t>Behavioral Health</t>
        </is>
      </c>
      <c r="F203" t="inlineStr">
        <is>
          <t>Behavioral Health</t>
        </is>
      </c>
      <c r="G203" s="29" t="n">
        <v>45680</v>
      </c>
      <c r="H203" s="29" t="n">
        <v>45685</v>
      </c>
      <c r="I203" s="30" t="n">
        <v>5</v>
      </c>
      <c r="J203" t="inlineStr">
        <is>
          <t>F32.9</t>
        </is>
      </c>
      <c r="K203" t="inlineStr">
        <is>
          <t>Major depressive disorder, single episode, unspecified</t>
        </is>
      </c>
      <c r="L203" t="inlineStr">
        <is>
          <t>Mental &amp; Behavioral</t>
        </is>
      </c>
      <c r="M203" t="inlineStr">
        <is>
          <t>Home/Self-Care</t>
        </is>
      </c>
      <c r="N203" t="inlineStr">
        <is>
          <t>Keystone Health Partners</t>
        </is>
      </c>
      <c r="O203" s="31" t="n">
        <v>13791.72</v>
      </c>
      <c r="P203" t="inlineStr">
        <is>
          <t>N</t>
        </is>
      </c>
    </row>
    <row r="204">
      <c r="A204" t="inlineStr">
        <is>
          <t>ENC111524</t>
        </is>
      </c>
      <c r="B204" t="inlineStr">
        <is>
          <t>PT11572</t>
        </is>
      </c>
      <c r="C204" t="inlineStr">
        <is>
          <t>Outpatient</t>
        </is>
      </c>
      <c r="D204" t="inlineStr">
        <is>
          <t>Bluestone Outpatient Pavilion</t>
        </is>
      </c>
      <c r="E204" t="inlineStr">
        <is>
          <t>Endocrinology &amp; Diabetes Clinic</t>
        </is>
      </c>
      <c r="F204" t="inlineStr">
        <is>
          <t>Ambulatory</t>
        </is>
      </c>
      <c r="G204" s="29" t="n">
        <v>45680</v>
      </c>
      <c r="H204" s="29" t="n">
        <v>45680</v>
      </c>
      <c r="I204" s="30" t="n"/>
      <c r="J204" t="inlineStr">
        <is>
          <t>E11.65</t>
        </is>
      </c>
      <c r="K204" t="inlineStr">
        <is>
          <t>Type 2 diabetes mellitus with hyperglycemia</t>
        </is>
      </c>
      <c r="L204" t="inlineStr">
        <is>
          <t>Endocrine</t>
        </is>
      </c>
      <c r="M204" t="inlineStr">
        <is>
          <t>Home/Self-Care</t>
        </is>
      </c>
      <c r="N204" t="inlineStr">
        <is>
          <t>Keystone Health Partners</t>
        </is>
      </c>
      <c r="O204" s="31" t="n">
        <v>466.62</v>
      </c>
    </row>
    <row r="205">
      <c r="A205" t="inlineStr">
        <is>
          <t>ENC111526</t>
        </is>
      </c>
      <c r="B205" t="inlineStr">
        <is>
          <t>PT12188</t>
        </is>
      </c>
      <c r="C205" t="inlineStr">
        <is>
          <t>Outpatient</t>
        </is>
      </c>
      <c r="D205" t="inlineStr">
        <is>
          <t>Bluestone Outpatient Pavilion</t>
        </is>
      </c>
      <c r="E205" t="inlineStr">
        <is>
          <t>Infusion &amp; Oncology Clinic</t>
        </is>
      </c>
      <c r="F205" t="inlineStr">
        <is>
          <t>Oncology</t>
        </is>
      </c>
      <c r="G205" s="29" t="n">
        <v>45680</v>
      </c>
      <c r="H205" s="29" t="n">
        <v>45680</v>
      </c>
      <c r="I205" s="30" t="n"/>
      <c r="J205" t="inlineStr">
        <is>
          <t>C34.90</t>
        </is>
      </c>
      <c r="K205" t="inlineStr">
        <is>
          <t>Malignant neoplasm of unspecified part of unspecified bronchus or lung</t>
        </is>
      </c>
      <c r="L205" t="inlineStr">
        <is>
          <t>Neoplasms</t>
        </is>
      </c>
      <c r="M205" t="inlineStr">
        <is>
          <t>Home/Self-Care</t>
        </is>
      </c>
      <c r="N205" t="inlineStr">
        <is>
          <t>State Medicaid</t>
        </is>
      </c>
      <c r="O205" s="31" t="n">
        <v>363.87</v>
      </c>
    </row>
    <row r="206">
      <c r="A206" t="inlineStr">
        <is>
          <t>ENC111530</t>
        </is>
      </c>
      <c r="B206" t="inlineStr">
        <is>
          <t>PT13552</t>
        </is>
      </c>
      <c r="C206" t="inlineStr">
        <is>
          <t>Emergency</t>
        </is>
      </c>
      <c r="D206" t="inlineStr">
        <is>
          <t>Bluestone Memorial Hospital</t>
        </is>
      </c>
      <c r="E206" t="inlineStr">
        <is>
          <t>Emergency Department</t>
        </is>
      </c>
      <c r="F206" t="inlineStr">
        <is>
          <t>Emergency</t>
        </is>
      </c>
      <c r="G206" s="29" t="n">
        <v>45680</v>
      </c>
      <c r="H206" s="29" t="n">
        <v>45680</v>
      </c>
      <c r="I206" s="30" t="n"/>
      <c r="J206" t="inlineStr">
        <is>
          <t>R55</t>
        </is>
      </c>
      <c r="K206" t="inlineStr">
        <is>
          <t>Syncope and collapse</t>
        </is>
      </c>
      <c r="L206" t="inlineStr">
        <is>
          <t>Symptoms &amp; Signs</t>
        </is>
      </c>
      <c r="M206" t="inlineStr">
        <is>
          <t>Home/Self-Care</t>
        </is>
      </c>
      <c r="N206" t="inlineStr">
        <is>
          <t>Keystone Health Partners</t>
        </is>
      </c>
      <c r="O206" s="31" t="n">
        <v>3943.56</v>
      </c>
    </row>
    <row r="207">
      <c r="A207" t="inlineStr">
        <is>
          <t>ENC111532</t>
        </is>
      </c>
      <c r="B207" t="inlineStr">
        <is>
          <t>PT13068</t>
        </is>
      </c>
      <c r="C207" t="inlineStr">
        <is>
          <t>Emergency</t>
        </is>
      </c>
      <c r="D207" t="inlineStr">
        <is>
          <t>Bluestone Memorial Hospital</t>
        </is>
      </c>
      <c r="E207" t="inlineStr">
        <is>
          <t>Emergency Department</t>
        </is>
      </c>
      <c r="F207" t="inlineStr">
        <is>
          <t>Emergency</t>
        </is>
      </c>
      <c r="G207" s="29" t="n">
        <v>45680</v>
      </c>
      <c r="H207" s="29" t="n">
        <v>45680</v>
      </c>
      <c r="I207" s="30" t="n"/>
      <c r="J207" t="inlineStr">
        <is>
          <t>U07.1</t>
        </is>
      </c>
      <c r="K207" t="inlineStr">
        <is>
          <t>COVID-19</t>
        </is>
      </c>
      <c r="L207" t="inlineStr">
        <is>
          <t>Respiratory</t>
        </is>
      </c>
      <c r="M207" t="inlineStr">
        <is>
          <t>Home/Self-Care</t>
        </is>
      </c>
      <c r="N207" t="inlineStr">
        <is>
          <t>Keystone Health Partners</t>
        </is>
      </c>
      <c r="O207" s="31" t="n">
        <v>1069.62</v>
      </c>
    </row>
    <row r="208">
      <c r="A208" t="inlineStr">
        <is>
          <t>ENC111533</t>
        </is>
      </c>
      <c r="B208" t="inlineStr">
        <is>
          <t>PT13124</t>
        </is>
      </c>
      <c r="C208" t="inlineStr">
        <is>
          <t>Emergency</t>
        </is>
      </c>
      <c r="D208" t="inlineStr">
        <is>
          <t>Bluestone Memorial Hospital</t>
        </is>
      </c>
      <c r="E208" t="inlineStr">
        <is>
          <t>Emergency Department</t>
        </is>
      </c>
      <c r="F208" t="inlineStr">
        <is>
          <t>Emergency</t>
        </is>
      </c>
      <c r="G208" s="29" t="n">
        <v>45680</v>
      </c>
      <c r="H208" s="29" t="n">
        <v>45680</v>
      </c>
      <c r="I208" s="30" t="n"/>
      <c r="J208" t="inlineStr">
        <is>
          <t>H66.90</t>
        </is>
      </c>
      <c r="K208" t="inlineStr">
        <is>
          <t>Otitis media, unspecified, unspecified ear</t>
        </is>
      </c>
      <c r="L208" t="inlineStr">
        <is>
          <t>Ear</t>
        </is>
      </c>
      <c r="M208" t="inlineStr">
        <is>
          <t>Left Without Being Seen</t>
        </is>
      </c>
      <c r="N208" t="inlineStr">
        <is>
          <t>State Medicaid</t>
        </is>
      </c>
      <c r="O208" s="31" t="n">
        <v>1663.77</v>
      </c>
    </row>
    <row r="209">
      <c r="A209" t="inlineStr">
        <is>
          <t>ENC111536</t>
        </is>
      </c>
      <c r="B209" t="inlineStr">
        <is>
          <t>PT13792</t>
        </is>
      </c>
      <c r="C209" t="inlineStr">
        <is>
          <t>Inpatient</t>
        </is>
      </c>
      <c r="D209" t="inlineStr">
        <is>
          <t>Bluestone Memorial Hospital</t>
        </is>
      </c>
      <c r="E209" t="inlineStr">
        <is>
          <t>Cardiac Step-Down</t>
        </is>
      </c>
      <c r="F209" t="inlineStr">
        <is>
          <t>Cardiovascular</t>
        </is>
      </c>
      <c r="G209" s="29" t="n">
        <v>45680</v>
      </c>
      <c r="H209" s="29" t="n">
        <v>45682</v>
      </c>
      <c r="I209" s="30" t="n">
        <v>2</v>
      </c>
      <c r="J209" t="inlineStr">
        <is>
          <t>I21.4</t>
        </is>
      </c>
      <c r="K209" t="inlineStr">
        <is>
          <t>Non-ST elevation (NSTEMI) myocardial infarction</t>
        </is>
      </c>
      <c r="L209" t="inlineStr">
        <is>
          <t>Circulatory</t>
        </is>
      </c>
      <c r="M209" t="inlineStr">
        <is>
          <t>Home Health</t>
        </is>
      </c>
      <c r="N209" t="inlineStr">
        <is>
          <t>Medicare</t>
        </is>
      </c>
      <c r="O209" s="31" t="n">
        <v>34202.66</v>
      </c>
      <c r="P209" t="inlineStr">
        <is>
          <t>N</t>
        </is>
      </c>
    </row>
    <row r="210">
      <c r="A210" t="inlineStr">
        <is>
          <t>ENC111541</t>
        </is>
      </c>
      <c r="B210" t="inlineStr">
        <is>
          <t>PT11412</t>
        </is>
      </c>
      <c r="C210" t="inlineStr">
        <is>
          <t>Inpatient</t>
        </is>
      </c>
      <c r="D210" t="inlineStr">
        <is>
          <t>Bluestone Memorial Hospital</t>
        </is>
      </c>
      <c r="E210" t="inlineStr">
        <is>
          <t>Medical-Surgical 4 West</t>
        </is>
      </c>
      <c r="F210" t="inlineStr">
        <is>
          <t>Medicine</t>
        </is>
      </c>
      <c r="G210" s="29" t="n">
        <v>45681</v>
      </c>
      <c r="H210" s="29" t="n">
        <v>45684</v>
      </c>
      <c r="I210" s="30" t="n">
        <v>3</v>
      </c>
      <c r="J210" t="inlineStr">
        <is>
          <t>J44.1</t>
        </is>
      </c>
      <c r="K210" t="inlineStr">
        <is>
          <t>Chronic obstructive pulmonary disease with (acute) exacerbation</t>
        </is>
      </c>
      <c r="L210" t="inlineStr">
        <is>
          <t>Respiratory</t>
        </is>
      </c>
      <c r="M210" t="inlineStr">
        <is>
          <t>Home/Self-Care</t>
        </is>
      </c>
      <c r="N210" t="inlineStr">
        <is>
          <t>Medicare</t>
        </is>
      </c>
      <c r="O210" s="31" t="n">
        <v>15987.5</v>
      </c>
      <c r="P210" t="inlineStr">
        <is>
          <t>N</t>
        </is>
      </c>
    </row>
    <row r="211">
      <c r="A211" t="inlineStr">
        <is>
          <t>ENC111543</t>
        </is>
      </c>
      <c r="B211" t="inlineStr">
        <is>
          <t>PT11908</t>
        </is>
      </c>
      <c r="C211" t="inlineStr">
        <is>
          <t>Emergency</t>
        </is>
      </c>
      <c r="D211" t="inlineStr">
        <is>
          <t>Bluestone Memorial Hospital</t>
        </is>
      </c>
      <c r="E211" t="inlineStr">
        <is>
          <t>Emergency Department</t>
        </is>
      </c>
      <c r="F211" t="inlineStr">
        <is>
          <t>Emergency</t>
        </is>
      </c>
      <c r="G211" s="29" t="n">
        <v>45681</v>
      </c>
      <c r="H211" s="29" t="n">
        <v>45681</v>
      </c>
      <c r="I211" s="30" t="n"/>
      <c r="J211" t="inlineStr">
        <is>
          <t>J18.9</t>
        </is>
      </c>
      <c r="K211" t="inlineStr">
        <is>
          <t>Pneumonia, unspecified organism</t>
        </is>
      </c>
      <c r="L211" t="inlineStr">
        <is>
          <t>Respiratory</t>
        </is>
      </c>
      <c r="M211" t="inlineStr">
        <is>
          <t>Home/Self-Care</t>
        </is>
      </c>
      <c r="N211" t="inlineStr">
        <is>
          <t>Keystone Health Partners</t>
        </is>
      </c>
      <c r="O211" s="31" t="n">
        <v>5144.72</v>
      </c>
    </row>
    <row r="212">
      <c r="A212" t="inlineStr">
        <is>
          <t>ENC111544</t>
        </is>
      </c>
      <c r="B212" t="inlineStr">
        <is>
          <t>PT10648</t>
        </is>
      </c>
      <c r="C212" t="inlineStr">
        <is>
          <t>Inpatient</t>
        </is>
      </c>
      <c r="D212" t="inlineStr">
        <is>
          <t>Ashby Falls Community Hospital</t>
        </is>
      </c>
      <c r="E212" t="inlineStr">
        <is>
          <t>Medical-Surgical</t>
        </is>
      </c>
      <c r="F212" t="inlineStr">
        <is>
          <t>Medicine</t>
        </is>
      </c>
      <c r="G212" s="29" t="n">
        <v>45681</v>
      </c>
      <c r="H212" s="29" t="n">
        <v>45682</v>
      </c>
      <c r="I212" s="30" t="n">
        <v>1</v>
      </c>
      <c r="J212" t="inlineStr">
        <is>
          <t>E86.0</t>
        </is>
      </c>
      <c r="K212" t="inlineStr">
        <is>
          <t>Dehydration</t>
        </is>
      </c>
      <c r="L212" t="inlineStr">
        <is>
          <t>Endocrine</t>
        </is>
      </c>
      <c r="M212" t="inlineStr">
        <is>
          <t>Transfer to Another Hospital</t>
        </is>
      </c>
      <c r="N212" t="inlineStr">
        <is>
          <t>Self-Pay</t>
        </is>
      </c>
      <c r="O212" s="31" t="n">
        <v>14859</v>
      </c>
      <c r="P212" t="inlineStr">
        <is>
          <t>N</t>
        </is>
      </c>
    </row>
    <row r="213">
      <c r="A213" t="inlineStr">
        <is>
          <t>ENC111546</t>
        </is>
      </c>
      <c r="B213" t="inlineStr">
        <is>
          <t>PT12632</t>
        </is>
      </c>
      <c r="C213" t="inlineStr">
        <is>
          <t>Outpatient</t>
        </is>
      </c>
      <c r="D213" t="inlineStr">
        <is>
          <t>Bluestone Outpatient Pavilion</t>
        </is>
      </c>
      <c r="E213" t="inlineStr">
        <is>
          <t>Pediatric Clinic</t>
        </is>
      </c>
      <c r="F213" t="inlineStr">
        <is>
          <t>Women &amp; Children</t>
        </is>
      </c>
      <c r="G213" s="29" t="n">
        <v>45681</v>
      </c>
      <c r="H213" s="29" t="n">
        <v>45681</v>
      </c>
      <c r="I213" s="30" t="n"/>
      <c r="J213" t="inlineStr">
        <is>
          <t>Z23</t>
        </is>
      </c>
      <c r="K213" t="inlineStr">
        <is>
          <t>Encounter for immunization</t>
        </is>
      </c>
      <c r="L213" t="inlineStr">
        <is>
          <t>Factors Influencing Health</t>
        </is>
      </c>
      <c r="M213" t="inlineStr">
        <is>
          <t>Home/Self-Care</t>
        </is>
      </c>
      <c r="N213" t="inlineStr">
        <is>
          <t>Evergreen Mutual Insurance</t>
        </is>
      </c>
      <c r="O213" s="31" t="n">
        <v>120.34</v>
      </c>
    </row>
    <row r="214">
      <c r="A214" t="inlineStr">
        <is>
          <t>ENC111554</t>
        </is>
      </c>
      <c r="B214" t="inlineStr">
        <is>
          <t>PT11296</t>
        </is>
      </c>
      <c r="C214" t="inlineStr">
        <is>
          <t>Outpatient</t>
        </is>
      </c>
      <c r="D214" t="inlineStr">
        <is>
          <t>Bluestone Outpatient Pavilion</t>
        </is>
      </c>
      <c r="E214" t="inlineStr">
        <is>
          <t>Pediatric Clinic</t>
        </is>
      </c>
      <c r="F214" t="inlineStr">
        <is>
          <t>Women &amp; Children</t>
        </is>
      </c>
      <c r="G214" s="29" t="n">
        <v>45681</v>
      </c>
      <c r="H214" s="29" t="n">
        <v>45681</v>
      </c>
      <c r="I214" s="30" t="n"/>
      <c r="J214" t="inlineStr">
        <is>
          <t>Z00.129</t>
        </is>
      </c>
      <c r="K214" t="inlineStr">
        <is>
          <t>Encounter for routine child health examination without abnormal findings</t>
        </is>
      </c>
      <c r="L214" t="inlineStr">
        <is>
          <t>Factors Influencing Health</t>
        </is>
      </c>
      <c r="M214" t="inlineStr">
        <is>
          <t>Home/Self-Care</t>
        </is>
      </c>
      <c r="N214" t="inlineStr">
        <is>
          <t>Evergreen Mutual Insurance</t>
        </is>
      </c>
      <c r="O214" s="31" t="n">
        <v>284.8</v>
      </c>
    </row>
    <row r="215">
      <c r="A215" t="inlineStr">
        <is>
          <t>ENC111555</t>
        </is>
      </c>
      <c r="B215" t="inlineStr">
        <is>
          <t>PT13392</t>
        </is>
      </c>
      <c r="C215" t="inlineStr">
        <is>
          <t>Emergency</t>
        </is>
      </c>
      <c r="D215" t="inlineStr">
        <is>
          <t>Bluestone Memorial Hospital</t>
        </is>
      </c>
      <c r="E215" t="inlineStr">
        <is>
          <t>Emergency Department</t>
        </is>
      </c>
      <c r="F215" t="inlineStr">
        <is>
          <t>Emergency</t>
        </is>
      </c>
      <c r="G215" s="29" t="n">
        <v>45681</v>
      </c>
      <c r="H215" s="29" t="n">
        <v>45681</v>
      </c>
      <c r="I215" s="30" t="n"/>
      <c r="J215" t="inlineStr">
        <is>
          <t>J18.9</t>
        </is>
      </c>
      <c r="K215" t="inlineStr">
        <is>
          <t>Pneumonia, unspecified organism</t>
        </is>
      </c>
      <c r="L215" t="inlineStr">
        <is>
          <t>Respiratory</t>
        </is>
      </c>
      <c r="M215" t="inlineStr">
        <is>
          <t>Home/Self-Care</t>
        </is>
      </c>
      <c r="N215" t="inlineStr">
        <is>
          <t>Silverline Medicare Advantage</t>
        </is>
      </c>
      <c r="O215" s="31" t="n">
        <v>3794.43</v>
      </c>
    </row>
    <row r="216">
      <c r="A216" t="inlineStr">
        <is>
          <t>ENC111564</t>
        </is>
      </c>
      <c r="B216" t="inlineStr">
        <is>
          <t>PT12440</t>
        </is>
      </c>
      <c r="C216" t="inlineStr">
        <is>
          <t>Outpatient</t>
        </is>
      </c>
      <c r="D216" t="inlineStr">
        <is>
          <t>Bluestone Outpatient Pavilion</t>
        </is>
      </c>
      <c r="E216" t="inlineStr">
        <is>
          <t>Primary Care Clinic</t>
        </is>
      </c>
      <c r="F216" t="inlineStr">
        <is>
          <t>Ambulatory</t>
        </is>
      </c>
      <c r="G216" s="29" t="n">
        <v>45681</v>
      </c>
      <c r="H216" s="29" t="n">
        <v>45681</v>
      </c>
      <c r="I216" s="30" t="n"/>
      <c r="J216" t="inlineStr">
        <is>
          <t>J44.1</t>
        </is>
      </c>
      <c r="K216" t="inlineStr">
        <is>
          <t>Chronic obstructive pulmonary disease with (acute) exacerbation</t>
        </is>
      </c>
      <c r="L216" t="inlineStr">
        <is>
          <t>Respiratory</t>
        </is>
      </c>
      <c r="M216" t="inlineStr">
        <is>
          <t>Home/Self-Care</t>
        </is>
      </c>
      <c r="N216" t="inlineStr">
        <is>
          <t>Medicare</t>
        </is>
      </c>
      <c r="O216" s="31" t="n">
        <v>393.43</v>
      </c>
    </row>
    <row r="217">
      <c r="A217" t="inlineStr">
        <is>
          <t>ENC111566</t>
        </is>
      </c>
      <c r="B217" t="inlineStr">
        <is>
          <t>PT13888</t>
        </is>
      </c>
      <c r="C217" t="inlineStr">
        <is>
          <t>Emergency</t>
        </is>
      </c>
      <c r="D217" t="inlineStr">
        <is>
          <t>Ashby Falls Community Hospital</t>
        </is>
      </c>
      <c r="E217" t="inlineStr">
        <is>
          <t>Emergency Department</t>
        </is>
      </c>
      <c r="F217" t="inlineStr">
        <is>
          <t>Emergency</t>
        </is>
      </c>
      <c r="G217" s="29" t="n">
        <v>45681</v>
      </c>
      <c r="H217" s="29" t="n">
        <v>45681</v>
      </c>
      <c r="I217" s="30" t="n"/>
      <c r="J217" t="inlineStr">
        <is>
          <t>R55</t>
        </is>
      </c>
      <c r="K217" t="inlineStr">
        <is>
          <t>Syncope and collapse</t>
        </is>
      </c>
      <c r="L217" t="inlineStr">
        <is>
          <t>Symptoms &amp; Signs</t>
        </is>
      </c>
      <c r="M217" t="inlineStr">
        <is>
          <t>Home/Self-Care</t>
        </is>
      </c>
      <c r="N217" t="inlineStr">
        <is>
          <t>Keystone Health Partners</t>
        </is>
      </c>
      <c r="O217" s="31" t="n">
        <v>2679.14</v>
      </c>
    </row>
    <row r="218">
      <c r="A218" t="inlineStr">
        <is>
          <t>ENC111567</t>
        </is>
      </c>
      <c r="B218" t="inlineStr">
        <is>
          <t>PT11948</t>
        </is>
      </c>
      <c r="C218" t="inlineStr">
        <is>
          <t>Outpatient</t>
        </is>
      </c>
      <c r="D218" t="inlineStr">
        <is>
          <t>Bluestone Outpatient Pavilion</t>
        </is>
      </c>
      <c r="E218" t="inlineStr">
        <is>
          <t>Endocrinology &amp; Diabetes Clinic</t>
        </is>
      </c>
      <c r="F218" t="inlineStr">
        <is>
          <t>Ambulatory</t>
        </is>
      </c>
      <c r="G218" s="29" t="n">
        <v>45681</v>
      </c>
      <c r="H218" s="29" t="n">
        <v>45681</v>
      </c>
      <c r="I218" s="30" t="n"/>
      <c r="J218" t="inlineStr">
        <is>
          <t>E11.9</t>
        </is>
      </c>
      <c r="K218" t="inlineStr">
        <is>
          <t>Type 2 diabetes mellitus without complications</t>
        </is>
      </c>
      <c r="L218" t="inlineStr">
        <is>
          <t>Endocrine</t>
        </is>
      </c>
      <c r="M218" t="inlineStr">
        <is>
          <t>Home/Self-Care</t>
        </is>
      </c>
      <c r="N218" t="inlineStr">
        <is>
          <t>Medicare</t>
        </is>
      </c>
      <c r="O218" s="31" t="n">
        <v>492.22</v>
      </c>
    </row>
    <row r="219">
      <c r="A219" t="inlineStr">
        <is>
          <t>ENC111569</t>
        </is>
      </c>
      <c r="B219" t="inlineStr">
        <is>
          <t>PT10336</t>
        </is>
      </c>
      <c r="C219" t="inlineStr">
        <is>
          <t>Emergency</t>
        </is>
      </c>
      <c r="D219" t="inlineStr">
        <is>
          <t>Bluestone Memorial Hospital</t>
        </is>
      </c>
      <c r="E219" t="inlineStr">
        <is>
          <t>Emergency Department</t>
        </is>
      </c>
      <c r="F219" t="inlineStr">
        <is>
          <t>Emergency</t>
        </is>
      </c>
      <c r="G219" s="29" t="n">
        <v>45681</v>
      </c>
      <c r="H219" s="29" t="n">
        <v>45681</v>
      </c>
      <c r="I219" s="30" t="n"/>
      <c r="J219" t="inlineStr">
        <is>
          <t>E86.0</t>
        </is>
      </c>
      <c r="K219" t="inlineStr">
        <is>
          <t>Dehydration</t>
        </is>
      </c>
      <c r="L219" t="inlineStr">
        <is>
          <t>Endocrine</t>
        </is>
      </c>
      <c r="M219" t="inlineStr">
        <is>
          <t>Home/Self-Care</t>
        </is>
      </c>
      <c r="N219" t="inlineStr">
        <is>
          <t>Medicare</t>
        </is>
      </c>
      <c r="O219" s="31" t="n">
        <v>3815.93</v>
      </c>
    </row>
    <row r="220">
      <c r="A220" t="inlineStr">
        <is>
          <t>ENC111576</t>
        </is>
      </c>
      <c r="B220" t="inlineStr">
        <is>
          <t>PT13036</t>
        </is>
      </c>
      <c r="C220" t="inlineStr">
        <is>
          <t>Emergency</t>
        </is>
      </c>
      <c r="D220" t="inlineStr">
        <is>
          <t>Bluestone Memorial Hospital</t>
        </is>
      </c>
      <c r="E220" t="inlineStr">
        <is>
          <t>Emergency Department</t>
        </is>
      </c>
      <c r="F220" t="inlineStr">
        <is>
          <t>Emergency</t>
        </is>
      </c>
      <c r="G220" s="29" t="n">
        <v>45681</v>
      </c>
      <c r="H220" s="29" t="n">
        <v>45681</v>
      </c>
      <c r="I220" s="30" t="n"/>
      <c r="J220" t="inlineStr">
        <is>
          <t>U07.1</t>
        </is>
      </c>
      <c r="K220" t="inlineStr">
        <is>
          <t>COVID-19</t>
        </is>
      </c>
      <c r="L220" t="inlineStr">
        <is>
          <t>Respiratory</t>
        </is>
      </c>
      <c r="M220" t="inlineStr">
        <is>
          <t>Home/Self-Care</t>
        </is>
      </c>
      <c r="N220" t="inlineStr">
        <is>
          <t>Keystone Health Partners</t>
        </is>
      </c>
      <c r="O220" s="31" t="n">
        <v>2514.88</v>
      </c>
    </row>
    <row r="221">
      <c r="A221" t="inlineStr">
        <is>
          <t>ENC111580</t>
        </is>
      </c>
      <c r="B221" t="inlineStr">
        <is>
          <t>PT12972</t>
        </is>
      </c>
      <c r="C221" t="inlineStr">
        <is>
          <t>Inpatient</t>
        </is>
      </c>
      <c r="D221" t="inlineStr">
        <is>
          <t>Bluestone Memorial Hospital</t>
        </is>
      </c>
      <c r="E221" t="inlineStr">
        <is>
          <t>Medical-Surgical 4 West</t>
        </is>
      </c>
      <c r="F221" t="inlineStr">
        <is>
          <t>Medicine</t>
        </is>
      </c>
      <c r="G221" s="29" t="n">
        <v>45682</v>
      </c>
      <c r="H221" s="29" t="n">
        <v>45691</v>
      </c>
      <c r="I221" s="30" t="n">
        <v>9</v>
      </c>
      <c r="J221" t="inlineStr">
        <is>
          <t>A41.9</t>
        </is>
      </c>
      <c r="K221" t="inlineStr">
        <is>
          <t>Sepsis, unspecified organism</t>
        </is>
      </c>
      <c r="L221" t="inlineStr">
        <is>
          <t>Infectious</t>
        </is>
      </c>
      <c r="M221" t="inlineStr">
        <is>
          <t>Skilled Nursing Facility</t>
        </is>
      </c>
      <c r="N221" t="inlineStr">
        <is>
          <t>Medicare</t>
        </is>
      </c>
      <c r="O221" s="31" t="n">
        <v>72635.34</v>
      </c>
      <c r="P221" t="inlineStr">
        <is>
          <t>Y</t>
        </is>
      </c>
    </row>
    <row r="222">
      <c r="A222" t="inlineStr">
        <is>
          <t>ENC111586</t>
        </is>
      </c>
      <c r="B222" t="inlineStr">
        <is>
          <t>PT11664</t>
        </is>
      </c>
      <c r="C222" t="inlineStr">
        <is>
          <t>Emergency</t>
        </is>
      </c>
      <c r="D222" t="inlineStr">
        <is>
          <t>Bluestone Memorial Hospital</t>
        </is>
      </c>
      <c r="E222" t="inlineStr">
        <is>
          <t>Emergency Department</t>
        </is>
      </c>
      <c r="F222" t="inlineStr">
        <is>
          <t>Emergency</t>
        </is>
      </c>
      <c r="G222" s="29" t="n">
        <v>45682</v>
      </c>
      <c r="H222" s="29" t="n">
        <v>45682</v>
      </c>
      <c r="I222" s="30" t="n"/>
      <c r="J222" t="inlineStr">
        <is>
          <t>J06.9</t>
        </is>
      </c>
      <c r="K222" t="inlineStr">
        <is>
          <t>Acute upper respiratory infection, unspecified</t>
        </is>
      </c>
      <c r="L222" t="inlineStr">
        <is>
          <t>Respiratory</t>
        </is>
      </c>
      <c r="M222" t="inlineStr">
        <is>
          <t>Home/Self-Care</t>
        </is>
      </c>
      <c r="N222" t="inlineStr">
        <is>
          <t>State Medicaid</t>
        </is>
      </c>
      <c r="O222" s="31" t="n">
        <v>1210.81</v>
      </c>
    </row>
    <row r="223">
      <c r="A223" t="inlineStr">
        <is>
          <t>ENC111592</t>
        </is>
      </c>
      <c r="B223" t="inlineStr">
        <is>
          <t>PT13384</t>
        </is>
      </c>
      <c r="C223" t="inlineStr">
        <is>
          <t>Emergency</t>
        </is>
      </c>
      <c r="D223" t="inlineStr">
        <is>
          <t>Cedar Ridge Medical Center</t>
        </is>
      </c>
      <c r="E223" t="inlineStr">
        <is>
          <t>Emergency Department</t>
        </is>
      </c>
      <c r="F223" t="inlineStr">
        <is>
          <t>Emergency</t>
        </is>
      </c>
      <c r="G223" s="29" t="n">
        <v>45682</v>
      </c>
      <c r="H223" s="29" t="n">
        <v>45682</v>
      </c>
      <c r="I223" s="30" t="n"/>
      <c r="J223" t="inlineStr">
        <is>
          <t>J44.1</t>
        </is>
      </c>
      <c r="K223" t="inlineStr">
        <is>
          <t>Chronic obstructive pulmonary disease with (acute) exacerbation</t>
        </is>
      </c>
      <c r="L223" t="inlineStr">
        <is>
          <t>Respiratory</t>
        </is>
      </c>
      <c r="M223" t="inlineStr">
        <is>
          <t>Home/Self-Care</t>
        </is>
      </c>
      <c r="N223" t="inlineStr">
        <is>
          <t>Keystone Health Partners</t>
        </is>
      </c>
      <c r="O223" s="31" t="n">
        <v>2875.25</v>
      </c>
    </row>
    <row r="224">
      <c r="A224" t="inlineStr">
        <is>
          <t>ENC111599</t>
        </is>
      </c>
      <c r="B224" t="inlineStr">
        <is>
          <t>PT13220</t>
        </is>
      </c>
      <c r="C224" t="inlineStr">
        <is>
          <t>Observation</t>
        </is>
      </c>
      <c r="D224" t="inlineStr">
        <is>
          <t>Bluestone Memorial Hospital</t>
        </is>
      </c>
      <c r="E224" t="inlineStr">
        <is>
          <t>Observation Unit</t>
        </is>
      </c>
      <c r="F224" t="inlineStr">
        <is>
          <t>Medicine</t>
        </is>
      </c>
      <c r="G224" s="29" t="n">
        <v>45682</v>
      </c>
      <c r="H224" s="29" t="n">
        <v>45683</v>
      </c>
      <c r="I224" s="30" t="n">
        <v>1</v>
      </c>
      <c r="J224" t="inlineStr">
        <is>
          <t>N39.0</t>
        </is>
      </c>
      <c r="K224" t="inlineStr">
        <is>
          <t>Urinary tract infection, site not specified</t>
        </is>
      </c>
      <c r="L224" t="inlineStr">
        <is>
          <t>Genitourinary</t>
        </is>
      </c>
      <c r="M224" t="inlineStr">
        <is>
          <t>Home/Self-Care</t>
        </is>
      </c>
      <c r="N224" t="inlineStr">
        <is>
          <t>Self-Pay</t>
        </is>
      </c>
      <c r="O224" s="31" t="n">
        <v>8771.370000000001</v>
      </c>
    </row>
    <row r="225">
      <c r="A225" t="inlineStr">
        <is>
          <t>ENC111601</t>
        </is>
      </c>
      <c r="B225" t="inlineStr">
        <is>
          <t>PT11900</t>
        </is>
      </c>
      <c r="C225" t="inlineStr">
        <is>
          <t>Inpatient</t>
        </is>
      </c>
      <c r="D225" t="inlineStr">
        <is>
          <t>Bluestone Memorial Hospital</t>
        </is>
      </c>
      <c r="E225" t="inlineStr">
        <is>
          <t>Medical-Surgical 4 West</t>
        </is>
      </c>
      <c r="F225" t="inlineStr">
        <is>
          <t>Medicine</t>
        </is>
      </c>
      <c r="G225" s="29" t="n">
        <v>45682</v>
      </c>
      <c r="H225" s="29" t="n">
        <v>45683</v>
      </c>
      <c r="I225" s="30" t="n">
        <v>1</v>
      </c>
      <c r="J225" t="inlineStr">
        <is>
          <t>K35.80</t>
        </is>
      </c>
      <c r="K225" t="inlineStr">
        <is>
          <t>Unspecified acute appendicitis</t>
        </is>
      </c>
      <c r="L225" t="inlineStr">
        <is>
          <t>Digestive</t>
        </is>
      </c>
      <c r="M225" t="inlineStr">
        <is>
          <t>Home Health</t>
        </is>
      </c>
      <c r="N225" t="inlineStr">
        <is>
          <t>Summit Choice PPO</t>
        </is>
      </c>
      <c r="O225" s="31" t="n">
        <v>38806.05</v>
      </c>
      <c r="P225" t="inlineStr">
        <is>
          <t>N</t>
        </is>
      </c>
    </row>
    <row r="226">
      <c r="A226" t="inlineStr">
        <is>
          <t>ENC111609</t>
        </is>
      </c>
      <c r="B226" t="inlineStr">
        <is>
          <t>PT12620</t>
        </is>
      </c>
      <c r="C226" t="inlineStr">
        <is>
          <t>Emergency</t>
        </is>
      </c>
      <c r="D226" t="inlineStr">
        <is>
          <t>Ashby Falls Community Hospital</t>
        </is>
      </c>
      <c r="E226" t="inlineStr">
        <is>
          <t>Emergency Department</t>
        </is>
      </c>
      <c r="F226" t="inlineStr">
        <is>
          <t>Emergency</t>
        </is>
      </c>
      <c r="G226" s="29" t="n">
        <v>45683</v>
      </c>
      <c r="H226" s="29" t="n">
        <v>45683</v>
      </c>
      <c r="I226" s="30" t="n"/>
      <c r="J226" t="inlineStr">
        <is>
          <t>J18.9</t>
        </is>
      </c>
      <c r="K226" t="inlineStr">
        <is>
          <t>Pneumonia, unspecified organism</t>
        </is>
      </c>
      <c r="L226" t="inlineStr">
        <is>
          <t>Respiratory</t>
        </is>
      </c>
      <c r="M226" t="inlineStr">
        <is>
          <t>Home/Self-Care</t>
        </is>
      </c>
      <c r="N226" t="inlineStr">
        <is>
          <t>State Medicaid</t>
        </is>
      </c>
      <c r="O226" s="31" t="n">
        <v>7593.79</v>
      </c>
    </row>
    <row r="227">
      <c r="A227" t="inlineStr">
        <is>
          <t>ENC111613</t>
        </is>
      </c>
      <c r="B227" t="inlineStr">
        <is>
          <t>PT10008</t>
        </is>
      </c>
      <c r="C227" t="inlineStr">
        <is>
          <t>Emergency</t>
        </is>
      </c>
      <c r="D227" t="inlineStr">
        <is>
          <t>Bluestone Memorial Hospital</t>
        </is>
      </c>
      <c r="E227" t="inlineStr">
        <is>
          <t>Emergency Department</t>
        </is>
      </c>
      <c r="F227" t="inlineStr">
        <is>
          <t>Emergency</t>
        </is>
      </c>
      <c r="G227" s="29" t="n">
        <v>45683</v>
      </c>
      <c r="H227" s="29" t="n">
        <v>45683</v>
      </c>
      <c r="I227" s="30" t="n"/>
      <c r="J227" t="inlineStr">
        <is>
          <t>A08.4</t>
        </is>
      </c>
      <c r="K227" t="inlineStr">
        <is>
          <t>Viral intestinal infection, unspecified</t>
        </is>
      </c>
      <c r="L227" t="inlineStr">
        <is>
          <t>Infectious</t>
        </is>
      </c>
      <c r="M227" t="inlineStr">
        <is>
          <t>Home/Self-Care</t>
        </is>
      </c>
      <c r="N227" t="inlineStr">
        <is>
          <t>Silverline Medicare Advantage</t>
        </is>
      </c>
      <c r="O227" s="31" t="n">
        <v>1478.59</v>
      </c>
    </row>
    <row r="228">
      <c r="A228" t="inlineStr">
        <is>
          <t>ENC111616</t>
        </is>
      </c>
      <c r="B228" t="inlineStr">
        <is>
          <t>PT10480</t>
        </is>
      </c>
      <c r="C228" t="inlineStr">
        <is>
          <t>Inpatient</t>
        </is>
      </c>
      <c r="D228" t="inlineStr">
        <is>
          <t>Bluestone Memorial Hospital</t>
        </is>
      </c>
      <c r="E228" t="inlineStr">
        <is>
          <t>Pediatrics</t>
        </is>
      </c>
      <c r="F228" t="inlineStr">
        <is>
          <t>Women &amp; Children</t>
        </is>
      </c>
      <c r="G228" s="29" t="n">
        <v>45683</v>
      </c>
      <c r="H228" s="29" t="n">
        <v>45687</v>
      </c>
      <c r="I228" s="30" t="n">
        <v>4</v>
      </c>
      <c r="J228" t="inlineStr">
        <is>
          <t>J21.9</t>
        </is>
      </c>
      <c r="K228" t="inlineStr">
        <is>
          <t>Acute bronchiolitis, unspecified</t>
        </is>
      </c>
      <c r="L228" t="inlineStr">
        <is>
          <t>Respiratory</t>
        </is>
      </c>
      <c r="M228" t="inlineStr">
        <is>
          <t>Home/Self-Care</t>
        </is>
      </c>
      <c r="N228" t="inlineStr">
        <is>
          <t>State Medicaid</t>
        </is>
      </c>
      <c r="O228" s="31" t="n">
        <v>20968.11</v>
      </c>
      <c r="P228" t="inlineStr">
        <is>
          <t>N</t>
        </is>
      </c>
    </row>
    <row r="229">
      <c r="A229" t="inlineStr">
        <is>
          <t>ENC111626</t>
        </is>
      </c>
      <c r="B229" t="inlineStr">
        <is>
          <t>PT10860</t>
        </is>
      </c>
      <c r="C229" t="inlineStr">
        <is>
          <t>Emergency</t>
        </is>
      </c>
      <c r="D229" t="inlineStr">
        <is>
          <t>Bluestone Memorial Hospital</t>
        </is>
      </c>
      <c r="E229" t="inlineStr">
        <is>
          <t>Emergency Department</t>
        </is>
      </c>
      <c r="F229" t="inlineStr">
        <is>
          <t>Emergency</t>
        </is>
      </c>
      <c r="G229" s="29" t="n">
        <v>45683</v>
      </c>
      <c r="H229" s="29" t="n">
        <v>45683</v>
      </c>
      <c r="I229" s="30" t="n"/>
      <c r="J229" t="inlineStr">
        <is>
          <t>J06.9</t>
        </is>
      </c>
      <c r="K229" t="inlineStr">
        <is>
          <t>Acute upper respiratory infection, unspecified</t>
        </is>
      </c>
      <c r="L229" t="inlineStr">
        <is>
          <t>Respiratory</t>
        </is>
      </c>
      <c r="M229" t="inlineStr">
        <is>
          <t>Home/Self-Care</t>
        </is>
      </c>
      <c r="N229" t="inlineStr">
        <is>
          <t>Silverline Medicare Advantage</t>
        </is>
      </c>
      <c r="O229" s="31" t="n">
        <v>1180.51</v>
      </c>
    </row>
    <row r="230">
      <c r="A230" t="inlineStr">
        <is>
          <t>ENC111636</t>
        </is>
      </c>
      <c r="B230" t="inlineStr">
        <is>
          <t>PT12220</t>
        </is>
      </c>
      <c r="C230" t="inlineStr">
        <is>
          <t>Inpatient</t>
        </is>
      </c>
      <c r="D230" t="inlineStr">
        <is>
          <t>Bluestone Memorial Hospital</t>
        </is>
      </c>
      <c r="E230" t="inlineStr">
        <is>
          <t>Medical-Surgical 5 East</t>
        </is>
      </c>
      <c r="F230" t="inlineStr">
        <is>
          <t>Medicine</t>
        </is>
      </c>
      <c r="G230" s="29" t="n">
        <v>45683</v>
      </c>
      <c r="H230" s="29" t="n">
        <v>45689</v>
      </c>
      <c r="I230" s="30" t="n">
        <v>6</v>
      </c>
      <c r="J230" t="inlineStr">
        <is>
          <t>U07.1</t>
        </is>
      </c>
      <c r="K230" t="inlineStr">
        <is>
          <t>COVID-19</t>
        </is>
      </c>
      <c r="L230" t="inlineStr">
        <is>
          <t>Respiratory</t>
        </is>
      </c>
      <c r="M230" t="inlineStr">
        <is>
          <t>Skilled Nursing Facility</t>
        </is>
      </c>
      <c r="N230" t="inlineStr">
        <is>
          <t>Keystone Health Partners</t>
        </is>
      </c>
      <c r="O230" s="31" t="n">
        <v>20737.87</v>
      </c>
      <c r="P230" t="inlineStr">
        <is>
          <t>N</t>
        </is>
      </c>
    </row>
    <row r="231">
      <c r="A231" t="inlineStr">
        <is>
          <t>ENC111637</t>
        </is>
      </c>
      <c r="B231" t="inlineStr">
        <is>
          <t>PT13152</t>
        </is>
      </c>
      <c r="C231" t="inlineStr">
        <is>
          <t>Emergency</t>
        </is>
      </c>
      <c r="D231" t="inlineStr">
        <is>
          <t>Bluestone Memorial Hospital</t>
        </is>
      </c>
      <c r="E231" t="inlineStr">
        <is>
          <t>Emergency Department</t>
        </is>
      </c>
      <c r="F231" t="inlineStr">
        <is>
          <t>Emergency</t>
        </is>
      </c>
      <c r="G231" s="29" t="n">
        <v>45683</v>
      </c>
      <c r="H231" s="29" t="n">
        <v>45683</v>
      </c>
      <c r="I231" s="30" t="n"/>
      <c r="J231" t="inlineStr">
        <is>
          <t>J06.9</t>
        </is>
      </c>
      <c r="K231" t="inlineStr">
        <is>
          <t>Acute upper respiratory infection, unspecified</t>
        </is>
      </c>
      <c r="L231" t="inlineStr">
        <is>
          <t>Respiratory</t>
        </is>
      </c>
      <c r="M231" t="inlineStr">
        <is>
          <t>Home/Self-Care</t>
        </is>
      </c>
      <c r="N231" t="inlineStr">
        <is>
          <t>State Medicaid</t>
        </is>
      </c>
      <c r="O231" s="31" t="n">
        <v>3777.66</v>
      </c>
    </row>
    <row r="232">
      <c r="A232" t="inlineStr">
        <is>
          <t>ENC111641</t>
        </is>
      </c>
      <c r="B232" t="inlineStr">
        <is>
          <t>PT10776</t>
        </is>
      </c>
      <c r="C232" t="inlineStr">
        <is>
          <t>Emergency</t>
        </is>
      </c>
      <c r="D232" t="inlineStr">
        <is>
          <t>Bluestone Memorial Hospital</t>
        </is>
      </c>
      <c r="E232" t="inlineStr">
        <is>
          <t>Emergency Department</t>
        </is>
      </c>
      <c r="F232" t="inlineStr">
        <is>
          <t>Emergency</t>
        </is>
      </c>
      <c r="G232" s="29" t="n">
        <v>45684</v>
      </c>
      <c r="H232" s="29" t="n">
        <v>45684</v>
      </c>
      <c r="I232" s="30" t="n"/>
      <c r="J232" t="inlineStr">
        <is>
          <t>G43.909</t>
        </is>
      </c>
      <c r="K232" t="inlineStr">
        <is>
          <t>Migraine, unspecified, not intractable, without status migrainosus</t>
        </is>
      </c>
      <c r="L232" t="inlineStr">
        <is>
          <t>Nervous System</t>
        </is>
      </c>
      <c r="M232" t="inlineStr">
        <is>
          <t>Home/Self-Care</t>
        </is>
      </c>
      <c r="N232" t="inlineStr">
        <is>
          <t>State Medicaid</t>
        </is>
      </c>
      <c r="O232" s="31" t="n">
        <v>3730.4</v>
      </c>
    </row>
    <row r="233">
      <c r="A233" t="inlineStr">
        <is>
          <t>ENC111642</t>
        </is>
      </c>
      <c r="B233" t="inlineStr">
        <is>
          <t>PT12292</t>
        </is>
      </c>
      <c r="C233" t="inlineStr">
        <is>
          <t>Emergency</t>
        </is>
      </c>
      <c r="D233" t="inlineStr">
        <is>
          <t>Bluestone Memorial Hospital</t>
        </is>
      </c>
      <c r="E233" t="inlineStr">
        <is>
          <t>Emergency Department</t>
        </is>
      </c>
      <c r="F233" t="inlineStr">
        <is>
          <t>Emergency</t>
        </is>
      </c>
      <c r="G233" s="29" t="n">
        <v>45684</v>
      </c>
      <c r="H233" s="29" t="n">
        <v>45684</v>
      </c>
      <c r="I233" s="30" t="n"/>
      <c r="J233" t="inlineStr">
        <is>
          <t>S93.401A</t>
        </is>
      </c>
      <c r="K233" t="inlineStr">
        <is>
          <t>Sprain of unspecified ligament of right ankle, initial encounter</t>
        </is>
      </c>
      <c r="L233" t="inlineStr">
        <is>
          <t>Injury</t>
        </is>
      </c>
      <c r="M233" t="inlineStr">
        <is>
          <t>Home/Self-Care</t>
        </is>
      </c>
      <c r="N233" t="inlineStr">
        <is>
          <t>Silverline Medicare Advantage</t>
        </is>
      </c>
      <c r="O233" s="31" t="n">
        <v>914.25</v>
      </c>
    </row>
    <row r="234">
      <c r="A234" t="inlineStr">
        <is>
          <t>ENC111645</t>
        </is>
      </c>
      <c r="B234" t="inlineStr">
        <is>
          <t>PT10876</t>
        </is>
      </c>
      <c r="C234" t="inlineStr">
        <is>
          <t>Outpatient</t>
        </is>
      </c>
      <c r="D234" t="inlineStr">
        <is>
          <t>Bluestone Outpatient Pavilion</t>
        </is>
      </c>
      <c r="E234" t="inlineStr">
        <is>
          <t>Infusion &amp; Oncology Clinic</t>
        </is>
      </c>
      <c r="F234" t="inlineStr">
        <is>
          <t>Oncology</t>
        </is>
      </c>
      <c r="G234" s="29" t="n">
        <v>45684</v>
      </c>
      <c r="H234" s="29" t="n">
        <v>45684</v>
      </c>
      <c r="I234" s="30" t="n"/>
      <c r="J234" t="inlineStr">
        <is>
          <t>C50.911</t>
        </is>
      </c>
      <c r="K234" t="inlineStr">
        <is>
          <t>Malignant neoplasm of unspecified site of right female breast</t>
        </is>
      </c>
      <c r="L234" t="inlineStr">
        <is>
          <t>Neoplasms</t>
        </is>
      </c>
      <c r="M234" t="inlineStr">
        <is>
          <t>Home/Self-Care</t>
        </is>
      </c>
      <c r="N234" t="inlineStr">
        <is>
          <t>State Medicaid</t>
        </is>
      </c>
      <c r="O234" s="31" t="n">
        <v>464.35</v>
      </c>
    </row>
    <row r="235">
      <c r="A235" t="inlineStr">
        <is>
          <t>ENC111646</t>
        </is>
      </c>
      <c r="B235" t="inlineStr">
        <is>
          <t>PT12932</t>
        </is>
      </c>
      <c r="C235" t="inlineStr">
        <is>
          <t>Emergency</t>
        </is>
      </c>
      <c r="D235" t="inlineStr">
        <is>
          <t>Bluestone Memorial Hospital</t>
        </is>
      </c>
      <c r="E235" t="inlineStr">
        <is>
          <t>Emergency Department</t>
        </is>
      </c>
      <c r="F235" t="inlineStr">
        <is>
          <t>Emergency</t>
        </is>
      </c>
      <c r="G235" s="29" t="n">
        <v>45684</v>
      </c>
      <c r="H235" s="29" t="n">
        <v>45684</v>
      </c>
      <c r="I235" s="30" t="n"/>
      <c r="J235" t="inlineStr">
        <is>
          <t>J21.9</t>
        </is>
      </c>
      <c r="K235" t="inlineStr">
        <is>
          <t>Acute bronchiolitis, unspecified</t>
        </is>
      </c>
      <c r="L235" t="inlineStr">
        <is>
          <t>Respiratory</t>
        </is>
      </c>
      <c r="M235" t="inlineStr">
        <is>
          <t>Home/Self-Care</t>
        </is>
      </c>
      <c r="N235" t="inlineStr">
        <is>
          <t>State Medicaid</t>
        </is>
      </c>
      <c r="O235" s="31" t="n">
        <v>3190.66</v>
      </c>
    </row>
    <row r="236">
      <c r="A236" t="inlineStr">
        <is>
          <t>ENC111651</t>
        </is>
      </c>
      <c r="B236" t="inlineStr">
        <is>
          <t>PT12600</t>
        </is>
      </c>
      <c r="C236" t="inlineStr">
        <is>
          <t>Outpatient</t>
        </is>
      </c>
      <c r="D236" t="inlineStr">
        <is>
          <t>Bluestone Outpatient Pavilion</t>
        </is>
      </c>
      <c r="E236" t="inlineStr">
        <is>
          <t>Endocrinology &amp; Diabetes Clinic</t>
        </is>
      </c>
      <c r="F236" t="inlineStr">
        <is>
          <t>Ambulatory</t>
        </is>
      </c>
      <c r="G236" s="29" t="n">
        <v>45684</v>
      </c>
      <c r="H236" s="29" t="n">
        <v>45684</v>
      </c>
      <c r="I236" s="30" t="n"/>
      <c r="J236" t="inlineStr">
        <is>
          <t>E11.9</t>
        </is>
      </c>
      <c r="K236" t="inlineStr">
        <is>
          <t>Type 2 diabetes mellitus without complications</t>
        </is>
      </c>
      <c r="L236" t="inlineStr">
        <is>
          <t>Endocrine</t>
        </is>
      </c>
      <c r="M236" t="inlineStr">
        <is>
          <t>Home/Self-Care</t>
        </is>
      </c>
      <c r="N236" t="inlineStr">
        <is>
          <t>Silverline Medicare Advantage</t>
        </is>
      </c>
      <c r="O236" s="31" t="n">
        <v>225.61</v>
      </c>
    </row>
    <row r="237">
      <c r="A237" t="inlineStr">
        <is>
          <t>ENC111655</t>
        </is>
      </c>
      <c r="B237" t="inlineStr">
        <is>
          <t>PT10808</t>
        </is>
      </c>
      <c r="C237" t="inlineStr">
        <is>
          <t>Outpatient</t>
        </is>
      </c>
      <c r="D237" t="inlineStr">
        <is>
          <t>Bluestone Outpatient Pavilion</t>
        </is>
      </c>
      <c r="E237" t="inlineStr">
        <is>
          <t>Cardiology Clinic</t>
        </is>
      </c>
      <c r="F237" t="inlineStr">
        <is>
          <t>Cardiovascular</t>
        </is>
      </c>
      <c r="G237" s="29" t="n">
        <v>45684</v>
      </c>
      <c r="H237" s="29" t="n">
        <v>45684</v>
      </c>
      <c r="I237" s="30" t="n"/>
      <c r="J237" t="inlineStr">
        <is>
          <t>I48.91</t>
        </is>
      </c>
      <c r="K237" t="inlineStr">
        <is>
          <t>Unspecified atrial fibrillation</t>
        </is>
      </c>
      <c r="L237" t="inlineStr">
        <is>
          <t>Circulatory</t>
        </is>
      </c>
      <c r="M237" t="inlineStr">
        <is>
          <t>Home/Self-Care</t>
        </is>
      </c>
      <c r="N237" t="inlineStr">
        <is>
          <t>Medicare</t>
        </is>
      </c>
      <c r="O237" s="31" t="n">
        <v>409.24</v>
      </c>
    </row>
    <row r="238">
      <c r="A238" t="inlineStr">
        <is>
          <t>ENC111685</t>
        </is>
      </c>
      <c r="B238" t="inlineStr">
        <is>
          <t>PT13512</t>
        </is>
      </c>
      <c r="C238" t="inlineStr">
        <is>
          <t>Emergency</t>
        </is>
      </c>
      <c r="D238" t="inlineStr">
        <is>
          <t>Ashby Falls Community Hospital</t>
        </is>
      </c>
      <c r="E238" t="inlineStr">
        <is>
          <t>Emergency Department</t>
        </is>
      </c>
      <c r="F238" t="inlineStr">
        <is>
          <t>Emergency</t>
        </is>
      </c>
      <c r="G238" s="29" t="n">
        <v>45684</v>
      </c>
      <c r="H238" s="29" t="n">
        <v>45684</v>
      </c>
      <c r="I238" s="30" t="n"/>
      <c r="J238" t="inlineStr">
        <is>
          <t>J06.9</t>
        </is>
      </c>
      <c r="K238" t="inlineStr">
        <is>
          <t>Acute upper respiratory infection, unspecified</t>
        </is>
      </c>
      <c r="L238" t="inlineStr">
        <is>
          <t>Respiratory</t>
        </is>
      </c>
      <c r="M238" t="inlineStr">
        <is>
          <t>Home/Self-Care</t>
        </is>
      </c>
      <c r="N238" t="inlineStr">
        <is>
          <t>Summit Choice PPO</t>
        </is>
      </c>
      <c r="O238" s="31" t="n">
        <v>1476.24</v>
      </c>
    </row>
    <row r="239">
      <c r="A239" t="inlineStr">
        <is>
          <t>ENC111686</t>
        </is>
      </c>
      <c r="B239" t="inlineStr">
        <is>
          <t>PT11448</t>
        </is>
      </c>
      <c r="C239" t="inlineStr">
        <is>
          <t>Emergency</t>
        </is>
      </c>
      <c r="D239" t="inlineStr">
        <is>
          <t>Cedar Ridge Medical Center</t>
        </is>
      </c>
      <c r="E239" t="inlineStr">
        <is>
          <t>Emergency Department</t>
        </is>
      </c>
      <c r="F239" t="inlineStr">
        <is>
          <t>Emergency</t>
        </is>
      </c>
      <c r="G239" s="29" t="n">
        <v>45685</v>
      </c>
      <c r="H239" s="29" t="n">
        <v>45685</v>
      </c>
      <c r="I239" s="30" t="n"/>
      <c r="J239" t="inlineStr">
        <is>
          <t>F41.9</t>
        </is>
      </c>
      <c r="K239" t="inlineStr">
        <is>
          <t>Anxiety disorder, unspecified</t>
        </is>
      </c>
      <c r="L239" t="inlineStr">
        <is>
          <t>Mental &amp; Behavioral</t>
        </is>
      </c>
      <c r="M239" t="inlineStr">
        <is>
          <t>Home/Self-Care</t>
        </is>
      </c>
      <c r="N239" t="inlineStr">
        <is>
          <t>Medicare</t>
        </is>
      </c>
      <c r="O239" s="31" t="n">
        <v>1351.53</v>
      </c>
    </row>
    <row r="240">
      <c r="A240" t="inlineStr">
        <is>
          <t>ENC111690</t>
        </is>
      </c>
      <c r="B240" t="inlineStr">
        <is>
          <t>PT13688</t>
        </is>
      </c>
      <c r="C240" t="inlineStr">
        <is>
          <t>Outpatient</t>
        </is>
      </c>
      <c r="D240" t="inlineStr">
        <is>
          <t>Bluestone Outpatient Pavilion</t>
        </is>
      </c>
      <c r="E240" t="inlineStr">
        <is>
          <t>Cardiology Clinic</t>
        </is>
      </c>
      <c r="F240" t="inlineStr">
        <is>
          <t>Cardiovascular</t>
        </is>
      </c>
      <c r="G240" s="29" t="n">
        <v>45685</v>
      </c>
      <c r="H240" s="29" t="n">
        <v>45685</v>
      </c>
      <c r="I240" s="30" t="n"/>
      <c r="J240" t="inlineStr">
        <is>
          <t>I48.91</t>
        </is>
      </c>
      <c r="K240" t="inlineStr">
        <is>
          <t>Unspecified atrial fibrillation</t>
        </is>
      </c>
      <c r="L240" t="inlineStr">
        <is>
          <t>Circulatory</t>
        </is>
      </c>
      <c r="M240" t="inlineStr">
        <is>
          <t>Home/Self-Care</t>
        </is>
      </c>
      <c r="N240" t="inlineStr">
        <is>
          <t>Medicare</t>
        </is>
      </c>
      <c r="O240" s="31" t="n">
        <v>380.08</v>
      </c>
    </row>
    <row r="241">
      <c r="A241" t="inlineStr">
        <is>
          <t>ENC111693</t>
        </is>
      </c>
      <c r="B241" t="inlineStr">
        <is>
          <t>PT13156</t>
        </is>
      </c>
      <c r="C241" t="inlineStr">
        <is>
          <t>Outpatient</t>
        </is>
      </c>
      <c r="D241" t="inlineStr">
        <is>
          <t>Bluestone Outpatient Pavilion</t>
        </is>
      </c>
      <c r="E241" t="inlineStr">
        <is>
          <t>Primary Care Clinic</t>
        </is>
      </c>
      <c r="F241" t="inlineStr">
        <is>
          <t>Ambulatory</t>
        </is>
      </c>
      <c r="G241" s="29" t="n">
        <v>45685</v>
      </c>
      <c r="H241" s="29" t="n">
        <v>45685</v>
      </c>
      <c r="I241" s="30" t="n"/>
      <c r="J241" t="inlineStr">
        <is>
          <t>Z23</t>
        </is>
      </c>
      <c r="K241" t="inlineStr">
        <is>
          <t>Encounter for immunization</t>
        </is>
      </c>
      <c r="L241" t="inlineStr">
        <is>
          <t>Factors Influencing Health</t>
        </is>
      </c>
      <c r="M241" t="inlineStr">
        <is>
          <t>Home/Self-Care</t>
        </is>
      </c>
      <c r="N241" t="inlineStr">
        <is>
          <t>Summit Choice PPO</t>
        </is>
      </c>
      <c r="O241" s="31" t="n">
        <v>95.42</v>
      </c>
    </row>
    <row r="242">
      <c r="A242" t="inlineStr">
        <is>
          <t>ENC111694</t>
        </is>
      </c>
      <c r="B242" t="inlineStr">
        <is>
          <t>PT10676</t>
        </is>
      </c>
      <c r="C242" t="inlineStr">
        <is>
          <t>Inpatient</t>
        </is>
      </c>
      <c r="D242" t="inlineStr">
        <is>
          <t>Ashby Falls Community Hospital</t>
        </is>
      </c>
      <c r="E242" t="inlineStr">
        <is>
          <t>Medical-Surgical</t>
        </is>
      </c>
      <c r="F242" t="inlineStr">
        <is>
          <t>Medicine</t>
        </is>
      </c>
      <c r="G242" s="29" t="n">
        <v>45685</v>
      </c>
      <c r="H242" s="29" t="n">
        <v>45689</v>
      </c>
      <c r="I242" s="30" t="n">
        <v>4</v>
      </c>
      <c r="J242" t="inlineStr">
        <is>
          <t>J18.9</t>
        </is>
      </c>
      <c r="K242" t="inlineStr">
        <is>
          <t>Pneumonia, unspecified organism</t>
        </is>
      </c>
      <c r="L242" t="inlineStr">
        <is>
          <t>Respiratory</t>
        </is>
      </c>
      <c r="M242" t="inlineStr">
        <is>
          <t>Home/Self-Care</t>
        </is>
      </c>
      <c r="N242" t="inlineStr">
        <is>
          <t>Medicare</t>
        </is>
      </c>
      <c r="O242" s="31" t="n">
        <v>24181.77</v>
      </c>
      <c r="P242" t="inlineStr">
        <is>
          <t>Y</t>
        </is>
      </c>
    </row>
    <row r="243">
      <c r="A243" t="inlineStr">
        <is>
          <t>ENC111699</t>
        </is>
      </c>
      <c r="B243" t="inlineStr">
        <is>
          <t>PT10800</t>
        </is>
      </c>
      <c r="C243" t="inlineStr">
        <is>
          <t>Outpatient</t>
        </is>
      </c>
      <c r="D243" t="inlineStr">
        <is>
          <t>Bluestone Outpatient Pavilion</t>
        </is>
      </c>
      <c r="E243" t="inlineStr">
        <is>
          <t>Pediatric Clinic</t>
        </is>
      </c>
      <c r="F243" t="inlineStr">
        <is>
          <t>Women &amp; Children</t>
        </is>
      </c>
      <c r="G243" s="29" t="n">
        <v>45685</v>
      </c>
      <c r="H243" s="29" t="n">
        <v>45685</v>
      </c>
      <c r="I243" s="30" t="n"/>
      <c r="J243" t="inlineStr">
        <is>
          <t>H66.90</t>
        </is>
      </c>
      <c r="K243" t="inlineStr">
        <is>
          <t>Otitis media, unspecified, unspecified ear</t>
        </is>
      </c>
      <c r="L243" t="inlineStr">
        <is>
          <t>Ear</t>
        </is>
      </c>
      <c r="M243" t="inlineStr">
        <is>
          <t>Home/Self-Care</t>
        </is>
      </c>
      <c r="N243" t="inlineStr">
        <is>
          <t>Keystone Health Partners</t>
        </is>
      </c>
      <c r="O243" s="31" t="n">
        <v>407.35</v>
      </c>
    </row>
    <row r="244">
      <c r="A244" t="inlineStr">
        <is>
          <t>ENC111705</t>
        </is>
      </c>
      <c r="B244" t="inlineStr">
        <is>
          <t>PT13544</t>
        </is>
      </c>
      <c r="C244" t="inlineStr">
        <is>
          <t>Emergency</t>
        </is>
      </c>
      <c r="D244" t="inlineStr">
        <is>
          <t>Bluestone Memorial Hospital</t>
        </is>
      </c>
      <c r="E244" t="inlineStr">
        <is>
          <t>Emergency Department</t>
        </is>
      </c>
      <c r="F244" t="inlineStr">
        <is>
          <t>Emergency</t>
        </is>
      </c>
      <c r="G244" s="29" t="n">
        <v>45685</v>
      </c>
      <c r="H244" s="29" t="n">
        <v>45685</v>
      </c>
      <c r="I244" s="30" t="n"/>
      <c r="J244" t="inlineStr">
        <is>
          <t>J45.909</t>
        </is>
      </c>
      <c r="K244" t="inlineStr">
        <is>
          <t>Unspecified asthma, uncomplicated</t>
        </is>
      </c>
      <c r="L244" t="inlineStr">
        <is>
          <t>Respiratory</t>
        </is>
      </c>
      <c r="M244" t="inlineStr">
        <is>
          <t>Home/Self-Care</t>
        </is>
      </c>
      <c r="N244" t="inlineStr">
        <is>
          <t>Keystone Health Partners</t>
        </is>
      </c>
      <c r="O244" s="31" t="n">
        <v>2221.33</v>
      </c>
    </row>
    <row r="245">
      <c r="A245" t="inlineStr">
        <is>
          <t>ENC111711</t>
        </is>
      </c>
      <c r="B245" t="inlineStr">
        <is>
          <t>PT10552</t>
        </is>
      </c>
      <c r="C245" t="inlineStr">
        <is>
          <t>Inpatient</t>
        </is>
      </c>
      <c r="D245" t="inlineStr">
        <is>
          <t>Bluestone Memorial Hospital</t>
        </is>
      </c>
      <c r="E245" t="inlineStr">
        <is>
          <t>Oncology</t>
        </is>
      </c>
      <c r="F245" t="inlineStr">
        <is>
          <t>Oncology</t>
        </is>
      </c>
      <c r="G245" s="29" t="n">
        <v>45685</v>
      </c>
      <c r="H245" s="29" t="n">
        <v>45691</v>
      </c>
      <c r="I245" s="30" t="n">
        <v>6</v>
      </c>
      <c r="J245" t="inlineStr">
        <is>
          <t>D70.1</t>
        </is>
      </c>
      <c r="K245" t="inlineStr">
        <is>
          <t>Agranulocytosis secondary to cancer chemotherapy</t>
        </is>
      </c>
      <c r="L245" t="inlineStr">
        <is>
          <t>Blood</t>
        </is>
      </c>
      <c r="M245" t="inlineStr">
        <is>
          <t>Home/Self-Care</t>
        </is>
      </c>
      <c r="N245" t="inlineStr">
        <is>
          <t>Medicare</t>
        </is>
      </c>
      <c r="O245" s="31" t="n">
        <v>29465.44</v>
      </c>
      <c r="P245" t="inlineStr">
        <is>
          <t>Y</t>
        </is>
      </c>
    </row>
    <row r="246">
      <c r="A246" t="inlineStr">
        <is>
          <t>ENC111712</t>
        </is>
      </c>
      <c r="B246" t="inlineStr">
        <is>
          <t>PT10316</t>
        </is>
      </c>
      <c r="C246" t="inlineStr">
        <is>
          <t>Emergency</t>
        </is>
      </c>
      <c r="D246" t="inlineStr">
        <is>
          <t>Bluestone Memorial Hospital</t>
        </is>
      </c>
      <c r="E246" t="inlineStr">
        <is>
          <t>Emergency Department</t>
        </is>
      </c>
      <c r="F246" t="inlineStr">
        <is>
          <t>Emergency</t>
        </is>
      </c>
      <c r="G246" s="29" t="n">
        <v>45685</v>
      </c>
      <c r="H246" s="29" t="n">
        <v>45685</v>
      </c>
      <c r="I246" s="30" t="n"/>
      <c r="J246" t="inlineStr">
        <is>
          <t>R07.9</t>
        </is>
      </c>
      <c r="K246" t="inlineStr">
        <is>
          <t>Chest pain, unspecified</t>
        </is>
      </c>
      <c r="L246" t="inlineStr">
        <is>
          <t>Symptoms &amp; Signs</t>
        </is>
      </c>
      <c r="M246" t="inlineStr">
        <is>
          <t>Home/Self-Care</t>
        </is>
      </c>
      <c r="N246" t="inlineStr">
        <is>
          <t>Silverline Medicare Advantage</t>
        </is>
      </c>
      <c r="O246" s="31" t="n">
        <v>2748.75</v>
      </c>
    </row>
    <row r="247">
      <c r="A247" t="inlineStr">
        <is>
          <t>ENC111713</t>
        </is>
      </c>
      <c r="B247" t="inlineStr">
        <is>
          <t>PT10944</t>
        </is>
      </c>
      <c r="C247" t="inlineStr">
        <is>
          <t>Emergency</t>
        </is>
      </c>
      <c r="D247" t="inlineStr">
        <is>
          <t>Ashby Falls Community Hospital</t>
        </is>
      </c>
      <c r="E247" t="inlineStr">
        <is>
          <t>Emergency Department</t>
        </is>
      </c>
      <c r="F247" t="inlineStr">
        <is>
          <t>Emergency</t>
        </is>
      </c>
      <c r="G247" s="29" t="n">
        <v>45685</v>
      </c>
      <c r="H247" s="29" t="n">
        <v>45685</v>
      </c>
      <c r="I247" s="30" t="n"/>
      <c r="J247" t="inlineStr">
        <is>
          <t>R10.9</t>
        </is>
      </c>
      <c r="K247" t="inlineStr">
        <is>
          <t>Unspecified abdominal pain</t>
        </is>
      </c>
      <c r="L247" t="inlineStr">
        <is>
          <t>Symptoms &amp; Signs</t>
        </is>
      </c>
      <c r="M247" t="inlineStr">
        <is>
          <t>Home/Self-Care</t>
        </is>
      </c>
      <c r="N247" t="inlineStr">
        <is>
          <t>State Medicaid</t>
        </is>
      </c>
      <c r="O247" s="31" t="n">
        <v>2934.1</v>
      </c>
    </row>
    <row r="248">
      <c r="A248" t="inlineStr">
        <is>
          <t>ENC111714</t>
        </is>
      </c>
      <c r="B248" t="inlineStr">
        <is>
          <t>PT12444</t>
        </is>
      </c>
      <c r="C248" t="inlineStr">
        <is>
          <t>Emergency</t>
        </is>
      </c>
      <c r="D248" t="inlineStr">
        <is>
          <t>Cedar Ridge Medical Center</t>
        </is>
      </c>
      <c r="E248" t="inlineStr">
        <is>
          <t>Emergency Department</t>
        </is>
      </c>
      <c r="F248" t="inlineStr">
        <is>
          <t>Emergency</t>
        </is>
      </c>
      <c r="G248" s="29" t="n">
        <v>45685</v>
      </c>
      <c r="H248" s="29" t="n">
        <v>45685</v>
      </c>
      <c r="I248" s="30" t="n"/>
      <c r="J248" t="inlineStr">
        <is>
          <t>M54.50</t>
        </is>
      </c>
      <c r="K248" t="inlineStr">
        <is>
          <t>Low back pain, unspecified</t>
        </is>
      </c>
      <c r="L248" t="inlineStr">
        <is>
          <t>Musculoskeletal</t>
        </is>
      </c>
      <c r="M248" t="inlineStr">
        <is>
          <t>Transfer to Another Hospital</t>
        </is>
      </c>
      <c r="N248" t="inlineStr">
        <is>
          <t>Keystone Health Partners</t>
        </is>
      </c>
      <c r="O248" s="31" t="n">
        <v>1465.18</v>
      </c>
    </row>
    <row r="249">
      <c r="A249" t="inlineStr">
        <is>
          <t>ENC111717</t>
        </is>
      </c>
      <c r="B249" t="inlineStr">
        <is>
          <t>PT13372</t>
        </is>
      </c>
      <c r="C249" t="inlineStr">
        <is>
          <t>Emergency</t>
        </is>
      </c>
      <c r="D249" t="inlineStr">
        <is>
          <t>Ashby Falls Community Hospital</t>
        </is>
      </c>
      <c r="E249" t="inlineStr">
        <is>
          <t>Emergency Department</t>
        </is>
      </c>
      <c r="F249" t="inlineStr">
        <is>
          <t>Emergency</t>
        </is>
      </c>
      <c r="G249" s="29" t="n">
        <v>45685</v>
      </c>
      <c r="H249" s="29" t="n">
        <v>45686</v>
      </c>
      <c r="I249" s="30" t="n"/>
      <c r="J249" t="inlineStr">
        <is>
          <t>R55</t>
        </is>
      </c>
      <c r="K249" t="inlineStr">
        <is>
          <t>Syncope and collapse</t>
        </is>
      </c>
      <c r="L249" t="inlineStr">
        <is>
          <t>Symptoms &amp; Signs</t>
        </is>
      </c>
      <c r="M249" t="inlineStr">
        <is>
          <t>Home/Self-Care</t>
        </is>
      </c>
      <c r="N249" t="inlineStr">
        <is>
          <t>Silverline Medicare Advantage</t>
        </is>
      </c>
      <c r="O249" s="31" t="n">
        <v>3020.42</v>
      </c>
    </row>
    <row r="250">
      <c r="A250" t="inlineStr">
        <is>
          <t>ENC111718</t>
        </is>
      </c>
      <c r="B250" t="inlineStr">
        <is>
          <t>PT12780</t>
        </is>
      </c>
      <c r="C250" t="inlineStr">
        <is>
          <t>Observation</t>
        </is>
      </c>
      <c r="D250" t="inlineStr">
        <is>
          <t>Bluestone Memorial Hospital</t>
        </is>
      </c>
      <c r="E250" t="inlineStr">
        <is>
          <t>Observation Unit</t>
        </is>
      </c>
      <c r="F250" t="inlineStr">
        <is>
          <t>Medicine</t>
        </is>
      </c>
      <c r="G250" s="29" t="n">
        <v>45686</v>
      </c>
      <c r="H250" s="29" t="n">
        <v>45686</v>
      </c>
      <c r="I250" s="30" t="n">
        <v>0</v>
      </c>
      <c r="J250" t="inlineStr">
        <is>
          <t>E86.0</t>
        </is>
      </c>
      <c r="K250" t="inlineStr">
        <is>
          <t>Dehydration</t>
        </is>
      </c>
      <c r="L250" t="inlineStr">
        <is>
          <t>Endocrine</t>
        </is>
      </c>
      <c r="M250" t="inlineStr">
        <is>
          <t>Home/Self-Care</t>
        </is>
      </c>
      <c r="N250" t="inlineStr">
        <is>
          <t>Medicare</t>
        </is>
      </c>
      <c r="O250" s="31" t="n">
        <v>5793.54</v>
      </c>
    </row>
    <row r="251">
      <c r="A251" t="inlineStr">
        <is>
          <t>ENC111724</t>
        </is>
      </c>
      <c r="B251" t="inlineStr">
        <is>
          <t>PT12428</t>
        </is>
      </c>
      <c r="C251" t="inlineStr">
        <is>
          <t>Inpatient</t>
        </is>
      </c>
      <c r="D251" t="inlineStr">
        <is>
          <t>Bluestone Memorial Hospital</t>
        </is>
      </c>
      <c r="E251" t="inlineStr">
        <is>
          <t>Labor &amp; Delivery</t>
        </is>
      </c>
      <c r="F251" t="inlineStr">
        <is>
          <t>Women &amp; Children</t>
        </is>
      </c>
      <c r="G251" s="29" t="n">
        <v>45686</v>
      </c>
      <c r="H251" s="29" t="n">
        <v>45688</v>
      </c>
      <c r="I251" s="30" t="n">
        <v>2</v>
      </c>
      <c r="J251" t="inlineStr">
        <is>
          <t>O80</t>
        </is>
      </c>
      <c r="K251" t="inlineStr">
        <is>
          <t>Encounter for full-term uncomplicated delivery</t>
        </is>
      </c>
      <c r="L251" t="inlineStr">
        <is>
          <t>Pregnancy</t>
        </is>
      </c>
      <c r="M251" t="inlineStr">
        <is>
          <t>Home/Self-Care</t>
        </is>
      </c>
      <c r="N251" t="inlineStr">
        <is>
          <t>Summit Choice PPO</t>
        </is>
      </c>
      <c r="O251" s="31" t="n">
        <v>12667.36</v>
      </c>
      <c r="P251" t="inlineStr">
        <is>
          <t>N</t>
        </is>
      </c>
    </row>
    <row r="252">
      <c r="A252" t="inlineStr">
        <is>
          <t>ENC111727</t>
        </is>
      </c>
      <c r="B252" t="inlineStr">
        <is>
          <t>PT12572</t>
        </is>
      </c>
      <c r="C252" t="inlineStr">
        <is>
          <t>Inpatient</t>
        </is>
      </c>
      <c r="D252" t="inlineStr">
        <is>
          <t>Bluestone Memorial Hospital</t>
        </is>
      </c>
      <c r="E252" t="inlineStr">
        <is>
          <t>Orthopedics &amp; Spine</t>
        </is>
      </c>
      <c r="F252" t="inlineStr">
        <is>
          <t>Orthopedics</t>
        </is>
      </c>
      <c r="G252" s="29" t="n">
        <v>45686</v>
      </c>
      <c r="H252" s="29" t="n">
        <v>45691</v>
      </c>
      <c r="I252" s="30" t="n">
        <v>5</v>
      </c>
      <c r="J252" t="inlineStr">
        <is>
          <t>S72.001A</t>
        </is>
      </c>
      <c r="K252" t="inlineStr">
        <is>
          <t>Fracture of unspecified part of neck of right femur, initial encounter</t>
        </is>
      </c>
      <c r="L252" t="inlineStr">
        <is>
          <t>Injury</t>
        </is>
      </c>
      <c r="M252" t="inlineStr">
        <is>
          <t>Home Health</t>
        </is>
      </c>
      <c r="N252" t="inlineStr">
        <is>
          <t>Silverline Medicare Advantage</t>
        </is>
      </c>
      <c r="O252" s="31" t="n">
        <v>54330.53</v>
      </c>
      <c r="P252" t="inlineStr">
        <is>
          <t>N</t>
        </is>
      </c>
    </row>
    <row r="253">
      <c r="A253" t="inlineStr">
        <is>
          <t>ENC111730</t>
        </is>
      </c>
      <c r="B253" t="inlineStr">
        <is>
          <t>PT11520</t>
        </is>
      </c>
      <c r="C253" t="inlineStr">
        <is>
          <t>Outpatient</t>
        </is>
      </c>
      <c r="D253" t="inlineStr">
        <is>
          <t>Bluestone Outpatient Pavilion</t>
        </is>
      </c>
      <c r="E253" t="inlineStr">
        <is>
          <t>Primary Care Clinic</t>
        </is>
      </c>
      <c r="F253" t="inlineStr">
        <is>
          <t>Ambulatory</t>
        </is>
      </c>
      <c r="G253" s="29" t="n">
        <v>45686</v>
      </c>
      <c r="H253" s="29" t="n">
        <v>45686</v>
      </c>
      <c r="I253" s="30" t="n"/>
      <c r="J253" t="inlineStr">
        <is>
          <t>J45.909</t>
        </is>
      </c>
      <c r="K253" t="inlineStr">
        <is>
          <t>Unspecified asthma, uncomplicated</t>
        </is>
      </c>
      <c r="L253" t="inlineStr">
        <is>
          <t>Respiratory</t>
        </is>
      </c>
      <c r="M253" t="inlineStr">
        <is>
          <t>Home/Self-Care</t>
        </is>
      </c>
      <c r="N253" t="inlineStr">
        <is>
          <t>State Medicaid</t>
        </is>
      </c>
      <c r="O253" s="31" t="n">
        <v>470.18</v>
      </c>
    </row>
    <row r="254">
      <c r="A254" t="inlineStr">
        <is>
          <t>ENC111745</t>
        </is>
      </c>
      <c r="B254" t="inlineStr">
        <is>
          <t>PT12628</t>
        </is>
      </c>
      <c r="C254" t="inlineStr">
        <is>
          <t>Outpatient</t>
        </is>
      </c>
      <c r="D254" t="inlineStr">
        <is>
          <t>Bluestone Outpatient Pavilion</t>
        </is>
      </c>
      <c r="E254" t="inlineStr">
        <is>
          <t>Primary Care Clinic</t>
        </is>
      </c>
      <c r="F254" t="inlineStr">
        <is>
          <t>Ambulatory</t>
        </is>
      </c>
      <c r="G254" s="29" t="n">
        <v>45686</v>
      </c>
      <c r="H254" s="29" t="n">
        <v>45686</v>
      </c>
      <c r="I254" s="30" t="n"/>
      <c r="J254" t="inlineStr">
        <is>
          <t>Z00.00</t>
        </is>
      </c>
      <c r="K254" t="inlineStr">
        <is>
          <t>Encounter for general adult medical examination without abnormal findings</t>
        </is>
      </c>
      <c r="L254" t="inlineStr">
        <is>
          <t>Factors Influencing Health</t>
        </is>
      </c>
      <c r="M254" t="inlineStr">
        <is>
          <t>Home/Self-Care</t>
        </is>
      </c>
      <c r="N254" t="inlineStr">
        <is>
          <t>Evergreen Mutual Insurance</t>
        </is>
      </c>
      <c r="O254" s="31" t="n">
        <v>361.27</v>
      </c>
    </row>
    <row r="255">
      <c r="A255" t="inlineStr">
        <is>
          <t>ENC111746</t>
        </is>
      </c>
      <c r="B255" t="inlineStr">
        <is>
          <t>PT13432</t>
        </is>
      </c>
      <c r="C255" t="inlineStr">
        <is>
          <t>Emergency</t>
        </is>
      </c>
      <c r="D255" t="inlineStr">
        <is>
          <t>Bluestone Memorial Hospital</t>
        </is>
      </c>
      <c r="E255" t="inlineStr">
        <is>
          <t>Emergency Department</t>
        </is>
      </c>
      <c r="F255" t="inlineStr">
        <is>
          <t>Emergency</t>
        </is>
      </c>
      <c r="G255" s="29" t="n">
        <v>45686</v>
      </c>
      <c r="H255" s="29" t="n">
        <v>45686</v>
      </c>
      <c r="I255" s="30" t="n"/>
      <c r="J255" t="inlineStr">
        <is>
          <t>H66.90</t>
        </is>
      </c>
      <c r="K255" t="inlineStr">
        <is>
          <t>Otitis media, unspecified, unspecified ear</t>
        </is>
      </c>
      <c r="L255" t="inlineStr">
        <is>
          <t>Ear</t>
        </is>
      </c>
      <c r="M255" t="inlineStr">
        <is>
          <t>Home/Self-Care</t>
        </is>
      </c>
      <c r="N255" t="inlineStr">
        <is>
          <t>State Medicaid</t>
        </is>
      </c>
      <c r="O255" s="31" t="n">
        <v>1162.69</v>
      </c>
    </row>
    <row r="256">
      <c r="A256" t="inlineStr">
        <is>
          <t>ENC111751</t>
        </is>
      </c>
      <c r="B256" t="inlineStr">
        <is>
          <t>PT12984</t>
        </is>
      </c>
      <c r="C256" t="inlineStr">
        <is>
          <t>Emergency</t>
        </is>
      </c>
      <c r="D256" t="inlineStr">
        <is>
          <t>Cedar Ridge Medical Center</t>
        </is>
      </c>
      <c r="E256" t="inlineStr">
        <is>
          <t>Emergency Department</t>
        </is>
      </c>
      <c r="F256" t="inlineStr">
        <is>
          <t>Emergency</t>
        </is>
      </c>
      <c r="G256" s="29" t="n">
        <v>45686</v>
      </c>
      <c r="H256" s="29" t="n">
        <v>45686</v>
      </c>
      <c r="I256" s="30" t="n"/>
      <c r="J256" t="inlineStr">
        <is>
          <t>U07.1</t>
        </is>
      </c>
      <c r="K256" t="inlineStr">
        <is>
          <t>COVID-19</t>
        </is>
      </c>
      <c r="L256" t="inlineStr">
        <is>
          <t>Respiratory</t>
        </is>
      </c>
      <c r="M256" t="inlineStr">
        <is>
          <t>Home/Self-Care</t>
        </is>
      </c>
      <c r="N256" t="inlineStr">
        <is>
          <t>Self-Pay</t>
        </is>
      </c>
      <c r="O256" s="31" t="n">
        <v>3918.95</v>
      </c>
    </row>
    <row r="257">
      <c r="A257" t="inlineStr">
        <is>
          <t>ENC111752</t>
        </is>
      </c>
      <c r="B257" t="inlineStr">
        <is>
          <t>PT10840</t>
        </is>
      </c>
      <c r="C257" t="inlineStr">
        <is>
          <t>Emergency</t>
        </is>
      </c>
      <c r="D257" t="inlineStr">
        <is>
          <t>Cedar Ridge Medical Center</t>
        </is>
      </c>
      <c r="E257" t="inlineStr">
        <is>
          <t>Emergency Department</t>
        </is>
      </c>
      <c r="F257" t="inlineStr">
        <is>
          <t>Emergency</t>
        </is>
      </c>
      <c r="G257" s="29" t="n">
        <v>45686</v>
      </c>
      <c r="H257" s="29" t="n">
        <v>45686</v>
      </c>
      <c r="I257" s="30" t="n"/>
      <c r="J257" t="inlineStr">
        <is>
          <t>R10.9</t>
        </is>
      </c>
      <c r="K257" t="inlineStr">
        <is>
          <t>Unspecified abdominal pain</t>
        </is>
      </c>
      <c r="L257" t="inlineStr">
        <is>
          <t>Symptoms &amp; Signs</t>
        </is>
      </c>
      <c r="M257" t="inlineStr">
        <is>
          <t>Home/Self-Care</t>
        </is>
      </c>
      <c r="N257" t="inlineStr">
        <is>
          <t>Medicare</t>
        </is>
      </c>
      <c r="O257" s="31" t="n">
        <v>2292.32</v>
      </c>
    </row>
    <row r="258">
      <c r="A258" t="inlineStr">
        <is>
          <t>ENC111761</t>
        </is>
      </c>
      <c r="B258" t="inlineStr">
        <is>
          <t>PT10796</t>
        </is>
      </c>
      <c r="C258" t="inlineStr">
        <is>
          <t>Outpatient</t>
        </is>
      </c>
      <c r="D258" t="inlineStr">
        <is>
          <t>Bluestone Outpatient Pavilion</t>
        </is>
      </c>
      <c r="E258" t="inlineStr">
        <is>
          <t>Primary Care Clinic</t>
        </is>
      </c>
      <c r="F258" t="inlineStr">
        <is>
          <t>Ambulatory</t>
        </is>
      </c>
      <c r="G258" s="29" t="n">
        <v>45686</v>
      </c>
      <c r="H258" s="29" t="n">
        <v>45686</v>
      </c>
      <c r="I258" s="30" t="n"/>
      <c r="J258" t="inlineStr">
        <is>
          <t>Z00.00</t>
        </is>
      </c>
      <c r="K258" t="inlineStr">
        <is>
          <t>Encounter for general adult medical examination without abnormal findings</t>
        </is>
      </c>
      <c r="L258" t="inlineStr">
        <is>
          <t>Factors Influencing Health</t>
        </is>
      </c>
      <c r="M258" t="inlineStr">
        <is>
          <t>Home/Self-Care</t>
        </is>
      </c>
      <c r="N258" t="inlineStr">
        <is>
          <t>Medicare</t>
        </is>
      </c>
      <c r="O258" s="31" t="n">
        <v>355.24</v>
      </c>
    </row>
    <row r="259">
      <c r="A259" t="inlineStr">
        <is>
          <t>ENC111762</t>
        </is>
      </c>
      <c r="B259" t="inlineStr">
        <is>
          <t>PT13140</t>
        </is>
      </c>
      <c r="C259" t="inlineStr">
        <is>
          <t>Inpatient</t>
        </is>
      </c>
      <c r="D259" t="inlineStr">
        <is>
          <t>Ashby Falls Community Hospital</t>
        </is>
      </c>
      <c r="E259" t="inlineStr">
        <is>
          <t>Medical-Surgical</t>
        </is>
      </c>
      <c r="F259" t="inlineStr">
        <is>
          <t>Medicine</t>
        </is>
      </c>
      <c r="G259" s="29" t="n">
        <v>45686</v>
      </c>
      <c r="H259" s="29" t="n">
        <v>45697</v>
      </c>
      <c r="I259" s="30" t="n">
        <v>11</v>
      </c>
      <c r="J259" t="inlineStr">
        <is>
          <t>J96.01</t>
        </is>
      </c>
      <c r="K259" t="inlineStr">
        <is>
          <t>Acute respiratory failure with hypoxia</t>
        </is>
      </c>
      <c r="L259" t="inlineStr">
        <is>
          <t>Respiratory</t>
        </is>
      </c>
      <c r="M259" t="inlineStr">
        <is>
          <t>Transfer to Another Hospital</t>
        </is>
      </c>
      <c r="N259" t="inlineStr">
        <is>
          <t>Keystone Health Partners</t>
        </is>
      </c>
      <c r="O259" s="31" t="n">
        <v>124174.61</v>
      </c>
      <c r="P259" t="inlineStr">
        <is>
          <t>N</t>
        </is>
      </c>
    </row>
    <row r="260">
      <c r="A260" t="inlineStr">
        <is>
          <t>ENC111765</t>
        </is>
      </c>
      <c r="B260" t="inlineStr">
        <is>
          <t>PT11232</t>
        </is>
      </c>
      <c r="C260" t="inlineStr">
        <is>
          <t>Emergency</t>
        </is>
      </c>
      <c r="D260" t="inlineStr">
        <is>
          <t>Bluestone Memorial Hospital</t>
        </is>
      </c>
      <c r="E260" t="inlineStr">
        <is>
          <t>Emergency Department</t>
        </is>
      </c>
      <c r="F260" t="inlineStr">
        <is>
          <t>Emergency</t>
        </is>
      </c>
      <c r="G260" s="29" t="n">
        <v>45686</v>
      </c>
      <c r="H260" s="29" t="n">
        <v>45686</v>
      </c>
      <c r="I260" s="30" t="n"/>
      <c r="J260" t="inlineStr">
        <is>
          <t>J06.9</t>
        </is>
      </c>
      <c r="K260" t="inlineStr">
        <is>
          <t>Acute upper respiratory infection, unspecified</t>
        </is>
      </c>
      <c r="L260" t="inlineStr">
        <is>
          <t>Respiratory</t>
        </is>
      </c>
      <c r="M260" t="inlineStr">
        <is>
          <t>Left Without Being Seen</t>
        </is>
      </c>
      <c r="N260" t="inlineStr">
        <is>
          <t>State Medicaid</t>
        </is>
      </c>
      <c r="O260" s="31" t="n">
        <v>1387.76</v>
      </c>
    </row>
    <row r="261">
      <c r="A261" t="inlineStr">
        <is>
          <t>ENC111766</t>
        </is>
      </c>
      <c r="B261" t="inlineStr">
        <is>
          <t>PT10084</t>
        </is>
      </c>
      <c r="C261" t="inlineStr">
        <is>
          <t>Inpatient</t>
        </is>
      </c>
      <c r="D261" t="inlineStr">
        <is>
          <t>Bluestone Memorial Hospital</t>
        </is>
      </c>
      <c r="E261" t="inlineStr">
        <is>
          <t>Neuroscience &amp; Stroke</t>
        </is>
      </c>
      <c r="F261" t="inlineStr">
        <is>
          <t>Neuroscience</t>
        </is>
      </c>
      <c r="G261" s="29" t="n">
        <v>45686</v>
      </c>
      <c r="H261" s="29" t="n">
        <v>45690</v>
      </c>
      <c r="I261" s="30" t="n">
        <v>4</v>
      </c>
      <c r="J261" t="inlineStr">
        <is>
          <t>I63.9</t>
        </is>
      </c>
      <c r="K261" t="inlineStr">
        <is>
          <t>Cerebral infarction, unspecified</t>
        </is>
      </c>
      <c r="L261" t="inlineStr">
        <is>
          <t>Circulatory</t>
        </is>
      </c>
      <c r="M261" t="inlineStr">
        <is>
          <t>Skilled Nursing Facility</t>
        </is>
      </c>
      <c r="N261" t="inlineStr">
        <is>
          <t>Silverline Medicare Advantage</t>
        </is>
      </c>
      <c r="O261" s="31" t="n">
        <v>18554.49</v>
      </c>
      <c r="P261" t="inlineStr">
        <is>
          <t>N</t>
        </is>
      </c>
    </row>
    <row r="262">
      <c r="A262" t="inlineStr">
        <is>
          <t>ENC111769</t>
        </is>
      </c>
      <c r="B262" t="inlineStr">
        <is>
          <t>PT10048</t>
        </is>
      </c>
      <c r="C262" t="inlineStr">
        <is>
          <t>Observation</t>
        </is>
      </c>
      <c r="D262" t="inlineStr">
        <is>
          <t>Bluestone Memorial Hospital</t>
        </is>
      </c>
      <c r="E262" t="inlineStr">
        <is>
          <t>Observation Unit</t>
        </is>
      </c>
      <c r="F262" t="inlineStr">
        <is>
          <t>Medicine</t>
        </is>
      </c>
      <c r="G262" s="29" t="n">
        <v>45687</v>
      </c>
      <c r="H262" s="29" t="n">
        <v>45688</v>
      </c>
      <c r="I262" s="30" t="n">
        <v>1</v>
      </c>
      <c r="J262" t="inlineStr">
        <is>
          <t>J21.9</t>
        </is>
      </c>
      <c r="K262" t="inlineStr">
        <is>
          <t>Acute bronchiolitis, unspecified</t>
        </is>
      </c>
      <c r="L262" t="inlineStr">
        <is>
          <t>Respiratory</t>
        </is>
      </c>
      <c r="M262" t="inlineStr">
        <is>
          <t>Home/Self-Care</t>
        </is>
      </c>
      <c r="N262" t="inlineStr">
        <is>
          <t>State Medicaid</t>
        </is>
      </c>
      <c r="O262" s="31" t="n">
        <v>12704.55</v>
      </c>
    </row>
    <row r="263">
      <c r="A263" t="inlineStr">
        <is>
          <t>ENC111770</t>
        </is>
      </c>
      <c r="B263" t="inlineStr">
        <is>
          <t>PT12192</t>
        </is>
      </c>
      <c r="C263" t="inlineStr">
        <is>
          <t>Inpatient</t>
        </is>
      </c>
      <c r="D263" t="inlineStr">
        <is>
          <t>Bluestone Memorial Hospital</t>
        </is>
      </c>
      <c r="E263" t="inlineStr">
        <is>
          <t>Medical-Surgical 4 West</t>
        </is>
      </c>
      <c r="F263" t="inlineStr">
        <is>
          <t>Medicine</t>
        </is>
      </c>
      <c r="G263" s="29" t="n">
        <v>45687</v>
      </c>
      <c r="H263" s="29" t="n">
        <v>45693</v>
      </c>
      <c r="I263" s="30" t="n">
        <v>6</v>
      </c>
      <c r="J263" t="inlineStr">
        <is>
          <t>J18.9</t>
        </is>
      </c>
      <c r="K263" t="inlineStr">
        <is>
          <t>Pneumonia, unspecified organism</t>
        </is>
      </c>
      <c r="L263" t="inlineStr">
        <is>
          <t>Respiratory</t>
        </is>
      </c>
      <c r="M263" t="inlineStr">
        <is>
          <t>Home/Self-Care</t>
        </is>
      </c>
      <c r="N263" t="inlineStr">
        <is>
          <t>Evergreen Mutual Insurance</t>
        </is>
      </c>
      <c r="O263" s="31" t="n">
        <v>28824.77</v>
      </c>
      <c r="P263" t="inlineStr">
        <is>
          <t>Y</t>
        </is>
      </c>
    </row>
    <row r="264">
      <c r="A264" t="inlineStr">
        <is>
          <t>ENC111772</t>
        </is>
      </c>
      <c r="B264" t="inlineStr">
        <is>
          <t>PT11496</t>
        </is>
      </c>
      <c r="C264" t="inlineStr">
        <is>
          <t>Emergency</t>
        </is>
      </c>
      <c r="D264" t="inlineStr">
        <is>
          <t>Bluestone Memorial Hospital</t>
        </is>
      </c>
      <c r="E264" t="inlineStr">
        <is>
          <t>Emergency Department</t>
        </is>
      </c>
      <c r="F264" t="inlineStr">
        <is>
          <t>Emergency</t>
        </is>
      </c>
      <c r="G264" s="29" t="n">
        <v>45687</v>
      </c>
      <c r="H264" s="29" t="n">
        <v>45687</v>
      </c>
      <c r="I264" s="30" t="n"/>
      <c r="J264" t="inlineStr">
        <is>
          <t>J18.9</t>
        </is>
      </c>
      <c r="K264" t="inlineStr">
        <is>
          <t>Pneumonia, unspecified organism</t>
        </is>
      </c>
      <c r="L264" t="inlineStr">
        <is>
          <t>Respiratory</t>
        </is>
      </c>
      <c r="M264" t="inlineStr">
        <is>
          <t>Home/Self-Care</t>
        </is>
      </c>
      <c r="N264" t="inlineStr">
        <is>
          <t>Medicare</t>
        </is>
      </c>
      <c r="O264" s="31" t="n">
        <v>2736.7</v>
      </c>
    </row>
    <row r="265">
      <c r="A265" t="inlineStr">
        <is>
          <t>ENC111773</t>
        </is>
      </c>
      <c r="B265" t="inlineStr">
        <is>
          <t>PT11868</t>
        </is>
      </c>
      <c r="C265" t="inlineStr">
        <is>
          <t>Inpatient</t>
        </is>
      </c>
      <c r="D265" t="inlineStr">
        <is>
          <t>Bluestone Memorial Hospital</t>
        </is>
      </c>
      <c r="E265" t="inlineStr">
        <is>
          <t>Neuroscience &amp; Stroke</t>
        </is>
      </c>
      <c r="F265" t="inlineStr">
        <is>
          <t>Neuroscience</t>
        </is>
      </c>
      <c r="G265" s="29" t="n">
        <v>45687</v>
      </c>
      <c r="H265" s="29" t="n">
        <v>45689</v>
      </c>
      <c r="I265" s="30" t="n">
        <v>2</v>
      </c>
      <c r="J265" t="inlineStr">
        <is>
          <t>I63.9</t>
        </is>
      </c>
      <c r="K265" t="inlineStr">
        <is>
          <t>Cerebral infarction, unspecified</t>
        </is>
      </c>
      <c r="L265" t="inlineStr">
        <is>
          <t>Circulatory</t>
        </is>
      </c>
      <c r="M265" t="inlineStr">
        <is>
          <t>Home/Self-Care</t>
        </is>
      </c>
      <c r="N265" t="inlineStr">
        <is>
          <t>State Medicaid</t>
        </is>
      </c>
      <c r="O265" s="31" t="n">
        <v>11365.56</v>
      </c>
      <c r="P265" t="inlineStr">
        <is>
          <t>N</t>
        </is>
      </c>
    </row>
    <row r="266">
      <c r="A266" t="inlineStr">
        <is>
          <t>ENC111779</t>
        </is>
      </c>
      <c r="B266" t="inlineStr">
        <is>
          <t>PT11004</t>
        </is>
      </c>
      <c r="C266" t="inlineStr">
        <is>
          <t>Inpatient</t>
        </is>
      </c>
      <c r="D266" t="inlineStr">
        <is>
          <t>Bluestone Memorial Hospital</t>
        </is>
      </c>
      <c r="E266" t="inlineStr">
        <is>
          <t>Neuroscience &amp; Stroke</t>
        </is>
      </c>
      <c r="F266" t="inlineStr">
        <is>
          <t>Neuroscience</t>
        </is>
      </c>
      <c r="G266" s="29" t="n">
        <v>45687</v>
      </c>
      <c r="H266" s="29" t="n">
        <v>45691</v>
      </c>
      <c r="I266" s="30" t="n">
        <v>4</v>
      </c>
      <c r="J266" t="inlineStr">
        <is>
          <t>I63.9</t>
        </is>
      </c>
      <c r="K266" t="inlineStr">
        <is>
          <t>Cerebral infarction, unspecified</t>
        </is>
      </c>
      <c r="L266" t="inlineStr">
        <is>
          <t>Circulatory</t>
        </is>
      </c>
      <c r="M266" t="inlineStr">
        <is>
          <t>Home/Self-Care</t>
        </is>
      </c>
      <c r="N266" t="inlineStr">
        <is>
          <t>Silverline Medicare Advantage</t>
        </is>
      </c>
      <c r="O266" s="31" t="n">
        <v>22109.66</v>
      </c>
      <c r="P266" t="inlineStr">
        <is>
          <t>Y</t>
        </is>
      </c>
    </row>
    <row r="267">
      <c r="A267" t="inlineStr">
        <is>
          <t>ENC111780</t>
        </is>
      </c>
      <c r="B267" t="inlineStr">
        <is>
          <t>PT11492</t>
        </is>
      </c>
      <c r="C267" t="inlineStr">
        <is>
          <t>Outpatient</t>
        </is>
      </c>
      <c r="D267" t="inlineStr">
        <is>
          <t>Bluestone Outpatient Pavilion</t>
        </is>
      </c>
      <c r="E267" t="inlineStr">
        <is>
          <t>Primary Care Clinic</t>
        </is>
      </c>
      <c r="F267" t="inlineStr">
        <is>
          <t>Ambulatory</t>
        </is>
      </c>
      <c r="G267" s="29" t="n">
        <v>45687</v>
      </c>
      <c r="H267" s="29" t="n">
        <v>45687</v>
      </c>
      <c r="I267" s="30" t="n"/>
      <c r="J267" t="inlineStr">
        <is>
          <t>I10</t>
        </is>
      </c>
      <c r="K267" t="inlineStr">
        <is>
          <t>Essential (primary) hypertension</t>
        </is>
      </c>
      <c r="L267" t="inlineStr">
        <is>
          <t>Circulatory</t>
        </is>
      </c>
      <c r="M267" t="inlineStr">
        <is>
          <t>Home/Self-Care</t>
        </is>
      </c>
      <c r="N267" t="inlineStr">
        <is>
          <t>Silverline Medicare Advantage</t>
        </is>
      </c>
      <c r="O267" s="31" t="n">
        <v>512.28</v>
      </c>
    </row>
    <row r="268">
      <c r="A268" t="inlineStr">
        <is>
          <t>ENC111781</t>
        </is>
      </c>
      <c r="B268" t="inlineStr">
        <is>
          <t>PT12780</t>
        </is>
      </c>
      <c r="C268" t="inlineStr">
        <is>
          <t>Outpatient</t>
        </is>
      </c>
      <c r="D268" t="inlineStr">
        <is>
          <t>Bluestone Outpatient Pavilion</t>
        </is>
      </c>
      <c r="E268" t="inlineStr">
        <is>
          <t>Primary Care Clinic</t>
        </is>
      </c>
      <c r="F268" t="inlineStr">
        <is>
          <t>Ambulatory</t>
        </is>
      </c>
      <c r="G268" s="29" t="n">
        <v>45687</v>
      </c>
      <c r="H268" s="29" t="n">
        <v>45687</v>
      </c>
      <c r="I268" s="30" t="n"/>
      <c r="J268" t="inlineStr">
        <is>
          <t>F41.9</t>
        </is>
      </c>
      <c r="K268" t="inlineStr">
        <is>
          <t>Anxiety disorder, unspecified</t>
        </is>
      </c>
      <c r="L268" t="inlineStr">
        <is>
          <t>Mental &amp; Behavioral</t>
        </is>
      </c>
      <c r="M268" t="inlineStr">
        <is>
          <t>Home/Self-Care</t>
        </is>
      </c>
      <c r="N268" t="inlineStr">
        <is>
          <t>Medicare</t>
        </is>
      </c>
      <c r="O268" s="31" t="n">
        <v>384.48</v>
      </c>
    </row>
    <row r="269">
      <c r="A269" t="inlineStr">
        <is>
          <t>ENC111782</t>
        </is>
      </c>
      <c r="B269" t="inlineStr">
        <is>
          <t>PT13500</t>
        </is>
      </c>
      <c r="C269" t="inlineStr">
        <is>
          <t>Observation</t>
        </is>
      </c>
      <c r="D269" t="inlineStr">
        <is>
          <t>Bluestone Memorial Hospital</t>
        </is>
      </c>
      <c r="E269" t="inlineStr">
        <is>
          <t>Observation Unit</t>
        </is>
      </c>
      <c r="F269" t="inlineStr">
        <is>
          <t>Medicine</t>
        </is>
      </c>
      <c r="G269" s="29" t="n">
        <v>45687</v>
      </c>
      <c r="H269" s="29" t="n">
        <v>45688</v>
      </c>
      <c r="I269" s="30" t="n">
        <v>1</v>
      </c>
      <c r="J269" t="inlineStr">
        <is>
          <t>J18.9</t>
        </is>
      </c>
      <c r="K269" t="inlineStr">
        <is>
          <t>Pneumonia, unspecified organism</t>
        </is>
      </c>
      <c r="L269" t="inlineStr">
        <is>
          <t>Respiratory</t>
        </is>
      </c>
      <c r="M269" t="inlineStr">
        <is>
          <t>Home/Self-Care</t>
        </is>
      </c>
      <c r="N269" t="inlineStr">
        <is>
          <t>Medicare</t>
        </is>
      </c>
      <c r="O269" s="31" t="n">
        <v>3958.7</v>
      </c>
    </row>
    <row r="270">
      <c r="A270" t="inlineStr">
        <is>
          <t>ENC111791</t>
        </is>
      </c>
      <c r="B270" t="inlineStr">
        <is>
          <t>PT13976</t>
        </is>
      </c>
      <c r="C270" t="inlineStr">
        <is>
          <t>Inpatient</t>
        </is>
      </c>
      <c r="D270" t="inlineStr">
        <is>
          <t>Ashby Falls Community Hospital</t>
        </is>
      </c>
      <c r="E270" t="inlineStr">
        <is>
          <t>Medical-Surgical</t>
        </is>
      </c>
      <c r="F270" t="inlineStr">
        <is>
          <t>Medicine</t>
        </is>
      </c>
      <c r="G270" s="29" t="n">
        <v>45687</v>
      </c>
      <c r="H270" s="29" t="n">
        <v>45690</v>
      </c>
      <c r="I270" s="30" t="n">
        <v>3</v>
      </c>
      <c r="J270" t="inlineStr">
        <is>
          <t>I21.4</t>
        </is>
      </c>
      <c r="K270" t="inlineStr">
        <is>
          <t>Non-ST elevation (NSTEMI) myocardial infarction</t>
        </is>
      </c>
      <c r="L270" t="inlineStr">
        <is>
          <t>Circulatory</t>
        </is>
      </c>
      <c r="M270" t="inlineStr">
        <is>
          <t>Home/Self-Care</t>
        </is>
      </c>
      <c r="N270" t="inlineStr">
        <is>
          <t>Medicare</t>
        </is>
      </c>
      <c r="O270" s="31" t="n">
        <v>63343.44</v>
      </c>
      <c r="P270" t="inlineStr">
        <is>
          <t>N</t>
        </is>
      </c>
    </row>
    <row r="271">
      <c r="A271" t="inlineStr">
        <is>
          <t>ENC111795</t>
        </is>
      </c>
      <c r="B271" t="inlineStr">
        <is>
          <t>PT12576</t>
        </is>
      </c>
      <c r="C271" t="inlineStr">
        <is>
          <t>Inpatient</t>
        </is>
      </c>
      <c r="D271" t="inlineStr">
        <is>
          <t>Bluestone Memorial Hospital</t>
        </is>
      </c>
      <c r="E271" t="inlineStr">
        <is>
          <t>Medical-Surgical 4 West</t>
        </is>
      </c>
      <c r="F271" t="inlineStr">
        <is>
          <t>Medicine</t>
        </is>
      </c>
      <c r="G271" s="29" t="n">
        <v>45687</v>
      </c>
      <c r="H271" s="29" t="n">
        <v>45689</v>
      </c>
      <c r="I271" s="30" t="n">
        <v>2</v>
      </c>
      <c r="J271" t="inlineStr">
        <is>
          <t>U07.1</t>
        </is>
      </c>
      <c r="K271" t="inlineStr">
        <is>
          <t>COVID-19</t>
        </is>
      </c>
      <c r="L271" t="inlineStr">
        <is>
          <t>Respiratory</t>
        </is>
      </c>
      <c r="M271" t="inlineStr">
        <is>
          <t>Home/Self-Care</t>
        </is>
      </c>
      <c r="N271" t="inlineStr">
        <is>
          <t>Medicare</t>
        </is>
      </c>
      <c r="O271" s="31" t="n">
        <v>15894.45</v>
      </c>
      <c r="P271" t="inlineStr">
        <is>
          <t>N</t>
        </is>
      </c>
    </row>
    <row r="272">
      <c r="A272" t="inlineStr">
        <is>
          <t>ENC111803</t>
        </is>
      </c>
      <c r="B272" t="inlineStr">
        <is>
          <t>PT10076</t>
        </is>
      </c>
      <c r="C272" t="inlineStr">
        <is>
          <t>Outpatient</t>
        </is>
      </c>
      <c r="D272" t="inlineStr">
        <is>
          <t>Bluestone Outpatient Pavilion</t>
        </is>
      </c>
      <c r="E272" t="inlineStr">
        <is>
          <t>Primary Care Clinic</t>
        </is>
      </c>
      <c r="F272" t="inlineStr">
        <is>
          <t>Ambulatory</t>
        </is>
      </c>
      <c r="G272" s="29" t="n">
        <v>45687</v>
      </c>
      <c r="H272" s="29" t="n">
        <v>45687</v>
      </c>
      <c r="I272" s="30" t="n"/>
      <c r="J272" t="inlineStr">
        <is>
          <t>K80.20</t>
        </is>
      </c>
      <c r="K272" t="inlineStr">
        <is>
          <t>Calculus of gallbladder without cholecystitis without obstruction</t>
        </is>
      </c>
      <c r="L272" t="inlineStr">
        <is>
          <t>Digestive</t>
        </is>
      </c>
      <c r="M272" t="inlineStr">
        <is>
          <t>Home/Self-Care</t>
        </is>
      </c>
      <c r="N272" t="inlineStr">
        <is>
          <t>Silverline Medicare Advantage</t>
        </is>
      </c>
      <c r="O272" s="31" t="n">
        <v>428.88</v>
      </c>
    </row>
    <row r="273">
      <c r="A273" t="inlineStr">
        <is>
          <t>ENC111804</t>
        </is>
      </c>
      <c r="B273" t="inlineStr">
        <is>
          <t>PT13568</t>
        </is>
      </c>
      <c r="C273" t="inlineStr">
        <is>
          <t>Outpatient</t>
        </is>
      </c>
      <c r="D273" t="inlineStr">
        <is>
          <t>Bluestone Outpatient Pavilion</t>
        </is>
      </c>
      <c r="E273" t="inlineStr">
        <is>
          <t>Pediatric Clinic</t>
        </is>
      </c>
      <c r="F273" t="inlineStr">
        <is>
          <t>Women &amp; Children</t>
        </is>
      </c>
      <c r="G273" s="29" t="n">
        <v>45687</v>
      </c>
      <c r="H273" s="29" t="n">
        <v>45687</v>
      </c>
      <c r="I273" s="30" t="n"/>
      <c r="J273" t="inlineStr">
        <is>
          <t>J06.9</t>
        </is>
      </c>
      <c r="K273" t="inlineStr">
        <is>
          <t>Acute upper respiratory infection, unspecified</t>
        </is>
      </c>
      <c r="L273" t="inlineStr">
        <is>
          <t>Respiratory</t>
        </is>
      </c>
      <c r="M273" t="inlineStr">
        <is>
          <t>Home/Self-Care</t>
        </is>
      </c>
      <c r="N273" t="inlineStr">
        <is>
          <t>Self-Pay</t>
        </is>
      </c>
      <c r="O273" s="31" t="n">
        <v>325.44</v>
      </c>
    </row>
    <row r="274">
      <c r="A274" t="inlineStr">
        <is>
          <t>ENC111817</t>
        </is>
      </c>
      <c r="B274" t="inlineStr">
        <is>
          <t>PT12628</t>
        </is>
      </c>
      <c r="C274" t="inlineStr">
        <is>
          <t>Observation</t>
        </is>
      </c>
      <c r="D274" t="inlineStr">
        <is>
          <t>Bluestone Memorial Hospital</t>
        </is>
      </c>
      <c r="E274" t="inlineStr">
        <is>
          <t>Observation Unit</t>
        </is>
      </c>
      <c r="F274" t="inlineStr">
        <is>
          <t>Medicine</t>
        </is>
      </c>
      <c r="G274" s="29" t="n">
        <v>45688</v>
      </c>
      <c r="H274" s="29" t="n">
        <v>45689</v>
      </c>
      <c r="I274" s="30" t="n">
        <v>1</v>
      </c>
      <c r="J274" t="inlineStr">
        <is>
          <t>A08.4</t>
        </is>
      </c>
      <c r="K274" t="inlineStr">
        <is>
          <t>Viral intestinal infection, unspecified</t>
        </is>
      </c>
      <c r="L274" t="inlineStr">
        <is>
          <t>Infectious</t>
        </is>
      </c>
      <c r="M274" t="inlineStr">
        <is>
          <t>Home/Self-Care</t>
        </is>
      </c>
      <c r="N274" t="inlineStr">
        <is>
          <t>Evergreen Mutual Insurance</t>
        </is>
      </c>
      <c r="O274" s="31" t="n">
        <v>9453.77</v>
      </c>
    </row>
    <row r="275">
      <c r="A275" t="inlineStr">
        <is>
          <t>ENC111818</t>
        </is>
      </c>
      <c r="B275" t="inlineStr">
        <is>
          <t>PT10464</t>
        </is>
      </c>
      <c r="C275" t="inlineStr">
        <is>
          <t>Inpatient</t>
        </is>
      </c>
      <c r="D275" t="inlineStr">
        <is>
          <t>Bluestone Memorial Hospital</t>
        </is>
      </c>
      <c r="E275" t="inlineStr">
        <is>
          <t>Medical-Surgical 5 East</t>
        </is>
      </c>
      <c r="F275" t="inlineStr">
        <is>
          <t>Medicine</t>
        </is>
      </c>
      <c r="G275" s="29" t="n">
        <v>45688</v>
      </c>
      <c r="H275" s="29" t="n">
        <v>45693</v>
      </c>
      <c r="I275" s="30" t="n">
        <v>5</v>
      </c>
      <c r="J275" t="inlineStr">
        <is>
          <t>J44.1</t>
        </is>
      </c>
      <c r="K275" t="inlineStr">
        <is>
          <t>Chronic obstructive pulmonary disease with (acute) exacerbation</t>
        </is>
      </c>
      <c r="L275" t="inlineStr">
        <is>
          <t>Respiratory</t>
        </is>
      </c>
      <c r="M275" t="inlineStr">
        <is>
          <t>Home/Self-Care</t>
        </is>
      </c>
      <c r="N275" t="inlineStr">
        <is>
          <t>Evergreen Mutual Insurance</t>
        </is>
      </c>
      <c r="O275" s="31" t="n">
        <v>19910.69</v>
      </c>
      <c r="P275" t="inlineStr">
        <is>
          <t>Y</t>
        </is>
      </c>
    </row>
    <row r="276">
      <c r="A276" t="inlineStr">
        <is>
          <t>ENC111825</t>
        </is>
      </c>
      <c r="B276" t="inlineStr">
        <is>
          <t>PT11276</t>
        </is>
      </c>
      <c r="C276" t="inlineStr">
        <is>
          <t>Outpatient</t>
        </is>
      </c>
      <c r="D276" t="inlineStr">
        <is>
          <t>Bluestone Outpatient Pavilion</t>
        </is>
      </c>
      <c r="E276" t="inlineStr">
        <is>
          <t>Primary Care Clinic</t>
        </is>
      </c>
      <c r="F276" t="inlineStr">
        <is>
          <t>Ambulatory</t>
        </is>
      </c>
      <c r="G276" s="29" t="n">
        <v>45688</v>
      </c>
      <c r="H276" s="29" t="n">
        <v>45688</v>
      </c>
      <c r="I276" s="30" t="n"/>
      <c r="J276" t="inlineStr">
        <is>
          <t>I10</t>
        </is>
      </c>
      <c r="K276" t="inlineStr">
        <is>
          <t>Essential (primary) hypertension</t>
        </is>
      </c>
      <c r="L276" t="inlineStr">
        <is>
          <t>Circulatory</t>
        </is>
      </c>
      <c r="M276" t="inlineStr">
        <is>
          <t>Home/Self-Care</t>
        </is>
      </c>
      <c r="N276" t="inlineStr">
        <is>
          <t>Medicare</t>
        </is>
      </c>
      <c r="O276" s="31" t="n">
        <v>222.97</v>
      </c>
    </row>
    <row r="277">
      <c r="A277" t="inlineStr">
        <is>
          <t>ENC111827</t>
        </is>
      </c>
      <c r="B277" t="inlineStr">
        <is>
          <t>PT10548</t>
        </is>
      </c>
      <c r="C277" t="inlineStr">
        <is>
          <t>Observation</t>
        </is>
      </c>
      <c r="D277" t="inlineStr">
        <is>
          <t>Bluestone Memorial Hospital</t>
        </is>
      </c>
      <c r="E277" t="inlineStr">
        <is>
          <t>Observation Unit</t>
        </is>
      </c>
      <c r="F277" t="inlineStr">
        <is>
          <t>Medicine</t>
        </is>
      </c>
      <c r="G277" s="29" t="n">
        <v>45688</v>
      </c>
      <c r="H277" s="29" t="n">
        <v>45689</v>
      </c>
      <c r="I277" s="30" t="n">
        <v>1</v>
      </c>
      <c r="J277" t="inlineStr">
        <is>
          <t>E86.0</t>
        </is>
      </c>
      <c r="K277" t="inlineStr">
        <is>
          <t>Dehydration</t>
        </is>
      </c>
      <c r="L277" t="inlineStr">
        <is>
          <t>Endocrine</t>
        </is>
      </c>
      <c r="M277" t="inlineStr">
        <is>
          <t>Home/Self-Care</t>
        </is>
      </c>
      <c r="N277" t="inlineStr">
        <is>
          <t>Medicare</t>
        </is>
      </c>
      <c r="O277" s="31" t="n">
        <v>9726.17</v>
      </c>
    </row>
    <row r="278">
      <c r="A278" t="inlineStr">
        <is>
          <t>ENC111829</t>
        </is>
      </c>
      <c r="B278" t="inlineStr">
        <is>
          <t>PT10916</t>
        </is>
      </c>
      <c r="C278" t="inlineStr">
        <is>
          <t>Inpatient</t>
        </is>
      </c>
      <c r="D278" t="inlineStr">
        <is>
          <t>Bluestone Memorial Hospital</t>
        </is>
      </c>
      <c r="E278" t="inlineStr">
        <is>
          <t>Medical-Surgical 4 West</t>
        </is>
      </c>
      <c r="F278" t="inlineStr">
        <is>
          <t>Medicine</t>
        </is>
      </c>
      <c r="G278" s="29" t="n">
        <v>45688</v>
      </c>
      <c r="H278" s="29" t="n">
        <v>45690</v>
      </c>
      <c r="I278" s="30" t="n">
        <v>2</v>
      </c>
      <c r="J278" t="inlineStr">
        <is>
          <t>J44.1</t>
        </is>
      </c>
      <c r="K278" t="inlineStr">
        <is>
          <t>Chronic obstructive pulmonary disease with (acute) exacerbation</t>
        </is>
      </c>
      <c r="L278" t="inlineStr">
        <is>
          <t>Respiratory</t>
        </is>
      </c>
      <c r="M278" t="inlineStr">
        <is>
          <t>Home/Self-Care</t>
        </is>
      </c>
      <c r="N278" t="inlineStr">
        <is>
          <t>Medicare</t>
        </is>
      </c>
      <c r="O278" s="31" t="n">
        <v>9021.43</v>
      </c>
      <c r="P278" t="inlineStr">
        <is>
          <t>N</t>
        </is>
      </c>
    </row>
    <row r="279">
      <c r="A279" t="inlineStr">
        <is>
          <t>ENC111835</t>
        </is>
      </c>
      <c r="B279" t="inlineStr">
        <is>
          <t>PT13904</t>
        </is>
      </c>
      <c r="C279" t="inlineStr">
        <is>
          <t>Emergency</t>
        </is>
      </c>
      <c r="D279" t="inlineStr">
        <is>
          <t>Bluestone Memorial Hospital</t>
        </is>
      </c>
      <c r="E279" t="inlineStr">
        <is>
          <t>Emergency Department</t>
        </is>
      </c>
      <c r="F279" t="inlineStr">
        <is>
          <t>Emergency</t>
        </is>
      </c>
      <c r="G279" s="29" t="n">
        <v>45688</v>
      </c>
      <c r="H279" s="29" t="n">
        <v>45688</v>
      </c>
      <c r="I279" s="30" t="n"/>
      <c r="J279" t="inlineStr">
        <is>
          <t>R55</t>
        </is>
      </c>
      <c r="K279" t="inlineStr">
        <is>
          <t>Syncope and collapse</t>
        </is>
      </c>
      <c r="L279" t="inlineStr">
        <is>
          <t>Symptoms &amp; Signs</t>
        </is>
      </c>
      <c r="M279" t="inlineStr">
        <is>
          <t>Home/Self-Care</t>
        </is>
      </c>
      <c r="N279" t="inlineStr">
        <is>
          <t>Silverline Medicare Advantage</t>
        </is>
      </c>
      <c r="O279" s="31" t="n">
        <v>923.0700000000001</v>
      </c>
    </row>
    <row r="280">
      <c r="A280" t="inlineStr">
        <is>
          <t>ENC111838</t>
        </is>
      </c>
      <c r="B280" t="inlineStr">
        <is>
          <t>PT11580</t>
        </is>
      </c>
      <c r="C280" t="inlineStr">
        <is>
          <t>Outpatient</t>
        </is>
      </c>
      <c r="D280" t="inlineStr">
        <is>
          <t>Bluestone Outpatient Pavilion</t>
        </is>
      </c>
      <c r="E280" t="inlineStr">
        <is>
          <t>Primary Care Clinic</t>
        </is>
      </c>
      <c r="F280" t="inlineStr">
        <is>
          <t>Ambulatory</t>
        </is>
      </c>
      <c r="G280" s="29" t="n">
        <v>45688</v>
      </c>
      <c r="H280" s="29" t="n">
        <v>45688</v>
      </c>
      <c r="I280" s="30" t="n"/>
      <c r="J280" t="inlineStr">
        <is>
          <t>Z23</t>
        </is>
      </c>
      <c r="K280" t="inlineStr">
        <is>
          <t>Encounter for immunization</t>
        </is>
      </c>
      <c r="L280" t="inlineStr">
        <is>
          <t>Factors Influencing Health</t>
        </is>
      </c>
      <c r="M280" t="inlineStr">
        <is>
          <t>Home/Self-Care</t>
        </is>
      </c>
      <c r="N280" t="inlineStr">
        <is>
          <t>Medicare</t>
        </is>
      </c>
      <c r="O280" s="31" t="n">
        <v>139.2</v>
      </c>
    </row>
    <row r="281">
      <c r="A281" t="inlineStr">
        <is>
          <t>ENC111841</t>
        </is>
      </c>
      <c r="B281" t="inlineStr">
        <is>
          <t>PT12888</t>
        </is>
      </c>
      <c r="C281" t="inlineStr">
        <is>
          <t>Inpatient</t>
        </is>
      </c>
      <c r="D281" t="inlineStr">
        <is>
          <t>Bluestone Memorial Hospital</t>
        </is>
      </c>
      <c r="E281" t="inlineStr">
        <is>
          <t>Medical-Surgical 4 West</t>
        </is>
      </c>
      <c r="F281" t="inlineStr">
        <is>
          <t>Medicine</t>
        </is>
      </c>
      <c r="G281" s="29" t="n">
        <v>45688</v>
      </c>
      <c r="H281" s="29" t="n">
        <v>45692</v>
      </c>
      <c r="I281" s="30" t="n">
        <v>4</v>
      </c>
      <c r="J281" t="inlineStr">
        <is>
          <t>A41.9</t>
        </is>
      </c>
      <c r="K281" t="inlineStr">
        <is>
          <t>Sepsis, unspecified organism</t>
        </is>
      </c>
      <c r="L281" t="inlineStr">
        <is>
          <t>Infectious</t>
        </is>
      </c>
      <c r="M281" t="inlineStr">
        <is>
          <t>Skilled Nursing Facility</t>
        </is>
      </c>
      <c r="N281" t="inlineStr">
        <is>
          <t>Evergreen Mutual Insurance</t>
        </is>
      </c>
      <c r="O281" s="31" t="n">
        <v>47373.66</v>
      </c>
      <c r="P281" t="inlineStr">
        <is>
          <t>N</t>
        </is>
      </c>
    </row>
    <row r="282">
      <c r="A282" t="inlineStr">
        <is>
          <t>ENC111842</t>
        </is>
      </c>
      <c r="B282" t="inlineStr">
        <is>
          <t>PT12776</t>
        </is>
      </c>
      <c r="C282" t="inlineStr">
        <is>
          <t>Inpatient</t>
        </is>
      </c>
      <c r="D282" t="inlineStr">
        <is>
          <t>Ashby Falls Community Hospital</t>
        </is>
      </c>
      <c r="E282" t="inlineStr">
        <is>
          <t>Medical-Surgical</t>
        </is>
      </c>
      <c r="F282" t="inlineStr">
        <is>
          <t>Medicine</t>
        </is>
      </c>
      <c r="G282" s="29" t="n">
        <v>45688</v>
      </c>
      <c r="H282" s="29" t="n">
        <v>45691</v>
      </c>
      <c r="I282" s="30" t="n">
        <v>3</v>
      </c>
      <c r="J282" t="inlineStr">
        <is>
          <t>N17.9</t>
        </is>
      </c>
      <c r="K282" t="inlineStr">
        <is>
          <t>Acute kidney failure, unspecified</t>
        </is>
      </c>
      <c r="L282" t="inlineStr">
        <is>
          <t>Genitourinary</t>
        </is>
      </c>
      <c r="M282" t="inlineStr">
        <is>
          <t>Home/Self-Care</t>
        </is>
      </c>
      <c r="N282" t="inlineStr">
        <is>
          <t>Silverline Medicare Advantage</t>
        </is>
      </c>
      <c r="O282" s="31" t="n">
        <v>12241.19</v>
      </c>
      <c r="P282" t="inlineStr">
        <is>
          <t>N</t>
        </is>
      </c>
    </row>
    <row r="283">
      <c r="A283" t="inlineStr">
        <is>
          <t>ENC111847</t>
        </is>
      </c>
      <c r="B283" t="inlineStr">
        <is>
          <t>PT11808</t>
        </is>
      </c>
      <c r="C283" t="inlineStr">
        <is>
          <t>Outpatient</t>
        </is>
      </c>
      <c r="D283" t="inlineStr">
        <is>
          <t>Bluestone Outpatient Pavilion</t>
        </is>
      </c>
      <c r="E283" t="inlineStr">
        <is>
          <t>Primary Care Clinic</t>
        </is>
      </c>
      <c r="F283" t="inlineStr">
        <is>
          <t>Ambulatory</t>
        </is>
      </c>
      <c r="G283" s="29" t="n">
        <v>45688</v>
      </c>
      <c r="H283" s="29" t="n">
        <v>45688</v>
      </c>
      <c r="I283" s="30" t="n"/>
      <c r="J283" t="inlineStr">
        <is>
          <t>J06.9</t>
        </is>
      </c>
      <c r="K283" t="inlineStr">
        <is>
          <t>Acute upper respiratory infection, unspecified</t>
        </is>
      </c>
      <c r="L283" t="inlineStr">
        <is>
          <t>Respiratory</t>
        </is>
      </c>
      <c r="M283" t="inlineStr">
        <is>
          <t>Home/Self-Care</t>
        </is>
      </c>
      <c r="N283" t="inlineStr">
        <is>
          <t>Keystone Health Partners</t>
        </is>
      </c>
      <c r="O283" s="31" t="n">
        <v>428.05</v>
      </c>
    </row>
    <row r="284">
      <c r="A284" t="inlineStr">
        <is>
          <t>ENC111853</t>
        </is>
      </c>
      <c r="B284" t="inlineStr">
        <is>
          <t>PT12008</t>
        </is>
      </c>
      <c r="C284" t="inlineStr">
        <is>
          <t>Emergency</t>
        </is>
      </c>
      <c r="D284" t="inlineStr">
        <is>
          <t>Bluestone Memorial Hospital</t>
        </is>
      </c>
      <c r="E284" t="inlineStr">
        <is>
          <t>Emergency Department</t>
        </is>
      </c>
      <c r="F284" t="inlineStr">
        <is>
          <t>Emergency</t>
        </is>
      </c>
      <c r="G284" s="29" t="n">
        <v>45689</v>
      </c>
      <c r="H284" s="29" t="n">
        <v>45689</v>
      </c>
      <c r="I284" s="30" t="n"/>
      <c r="J284" t="inlineStr">
        <is>
          <t>M54.50</t>
        </is>
      </c>
      <c r="K284" t="inlineStr">
        <is>
          <t>Low back pain, unspecified</t>
        </is>
      </c>
      <c r="L284" t="inlineStr">
        <is>
          <t>Musculoskeletal</t>
        </is>
      </c>
      <c r="M284" t="inlineStr">
        <is>
          <t>Home/Self-Care</t>
        </is>
      </c>
      <c r="N284" t="inlineStr">
        <is>
          <t>Medicare</t>
        </is>
      </c>
      <c r="O284" s="31" t="n">
        <v>547.6900000000001</v>
      </c>
    </row>
    <row r="285">
      <c r="A285" t="inlineStr">
        <is>
          <t>ENC111854</t>
        </is>
      </c>
      <c r="B285" t="inlineStr">
        <is>
          <t>PT12368</t>
        </is>
      </c>
      <c r="C285" t="inlineStr">
        <is>
          <t>Emergency</t>
        </is>
      </c>
      <c r="D285" t="inlineStr">
        <is>
          <t>Bluestone Memorial Hospital</t>
        </is>
      </c>
      <c r="E285" t="inlineStr">
        <is>
          <t>Emergency Department</t>
        </is>
      </c>
      <c r="F285" t="inlineStr">
        <is>
          <t>Emergency</t>
        </is>
      </c>
      <c r="G285" s="29" t="n">
        <v>45689</v>
      </c>
      <c r="H285" s="29" t="n">
        <v>45689</v>
      </c>
      <c r="I285" s="30" t="n"/>
      <c r="J285" t="inlineStr">
        <is>
          <t>F32.9</t>
        </is>
      </c>
      <c r="K285" t="inlineStr">
        <is>
          <t>Major depressive disorder, single episode, unspecified</t>
        </is>
      </c>
      <c r="L285" t="inlineStr">
        <is>
          <t>Mental &amp; Behavioral</t>
        </is>
      </c>
      <c r="M285" t="inlineStr">
        <is>
          <t>Home/Self-Care</t>
        </is>
      </c>
      <c r="N285" t="inlineStr">
        <is>
          <t>Evergreen Mutual Insurance</t>
        </is>
      </c>
      <c r="O285" s="31" t="n">
        <v>2776.94</v>
      </c>
    </row>
    <row r="286">
      <c r="A286" t="inlineStr">
        <is>
          <t>ENC111855</t>
        </is>
      </c>
      <c r="B286" t="inlineStr">
        <is>
          <t>PT10396</t>
        </is>
      </c>
      <c r="C286" t="inlineStr">
        <is>
          <t>Emergency</t>
        </is>
      </c>
      <c r="D286" t="inlineStr">
        <is>
          <t>Bluestone Memorial Hospital</t>
        </is>
      </c>
      <c r="E286" t="inlineStr">
        <is>
          <t>Emergency Department</t>
        </is>
      </c>
      <c r="F286" t="inlineStr">
        <is>
          <t>Emergency</t>
        </is>
      </c>
      <c r="G286" s="29" t="n">
        <v>45689</v>
      </c>
      <c r="H286" s="29" t="n">
        <v>45689</v>
      </c>
      <c r="I286" s="30" t="n"/>
      <c r="J286" t="inlineStr">
        <is>
          <t>J45.909</t>
        </is>
      </c>
      <c r="K286" t="inlineStr">
        <is>
          <t>Unspecified asthma, uncomplicated</t>
        </is>
      </c>
      <c r="L286" t="inlineStr">
        <is>
          <t>Respiratory</t>
        </is>
      </c>
      <c r="M286" t="inlineStr">
        <is>
          <t>Home/Self-Care</t>
        </is>
      </c>
      <c r="N286" t="inlineStr">
        <is>
          <t>Keystone Health Partners</t>
        </is>
      </c>
      <c r="O286" s="31" t="n">
        <v>1150.19</v>
      </c>
    </row>
    <row r="287">
      <c r="A287" t="inlineStr">
        <is>
          <t>ENC111860</t>
        </is>
      </c>
      <c r="B287" t="inlineStr">
        <is>
          <t>PT10416</t>
        </is>
      </c>
      <c r="C287" t="inlineStr">
        <is>
          <t>Emergency</t>
        </is>
      </c>
      <c r="D287" t="inlineStr">
        <is>
          <t>Bluestone Memorial Hospital</t>
        </is>
      </c>
      <c r="E287" t="inlineStr">
        <is>
          <t>Emergency Department</t>
        </is>
      </c>
      <c r="F287" t="inlineStr">
        <is>
          <t>Emergency</t>
        </is>
      </c>
      <c r="G287" s="29" t="n">
        <v>45689</v>
      </c>
      <c r="H287" s="29" t="n">
        <v>45689</v>
      </c>
      <c r="I287" s="30" t="n"/>
      <c r="J287" t="inlineStr">
        <is>
          <t>F32.9</t>
        </is>
      </c>
      <c r="K287" t="inlineStr">
        <is>
          <t>Major depressive disorder, single episode, unspecified</t>
        </is>
      </c>
      <c r="L287" t="inlineStr">
        <is>
          <t>Mental &amp; Behavioral</t>
        </is>
      </c>
      <c r="M287" t="inlineStr">
        <is>
          <t>Home/Self-Care</t>
        </is>
      </c>
      <c r="N287" t="inlineStr">
        <is>
          <t>Self-Pay</t>
        </is>
      </c>
      <c r="O287" s="31" t="n">
        <v>3485.08</v>
      </c>
    </row>
    <row r="288">
      <c r="A288" t="inlineStr">
        <is>
          <t>ENC111868</t>
        </is>
      </c>
      <c r="B288" t="inlineStr">
        <is>
          <t>PT11896</t>
        </is>
      </c>
      <c r="C288" t="inlineStr">
        <is>
          <t>Observation</t>
        </is>
      </c>
      <c r="D288" t="inlineStr">
        <is>
          <t>Bluestone Memorial Hospital</t>
        </is>
      </c>
      <c r="E288" t="inlineStr">
        <is>
          <t>Observation Unit</t>
        </is>
      </c>
      <c r="F288" t="inlineStr">
        <is>
          <t>Medicine</t>
        </is>
      </c>
      <c r="G288" s="29" t="n">
        <v>45689</v>
      </c>
      <c r="H288" s="29" t="n">
        <v>45690</v>
      </c>
      <c r="I288" s="30" t="n">
        <v>1</v>
      </c>
      <c r="J288" t="inlineStr">
        <is>
          <t>A08.4</t>
        </is>
      </c>
      <c r="K288" t="inlineStr">
        <is>
          <t>Viral intestinal infection, unspecified</t>
        </is>
      </c>
      <c r="L288" t="inlineStr">
        <is>
          <t>Infectious</t>
        </is>
      </c>
      <c r="M288" t="inlineStr">
        <is>
          <t>Home/Self-Care</t>
        </is>
      </c>
      <c r="N288" t="inlineStr">
        <is>
          <t>State Medicaid</t>
        </is>
      </c>
      <c r="O288" s="31" t="n">
        <v>8953.83</v>
      </c>
    </row>
    <row r="289">
      <c r="A289" t="inlineStr">
        <is>
          <t>ENC111875</t>
        </is>
      </c>
      <c r="B289" t="inlineStr">
        <is>
          <t>PT11288</t>
        </is>
      </c>
      <c r="C289" t="inlineStr">
        <is>
          <t>Observation</t>
        </is>
      </c>
      <c r="D289" t="inlineStr">
        <is>
          <t>Cedar Ridge Medical Center</t>
        </is>
      </c>
      <c r="E289" t="inlineStr">
        <is>
          <t>Medical-Surgical</t>
        </is>
      </c>
      <c r="F289" t="inlineStr">
        <is>
          <t>Medicine</t>
        </is>
      </c>
      <c r="G289" s="29" t="n">
        <v>45690</v>
      </c>
      <c r="H289" s="29" t="n">
        <v>45691</v>
      </c>
      <c r="I289" s="30" t="n">
        <v>1</v>
      </c>
      <c r="J289" t="inlineStr">
        <is>
          <t>J18.9</t>
        </is>
      </c>
      <c r="K289" t="inlineStr">
        <is>
          <t>Pneumonia, unspecified organism</t>
        </is>
      </c>
      <c r="L289" t="inlineStr">
        <is>
          <t>Respiratory</t>
        </is>
      </c>
      <c r="M289" t="inlineStr">
        <is>
          <t>Home/Self-Care</t>
        </is>
      </c>
      <c r="N289" t="inlineStr">
        <is>
          <t>State Medicaid</t>
        </is>
      </c>
      <c r="O289" s="31" t="n">
        <v>7302.48</v>
      </c>
    </row>
    <row r="290">
      <c r="A290" t="inlineStr">
        <is>
          <t>ENC111876</t>
        </is>
      </c>
      <c r="B290" t="inlineStr">
        <is>
          <t>PT10316</t>
        </is>
      </c>
      <c r="C290" t="inlineStr">
        <is>
          <t>Inpatient</t>
        </is>
      </c>
      <c r="D290" t="inlineStr">
        <is>
          <t>Ashby Falls Community Hospital</t>
        </is>
      </c>
      <c r="E290" t="inlineStr">
        <is>
          <t>Medical-Surgical</t>
        </is>
      </c>
      <c r="F290" t="inlineStr">
        <is>
          <t>Medicine</t>
        </is>
      </c>
      <c r="G290" s="29" t="n">
        <v>45690</v>
      </c>
      <c r="H290" s="29" t="n">
        <v>45692</v>
      </c>
      <c r="I290" s="30" t="n">
        <v>2</v>
      </c>
      <c r="J290" t="inlineStr">
        <is>
          <t>I48.91</t>
        </is>
      </c>
      <c r="K290" t="inlineStr">
        <is>
          <t>Unspecified atrial fibrillation</t>
        </is>
      </c>
      <c r="L290" t="inlineStr">
        <is>
          <t>Circulatory</t>
        </is>
      </c>
      <c r="M290" t="inlineStr">
        <is>
          <t>Home/Self-Care</t>
        </is>
      </c>
      <c r="N290" t="inlineStr">
        <is>
          <t>Silverline Medicare Advantage</t>
        </is>
      </c>
      <c r="O290" s="31" t="n">
        <v>26626.82</v>
      </c>
      <c r="P290" t="inlineStr">
        <is>
          <t>N</t>
        </is>
      </c>
    </row>
    <row r="291">
      <c r="A291" t="inlineStr">
        <is>
          <t>ENC111879</t>
        </is>
      </c>
      <c r="B291" t="inlineStr">
        <is>
          <t>PT10408</t>
        </is>
      </c>
      <c r="C291" t="inlineStr">
        <is>
          <t>Emergency</t>
        </is>
      </c>
      <c r="D291" t="inlineStr">
        <is>
          <t>Bluestone Memorial Hospital</t>
        </is>
      </c>
      <c r="E291" t="inlineStr">
        <is>
          <t>Emergency Department</t>
        </is>
      </c>
      <c r="F291" t="inlineStr">
        <is>
          <t>Emergency</t>
        </is>
      </c>
      <c r="G291" s="29" t="n">
        <v>45690</v>
      </c>
      <c r="H291" s="29" t="n">
        <v>45690</v>
      </c>
      <c r="I291" s="30" t="n"/>
      <c r="J291" t="inlineStr">
        <is>
          <t>F41.9</t>
        </is>
      </c>
      <c r="K291" t="inlineStr">
        <is>
          <t>Anxiety disorder, unspecified</t>
        </is>
      </c>
      <c r="L291" t="inlineStr">
        <is>
          <t>Mental &amp; Behavioral</t>
        </is>
      </c>
      <c r="M291" t="inlineStr">
        <is>
          <t>Home/Self-Care</t>
        </is>
      </c>
      <c r="N291" t="inlineStr">
        <is>
          <t>State Medicaid</t>
        </is>
      </c>
      <c r="O291" s="31" t="n">
        <v>1347.3</v>
      </c>
    </row>
    <row r="292">
      <c r="A292" t="inlineStr">
        <is>
          <t>ENC111880</t>
        </is>
      </c>
      <c r="B292" t="inlineStr">
        <is>
          <t>PT10252</t>
        </is>
      </c>
      <c r="C292" t="inlineStr">
        <is>
          <t>Inpatient</t>
        </is>
      </c>
      <c r="D292" t="inlineStr">
        <is>
          <t>Cedar Ridge Medical Center</t>
        </is>
      </c>
      <c r="E292" t="inlineStr">
        <is>
          <t>Intensive Care Unit</t>
        </is>
      </c>
      <c r="F292" t="inlineStr">
        <is>
          <t>Critical Care</t>
        </is>
      </c>
      <c r="G292" s="29" t="n">
        <v>45690</v>
      </c>
      <c r="H292" s="29" t="n">
        <v>45703</v>
      </c>
      <c r="I292" s="30" t="n">
        <v>13</v>
      </c>
      <c r="J292" t="inlineStr">
        <is>
          <t>A41.9</t>
        </is>
      </c>
      <c r="K292" t="inlineStr">
        <is>
          <t>Sepsis, unspecified organism</t>
        </is>
      </c>
      <c r="L292" t="inlineStr">
        <is>
          <t>Infectious</t>
        </is>
      </c>
      <c r="M292" t="inlineStr">
        <is>
          <t>Home/Self-Care</t>
        </is>
      </c>
      <c r="N292" t="inlineStr">
        <is>
          <t>Evergreen Mutual Insurance</t>
        </is>
      </c>
      <c r="O292" s="31" t="n">
        <v>100929.04</v>
      </c>
      <c r="P292" t="inlineStr">
        <is>
          <t>N</t>
        </is>
      </c>
    </row>
    <row r="293">
      <c r="A293" t="inlineStr">
        <is>
          <t>ENC111892</t>
        </is>
      </c>
      <c r="B293" t="inlineStr">
        <is>
          <t>PT13304</t>
        </is>
      </c>
      <c r="C293" t="inlineStr">
        <is>
          <t>Inpatient</t>
        </is>
      </c>
      <c r="D293" t="inlineStr">
        <is>
          <t>Cedar Ridge Medical Center</t>
        </is>
      </c>
      <c r="E293" t="inlineStr">
        <is>
          <t>Medical-Surgical</t>
        </is>
      </c>
      <c r="F293" t="inlineStr">
        <is>
          <t>Medicine</t>
        </is>
      </c>
      <c r="G293" s="29" t="n">
        <v>45690</v>
      </c>
      <c r="H293" s="29" t="n">
        <v>45694</v>
      </c>
      <c r="I293" s="30" t="n">
        <v>4</v>
      </c>
      <c r="J293" t="inlineStr">
        <is>
          <t>J18.9</t>
        </is>
      </c>
      <c r="K293" t="inlineStr">
        <is>
          <t>Pneumonia, unspecified organism</t>
        </is>
      </c>
      <c r="L293" t="inlineStr">
        <is>
          <t>Respiratory</t>
        </is>
      </c>
      <c r="M293" t="inlineStr">
        <is>
          <t>Home/Self-Care</t>
        </is>
      </c>
      <c r="N293" t="inlineStr">
        <is>
          <t>Evergreen Mutual Insurance</t>
        </is>
      </c>
      <c r="O293" s="31" t="n">
        <v>21672.2</v>
      </c>
      <c r="P293" t="inlineStr">
        <is>
          <t>N</t>
        </is>
      </c>
    </row>
    <row r="294">
      <c r="A294" t="inlineStr">
        <is>
          <t>ENC111896</t>
        </is>
      </c>
      <c r="B294" t="inlineStr">
        <is>
          <t>PT13676</t>
        </is>
      </c>
      <c r="C294" t="inlineStr">
        <is>
          <t>Observation</t>
        </is>
      </c>
      <c r="D294" t="inlineStr">
        <is>
          <t>Bluestone Memorial Hospital</t>
        </is>
      </c>
      <c r="E294" t="inlineStr">
        <is>
          <t>Observation Unit</t>
        </is>
      </c>
      <c r="F294" t="inlineStr">
        <is>
          <t>Medicine</t>
        </is>
      </c>
      <c r="G294" s="29" t="n">
        <v>45691</v>
      </c>
      <c r="H294" s="29" t="n">
        <v>45691</v>
      </c>
      <c r="I294" s="30" t="n">
        <v>0</v>
      </c>
      <c r="J294" t="inlineStr">
        <is>
          <t>J21.9</t>
        </is>
      </c>
      <c r="K294" t="inlineStr">
        <is>
          <t>Acute bronchiolitis, unspecified</t>
        </is>
      </c>
      <c r="L294" t="inlineStr">
        <is>
          <t>Respiratory</t>
        </is>
      </c>
      <c r="M294" t="inlineStr">
        <is>
          <t>Home/Self-Care</t>
        </is>
      </c>
      <c r="N294" t="inlineStr">
        <is>
          <t>Evergreen Mutual Insurance</t>
        </is>
      </c>
      <c r="O294" s="31" t="n">
        <v>8886</v>
      </c>
    </row>
    <row r="295">
      <c r="A295" t="inlineStr">
        <is>
          <t>ENC111904</t>
        </is>
      </c>
      <c r="B295" t="inlineStr">
        <is>
          <t>PT13788</t>
        </is>
      </c>
      <c r="C295" t="inlineStr">
        <is>
          <t>Outpatient</t>
        </is>
      </c>
      <c r="D295" t="inlineStr">
        <is>
          <t>Bluestone Outpatient Pavilion</t>
        </is>
      </c>
      <c r="E295" t="inlineStr">
        <is>
          <t>Primary Care Clinic</t>
        </is>
      </c>
      <c r="F295" t="inlineStr">
        <is>
          <t>Ambulatory</t>
        </is>
      </c>
      <c r="G295" s="29" t="n">
        <v>45691</v>
      </c>
      <c r="H295" s="29" t="n">
        <v>45691</v>
      </c>
      <c r="I295" s="30" t="n"/>
      <c r="J295" t="inlineStr">
        <is>
          <t>J06.9</t>
        </is>
      </c>
      <c r="K295" t="inlineStr">
        <is>
          <t>Acute upper respiratory infection, unspecified</t>
        </is>
      </c>
      <c r="L295" t="inlineStr">
        <is>
          <t>Respiratory</t>
        </is>
      </c>
      <c r="M295" t="inlineStr">
        <is>
          <t>Home/Self-Care</t>
        </is>
      </c>
      <c r="N295" t="inlineStr">
        <is>
          <t>Silverline Medicare Advantage</t>
        </is>
      </c>
      <c r="O295" s="31" t="n">
        <v>224.51</v>
      </c>
    </row>
    <row r="296">
      <c r="A296" t="inlineStr">
        <is>
          <t>ENC111906</t>
        </is>
      </c>
      <c r="B296" t="inlineStr">
        <is>
          <t>PT10132</t>
        </is>
      </c>
      <c r="C296" t="inlineStr">
        <is>
          <t>Outpatient</t>
        </is>
      </c>
      <c r="D296" t="inlineStr">
        <is>
          <t>Bluestone Outpatient Pavilion</t>
        </is>
      </c>
      <c r="E296" t="inlineStr">
        <is>
          <t>Primary Care Clinic</t>
        </is>
      </c>
      <c r="F296" t="inlineStr">
        <is>
          <t>Ambulatory</t>
        </is>
      </c>
      <c r="G296" s="29" t="n">
        <v>45691</v>
      </c>
      <c r="H296" s="29" t="n">
        <v>45691</v>
      </c>
      <c r="I296" s="30" t="n"/>
      <c r="J296" t="inlineStr">
        <is>
          <t>Z00.00</t>
        </is>
      </c>
      <c r="K296" t="inlineStr">
        <is>
          <t>Encounter for general adult medical examination without abnormal findings</t>
        </is>
      </c>
      <c r="L296" t="inlineStr">
        <is>
          <t>Factors Influencing Health</t>
        </is>
      </c>
      <c r="M296" t="inlineStr">
        <is>
          <t>Home/Self-Care</t>
        </is>
      </c>
      <c r="N296" t="inlineStr">
        <is>
          <t>Medicare</t>
        </is>
      </c>
      <c r="O296" s="31" t="n">
        <v>302.13</v>
      </c>
    </row>
    <row r="297">
      <c r="A297" t="inlineStr">
        <is>
          <t>ENC111912</t>
        </is>
      </c>
      <c r="B297" t="inlineStr">
        <is>
          <t>PT10056</t>
        </is>
      </c>
      <c r="C297" t="inlineStr">
        <is>
          <t>Inpatient</t>
        </is>
      </c>
      <c r="D297" t="inlineStr">
        <is>
          <t>Bluestone Memorial Hospital</t>
        </is>
      </c>
      <c r="E297" t="inlineStr">
        <is>
          <t>Behavioral Health</t>
        </is>
      </c>
      <c r="F297" t="inlineStr">
        <is>
          <t>Behavioral Health</t>
        </is>
      </c>
      <c r="G297" s="29" t="n">
        <v>45691</v>
      </c>
      <c r="H297" s="29" t="n">
        <v>45698</v>
      </c>
      <c r="I297" s="30" t="n">
        <v>7</v>
      </c>
      <c r="J297" t="inlineStr">
        <is>
          <t>F32.9</t>
        </is>
      </c>
      <c r="K297" t="inlineStr">
        <is>
          <t>Major depressive disorder, single episode, unspecified</t>
        </is>
      </c>
      <c r="L297" t="inlineStr">
        <is>
          <t>Mental &amp; Behavioral</t>
        </is>
      </c>
      <c r="M297" t="inlineStr">
        <is>
          <t>Home/Self-Care</t>
        </is>
      </c>
      <c r="N297" t="inlineStr">
        <is>
          <t>Self-Pay</t>
        </is>
      </c>
      <c r="O297" s="31" t="n">
        <v>20935.61</v>
      </c>
      <c r="P297" t="inlineStr">
        <is>
          <t>N</t>
        </is>
      </c>
    </row>
    <row r="298">
      <c r="A298" t="inlineStr">
        <is>
          <t>ENC111920</t>
        </is>
      </c>
      <c r="B298" t="inlineStr">
        <is>
          <t>PT10660</t>
        </is>
      </c>
      <c r="C298" t="inlineStr">
        <is>
          <t>Observation</t>
        </is>
      </c>
      <c r="D298" t="inlineStr">
        <is>
          <t>Cedar Ridge Medical Center</t>
        </is>
      </c>
      <c r="E298" t="inlineStr">
        <is>
          <t>Medical-Surgical</t>
        </is>
      </c>
      <c r="F298" t="inlineStr">
        <is>
          <t>Medicine</t>
        </is>
      </c>
      <c r="G298" s="29" t="n">
        <v>45691</v>
      </c>
      <c r="H298" s="29" t="n">
        <v>45693</v>
      </c>
      <c r="I298" s="30" t="n">
        <v>2</v>
      </c>
      <c r="J298" t="inlineStr">
        <is>
          <t>R55</t>
        </is>
      </c>
      <c r="K298" t="inlineStr">
        <is>
          <t>Syncope and collapse</t>
        </is>
      </c>
      <c r="L298" t="inlineStr">
        <is>
          <t>Symptoms &amp; Signs</t>
        </is>
      </c>
      <c r="M298" t="inlineStr">
        <is>
          <t>Home/Self-Care</t>
        </is>
      </c>
      <c r="N298" t="inlineStr">
        <is>
          <t>State Medicaid</t>
        </is>
      </c>
      <c r="O298" s="31" t="n">
        <v>11019.73</v>
      </c>
    </row>
    <row r="299">
      <c r="A299" t="inlineStr">
        <is>
          <t>ENC111927</t>
        </is>
      </c>
      <c r="B299" t="inlineStr">
        <is>
          <t>PT10092</t>
        </is>
      </c>
      <c r="C299" t="inlineStr">
        <is>
          <t>Emergency</t>
        </is>
      </c>
      <c r="D299" t="inlineStr">
        <is>
          <t>Bluestone Memorial Hospital</t>
        </is>
      </c>
      <c r="E299" t="inlineStr">
        <is>
          <t>Emergency Department</t>
        </is>
      </c>
      <c r="F299" t="inlineStr">
        <is>
          <t>Emergency</t>
        </is>
      </c>
      <c r="G299" s="29" t="n">
        <v>45691</v>
      </c>
      <c r="H299" s="29" t="n">
        <v>45691</v>
      </c>
      <c r="I299" s="30" t="n"/>
      <c r="J299" t="inlineStr">
        <is>
          <t>N39.0</t>
        </is>
      </c>
      <c r="K299" t="inlineStr">
        <is>
          <t>Urinary tract infection, site not specified</t>
        </is>
      </c>
      <c r="L299" t="inlineStr">
        <is>
          <t>Genitourinary</t>
        </is>
      </c>
      <c r="M299" t="inlineStr">
        <is>
          <t>Home/Self-Care</t>
        </is>
      </c>
      <c r="N299" t="inlineStr">
        <is>
          <t>Evergreen Mutual Insurance</t>
        </is>
      </c>
      <c r="O299" s="31" t="n">
        <v>3022.78</v>
      </c>
    </row>
    <row r="300">
      <c r="A300" t="inlineStr">
        <is>
          <t>ENC111928</t>
        </is>
      </c>
      <c r="B300" t="inlineStr">
        <is>
          <t>PT12060</t>
        </is>
      </c>
      <c r="C300" t="inlineStr">
        <is>
          <t>Inpatient</t>
        </is>
      </c>
      <c r="D300" t="inlineStr">
        <is>
          <t>Bluestone Memorial Hospital</t>
        </is>
      </c>
      <c r="E300" t="inlineStr">
        <is>
          <t>Medical-Surgical 5 East</t>
        </is>
      </c>
      <c r="F300" t="inlineStr">
        <is>
          <t>Medicine</t>
        </is>
      </c>
      <c r="G300" s="29" t="n">
        <v>45691</v>
      </c>
      <c r="H300" s="29" t="n">
        <v>45694</v>
      </c>
      <c r="I300" s="30" t="n">
        <v>3</v>
      </c>
      <c r="J300" t="inlineStr">
        <is>
          <t>J44.1</t>
        </is>
      </c>
      <c r="K300" t="inlineStr">
        <is>
          <t>Chronic obstructive pulmonary disease with (acute) exacerbation</t>
        </is>
      </c>
      <c r="L300" t="inlineStr">
        <is>
          <t>Respiratory</t>
        </is>
      </c>
      <c r="M300" t="inlineStr">
        <is>
          <t>Home/Self-Care</t>
        </is>
      </c>
      <c r="N300" t="inlineStr">
        <is>
          <t>Summit Choice PPO</t>
        </is>
      </c>
      <c r="O300" s="31" t="n">
        <v>22525.26</v>
      </c>
      <c r="P300" t="inlineStr">
        <is>
          <t>Y</t>
        </is>
      </c>
    </row>
    <row r="301">
      <c r="A301" t="inlineStr">
        <is>
          <t>ENC111929</t>
        </is>
      </c>
      <c r="B301" t="inlineStr">
        <is>
          <t>PT11156</t>
        </is>
      </c>
      <c r="C301" t="inlineStr">
        <is>
          <t>Outpatient</t>
        </is>
      </c>
      <c r="D301" t="inlineStr">
        <is>
          <t>Bluestone Outpatient Pavilion</t>
        </is>
      </c>
      <c r="E301" t="inlineStr">
        <is>
          <t>Primary Care Clinic</t>
        </is>
      </c>
      <c r="F301" t="inlineStr">
        <is>
          <t>Ambulatory</t>
        </is>
      </c>
      <c r="G301" s="29" t="n">
        <v>45691</v>
      </c>
      <c r="H301" s="29" t="n">
        <v>45691</v>
      </c>
      <c r="I301" s="30" t="n"/>
      <c r="J301" t="inlineStr">
        <is>
          <t>F41.9</t>
        </is>
      </c>
      <c r="K301" t="inlineStr">
        <is>
          <t>Anxiety disorder, unspecified</t>
        </is>
      </c>
      <c r="L301" t="inlineStr">
        <is>
          <t>Mental &amp; Behavioral</t>
        </is>
      </c>
      <c r="M301" t="inlineStr">
        <is>
          <t>Home/Self-Care</t>
        </is>
      </c>
      <c r="N301" t="inlineStr">
        <is>
          <t>Evergreen Mutual Insurance</t>
        </is>
      </c>
      <c r="O301" s="31" t="n">
        <v>308.1</v>
      </c>
    </row>
    <row r="302">
      <c r="A302" t="inlineStr">
        <is>
          <t>ENC111931</t>
        </is>
      </c>
      <c r="B302" t="inlineStr">
        <is>
          <t>PT12656</t>
        </is>
      </c>
      <c r="C302" t="inlineStr">
        <is>
          <t>Emergency</t>
        </is>
      </c>
      <c r="D302" t="inlineStr">
        <is>
          <t>Bluestone Memorial Hospital</t>
        </is>
      </c>
      <c r="E302" t="inlineStr">
        <is>
          <t>Emergency Department</t>
        </is>
      </c>
      <c r="F302" t="inlineStr">
        <is>
          <t>Emergency</t>
        </is>
      </c>
      <c r="G302" s="29" t="n">
        <v>45691</v>
      </c>
      <c r="H302" s="29" t="n">
        <v>45691</v>
      </c>
      <c r="I302" s="30" t="n"/>
      <c r="J302" t="inlineStr">
        <is>
          <t>R55</t>
        </is>
      </c>
      <c r="K302" t="inlineStr">
        <is>
          <t>Syncope and collapse</t>
        </is>
      </c>
      <c r="L302" t="inlineStr">
        <is>
          <t>Symptoms &amp; Signs</t>
        </is>
      </c>
      <c r="M302" t="inlineStr">
        <is>
          <t>Home/Self-Care</t>
        </is>
      </c>
      <c r="N302" t="inlineStr">
        <is>
          <t>Medicare</t>
        </is>
      </c>
      <c r="O302" s="31" t="n">
        <v>2748.31</v>
      </c>
    </row>
    <row r="303">
      <c r="A303" t="inlineStr">
        <is>
          <t>ENC111934</t>
        </is>
      </c>
      <c r="B303" t="inlineStr">
        <is>
          <t>PT10048</t>
        </is>
      </c>
      <c r="C303" t="inlineStr">
        <is>
          <t>Inpatient</t>
        </is>
      </c>
      <c r="D303" t="inlineStr">
        <is>
          <t>Ashby Falls Community Hospital</t>
        </is>
      </c>
      <c r="E303" t="inlineStr">
        <is>
          <t>Medical-Surgical</t>
        </is>
      </c>
      <c r="F303" t="inlineStr">
        <is>
          <t>Medicine</t>
        </is>
      </c>
      <c r="G303" s="29" t="n">
        <v>45691</v>
      </c>
      <c r="H303" s="29" t="n">
        <v>45696</v>
      </c>
      <c r="I303" s="30" t="n">
        <v>5</v>
      </c>
      <c r="J303" t="inlineStr">
        <is>
          <t>U07.1</t>
        </is>
      </c>
      <c r="K303" t="inlineStr">
        <is>
          <t>COVID-19</t>
        </is>
      </c>
      <c r="L303" t="inlineStr">
        <is>
          <t>Respiratory</t>
        </is>
      </c>
      <c r="M303" t="inlineStr">
        <is>
          <t>Home/Self-Care</t>
        </is>
      </c>
      <c r="N303" t="inlineStr">
        <is>
          <t>State Medicaid</t>
        </is>
      </c>
      <c r="O303" s="31" t="n">
        <v>17435.07</v>
      </c>
      <c r="P303" t="inlineStr">
        <is>
          <t>N</t>
        </is>
      </c>
    </row>
    <row r="304">
      <c r="A304" t="inlineStr">
        <is>
          <t>ENC111936</t>
        </is>
      </c>
      <c r="B304" t="inlineStr">
        <is>
          <t>PT13212</t>
        </is>
      </c>
      <c r="C304" t="inlineStr">
        <is>
          <t>Observation</t>
        </is>
      </c>
      <c r="D304" t="inlineStr">
        <is>
          <t>Ashby Falls Community Hospital</t>
        </is>
      </c>
      <c r="E304" t="inlineStr">
        <is>
          <t>Medical-Surgical</t>
        </is>
      </c>
      <c r="F304" t="inlineStr">
        <is>
          <t>Medicine</t>
        </is>
      </c>
      <c r="G304" s="29" t="n">
        <v>45692</v>
      </c>
      <c r="H304" s="29" t="n">
        <v>45693</v>
      </c>
      <c r="I304" s="30" t="n">
        <v>1</v>
      </c>
      <c r="J304" t="inlineStr">
        <is>
          <t>K80.20</t>
        </is>
      </c>
      <c r="K304" t="inlineStr">
        <is>
          <t>Calculus of gallbladder without cholecystitis without obstruction</t>
        </is>
      </c>
      <c r="L304" t="inlineStr">
        <is>
          <t>Digestive</t>
        </is>
      </c>
      <c r="M304" t="inlineStr">
        <is>
          <t>Home/Self-Care</t>
        </is>
      </c>
      <c r="N304" t="inlineStr">
        <is>
          <t>Summit Choice PPO</t>
        </is>
      </c>
      <c r="O304" s="31" t="n">
        <v>8098.12</v>
      </c>
    </row>
    <row r="305">
      <c r="A305" t="inlineStr">
        <is>
          <t>ENC111938</t>
        </is>
      </c>
      <c r="B305" t="inlineStr">
        <is>
          <t>PT12052</t>
        </is>
      </c>
      <c r="C305" t="inlineStr">
        <is>
          <t>Emergency</t>
        </is>
      </c>
      <c r="D305" t="inlineStr">
        <is>
          <t>Ashby Falls Community Hospital</t>
        </is>
      </c>
      <c r="E305" t="inlineStr">
        <is>
          <t>Emergency Department</t>
        </is>
      </c>
      <c r="F305" t="inlineStr">
        <is>
          <t>Emergency</t>
        </is>
      </c>
      <c r="G305" s="29" t="n">
        <v>45692</v>
      </c>
      <c r="H305" s="29" t="n">
        <v>45692</v>
      </c>
      <c r="I305" s="30" t="n"/>
      <c r="J305" t="inlineStr">
        <is>
          <t>A08.4</t>
        </is>
      </c>
      <c r="K305" t="inlineStr">
        <is>
          <t>Viral intestinal infection, unspecified</t>
        </is>
      </c>
      <c r="L305" t="inlineStr">
        <is>
          <t>Infectious</t>
        </is>
      </c>
      <c r="M305" t="inlineStr">
        <is>
          <t>Home/Self-Care</t>
        </is>
      </c>
      <c r="N305" t="inlineStr">
        <is>
          <t>Keystone Health Partners</t>
        </is>
      </c>
      <c r="O305" s="31" t="n">
        <v>4091.08</v>
      </c>
    </row>
    <row r="306">
      <c r="A306" t="inlineStr">
        <is>
          <t>ENC111940</t>
        </is>
      </c>
      <c r="B306" t="inlineStr">
        <is>
          <t>PT12748</t>
        </is>
      </c>
      <c r="C306" t="inlineStr">
        <is>
          <t>Inpatient</t>
        </is>
      </c>
      <c r="D306" t="inlineStr">
        <is>
          <t>Bluestone Memorial Hospital</t>
        </is>
      </c>
      <c r="E306" t="inlineStr">
        <is>
          <t>Labor &amp; Delivery</t>
        </is>
      </c>
      <c r="F306" t="inlineStr">
        <is>
          <t>Women &amp; Children</t>
        </is>
      </c>
      <c r="G306" s="29" t="n">
        <v>45692</v>
      </c>
      <c r="H306" s="29" t="n">
        <v>45694</v>
      </c>
      <c r="I306" s="30" t="n">
        <v>2</v>
      </c>
      <c r="J306" t="inlineStr">
        <is>
          <t>O80</t>
        </is>
      </c>
      <c r="K306" t="inlineStr">
        <is>
          <t>Encounter for full-term uncomplicated delivery</t>
        </is>
      </c>
      <c r="L306" t="inlineStr">
        <is>
          <t>Pregnancy</t>
        </is>
      </c>
      <c r="M306" t="inlineStr">
        <is>
          <t>Left AMA</t>
        </is>
      </c>
      <c r="N306" t="inlineStr">
        <is>
          <t>Summit Choice PPO</t>
        </is>
      </c>
      <c r="O306" s="31" t="n">
        <v>15797.68</v>
      </c>
      <c r="P306" t="inlineStr">
        <is>
          <t>N</t>
        </is>
      </c>
    </row>
    <row r="307">
      <c r="A307" t="inlineStr">
        <is>
          <t>ENC111943</t>
        </is>
      </c>
      <c r="B307" t="inlineStr">
        <is>
          <t>PT12576</t>
        </is>
      </c>
      <c r="C307" t="inlineStr">
        <is>
          <t>Emergency</t>
        </is>
      </c>
      <c r="D307" t="inlineStr">
        <is>
          <t>Bluestone Memorial Hospital</t>
        </is>
      </c>
      <c r="E307" t="inlineStr">
        <is>
          <t>Emergency Department</t>
        </is>
      </c>
      <c r="F307" t="inlineStr">
        <is>
          <t>Emergency</t>
        </is>
      </c>
      <c r="G307" s="29" t="n">
        <v>45692</v>
      </c>
      <c r="H307" s="29" t="n">
        <v>45692</v>
      </c>
      <c r="I307" s="30" t="n"/>
      <c r="J307" t="inlineStr">
        <is>
          <t>J18.9</t>
        </is>
      </c>
      <c r="K307" t="inlineStr">
        <is>
          <t>Pneumonia, unspecified organism</t>
        </is>
      </c>
      <c r="L307" t="inlineStr">
        <is>
          <t>Respiratory</t>
        </is>
      </c>
      <c r="M307" t="inlineStr">
        <is>
          <t>Home/Self-Care</t>
        </is>
      </c>
      <c r="N307" t="inlineStr">
        <is>
          <t>Medicare</t>
        </is>
      </c>
      <c r="O307" s="31" t="n">
        <v>1760.35</v>
      </c>
    </row>
    <row r="308">
      <c r="A308" t="inlineStr">
        <is>
          <t>ENC111948</t>
        </is>
      </c>
      <c r="B308" t="inlineStr">
        <is>
          <t>PT12248</t>
        </is>
      </c>
      <c r="C308" t="inlineStr">
        <is>
          <t>Outpatient</t>
        </is>
      </c>
      <c r="D308" t="inlineStr">
        <is>
          <t>Bluestone Outpatient Pavilion</t>
        </is>
      </c>
      <c r="E308" t="inlineStr">
        <is>
          <t>Infusion &amp; Oncology Clinic</t>
        </is>
      </c>
      <c r="F308" t="inlineStr">
        <is>
          <t>Oncology</t>
        </is>
      </c>
      <c r="G308" s="29" t="n">
        <v>45692</v>
      </c>
      <c r="H308" s="29" t="n">
        <v>45692</v>
      </c>
      <c r="I308" s="30" t="n"/>
      <c r="J308" t="inlineStr">
        <is>
          <t>Z51.11</t>
        </is>
      </c>
      <c r="K308" t="inlineStr">
        <is>
          <t>Encounter for antineoplastic chemotherapy</t>
        </is>
      </c>
      <c r="L308" t="inlineStr">
        <is>
          <t>Factors Influencing Health</t>
        </is>
      </c>
      <c r="M308" t="inlineStr">
        <is>
          <t>Home/Self-Care</t>
        </is>
      </c>
      <c r="N308" t="inlineStr">
        <is>
          <t>Keystone Health Partners</t>
        </is>
      </c>
      <c r="O308" s="31" t="n">
        <v>8783.5</v>
      </c>
    </row>
    <row r="309">
      <c r="A309" t="inlineStr">
        <is>
          <t>ENC111961</t>
        </is>
      </c>
      <c r="B309" t="inlineStr">
        <is>
          <t>PT11200</t>
        </is>
      </c>
      <c r="C309" t="inlineStr">
        <is>
          <t>Emergency</t>
        </is>
      </c>
      <c r="D309" t="inlineStr">
        <is>
          <t>Bluestone Memorial Hospital</t>
        </is>
      </c>
      <c r="E309" t="inlineStr">
        <is>
          <t>Emergency Department</t>
        </is>
      </c>
      <c r="F309" t="inlineStr">
        <is>
          <t>Emergency</t>
        </is>
      </c>
      <c r="G309" s="29" t="n">
        <v>45692</v>
      </c>
      <c r="H309" s="29" t="n">
        <v>45692</v>
      </c>
      <c r="I309" s="30" t="n"/>
      <c r="J309" t="inlineStr">
        <is>
          <t>G40.909</t>
        </is>
      </c>
      <c r="K309" t="inlineStr">
        <is>
          <t>Epilepsy, unspecified, not intractable, without status epilepticus</t>
        </is>
      </c>
      <c r="L309" t="inlineStr">
        <is>
          <t>Nervous System</t>
        </is>
      </c>
      <c r="M309" t="inlineStr">
        <is>
          <t>Home/Self-Care</t>
        </is>
      </c>
      <c r="N309" t="inlineStr">
        <is>
          <t>State Medicaid</t>
        </is>
      </c>
      <c r="O309" s="31" t="n">
        <v>3641.87</v>
      </c>
    </row>
    <row r="310">
      <c r="A310" t="inlineStr">
        <is>
          <t>ENC111962</t>
        </is>
      </c>
      <c r="B310" t="inlineStr">
        <is>
          <t>PT13492</t>
        </is>
      </c>
      <c r="C310" t="inlineStr">
        <is>
          <t>Emergency</t>
        </is>
      </c>
      <c r="D310" t="inlineStr">
        <is>
          <t>Ashby Falls Community Hospital</t>
        </is>
      </c>
      <c r="E310" t="inlineStr">
        <is>
          <t>Emergency Department</t>
        </is>
      </c>
      <c r="F310" t="inlineStr">
        <is>
          <t>Emergency</t>
        </is>
      </c>
      <c r="G310" s="29" t="n">
        <v>45692</v>
      </c>
      <c r="H310" s="29" t="n">
        <v>45692</v>
      </c>
      <c r="I310" s="30" t="n"/>
      <c r="J310" t="inlineStr">
        <is>
          <t>J06.9</t>
        </is>
      </c>
      <c r="K310" t="inlineStr">
        <is>
          <t>Acute upper respiratory infection, unspecified</t>
        </is>
      </c>
      <c r="L310" t="inlineStr">
        <is>
          <t>Respiratory</t>
        </is>
      </c>
      <c r="M310" t="inlineStr">
        <is>
          <t>Home/Self-Care</t>
        </is>
      </c>
      <c r="N310" t="inlineStr">
        <is>
          <t>Self-Pay</t>
        </is>
      </c>
      <c r="O310" s="31" t="n">
        <v>1251.25</v>
      </c>
    </row>
    <row r="311">
      <c r="A311" t="inlineStr">
        <is>
          <t>ENC111966</t>
        </is>
      </c>
      <c r="B311" t="inlineStr">
        <is>
          <t>PT12616</t>
        </is>
      </c>
      <c r="C311" t="inlineStr">
        <is>
          <t>Emergency</t>
        </is>
      </c>
      <c r="D311" t="inlineStr">
        <is>
          <t>Bluestone Memorial Hospital</t>
        </is>
      </c>
      <c r="E311" t="inlineStr">
        <is>
          <t>Emergency Department</t>
        </is>
      </c>
      <c r="F311" t="inlineStr">
        <is>
          <t>Emergency</t>
        </is>
      </c>
      <c r="G311" s="29" t="n">
        <v>45692</v>
      </c>
      <c r="H311" s="29" t="n">
        <v>45692</v>
      </c>
      <c r="I311" s="30" t="n"/>
      <c r="J311" t="inlineStr">
        <is>
          <t>M54.50</t>
        </is>
      </c>
      <c r="K311" t="inlineStr">
        <is>
          <t>Low back pain, unspecified</t>
        </is>
      </c>
      <c r="L311" t="inlineStr">
        <is>
          <t>Musculoskeletal</t>
        </is>
      </c>
      <c r="M311" t="inlineStr">
        <is>
          <t>Home/Self-Care</t>
        </is>
      </c>
      <c r="N311" t="inlineStr">
        <is>
          <t>State Medicaid</t>
        </is>
      </c>
      <c r="O311" s="31" t="n">
        <v>1371.58</v>
      </c>
    </row>
    <row r="312">
      <c r="A312" t="inlineStr">
        <is>
          <t>ENC111969</t>
        </is>
      </c>
      <c r="B312" t="inlineStr">
        <is>
          <t>PT13352</t>
        </is>
      </c>
      <c r="C312" t="inlineStr">
        <is>
          <t>Outpatient</t>
        </is>
      </c>
      <c r="D312" t="inlineStr">
        <is>
          <t>Bluestone Outpatient Pavilion</t>
        </is>
      </c>
      <c r="E312" t="inlineStr">
        <is>
          <t>Primary Care Clinic</t>
        </is>
      </c>
      <c r="F312" t="inlineStr">
        <is>
          <t>Ambulatory</t>
        </is>
      </c>
      <c r="G312" s="29" t="n">
        <v>45692</v>
      </c>
      <c r="H312" s="29" t="n">
        <v>45692</v>
      </c>
      <c r="I312" s="30" t="n"/>
      <c r="J312" t="inlineStr">
        <is>
          <t>I10</t>
        </is>
      </c>
      <c r="K312" t="inlineStr">
        <is>
          <t>Essential (primary) hypertension</t>
        </is>
      </c>
      <c r="L312" t="inlineStr">
        <is>
          <t>Circulatory</t>
        </is>
      </c>
      <c r="M312" t="inlineStr">
        <is>
          <t>Home/Self-Care</t>
        </is>
      </c>
      <c r="N312" t="inlineStr">
        <is>
          <t>Medicare</t>
        </is>
      </c>
      <c r="O312" s="31" t="n">
        <v>154.34</v>
      </c>
    </row>
    <row r="313">
      <c r="A313" t="inlineStr">
        <is>
          <t>ENC111970</t>
        </is>
      </c>
      <c r="B313" t="inlineStr">
        <is>
          <t>PT12524</t>
        </is>
      </c>
      <c r="C313" t="inlineStr">
        <is>
          <t>Emergency</t>
        </is>
      </c>
      <c r="D313" t="inlineStr">
        <is>
          <t>Bluestone Memorial Hospital</t>
        </is>
      </c>
      <c r="E313" t="inlineStr">
        <is>
          <t>Emergency Department</t>
        </is>
      </c>
      <c r="F313" t="inlineStr">
        <is>
          <t>Emergency</t>
        </is>
      </c>
      <c r="G313" s="29" t="n">
        <v>45692</v>
      </c>
      <c r="H313" s="29" t="n">
        <v>45692</v>
      </c>
      <c r="I313" s="30" t="n"/>
      <c r="J313" t="inlineStr">
        <is>
          <t>E11.65</t>
        </is>
      </c>
      <c r="K313" t="inlineStr">
        <is>
          <t>Type 2 diabetes mellitus with hyperglycemia</t>
        </is>
      </c>
      <c r="L313" t="inlineStr">
        <is>
          <t>Endocrine</t>
        </is>
      </c>
      <c r="M313" t="inlineStr">
        <is>
          <t>Home/Self-Care</t>
        </is>
      </c>
      <c r="N313" t="inlineStr">
        <is>
          <t>Medicare</t>
        </is>
      </c>
      <c r="O313" s="31" t="n">
        <v>3989.77</v>
      </c>
    </row>
    <row r="314">
      <c r="A314" t="inlineStr">
        <is>
          <t>ENC111972</t>
        </is>
      </c>
      <c r="B314" t="inlineStr">
        <is>
          <t>PT11668</t>
        </is>
      </c>
      <c r="C314" t="inlineStr">
        <is>
          <t>Inpatient</t>
        </is>
      </c>
      <c r="D314" t="inlineStr">
        <is>
          <t>Bluestone Memorial Hospital</t>
        </is>
      </c>
      <c r="E314" t="inlineStr">
        <is>
          <t>Medical-Surgical 5 East</t>
        </is>
      </c>
      <c r="F314" t="inlineStr">
        <is>
          <t>Medicine</t>
        </is>
      </c>
      <c r="G314" s="29" t="n">
        <v>45692</v>
      </c>
      <c r="H314" s="29" t="n">
        <v>45693</v>
      </c>
      <c r="I314" s="30" t="n">
        <v>1</v>
      </c>
      <c r="J314" t="inlineStr">
        <is>
          <t>K35.80</t>
        </is>
      </c>
      <c r="K314" t="inlineStr">
        <is>
          <t>Unspecified acute appendicitis</t>
        </is>
      </c>
      <c r="L314" t="inlineStr">
        <is>
          <t>Digestive</t>
        </is>
      </c>
      <c r="M314" t="inlineStr">
        <is>
          <t>Home/Self-Care</t>
        </is>
      </c>
      <c r="N314" t="inlineStr">
        <is>
          <t>Keystone Health Partners</t>
        </is>
      </c>
      <c r="O314" s="31" t="n">
        <v>26939.61</v>
      </c>
      <c r="P314" t="inlineStr">
        <is>
          <t>N</t>
        </is>
      </c>
    </row>
    <row r="315">
      <c r="A315" t="inlineStr">
        <is>
          <t>ENC111978</t>
        </is>
      </c>
      <c r="B315" t="inlineStr">
        <is>
          <t>PT11332</t>
        </is>
      </c>
      <c r="C315" t="inlineStr">
        <is>
          <t>Emergency</t>
        </is>
      </c>
      <c r="D315" t="inlineStr">
        <is>
          <t>Bluestone Memorial Hospital</t>
        </is>
      </c>
      <c r="E315" t="inlineStr">
        <is>
          <t>Emergency Department</t>
        </is>
      </c>
      <c r="F315" t="inlineStr">
        <is>
          <t>Emergency</t>
        </is>
      </c>
      <c r="G315" s="29" t="n">
        <v>45692</v>
      </c>
      <c r="H315" s="29" t="n">
        <v>45692</v>
      </c>
      <c r="I315" s="30" t="n"/>
      <c r="J315" t="inlineStr">
        <is>
          <t>J45.909</t>
        </is>
      </c>
      <c r="K315" t="inlineStr">
        <is>
          <t>Unspecified asthma, uncomplicated</t>
        </is>
      </c>
      <c r="L315" t="inlineStr">
        <is>
          <t>Respiratory</t>
        </is>
      </c>
      <c r="M315" t="inlineStr">
        <is>
          <t>Home/Self-Care</t>
        </is>
      </c>
      <c r="N315" t="inlineStr">
        <is>
          <t>Keystone Health Partners</t>
        </is>
      </c>
      <c r="O315" s="31" t="n">
        <v>3368.15</v>
      </c>
    </row>
    <row r="316">
      <c r="A316" t="inlineStr">
        <is>
          <t>ENC111984</t>
        </is>
      </c>
      <c r="B316" t="inlineStr">
        <is>
          <t>PT13628</t>
        </is>
      </c>
      <c r="C316" t="inlineStr">
        <is>
          <t>Inpatient</t>
        </is>
      </c>
      <c r="D316" t="inlineStr">
        <is>
          <t>Cedar Ridge Medical Center</t>
        </is>
      </c>
      <c r="E316" t="inlineStr">
        <is>
          <t>Medical-Surgical</t>
        </is>
      </c>
      <c r="F316" t="inlineStr">
        <is>
          <t>Medicine</t>
        </is>
      </c>
      <c r="G316" s="29" t="n">
        <v>45692</v>
      </c>
      <c r="H316" s="29" t="n">
        <v>45697</v>
      </c>
      <c r="I316" s="30" t="n">
        <v>5</v>
      </c>
      <c r="J316" t="inlineStr">
        <is>
          <t>N39.0</t>
        </is>
      </c>
      <c r="K316" t="inlineStr">
        <is>
          <t>Urinary tract infection, site not specified</t>
        </is>
      </c>
      <c r="L316" t="inlineStr">
        <is>
          <t>Genitourinary</t>
        </is>
      </c>
      <c r="M316" t="inlineStr">
        <is>
          <t>Skilled Nursing Facility</t>
        </is>
      </c>
      <c r="N316" t="inlineStr">
        <is>
          <t>Self-Pay</t>
        </is>
      </c>
      <c r="O316" s="31" t="n">
        <v>26528.65</v>
      </c>
      <c r="P316" t="inlineStr">
        <is>
          <t>N</t>
        </is>
      </c>
    </row>
    <row r="317">
      <c r="A317" t="inlineStr">
        <is>
          <t>ENC111985</t>
        </is>
      </c>
      <c r="B317" t="inlineStr">
        <is>
          <t>PT10192</t>
        </is>
      </c>
      <c r="C317" t="inlineStr">
        <is>
          <t>Inpatient</t>
        </is>
      </c>
      <c r="D317" t="inlineStr">
        <is>
          <t>Bluestone Memorial Hospital</t>
        </is>
      </c>
      <c r="E317" t="inlineStr">
        <is>
          <t>Cardiac Step-Down</t>
        </is>
      </c>
      <c r="F317" t="inlineStr">
        <is>
          <t>Cardiovascular</t>
        </is>
      </c>
      <c r="G317" s="29" t="n">
        <v>45692</v>
      </c>
      <c r="H317" s="29" t="n">
        <v>45697</v>
      </c>
      <c r="I317" s="30" t="n">
        <v>5</v>
      </c>
      <c r="J317" t="inlineStr">
        <is>
          <t>I21.4</t>
        </is>
      </c>
      <c r="K317" t="inlineStr">
        <is>
          <t>Non-ST elevation (NSTEMI) myocardial infarction</t>
        </is>
      </c>
      <c r="L317" t="inlineStr">
        <is>
          <t>Circulatory</t>
        </is>
      </c>
      <c r="M317" t="inlineStr">
        <is>
          <t>Home/Self-Care</t>
        </is>
      </c>
      <c r="N317" t="inlineStr">
        <is>
          <t>Summit Choice PPO</t>
        </is>
      </c>
      <c r="O317" s="31" t="n">
        <v>94169.03</v>
      </c>
      <c r="P317" t="inlineStr">
        <is>
          <t>Y</t>
        </is>
      </c>
    </row>
    <row r="318">
      <c r="A318" t="inlineStr">
        <is>
          <t>ENC111987</t>
        </is>
      </c>
      <c r="B318" t="inlineStr">
        <is>
          <t>PT11008</t>
        </is>
      </c>
      <c r="C318" t="inlineStr">
        <is>
          <t>Inpatient</t>
        </is>
      </c>
      <c r="D318" t="inlineStr">
        <is>
          <t>Bluestone Memorial Hospital</t>
        </is>
      </c>
      <c r="E318" t="inlineStr">
        <is>
          <t>Medical-Surgical 4 West</t>
        </is>
      </c>
      <c r="F318" t="inlineStr">
        <is>
          <t>Medicine</t>
        </is>
      </c>
      <c r="G318" s="29" t="n">
        <v>45692</v>
      </c>
      <c r="H318" s="29" t="n">
        <v>45696</v>
      </c>
      <c r="I318" s="30" t="n">
        <v>4</v>
      </c>
      <c r="J318" t="inlineStr">
        <is>
          <t>J18.9</t>
        </is>
      </c>
      <c r="K318" t="inlineStr">
        <is>
          <t>Pneumonia, unspecified organism</t>
        </is>
      </c>
      <c r="L318" t="inlineStr">
        <is>
          <t>Respiratory</t>
        </is>
      </c>
      <c r="M318" t="inlineStr">
        <is>
          <t>Left AMA</t>
        </is>
      </c>
      <c r="N318" t="inlineStr">
        <is>
          <t>State Medicaid</t>
        </is>
      </c>
      <c r="O318" s="31" t="n">
        <v>15653.67</v>
      </c>
      <c r="P318" t="inlineStr">
        <is>
          <t>N</t>
        </is>
      </c>
    </row>
    <row r="319">
      <c r="A319" t="inlineStr">
        <is>
          <t>ENC111999</t>
        </is>
      </c>
      <c r="B319" t="inlineStr">
        <is>
          <t>PT11096</t>
        </is>
      </c>
      <c r="C319" t="inlineStr">
        <is>
          <t>Emergency</t>
        </is>
      </c>
      <c r="D319" t="inlineStr">
        <is>
          <t>Bluestone Memorial Hospital</t>
        </is>
      </c>
      <c r="E319" t="inlineStr">
        <is>
          <t>Emergency Department</t>
        </is>
      </c>
      <c r="F319" t="inlineStr">
        <is>
          <t>Emergency</t>
        </is>
      </c>
      <c r="G319" s="29" t="n">
        <v>45693</v>
      </c>
      <c r="H319" s="29" t="n">
        <v>45693</v>
      </c>
      <c r="I319" s="30" t="n"/>
      <c r="J319" t="inlineStr">
        <is>
          <t>J06.9</t>
        </is>
      </c>
      <c r="K319" t="inlineStr">
        <is>
          <t>Acute upper respiratory infection, unspecified</t>
        </is>
      </c>
      <c r="L319" t="inlineStr">
        <is>
          <t>Respiratory</t>
        </is>
      </c>
      <c r="M319" t="inlineStr">
        <is>
          <t>Home/Self-Care</t>
        </is>
      </c>
      <c r="N319" t="inlineStr">
        <is>
          <t>Medicare</t>
        </is>
      </c>
      <c r="O319" s="31" t="n">
        <v>1342.81</v>
      </c>
    </row>
    <row r="320">
      <c r="A320" t="inlineStr">
        <is>
          <t>ENC112001</t>
        </is>
      </c>
      <c r="B320" t="inlineStr">
        <is>
          <t>PT13960</t>
        </is>
      </c>
      <c r="C320" t="inlineStr">
        <is>
          <t>Outpatient</t>
        </is>
      </c>
      <c r="D320" t="inlineStr">
        <is>
          <t>Bluestone Outpatient Pavilion</t>
        </is>
      </c>
      <c r="E320" t="inlineStr">
        <is>
          <t>Primary Care Clinic</t>
        </is>
      </c>
      <c r="F320" t="inlineStr">
        <is>
          <t>Ambulatory</t>
        </is>
      </c>
      <c r="G320" s="29" t="n">
        <v>45693</v>
      </c>
      <c r="H320" s="29" t="n">
        <v>45693</v>
      </c>
      <c r="I320" s="30" t="n"/>
      <c r="J320" t="inlineStr">
        <is>
          <t>I10</t>
        </is>
      </c>
      <c r="K320" t="inlineStr">
        <is>
          <t>Essential (primary) hypertension</t>
        </is>
      </c>
      <c r="L320" t="inlineStr">
        <is>
          <t>Circulatory</t>
        </is>
      </c>
      <c r="M320" t="inlineStr">
        <is>
          <t>Home/Self-Care</t>
        </is>
      </c>
      <c r="N320" t="inlineStr">
        <is>
          <t>Medicare</t>
        </is>
      </c>
      <c r="O320" s="31" t="n">
        <v>156.94</v>
      </c>
    </row>
    <row r="321">
      <c r="A321" t="inlineStr">
        <is>
          <t>ENC112003</t>
        </is>
      </c>
      <c r="B321" t="inlineStr">
        <is>
          <t>PT10560</t>
        </is>
      </c>
      <c r="C321" t="inlineStr">
        <is>
          <t>Inpatient</t>
        </is>
      </c>
      <c r="D321" t="inlineStr">
        <is>
          <t>Bluestone Memorial Hospital</t>
        </is>
      </c>
      <c r="E321" t="inlineStr">
        <is>
          <t>Cardiac Step-Down</t>
        </is>
      </c>
      <c r="F321" t="inlineStr">
        <is>
          <t>Cardiovascular</t>
        </is>
      </c>
      <c r="G321" s="29" t="n">
        <v>45693</v>
      </c>
      <c r="H321" s="29" t="n">
        <v>45699</v>
      </c>
      <c r="I321" s="30" t="n">
        <v>6</v>
      </c>
      <c r="J321" t="inlineStr">
        <is>
          <t>I21.4</t>
        </is>
      </c>
      <c r="K321" t="inlineStr">
        <is>
          <t>Non-ST elevation (NSTEMI) myocardial infarction</t>
        </is>
      </c>
      <c r="L321" t="inlineStr">
        <is>
          <t>Circulatory</t>
        </is>
      </c>
      <c r="M321" t="inlineStr">
        <is>
          <t>Home/Self-Care</t>
        </is>
      </c>
      <c r="N321" t="inlineStr">
        <is>
          <t>Evergreen Mutual Insurance</t>
        </is>
      </c>
      <c r="O321" s="31" t="n">
        <v>81635.77</v>
      </c>
      <c r="P321" t="inlineStr">
        <is>
          <t>N</t>
        </is>
      </c>
    </row>
    <row r="322">
      <c r="A322" t="inlineStr">
        <is>
          <t>ENC112005</t>
        </is>
      </c>
      <c r="B322" t="inlineStr">
        <is>
          <t>PT12584</t>
        </is>
      </c>
      <c r="C322" t="inlineStr">
        <is>
          <t>Emergency</t>
        </is>
      </c>
      <c r="D322" t="inlineStr">
        <is>
          <t>Bluestone Memorial Hospital</t>
        </is>
      </c>
      <c r="E322" t="inlineStr">
        <is>
          <t>Emergency Department</t>
        </is>
      </c>
      <c r="F322" t="inlineStr">
        <is>
          <t>Emergency</t>
        </is>
      </c>
      <c r="G322" s="29" t="n">
        <v>45693</v>
      </c>
      <c r="H322" s="29" t="n">
        <v>45693</v>
      </c>
      <c r="I322" s="30" t="n"/>
      <c r="J322" t="inlineStr">
        <is>
          <t>M54.50</t>
        </is>
      </c>
      <c r="K322" t="inlineStr">
        <is>
          <t>Low back pain, unspecified</t>
        </is>
      </c>
      <c r="L322" t="inlineStr">
        <is>
          <t>Musculoskeletal</t>
        </is>
      </c>
      <c r="M322" t="inlineStr">
        <is>
          <t>Home/Self-Care</t>
        </is>
      </c>
      <c r="N322" t="inlineStr">
        <is>
          <t>Silverline Medicare Advantage</t>
        </is>
      </c>
      <c r="O322" s="31" t="n">
        <v>1729.17</v>
      </c>
    </row>
    <row r="323">
      <c r="A323" t="inlineStr">
        <is>
          <t>ENC112006</t>
        </is>
      </c>
      <c r="B323" t="inlineStr">
        <is>
          <t>PT11472</t>
        </is>
      </c>
      <c r="C323" t="inlineStr">
        <is>
          <t>Inpatient</t>
        </is>
      </c>
      <c r="D323" t="inlineStr">
        <is>
          <t>Bluestone Memorial Hospital</t>
        </is>
      </c>
      <c r="E323" t="inlineStr">
        <is>
          <t>Medical-Surgical 4 West</t>
        </is>
      </c>
      <c r="F323" t="inlineStr">
        <is>
          <t>Medicine</t>
        </is>
      </c>
      <c r="G323" s="29" t="n">
        <v>45693</v>
      </c>
      <c r="H323" s="29" t="n">
        <v>45698</v>
      </c>
      <c r="I323" s="30" t="n">
        <v>5</v>
      </c>
      <c r="J323" t="inlineStr">
        <is>
          <t>U07.1</t>
        </is>
      </c>
      <c r="K323" t="inlineStr">
        <is>
          <t>COVID-19</t>
        </is>
      </c>
      <c r="L323" t="inlineStr">
        <is>
          <t>Respiratory</t>
        </is>
      </c>
      <c r="M323" t="inlineStr">
        <is>
          <t>Home/Self-Care</t>
        </is>
      </c>
      <c r="N323" t="inlineStr">
        <is>
          <t>Medicare</t>
        </is>
      </c>
      <c r="O323" s="31" t="n">
        <v>34463.21</v>
      </c>
      <c r="P323" t="inlineStr">
        <is>
          <t>N</t>
        </is>
      </c>
    </row>
    <row r="324">
      <c r="A324" t="inlineStr">
        <is>
          <t>ENC112011</t>
        </is>
      </c>
      <c r="B324" t="inlineStr">
        <is>
          <t>PT11872</t>
        </is>
      </c>
      <c r="C324" t="inlineStr">
        <is>
          <t>Outpatient</t>
        </is>
      </c>
      <c r="D324" t="inlineStr">
        <is>
          <t>Bluestone Outpatient Pavilion</t>
        </is>
      </c>
      <c r="E324" t="inlineStr">
        <is>
          <t>Pediatric Clinic</t>
        </is>
      </c>
      <c r="F324" t="inlineStr">
        <is>
          <t>Women &amp; Children</t>
        </is>
      </c>
      <c r="G324" s="29" t="n">
        <v>45693</v>
      </c>
      <c r="H324" s="29" t="n">
        <v>45693</v>
      </c>
      <c r="I324" s="30" t="n"/>
      <c r="J324" t="inlineStr">
        <is>
          <t>H66.90</t>
        </is>
      </c>
      <c r="K324" t="inlineStr">
        <is>
          <t>Otitis media, unspecified, unspecified ear</t>
        </is>
      </c>
      <c r="L324" t="inlineStr">
        <is>
          <t>Ear</t>
        </is>
      </c>
      <c r="M324" t="inlineStr">
        <is>
          <t>Home/Self-Care</t>
        </is>
      </c>
      <c r="N324" t="inlineStr">
        <is>
          <t>State Medicaid</t>
        </is>
      </c>
      <c r="O324" s="31" t="n">
        <v>463.85</v>
      </c>
    </row>
    <row r="325">
      <c r="A325" t="inlineStr">
        <is>
          <t>ENC112013</t>
        </is>
      </c>
      <c r="B325" t="inlineStr">
        <is>
          <t>PT11856</t>
        </is>
      </c>
      <c r="C325" t="inlineStr">
        <is>
          <t>Outpatient</t>
        </is>
      </c>
      <c r="D325" t="inlineStr">
        <is>
          <t>Bluestone Outpatient Pavilion</t>
        </is>
      </c>
      <c r="E325" t="inlineStr">
        <is>
          <t>Infusion &amp; Oncology Clinic</t>
        </is>
      </c>
      <c r="F325" t="inlineStr">
        <is>
          <t>Oncology</t>
        </is>
      </c>
      <c r="G325" s="29" t="n">
        <v>45693</v>
      </c>
      <c r="H325" s="29" t="n">
        <v>45693</v>
      </c>
      <c r="I325" s="30" t="n"/>
      <c r="J325" t="inlineStr">
        <is>
          <t>Z51.11</t>
        </is>
      </c>
      <c r="K325" t="inlineStr">
        <is>
          <t>Encounter for antineoplastic chemotherapy</t>
        </is>
      </c>
      <c r="L325" t="inlineStr">
        <is>
          <t>Factors Influencing Health</t>
        </is>
      </c>
      <c r="M325" t="inlineStr">
        <is>
          <t>Home/Self-Care</t>
        </is>
      </c>
      <c r="N325" t="inlineStr">
        <is>
          <t>Evergreen Mutual Insurance</t>
        </is>
      </c>
      <c r="O325" s="31" t="n">
        <v>9302.59</v>
      </c>
    </row>
    <row r="326">
      <c r="A326" t="inlineStr">
        <is>
          <t>ENC112015</t>
        </is>
      </c>
      <c r="B326" t="inlineStr">
        <is>
          <t>PT10356</t>
        </is>
      </c>
      <c r="C326" t="inlineStr">
        <is>
          <t>Outpatient</t>
        </is>
      </c>
      <c r="D326" t="inlineStr">
        <is>
          <t>Bluestone Outpatient Pavilion</t>
        </is>
      </c>
      <c r="E326" t="inlineStr">
        <is>
          <t>Primary Care Clinic</t>
        </is>
      </c>
      <c r="F326" t="inlineStr">
        <is>
          <t>Ambulatory</t>
        </is>
      </c>
      <c r="G326" s="29" t="n">
        <v>45693</v>
      </c>
      <c r="H326" s="29" t="n">
        <v>45693</v>
      </c>
      <c r="I326" s="30" t="n"/>
      <c r="J326" t="inlineStr">
        <is>
          <t>J06.9</t>
        </is>
      </c>
      <c r="K326" t="inlineStr">
        <is>
          <t>Acute upper respiratory infection, unspecified</t>
        </is>
      </c>
      <c r="L326" t="inlineStr">
        <is>
          <t>Respiratory</t>
        </is>
      </c>
      <c r="M326" t="inlineStr">
        <is>
          <t>Home/Self-Care</t>
        </is>
      </c>
      <c r="N326" t="inlineStr">
        <is>
          <t>Medicare</t>
        </is>
      </c>
      <c r="O326" s="31" t="n">
        <v>365.19</v>
      </c>
    </row>
    <row r="327">
      <c r="A327" t="inlineStr">
        <is>
          <t>ENC112016</t>
        </is>
      </c>
      <c r="B327" t="inlineStr">
        <is>
          <t>PT11992</t>
        </is>
      </c>
      <c r="C327" t="inlineStr">
        <is>
          <t>Outpatient</t>
        </is>
      </c>
      <c r="D327" t="inlineStr">
        <is>
          <t>Bluestone Outpatient Pavilion</t>
        </is>
      </c>
      <c r="E327" t="inlineStr">
        <is>
          <t>Primary Care Clinic</t>
        </is>
      </c>
      <c r="F327" t="inlineStr">
        <is>
          <t>Ambulatory</t>
        </is>
      </c>
      <c r="G327" s="29" t="n">
        <v>45693</v>
      </c>
      <c r="H327" s="29" t="n">
        <v>45693</v>
      </c>
      <c r="I327" s="30" t="n"/>
      <c r="J327" t="inlineStr">
        <is>
          <t>Z23</t>
        </is>
      </c>
      <c r="K327" t="inlineStr">
        <is>
          <t>Encounter for immunization</t>
        </is>
      </c>
      <c r="L327" t="inlineStr">
        <is>
          <t>Factors Influencing Health</t>
        </is>
      </c>
      <c r="M327" t="inlineStr">
        <is>
          <t>Home/Self-Care</t>
        </is>
      </c>
      <c r="N327" t="inlineStr">
        <is>
          <t>Self-Pay</t>
        </is>
      </c>
      <c r="O327" s="31" t="n">
        <v>98.56999999999999</v>
      </c>
    </row>
    <row r="328">
      <c r="A328" t="inlineStr">
        <is>
          <t>ENC112019</t>
        </is>
      </c>
      <c r="B328" t="inlineStr">
        <is>
          <t>PT13800</t>
        </is>
      </c>
      <c r="C328" t="inlineStr">
        <is>
          <t>Outpatient</t>
        </is>
      </c>
      <c r="D328" t="inlineStr">
        <is>
          <t>Bluestone Outpatient Pavilion</t>
        </is>
      </c>
      <c r="E328" t="inlineStr">
        <is>
          <t>Infusion &amp; Oncology Clinic</t>
        </is>
      </c>
      <c r="F328" t="inlineStr">
        <is>
          <t>Oncology</t>
        </is>
      </c>
      <c r="G328" s="29" t="n">
        <v>45693</v>
      </c>
      <c r="H328" s="29" t="n">
        <v>45693</v>
      </c>
      <c r="I328" s="30" t="n"/>
      <c r="J328" t="inlineStr">
        <is>
          <t>C50.911</t>
        </is>
      </c>
      <c r="K328" t="inlineStr">
        <is>
          <t>Malignant neoplasm of unspecified site of right female breast</t>
        </is>
      </c>
      <c r="L328" t="inlineStr">
        <is>
          <t>Neoplasms</t>
        </is>
      </c>
      <c r="M328" t="inlineStr">
        <is>
          <t>Home/Self-Care</t>
        </is>
      </c>
      <c r="N328" t="inlineStr">
        <is>
          <t>Silverline Medicare Advantage</t>
        </is>
      </c>
      <c r="O328" s="31" t="n">
        <v>336.58</v>
      </c>
    </row>
    <row r="329">
      <c r="A329" t="inlineStr">
        <is>
          <t>ENC112020</t>
        </is>
      </c>
      <c r="B329" t="inlineStr">
        <is>
          <t>PT13932</t>
        </is>
      </c>
      <c r="C329" t="inlineStr">
        <is>
          <t>Outpatient</t>
        </is>
      </c>
      <c r="D329" t="inlineStr">
        <is>
          <t>Bluestone Outpatient Pavilion</t>
        </is>
      </c>
      <c r="E329" t="inlineStr">
        <is>
          <t>Pediatric Clinic</t>
        </is>
      </c>
      <c r="F329" t="inlineStr">
        <is>
          <t>Women &amp; Children</t>
        </is>
      </c>
      <c r="G329" s="29" t="n">
        <v>45693</v>
      </c>
      <c r="H329" s="29" t="n">
        <v>45693</v>
      </c>
      <c r="I329" s="30" t="n"/>
      <c r="J329" t="inlineStr">
        <is>
          <t>Z00.129</t>
        </is>
      </c>
      <c r="K329" t="inlineStr">
        <is>
          <t>Encounter for routine child health examination without abnormal findings</t>
        </is>
      </c>
      <c r="L329" t="inlineStr">
        <is>
          <t>Factors Influencing Health</t>
        </is>
      </c>
      <c r="M329" t="inlineStr">
        <is>
          <t>Home/Self-Care</t>
        </is>
      </c>
      <c r="N329" t="inlineStr">
        <is>
          <t>State Medicaid</t>
        </is>
      </c>
      <c r="O329" s="31" t="n">
        <v>341.14</v>
      </c>
    </row>
    <row r="330">
      <c r="A330" t="inlineStr">
        <is>
          <t>ENC112023</t>
        </is>
      </c>
      <c r="B330" t="inlineStr">
        <is>
          <t>PT11712</t>
        </is>
      </c>
      <c r="C330" t="inlineStr">
        <is>
          <t>Outpatient</t>
        </is>
      </c>
      <c r="D330" t="inlineStr">
        <is>
          <t>Bluestone Outpatient Pavilion</t>
        </is>
      </c>
      <c r="E330" t="inlineStr">
        <is>
          <t>Primary Care Clinic</t>
        </is>
      </c>
      <c r="F330" t="inlineStr">
        <is>
          <t>Ambulatory</t>
        </is>
      </c>
      <c r="G330" s="29" t="n">
        <v>45693</v>
      </c>
      <c r="H330" s="29" t="n">
        <v>45693</v>
      </c>
      <c r="I330" s="30" t="n"/>
      <c r="J330" t="inlineStr">
        <is>
          <t>J06.9</t>
        </is>
      </c>
      <c r="K330" t="inlineStr">
        <is>
          <t>Acute upper respiratory infection, unspecified</t>
        </is>
      </c>
      <c r="L330" t="inlineStr">
        <is>
          <t>Respiratory</t>
        </is>
      </c>
      <c r="M330" t="inlineStr">
        <is>
          <t>Home/Self-Care</t>
        </is>
      </c>
      <c r="N330" t="inlineStr">
        <is>
          <t>Medicare</t>
        </is>
      </c>
      <c r="O330" s="31" t="n">
        <v>308.34</v>
      </c>
    </row>
    <row r="331">
      <c r="A331" t="inlineStr">
        <is>
          <t>ENC112029</t>
        </is>
      </c>
      <c r="B331" t="inlineStr">
        <is>
          <t>PT11056</t>
        </is>
      </c>
      <c r="C331" t="inlineStr">
        <is>
          <t>Inpatient</t>
        </is>
      </c>
      <c r="D331" t="inlineStr">
        <is>
          <t>Ashby Falls Community Hospital</t>
        </is>
      </c>
      <c r="E331" t="inlineStr">
        <is>
          <t>Medical-Surgical</t>
        </is>
      </c>
      <c r="F331" t="inlineStr">
        <is>
          <t>Medicine</t>
        </is>
      </c>
      <c r="G331" s="29" t="n">
        <v>45693</v>
      </c>
      <c r="H331" s="29" t="n">
        <v>45696</v>
      </c>
      <c r="I331" s="30" t="n">
        <v>3</v>
      </c>
      <c r="J331" t="inlineStr">
        <is>
          <t>E86.0</t>
        </is>
      </c>
      <c r="K331" t="inlineStr">
        <is>
          <t>Dehydration</t>
        </is>
      </c>
      <c r="L331" t="inlineStr">
        <is>
          <t>Endocrine</t>
        </is>
      </c>
      <c r="M331" t="inlineStr">
        <is>
          <t>Home Health</t>
        </is>
      </c>
      <c r="N331" t="inlineStr">
        <is>
          <t>Keystone Health Partners</t>
        </is>
      </c>
      <c r="O331" s="31" t="n">
        <v>13520.49</v>
      </c>
      <c r="P331" t="inlineStr">
        <is>
          <t>N</t>
        </is>
      </c>
    </row>
    <row r="332">
      <c r="A332" t="inlineStr">
        <is>
          <t>ENC112031</t>
        </is>
      </c>
      <c r="B332" t="inlineStr">
        <is>
          <t>PT12972</t>
        </is>
      </c>
      <c r="C332" t="inlineStr">
        <is>
          <t>Inpatient</t>
        </is>
      </c>
      <c r="D332" t="inlineStr">
        <is>
          <t>Bluestone Memorial Hospital</t>
        </is>
      </c>
      <c r="E332" t="inlineStr">
        <is>
          <t>Medical-Surgical 4 West</t>
        </is>
      </c>
      <c r="F332" t="inlineStr">
        <is>
          <t>Medicine</t>
        </is>
      </c>
      <c r="G332" s="29" t="n">
        <v>45694</v>
      </c>
      <c r="H332" s="29" t="n">
        <v>45697</v>
      </c>
      <c r="I332" s="30" t="n">
        <v>3</v>
      </c>
      <c r="J332" t="inlineStr">
        <is>
          <t>A41.9</t>
        </is>
      </c>
      <c r="K332" t="inlineStr">
        <is>
          <t>Sepsis, unspecified organism</t>
        </is>
      </c>
      <c r="L332" t="inlineStr">
        <is>
          <t>Infectious</t>
        </is>
      </c>
      <c r="M332" t="inlineStr">
        <is>
          <t>Home/Self-Care</t>
        </is>
      </c>
      <c r="N332" t="inlineStr">
        <is>
          <t>Medicare</t>
        </is>
      </c>
      <c r="O332" s="31" t="n">
        <v>54383.38</v>
      </c>
      <c r="P332" t="inlineStr">
        <is>
          <t>N</t>
        </is>
      </c>
    </row>
    <row r="333">
      <c r="A333" t="inlineStr">
        <is>
          <t>ENC112033</t>
        </is>
      </c>
      <c r="B333" t="inlineStr">
        <is>
          <t>PT10592</t>
        </is>
      </c>
      <c r="C333" t="inlineStr">
        <is>
          <t>Inpatient</t>
        </is>
      </c>
      <c r="D333" t="inlineStr">
        <is>
          <t>Ashby Falls Community Hospital</t>
        </is>
      </c>
      <c r="E333" t="inlineStr">
        <is>
          <t>Medical-Surgical</t>
        </is>
      </c>
      <c r="F333" t="inlineStr">
        <is>
          <t>Medicine</t>
        </is>
      </c>
      <c r="G333" s="29" t="n">
        <v>45694</v>
      </c>
      <c r="H333" s="29" t="n">
        <v>45699</v>
      </c>
      <c r="I333" s="30" t="n">
        <v>5</v>
      </c>
      <c r="J333" t="inlineStr">
        <is>
          <t>J44.1</t>
        </is>
      </c>
      <c r="K333" t="inlineStr">
        <is>
          <t>Chronic obstructive pulmonary disease with (acute) exacerbation</t>
        </is>
      </c>
      <c r="L333" t="inlineStr">
        <is>
          <t>Respiratory</t>
        </is>
      </c>
      <c r="M333" t="inlineStr">
        <is>
          <t>Home/Self-Care</t>
        </is>
      </c>
      <c r="N333" t="inlineStr">
        <is>
          <t>Silverline Medicare Advantage</t>
        </is>
      </c>
      <c r="O333" s="31" t="n">
        <v>30941.69</v>
      </c>
      <c r="P333" t="inlineStr">
        <is>
          <t>N</t>
        </is>
      </c>
    </row>
    <row r="334">
      <c r="A334" t="inlineStr">
        <is>
          <t>ENC112039</t>
        </is>
      </c>
      <c r="B334" t="inlineStr">
        <is>
          <t>PT12292</t>
        </is>
      </c>
      <c r="C334" t="inlineStr">
        <is>
          <t>Inpatient</t>
        </is>
      </c>
      <c r="D334" t="inlineStr">
        <is>
          <t>Bluestone Memorial Hospital</t>
        </is>
      </c>
      <c r="E334" t="inlineStr">
        <is>
          <t>Cardiac Step-Down</t>
        </is>
      </c>
      <c r="F334" t="inlineStr">
        <is>
          <t>Cardiovascular</t>
        </is>
      </c>
      <c r="G334" s="29" t="n">
        <v>45694</v>
      </c>
      <c r="H334" s="29" t="n">
        <v>45700</v>
      </c>
      <c r="I334" s="30" t="n">
        <v>6</v>
      </c>
      <c r="J334" t="inlineStr">
        <is>
          <t>I48.91</t>
        </is>
      </c>
      <c r="K334" t="inlineStr">
        <is>
          <t>Unspecified atrial fibrillation</t>
        </is>
      </c>
      <c r="L334" t="inlineStr">
        <is>
          <t>Circulatory</t>
        </is>
      </c>
      <c r="M334" t="inlineStr">
        <is>
          <t>Home/Self-Care</t>
        </is>
      </c>
      <c r="N334" t="inlineStr">
        <is>
          <t>Silverline Medicare Advantage</t>
        </is>
      </c>
      <c r="O334" s="31" t="n">
        <v>44281.28</v>
      </c>
      <c r="P334" t="inlineStr">
        <is>
          <t>N</t>
        </is>
      </c>
    </row>
    <row r="335">
      <c r="A335" t="inlineStr">
        <is>
          <t>ENC112043</t>
        </is>
      </c>
      <c r="B335" t="inlineStr">
        <is>
          <t>PT10644</t>
        </is>
      </c>
      <c r="C335" t="inlineStr">
        <is>
          <t>Inpatient</t>
        </is>
      </c>
      <c r="D335" t="inlineStr">
        <is>
          <t>Cedar Ridge Medical Center</t>
        </is>
      </c>
      <c r="E335" t="inlineStr">
        <is>
          <t>Cardiac Step-Down</t>
        </is>
      </c>
      <c r="F335" t="inlineStr">
        <is>
          <t>Cardiovascular</t>
        </is>
      </c>
      <c r="G335" s="29" t="n">
        <v>45694</v>
      </c>
      <c r="H335" s="29" t="n">
        <v>45700</v>
      </c>
      <c r="I335" s="30" t="n">
        <v>6</v>
      </c>
      <c r="J335" t="inlineStr">
        <is>
          <t>I50.9</t>
        </is>
      </c>
      <c r="K335" t="inlineStr">
        <is>
          <t>Heart failure, unspecified</t>
        </is>
      </c>
      <c r="L335" t="inlineStr">
        <is>
          <t>Circulatory</t>
        </is>
      </c>
      <c r="M335" t="inlineStr">
        <is>
          <t>Home/Self-Care</t>
        </is>
      </c>
      <c r="N335" t="inlineStr">
        <is>
          <t>Medicare</t>
        </is>
      </c>
      <c r="O335" s="31" t="n">
        <v>29320.53</v>
      </c>
      <c r="P335" t="inlineStr">
        <is>
          <t>N</t>
        </is>
      </c>
    </row>
    <row r="336">
      <c r="A336" t="inlineStr">
        <is>
          <t>ENC112052</t>
        </is>
      </c>
      <c r="B336" t="inlineStr">
        <is>
          <t>PT11776</t>
        </is>
      </c>
      <c r="C336" t="inlineStr">
        <is>
          <t>Emergency</t>
        </is>
      </c>
      <c r="D336" t="inlineStr">
        <is>
          <t>Bluestone Memorial Hospital</t>
        </is>
      </c>
      <c r="E336" t="inlineStr">
        <is>
          <t>Emergency Department</t>
        </is>
      </c>
      <c r="F336" t="inlineStr">
        <is>
          <t>Emergency</t>
        </is>
      </c>
      <c r="G336" s="29" t="n">
        <v>45694</v>
      </c>
      <c r="H336" s="29" t="n">
        <v>45694</v>
      </c>
      <c r="I336" s="30" t="n"/>
      <c r="J336" t="inlineStr">
        <is>
          <t>L03.115</t>
        </is>
      </c>
      <c r="K336" t="inlineStr">
        <is>
          <t>Cellulitis of right lower limb</t>
        </is>
      </c>
      <c r="L336" t="inlineStr">
        <is>
          <t>Skin</t>
        </is>
      </c>
      <c r="M336" t="inlineStr">
        <is>
          <t>Home/Self-Care</t>
        </is>
      </c>
      <c r="N336" t="inlineStr">
        <is>
          <t>Medicare</t>
        </is>
      </c>
      <c r="O336" s="31" t="n">
        <v>1412.08</v>
      </c>
    </row>
    <row r="337">
      <c r="A337" t="inlineStr">
        <is>
          <t>ENC112055</t>
        </is>
      </c>
      <c r="B337" t="inlineStr">
        <is>
          <t>PT11144</t>
        </is>
      </c>
      <c r="C337" t="inlineStr">
        <is>
          <t>Outpatient</t>
        </is>
      </c>
      <c r="D337" t="inlineStr">
        <is>
          <t>Bluestone Outpatient Pavilion</t>
        </is>
      </c>
      <c r="E337" t="inlineStr">
        <is>
          <t>Pediatric Clinic</t>
        </is>
      </c>
      <c r="F337" t="inlineStr">
        <is>
          <t>Women &amp; Children</t>
        </is>
      </c>
      <c r="G337" s="29" t="n">
        <v>45694</v>
      </c>
      <c r="H337" s="29" t="n">
        <v>45694</v>
      </c>
      <c r="I337" s="30" t="n"/>
      <c r="J337" t="inlineStr">
        <is>
          <t>Z00.129</t>
        </is>
      </c>
      <c r="K337" t="inlineStr">
        <is>
          <t>Encounter for routine child health examination without abnormal findings</t>
        </is>
      </c>
      <c r="L337" t="inlineStr">
        <is>
          <t>Factors Influencing Health</t>
        </is>
      </c>
      <c r="M337" t="inlineStr">
        <is>
          <t>Home/Self-Care</t>
        </is>
      </c>
      <c r="N337" t="inlineStr">
        <is>
          <t>Evergreen Mutual Insurance</t>
        </is>
      </c>
      <c r="O337" s="31" t="n">
        <v>356.77</v>
      </c>
    </row>
    <row r="338">
      <c r="A338" t="inlineStr">
        <is>
          <t>ENC112057</t>
        </is>
      </c>
      <c r="B338" t="inlineStr">
        <is>
          <t>PT10480</t>
        </is>
      </c>
      <c r="C338" t="inlineStr">
        <is>
          <t>Emergency</t>
        </is>
      </c>
      <c r="D338" t="inlineStr">
        <is>
          <t>Bluestone Memorial Hospital</t>
        </is>
      </c>
      <c r="E338" t="inlineStr">
        <is>
          <t>Emergency Department</t>
        </is>
      </c>
      <c r="F338" t="inlineStr">
        <is>
          <t>Emergency</t>
        </is>
      </c>
      <c r="G338" s="29" t="n">
        <v>45694</v>
      </c>
      <c r="H338" s="29" t="n">
        <v>45694</v>
      </c>
      <c r="I338" s="30" t="n"/>
      <c r="J338" t="inlineStr">
        <is>
          <t>U07.1</t>
        </is>
      </c>
      <c r="K338" t="inlineStr">
        <is>
          <t>COVID-19</t>
        </is>
      </c>
      <c r="L338" t="inlineStr">
        <is>
          <t>Respiratory</t>
        </is>
      </c>
      <c r="M338" t="inlineStr">
        <is>
          <t>Home/Self-Care</t>
        </is>
      </c>
      <c r="N338" t="inlineStr">
        <is>
          <t>State Medicaid</t>
        </is>
      </c>
      <c r="O338" s="31" t="n">
        <v>4476.8</v>
      </c>
    </row>
    <row r="339">
      <c r="A339" t="inlineStr">
        <is>
          <t>ENC112058</t>
        </is>
      </c>
      <c r="B339" t="inlineStr">
        <is>
          <t>PT13136</t>
        </is>
      </c>
      <c r="C339" t="inlineStr">
        <is>
          <t>Emergency</t>
        </is>
      </c>
      <c r="D339" t="inlineStr">
        <is>
          <t>Cedar Ridge Medical Center</t>
        </is>
      </c>
      <c r="E339" t="inlineStr">
        <is>
          <t>Emergency Department</t>
        </is>
      </c>
      <c r="F339" t="inlineStr">
        <is>
          <t>Emergency</t>
        </is>
      </c>
      <c r="G339" s="29" t="n">
        <v>45694</v>
      </c>
      <c r="H339" s="29" t="n">
        <v>45694</v>
      </c>
      <c r="I339" s="30" t="n"/>
      <c r="J339" t="inlineStr">
        <is>
          <t>F41.9</t>
        </is>
      </c>
      <c r="K339" t="inlineStr">
        <is>
          <t>Anxiety disorder, unspecified</t>
        </is>
      </c>
      <c r="L339" t="inlineStr">
        <is>
          <t>Mental &amp; Behavioral</t>
        </is>
      </c>
      <c r="M339" t="inlineStr">
        <is>
          <t>Home/Self-Care</t>
        </is>
      </c>
      <c r="N339" t="inlineStr">
        <is>
          <t>Medicare</t>
        </is>
      </c>
      <c r="O339" s="31" t="n">
        <v>929.05</v>
      </c>
    </row>
    <row r="340">
      <c r="A340" t="inlineStr">
        <is>
          <t>ENC112061</t>
        </is>
      </c>
      <c r="B340" t="inlineStr">
        <is>
          <t>PT10552</t>
        </is>
      </c>
      <c r="C340" t="inlineStr">
        <is>
          <t>Emergency</t>
        </is>
      </c>
      <c r="D340" t="inlineStr">
        <is>
          <t>Bluestone Memorial Hospital</t>
        </is>
      </c>
      <c r="E340" t="inlineStr">
        <is>
          <t>Emergency Department</t>
        </is>
      </c>
      <c r="F340" t="inlineStr">
        <is>
          <t>Emergency</t>
        </is>
      </c>
      <c r="G340" s="29" t="n">
        <v>45694</v>
      </c>
      <c r="H340" s="29" t="n">
        <v>45694</v>
      </c>
      <c r="I340" s="30" t="n"/>
      <c r="J340" t="inlineStr">
        <is>
          <t>A08.4</t>
        </is>
      </c>
      <c r="K340" t="inlineStr">
        <is>
          <t>Viral intestinal infection, unspecified</t>
        </is>
      </c>
      <c r="L340" t="inlineStr">
        <is>
          <t>Infectious</t>
        </is>
      </c>
      <c r="M340" t="inlineStr">
        <is>
          <t>Home/Self-Care</t>
        </is>
      </c>
      <c r="N340" t="inlineStr">
        <is>
          <t>Medicare</t>
        </is>
      </c>
      <c r="O340" s="31" t="n">
        <v>2761.05</v>
      </c>
    </row>
    <row r="341">
      <c r="A341" t="inlineStr">
        <is>
          <t>ENC112063</t>
        </is>
      </c>
      <c r="B341" t="inlineStr">
        <is>
          <t>PT12144</t>
        </is>
      </c>
      <c r="C341" t="inlineStr">
        <is>
          <t>Inpatient</t>
        </is>
      </c>
      <c r="D341" t="inlineStr">
        <is>
          <t>Bluestone Memorial Hospital</t>
        </is>
      </c>
      <c r="E341" t="inlineStr">
        <is>
          <t>Medical-Surgical 5 East</t>
        </is>
      </c>
      <c r="F341" t="inlineStr">
        <is>
          <t>Medicine</t>
        </is>
      </c>
      <c r="G341" s="29" t="n">
        <v>45694</v>
      </c>
      <c r="H341" s="29" t="n">
        <v>45699</v>
      </c>
      <c r="I341" s="30" t="n">
        <v>5</v>
      </c>
      <c r="J341" t="inlineStr">
        <is>
          <t>E87.1</t>
        </is>
      </c>
      <c r="K341" t="inlineStr">
        <is>
          <t>Hypo-osmolality and hyponatremia</t>
        </is>
      </c>
      <c r="L341" t="inlineStr">
        <is>
          <t>Endocrine</t>
        </is>
      </c>
      <c r="M341" t="inlineStr">
        <is>
          <t>Skilled Nursing Facility</t>
        </is>
      </c>
      <c r="N341" t="inlineStr">
        <is>
          <t>Medicare</t>
        </is>
      </c>
      <c r="O341" s="31" t="n">
        <v>25561.45</v>
      </c>
      <c r="P341" t="inlineStr">
        <is>
          <t>N</t>
        </is>
      </c>
    </row>
    <row r="342">
      <c r="A342" t="inlineStr">
        <is>
          <t>ENC112065</t>
        </is>
      </c>
      <c r="B342" t="inlineStr">
        <is>
          <t>PT13780</t>
        </is>
      </c>
      <c r="C342" t="inlineStr">
        <is>
          <t>Outpatient</t>
        </is>
      </c>
      <c r="D342" t="inlineStr">
        <is>
          <t>Bluestone Outpatient Pavilion</t>
        </is>
      </c>
      <c r="E342" t="inlineStr">
        <is>
          <t>Primary Care Clinic</t>
        </is>
      </c>
      <c r="F342" t="inlineStr">
        <is>
          <t>Ambulatory</t>
        </is>
      </c>
      <c r="G342" s="29" t="n">
        <v>45694</v>
      </c>
      <c r="H342" s="29" t="n">
        <v>45694</v>
      </c>
      <c r="I342" s="30" t="n"/>
      <c r="J342" t="inlineStr">
        <is>
          <t>E78.5</t>
        </is>
      </c>
      <c r="K342" t="inlineStr">
        <is>
          <t>Hyperlipidemia, unspecified</t>
        </is>
      </c>
      <c r="L342" t="inlineStr">
        <is>
          <t>Endocrine</t>
        </is>
      </c>
      <c r="M342" t="inlineStr">
        <is>
          <t>Home/Self-Care</t>
        </is>
      </c>
      <c r="N342" t="inlineStr">
        <is>
          <t>Summit Choice PPO</t>
        </is>
      </c>
      <c r="O342" s="31" t="n">
        <v>342.72</v>
      </c>
    </row>
    <row r="343">
      <c r="A343" t="inlineStr">
        <is>
          <t>ENC112066</t>
        </is>
      </c>
      <c r="B343" t="inlineStr">
        <is>
          <t>PT12176</t>
        </is>
      </c>
      <c r="C343" t="inlineStr">
        <is>
          <t>Emergency</t>
        </is>
      </c>
      <c r="D343" t="inlineStr">
        <is>
          <t>Bluestone Memorial Hospital</t>
        </is>
      </c>
      <c r="E343" t="inlineStr">
        <is>
          <t>Emergency Department</t>
        </is>
      </c>
      <c r="F343" t="inlineStr">
        <is>
          <t>Emergency</t>
        </is>
      </c>
      <c r="G343" s="29" t="n">
        <v>45694</v>
      </c>
      <c r="H343" s="29" t="n">
        <v>45694</v>
      </c>
      <c r="I343" s="30" t="n"/>
      <c r="J343" t="inlineStr">
        <is>
          <t>G43.909</t>
        </is>
      </c>
      <c r="K343" t="inlineStr">
        <is>
          <t>Migraine, unspecified, not intractable, without status migrainosus</t>
        </is>
      </c>
      <c r="L343" t="inlineStr">
        <is>
          <t>Nervous System</t>
        </is>
      </c>
      <c r="M343" t="inlineStr">
        <is>
          <t>Home/Self-Care</t>
        </is>
      </c>
      <c r="N343" t="inlineStr">
        <is>
          <t>Silverline Medicare Advantage</t>
        </is>
      </c>
      <c r="O343" s="31" t="n">
        <v>1129.04</v>
      </c>
    </row>
    <row r="344">
      <c r="A344" t="inlineStr">
        <is>
          <t>ENC112068</t>
        </is>
      </c>
      <c r="B344" t="inlineStr">
        <is>
          <t>PT10652</t>
        </is>
      </c>
      <c r="C344" t="inlineStr">
        <is>
          <t>Inpatient</t>
        </is>
      </c>
      <c r="D344" t="inlineStr">
        <is>
          <t>Bluestone Memorial Hospital</t>
        </is>
      </c>
      <c r="E344" t="inlineStr">
        <is>
          <t>Pediatrics</t>
        </is>
      </c>
      <c r="F344" t="inlineStr">
        <is>
          <t>Women &amp; Children</t>
        </is>
      </c>
      <c r="G344" s="29" t="n">
        <v>45694</v>
      </c>
      <c r="H344" s="29" t="n">
        <v>45701</v>
      </c>
      <c r="I344" s="30" t="n">
        <v>7</v>
      </c>
      <c r="J344" t="inlineStr">
        <is>
          <t>J21.9</t>
        </is>
      </c>
      <c r="K344" t="inlineStr">
        <is>
          <t>Acute bronchiolitis, unspecified</t>
        </is>
      </c>
      <c r="L344" t="inlineStr">
        <is>
          <t>Respiratory</t>
        </is>
      </c>
      <c r="M344" t="inlineStr">
        <is>
          <t>Home/Self-Care</t>
        </is>
      </c>
      <c r="N344" t="inlineStr">
        <is>
          <t>Evergreen Mutual Insurance</t>
        </is>
      </c>
      <c r="O344" s="31" t="n">
        <v>36436.31</v>
      </c>
      <c r="P344" t="inlineStr">
        <is>
          <t>N</t>
        </is>
      </c>
    </row>
    <row r="345">
      <c r="A345" t="inlineStr">
        <is>
          <t>ENC112071</t>
        </is>
      </c>
      <c r="B345" t="inlineStr">
        <is>
          <t>PT10084</t>
        </is>
      </c>
      <c r="C345" t="inlineStr">
        <is>
          <t>Outpatient</t>
        </is>
      </c>
      <c r="D345" t="inlineStr">
        <is>
          <t>Bluestone Outpatient Pavilion</t>
        </is>
      </c>
      <c r="E345" t="inlineStr">
        <is>
          <t>Cardiology Clinic</t>
        </is>
      </c>
      <c r="F345" t="inlineStr">
        <is>
          <t>Cardiovascular</t>
        </is>
      </c>
      <c r="G345" s="29" t="n">
        <v>45694</v>
      </c>
      <c r="H345" s="29" t="n">
        <v>45694</v>
      </c>
      <c r="I345" s="30" t="n"/>
      <c r="J345" t="inlineStr">
        <is>
          <t>I48.91</t>
        </is>
      </c>
      <c r="K345" t="inlineStr">
        <is>
          <t>Unspecified atrial fibrillation</t>
        </is>
      </c>
      <c r="L345" t="inlineStr">
        <is>
          <t>Circulatory</t>
        </is>
      </c>
      <c r="M345" t="inlineStr">
        <is>
          <t>Home/Self-Care</t>
        </is>
      </c>
      <c r="N345" t="inlineStr">
        <is>
          <t>Silverline Medicare Advantage</t>
        </is>
      </c>
      <c r="O345" s="31" t="n">
        <v>167.4</v>
      </c>
    </row>
    <row r="346">
      <c r="A346" t="inlineStr">
        <is>
          <t>ENC112074</t>
        </is>
      </c>
      <c r="B346" t="inlineStr">
        <is>
          <t>PT11836</t>
        </is>
      </c>
      <c r="C346" t="inlineStr">
        <is>
          <t>Outpatient</t>
        </is>
      </c>
      <c r="D346" t="inlineStr">
        <is>
          <t>Bluestone Outpatient Pavilion</t>
        </is>
      </c>
      <c r="E346" t="inlineStr">
        <is>
          <t>Pediatric Clinic</t>
        </is>
      </c>
      <c r="F346" t="inlineStr">
        <is>
          <t>Women &amp; Children</t>
        </is>
      </c>
      <c r="G346" s="29" t="n">
        <v>45694</v>
      </c>
      <c r="H346" s="29" t="n">
        <v>45694</v>
      </c>
      <c r="I346" s="30" t="n"/>
      <c r="J346" t="inlineStr">
        <is>
          <t>H66.90</t>
        </is>
      </c>
      <c r="K346" t="inlineStr">
        <is>
          <t>Otitis media, unspecified, unspecified ear</t>
        </is>
      </c>
      <c r="L346" t="inlineStr">
        <is>
          <t>Ear</t>
        </is>
      </c>
      <c r="M346" t="inlineStr">
        <is>
          <t>Home/Self-Care</t>
        </is>
      </c>
      <c r="N346" t="inlineStr">
        <is>
          <t>Evergreen Mutual Insurance</t>
        </is>
      </c>
      <c r="O346" s="31" t="n">
        <v>247.26</v>
      </c>
    </row>
    <row r="347">
      <c r="A347" t="inlineStr">
        <is>
          <t>ENC112077</t>
        </is>
      </c>
      <c r="B347" t="inlineStr">
        <is>
          <t>PT12280</t>
        </is>
      </c>
      <c r="C347" t="inlineStr">
        <is>
          <t>Inpatient</t>
        </is>
      </c>
      <c r="D347" t="inlineStr">
        <is>
          <t>Bluestone Memorial Hospital</t>
        </is>
      </c>
      <c r="E347" t="inlineStr">
        <is>
          <t>Labor &amp; Delivery</t>
        </is>
      </c>
      <c r="F347" t="inlineStr">
        <is>
          <t>Women &amp; Children</t>
        </is>
      </c>
      <c r="G347" s="29" t="n">
        <v>45694</v>
      </c>
      <c r="H347" s="29" t="n">
        <v>45695</v>
      </c>
      <c r="I347" s="30" t="n">
        <v>1</v>
      </c>
      <c r="J347" t="inlineStr">
        <is>
          <t>O80</t>
        </is>
      </c>
      <c r="K347" t="inlineStr">
        <is>
          <t>Encounter for full-term uncomplicated delivery</t>
        </is>
      </c>
      <c r="L347" t="inlineStr">
        <is>
          <t>Pregnancy</t>
        </is>
      </c>
      <c r="M347" t="inlineStr">
        <is>
          <t>Left AMA</t>
        </is>
      </c>
      <c r="N347" t="inlineStr">
        <is>
          <t>Self-Pay</t>
        </is>
      </c>
      <c r="O347" s="31" t="n">
        <v>19573.63</v>
      </c>
      <c r="P347" t="inlineStr">
        <is>
          <t>N</t>
        </is>
      </c>
    </row>
    <row r="348">
      <c r="A348" t="inlineStr">
        <is>
          <t>ENC112078</t>
        </is>
      </c>
      <c r="B348" t="inlineStr">
        <is>
          <t>PT10136</t>
        </is>
      </c>
      <c r="C348" t="inlineStr">
        <is>
          <t>Emergency</t>
        </is>
      </c>
      <c r="D348" t="inlineStr">
        <is>
          <t>Bluestone Memorial Hospital</t>
        </is>
      </c>
      <c r="E348" t="inlineStr">
        <is>
          <t>Emergency Department</t>
        </is>
      </c>
      <c r="F348" t="inlineStr">
        <is>
          <t>Emergency</t>
        </is>
      </c>
      <c r="G348" s="29" t="n">
        <v>45694</v>
      </c>
      <c r="H348" s="29" t="n">
        <v>45695</v>
      </c>
      <c r="I348" s="30" t="n"/>
      <c r="J348" t="inlineStr">
        <is>
          <t>R07.9</t>
        </is>
      </c>
      <c r="K348" t="inlineStr">
        <is>
          <t>Chest pain, unspecified</t>
        </is>
      </c>
      <c r="L348" t="inlineStr">
        <is>
          <t>Symptoms &amp; Signs</t>
        </is>
      </c>
      <c r="M348" t="inlineStr">
        <is>
          <t>Transfer to Another Hospital</t>
        </is>
      </c>
      <c r="N348" t="inlineStr">
        <is>
          <t>Summit Choice PPO</t>
        </is>
      </c>
      <c r="O348" s="31" t="n">
        <v>3468.21</v>
      </c>
    </row>
    <row r="349">
      <c r="A349" t="inlineStr">
        <is>
          <t>ENC112079</t>
        </is>
      </c>
      <c r="B349" t="inlineStr">
        <is>
          <t>PT10328</t>
        </is>
      </c>
      <c r="C349" t="inlineStr">
        <is>
          <t>Inpatient</t>
        </is>
      </c>
      <c r="D349" t="inlineStr">
        <is>
          <t>Bluestone Memorial Hospital</t>
        </is>
      </c>
      <c r="E349" t="inlineStr">
        <is>
          <t>Cardiac Step-Down</t>
        </is>
      </c>
      <c r="F349" t="inlineStr">
        <is>
          <t>Cardiovascular</t>
        </is>
      </c>
      <c r="G349" s="29" t="n">
        <v>45694</v>
      </c>
      <c r="H349" s="29" t="n">
        <v>45698</v>
      </c>
      <c r="I349" s="30" t="n">
        <v>4</v>
      </c>
      <c r="J349" t="inlineStr">
        <is>
          <t>I50.9</t>
        </is>
      </c>
      <c r="K349" t="inlineStr">
        <is>
          <t>Heart failure, unspecified</t>
        </is>
      </c>
      <c r="L349" t="inlineStr">
        <is>
          <t>Circulatory</t>
        </is>
      </c>
      <c r="M349" t="inlineStr">
        <is>
          <t>Home/Self-Care</t>
        </is>
      </c>
      <c r="N349" t="inlineStr">
        <is>
          <t>Keystone Health Partners</t>
        </is>
      </c>
      <c r="O349" s="31" t="n">
        <v>20922.26</v>
      </c>
      <c r="P349" t="inlineStr">
        <is>
          <t>N</t>
        </is>
      </c>
    </row>
    <row r="350">
      <c r="A350" t="inlineStr">
        <is>
          <t>ENC112080</t>
        </is>
      </c>
      <c r="B350" t="inlineStr">
        <is>
          <t>PT13900</t>
        </is>
      </c>
      <c r="C350" t="inlineStr">
        <is>
          <t>Inpatient</t>
        </is>
      </c>
      <c r="D350" t="inlineStr">
        <is>
          <t>Bluestone Memorial Hospital</t>
        </is>
      </c>
      <c r="E350" t="inlineStr">
        <is>
          <t>Cardiac Step-Down</t>
        </is>
      </c>
      <c r="F350" t="inlineStr">
        <is>
          <t>Cardiovascular</t>
        </is>
      </c>
      <c r="G350" s="29" t="n">
        <v>45695</v>
      </c>
      <c r="H350" s="29" t="n">
        <v>45703</v>
      </c>
      <c r="I350" s="30" t="n">
        <v>8</v>
      </c>
      <c r="J350" t="inlineStr">
        <is>
          <t>I50.9</t>
        </is>
      </c>
      <c r="K350" t="inlineStr">
        <is>
          <t>Heart failure, unspecified</t>
        </is>
      </c>
      <c r="L350" t="inlineStr">
        <is>
          <t>Circulatory</t>
        </is>
      </c>
      <c r="M350" t="inlineStr">
        <is>
          <t>Home/Self-Care</t>
        </is>
      </c>
      <c r="N350" t="inlineStr">
        <is>
          <t>Medicare</t>
        </is>
      </c>
      <c r="O350" s="31" t="n">
        <v>40189.87</v>
      </c>
      <c r="P350" t="inlineStr">
        <is>
          <t>N</t>
        </is>
      </c>
    </row>
    <row r="351">
      <c r="A351" t="inlineStr">
        <is>
          <t>ENC112083</t>
        </is>
      </c>
      <c r="B351" t="inlineStr">
        <is>
          <t>PT10032</t>
        </is>
      </c>
      <c r="C351" t="inlineStr">
        <is>
          <t>Inpatient</t>
        </is>
      </c>
      <c r="D351" t="inlineStr">
        <is>
          <t>Cedar Ridge Medical Center</t>
        </is>
      </c>
      <c r="E351" t="inlineStr">
        <is>
          <t>Medical-Surgical</t>
        </is>
      </c>
      <c r="F351" t="inlineStr">
        <is>
          <t>Medicine</t>
        </is>
      </c>
      <c r="G351" s="29" t="n">
        <v>45695</v>
      </c>
      <c r="H351" s="29" t="n">
        <v>45699</v>
      </c>
      <c r="I351" s="30" t="n">
        <v>4</v>
      </c>
      <c r="J351" t="inlineStr">
        <is>
          <t>J18.9</t>
        </is>
      </c>
      <c r="K351" t="inlineStr">
        <is>
          <t>Pneumonia, unspecified organism</t>
        </is>
      </c>
      <c r="L351" t="inlineStr">
        <is>
          <t>Respiratory</t>
        </is>
      </c>
      <c r="M351" t="inlineStr">
        <is>
          <t>Home/Self-Care</t>
        </is>
      </c>
      <c r="N351" t="inlineStr">
        <is>
          <t>State Medicaid</t>
        </is>
      </c>
      <c r="O351" s="31" t="n">
        <v>18730.23</v>
      </c>
      <c r="P351" t="inlineStr">
        <is>
          <t>N</t>
        </is>
      </c>
    </row>
    <row r="352">
      <c r="A352" t="inlineStr">
        <is>
          <t>ENC112086</t>
        </is>
      </c>
      <c r="B352" t="inlineStr">
        <is>
          <t>PT10676</t>
        </is>
      </c>
      <c r="C352" t="inlineStr">
        <is>
          <t>Inpatient</t>
        </is>
      </c>
      <c r="D352" t="inlineStr">
        <is>
          <t>Cedar Ridge Medical Center</t>
        </is>
      </c>
      <c r="E352" t="inlineStr">
        <is>
          <t>Orthopedics</t>
        </is>
      </c>
      <c r="F352" t="inlineStr">
        <is>
          <t>Orthopedics</t>
        </is>
      </c>
      <c r="G352" s="29" t="n">
        <v>45695</v>
      </c>
      <c r="H352" s="29" t="n">
        <v>45698</v>
      </c>
      <c r="I352" s="30" t="n">
        <v>3</v>
      </c>
      <c r="J352" t="inlineStr">
        <is>
          <t>M16.11</t>
        </is>
      </c>
      <c r="K352" t="inlineStr">
        <is>
          <t>Unilateral primary osteoarthritis, right hip</t>
        </is>
      </c>
      <c r="L352" t="inlineStr">
        <is>
          <t>Musculoskeletal</t>
        </is>
      </c>
      <c r="M352" t="inlineStr">
        <is>
          <t>Home Health</t>
        </is>
      </c>
      <c r="N352" t="inlineStr">
        <is>
          <t>Medicare</t>
        </is>
      </c>
      <c r="O352" s="31" t="n">
        <v>65582.95</v>
      </c>
      <c r="P352" t="inlineStr">
        <is>
          <t>N</t>
        </is>
      </c>
    </row>
    <row r="353">
      <c r="A353" t="inlineStr">
        <is>
          <t>ENC112092</t>
        </is>
      </c>
      <c r="B353" t="inlineStr">
        <is>
          <t>PT13196</t>
        </is>
      </c>
      <c r="C353" t="inlineStr">
        <is>
          <t>Outpatient</t>
        </is>
      </c>
      <c r="D353" t="inlineStr">
        <is>
          <t>Bluestone Outpatient Pavilion</t>
        </is>
      </c>
      <c r="E353" t="inlineStr">
        <is>
          <t>Endocrinology &amp; Diabetes Clinic</t>
        </is>
      </c>
      <c r="F353" t="inlineStr">
        <is>
          <t>Ambulatory</t>
        </is>
      </c>
      <c r="G353" s="29" t="n">
        <v>45695</v>
      </c>
      <c r="H353" s="29" t="n">
        <v>45695</v>
      </c>
      <c r="I353" s="30" t="n"/>
      <c r="J353" t="inlineStr">
        <is>
          <t>E11.9</t>
        </is>
      </c>
      <c r="K353" t="inlineStr">
        <is>
          <t>Type 2 diabetes mellitus without complications</t>
        </is>
      </c>
      <c r="L353" t="inlineStr">
        <is>
          <t>Endocrine</t>
        </is>
      </c>
      <c r="M353" t="inlineStr">
        <is>
          <t>Home/Self-Care</t>
        </is>
      </c>
      <c r="N353" t="inlineStr">
        <is>
          <t>Silverline Medicare Advantage</t>
        </is>
      </c>
      <c r="O353" s="31" t="n">
        <v>370.28</v>
      </c>
    </row>
    <row r="354">
      <c r="A354" t="inlineStr">
        <is>
          <t>ENC112094</t>
        </is>
      </c>
      <c r="B354" t="inlineStr">
        <is>
          <t>PT11608</t>
        </is>
      </c>
      <c r="C354" t="inlineStr">
        <is>
          <t>Outpatient</t>
        </is>
      </c>
      <c r="D354" t="inlineStr">
        <is>
          <t>Bluestone Outpatient Pavilion</t>
        </is>
      </c>
      <c r="E354" t="inlineStr">
        <is>
          <t>Primary Care Clinic</t>
        </is>
      </c>
      <c r="F354" t="inlineStr">
        <is>
          <t>Ambulatory</t>
        </is>
      </c>
      <c r="G354" s="29" t="n">
        <v>45695</v>
      </c>
      <c r="H354" s="29" t="n">
        <v>45695</v>
      </c>
      <c r="I354" s="30" t="n"/>
      <c r="J354" t="inlineStr">
        <is>
          <t>Z00.00</t>
        </is>
      </c>
      <c r="K354" t="inlineStr">
        <is>
          <t>Encounter for general adult medical examination without abnormal findings</t>
        </is>
      </c>
      <c r="L354" t="inlineStr">
        <is>
          <t>Factors Influencing Health</t>
        </is>
      </c>
      <c r="M354" t="inlineStr">
        <is>
          <t>Home/Self-Care</t>
        </is>
      </c>
      <c r="N354" t="inlineStr">
        <is>
          <t>Keystone Health Partners</t>
        </is>
      </c>
      <c r="O354" s="31" t="n">
        <v>302.22</v>
      </c>
    </row>
    <row r="355">
      <c r="A355" t="inlineStr">
        <is>
          <t>ENC112096</t>
        </is>
      </c>
      <c r="B355" t="inlineStr">
        <is>
          <t>PT10752</t>
        </is>
      </c>
      <c r="C355" t="inlineStr">
        <is>
          <t>Inpatient</t>
        </is>
      </c>
      <c r="D355" t="inlineStr">
        <is>
          <t>Bluestone Memorial Hospital</t>
        </is>
      </c>
      <c r="E355" t="inlineStr">
        <is>
          <t>Intensive Care Unit</t>
        </is>
      </c>
      <c r="F355" t="inlineStr">
        <is>
          <t>Critical Care</t>
        </is>
      </c>
      <c r="G355" s="29" t="n">
        <v>45695</v>
      </c>
      <c r="H355" s="29" t="n">
        <v>45707</v>
      </c>
      <c r="I355" s="30" t="n">
        <v>12</v>
      </c>
      <c r="J355" t="inlineStr">
        <is>
          <t>A41.9</t>
        </is>
      </c>
      <c r="K355" t="inlineStr">
        <is>
          <t>Sepsis, unspecified organism</t>
        </is>
      </c>
      <c r="L355" t="inlineStr">
        <is>
          <t>Infectious</t>
        </is>
      </c>
      <c r="M355" t="inlineStr">
        <is>
          <t>Home/Self-Care</t>
        </is>
      </c>
      <c r="N355" t="inlineStr">
        <is>
          <t>State Medicaid</t>
        </is>
      </c>
      <c r="O355" s="31" t="n">
        <v>126999.12</v>
      </c>
      <c r="P355" t="inlineStr">
        <is>
          <t>N</t>
        </is>
      </c>
    </row>
    <row r="356">
      <c r="A356" t="inlineStr">
        <is>
          <t>ENC112107</t>
        </is>
      </c>
      <c r="B356" t="inlineStr">
        <is>
          <t>PT10340</t>
        </is>
      </c>
      <c r="C356" t="inlineStr">
        <is>
          <t>Inpatient</t>
        </is>
      </c>
      <c r="D356" t="inlineStr">
        <is>
          <t>Ashby Falls Community Hospital</t>
        </is>
      </c>
      <c r="E356" t="inlineStr">
        <is>
          <t>Medical-Surgical</t>
        </is>
      </c>
      <c r="F356" t="inlineStr">
        <is>
          <t>Medicine</t>
        </is>
      </c>
      <c r="G356" s="29" t="n">
        <v>45695</v>
      </c>
      <c r="H356" s="29" t="n">
        <v>45701</v>
      </c>
      <c r="I356" s="30" t="n">
        <v>6</v>
      </c>
      <c r="J356" t="inlineStr">
        <is>
          <t>J18.9</t>
        </is>
      </c>
      <c r="K356" t="inlineStr">
        <is>
          <t>Pneumonia, unspecified organism</t>
        </is>
      </c>
      <c r="L356" t="inlineStr">
        <is>
          <t>Respiratory</t>
        </is>
      </c>
      <c r="M356" t="inlineStr">
        <is>
          <t>Home Health</t>
        </is>
      </c>
      <c r="N356" t="inlineStr">
        <is>
          <t>Evergreen Mutual Insurance</t>
        </is>
      </c>
      <c r="O356" s="31" t="n">
        <v>25461.35</v>
      </c>
      <c r="P356" t="inlineStr">
        <is>
          <t>N</t>
        </is>
      </c>
    </row>
    <row r="357">
      <c r="A357" t="inlineStr">
        <is>
          <t>ENC112112</t>
        </is>
      </c>
      <c r="B357" t="inlineStr">
        <is>
          <t>PT13980</t>
        </is>
      </c>
      <c r="C357" t="inlineStr">
        <is>
          <t>Inpatient</t>
        </is>
      </c>
      <c r="D357" t="inlineStr">
        <is>
          <t>Cedar Ridge Medical Center</t>
        </is>
      </c>
      <c r="E357" t="inlineStr">
        <is>
          <t>Medical-Surgical</t>
        </is>
      </c>
      <c r="F357" t="inlineStr">
        <is>
          <t>Medicine</t>
        </is>
      </c>
      <c r="G357" s="29" t="n">
        <v>45695</v>
      </c>
      <c r="H357" s="29" t="n">
        <v>45700</v>
      </c>
      <c r="I357" s="30" t="n">
        <v>5</v>
      </c>
      <c r="J357" t="inlineStr">
        <is>
          <t>J18.9</t>
        </is>
      </c>
      <c r="K357" t="inlineStr">
        <is>
          <t>Pneumonia, unspecified organism</t>
        </is>
      </c>
      <c r="L357" t="inlineStr">
        <is>
          <t>Respiratory</t>
        </is>
      </c>
      <c r="M357" t="inlineStr">
        <is>
          <t>Home Health</t>
        </is>
      </c>
      <c r="N357" t="inlineStr">
        <is>
          <t>Medicare</t>
        </is>
      </c>
      <c r="O357" s="31" t="n">
        <v>21661.68</v>
      </c>
      <c r="P357" t="inlineStr">
        <is>
          <t>N</t>
        </is>
      </c>
    </row>
    <row r="358">
      <c r="A358" t="inlineStr">
        <is>
          <t>ENC112113</t>
        </is>
      </c>
      <c r="B358" t="inlineStr">
        <is>
          <t>PT13544</t>
        </is>
      </c>
      <c r="C358" t="inlineStr">
        <is>
          <t>Emergency</t>
        </is>
      </c>
      <c r="D358" t="inlineStr">
        <is>
          <t>Bluestone Memorial Hospital</t>
        </is>
      </c>
      <c r="E358" t="inlineStr">
        <is>
          <t>Emergency Department</t>
        </is>
      </c>
      <c r="F358" t="inlineStr">
        <is>
          <t>Emergency</t>
        </is>
      </c>
      <c r="G358" s="29" t="n">
        <v>45695</v>
      </c>
      <c r="H358" s="29" t="n">
        <v>45695</v>
      </c>
      <c r="I358" s="30" t="n"/>
      <c r="J358" t="inlineStr">
        <is>
          <t>J06.9</t>
        </is>
      </c>
      <c r="K358" t="inlineStr">
        <is>
          <t>Acute upper respiratory infection, unspecified</t>
        </is>
      </c>
      <c r="L358" t="inlineStr">
        <is>
          <t>Respiratory</t>
        </is>
      </c>
      <c r="M358" t="inlineStr">
        <is>
          <t>Home/Self-Care</t>
        </is>
      </c>
      <c r="N358" t="inlineStr">
        <is>
          <t>Keystone Health Partners</t>
        </is>
      </c>
      <c r="O358" s="31" t="n">
        <v>541.08</v>
      </c>
    </row>
    <row r="359">
      <c r="A359" t="inlineStr">
        <is>
          <t>ENC112115</t>
        </is>
      </c>
      <c r="B359" t="inlineStr">
        <is>
          <t>PT10936</t>
        </is>
      </c>
      <c r="C359" t="inlineStr">
        <is>
          <t>Emergency</t>
        </is>
      </c>
      <c r="D359" t="inlineStr">
        <is>
          <t>Bluestone Memorial Hospital</t>
        </is>
      </c>
      <c r="E359" t="inlineStr">
        <is>
          <t>Emergency Department</t>
        </is>
      </c>
      <c r="F359" t="inlineStr">
        <is>
          <t>Emergency</t>
        </is>
      </c>
      <c r="G359" s="29" t="n">
        <v>45695</v>
      </c>
      <c r="H359" s="29" t="n">
        <v>45695</v>
      </c>
      <c r="I359" s="30" t="n"/>
      <c r="J359" t="inlineStr">
        <is>
          <t>S93.401A</t>
        </is>
      </c>
      <c r="K359" t="inlineStr">
        <is>
          <t>Sprain of unspecified ligament of right ankle, initial encounter</t>
        </is>
      </c>
      <c r="L359" t="inlineStr">
        <is>
          <t>Injury</t>
        </is>
      </c>
      <c r="M359" t="inlineStr">
        <is>
          <t>Home/Self-Care</t>
        </is>
      </c>
      <c r="N359" t="inlineStr">
        <is>
          <t>Evergreen Mutual Insurance</t>
        </is>
      </c>
      <c r="O359" s="31" t="n">
        <v>985.88</v>
      </c>
    </row>
    <row r="360">
      <c r="A360" t="inlineStr">
        <is>
          <t>ENC112118</t>
        </is>
      </c>
      <c r="B360" t="inlineStr">
        <is>
          <t>PT11876</t>
        </is>
      </c>
      <c r="C360" t="inlineStr">
        <is>
          <t>Emergency</t>
        </is>
      </c>
      <c r="D360" t="inlineStr">
        <is>
          <t>Bluestone Memorial Hospital</t>
        </is>
      </c>
      <c r="E360" t="inlineStr">
        <is>
          <t>Emergency Department</t>
        </is>
      </c>
      <c r="F360" t="inlineStr">
        <is>
          <t>Emergency</t>
        </is>
      </c>
      <c r="G360" s="29" t="n">
        <v>45695</v>
      </c>
      <c r="H360" s="29" t="n">
        <v>45696</v>
      </c>
      <c r="I360" s="30" t="n"/>
      <c r="J360" t="inlineStr">
        <is>
          <t>H66.90</t>
        </is>
      </c>
      <c r="K360" t="inlineStr">
        <is>
          <t>Otitis media, unspecified, unspecified ear</t>
        </is>
      </c>
      <c r="L360" t="inlineStr">
        <is>
          <t>Ear</t>
        </is>
      </c>
      <c r="M360" t="inlineStr">
        <is>
          <t>Home/Self-Care</t>
        </is>
      </c>
      <c r="N360" t="inlineStr">
        <is>
          <t>State Medicaid</t>
        </is>
      </c>
      <c r="O360" s="31" t="n">
        <v>1753.06</v>
      </c>
    </row>
    <row r="361">
      <c r="A361" t="inlineStr">
        <is>
          <t>ENC112119</t>
        </is>
      </c>
      <c r="B361" t="inlineStr">
        <is>
          <t>PT11396</t>
        </is>
      </c>
      <c r="C361" t="inlineStr">
        <is>
          <t>Emergency</t>
        </is>
      </c>
      <c r="D361" t="inlineStr">
        <is>
          <t>Bluestone Memorial Hospital</t>
        </is>
      </c>
      <c r="E361" t="inlineStr">
        <is>
          <t>Emergency Department</t>
        </is>
      </c>
      <c r="F361" t="inlineStr">
        <is>
          <t>Emergency</t>
        </is>
      </c>
      <c r="G361" s="29" t="n">
        <v>45696</v>
      </c>
      <c r="H361" s="29" t="n">
        <v>45696</v>
      </c>
      <c r="I361" s="30" t="n"/>
      <c r="J361" t="inlineStr">
        <is>
          <t>S93.401A</t>
        </is>
      </c>
      <c r="K361" t="inlineStr">
        <is>
          <t>Sprain of unspecified ligament of right ankle, initial encounter</t>
        </is>
      </c>
      <c r="L361" t="inlineStr">
        <is>
          <t>Injury</t>
        </is>
      </c>
      <c r="M361" t="inlineStr">
        <is>
          <t>Home/Self-Care</t>
        </is>
      </c>
      <c r="N361" t="inlineStr">
        <is>
          <t>Keystone Health Partners</t>
        </is>
      </c>
      <c r="O361" s="31" t="n">
        <v>2113.1</v>
      </c>
    </row>
    <row r="362">
      <c r="A362" t="inlineStr">
        <is>
          <t>ENC112122</t>
        </is>
      </c>
      <c r="B362" t="inlineStr">
        <is>
          <t>PT13168</t>
        </is>
      </c>
      <c r="C362" t="inlineStr">
        <is>
          <t>Emergency</t>
        </is>
      </c>
      <c r="D362" t="inlineStr">
        <is>
          <t>Cedar Ridge Medical Center</t>
        </is>
      </c>
      <c r="E362" t="inlineStr">
        <is>
          <t>Emergency Department</t>
        </is>
      </c>
      <c r="F362" t="inlineStr">
        <is>
          <t>Emergency</t>
        </is>
      </c>
      <c r="G362" s="29" t="n">
        <v>45696</v>
      </c>
      <c r="H362" s="29" t="n">
        <v>45696</v>
      </c>
      <c r="I362" s="30" t="n"/>
      <c r="J362" t="inlineStr">
        <is>
          <t>J06.9</t>
        </is>
      </c>
      <c r="K362" t="inlineStr">
        <is>
          <t>Acute upper respiratory infection, unspecified</t>
        </is>
      </c>
      <c r="L362" t="inlineStr">
        <is>
          <t>Respiratory</t>
        </is>
      </c>
      <c r="M362" t="inlineStr">
        <is>
          <t>Home/Self-Care</t>
        </is>
      </c>
      <c r="N362" t="inlineStr">
        <is>
          <t>Keystone Health Partners</t>
        </is>
      </c>
      <c r="O362" s="31" t="n">
        <v>1202</v>
      </c>
    </row>
    <row r="363">
      <c r="A363" t="inlineStr">
        <is>
          <t>ENC112126</t>
        </is>
      </c>
      <c r="B363" t="inlineStr">
        <is>
          <t>PT10556</t>
        </is>
      </c>
      <c r="C363" t="inlineStr">
        <is>
          <t>Inpatient</t>
        </is>
      </c>
      <c r="D363" t="inlineStr">
        <is>
          <t>Bluestone Memorial Hospital</t>
        </is>
      </c>
      <c r="E363" t="inlineStr">
        <is>
          <t>Medical-Surgical 5 East</t>
        </is>
      </c>
      <c r="F363" t="inlineStr">
        <is>
          <t>Medicine</t>
        </is>
      </c>
      <c r="G363" s="29" t="n">
        <v>45696</v>
      </c>
      <c r="H363" s="29" t="n">
        <v>45699</v>
      </c>
      <c r="I363" s="30" t="n">
        <v>3</v>
      </c>
      <c r="J363" t="inlineStr">
        <is>
          <t>J45.909</t>
        </is>
      </c>
      <c r="K363" t="inlineStr">
        <is>
          <t>Unspecified asthma, uncomplicated</t>
        </is>
      </c>
      <c r="L363" t="inlineStr">
        <is>
          <t>Respiratory</t>
        </is>
      </c>
      <c r="M363" t="inlineStr">
        <is>
          <t>Home/Self-Care</t>
        </is>
      </c>
      <c r="N363" t="inlineStr">
        <is>
          <t>State Medicaid</t>
        </is>
      </c>
      <c r="O363" s="31" t="n">
        <v>18923.83</v>
      </c>
      <c r="P363" t="inlineStr">
        <is>
          <t>N</t>
        </is>
      </c>
    </row>
    <row r="364">
      <c r="A364" t="inlineStr">
        <is>
          <t>ENC112129</t>
        </is>
      </c>
      <c r="B364" t="inlineStr">
        <is>
          <t>PT13600</t>
        </is>
      </c>
      <c r="C364" t="inlineStr">
        <is>
          <t>Inpatient</t>
        </is>
      </c>
      <c r="D364" t="inlineStr">
        <is>
          <t>Bluestone Memorial Hospital</t>
        </is>
      </c>
      <c r="E364" t="inlineStr">
        <is>
          <t>Intensive Care Unit</t>
        </is>
      </c>
      <c r="F364" t="inlineStr">
        <is>
          <t>Critical Care</t>
        </is>
      </c>
      <c r="G364" s="29" t="n">
        <v>45696</v>
      </c>
      <c r="H364" s="29" t="n">
        <v>45704</v>
      </c>
      <c r="I364" s="30" t="n">
        <v>8</v>
      </c>
      <c r="J364" t="inlineStr">
        <is>
          <t>A41.9</t>
        </is>
      </c>
      <c r="K364" t="inlineStr">
        <is>
          <t>Sepsis, unspecified organism</t>
        </is>
      </c>
      <c r="L364" t="inlineStr">
        <is>
          <t>Infectious</t>
        </is>
      </c>
      <c r="M364" t="inlineStr">
        <is>
          <t>Home Health</t>
        </is>
      </c>
      <c r="N364" t="inlineStr">
        <is>
          <t>Silverline Medicare Advantage</t>
        </is>
      </c>
      <c r="O364" s="31" t="n">
        <v>90864.39</v>
      </c>
      <c r="P364" t="inlineStr">
        <is>
          <t>N</t>
        </is>
      </c>
    </row>
    <row r="365">
      <c r="A365" t="inlineStr">
        <is>
          <t>ENC112135</t>
        </is>
      </c>
      <c r="B365" t="inlineStr">
        <is>
          <t>PT12444</t>
        </is>
      </c>
      <c r="C365" t="inlineStr">
        <is>
          <t>Inpatient</t>
        </is>
      </c>
      <c r="D365" t="inlineStr">
        <is>
          <t>Cedar Ridge Medical Center</t>
        </is>
      </c>
      <c r="E365" t="inlineStr">
        <is>
          <t>Medical-Surgical</t>
        </is>
      </c>
      <c r="F365" t="inlineStr">
        <is>
          <t>Medicine</t>
        </is>
      </c>
      <c r="G365" s="29" t="n">
        <v>45696</v>
      </c>
      <c r="H365" s="29" t="n">
        <v>45700</v>
      </c>
      <c r="I365" s="30" t="n">
        <v>4</v>
      </c>
      <c r="J365" t="inlineStr">
        <is>
          <t>U07.1</t>
        </is>
      </c>
      <c r="K365" t="inlineStr">
        <is>
          <t>COVID-19</t>
        </is>
      </c>
      <c r="L365" t="inlineStr">
        <is>
          <t>Respiratory</t>
        </is>
      </c>
      <c r="M365" t="inlineStr">
        <is>
          <t>Home/Self-Care</t>
        </is>
      </c>
      <c r="N365" t="inlineStr">
        <is>
          <t>Keystone Health Partners</t>
        </is>
      </c>
      <c r="O365" s="31" t="n">
        <v>15607.32</v>
      </c>
      <c r="P365" t="inlineStr">
        <is>
          <t>N</t>
        </is>
      </c>
    </row>
    <row r="366">
      <c r="A366" t="inlineStr">
        <is>
          <t>ENC112136</t>
        </is>
      </c>
      <c r="B366" t="inlineStr">
        <is>
          <t>PT10220</t>
        </is>
      </c>
      <c r="C366" t="inlineStr">
        <is>
          <t>Inpatient</t>
        </is>
      </c>
      <c r="D366" t="inlineStr">
        <is>
          <t>Bluestone Memorial Hospital</t>
        </is>
      </c>
      <c r="E366" t="inlineStr">
        <is>
          <t>Medical-Surgical 4 West</t>
        </is>
      </c>
      <c r="F366" t="inlineStr">
        <is>
          <t>Medicine</t>
        </is>
      </c>
      <c r="G366" s="29" t="n">
        <v>45697</v>
      </c>
      <c r="H366" s="29" t="n">
        <v>45700</v>
      </c>
      <c r="I366" s="30" t="n">
        <v>3</v>
      </c>
      <c r="J366" t="inlineStr">
        <is>
          <t>J44.1</t>
        </is>
      </c>
      <c r="K366" t="inlineStr">
        <is>
          <t>Chronic obstructive pulmonary disease with (acute) exacerbation</t>
        </is>
      </c>
      <c r="L366" t="inlineStr">
        <is>
          <t>Respiratory</t>
        </is>
      </c>
      <c r="M366" t="inlineStr">
        <is>
          <t>Home/Self-Care</t>
        </is>
      </c>
      <c r="N366" t="inlineStr">
        <is>
          <t>Self-Pay</t>
        </is>
      </c>
      <c r="O366" s="31" t="n">
        <v>18965.09</v>
      </c>
      <c r="P366" t="inlineStr">
        <is>
          <t>N</t>
        </is>
      </c>
    </row>
    <row r="367">
      <c r="A367" t="inlineStr">
        <is>
          <t>ENC112140</t>
        </is>
      </c>
      <c r="B367" t="inlineStr">
        <is>
          <t>PT12092</t>
        </is>
      </c>
      <c r="C367" t="inlineStr">
        <is>
          <t>Emergency</t>
        </is>
      </c>
      <c r="D367" t="inlineStr">
        <is>
          <t>Ashby Falls Community Hospital</t>
        </is>
      </c>
      <c r="E367" t="inlineStr">
        <is>
          <t>Emergency Department</t>
        </is>
      </c>
      <c r="F367" t="inlineStr">
        <is>
          <t>Emergency</t>
        </is>
      </c>
      <c r="G367" s="29" t="n">
        <v>45697</v>
      </c>
      <c r="H367" s="29" t="n">
        <v>45697</v>
      </c>
      <c r="I367" s="30" t="n"/>
      <c r="J367" t="inlineStr">
        <is>
          <t>J06.9</t>
        </is>
      </c>
      <c r="K367" t="inlineStr">
        <is>
          <t>Acute upper respiratory infection, unspecified</t>
        </is>
      </c>
      <c r="L367" t="inlineStr">
        <is>
          <t>Respiratory</t>
        </is>
      </c>
      <c r="M367" t="inlineStr">
        <is>
          <t>Home/Self-Care</t>
        </is>
      </c>
      <c r="N367" t="inlineStr">
        <is>
          <t>State Medicaid</t>
        </is>
      </c>
      <c r="O367" s="31" t="n">
        <v>667.09</v>
      </c>
    </row>
    <row r="368">
      <c r="A368" t="inlineStr">
        <is>
          <t>ENC112141</t>
        </is>
      </c>
      <c r="B368" t="inlineStr">
        <is>
          <t>PT12192</t>
        </is>
      </c>
      <c r="C368" t="inlineStr">
        <is>
          <t>Inpatient</t>
        </is>
      </c>
      <c r="D368" t="inlineStr">
        <is>
          <t>Bluestone Memorial Hospital</t>
        </is>
      </c>
      <c r="E368" t="inlineStr">
        <is>
          <t>Medical-Surgical 5 East</t>
        </is>
      </c>
      <c r="F368" t="inlineStr">
        <is>
          <t>Medicine</t>
        </is>
      </c>
      <c r="G368" s="29" t="n">
        <v>45697</v>
      </c>
      <c r="H368" s="29" t="n">
        <v>45701</v>
      </c>
      <c r="I368" s="30" t="n">
        <v>4</v>
      </c>
      <c r="J368" t="inlineStr">
        <is>
          <t>N17.9</t>
        </is>
      </c>
      <c r="K368" t="inlineStr">
        <is>
          <t>Acute kidney failure, unspecified</t>
        </is>
      </c>
      <c r="L368" t="inlineStr">
        <is>
          <t>Genitourinary</t>
        </is>
      </c>
      <c r="M368" t="inlineStr">
        <is>
          <t>Home/Self-Care</t>
        </is>
      </c>
      <c r="N368" t="inlineStr">
        <is>
          <t>Evergreen Mutual Insurance</t>
        </is>
      </c>
      <c r="O368" s="31" t="n">
        <v>18604.03</v>
      </c>
      <c r="P368" t="inlineStr">
        <is>
          <t>N</t>
        </is>
      </c>
    </row>
    <row r="369">
      <c r="A369" t="inlineStr">
        <is>
          <t>ENC112144</t>
        </is>
      </c>
      <c r="B369" t="inlineStr">
        <is>
          <t>PT13636</t>
        </is>
      </c>
      <c r="C369" t="inlineStr">
        <is>
          <t>Inpatient</t>
        </is>
      </c>
      <c r="D369" t="inlineStr">
        <is>
          <t>Bluestone Memorial Hospital</t>
        </is>
      </c>
      <c r="E369" t="inlineStr">
        <is>
          <t>Intensive Care Unit</t>
        </is>
      </c>
      <c r="F369" t="inlineStr">
        <is>
          <t>Critical Care</t>
        </is>
      </c>
      <c r="G369" s="29" t="n">
        <v>45697</v>
      </c>
      <c r="H369" s="29" t="n">
        <v>45703</v>
      </c>
      <c r="I369" s="30" t="n">
        <v>6</v>
      </c>
      <c r="J369" t="inlineStr">
        <is>
          <t>A41.9</t>
        </is>
      </c>
      <c r="K369" t="inlineStr">
        <is>
          <t>Sepsis, unspecified organism</t>
        </is>
      </c>
      <c r="L369" t="inlineStr">
        <is>
          <t>Infectious</t>
        </is>
      </c>
      <c r="M369" t="inlineStr">
        <is>
          <t>Home/Self-Care</t>
        </is>
      </c>
      <c r="N369" t="inlineStr">
        <is>
          <t>Keystone Health Partners</t>
        </is>
      </c>
      <c r="O369" s="31" t="n">
        <v>66370.78999999999</v>
      </c>
      <c r="P369" t="inlineStr">
        <is>
          <t>N</t>
        </is>
      </c>
    </row>
    <row r="370">
      <c r="A370" t="inlineStr">
        <is>
          <t>ENC112145</t>
        </is>
      </c>
      <c r="B370" t="inlineStr">
        <is>
          <t>PT10140</t>
        </is>
      </c>
      <c r="C370" t="inlineStr">
        <is>
          <t>Emergency</t>
        </is>
      </c>
      <c r="D370" t="inlineStr">
        <is>
          <t>Bluestone Memorial Hospital</t>
        </is>
      </c>
      <c r="E370" t="inlineStr">
        <is>
          <t>Emergency Department</t>
        </is>
      </c>
      <c r="F370" t="inlineStr">
        <is>
          <t>Emergency</t>
        </is>
      </c>
      <c r="G370" s="29" t="n">
        <v>45697</v>
      </c>
      <c r="H370" s="29" t="n">
        <v>45697</v>
      </c>
      <c r="I370" s="30" t="n"/>
      <c r="J370" t="inlineStr">
        <is>
          <t>H66.90</t>
        </is>
      </c>
      <c r="K370" t="inlineStr">
        <is>
          <t>Otitis media, unspecified, unspecified ear</t>
        </is>
      </c>
      <c r="L370" t="inlineStr">
        <is>
          <t>Ear</t>
        </is>
      </c>
      <c r="M370" t="inlineStr">
        <is>
          <t>Home/Self-Care</t>
        </is>
      </c>
      <c r="N370" t="inlineStr">
        <is>
          <t>Summit Choice PPO</t>
        </is>
      </c>
      <c r="O370" s="31" t="n">
        <v>967.61</v>
      </c>
    </row>
    <row r="371">
      <c r="A371" t="inlineStr">
        <is>
          <t>ENC112160</t>
        </is>
      </c>
      <c r="B371" t="inlineStr">
        <is>
          <t>PT13000</t>
        </is>
      </c>
      <c r="C371" t="inlineStr">
        <is>
          <t>Emergency</t>
        </is>
      </c>
      <c r="D371" t="inlineStr">
        <is>
          <t>Bluestone Memorial Hospital</t>
        </is>
      </c>
      <c r="E371" t="inlineStr">
        <is>
          <t>Emergency Department</t>
        </is>
      </c>
      <c r="F371" t="inlineStr">
        <is>
          <t>Emergency</t>
        </is>
      </c>
      <c r="G371" s="29" t="n">
        <v>45697</v>
      </c>
      <c r="H371" s="29" t="n">
        <v>45697</v>
      </c>
      <c r="I371" s="30" t="n"/>
      <c r="J371" t="inlineStr">
        <is>
          <t>J06.9</t>
        </is>
      </c>
      <c r="K371" t="inlineStr">
        <is>
          <t>Acute upper respiratory infection, unspecified</t>
        </is>
      </c>
      <c r="L371" t="inlineStr">
        <is>
          <t>Respiratory</t>
        </is>
      </c>
      <c r="M371" t="inlineStr">
        <is>
          <t>Home/Self-Care</t>
        </is>
      </c>
      <c r="N371" t="inlineStr">
        <is>
          <t>Medicare</t>
        </is>
      </c>
      <c r="O371" s="31" t="n">
        <v>495.91</v>
      </c>
    </row>
    <row r="372">
      <c r="A372" t="inlineStr">
        <is>
          <t>ENC112169</t>
        </is>
      </c>
      <c r="B372" t="inlineStr">
        <is>
          <t>PT12184</t>
        </is>
      </c>
      <c r="C372" t="inlineStr">
        <is>
          <t>Inpatient</t>
        </is>
      </c>
      <c r="D372" t="inlineStr">
        <is>
          <t>Bluestone Memorial Hospital</t>
        </is>
      </c>
      <c r="E372" t="inlineStr">
        <is>
          <t>Medical-Surgical 5 East</t>
        </is>
      </c>
      <c r="F372" t="inlineStr">
        <is>
          <t>Medicine</t>
        </is>
      </c>
      <c r="G372" s="29" t="n">
        <v>45698</v>
      </c>
      <c r="H372" s="29" t="n">
        <v>45704</v>
      </c>
      <c r="I372" s="30" t="n">
        <v>6</v>
      </c>
      <c r="J372" t="inlineStr">
        <is>
          <t>J18.9</t>
        </is>
      </c>
      <c r="K372" t="inlineStr">
        <is>
          <t>Pneumonia, unspecified organism</t>
        </is>
      </c>
      <c r="L372" t="inlineStr">
        <is>
          <t>Respiratory</t>
        </is>
      </c>
      <c r="M372" t="inlineStr">
        <is>
          <t>Home/Self-Care</t>
        </is>
      </c>
      <c r="N372" t="inlineStr">
        <is>
          <t>Keystone Health Partners</t>
        </is>
      </c>
      <c r="O372" s="31" t="n">
        <v>27857.79</v>
      </c>
      <c r="P372" t="inlineStr">
        <is>
          <t>N</t>
        </is>
      </c>
    </row>
    <row r="373">
      <c r="A373" t="inlineStr">
        <is>
          <t>ENC112176</t>
        </is>
      </c>
      <c r="B373" t="inlineStr">
        <is>
          <t>PT10004</t>
        </is>
      </c>
      <c r="C373" t="inlineStr">
        <is>
          <t>Outpatient</t>
        </is>
      </c>
      <c r="D373" t="inlineStr">
        <is>
          <t>Bluestone Outpatient Pavilion</t>
        </is>
      </c>
      <c r="E373" t="inlineStr">
        <is>
          <t>Primary Care Clinic</t>
        </is>
      </c>
      <c r="F373" t="inlineStr">
        <is>
          <t>Ambulatory</t>
        </is>
      </c>
      <c r="G373" s="29" t="n">
        <v>45698</v>
      </c>
      <c r="H373" s="29" t="n">
        <v>45698</v>
      </c>
      <c r="I373" s="30" t="n"/>
      <c r="J373" t="inlineStr">
        <is>
          <t>Z23</t>
        </is>
      </c>
      <c r="K373" t="inlineStr">
        <is>
          <t>Encounter for immunization</t>
        </is>
      </c>
      <c r="L373" t="inlineStr">
        <is>
          <t>Factors Influencing Health</t>
        </is>
      </c>
      <c r="M373" t="inlineStr">
        <is>
          <t>Home/Self-Care</t>
        </is>
      </c>
      <c r="N373" t="inlineStr">
        <is>
          <t>Keystone Health Partners</t>
        </is>
      </c>
      <c r="O373" s="31" t="n">
        <v>125.4</v>
      </c>
    </row>
    <row r="374">
      <c r="A374" t="inlineStr">
        <is>
          <t>ENC112184</t>
        </is>
      </c>
      <c r="B374" t="inlineStr">
        <is>
          <t>PT11436</t>
        </is>
      </c>
      <c r="C374" t="inlineStr">
        <is>
          <t>Outpatient</t>
        </is>
      </c>
      <c r="D374" t="inlineStr">
        <is>
          <t>Bluestone Outpatient Pavilion</t>
        </is>
      </c>
      <c r="E374" t="inlineStr">
        <is>
          <t>Primary Care Clinic</t>
        </is>
      </c>
      <c r="F374" t="inlineStr">
        <is>
          <t>Ambulatory</t>
        </is>
      </c>
      <c r="G374" s="29" t="n">
        <v>45698</v>
      </c>
      <c r="H374" s="29" t="n">
        <v>45698</v>
      </c>
      <c r="I374" s="30" t="n"/>
      <c r="J374" t="inlineStr">
        <is>
          <t>L03.115</t>
        </is>
      </c>
      <c r="K374" t="inlineStr">
        <is>
          <t>Cellulitis of right lower limb</t>
        </is>
      </c>
      <c r="L374" t="inlineStr">
        <is>
          <t>Skin</t>
        </is>
      </c>
      <c r="M374" t="inlineStr">
        <is>
          <t>Home/Self-Care</t>
        </is>
      </c>
      <c r="N374" t="inlineStr">
        <is>
          <t>Silverline Medicare Advantage</t>
        </is>
      </c>
      <c r="O374" s="31" t="n">
        <v>429.38</v>
      </c>
    </row>
    <row r="375">
      <c r="A375" t="inlineStr">
        <is>
          <t>ENC112185</t>
        </is>
      </c>
      <c r="B375" t="inlineStr">
        <is>
          <t>PT10500</t>
        </is>
      </c>
      <c r="C375" t="inlineStr">
        <is>
          <t>Outpatient</t>
        </is>
      </c>
      <c r="D375" t="inlineStr">
        <is>
          <t>Bluestone Outpatient Pavilion</t>
        </is>
      </c>
      <c r="E375" t="inlineStr">
        <is>
          <t>Primary Care Clinic</t>
        </is>
      </c>
      <c r="F375" t="inlineStr">
        <is>
          <t>Ambulatory</t>
        </is>
      </c>
      <c r="G375" s="29" t="n">
        <v>45698</v>
      </c>
      <c r="H375" s="29" t="n">
        <v>45698</v>
      </c>
      <c r="I375" s="30" t="n"/>
      <c r="J375" t="inlineStr">
        <is>
          <t>Z23</t>
        </is>
      </c>
      <c r="K375" t="inlineStr">
        <is>
          <t>Encounter for immunization</t>
        </is>
      </c>
      <c r="L375" t="inlineStr">
        <is>
          <t>Factors Influencing Health</t>
        </is>
      </c>
      <c r="M375" t="inlineStr">
        <is>
          <t>Home/Self-Care</t>
        </is>
      </c>
      <c r="N375" t="inlineStr">
        <is>
          <t>Evergreen Mutual Insurance</t>
        </is>
      </c>
      <c r="O375" s="31" t="n">
        <v>98.84</v>
      </c>
    </row>
    <row r="376">
      <c r="A376" t="inlineStr">
        <is>
          <t>ENC112189</t>
        </is>
      </c>
      <c r="B376" t="inlineStr">
        <is>
          <t>PT13660</t>
        </is>
      </c>
      <c r="C376" t="inlineStr">
        <is>
          <t>Inpatient</t>
        </is>
      </c>
      <c r="D376" t="inlineStr">
        <is>
          <t>Cedar Ridge Medical Center</t>
        </is>
      </c>
      <c r="E376" t="inlineStr">
        <is>
          <t>Medical-Surgical</t>
        </is>
      </c>
      <c r="F376" t="inlineStr">
        <is>
          <t>Medicine</t>
        </is>
      </c>
      <c r="G376" s="29" t="n">
        <v>45698</v>
      </c>
      <c r="H376" s="29" t="n">
        <v>45702</v>
      </c>
      <c r="I376" s="30" t="n">
        <v>4</v>
      </c>
      <c r="J376" t="inlineStr">
        <is>
          <t>N39.0</t>
        </is>
      </c>
      <c r="K376" t="inlineStr">
        <is>
          <t>Urinary tract infection, site not specified</t>
        </is>
      </c>
      <c r="L376" t="inlineStr">
        <is>
          <t>Genitourinary</t>
        </is>
      </c>
      <c r="M376" t="inlineStr">
        <is>
          <t>Home/Self-Care</t>
        </is>
      </c>
      <c r="N376" t="inlineStr">
        <is>
          <t>Keystone Health Partners</t>
        </is>
      </c>
      <c r="O376" s="31" t="n">
        <v>29390.22</v>
      </c>
      <c r="P376" t="inlineStr">
        <is>
          <t>N</t>
        </is>
      </c>
    </row>
    <row r="377">
      <c r="A377" t="inlineStr">
        <is>
          <t>ENC112190</t>
        </is>
      </c>
      <c r="B377" t="inlineStr">
        <is>
          <t>PT10444</t>
        </is>
      </c>
      <c r="C377" t="inlineStr">
        <is>
          <t>Inpatient</t>
        </is>
      </c>
      <c r="D377" t="inlineStr">
        <is>
          <t>Bluestone Memorial Hospital</t>
        </is>
      </c>
      <c r="E377" t="inlineStr">
        <is>
          <t>Medical-Surgical 4 West</t>
        </is>
      </c>
      <c r="F377" t="inlineStr">
        <is>
          <t>Medicine</t>
        </is>
      </c>
      <c r="G377" s="29" t="n">
        <v>45698</v>
      </c>
      <c r="H377" s="29" t="n">
        <v>45700</v>
      </c>
      <c r="I377" s="30" t="n">
        <v>2</v>
      </c>
      <c r="J377" t="inlineStr">
        <is>
          <t>J44.1</t>
        </is>
      </c>
      <c r="K377" t="inlineStr">
        <is>
          <t>Chronic obstructive pulmonary disease with (acute) exacerbation</t>
        </is>
      </c>
      <c r="L377" t="inlineStr">
        <is>
          <t>Respiratory</t>
        </is>
      </c>
      <c r="M377" t="inlineStr">
        <is>
          <t>Home Health</t>
        </is>
      </c>
      <c r="N377" t="inlineStr">
        <is>
          <t>Medicare</t>
        </is>
      </c>
      <c r="O377" s="31" t="n">
        <v>11960.67</v>
      </c>
      <c r="P377" t="inlineStr">
        <is>
          <t>N</t>
        </is>
      </c>
    </row>
    <row r="378">
      <c r="A378" t="inlineStr">
        <is>
          <t>ENC112191</t>
        </is>
      </c>
      <c r="B378" t="inlineStr">
        <is>
          <t>PT12992</t>
        </is>
      </c>
      <c r="C378" t="inlineStr">
        <is>
          <t>Emergency</t>
        </is>
      </c>
      <c r="D378" t="inlineStr">
        <is>
          <t>Bluestone Memorial Hospital</t>
        </is>
      </c>
      <c r="E378" t="inlineStr">
        <is>
          <t>Emergency Department</t>
        </is>
      </c>
      <c r="F378" t="inlineStr">
        <is>
          <t>Emergency</t>
        </is>
      </c>
      <c r="G378" s="29" t="n">
        <v>45698</v>
      </c>
      <c r="H378" s="29" t="n">
        <v>45698</v>
      </c>
      <c r="I378" s="30" t="n"/>
      <c r="J378" t="inlineStr">
        <is>
          <t>I48.91</t>
        </is>
      </c>
      <c r="K378" t="inlineStr">
        <is>
          <t>Unspecified atrial fibrillation</t>
        </is>
      </c>
      <c r="L378" t="inlineStr">
        <is>
          <t>Circulatory</t>
        </is>
      </c>
      <c r="M378" t="inlineStr">
        <is>
          <t>Home/Self-Care</t>
        </is>
      </c>
      <c r="N378" t="inlineStr">
        <is>
          <t>State Medicaid</t>
        </is>
      </c>
      <c r="O378" s="31" t="n">
        <v>3733.66</v>
      </c>
    </row>
    <row r="379">
      <c r="A379" t="inlineStr">
        <is>
          <t>ENC112196</t>
        </is>
      </c>
      <c r="B379" t="inlineStr">
        <is>
          <t>PT12116</t>
        </is>
      </c>
      <c r="C379" t="inlineStr">
        <is>
          <t>Inpatient</t>
        </is>
      </c>
      <c r="D379" t="inlineStr">
        <is>
          <t>Ashby Falls Community Hospital</t>
        </is>
      </c>
      <c r="E379" t="inlineStr">
        <is>
          <t>Medical-Surgical</t>
        </is>
      </c>
      <c r="F379" t="inlineStr">
        <is>
          <t>Medicine</t>
        </is>
      </c>
      <c r="G379" s="29" t="n">
        <v>45698</v>
      </c>
      <c r="H379" s="29" t="n">
        <v>45701</v>
      </c>
      <c r="I379" s="30" t="n">
        <v>3</v>
      </c>
      <c r="J379" t="inlineStr">
        <is>
          <t>K56.609</t>
        </is>
      </c>
      <c r="K379" t="inlineStr">
        <is>
          <t>Unspecified intestinal obstruction</t>
        </is>
      </c>
      <c r="L379" t="inlineStr">
        <is>
          <t>Digestive</t>
        </is>
      </c>
      <c r="M379" t="inlineStr">
        <is>
          <t>Home/Self-Care</t>
        </is>
      </c>
      <c r="N379" t="inlineStr">
        <is>
          <t>Keystone Health Partners</t>
        </is>
      </c>
      <c r="O379" s="31" t="n">
        <v>27511.43</v>
      </c>
      <c r="P379" t="inlineStr">
        <is>
          <t>N</t>
        </is>
      </c>
    </row>
    <row r="380">
      <c r="A380" t="inlineStr">
        <is>
          <t>ENC112197</t>
        </is>
      </c>
      <c r="B380" t="inlineStr">
        <is>
          <t>PT11388</t>
        </is>
      </c>
      <c r="C380" t="inlineStr">
        <is>
          <t>Emergency</t>
        </is>
      </c>
      <c r="D380" t="inlineStr">
        <is>
          <t>Bluestone Memorial Hospital</t>
        </is>
      </c>
      <c r="E380" t="inlineStr">
        <is>
          <t>Emergency Department</t>
        </is>
      </c>
      <c r="F380" t="inlineStr">
        <is>
          <t>Emergency</t>
        </is>
      </c>
      <c r="G380" s="29" t="n">
        <v>45698</v>
      </c>
      <c r="H380" s="29" t="n">
        <v>45698</v>
      </c>
      <c r="I380" s="30" t="n"/>
      <c r="J380" t="inlineStr">
        <is>
          <t>S06.0X0A</t>
        </is>
      </c>
      <c r="K380" t="inlineStr">
        <is>
          <t>Concussion without loss of consciousness, initial encounter</t>
        </is>
      </c>
      <c r="L380" t="inlineStr">
        <is>
          <t>Injury</t>
        </is>
      </c>
      <c r="M380" t="inlineStr">
        <is>
          <t>Home/Self-Care</t>
        </is>
      </c>
      <c r="N380" t="inlineStr">
        <is>
          <t>Workers' Compensation</t>
        </is>
      </c>
      <c r="O380" s="31" t="n">
        <v>2708.25</v>
      </c>
    </row>
    <row r="381">
      <c r="A381" t="inlineStr">
        <is>
          <t>ENC112203</t>
        </is>
      </c>
      <c r="B381" t="inlineStr">
        <is>
          <t>PT10756</t>
        </is>
      </c>
      <c r="C381" t="inlineStr">
        <is>
          <t>Emergency</t>
        </is>
      </c>
      <c r="D381" t="inlineStr">
        <is>
          <t>Cedar Ridge Medical Center</t>
        </is>
      </c>
      <c r="E381" t="inlineStr">
        <is>
          <t>Emergency Department</t>
        </is>
      </c>
      <c r="F381" t="inlineStr">
        <is>
          <t>Emergency</t>
        </is>
      </c>
      <c r="G381" s="29" t="n">
        <v>45699</v>
      </c>
      <c r="H381" s="29" t="n">
        <v>45699</v>
      </c>
      <c r="I381" s="30" t="n"/>
      <c r="J381" t="inlineStr">
        <is>
          <t>I50.9</t>
        </is>
      </c>
      <c r="K381" t="inlineStr">
        <is>
          <t>Heart failure, unspecified</t>
        </is>
      </c>
      <c r="L381" t="inlineStr">
        <is>
          <t>Circulatory</t>
        </is>
      </c>
      <c r="M381" t="inlineStr">
        <is>
          <t>Home/Self-Care</t>
        </is>
      </c>
      <c r="N381" t="inlineStr">
        <is>
          <t>Summit Choice PPO</t>
        </is>
      </c>
      <c r="O381" s="31" t="n">
        <v>2554.58</v>
      </c>
    </row>
    <row r="382">
      <c r="A382" t="inlineStr">
        <is>
          <t>ENC112204</t>
        </is>
      </c>
      <c r="B382" t="inlineStr">
        <is>
          <t>PT13224</t>
        </is>
      </c>
      <c r="C382" t="inlineStr">
        <is>
          <t>Inpatient</t>
        </is>
      </c>
      <c r="D382" t="inlineStr">
        <is>
          <t>Ashby Falls Community Hospital</t>
        </is>
      </c>
      <c r="E382" t="inlineStr">
        <is>
          <t>Medical-Surgical</t>
        </is>
      </c>
      <c r="F382" t="inlineStr">
        <is>
          <t>Medicine</t>
        </is>
      </c>
      <c r="G382" s="29" t="n">
        <v>45699</v>
      </c>
      <c r="H382" s="29" t="n">
        <v>45705</v>
      </c>
      <c r="I382" s="30" t="n">
        <v>6</v>
      </c>
      <c r="J382" t="inlineStr">
        <is>
          <t>J44.1</t>
        </is>
      </c>
      <c r="K382" t="inlineStr">
        <is>
          <t>Chronic obstructive pulmonary disease with (acute) exacerbation</t>
        </is>
      </c>
      <c r="L382" t="inlineStr">
        <is>
          <t>Respiratory</t>
        </is>
      </c>
      <c r="M382" t="inlineStr">
        <is>
          <t>Home/Self-Care</t>
        </is>
      </c>
      <c r="N382" t="inlineStr">
        <is>
          <t>Silverline Medicare Advantage</t>
        </is>
      </c>
      <c r="O382" s="31" t="n">
        <v>22844.4</v>
      </c>
      <c r="P382" t="inlineStr">
        <is>
          <t>N</t>
        </is>
      </c>
    </row>
    <row r="383">
      <c r="A383" t="inlineStr">
        <is>
          <t>ENC112215</t>
        </is>
      </c>
      <c r="B383" t="inlineStr">
        <is>
          <t>PT12940</t>
        </is>
      </c>
      <c r="C383" t="inlineStr">
        <is>
          <t>Outpatient</t>
        </is>
      </c>
      <c r="D383" t="inlineStr">
        <is>
          <t>Bluestone Outpatient Pavilion</t>
        </is>
      </c>
      <c r="E383" t="inlineStr">
        <is>
          <t>Pediatric Clinic</t>
        </is>
      </c>
      <c r="F383" t="inlineStr">
        <is>
          <t>Women &amp; Children</t>
        </is>
      </c>
      <c r="G383" s="29" t="n">
        <v>45699</v>
      </c>
      <c r="H383" s="29" t="n">
        <v>45699</v>
      </c>
      <c r="I383" s="30" t="n"/>
      <c r="J383" t="inlineStr">
        <is>
          <t>H66.90</t>
        </is>
      </c>
      <c r="K383" t="inlineStr">
        <is>
          <t>Otitis media, unspecified, unspecified ear</t>
        </is>
      </c>
      <c r="L383" t="inlineStr">
        <is>
          <t>Ear</t>
        </is>
      </c>
      <c r="M383" t="inlineStr">
        <is>
          <t>Home/Self-Care</t>
        </is>
      </c>
      <c r="N383" t="inlineStr">
        <is>
          <t>Evergreen Mutual Insurance</t>
        </is>
      </c>
      <c r="O383" s="31" t="n">
        <v>372.93</v>
      </c>
    </row>
    <row r="384">
      <c r="A384" t="inlineStr">
        <is>
          <t>ENC112218</t>
        </is>
      </c>
      <c r="B384" t="inlineStr">
        <is>
          <t>PT13936</t>
        </is>
      </c>
      <c r="C384" t="inlineStr">
        <is>
          <t>Outpatient</t>
        </is>
      </c>
      <c r="D384" t="inlineStr">
        <is>
          <t>Bluestone Outpatient Pavilion</t>
        </is>
      </c>
      <c r="E384" t="inlineStr">
        <is>
          <t>Orthopedic Clinic</t>
        </is>
      </c>
      <c r="F384" t="inlineStr">
        <is>
          <t>Orthopedics</t>
        </is>
      </c>
      <c r="G384" s="29" t="n">
        <v>45699</v>
      </c>
      <c r="H384" s="29" t="n">
        <v>45699</v>
      </c>
      <c r="I384" s="30" t="n"/>
      <c r="J384" t="inlineStr">
        <is>
          <t>M17.11</t>
        </is>
      </c>
      <c r="K384" t="inlineStr">
        <is>
          <t>Unilateral primary osteoarthritis, right knee</t>
        </is>
      </c>
      <c r="L384" t="inlineStr">
        <is>
          <t>Musculoskeletal</t>
        </is>
      </c>
      <c r="M384" t="inlineStr">
        <is>
          <t>Home/Self-Care</t>
        </is>
      </c>
      <c r="N384" t="inlineStr">
        <is>
          <t>Medicare</t>
        </is>
      </c>
      <c r="O384" s="31" t="n">
        <v>121.97</v>
      </c>
    </row>
    <row r="385">
      <c r="A385" t="inlineStr">
        <is>
          <t>ENC112221</t>
        </is>
      </c>
      <c r="B385" t="inlineStr">
        <is>
          <t>PT10188</t>
        </is>
      </c>
      <c r="C385" t="inlineStr">
        <is>
          <t>Outpatient</t>
        </is>
      </c>
      <c r="D385" t="inlineStr">
        <is>
          <t>Bluestone Outpatient Pavilion</t>
        </is>
      </c>
      <c r="E385" t="inlineStr">
        <is>
          <t>Primary Care Clinic</t>
        </is>
      </c>
      <c r="F385" t="inlineStr">
        <is>
          <t>Ambulatory</t>
        </is>
      </c>
      <c r="G385" s="29" t="n">
        <v>45699</v>
      </c>
      <c r="H385" s="29" t="n">
        <v>45699</v>
      </c>
      <c r="I385" s="30" t="n"/>
      <c r="J385" t="inlineStr">
        <is>
          <t>Z23</t>
        </is>
      </c>
      <c r="K385" t="inlineStr">
        <is>
          <t>Encounter for immunization</t>
        </is>
      </c>
      <c r="L385" t="inlineStr">
        <is>
          <t>Factors Influencing Health</t>
        </is>
      </c>
      <c r="M385" t="inlineStr">
        <is>
          <t>Home/Self-Care</t>
        </is>
      </c>
      <c r="N385" t="inlineStr">
        <is>
          <t>State Medicaid</t>
        </is>
      </c>
      <c r="O385" s="31" t="n">
        <v>105.21</v>
      </c>
    </row>
    <row r="386">
      <c r="A386" t="inlineStr">
        <is>
          <t>ENC112222</t>
        </is>
      </c>
      <c r="B386" t="inlineStr">
        <is>
          <t>PT11232</t>
        </is>
      </c>
      <c r="C386" t="inlineStr">
        <is>
          <t>Outpatient</t>
        </is>
      </c>
      <c r="D386" t="inlineStr">
        <is>
          <t>Bluestone Outpatient Pavilion</t>
        </is>
      </c>
      <c r="E386" t="inlineStr">
        <is>
          <t>Infusion &amp; Oncology Clinic</t>
        </is>
      </c>
      <c r="F386" t="inlineStr">
        <is>
          <t>Oncology</t>
        </is>
      </c>
      <c r="G386" s="29" t="n">
        <v>45699</v>
      </c>
      <c r="H386" s="29" t="n">
        <v>45699</v>
      </c>
      <c r="I386" s="30" t="n"/>
      <c r="J386" t="inlineStr">
        <is>
          <t>Z51.11</t>
        </is>
      </c>
      <c r="K386" t="inlineStr">
        <is>
          <t>Encounter for antineoplastic chemotherapy</t>
        </is>
      </c>
      <c r="L386" t="inlineStr">
        <is>
          <t>Factors Influencing Health</t>
        </is>
      </c>
      <c r="M386" t="inlineStr">
        <is>
          <t>Home/Self-Care</t>
        </is>
      </c>
      <c r="N386" t="inlineStr">
        <is>
          <t>State Medicaid</t>
        </is>
      </c>
      <c r="O386" s="31" t="n">
        <v>10721.04</v>
      </c>
    </row>
    <row r="387">
      <c r="A387" t="inlineStr">
        <is>
          <t>ENC112223</t>
        </is>
      </c>
      <c r="B387" t="inlineStr">
        <is>
          <t>PT13820</t>
        </is>
      </c>
      <c r="C387" t="inlineStr">
        <is>
          <t>Outpatient</t>
        </is>
      </c>
      <c r="D387" t="inlineStr">
        <is>
          <t>Bluestone Outpatient Pavilion</t>
        </is>
      </c>
      <c r="E387" t="inlineStr">
        <is>
          <t>Primary Care Clinic</t>
        </is>
      </c>
      <c r="F387" t="inlineStr">
        <is>
          <t>Ambulatory</t>
        </is>
      </c>
      <c r="G387" s="29" t="n">
        <v>45699</v>
      </c>
      <c r="H387" s="29" t="n">
        <v>45699</v>
      </c>
      <c r="I387" s="30" t="n"/>
      <c r="J387" t="inlineStr">
        <is>
          <t>I10</t>
        </is>
      </c>
      <c r="K387" t="inlineStr">
        <is>
          <t>Essential (primary) hypertension</t>
        </is>
      </c>
      <c r="L387" t="inlineStr">
        <is>
          <t>Circulatory</t>
        </is>
      </c>
      <c r="M387" t="inlineStr">
        <is>
          <t>Home/Self-Care</t>
        </is>
      </c>
      <c r="N387" t="inlineStr">
        <is>
          <t>Summit Choice PPO</t>
        </is>
      </c>
      <c r="O387" s="31" t="n">
        <v>232.79</v>
      </c>
    </row>
    <row r="388">
      <c r="A388" t="inlineStr">
        <is>
          <t>ENC112225</t>
        </is>
      </c>
      <c r="B388" t="inlineStr">
        <is>
          <t>PT12456</t>
        </is>
      </c>
      <c r="C388" t="inlineStr">
        <is>
          <t>Inpatient</t>
        </is>
      </c>
      <c r="D388" t="inlineStr">
        <is>
          <t>Cedar Ridge Medical Center</t>
        </is>
      </c>
      <c r="E388" t="inlineStr">
        <is>
          <t>Intensive Care Unit</t>
        </is>
      </c>
      <c r="F388" t="inlineStr">
        <is>
          <t>Critical Care</t>
        </is>
      </c>
      <c r="G388" s="29" t="n">
        <v>45699</v>
      </c>
      <c r="H388" s="29" t="n">
        <v>45715</v>
      </c>
      <c r="I388" s="30" t="n">
        <v>16</v>
      </c>
      <c r="J388" t="inlineStr">
        <is>
          <t>A41.9</t>
        </is>
      </c>
      <c r="K388" t="inlineStr">
        <is>
          <t>Sepsis, unspecified organism</t>
        </is>
      </c>
      <c r="L388" t="inlineStr">
        <is>
          <t>Infectious</t>
        </is>
      </c>
      <c r="M388" t="inlineStr">
        <is>
          <t>Skilled Nursing Facility</t>
        </is>
      </c>
      <c r="N388" t="inlineStr">
        <is>
          <t>Keystone Health Partners</t>
        </is>
      </c>
      <c r="O388" s="31" t="n">
        <v>165467.2</v>
      </c>
      <c r="P388" t="inlineStr">
        <is>
          <t>N</t>
        </is>
      </c>
    </row>
    <row r="389">
      <c r="A389" t="inlineStr">
        <is>
          <t>ENC112234</t>
        </is>
      </c>
      <c r="B389" t="inlineStr">
        <is>
          <t>PT12400</t>
        </is>
      </c>
      <c r="C389" t="inlineStr">
        <is>
          <t>Outpatient</t>
        </is>
      </c>
      <c r="D389" t="inlineStr">
        <is>
          <t>Bluestone Outpatient Pavilion</t>
        </is>
      </c>
      <c r="E389" t="inlineStr">
        <is>
          <t>Primary Care Clinic</t>
        </is>
      </c>
      <c r="F389" t="inlineStr">
        <is>
          <t>Ambulatory</t>
        </is>
      </c>
      <c r="G389" s="29" t="n">
        <v>45699</v>
      </c>
      <c r="H389" s="29" t="n">
        <v>45699</v>
      </c>
      <c r="I389" s="30" t="n"/>
      <c r="J389" t="inlineStr">
        <is>
          <t>I10</t>
        </is>
      </c>
      <c r="K389" t="inlineStr">
        <is>
          <t>Essential (primary) hypertension</t>
        </is>
      </c>
      <c r="L389" t="inlineStr">
        <is>
          <t>Circulatory</t>
        </is>
      </c>
      <c r="M389" t="inlineStr">
        <is>
          <t>Home/Self-Care</t>
        </is>
      </c>
      <c r="N389" t="inlineStr">
        <is>
          <t>Self-Pay</t>
        </is>
      </c>
      <c r="O389" s="31" t="n">
        <v>296.58</v>
      </c>
    </row>
    <row r="390">
      <c r="A390" t="inlineStr">
        <is>
          <t>ENC112236</t>
        </is>
      </c>
      <c r="B390" t="inlineStr">
        <is>
          <t>PT13728</t>
        </is>
      </c>
      <c r="C390" t="inlineStr">
        <is>
          <t>Emergency</t>
        </is>
      </c>
      <c r="D390" t="inlineStr">
        <is>
          <t>Bluestone Memorial Hospital</t>
        </is>
      </c>
      <c r="E390" t="inlineStr">
        <is>
          <t>Emergency Department</t>
        </is>
      </c>
      <c r="F390" t="inlineStr">
        <is>
          <t>Emergency</t>
        </is>
      </c>
      <c r="G390" s="29" t="n">
        <v>45699</v>
      </c>
      <c r="H390" s="29" t="n">
        <v>45699</v>
      </c>
      <c r="I390" s="30" t="n"/>
      <c r="J390" t="inlineStr">
        <is>
          <t>J44.1</t>
        </is>
      </c>
      <c r="K390" t="inlineStr">
        <is>
          <t>Chronic obstructive pulmonary disease with (acute) exacerbation</t>
        </is>
      </c>
      <c r="L390" t="inlineStr">
        <is>
          <t>Respiratory</t>
        </is>
      </c>
      <c r="M390" t="inlineStr">
        <is>
          <t>Home/Self-Care</t>
        </is>
      </c>
      <c r="N390" t="inlineStr">
        <is>
          <t>Summit Choice PPO</t>
        </is>
      </c>
      <c r="O390" s="31" t="n">
        <v>4332</v>
      </c>
    </row>
    <row r="391">
      <c r="A391" t="inlineStr">
        <is>
          <t>ENC112237</t>
        </is>
      </c>
      <c r="B391" t="inlineStr">
        <is>
          <t>PT12188</t>
        </is>
      </c>
      <c r="C391" t="inlineStr">
        <is>
          <t>Emergency</t>
        </is>
      </c>
      <c r="D391" t="inlineStr">
        <is>
          <t>Ashby Falls Community Hospital</t>
        </is>
      </c>
      <c r="E391" t="inlineStr">
        <is>
          <t>Emergency Department</t>
        </is>
      </c>
      <c r="F391" t="inlineStr">
        <is>
          <t>Emergency</t>
        </is>
      </c>
      <c r="G391" s="29" t="n">
        <v>45699</v>
      </c>
      <c r="H391" s="29" t="n">
        <v>45699</v>
      </c>
      <c r="I391" s="30" t="n"/>
      <c r="J391" t="inlineStr">
        <is>
          <t>U07.1</t>
        </is>
      </c>
      <c r="K391" t="inlineStr">
        <is>
          <t>COVID-19</t>
        </is>
      </c>
      <c r="L391" t="inlineStr">
        <is>
          <t>Respiratory</t>
        </is>
      </c>
      <c r="M391" t="inlineStr">
        <is>
          <t>Home/Self-Care</t>
        </is>
      </c>
      <c r="N391" t="inlineStr">
        <is>
          <t>State Medicaid</t>
        </is>
      </c>
      <c r="O391" s="31" t="n">
        <v>4128.33</v>
      </c>
    </row>
    <row r="392">
      <c r="A392" t="inlineStr">
        <is>
          <t>ENC112238</t>
        </is>
      </c>
      <c r="B392" t="inlineStr">
        <is>
          <t>PT10772</t>
        </is>
      </c>
      <c r="C392" t="inlineStr">
        <is>
          <t>Outpatient</t>
        </is>
      </c>
      <c r="D392" t="inlineStr">
        <is>
          <t>Bluestone Outpatient Pavilion</t>
        </is>
      </c>
      <c r="E392" t="inlineStr">
        <is>
          <t>Cardiology Clinic</t>
        </is>
      </c>
      <c r="F392" t="inlineStr">
        <is>
          <t>Cardiovascular</t>
        </is>
      </c>
      <c r="G392" s="29" t="n">
        <v>45699</v>
      </c>
      <c r="H392" s="29" t="n">
        <v>45699</v>
      </c>
      <c r="I392" s="30" t="n"/>
      <c r="J392" t="inlineStr">
        <is>
          <t>I48.91</t>
        </is>
      </c>
      <c r="K392" t="inlineStr">
        <is>
          <t>Unspecified atrial fibrillation</t>
        </is>
      </c>
      <c r="L392" t="inlineStr">
        <is>
          <t>Circulatory</t>
        </is>
      </c>
      <c r="M392" t="inlineStr">
        <is>
          <t>Home/Self-Care</t>
        </is>
      </c>
      <c r="N392" t="inlineStr">
        <is>
          <t>Silverline Medicare Advantage</t>
        </is>
      </c>
      <c r="O392" s="31" t="n">
        <v>371.65</v>
      </c>
    </row>
    <row r="393">
      <c r="A393" t="inlineStr">
        <is>
          <t>ENC112242</t>
        </is>
      </c>
      <c r="B393" t="inlineStr">
        <is>
          <t>PT10264</t>
        </is>
      </c>
      <c r="C393" t="inlineStr">
        <is>
          <t>Emergency</t>
        </is>
      </c>
      <c r="D393" t="inlineStr">
        <is>
          <t>Bluestone Memorial Hospital</t>
        </is>
      </c>
      <c r="E393" t="inlineStr">
        <is>
          <t>Emergency Department</t>
        </is>
      </c>
      <c r="F393" t="inlineStr">
        <is>
          <t>Emergency</t>
        </is>
      </c>
      <c r="G393" s="29" t="n">
        <v>45699</v>
      </c>
      <c r="H393" s="29" t="n">
        <v>45699</v>
      </c>
      <c r="I393" s="30" t="n"/>
      <c r="J393" t="inlineStr">
        <is>
          <t>J45.909</t>
        </is>
      </c>
      <c r="K393" t="inlineStr">
        <is>
          <t>Unspecified asthma, uncomplicated</t>
        </is>
      </c>
      <c r="L393" t="inlineStr">
        <is>
          <t>Respiratory</t>
        </is>
      </c>
      <c r="M393" t="inlineStr">
        <is>
          <t>Home/Self-Care</t>
        </is>
      </c>
      <c r="N393" t="inlineStr">
        <is>
          <t>Keystone Health Partners</t>
        </is>
      </c>
      <c r="O393" s="31" t="n">
        <v>4132.17</v>
      </c>
    </row>
    <row r="394">
      <c r="A394" t="inlineStr">
        <is>
          <t>ENC112245</t>
        </is>
      </c>
      <c r="B394" t="inlineStr">
        <is>
          <t>PT10384</t>
        </is>
      </c>
      <c r="C394" t="inlineStr">
        <is>
          <t>Emergency</t>
        </is>
      </c>
      <c r="D394" t="inlineStr">
        <is>
          <t>Bluestone Memorial Hospital</t>
        </is>
      </c>
      <c r="E394" t="inlineStr">
        <is>
          <t>Emergency Department</t>
        </is>
      </c>
      <c r="F394" t="inlineStr">
        <is>
          <t>Emergency</t>
        </is>
      </c>
      <c r="G394" s="29" t="n">
        <v>45699</v>
      </c>
      <c r="H394" s="29" t="n">
        <v>45699</v>
      </c>
      <c r="I394" s="30" t="n"/>
      <c r="J394" t="inlineStr">
        <is>
          <t>M54.50</t>
        </is>
      </c>
      <c r="K394" t="inlineStr">
        <is>
          <t>Low back pain, unspecified</t>
        </is>
      </c>
      <c r="L394" t="inlineStr">
        <is>
          <t>Musculoskeletal</t>
        </is>
      </c>
      <c r="M394" t="inlineStr">
        <is>
          <t>Home/Self-Care</t>
        </is>
      </c>
      <c r="N394" t="inlineStr">
        <is>
          <t>State Medicaid</t>
        </is>
      </c>
      <c r="O394" s="31" t="n">
        <v>1304.75</v>
      </c>
    </row>
    <row r="395">
      <c r="A395" t="inlineStr">
        <is>
          <t>ENC112250</t>
        </is>
      </c>
      <c r="B395" t="inlineStr">
        <is>
          <t>PT11260</t>
        </is>
      </c>
      <c r="C395" t="inlineStr">
        <is>
          <t>Emergency</t>
        </is>
      </c>
      <c r="D395" t="inlineStr">
        <is>
          <t>Cedar Ridge Medical Center</t>
        </is>
      </c>
      <c r="E395" t="inlineStr">
        <is>
          <t>Emergency Department</t>
        </is>
      </c>
      <c r="F395" t="inlineStr">
        <is>
          <t>Emergency</t>
        </is>
      </c>
      <c r="G395" s="29" t="n">
        <v>45700</v>
      </c>
      <c r="H395" s="29" t="n">
        <v>45700</v>
      </c>
      <c r="I395" s="30" t="n"/>
      <c r="J395" t="inlineStr">
        <is>
          <t>R10.9</t>
        </is>
      </c>
      <c r="K395" t="inlineStr">
        <is>
          <t>Unspecified abdominal pain</t>
        </is>
      </c>
      <c r="L395" t="inlineStr">
        <is>
          <t>Symptoms &amp; Signs</t>
        </is>
      </c>
      <c r="M395" t="inlineStr">
        <is>
          <t>Home/Self-Care</t>
        </is>
      </c>
      <c r="N395" t="inlineStr">
        <is>
          <t>State Medicaid</t>
        </is>
      </c>
      <c r="O395" s="31" t="n">
        <v>3564.7</v>
      </c>
    </row>
    <row r="396">
      <c r="A396" t="inlineStr">
        <is>
          <t>ENC112254</t>
        </is>
      </c>
      <c r="B396" t="inlineStr">
        <is>
          <t>PT13012</t>
        </is>
      </c>
      <c r="C396" t="inlineStr">
        <is>
          <t>Emergency</t>
        </is>
      </c>
      <c r="D396" t="inlineStr">
        <is>
          <t>Cedar Ridge Medical Center</t>
        </is>
      </c>
      <c r="E396" t="inlineStr">
        <is>
          <t>Emergency Department</t>
        </is>
      </c>
      <c r="F396" t="inlineStr">
        <is>
          <t>Emergency</t>
        </is>
      </c>
      <c r="G396" s="29" t="n">
        <v>45700</v>
      </c>
      <c r="H396" s="29" t="n">
        <v>45700</v>
      </c>
      <c r="I396" s="30" t="n"/>
      <c r="J396" t="inlineStr">
        <is>
          <t>J06.9</t>
        </is>
      </c>
      <c r="K396" t="inlineStr">
        <is>
          <t>Acute upper respiratory infection, unspecified</t>
        </is>
      </c>
      <c r="L396" t="inlineStr">
        <is>
          <t>Respiratory</t>
        </is>
      </c>
      <c r="M396" t="inlineStr">
        <is>
          <t>Home/Self-Care</t>
        </is>
      </c>
      <c r="N396" t="inlineStr">
        <is>
          <t>Evergreen Mutual Insurance</t>
        </is>
      </c>
      <c r="O396" s="31" t="n">
        <v>1033.31</v>
      </c>
    </row>
    <row r="397">
      <c r="A397" t="inlineStr">
        <is>
          <t>ENC112256</t>
        </is>
      </c>
      <c r="B397" t="inlineStr">
        <is>
          <t>PT10536</t>
        </is>
      </c>
      <c r="C397" t="inlineStr">
        <is>
          <t>Outpatient</t>
        </is>
      </c>
      <c r="D397" t="inlineStr">
        <is>
          <t>Bluestone Outpatient Pavilion</t>
        </is>
      </c>
      <c r="E397" t="inlineStr">
        <is>
          <t>Primary Care Clinic</t>
        </is>
      </c>
      <c r="F397" t="inlineStr">
        <is>
          <t>Ambulatory</t>
        </is>
      </c>
      <c r="G397" s="29" t="n">
        <v>45700</v>
      </c>
      <c r="H397" s="29" t="n">
        <v>45700</v>
      </c>
      <c r="I397" s="30" t="n"/>
      <c r="J397" t="inlineStr">
        <is>
          <t>J44.1</t>
        </is>
      </c>
      <c r="K397" t="inlineStr">
        <is>
          <t>Chronic obstructive pulmonary disease with (acute) exacerbation</t>
        </is>
      </c>
      <c r="L397" t="inlineStr">
        <is>
          <t>Respiratory</t>
        </is>
      </c>
      <c r="M397" t="inlineStr">
        <is>
          <t>Home/Self-Care</t>
        </is>
      </c>
      <c r="N397" t="inlineStr">
        <is>
          <t>Keystone Health Partners</t>
        </is>
      </c>
      <c r="O397" s="31" t="n">
        <v>461.7</v>
      </c>
    </row>
    <row r="398">
      <c r="A398" t="inlineStr">
        <is>
          <t>ENC112274</t>
        </is>
      </c>
      <c r="B398" t="inlineStr">
        <is>
          <t>PT11560</t>
        </is>
      </c>
      <c r="C398" t="inlineStr">
        <is>
          <t>Emergency</t>
        </is>
      </c>
      <c r="D398" t="inlineStr">
        <is>
          <t>Bluestone Memorial Hospital</t>
        </is>
      </c>
      <c r="E398" t="inlineStr">
        <is>
          <t>Emergency Department</t>
        </is>
      </c>
      <c r="F398" t="inlineStr">
        <is>
          <t>Emergency</t>
        </is>
      </c>
      <c r="G398" s="29" t="n">
        <v>45700</v>
      </c>
      <c r="H398" s="29" t="n">
        <v>45700</v>
      </c>
      <c r="I398" s="30" t="n"/>
      <c r="J398" t="inlineStr">
        <is>
          <t>J18.9</t>
        </is>
      </c>
      <c r="K398" t="inlineStr">
        <is>
          <t>Pneumonia, unspecified organism</t>
        </is>
      </c>
      <c r="L398" t="inlineStr">
        <is>
          <t>Respiratory</t>
        </is>
      </c>
      <c r="M398" t="inlineStr">
        <is>
          <t>Left Without Being Seen</t>
        </is>
      </c>
      <c r="N398" t="inlineStr">
        <is>
          <t>Keystone Health Partners</t>
        </is>
      </c>
      <c r="O398" s="31" t="n">
        <v>1844.45</v>
      </c>
    </row>
    <row r="399">
      <c r="A399" t="inlineStr">
        <is>
          <t>ENC112277</t>
        </is>
      </c>
      <c r="B399" t="inlineStr">
        <is>
          <t>PT12032</t>
        </is>
      </c>
      <c r="C399" t="inlineStr">
        <is>
          <t>Emergency</t>
        </is>
      </c>
      <c r="D399" t="inlineStr">
        <is>
          <t>Bluestone Memorial Hospital</t>
        </is>
      </c>
      <c r="E399" t="inlineStr">
        <is>
          <t>Emergency Department</t>
        </is>
      </c>
      <c r="F399" t="inlineStr">
        <is>
          <t>Emergency</t>
        </is>
      </c>
      <c r="G399" s="29" t="n">
        <v>45700</v>
      </c>
      <c r="H399" s="29" t="n">
        <v>45700</v>
      </c>
      <c r="I399" s="30" t="n"/>
      <c r="J399" t="inlineStr">
        <is>
          <t>J06.9</t>
        </is>
      </c>
      <c r="K399" t="inlineStr">
        <is>
          <t>Acute upper respiratory infection, unspecified</t>
        </is>
      </c>
      <c r="L399" t="inlineStr">
        <is>
          <t>Respiratory</t>
        </is>
      </c>
      <c r="M399" t="inlineStr">
        <is>
          <t>Home/Self-Care</t>
        </is>
      </c>
      <c r="N399" t="inlineStr">
        <is>
          <t>State Medicaid</t>
        </is>
      </c>
      <c r="O399" s="31" t="n">
        <v>1449.88</v>
      </c>
    </row>
    <row r="400">
      <c r="A400" t="inlineStr">
        <is>
          <t>ENC112292</t>
        </is>
      </c>
      <c r="B400" t="inlineStr">
        <is>
          <t>PT11028</t>
        </is>
      </c>
      <c r="C400" t="inlineStr">
        <is>
          <t>Outpatient</t>
        </is>
      </c>
      <c r="D400" t="inlineStr">
        <is>
          <t>Bluestone Outpatient Pavilion</t>
        </is>
      </c>
      <c r="E400" t="inlineStr">
        <is>
          <t>Primary Care Clinic</t>
        </is>
      </c>
      <c r="F400" t="inlineStr">
        <is>
          <t>Ambulatory</t>
        </is>
      </c>
      <c r="G400" s="29" t="n">
        <v>45701</v>
      </c>
      <c r="H400" s="29" t="n">
        <v>45701</v>
      </c>
      <c r="I400" s="30" t="n"/>
      <c r="J400" t="inlineStr">
        <is>
          <t>Z23</t>
        </is>
      </c>
      <c r="K400" t="inlineStr">
        <is>
          <t>Encounter for immunization</t>
        </is>
      </c>
      <c r="L400" t="inlineStr">
        <is>
          <t>Factors Influencing Health</t>
        </is>
      </c>
      <c r="M400" t="inlineStr">
        <is>
          <t>Home/Self-Care</t>
        </is>
      </c>
      <c r="N400" t="inlineStr">
        <is>
          <t>Self-Pay</t>
        </is>
      </c>
      <c r="O400" s="31" t="n">
        <v>123.51</v>
      </c>
    </row>
    <row r="401">
      <c r="A401" t="inlineStr">
        <is>
          <t>ENC112299</t>
        </is>
      </c>
      <c r="B401" t="inlineStr">
        <is>
          <t>PT13984</t>
        </is>
      </c>
      <c r="C401" t="inlineStr">
        <is>
          <t>Outpatient</t>
        </is>
      </c>
      <c r="D401" t="inlineStr">
        <is>
          <t>Bluestone Outpatient Pavilion</t>
        </is>
      </c>
      <c r="E401" t="inlineStr">
        <is>
          <t>Primary Care Clinic</t>
        </is>
      </c>
      <c r="F401" t="inlineStr">
        <is>
          <t>Ambulatory</t>
        </is>
      </c>
      <c r="G401" s="29" t="n">
        <v>45701</v>
      </c>
      <c r="H401" s="29" t="n">
        <v>45701</v>
      </c>
      <c r="I401" s="30" t="n"/>
      <c r="J401" t="inlineStr">
        <is>
          <t>E78.5</t>
        </is>
      </c>
      <c r="K401" t="inlineStr">
        <is>
          <t>Hyperlipidemia, unspecified</t>
        </is>
      </c>
      <c r="L401" t="inlineStr">
        <is>
          <t>Endocrine</t>
        </is>
      </c>
      <c r="M401" t="inlineStr">
        <is>
          <t>Home/Self-Care</t>
        </is>
      </c>
      <c r="N401" t="inlineStr">
        <is>
          <t>Medicare</t>
        </is>
      </c>
      <c r="O401" s="31" t="n">
        <v>519.38</v>
      </c>
    </row>
    <row r="402">
      <c r="A402" t="inlineStr">
        <is>
          <t>ENC112302</t>
        </is>
      </c>
      <c r="B402" t="inlineStr">
        <is>
          <t>PT12160</t>
        </is>
      </c>
      <c r="C402" t="inlineStr">
        <is>
          <t>Outpatient</t>
        </is>
      </c>
      <c r="D402" t="inlineStr">
        <is>
          <t>Bluestone Outpatient Pavilion</t>
        </is>
      </c>
      <c r="E402" t="inlineStr">
        <is>
          <t>Endocrinology &amp; Diabetes Clinic</t>
        </is>
      </c>
      <c r="F402" t="inlineStr">
        <is>
          <t>Ambulatory</t>
        </is>
      </c>
      <c r="G402" s="29" t="n">
        <v>45701</v>
      </c>
      <c r="H402" s="29" t="n">
        <v>45701</v>
      </c>
      <c r="I402" s="30" t="n"/>
      <c r="J402" t="inlineStr">
        <is>
          <t>E11.9</t>
        </is>
      </c>
      <c r="K402" t="inlineStr">
        <is>
          <t>Type 2 diabetes mellitus without complications</t>
        </is>
      </c>
      <c r="L402" t="inlineStr">
        <is>
          <t>Endocrine</t>
        </is>
      </c>
      <c r="M402" t="inlineStr">
        <is>
          <t>Home/Self-Care</t>
        </is>
      </c>
      <c r="N402" t="inlineStr">
        <is>
          <t>State Medicaid</t>
        </is>
      </c>
      <c r="O402" s="31" t="n">
        <v>346.85</v>
      </c>
    </row>
    <row r="403">
      <c r="A403" t="inlineStr">
        <is>
          <t>ENC112307</t>
        </is>
      </c>
      <c r="B403" t="inlineStr">
        <is>
          <t>PT12064</t>
        </is>
      </c>
      <c r="C403" t="inlineStr">
        <is>
          <t>Outpatient</t>
        </is>
      </c>
      <c r="D403" t="inlineStr">
        <is>
          <t>Bluestone Outpatient Pavilion</t>
        </is>
      </c>
      <c r="E403" t="inlineStr">
        <is>
          <t>Cardiology Clinic</t>
        </is>
      </c>
      <c r="F403" t="inlineStr">
        <is>
          <t>Cardiovascular</t>
        </is>
      </c>
      <c r="G403" s="29" t="n">
        <v>45701</v>
      </c>
      <c r="H403" s="29" t="n">
        <v>45701</v>
      </c>
      <c r="I403" s="30" t="n"/>
      <c r="J403" t="inlineStr">
        <is>
          <t>I48.91</t>
        </is>
      </c>
      <c r="K403" t="inlineStr">
        <is>
          <t>Unspecified atrial fibrillation</t>
        </is>
      </c>
      <c r="L403" t="inlineStr">
        <is>
          <t>Circulatory</t>
        </is>
      </c>
      <c r="M403" t="inlineStr">
        <is>
          <t>Home/Self-Care</t>
        </is>
      </c>
      <c r="N403" t="inlineStr">
        <is>
          <t>State Medicaid</t>
        </is>
      </c>
      <c r="O403" s="31" t="n">
        <v>324.54</v>
      </c>
    </row>
    <row r="404">
      <c r="A404" t="inlineStr">
        <is>
          <t>ENC112320</t>
        </is>
      </c>
      <c r="B404" t="inlineStr">
        <is>
          <t>PT13520</t>
        </is>
      </c>
      <c r="C404" t="inlineStr">
        <is>
          <t>Outpatient</t>
        </is>
      </c>
      <c r="D404" t="inlineStr">
        <is>
          <t>Bluestone Outpatient Pavilion</t>
        </is>
      </c>
      <c r="E404" t="inlineStr">
        <is>
          <t>Pediatric Clinic</t>
        </is>
      </c>
      <c r="F404" t="inlineStr">
        <is>
          <t>Women &amp; Children</t>
        </is>
      </c>
      <c r="G404" s="29" t="n">
        <v>45701</v>
      </c>
      <c r="H404" s="29" t="n">
        <v>45701</v>
      </c>
      <c r="I404" s="30" t="n"/>
      <c r="J404" t="inlineStr">
        <is>
          <t>H66.90</t>
        </is>
      </c>
      <c r="K404" t="inlineStr">
        <is>
          <t>Otitis media, unspecified, unspecified ear</t>
        </is>
      </c>
      <c r="L404" t="inlineStr">
        <is>
          <t>Ear</t>
        </is>
      </c>
      <c r="M404" t="inlineStr">
        <is>
          <t>Home/Self-Care</t>
        </is>
      </c>
      <c r="N404" t="inlineStr">
        <is>
          <t>State Medicaid</t>
        </is>
      </c>
      <c r="O404" s="31" t="n">
        <v>329.58</v>
      </c>
    </row>
    <row r="405">
      <c r="A405" t="inlineStr">
        <is>
          <t>ENC112322</t>
        </is>
      </c>
      <c r="B405" t="inlineStr">
        <is>
          <t>PT13496</t>
        </is>
      </c>
      <c r="C405" t="inlineStr">
        <is>
          <t>Emergency</t>
        </is>
      </c>
      <c r="D405" t="inlineStr">
        <is>
          <t>Bluestone Memorial Hospital</t>
        </is>
      </c>
      <c r="E405" t="inlineStr">
        <is>
          <t>Emergency Department</t>
        </is>
      </c>
      <c r="F405" t="inlineStr">
        <is>
          <t>Emergency</t>
        </is>
      </c>
      <c r="G405" s="29" t="n">
        <v>45701</v>
      </c>
      <c r="H405" s="29" t="n">
        <v>45701</v>
      </c>
      <c r="I405" s="30" t="n"/>
      <c r="J405" t="inlineStr">
        <is>
          <t>H66.90</t>
        </is>
      </c>
      <c r="K405" t="inlineStr">
        <is>
          <t>Otitis media, unspecified, unspecified ear</t>
        </is>
      </c>
      <c r="L405" t="inlineStr">
        <is>
          <t>Ear</t>
        </is>
      </c>
      <c r="M405" t="inlineStr">
        <is>
          <t>Home/Self-Care</t>
        </is>
      </c>
      <c r="N405" t="inlineStr">
        <is>
          <t>Keystone Health Partners</t>
        </is>
      </c>
      <c r="O405" s="31" t="n">
        <v>725.92</v>
      </c>
    </row>
    <row r="406">
      <c r="A406" t="inlineStr">
        <is>
          <t>ENC112330</t>
        </is>
      </c>
      <c r="B406" t="inlineStr">
        <is>
          <t>PT10464</t>
        </is>
      </c>
      <c r="C406" t="inlineStr">
        <is>
          <t>Inpatient</t>
        </is>
      </c>
      <c r="D406" t="inlineStr">
        <is>
          <t>Bluestone Memorial Hospital</t>
        </is>
      </c>
      <c r="E406" t="inlineStr">
        <is>
          <t>Medical-Surgical 4 West</t>
        </is>
      </c>
      <c r="F406" t="inlineStr">
        <is>
          <t>Medicine</t>
        </is>
      </c>
      <c r="G406" s="29" t="n">
        <v>45702</v>
      </c>
      <c r="H406" s="29" t="n">
        <v>45708</v>
      </c>
      <c r="I406" s="30" t="n">
        <v>6</v>
      </c>
      <c r="J406" t="inlineStr">
        <is>
          <t>J18.9</t>
        </is>
      </c>
      <c r="K406" t="inlineStr">
        <is>
          <t>Pneumonia, unspecified organism</t>
        </is>
      </c>
      <c r="L406" t="inlineStr">
        <is>
          <t>Respiratory</t>
        </is>
      </c>
      <c r="M406" t="inlineStr">
        <is>
          <t>Home/Self-Care</t>
        </is>
      </c>
      <c r="N406" t="inlineStr">
        <is>
          <t>Evergreen Mutual Insurance</t>
        </is>
      </c>
      <c r="O406" s="31" t="n">
        <v>28200.39</v>
      </c>
      <c r="P406" t="inlineStr">
        <is>
          <t>Y</t>
        </is>
      </c>
    </row>
    <row r="407">
      <c r="A407" t="inlineStr">
        <is>
          <t>ENC112337</t>
        </is>
      </c>
      <c r="B407" t="inlineStr">
        <is>
          <t>PT12200</t>
        </is>
      </c>
      <c r="C407" t="inlineStr">
        <is>
          <t>Outpatient</t>
        </is>
      </c>
      <c r="D407" t="inlineStr">
        <is>
          <t>Bluestone Outpatient Pavilion</t>
        </is>
      </c>
      <c r="E407" t="inlineStr">
        <is>
          <t>Primary Care Clinic</t>
        </is>
      </c>
      <c r="F407" t="inlineStr">
        <is>
          <t>Ambulatory</t>
        </is>
      </c>
      <c r="G407" s="29" t="n">
        <v>45702</v>
      </c>
      <c r="H407" s="29" t="n">
        <v>45702</v>
      </c>
      <c r="I407" s="30" t="n"/>
      <c r="J407" t="inlineStr">
        <is>
          <t>Z23</t>
        </is>
      </c>
      <c r="K407" t="inlineStr">
        <is>
          <t>Encounter for immunization</t>
        </is>
      </c>
      <c r="L407" t="inlineStr">
        <is>
          <t>Factors Influencing Health</t>
        </is>
      </c>
      <c r="M407" t="inlineStr">
        <is>
          <t>Home/Self-Care</t>
        </is>
      </c>
      <c r="N407" t="inlineStr">
        <is>
          <t>State Medicaid</t>
        </is>
      </c>
      <c r="O407" s="31" t="n">
        <v>129.85</v>
      </c>
    </row>
    <row r="408">
      <c r="A408" t="inlineStr">
        <is>
          <t>ENC112340</t>
        </is>
      </c>
      <c r="B408" t="inlineStr">
        <is>
          <t>PT13692</t>
        </is>
      </c>
      <c r="C408" t="inlineStr">
        <is>
          <t>Outpatient</t>
        </is>
      </c>
      <c r="D408" t="inlineStr">
        <is>
          <t>Bluestone Outpatient Pavilion</t>
        </is>
      </c>
      <c r="E408" t="inlineStr">
        <is>
          <t>Primary Care Clinic</t>
        </is>
      </c>
      <c r="F408" t="inlineStr">
        <is>
          <t>Ambulatory</t>
        </is>
      </c>
      <c r="G408" s="29" t="n">
        <v>45702</v>
      </c>
      <c r="H408" s="29" t="n">
        <v>45702</v>
      </c>
      <c r="I408" s="30" t="n"/>
      <c r="J408" t="inlineStr">
        <is>
          <t>J06.9</t>
        </is>
      </c>
      <c r="K408" t="inlineStr">
        <is>
          <t>Acute upper respiratory infection, unspecified</t>
        </is>
      </c>
      <c r="L408" t="inlineStr">
        <is>
          <t>Respiratory</t>
        </is>
      </c>
      <c r="M408" t="inlineStr">
        <is>
          <t>Home/Self-Care</t>
        </is>
      </c>
      <c r="N408" t="inlineStr">
        <is>
          <t>State Medicaid</t>
        </is>
      </c>
      <c r="O408" s="31" t="n">
        <v>317.25</v>
      </c>
    </row>
    <row r="409">
      <c r="A409" t="inlineStr">
        <is>
          <t>ENC112352</t>
        </is>
      </c>
      <c r="B409" t="inlineStr">
        <is>
          <t>PT10028</t>
        </is>
      </c>
      <c r="C409" t="inlineStr">
        <is>
          <t>Emergency</t>
        </is>
      </c>
      <c r="D409" t="inlineStr">
        <is>
          <t>Bluestone Memorial Hospital</t>
        </is>
      </c>
      <c r="E409" t="inlineStr">
        <is>
          <t>Emergency Department</t>
        </is>
      </c>
      <c r="F409" t="inlineStr">
        <is>
          <t>Emergency</t>
        </is>
      </c>
      <c r="G409" s="29" t="n">
        <v>45702</v>
      </c>
      <c r="H409" s="29" t="n">
        <v>45702</v>
      </c>
      <c r="I409" s="30" t="n"/>
      <c r="J409" t="inlineStr">
        <is>
          <t>H66.90</t>
        </is>
      </c>
      <c r="K409" t="inlineStr">
        <is>
          <t>Otitis media, unspecified, unspecified ear</t>
        </is>
      </c>
      <c r="L409" t="inlineStr">
        <is>
          <t>Ear</t>
        </is>
      </c>
      <c r="M409" t="inlineStr">
        <is>
          <t>Home/Self-Care</t>
        </is>
      </c>
      <c r="N409" t="inlineStr">
        <is>
          <t>Keystone Health Partners</t>
        </is>
      </c>
      <c r="O409" s="31" t="n">
        <v>1957.31</v>
      </c>
    </row>
    <row r="410">
      <c r="A410" t="inlineStr">
        <is>
          <t>ENC112355</t>
        </is>
      </c>
      <c r="B410" t="inlineStr">
        <is>
          <t>PT13640</t>
        </is>
      </c>
      <c r="C410" t="inlineStr">
        <is>
          <t>Inpatient</t>
        </is>
      </c>
      <c r="D410" t="inlineStr">
        <is>
          <t>Bluestone Memorial Hospital</t>
        </is>
      </c>
      <c r="E410" t="inlineStr">
        <is>
          <t>Medical-Surgical 4 West</t>
        </is>
      </c>
      <c r="F410" t="inlineStr">
        <is>
          <t>Medicine</t>
        </is>
      </c>
      <c r="G410" s="29" t="n">
        <v>45702</v>
      </c>
      <c r="H410" s="29" t="n">
        <v>45705</v>
      </c>
      <c r="I410" s="30" t="n">
        <v>3</v>
      </c>
      <c r="J410" t="inlineStr">
        <is>
          <t>N39.0</t>
        </is>
      </c>
      <c r="K410" t="inlineStr">
        <is>
          <t>Urinary tract infection, site not specified</t>
        </is>
      </c>
      <c r="L410" t="inlineStr">
        <is>
          <t>Genitourinary</t>
        </is>
      </c>
      <c r="M410" t="inlineStr">
        <is>
          <t>Home/Self-Care</t>
        </is>
      </c>
      <c r="N410" t="inlineStr">
        <is>
          <t>Evergreen Mutual Insurance</t>
        </is>
      </c>
      <c r="O410" s="31" t="n">
        <v>10999.42</v>
      </c>
      <c r="P410" t="inlineStr">
        <is>
          <t>N</t>
        </is>
      </c>
    </row>
    <row r="411">
      <c r="A411" t="inlineStr">
        <is>
          <t>ENC112359</t>
        </is>
      </c>
      <c r="B411" t="inlineStr">
        <is>
          <t>PT10552</t>
        </is>
      </c>
      <c r="C411" t="inlineStr">
        <is>
          <t>Inpatient</t>
        </is>
      </c>
      <c r="D411" t="inlineStr">
        <is>
          <t>Bluestone Memorial Hospital</t>
        </is>
      </c>
      <c r="E411" t="inlineStr">
        <is>
          <t>Oncology</t>
        </is>
      </c>
      <c r="F411" t="inlineStr">
        <is>
          <t>Oncology</t>
        </is>
      </c>
      <c r="G411" s="29" t="n">
        <v>45702</v>
      </c>
      <c r="H411" s="29" t="n">
        <v>45706</v>
      </c>
      <c r="I411" s="30" t="n">
        <v>4</v>
      </c>
      <c r="J411" t="inlineStr">
        <is>
          <t>D70.1</t>
        </is>
      </c>
      <c r="K411" t="inlineStr">
        <is>
          <t>Agranulocytosis secondary to cancer chemotherapy</t>
        </is>
      </c>
      <c r="L411" t="inlineStr">
        <is>
          <t>Blood</t>
        </is>
      </c>
      <c r="M411" t="inlineStr">
        <is>
          <t>Skilled Nursing Facility</t>
        </is>
      </c>
      <c r="N411" t="inlineStr">
        <is>
          <t>Medicare</t>
        </is>
      </c>
      <c r="O411" s="31" t="n">
        <v>18440.45</v>
      </c>
      <c r="P411" t="inlineStr">
        <is>
          <t>N</t>
        </is>
      </c>
    </row>
    <row r="412">
      <c r="A412" t="inlineStr">
        <is>
          <t>ENC112364</t>
        </is>
      </c>
      <c r="B412" t="inlineStr">
        <is>
          <t>PT12940</t>
        </is>
      </c>
      <c r="C412" t="inlineStr">
        <is>
          <t>Inpatient</t>
        </is>
      </c>
      <c r="D412" t="inlineStr">
        <is>
          <t>Bluestone Memorial Hospital</t>
        </is>
      </c>
      <c r="E412" t="inlineStr">
        <is>
          <t>Pediatrics</t>
        </is>
      </c>
      <c r="F412" t="inlineStr">
        <is>
          <t>Women &amp; Children</t>
        </is>
      </c>
      <c r="G412" s="29" t="n">
        <v>45703</v>
      </c>
      <c r="H412" s="29" t="n">
        <v>45708</v>
      </c>
      <c r="I412" s="30" t="n">
        <v>5</v>
      </c>
      <c r="J412" t="inlineStr">
        <is>
          <t>J21.9</t>
        </is>
      </c>
      <c r="K412" t="inlineStr">
        <is>
          <t>Acute bronchiolitis, unspecified</t>
        </is>
      </c>
      <c r="L412" t="inlineStr">
        <is>
          <t>Respiratory</t>
        </is>
      </c>
      <c r="M412" t="inlineStr">
        <is>
          <t>Home/Self-Care</t>
        </is>
      </c>
      <c r="N412" t="inlineStr">
        <is>
          <t>Evergreen Mutual Insurance</t>
        </is>
      </c>
      <c r="O412" s="31" t="n">
        <v>26930.09</v>
      </c>
      <c r="P412" t="inlineStr">
        <is>
          <t>N</t>
        </is>
      </c>
    </row>
    <row r="413">
      <c r="A413" t="inlineStr">
        <is>
          <t>ENC112370</t>
        </is>
      </c>
      <c r="B413" t="inlineStr">
        <is>
          <t>PT13548</t>
        </is>
      </c>
      <c r="C413" t="inlineStr">
        <is>
          <t>Inpatient</t>
        </is>
      </c>
      <c r="D413" t="inlineStr">
        <is>
          <t>Bluestone Memorial Hospital</t>
        </is>
      </c>
      <c r="E413" t="inlineStr">
        <is>
          <t>Medical-Surgical 4 West</t>
        </is>
      </c>
      <c r="F413" t="inlineStr">
        <is>
          <t>Medicine</t>
        </is>
      </c>
      <c r="G413" s="29" t="n">
        <v>45703</v>
      </c>
      <c r="H413" s="29" t="n">
        <v>45708</v>
      </c>
      <c r="I413" s="30" t="n">
        <v>5</v>
      </c>
      <c r="J413" t="inlineStr">
        <is>
          <t>J44.1</t>
        </is>
      </c>
      <c r="K413" t="inlineStr">
        <is>
          <t>Chronic obstructive pulmonary disease with (acute) exacerbation</t>
        </is>
      </c>
      <c r="L413" t="inlineStr">
        <is>
          <t>Respiratory</t>
        </is>
      </c>
      <c r="M413" t="inlineStr">
        <is>
          <t>Home/Self-Care</t>
        </is>
      </c>
      <c r="N413" t="inlineStr">
        <is>
          <t>Silverline Medicare Advantage</t>
        </is>
      </c>
      <c r="O413" s="31" t="n">
        <v>16001.6</v>
      </c>
      <c r="P413" t="inlineStr">
        <is>
          <t>Y</t>
        </is>
      </c>
    </row>
    <row r="414">
      <c r="A414" t="inlineStr">
        <is>
          <t>ENC112377</t>
        </is>
      </c>
      <c r="B414" t="inlineStr">
        <is>
          <t>PT12684</t>
        </is>
      </c>
      <c r="C414" t="inlineStr">
        <is>
          <t>Inpatient</t>
        </is>
      </c>
      <c r="D414" t="inlineStr">
        <is>
          <t>Bluestone Memorial Hospital</t>
        </is>
      </c>
      <c r="E414" t="inlineStr">
        <is>
          <t>Neuroscience &amp; Stroke</t>
        </is>
      </c>
      <c r="F414" t="inlineStr">
        <is>
          <t>Neuroscience</t>
        </is>
      </c>
      <c r="G414" s="29" t="n">
        <v>45703</v>
      </c>
      <c r="H414" s="29" t="n">
        <v>45707</v>
      </c>
      <c r="I414" s="30" t="n">
        <v>4</v>
      </c>
      <c r="J414" t="inlineStr">
        <is>
          <t>I63.9</t>
        </is>
      </c>
      <c r="K414" t="inlineStr">
        <is>
          <t>Cerebral infarction, unspecified</t>
        </is>
      </c>
      <c r="L414" t="inlineStr">
        <is>
          <t>Circulatory</t>
        </is>
      </c>
      <c r="M414" t="inlineStr">
        <is>
          <t>Inpatient Rehab</t>
        </is>
      </c>
      <c r="N414" t="inlineStr">
        <is>
          <t>Summit Choice PPO</t>
        </is>
      </c>
      <c r="O414" s="31" t="n">
        <v>15958.25</v>
      </c>
      <c r="P414" t="inlineStr">
        <is>
          <t>N</t>
        </is>
      </c>
    </row>
    <row r="415">
      <c r="A415" t="inlineStr">
        <is>
          <t>ENC112386</t>
        </is>
      </c>
      <c r="B415" t="inlineStr">
        <is>
          <t>PT11952</t>
        </is>
      </c>
      <c r="C415" t="inlineStr">
        <is>
          <t>Emergency</t>
        </is>
      </c>
      <c r="D415" t="inlineStr">
        <is>
          <t>Ashby Falls Community Hospital</t>
        </is>
      </c>
      <c r="E415" t="inlineStr">
        <is>
          <t>Emergency Department</t>
        </is>
      </c>
      <c r="F415" t="inlineStr">
        <is>
          <t>Emergency</t>
        </is>
      </c>
      <c r="G415" s="29" t="n">
        <v>45704</v>
      </c>
      <c r="H415" s="29" t="n">
        <v>45704</v>
      </c>
      <c r="I415" s="30" t="n"/>
      <c r="J415" t="inlineStr">
        <is>
          <t>J18.9</t>
        </is>
      </c>
      <c r="K415" t="inlineStr">
        <is>
          <t>Pneumonia, unspecified organism</t>
        </is>
      </c>
      <c r="L415" t="inlineStr">
        <is>
          <t>Respiratory</t>
        </is>
      </c>
      <c r="M415" t="inlineStr">
        <is>
          <t>Home/Self-Care</t>
        </is>
      </c>
      <c r="N415" t="inlineStr">
        <is>
          <t>Silverline Medicare Advantage</t>
        </is>
      </c>
      <c r="O415" s="31" t="n">
        <v>1916.43</v>
      </c>
    </row>
    <row r="416">
      <c r="A416" t="inlineStr">
        <is>
          <t>ENC112390</t>
        </is>
      </c>
      <c r="B416" t="inlineStr">
        <is>
          <t>PT10992</t>
        </is>
      </c>
      <c r="C416" t="inlineStr">
        <is>
          <t>Emergency</t>
        </is>
      </c>
      <c r="D416" t="inlineStr">
        <is>
          <t>Cedar Ridge Medical Center</t>
        </is>
      </c>
      <c r="E416" t="inlineStr">
        <is>
          <t>Emergency Department</t>
        </is>
      </c>
      <c r="F416" t="inlineStr">
        <is>
          <t>Emergency</t>
        </is>
      </c>
      <c r="G416" s="29" t="n">
        <v>45704</v>
      </c>
      <c r="H416" s="29" t="n">
        <v>45704</v>
      </c>
      <c r="I416" s="30" t="n"/>
      <c r="J416" t="inlineStr">
        <is>
          <t>U07.1</t>
        </is>
      </c>
      <c r="K416" t="inlineStr">
        <is>
          <t>COVID-19</t>
        </is>
      </c>
      <c r="L416" t="inlineStr">
        <is>
          <t>Respiratory</t>
        </is>
      </c>
      <c r="M416" t="inlineStr">
        <is>
          <t>Home/Self-Care</t>
        </is>
      </c>
      <c r="N416" t="inlineStr">
        <is>
          <t>State Medicaid</t>
        </is>
      </c>
      <c r="O416" s="31" t="n">
        <v>3249.09</v>
      </c>
    </row>
    <row r="417">
      <c r="A417" t="inlineStr">
        <is>
          <t>ENC112391</t>
        </is>
      </c>
      <c r="B417" t="inlineStr">
        <is>
          <t>PT11656</t>
        </is>
      </c>
      <c r="C417" t="inlineStr">
        <is>
          <t>Inpatient</t>
        </is>
      </c>
      <c r="D417" t="inlineStr">
        <is>
          <t>Bluestone Memorial Hospital</t>
        </is>
      </c>
      <c r="E417" t="inlineStr">
        <is>
          <t>Medical-Surgical 5 East</t>
        </is>
      </c>
      <c r="F417" t="inlineStr">
        <is>
          <t>Medicine</t>
        </is>
      </c>
      <c r="G417" s="29" t="n">
        <v>45704</v>
      </c>
      <c r="H417" s="29" t="n">
        <v>45709</v>
      </c>
      <c r="I417" s="30" t="n">
        <v>5</v>
      </c>
      <c r="J417" t="inlineStr">
        <is>
          <t>K92.2</t>
        </is>
      </c>
      <c r="K417" t="inlineStr">
        <is>
          <t>Gastrointestinal hemorrhage, unspecified</t>
        </is>
      </c>
      <c r="L417" t="inlineStr">
        <is>
          <t>Digestive</t>
        </is>
      </c>
      <c r="M417" t="inlineStr">
        <is>
          <t>Home/Self-Care</t>
        </is>
      </c>
      <c r="N417" t="inlineStr">
        <is>
          <t>Self-Pay</t>
        </is>
      </c>
      <c r="O417" s="31" t="n">
        <v>21455.55</v>
      </c>
      <c r="P417" t="inlineStr">
        <is>
          <t>N</t>
        </is>
      </c>
    </row>
    <row r="418">
      <c r="A418" t="inlineStr">
        <is>
          <t>ENC112393</t>
        </is>
      </c>
      <c r="B418" t="inlineStr">
        <is>
          <t>PT10800</t>
        </is>
      </c>
      <c r="C418" t="inlineStr">
        <is>
          <t>Emergency</t>
        </is>
      </c>
      <c r="D418" t="inlineStr">
        <is>
          <t>Cedar Ridge Medical Center</t>
        </is>
      </c>
      <c r="E418" t="inlineStr">
        <is>
          <t>Emergency Department</t>
        </is>
      </c>
      <c r="F418" t="inlineStr">
        <is>
          <t>Emergency</t>
        </is>
      </c>
      <c r="G418" s="29" t="n">
        <v>45704</v>
      </c>
      <c r="H418" s="29" t="n">
        <v>45704</v>
      </c>
      <c r="I418" s="30" t="n"/>
      <c r="J418" t="inlineStr">
        <is>
          <t>U07.1</t>
        </is>
      </c>
      <c r="K418" t="inlineStr">
        <is>
          <t>COVID-19</t>
        </is>
      </c>
      <c r="L418" t="inlineStr">
        <is>
          <t>Respiratory</t>
        </is>
      </c>
      <c r="M418" t="inlineStr">
        <is>
          <t>Home/Self-Care</t>
        </is>
      </c>
      <c r="N418" t="inlineStr">
        <is>
          <t>Keystone Health Partners</t>
        </is>
      </c>
      <c r="O418" s="31" t="n">
        <v>4101.47</v>
      </c>
    </row>
    <row r="419">
      <c r="A419" t="inlineStr">
        <is>
          <t>ENC112400</t>
        </is>
      </c>
      <c r="B419" t="inlineStr">
        <is>
          <t>PT13084</t>
        </is>
      </c>
      <c r="C419" t="inlineStr">
        <is>
          <t>Emergency</t>
        </is>
      </c>
      <c r="D419" t="inlineStr">
        <is>
          <t>Ashby Falls Community Hospital</t>
        </is>
      </c>
      <c r="E419" t="inlineStr">
        <is>
          <t>Emergency Department</t>
        </is>
      </c>
      <c r="F419" t="inlineStr">
        <is>
          <t>Emergency</t>
        </is>
      </c>
      <c r="G419" s="29" t="n">
        <v>45704</v>
      </c>
      <c r="H419" s="29" t="n">
        <v>45704</v>
      </c>
      <c r="I419" s="30" t="n"/>
      <c r="J419" t="inlineStr">
        <is>
          <t>M54.50</t>
        </is>
      </c>
      <c r="K419" t="inlineStr">
        <is>
          <t>Low back pain, unspecified</t>
        </is>
      </c>
      <c r="L419" t="inlineStr">
        <is>
          <t>Musculoskeletal</t>
        </is>
      </c>
      <c r="M419" t="inlineStr">
        <is>
          <t>Home/Self-Care</t>
        </is>
      </c>
      <c r="N419" t="inlineStr">
        <is>
          <t>Silverline Medicare Advantage</t>
        </is>
      </c>
      <c r="O419" s="31" t="n">
        <v>612.11</v>
      </c>
    </row>
    <row r="420">
      <c r="A420" t="inlineStr">
        <is>
          <t>ENC112404</t>
        </is>
      </c>
      <c r="B420" t="inlineStr">
        <is>
          <t>PT11424</t>
        </is>
      </c>
      <c r="C420" t="inlineStr">
        <is>
          <t>Observation</t>
        </is>
      </c>
      <c r="D420" t="inlineStr">
        <is>
          <t>Bluestone Memorial Hospital</t>
        </is>
      </c>
      <c r="E420" t="inlineStr">
        <is>
          <t>Observation Unit</t>
        </is>
      </c>
      <c r="F420" t="inlineStr">
        <is>
          <t>Medicine</t>
        </is>
      </c>
      <c r="G420" s="29" t="n">
        <v>45705</v>
      </c>
      <c r="H420" s="29" t="n">
        <v>45706</v>
      </c>
      <c r="I420" s="30" t="n">
        <v>1</v>
      </c>
      <c r="J420" t="inlineStr">
        <is>
          <t>R55</t>
        </is>
      </c>
      <c r="K420" t="inlineStr">
        <is>
          <t>Syncope and collapse</t>
        </is>
      </c>
      <c r="L420" t="inlineStr">
        <is>
          <t>Symptoms &amp; Signs</t>
        </is>
      </c>
      <c r="M420" t="inlineStr">
        <is>
          <t>Home/Self-Care</t>
        </is>
      </c>
      <c r="N420" t="inlineStr">
        <is>
          <t>Silverline Medicare Advantage</t>
        </is>
      </c>
      <c r="O420" s="31" t="n">
        <v>5717.5</v>
      </c>
    </row>
    <row r="421">
      <c r="A421" t="inlineStr">
        <is>
          <t>ENC112413</t>
        </is>
      </c>
      <c r="B421" t="inlineStr">
        <is>
          <t>PT10472</t>
        </is>
      </c>
      <c r="C421" t="inlineStr">
        <is>
          <t>Inpatient</t>
        </is>
      </c>
      <c r="D421" t="inlineStr">
        <is>
          <t>Bluestone Memorial Hospital</t>
        </is>
      </c>
      <c r="E421" t="inlineStr">
        <is>
          <t>Intensive Care Unit</t>
        </is>
      </c>
      <c r="F421" t="inlineStr">
        <is>
          <t>Critical Care</t>
        </is>
      </c>
      <c r="G421" s="29" t="n">
        <v>45705</v>
      </c>
      <c r="H421" s="29" t="n">
        <v>45717</v>
      </c>
      <c r="I421" s="30" t="n">
        <v>12</v>
      </c>
      <c r="J421" t="inlineStr">
        <is>
          <t>A41.9</t>
        </is>
      </c>
      <c r="K421" t="inlineStr">
        <is>
          <t>Sepsis, unspecified organism</t>
        </is>
      </c>
      <c r="L421" t="inlineStr">
        <is>
          <t>Infectious</t>
        </is>
      </c>
      <c r="M421" t="inlineStr">
        <is>
          <t>Home/Self-Care</t>
        </is>
      </c>
      <c r="N421" t="inlineStr">
        <is>
          <t>Medicare</t>
        </is>
      </c>
      <c r="O421" s="31" t="n">
        <v>99346.28</v>
      </c>
      <c r="P421" t="inlineStr">
        <is>
          <t>N</t>
        </is>
      </c>
    </row>
    <row r="422">
      <c r="A422" t="inlineStr">
        <is>
          <t>ENC112416</t>
        </is>
      </c>
      <c r="B422" t="inlineStr">
        <is>
          <t>PT11732</t>
        </is>
      </c>
      <c r="C422" t="inlineStr">
        <is>
          <t>Outpatient</t>
        </is>
      </c>
      <c r="D422" t="inlineStr">
        <is>
          <t>Bluestone Outpatient Pavilion</t>
        </is>
      </c>
      <c r="E422" t="inlineStr">
        <is>
          <t>Pediatric Clinic</t>
        </is>
      </c>
      <c r="F422" t="inlineStr">
        <is>
          <t>Women &amp; Children</t>
        </is>
      </c>
      <c r="G422" s="29" t="n">
        <v>45705</v>
      </c>
      <c r="H422" s="29" t="n">
        <v>45705</v>
      </c>
      <c r="I422" s="30" t="n"/>
      <c r="J422" t="inlineStr">
        <is>
          <t>J06.9</t>
        </is>
      </c>
      <c r="K422" t="inlineStr">
        <is>
          <t>Acute upper respiratory infection, unspecified</t>
        </is>
      </c>
      <c r="L422" t="inlineStr">
        <is>
          <t>Respiratory</t>
        </is>
      </c>
      <c r="M422" t="inlineStr">
        <is>
          <t>Home/Self-Care</t>
        </is>
      </c>
      <c r="N422" t="inlineStr">
        <is>
          <t>State Medicaid</t>
        </is>
      </c>
      <c r="O422" s="31" t="n">
        <v>341.04</v>
      </c>
    </row>
    <row r="423">
      <c r="A423" t="inlineStr">
        <is>
          <t>ENC112429</t>
        </is>
      </c>
      <c r="B423" t="inlineStr">
        <is>
          <t>PT13464</t>
        </is>
      </c>
      <c r="C423" t="inlineStr">
        <is>
          <t>Outpatient</t>
        </is>
      </c>
      <c r="D423" t="inlineStr">
        <is>
          <t>Bluestone Outpatient Pavilion</t>
        </is>
      </c>
      <c r="E423" t="inlineStr">
        <is>
          <t>Primary Care Clinic</t>
        </is>
      </c>
      <c r="F423" t="inlineStr">
        <is>
          <t>Ambulatory</t>
        </is>
      </c>
      <c r="G423" s="29" t="n">
        <v>45705</v>
      </c>
      <c r="H423" s="29" t="n">
        <v>45705</v>
      </c>
      <c r="I423" s="30" t="n"/>
      <c r="J423" t="inlineStr">
        <is>
          <t>Z00.00</t>
        </is>
      </c>
      <c r="K423" t="inlineStr">
        <is>
          <t>Encounter for general adult medical examination without abnormal findings</t>
        </is>
      </c>
      <c r="L423" t="inlineStr">
        <is>
          <t>Factors Influencing Health</t>
        </is>
      </c>
      <c r="M423" t="inlineStr">
        <is>
          <t>Home/Self-Care</t>
        </is>
      </c>
      <c r="N423" t="inlineStr">
        <is>
          <t>Silverline Medicare Advantage</t>
        </is>
      </c>
      <c r="O423" s="31" t="n">
        <v>394.39</v>
      </c>
    </row>
    <row r="424">
      <c r="A424" t="inlineStr">
        <is>
          <t>ENC112439</t>
        </is>
      </c>
      <c r="B424" t="inlineStr">
        <is>
          <t>PT12860</t>
        </is>
      </c>
      <c r="C424" t="inlineStr">
        <is>
          <t>Inpatient</t>
        </is>
      </c>
      <c r="D424" t="inlineStr">
        <is>
          <t>Cedar Ridge Medical Center</t>
        </is>
      </c>
      <c r="E424" t="inlineStr">
        <is>
          <t>Medical-Surgical</t>
        </is>
      </c>
      <c r="F424" t="inlineStr">
        <is>
          <t>Medicine</t>
        </is>
      </c>
      <c r="G424" s="29" t="n">
        <v>45705</v>
      </c>
      <c r="H424" s="29" t="n">
        <v>45707</v>
      </c>
      <c r="I424" s="30" t="n">
        <v>2</v>
      </c>
      <c r="J424" t="inlineStr">
        <is>
          <t>J18.9</t>
        </is>
      </c>
      <c r="K424" t="inlineStr">
        <is>
          <t>Pneumonia, unspecified organism</t>
        </is>
      </c>
      <c r="L424" t="inlineStr">
        <is>
          <t>Respiratory</t>
        </is>
      </c>
      <c r="M424" t="inlineStr">
        <is>
          <t>Home/Self-Care</t>
        </is>
      </c>
      <c r="N424" t="inlineStr">
        <is>
          <t>Self-Pay</t>
        </is>
      </c>
      <c r="O424" s="31" t="n">
        <v>11654.5</v>
      </c>
      <c r="P424" t="inlineStr">
        <is>
          <t>N</t>
        </is>
      </c>
    </row>
    <row r="425">
      <c r="A425" t="inlineStr">
        <is>
          <t>ENC112443</t>
        </is>
      </c>
      <c r="B425" t="inlineStr">
        <is>
          <t>PT11560</t>
        </is>
      </c>
      <c r="C425" t="inlineStr">
        <is>
          <t>Inpatient</t>
        </is>
      </c>
      <c r="D425" t="inlineStr">
        <is>
          <t>Bluestone Memorial Hospital</t>
        </is>
      </c>
      <c r="E425" t="inlineStr">
        <is>
          <t>Cardiac Step-Down</t>
        </is>
      </c>
      <c r="F425" t="inlineStr">
        <is>
          <t>Cardiovascular</t>
        </is>
      </c>
      <c r="G425" s="29" t="n">
        <v>45705</v>
      </c>
      <c r="H425" s="29" t="n">
        <v>45710</v>
      </c>
      <c r="I425" s="30" t="n">
        <v>5</v>
      </c>
      <c r="J425" t="inlineStr">
        <is>
          <t>I21.4</t>
        </is>
      </c>
      <c r="K425" t="inlineStr">
        <is>
          <t>Non-ST elevation (NSTEMI) myocardial infarction</t>
        </is>
      </c>
      <c r="L425" t="inlineStr">
        <is>
          <t>Circulatory</t>
        </is>
      </c>
      <c r="M425" t="inlineStr">
        <is>
          <t>Home/Self-Care</t>
        </is>
      </c>
      <c r="N425" t="inlineStr">
        <is>
          <t>Keystone Health Partners</t>
        </is>
      </c>
      <c r="O425" s="31" t="n">
        <v>43404.16</v>
      </c>
      <c r="P425" t="inlineStr">
        <is>
          <t>N</t>
        </is>
      </c>
    </row>
    <row r="426">
      <c r="A426" t="inlineStr">
        <is>
          <t>ENC112451</t>
        </is>
      </c>
      <c r="B426" t="inlineStr">
        <is>
          <t>PT12760</t>
        </is>
      </c>
      <c r="C426" t="inlineStr">
        <is>
          <t>Outpatient</t>
        </is>
      </c>
      <c r="D426" t="inlineStr">
        <is>
          <t>Bluestone Outpatient Pavilion</t>
        </is>
      </c>
      <c r="E426" t="inlineStr">
        <is>
          <t>Pediatric Clinic</t>
        </is>
      </c>
      <c r="F426" t="inlineStr">
        <is>
          <t>Women &amp; Children</t>
        </is>
      </c>
      <c r="G426" s="29" t="n">
        <v>45706</v>
      </c>
      <c r="H426" s="29" t="n">
        <v>45706</v>
      </c>
      <c r="I426" s="30" t="n"/>
      <c r="J426" t="inlineStr">
        <is>
          <t>Z00.129</t>
        </is>
      </c>
      <c r="K426" t="inlineStr">
        <is>
          <t>Encounter for routine child health examination without abnormal findings</t>
        </is>
      </c>
      <c r="L426" t="inlineStr">
        <is>
          <t>Factors Influencing Health</t>
        </is>
      </c>
      <c r="M426" t="inlineStr">
        <is>
          <t>Home/Self-Care</t>
        </is>
      </c>
      <c r="N426" t="inlineStr">
        <is>
          <t>State Medicaid</t>
        </is>
      </c>
      <c r="O426" s="31" t="n">
        <v>321.92</v>
      </c>
    </row>
    <row r="427">
      <c r="A427" t="inlineStr">
        <is>
          <t>ENC112452</t>
        </is>
      </c>
      <c r="B427" t="inlineStr">
        <is>
          <t>PT11376</t>
        </is>
      </c>
      <c r="C427" t="inlineStr">
        <is>
          <t>Outpatient</t>
        </is>
      </c>
      <c r="D427" t="inlineStr">
        <is>
          <t>Bluestone Outpatient Pavilion</t>
        </is>
      </c>
      <c r="E427" t="inlineStr">
        <is>
          <t>Primary Care Clinic</t>
        </is>
      </c>
      <c r="F427" t="inlineStr">
        <is>
          <t>Ambulatory</t>
        </is>
      </c>
      <c r="G427" s="29" t="n">
        <v>45706</v>
      </c>
      <c r="H427" s="29" t="n">
        <v>45706</v>
      </c>
      <c r="I427" s="30" t="n"/>
      <c r="J427" t="inlineStr">
        <is>
          <t>Z23</t>
        </is>
      </c>
      <c r="K427" t="inlineStr">
        <is>
          <t>Encounter for immunization</t>
        </is>
      </c>
      <c r="L427" t="inlineStr">
        <is>
          <t>Factors Influencing Health</t>
        </is>
      </c>
      <c r="M427" t="inlineStr">
        <is>
          <t>Home/Self-Care</t>
        </is>
      </c>
      <c r="N427" t="inlineStr">
        <is>
          <t>Medicare</t>
        </is>
      </c>
      <c r="O427" s="31" t="n">
        <v>123.55</v>
      </c>
    </row>
    <row r="428">
      <c r="A428" t="inlineStr">
        <is>
          <t>ENC112454</t>
        </is>
      </c>
      <c r="B428" t="inlineStr">
        <is>
          <t>PT10452</t>
        </is>
      </c>
      <c r="C428" t="inlineStr">
        <is>
          <t>Outpatient</t>
        </is>
      </c>
      <c r="D428" t="inlineStr">
        <is>
          <t>Bluestone Outpatient Pavilion</t>
        </is>
      </c>
      <c r="E428" t="inlineStr">
        <is>
          <t>Primary Care Clinic</t>
        </is>
      </c>
      <c r="F428" t="inlineStr">
        <is>
          <t>Ambulatory</t>
        </is>
      </c>
      <c r="G428" s="29" t="n">
        <v>45706</v>
      </c>
      <c r="H428" s="29" t="n">
        <v>45706</v>
      </c>
      <c r="I428" s="30" t="n"/>
      <c r="J428" t="inlineStr">
        <is>
          <t>Z23</t>
        </is>
      </c>
      <c r="K428" t="inlineStr">
        <is>
          <t>Encounter for immunization</t>
        </is>
      </c>
      <c r="L428" t="inlineStr">
        <is>
          <t>Factors Influencing Health</t>
        </is>
      </c>
      <c r="M428" t="inlineStr">
        <is>
          <t>Home/Self-Care</t>
        </is>
      </c>
      <c r="N428" t="inlineStr">
        <is>
          <t>Medicare</t>
        </is>
      </c>
      <c r="O428" s="31" t="n">
        <v>129.33</v>
      </c>
    </row>
    <row r="429">
      <c r="A429" t="inlineStr">
        <is>
          <t>ENC112455</t>
        </is>
      </c>
      <c r="B429" t="inlineStr">
        <is>
          <t>PT10040</t>
        </is>
      </c>
      <c r="C429" t="inlineStr">
        <is>
          <t>Outpatient</t>
        </is>
      </c>
      <c r="D429" t="inlineStr">
        <is>
          <t>Bluestone Outpatient Pavilion</t>
        </is>
      </c>
      <c r="E429" t="inlineStr">
        <is>
          <t>Primary Care Clinic</t>
        </is>
      </c>
      <c r="F429" t="inlineStr">
        <is>
          <t>Ambulatory</t>
        </is>
      </c>
      <c r="G429" s="29" t="n">
        <v>45706</v>
      </c>
      <c r="H429" s="29" t="n">
        <v>45706</v>
      </c>
      <c r="I429" s="30" t="n"/>
      <c r="J429" t="inlineStr">
        <is>
          <t>I10</t>
        </is>
      </c>
      <c r="K429" t="inlineStr">
        <is>
          <t>Essential (primary) hypertension</t>
        </is>
      </c>
      <c r="L429" t="inlineStr">
        <is>
          <t>Circulatory</t>
        </is>
      </c>
      <c r="M429" t="inlineStr">
        <is>
          <t>Home/Self-Care</t>
        </is>
      </c>
      <c r="N429" t="inlineStr">
        <is>
          <t>Medicare</t>
        </is>
      </c>
      <c r="O429" s="31" t="n">
        <v>198.23</v>
      </c>
    </row>
    <row r="430">
      <c r="A430" t="inlineStr">
        <is>
          <t>ENC112460</t>
        </is>
      </c>
      <c r="B430" t="inlineStr">
        <is>
          <t>PT13600</t>
        </is>
      </c>
      <c r="C430" t="inlineStr">
        <is>
          <t>Outpatient</t>
        </is>
      </c>
      <c r="D430" t="inlineStr">
        <is>
          <t>Bluestone Outpatient Pavilion</t>
        </is>
      </c>
      <c r="E430" t="inlineStr">
        <is>
          <t>Endocrinology &amp; Diabetes Clinic</t>
        </is>
      </c>
      <c r="F430" t="inlineStr">
        <is>
          <t>Ambulatory</t>
        </is>
      </c>
      <c r="G430" s="29" t="n">
        <v>45706</v>
      </c>
      <c r="H430" s="29" t="n">
        <v>45706</v>
      </c>
      <c r="I430" s="30" t="n"/>
      <c r="J430" t="inlineStr">
        <is>
          <t>E11.9</t>
        </is>
      </c>
      <c r="K430" t="inlineStr">
        <is>
          <t>Type 2 diabetes mellitus without complications</t>
        </is>
      </c>
      <c r="L430" t="inlineStr">
        <is>
          <t>Endocrine</t>
        </is>
      </c>
      <c r="M430" t="inlineStr">
        <is>
          <t>Home/Self-Care</t>
        </is>
      </c>
      <c r="N430" t="inlineStr">
        <is>
          <t>Silverline Medicare Advantage</t>
        </is>
      </c>
      <c r="O430" s="31" t="n">
        <v>147.26</v>
      </c>
    </row>
    <row r="431">
      <c r="A431" t="inlineStr">
        <is>
          <t>ENC112478</t>
        </is>
      </c>
      <c r="B431" t="inlineStr">
        <is>
          <t>PT11168</t>
        </is>
      </c>
      <c r="C431" t="inlineStr">
        <is>
          <t>Inpatient</t>
        </is>
      </c>
      <c r="D431" t="inlineStr">
        <is>
          <t>Cedar Ridge Medical Center</t>
        </is>
      </c>
      <c r="E431" t="inlineStr">
        <is>
          <t>Medical-Surgical</t>
        </is>
      </c>
      <c r="F431" t="inlineStr">
        <is>
          <t>Medicine</t>
        </is>
      </c>
      <c r="G431" s="29" t="n">
        <v>45706</v>
      </c>
      <c r="H431" s="29" t="n">
        <v>45708</v>
      </c>
      <c r="I431" s="30" t="n">
        <v>2</v>
      </c>
      <c r="J431" t="inlineStr">
        <is>
          <t>E87.1</t>
        </is>
      </c>
      <c r="K431" t="inlineStr">
        <is>
          <t>Hypo-osmolality and hyponatremia</t>
        </is>
      </c>
      <c r="L431" t="inlineStr">
        <is>
          <t>Endocrine</t>
        </is>
      </c>
      <c r="M431" t="inlineStr">
        <is>
          <t>Home/Self-Care</t>
        </is>
      </c>
      <c r="N431" t="inlineStr">
        <is>
          <t>Medicare</t>
        </is>
      </c>
      <c r="O431" s="31" t="n">
        <v>7732.76</v>
      </c>
      <c r="P431" t="inlineStr">
        <is>
          <t>N</t>
        </is>
      </c>
    </row>
    <row r="432">
      <c r="A432" t="inlineStr">
        <is>
          <t>ENC112479</t>
        </is>
      </c>
      <c r="B432" t="inlineStr">
        <is>
          <t>PT12048</t>
        </is>
      </c>
      <c r="C432" t="inlineStr">
        <is>
          <t>Emergency</t>
        </is>
      </c>
      <c r="D432" t="inlineStr">
        <is>
          <t>Bluestone Memorial Hospital</t>
        </is>
      </c>
      <c r="E432" t="inlineStr">
        <is>
          <t>Emergency Department</t>
        </is>
      </c>
      <c r="F432" t="inlineStr">
        <is>
          <t>Emergency</t>
        </is>
      </c>
      <c r="G432" s="29" t="n">
        <v>45706</v>
      </c>
      <c r="H432" s="29" t="n">
        <v>45706</v>
      </c>
      <c r="I432" s="30" t="n"/>
      <c r="J432" t="inlineStr">
        <is>
          <t>A08.4</t>
        </is>
      </c>
      <c r="K432" t="inlineStr">
        <is>
          <t>Viral intestinal infection, unspecified</t>
        </is>
      </c>
      <c r="L432" t="inlineStr">
        <is>
          <t>Infectious</t>
        </is>
      </c>
      <c r="M432" t="inlineStr">
        <is>
          <t>Home/Self-Care</t>
        </is>
      </c>
      <c r="N432" t="inlineStr">
        <is>
          <t>State Medicaid</t>
        </is>
      </c>
      <c r="O432" s="31" t="n">
        <v>749.0700000000001</v>
      </c>
    </row>
    <row r="433">
      <c r="A433" t="inlineStr">
        <is>
          <t>ENC112482</t>
        </is>
      </c>
      <c r="B433" t="inlineStr">
        <is>
          <t>PT13340</t>
        </is>
      </c>
      <c r="C433" t="inlineStr">
        <is>
          <t>Emergency</t>
        </is>
      </c>
      <c r="D433" t="inlineStr">
        <is>
          <t>Bluestone Memorial Hospital</t>
        </is>
      </c>
      <c r="E433" t="inlineStr">
        <is>
          <t>Emergency Department</t>
        </is>
      </c>
      <c r="F433" t="inlineStr">
        <is>
          <t>Emergency</t>
        </is>
      </c>
      <c r="G433" s="29" t="n">
        <v>45706</v>
      </c>
      <c r="H433" s="29" t="n">
        <v>45707</v>
      </c>
      <c r="I433" s="30" t="n"/>
      <c r="J433" t="inlineStr">
        <is>
          <t>N39.0</t>
        </is>
      </c>
      <c r="K433" t="inlineStr">
        <is>
          <t>Urinary tract infection, site not specified</t>
        </is>
      </c>
      <c r="L433" t="inlineStr">
        <is>
          <t>Genitourinary</t>
        </is>
      </c>
      <c r="M433" t="inlineStr">
        <is>
          <t>Home/Self-Care</t>
        </is>
      </c>
      <c r="N433" t="inlineStr">
        <is>
          <t>Evergreen Mutual Insurance</t>
        </is>
      </c>
      <c r="O433" s="31" t="n">
        <v>3411.64</v>
      </c>
    </row>
    <row r="434">
      <c r="A434" t="inlineStr">
        <is>
          <t>ENC112485</t>
        </is>
      </c>
      <c r="B434" t="inlineStr">
        <is>
          <t>PT11052</t>
        </is>
      </c>
      <c r="C434" t="inlineStr">
        <is>
          <t>Emergency</t>
        </is>
      </c>
      <c r="D434" t="inlineStr">
        <is>
          <t>Bluestone Memorial Hospital</t>
        </is>
      </c>
      <c r="E434" t="inlineStr">
        <is>
          <t>Emergency Department</t>
        </is>
      </c>
      <c r="F434" t="inlineStr">
        <is>
          <t>Emergency</t>
        </is>
      </c>
      <c r="G434" s="29" t="n">
        <v>45707</v>
      </c>
      <c r="H434" s="29" t="n">
        <v>45707</v>
      </c>
      <c r="I434" s="30" t="n"/>
      <c r="J434" t="inlineStr">
        <is>
          <t>H66.90</t>
        </is>
      </c>
      <c r="K434" t="inlineStr">
        <is>
          <t>Otitis media, unspecified, unspecified ear</t>
        </is>
      </c>
      <c r="L434" t="inlineStr">
        <is>
          <t>Ear</t>
        </is>
      </c>
      <c r="M434" t="inlineStr">
        <is>
          <t>Home/Self-Care</t>
        </is>
      </c>
      <c r="N434" t="inlineStr">
        <is>
          <t>Evergreen Mutual Insurance</t>
        </is>
      </c>
      <c r="O434" s="31" t="n">
        <v>476.6</v>
      </c>
    </row>
    <row r="435">
      <c r="A435" t="inlineStr">
        <is>
          <t>ENC112488</t>
        </is>
      </c>
      <c r="B435" t="inlineStr">
        <is>
          <t>PT13316</t>
        </is>
      </c>
      <c r="C435" t="inlineStr">
        <is>
          <t>Outpatient</t>
        </is>
      </c>
      <c r="D435" t="inlineStr">
        <is>
          <t>Bluestone Outpatient Pavilion</t>
        </is>
      </c>
      <c r="E435" t="inlineStr">
        <is>
          <t>Pediatric Clinic</t>
        </is>
      </c>
      <c r="F435" t="inlineStr">
        <is>
          <t>Women &amp; Children</t>
        </is>
      </c>
      <c r="G435" s="29" t="n">
        <v>45707</v>
      </c>
      <c r="H435" s="29" t="n">
        <v>45707</v>
      </c>
      <c r="I435" s="30" t="n"/>
      <c r="J435" t="inlineStr">
        <is>
          <t>J45.909</t>
        </is>
      </c>
      <c r="K435" t="inlineStr">
        <is>
          <t>Unspecified asthma, uncomplicated</t>
        </is>
      </c>
      <c r="L435" t="inlineStr">
        <is>
          <t>Respiratory</t>
        </is>
      </c>
      <c r="M435" t="inlineStr">
        <is>
          <t>Home/Self-Care</t>
        </is>
      </c>
      <c r="N435" t="inlineStr">
        <is>
          <t>Keystone Health Partners</t>
        </is>
      </c>
      <c r="O435" s="31" t="n">
        <v>291.38</v>
      </c>
    </row>
    <row r="436">
      <c r="A436" t="inlineStr">
        <is>
          <t>ENC112490</t>
        </is>
      </c>
      <c r="B436" t="inlineStr">
        <is>
          <t>PT12892</t>
        </is>
      </c>
      <c r="C436" t="inlineStr">
        <is>
          <t>Inpatient</t>
        </is>
      </c>
      <c r="D436" t="inlineStr">
        <is>
          <t>Bluestone Memorial Hospital</t>
        </is>
      </c>
      <c r="E436" t="inlineStr">
        <is>
          <t>Labor &amp; Delivery</t>
        </is>
      </c>
      <c r="F436" t="inlineStr">
        <is>
          <t>Women &amp; Children</t>
        </is>
      </c>
      <c r="G436" s="29" t="n">
        <v>45707</v>
      </c>
      <c r="H436" s="29" t="n">
        <v>45709</v>
      </c>
      <c r="I436" s="30" t="n">
        <v>2</v>
      </c>
      <c r="J436" t="inlineStr">
        <is>
          <t>O82</t>
        </is>
      </c>
      <c r="K436" t="inlineStr">
        <is>
          <t>Encounter for cesarean delivery without indication</t>
        </is>
      </c>
      <c r="L436" t="inlineStr">
        <is>
          <t>Pregnancy</t>
        </is>
      </c>
      <c r="M436" t="inlineStr">
        <is>
          <t>Home/Self-Care</t>
        </is>
      </c>
      <c r="N436" t="inlineStr">
        <is>
          <t>Summit Choice PPO</t>
        </is>
      </c>
      <c r="O436" s="31" t="n">
        <v>29862.82</v>
      </c>
      <c r="P436" t="inlineStr">
        <is>
          <t>N</t>
        </is>
      </c>
    </row>
    <row r="437">
      <c r="A437" t="inlineStr">
        <is>
          <t>ENC112495</t>
        </is>
      </c>
      <c r="B437" t="inlineStr">
        <is>
          <t>PT12788</t>
        </is>
      </c>
      <c r="C437" t="inlineStr">
        <is>
          <t>Inpatient</t>
        </is>
      </c>
      <c r="D437" t="inlineStr">
        <is>
          <t>Ashby Falls Community Hospital</t>
        </is>
      </c>
      <c r="E437" t="inlineStr">
        <is>
          <t>Intensive Care Unit</t>
        </is>
      </c>
      <c r="F437" t="inlineStr">
        <is>
          <t>Critical Care</t>
        </is>
      </c>
      <c r="G437" s="29" t="n">
        <v>45707</v>
      </c>
      <c r="H437" s="29" t="n">
        <v>45721</v>
      </c>
      <c r="I437" s="30" t="n">
        <v>14</v>
      </c>
      <c r="J437" t="inlineStr">
        <is>
          <t>J96.01</t>
        </is>
      </c>
      <c r="K437" t="inlineStr">
        <is>
          <t>Acute respiratory failure with hypoxia</t>
        </is>
      </c>
      <c r="L437" t="inlineStr">
        <is>
          <t>Respiratory</t>
        </is>
      </c>
      <c r="M437" t="inlineStr">
        <is>
          <t>Hospice</t>
        </is>
      </c>
      <c r="N437" t="inlineStr">
        <is>
          <t>Silverline Medicare Advantage</t>
        </is>
      </c>
      <c r="O437" s="31" t="n">
        <v>117879.84</v>
      </c>
      <c r="P437" t="inlineStr">
        <is>
          <t>N</t>
        </is>
      </c>
    </row>
    <row r="438">
      <c r="A438" t="inlineStr">
        <is>
          <t>ENC112509</t>
        </is>
      </c>
      <c r="B438" t="inlineStr">
        <is>
          <t>PT10628</t>
        </is>
      </c>
      <c r="C438" t="inlineStr">
        <is>
          <t>Emergency</t>
        </is>
      </c>
      <c r="D438" t="inlineStr">
        <is>
          <t>Bluestone Memorial Hospital</t>
        </is>
      </c>
      <c r="E438" t="inlineStr">
        <is>
          <t>Emergency Department</t>
        </is>
      </c>
      <c r="F438" t="inlineStr">
        <is>
          <t>Emergency</t>
        </is>
      </c>
      <c r="G438" s="29" t="n">
        <v>45707</v>
      </c>
      <c r="H438" s="29" t="n">
        <v>45707</v>
      </c>
      <c r="I438" s="30" t="n"/>
      <c r="J438" t="inlineStr">
        <is>
          <t>R07.9</t>
        </is>
      </c>
      <c r="K438" t="inlineStr">
        <is>
          <t>Chest pain, unspecified</t>
        </is>
      </c>
      <c r="L438" t="inlineStr">
        <is>
          <t>Symptoms &amp; Signs</t>
        </is>
      </c>
      <c r="M438" t="inlineStr">
        <is>
          <t>Home/Self-Care</t>
        </is>
      </c>
      <c r="N438" t="inlineStr">
        <is>
          <t>Silverline Medicare Advantage</t>
        </is>
      </c>
      <c r="O438" s="31" t="n">
        <v>5442.19</v>
      </c>
    </row>
    <row r="439">
      <c r="A439" t="inlineStr">
        <is>
          <t>ENC112513</t>
        </is>
      </c>
      <c r="B439" t="inlineStr">
        <is>
          <t>PT12272</t>
        </is>
      </c>
      <c r="C439" t="inlineStr">
        <is>
          <t>Outpatient</t>
        </is>
      </c>
      <c r="D439" t="inlineStr">
        <is>
          <t>Bluestone Outpatient Pavilion</t>
        </is>
      </c>
      <c r="E439" t="inlineStr">
        <is>
          <t>Endocrinology &amp; Diabetes Clinic</t>
        </is>
      </c>
      <c r="F439" t="inlineStr">
        <is>
          <t>Ambulatory</t>
        </is>
      </c>
      <c r="G439" s="29" t="n">
        <v>45707</v>
      </c>
      <c r="H439" s="29" t="n">
        <v>45707</v>
      </c>
      <c r="I439" s="30" t="n"/>
      <c r="J439" t="inlineStr">
        <is>
          <t>E11.65</t>
        </is>
      </c>
      <c r="K439" t="inlineStr">
        <is>
          <t>Type 2 diabetes mellitus with hyperglycemia</t>
        </is>
      </c>
      <c r="L439" t="inlineStr">
        <is>
          <t>Endocrine</t>
        </is>
      </c>
      <c r="M439" t="inlineStr">
        <is>
          <t>Home/Self-Care</t>
        </is>
      </c>
      <c r="N439" t="inlineStr">
        <is>
          <t>Keystone Health Partners</t>
        </is>
      </c>
      <c r="O439" s="31" t="n">
        <v>426.07</v>
      </c>
    </row>
    <row r="440">
      <c r="A440" t="inlineStr">
        <is>
          <t>ENC112514</t>
        </is>
      </c>
      <c r="B440" t="inlineStr">
        <is>
          <t>PT10408</t>
        </is>
      </c>
      <c r="C440" t="inlineStr">
        <is>
          <t>Inpatient</t>
        </is>
      </c>
      <c r="D440" t="inlineStr">
        <is>
          <t>Bluestone Memorial Hospital</t>
        </is>
      </c>
      <c r="E440" t="inlineStr">
        <is>
          <t>Medical-Surgical 5 East</t>
        </is>
      </c>
      <c r="F440" t="inlineStr">
        <is>
          <t>Medicine</t>
        </is>
      </c>
      <c r="G440" s="29" t="n">
        <v>45707</v>
      </c>
      <c r="H440" s="29" t="n">
        <v>45709</v>
      </c>
      <c r="I440" s="30" t="n">
        <v>2</v>
      </c>
      <c r="J440" t="inlineStr">
        <is>
          <t>K80.20</t>
        </is>
      </c>
      <c r="K440" t="inlineStr">
        <is>
          <t>Calculus of gallbladder without cholecystitis without obstruction</t>
        </is>
      </c>
      <c r="L440" t="inlineStr">
        <is>
          <t>Digestive</t>
        </is>
      </c>
      <c r="M440" t="inlineStr">
        <is>
          <t>Home/Self-Care</t>
        </is>
      </c>
      <c r="N440" t="inlineStr">
        <is>
          <t>State Medicaid</t>
        </is>
      </c>
      <c r="O440" s="31" t="n">
        <v>27774.05</v>
      </c>
      <c r="P440" t="inlineStr">
        <is>
          <t>N</t>
        </is>
      </c>
    </row>
    <row r="441">
      <c r="A441" t="inlineStr">
        <is>
          <t>ENC112520</t>
        </is>
      </c>
      <c r="B441" t="inlineStr">
        <is>
          <t>PT13752</t>
        </is>
      </c>
      <c r="C441" t="inlineStr">
        <is>
          <t>Emergency</t>
        </is>
      </c>
      <c r="D441" t="inlineStr">
        <is>
          <t>Bluestone Memorial Hospital</t>
        </is>
      </c>
      <c r="E441" t="inlineStr">
        <is>
          <t>Emergency Department</t>
        </is>
      </c>
      <c r="F441" t="inlineStr">
        <is>
          <t>Emergency</t>
        </is>
      </c>
      <c r="G441" s="29" t="n">
        <v>45707</v>
      </c>
      <c r="H441" s="29" t="n">
        <v>45707</v>
      </c>
      <c r="I441" s="30" t="n"/>
      <c r="J441" t="inlineStr">
        <is>
          <t>U07.1</t>
        </is>
      </c>
      <c r="K441" t="inlineStr">
        <is>
          <t>COVID-19</t>
        </is>
      </c>
      <c r="L441" t="inlineStr">
        <is>
          <t>Respiratory</t>
        </is>
      </c>
      <c r="M441" t="inlineStr">
        <is>
          <t>Home/Self-Care</t>
        </is>
      </c>
      <c r="N441" t="inlineStr">
        <is>
          <t>State Medicaid</t>
        </is>
      </c>
      <c r="O441" s="31" t="n">
        <v>1546.7</v>
      </c>
    </row>
    <row r="442">
      <c r="A442" t="inlineStr">
        <is>
          <t>ENC112524</t>
        </is>
      </c>
      <c r="B442" t="inlineStr">
        <is>
          <t>PT10112</t>
        </is>
      </c>
      <c r="C442" t="inlineStr">
        <is>
          <t>Inpatient</t>
        </is>
      </c>
      <c r="D442" t="inlineStr">
        <is>
          <t>Bluestone Memorial Hospital</t>
        </is>
      </c>
      <c r="E442" t="inlineStr">
        <is>
          <t>Intensive Care Unit</t>
        </is>
      </c>
      <c r="F442" t="inlineStr">
        <is>
          <t>Critical Care</t>
        </is>
      </c>
      <c r="G442" s="29" t="n">
        <v>45707</v>
      </c>
      <c r="H442" s="29" t="n">
        <v>45714</v>
      </c>
      <c r="I442" s="30" t="n">
        <v>7</v>
      </c>
      <c r="J442" t="inlineStr">
        <is>
          <t>J96.01</t>
        </is>
      </c>
      <c r="K442" t="inlineStr">
        <is>
          <t>Acute respiratory failure with hypoxia</t>
        </is>
      </c>
      <c r="L442" t="inlineStr">
        <is>
          <t>Respiratory</t>
        </is>
      </c>
      <c r="M442" t="inlineStr">
        <is>
          <t>Home/Self-Care</t>
        </is>
      </c>
      <c r="N442" t="inlineStr">
        <is>
          <t>Silverline Medicare Advantage</t>
        </is>
      </c>
      <c r="O442" s="31" t="n">
        <v>55458.39</v>
      </c>
      <c r="P442" t="inlineStr">
        <is>
          <t>N</t>
        </is>
      </c>
    </row>
    <row r="443">
      <c r="A443" t="inlineStr">
        <is>
          <t>ENC112530</t>
        </is>
      </c>
      <c r="B443" t="inlineStr">
        <is>
          <t>PT10264</t>
        </is>
      </c>
      <c r="C443" t="inlineStr">
        <is>
          <t>Emergency</t>
        </is>
      </c>
      <c r="D443" t="inlineStr">
        <is>
          <t>Bluestone Memorial Hospital</t>
        </is>
      </c>
      <c r="E443" t="inlineStr">
        <is>
          <t>Emergency Department</t>
        </is>
      </c>
      <c r="F443" t="inlineStr">
        <is>
          <t>Emergency</t>
        </is>
      </c>
      <c r="G443" s="29" t="n">
        <v>45707</v>
      </c>
      <c r="H443" s="29" t="n">
        <v>45708</v>
      </c>
      <c r="I443" s="30" t="n"/>
      <c r="J443" t="inlineStr">
        <is>
          <t>J45.909</t>
        </is>
      </c>
      <c r="K443" t="inlineStr">
        <is>
          <t>Unspecified asthma, uncomplicated</t>
        </is>
      </c>
      <c r="L443" t="inlineStr">
        <is>
          <t>Respiratory</t>
        </is>
      </c>
      <c r="M443" t="inlineStr">
        <is>
          <t>Home/Self-Care</t>
        </is>
      </c>
      <c r="N443" t="inlineStr">
        <is>
          <t>Keystone Health Partners</t>
        </is>
      </c>
      <c r="O443" s="31" t="n">
        <v>2632.22</v>
      </c>
    </row>
    <row r="444">
      <c r="A444" t="inlineStr">
        <is>
          <t>ENC112545</t>
        </is>
      </c>
      <c r="B444" t="inlineStr">
        <is>
          <t>PT12568</t>
        </is>
      </c>
      <c r="C444" t="inlineStr">
        <is>
          <t>Outpatient</t>
        </is>
      </c>
      <c r="D444" t="inlineStr">
        <is>
          <t>Bluestone Outpatient Pavilion</t>
        </is>
      </c>
      <c r="E444" t="inlineStr">
        <is>
          <t>Primary Care Clinic</t>
        </is>
      </c>
      <c r="F444" t="inlineStr">
        <is>
          <t>Ambulatory</t>
        </is>
      </c>
      <c r="G444" s="29" t="n">
        <v>45708</v>
      </c>
      <c r="H444" s="29" t="n">
        <v>45708</v>
      </c>
      <c r="I444" s="30" t="n"/>
      <c r="J444" t="inlineStr">
        <is>
          <t>J45.909</t>
        </is>
      </c>
      <c r="K444" t="inlineStr">
        <is>
          <t>Unspecified asthma, uncomplicated</t>
        </is>
      </c>
      <c r="L444" t="inlineStr">
        <is>
          <t>Respiratory</t>
        </is>
      </c>
      <c r="M444" t="inlineStr">
        <is>
          <t>Home/Self-Care</t>
        </is>
      </c>
      <c r="N444" t="inlineStr">
        <is>
          <t>State Medicaid</t>
        </is>
      </c>
      <c r="O444" s="31" t="n">
        <v>363.67</v>
      </c>
    </row>
    <row r="445">
      <c r="A445" t="inlineStr">
        <is>
          <t>ENC112547</t>
        </is>
      </c>
      <c r="B445" t="inlineStr">
        <is>
          <t>PT10664</t>
        </is>
      </c>
      <c r="C445" t="inlineStr">
        <is>
          <t>Outpatient</t>
        </is>
      </c>
      <c r="D445" t="inlineStr">
        <is>
          <t>Bluestone Outpatient Pavilion</t>
        </is>
      </c>
      <c r="E445" t="inlineStr">
        <is>
          <t>Primary Care Clinic</t>
        </is>
      </c>
      <c r="F445" t="inlineStr">
        <is>
          <t>Ambulatory</t>
        </is>
      </c>
      <c r="G445" s="29" t="n">
        <v>45708</v>
      </c>
      <c r="H445" s="29" t="n">
        <v>45708</v>
      </c>
      <c r="I445" s="30" t="n"/>
      <c r="J445" t="inlineStr">
        <is>
          <t>Z00.00</t>
        </is>
      </c>
      <c r="K445" t="inlineStr">
        <is>
          <t>Encounter for general adult medical examination without abnormal findings</t>
        </is>
      </c>
      <c r="L445" t="inlineStr">
        <is>
          <t>Factors Influencing Health</t>
        </is>
      </c>
      <c r="M445" t="inlineStr">
        <is>
          <t>Home/Self-Care</t>
        </is>
      </c>
      <c r="N445" t="inlineStr">
        <is>
          <t>Evergreen Mutual Insurance</t>
        </is>
      </c>
      <c r="O445" s="31" t="n">
        <v>196.95</v>
      </c>
    </row>
    <row r="446">
      <c r="A446" t="inlineStr">
        <is>
          <t>ENC112557</t>
        </is>
      </c>
      <c r="B446" t="inlineStr">
        <is>
          <t>PT10228</t>
        </is>
      </c>
      <c r="C446" t="inlineStr">
        <is>
          <t>Outpatient</t>
        </is>
      </c>
      <c r="D446" t="inlineStr">
        <is>
          <t>Bluestone Outpatient Pavilion</t>
        </is>
      </c>
      <c r="E446" t="inlineStr">
        <is>
          <t>Primary Care Clinic</t>
        </is>
      </c>
      <c r="F446" t="inlineStr">
        <is>
          <t>Ambulatory</t>
        </is>
      </c>
      <c r="G446" s="29" t="n">
        <v>45708</v>
      </c>
      <c r="H446" s="29" t="n">
        <v>45708</v>
      </c>
      <c r="I446" s="30" t="n"/>
      <c r="J446" t="inlineStr">
        <is>
          <t>Z00.00</t>
        </is>
      </c>
      <c r="K446" t="inlineStr">
        <is>
          <t>Encounter for general adult medical examination without abnormal findings</t>
        </is>
      </c>
      <c r="L446" t="inlineStr">
        <is>
          <t>Factors Influencing Health</t>
        </is>
      </c>
      <c r="M446" t="inlineStr">
        <is>
          <t>Home/Self-Care</t>
        </is>
      </c>
      <c r="N446" t="inlineStr">
        <is>
          <t>Evergreen Mutual Insurance</t>
        </is>
      </c>
      <c r="O446" s="31" t="n">
        <v>261.54</v>
      </c>
    </row>
    <row r="447">
      <c r="A447" t="inlineStr">
        <is>
          <t>ENC112560</t>
        </is>
      </c>
      <c r="B447" t="inlineStr">
        <is>
          <t>PT12492</t>
        </is>
      </c>
      <c r="C447" t="inlineStr">
        <is>
          <t>Outpatient</t>
        </is>
      </c>
      <c r="D447" t="inlineStr">
        <is>
          <t>Bluestone Outpatient Pavilion</t>
        </is>
      </c>
      <c r="E447" t="inlineStr">
        <is>
          <t>Primary Care Clinic</t>
        </is>
      </c>
      <c r="F447" t="inlineStr">
        <is>
          <t>Ambulatory</t>
        </is>
      </c>
      <c r="G447" s="29" t="n">
        <v>45708</v>
      </c>
      <c r="H447" s="29" t="n">
        <v>45708</v>
      </c>
      <c r="I447" s="30" t="n"/>
      <c r="J447" t="inlineStr">
        <is>
          <t>J06.9</t>
        </is>
      </c>
      <c r="K447" t="inlineStr">
        <is>
          <t>Acute upper respiratory infection, unspecified</t>
        </is>
      </c>
      <c r="L447" t="inlineStr">
        <is>
          <t>Respiratory</t>
        </is>
      </c>
      <c r="M447" t="inlineStr">
        <is>
          <t>Home/Self-Care</t>
        </is>
      </c>
      <c r="N447" t="inlineStr">
        <is>
          <t>Summit Choice PPO</t>
        </is>
      </c>
      <c r="O447" s="31" t="n">
        <v>170.13</v>
      </c>
    </row>
    <row r="448">
      <c r="A448" t="inlineStr">
        <is>
          <t>ENC112563</t>
        </is>
      </c>
      <c r="B448" t="inlineStr">
        <is>
          <t>PT13276</t>
        </is>
      </c>
      <c r="C448" t="inlineStr">
        <is>
          <t>Emergency</t>
        </is>
      </c>
      <c r="D448" t="inlineStr">
        <is>
          <t>Bluestone Memorial Hospital</t>
        </is>
      </c>
      <c r="E448" t="inlineStr">
        <is>
          <t>Emergency Department</t>
        </is>
      </c>
      <c r="F448" t="inlineStr">
        <is>
          <t>Emergency</t>
        </is>
      </c>
      <c r="G448" s="29" t="n">
        <v>45708</v>
      </c>
      <c r="H448" s="29" t="n">
        <v>45708</v>
      </c>
      <c r="I448" s="30" t="n"/>
      <c r="J448" t="inlineStr">
        <is>
          <t>J06.9</t>
        </is>
      </c>
      <c r="K448" t="inlineStr">
        <is>
          <t>Acute upper respiratory infection, unspecified</t>
        </is>
      </c>
      <c r="L448" t="inlineStr">
        <is>
          <t>Respiratory</t>
        </is>
      </c>
      <c r="M448" t="inlineStr">
        <is>
          <t>Left Without Being Seen</t>
        </is>
      </c>
      <c r="N448" t="inlineStr">
        <is>
          <t>Keystone Health Partners</t>
        </is>
      </c>
      <c r="O448" s="31" t="n">
        <v>1838.68</v>
      </c>
    </row>
    <row r="449">
      <c r="A449" t="inlineStr">
        <is>
          <t>ENC112572</t>
        </is>
      </c>
      <c r="B449" t="inlineStr">
        <is>
          <t>PT10792</t>
        </is>
      </c>
      <c r="C449" t="inlineStr">
        <is>
          <t>Emergency</t>
        </is>
      </c>
      <c r="D449" t="inlineStr">
        <is>
          <t>Bluestone Memorial Hospital</t>
        </is>
      </c>
      <c r="E449" t="inlineStr">
        <is>
          <t>Emergency Department</t>
        </is>
      </c>
      <c r="F449" t="inlineStr">
        <is>
          <t>Emergency</t>
        </is>
      </c>
      <c r="G449" s="29" t="n">
        <v>45708</v>
      </c>
      <c r="H449" s="29" t="n">
        <v>45708</v>
      </c>
      <c r="I449" s="30" t="n"/>
      <c r="J449" t="inlineStr">
        <is>
          <t>F41.9</t>
        </is>
      </c>
      <c r="K449" t="inlineStr">
        <is>
          <t>Anxiety disorder, unspecified</t>
        </is>
      </c>
      <c r="L449" t="inlineStr">
        <is>
          <t>Mental &amp; Behavioral</t>
        </is>
      </c>
      <c r="M449" t="inlineStr">
        <is>
          <t>Home/Self-Care</t>
        </is>
      </c>
      <c r="N449" t="inlineStr">
        <is>
          <t>Summit Choice PPO</t>
        </is>
      </c>
      <c r="O449" s="31" t="n">
        <v>1245.7</v>
      </c>
    </row>
    <row r="450">
      <c r="A450" t="inlineStr">
        <is>
          <t>ENC112574</t>
        </is>
      </c>
      <c r="B450" t="inlineStr">
        <is>
          <t>PT11584</t>
        </is>
      </c>
      <c r="C450" t="inlineStr">
        <is>
          <t>Emergency</t>
        </is>
      </c>
      <c r="D450" t="inlineStr">
        <is>
          <t>Bluestone Memorial Hospital</t>
        </is>
      </c>
      <c r="E450" t="inlineStr">
        <is>
          <t>Emergency Department</t>
        </is>
      </c>
      <c r="F450" t="inlineStr">
        <is>
          <t>Emergency</t>
        </is>
      </c>
      <c r="G450" s="29" t="n">
        <v>45708</v>
      </c>
      <c r="H450" s="29" t="n">
        <v>45708</v>
      </c>
      <c r="I450" s="30" t="n"/>
      <c r="J450" t="inlineStr">
        <is>
          <t>J06.9</t>
        </is>
      </c>
      <c r="K450" t="inlineStr">
        <is>
          <t>Acute upper respiratory infection, unspecified</t>
        </is>
      </c>
      <c r="L450" t="inlineStr">
        <is>
          <t>Respiratory</t>
        </is>
      </c>
      <c r="M450" t="inlineStr">
        <is>
          <t>Home/Self-Care</t>
        </is>
      </c>
      <c r="N450" t="inlineStr">
        <is>
          <t>Keystone Health Partners</t>
        </is>
      </c>
      <c r="O450" s="31" t="n">
        <v>725.08</v>
      </c>
    </row>
    <row r="451">
      <c r="A451" t="inlineStr">
        <is>
          <t>ENC112582</t>
        </is>
      </c>
      <c r="B451" t="inlineStr">
        <is>
          <t>PT12368</t>
        </is>
      </c>
      <c r="C451" t="inlineStr">
        <is>
          <t>Outpatient</t>
        </is>
      </c>
      <c r="D451" t="inlineStr">
        <is>
          <t>Bluestone Outpatient Pavilion</t>
        </is>
      </c>
      <c r="E451" t="inlineStr">
        <is>
          <t>Infusion &amp; Oncology Clinic</t>
        </is>
      </c>
      <c r="F451" t="inlineStr">
        <is>
          <t>Oncology</t>
        </is>
      </c>
      <c r="G451" s="29" t="n">
        <v>45709</v>
      </c>
      <c r="H451" s="29" t="n">
        <v>45709</v>
      </c>
      <c r="I451" s="30" t="n"/>
      <c r="J451" t="inlineStr">
        <is>
          <t>Z51.11</t>
        </is>
      </c>
      <c r="K451" t="inlineStr">
        <is>
          <t>Encounter for antineoplastic chemotherapy</t>
        </is>
      </c>
      <c r="L451" t="inlineStr">
        <is>
          <t>Factors Influencing Health</t>
        </is>
      </c>
      <c r="M451" t="inlineStr">
        <is>
          <t>Home/Self-Care</t>
        </is>
      </c>
      <c r="N451" t="inlineStr">
        <is>
          <t>Evergreen Mutual Insurance</t>
        </is>
      </c>
      <c r="O451" s="31" t="n">
        <v>5127.13</v>
      </c>
    </row>
    <row r="452">
      <c r="A452" t="inlineStr">
        <is>
          <t>ENC112584</t>
        </is>
      </c>
      <c r="B452" t="inlineStr">
        <is>
          <t>PT13960</t>
        </is>
      </c>
      <c r="C452" t="inlineStr">
        <is>
          <t>Emergency</t>
        </is>
      </c>
      <c r="D452" t="inlineStr">
        <is>
          <t>Bluestone Memorial Hospital</t>
        </is>
      </c>
      <c r="E452" t="inlineStr">
        <is>
          <t>Emergency Department</t>
        </is>
      </c>
      <c r="F452" t="inlineStr">
        <is>
          <t>Emergency</t>
        </is>
      </c>
      <c r="G452" s="29" t="n">
        <v>45709</v>
      </c>
      <c r="H452" s="29" t="n">
        <v>45709</v>
      </c>
      <c r="I452" s="30" t="n"/>
      <c r="J452" t="inlineStr">
        <is>
          <t>J06.9</t>
        </is>
      </c>
      <c r="K452" t="inlineStr">
        <is>
          <t>Acute upper respiratory infection, unspecified</t>
        </is>
      </c>
      <c r="L452" t="inlineStr">
        <is>
          <t>Respiratory</t>
        </is>
      </c>
      <c r="M452" t="inlineStr">
        <is>
          <t>Home/Self-Care</t>
        </is>
      </c>
      <c r="N452" t="inlineStr">
        <is>
          <t>Medicare</t>
        </is>
      </c>
      <c r="O452" s="31" t="n">
        <v>818.15</v>
      </c>
    </row>
    <row r="453">
      <c r="A453" t="inlineStr">
        <is>
          <t>ENC112585</t>
        </is>
      </c>
      <c r="B453" t="inlineStr">
        <is>
          <t>PT11612</t>
        </is>
      </c>
      <c r="C453" t="inlineStr">
        <is>
          <t>Outpatient</t>
        </is>
      </c>
      <c r="D453" t="inlineStr">
        <is>
          <t>Bluestone Outpatient Pavilion</t>
        </is>
      </c>
      <c r="E453" t="inlineStr">
        <is>
          <t>Primary Care Clinic</t>
        </is>
      </c>
      <c r="F453" t="inlineStr">
        <is>
          <t>Ambulatory</t>
        </is>
      </c>
      <c r="G453" s="29" t="n">
        <v>45709</v>
      </c>
      <c r="H453" s="29" t="n">
        <v>45709</v>
      </c>
      <c r="I453" s="30" t="n"/>
      <c r="J453" t="inlineStr">
        <is>
          <t>Z00.00</t>
        </is>
      </c>
      <c r="K453" t="inlineStr">
        <is>
          <t>Encounter for general adult medical examination without abnormal findings</t>
        </is>
      </c>
      <c r="L453" t="inlineStr">
        <is>
          <t>Factors Influencing Health</t>
        </is>
      </c>
      <c r="M453" t="inlineStr">
        <is>
          <t>Home/Self-Care</t>
        </is>
      </c>
      <c r="N453" t="inlineStr">
        <is>
          <t>Silverline Medicare Advantage</t>
        </is>
      </c>
      <c r="O453" s="31" t="n">
        <v>385.51</v>
      </c>
    </row>
    <row r="454">
      <c r="A454" t="inlineStr">
        <is>
          <t>ENC112589</t>
        </is>
      </c>
      <c r="B454" t="inlineStr">
        <is>
          <t>PT12988</t>
        </is>
      </c>
      <c r="C454" t="inlineStr">
        <is>
          <t>Outpatient</t>
        </is>
      </c>
      <c r="D454" t="inlineStr">
        <is>
          <t>Bluestone Outpatient Pavilion</t>
        </is>
      </c>
      <c r="E454" t="inlineStr">
        <is>
          <t>Primary Care Clinic</t>
        </is>
      </c>
      <c r="F454" t="inlineStr">
        <is>
          <t>Ambulatory</t>
        </is>
      </c>
      <c r="G454" s="29" t="n">
        <v>45709</v>
      </c>
      <c r="H454" s="29" t="n">
        <v>45709</v>
      </c>
      <c r="I454" s="30" t="n"/>
      <c r="J454" t="inlineStr">
        <is>
          <t>E78.5</t>
        </is>
      </c>
      <c r="K454" t="inlineStr">
        <is>
          <t>Hyperlipidemia, unspecified</t>
        </is>
      </c>
      <c r="L454" t="inlineStr">
        <is>
          <t>Endocrine</t>
        </is>
      </c>
      <c r="M454" t="inlineStr">
        <is>
          <t>Home/Self-Care</t>
        </is>
      </c>
      <c r="N454" t="inlineStr">
        <is>
          <t>Self-Pay</t>
        </is>
      </c>
      <c r="O454" s="31" t="n">
        <v>508.45</v>
      </c>
    </row>
    <row r="455">
      <c r="A455" t="inlineStr">
        <is>
          <t>ENC112593</t>
        </is>
      </c>
      <c r="B455" t="inlineStr">
        <is>
          <t>PT13748</t>
        </is>
      </c>
      <c r="C455" t="inlineStr">
        <is>
          <t>Outpatient</t>
        </is>
      </c>
      <c r="D455" t="inlineStr">
        <is>
          <t>Bluestone Outpatient Pavilion</t>
        </is>
      </c>
      <c r="E455" t="inlineStr">
        <is>
          <t>Primary Care Clinic</t>
        </is>
      </c>
      <c r="F455" t="inlineStr">
        <is>
          <t>Ambulatory</t>
        </is>
      </c>
      <c r="G455" s="29" t="n">
        <v>45709</v>
      </c>
      <c r="H455" s="29" t="n">
        <v>45709</v>
      </c>
      <c r="I455" s="30" t="n"/>
      <c r="J455" t="inlineStr">
        <is>
          <t>J06.9</t>
        </is>
      </c>
      <c r="K455" t="inlineStr">
        <is>
          <t>Acute upper respiratory infection, unspecified</t>
        </is>
      </c>
      <c r="L455" t="inlineStr">
        <is>
          <t>Respiratory</t>
        </is>
      </c>
      <c r="M455" t="inlineStr">
        <is>
          <t>Home/Self-Care</t>
        </is>
      </c>
      <c r="N455" t="inlineStr">
        <is>
          <t>Evergreen Mutual Insurance</t>
        </is>
      </c>
      <c r="O455" s="31" t="n">
        <v>210.94</v>
      </c>
    </row>
    <row r="456">
      <c r="A456" t="inlineStr">
        <is>
          <t>ENC112595</t>
        </is>
      </c>
      <c r="B456" t="inlineStr">
        <is>
          <t>PT11968</t>
        </is>
      </c>
      <c r="C456" t="inlineStr">
        <is>
          <t>Emergency</t>
        </is>
      </c>
      <c r="D456" t="inlineStr">
        <is>
          <t>Cedar Ridge Medical Center</t>
        </is>
      </c>
      <c r="E456" t="inlineStr">
        <is>
          <t>Emergency Department</t>
        </is>
      </c>
      <c r="F456" t="inlineStr">
        <is>
          <t>Emergency</t>
        </is>
      </c>
      <c r="G456" s="29" t="n">
        <v>45709</v>
      </c>
      <c r="H456" s="29" t="n">
        <v>45709</v>
      </c>
      <c r="I456" s="30" t="n"/>
      <c r="J456" t="inlineStr">
        <is>
          <t>U07.1</t>
        </is>
      </c>
      <c r="K456" t="inlineStr">
        <is>
          <t>COVID-19</t>
        </is>
      </c>
      <c r="L456" t="inlineStr">
        <is>
          <t>Respiratory</t>
        </is>
      </c>
      <c r="M456" t="inlineStr">
        <is>
          <t>Home/Self-Care</t>
        </is>
      </c>
      <c r="N456" t="inlineStr">
        <is>
          <t>State Medicaid</t>
        </is>
      </c>
      <c r="O456" s="31" t="n">
        <v>2259.91</v>
      </c>
    </row>
    <row r="457">
      <c r="A457" t="inlineStr">
        <is>
          <t>ENC112599</t>
        </is>
      </c>
      <c r="B457" t="inlineStr">
        <is>
          <t>PT13064</t>
        </is>
      </c>
      <c r="C457" t="inlineStr">
        <is>
          <t>Emergency</t>
        </is>
      </c>
      <c r="D457" t="inlineStr">
        <is>
          <t>Ashby Falls Community Hospital</t>
        </is>
      </c>
      <c r="E457" t="inlineStr">
        <is>
          <t>Emergency Department</t>
        </is>
      </c>
      <c r="F457" t="inlineStr">
        <is>
          <t>Emergency</t>
        </is>
      </c>
      <c r="G457" s="29" t="n">
        <v>45709</v>
      </c>
      <c r="H457" s="29" t="n">
        <v>45709</v>
      </c>
      <c r="I457" s="30" t="n"/>
      <c r="J457" t="inlineStr">
        <is>
          <t>U07.1</t>
        </is>
      </c>
      <c r="K457" t="inlineStr">
        <is>
          <t>COVID-19</t>
        </is>
      </c>
      <c r="L457" t="inlineStr">
        <is>
          <t>Respiratory</t>
        </is>
      </c>
      <c r="M457" t="inlineStr">
        <is>
          <t>Home/Self-Care</t>
        </is>
      </c>
      <c r="N457" t="inlineStr">
        <is>
          <t>State Medicaid</t>
        </is>
      </c>
      <c r="O457" s="31" t="n">
        <v>2943.76</v>
      </c>
    </row>
    <row r="458">
      <c r="A458" t="inlineStr">
        <is>
          <t>ENC112603</t>
        </is>
      </c>
      <c r="B458" t="inlineStr">
        <is>
          <t>PT12512</t>
        </is>
      </c>
      <c r="C458" t="inlineStr">
        <is>
          <t>Outpatient</t>
        </is>
      </c>
      <c r="D458" t="inlineStr">
        <is>
          <t>Bluestone Outpatient Pavilion</t>
        </is>
      </c>
      <c r="E458" t="inlineStr">
        <is>
          <t>Primary Care Clinic</t>
        </is>
      </c>
      <c r="F458" t="inlineStr">
        <is>
          <t>Ambulatory</t>
        </is>
      </c>
      <c r="G458" s="29" t="n">
        <v>45709</v>
      </c>
      <c r="H458" s="29" t="n">
        <v>45709</v>
      </c>
      <c r="I458" s="30" t="n"/>
      <c r="J458" t="inlineStr">
        <is>
          <t>Z00.00</t>
        </is>
      </c>
      <c r="K458" t="inlineStr">
        <is>
          <t>Encounter for general adult medical examination without abnormal findings</t>
        </is>
      </c>
      <c r="L458" t="inlineStr">
        <is>
          <t>Factors Influencing Health</t>
        </is>
      </c>
      <c r="M458" t="inlineStr">
        <is>
          <t>Home/Self-Care</t>
        </is>
      </c>
      <c r="N458" t="inlineStr">
        <is>
          <t>Keystone Health Partners</t>
        </is>
      </c>
      <c r="O458" s="31" t="n">
        <v>385.69</v>
      </c>
    </row>
    <row r="459">
      <c r="A459" t="inlineStr">
        <is>
          <t>ENC112605</t>
        </is>
      </c>
      <c r="B459" t="inlineStr">
        <is>
          <t>PT13772</t>
        </is>
      </c>
      <c r="C459" t="inlineStr">
        <is>
          <t>Emergency</t>
        </is>
      </c>
      <c r="D459" t="inlineStr">
        <is>
          <t>Bluestone Memorial Hospital</t>
        </is>
      </c>
      <c r="E459" t="inlineStr">
        <is>
          <t>Emergency Department</t>
        </is>
      </c>
      <c r="F459" t="inlineStr">
        <is>
          <t>Emergency</t>
        </is>
      </c>
      <c r="G459" s="29" t="n">
        <v>45709</v>
      </c>
      <c r="H459" s="29" t="n">
        <v>45709</v>
      </c>
      <c r="I459" s="30" t="n"/>
      <c r="J459" t="inlineStr">
        <is>
          <t>S93.401A</t>
        </is>
      </c>
      <c r="K459" t="inlineStr">
        <is>
          <t>Sprain of unspecified ligament of right ankle, initial encounter</t>
        </is>
      </c>
      <c r="L459" t="inlineStr">
        <is>
          <t>Injury</t>
        </is>
      </c>
      <c r="M459" t="inlineStr">
        <is>
          <t>Home/Self-Care</t>
        </is>
      </c>
      <c r="N459" t="inlineStr">
        <is>
          <t>Keystone Health Partners</t>
        </is>
      </c>
      <c r="O459" s="31" t="n">
        <v>955.26</v>
      </c>
    </row>
    <row r="460">
      <c r="A460" t="inlineStr">
        <is>
          <t>ENC112607</t>
        </is>
      </c>
      <c r="B460" t="inlineStr">
        <is>
          <t>PT11280</t>
        </is>
      </c>
      <c r="C460" t="inlineStr">
        <is>
          <t>Emergency</t>
        </is>
      </c>
      <c r="D460" t="inlineStr">
        <is>
          <t>Ashby Falls Community Hospital</t>
        </is>
      </c>
      <c r="E460" t="inlineStr">
        <is>
          <t>Emergency Department</t>
        </is>
      </c>
      <c r="F460" t="inlineStr">
        <is>
          <t>Emergency</t>
        </is>
      </c>
      <c r="G460" s="29" t="n">
        <v>45709</v>
      </c>
      <c r="H460" s="29" t="n">
        <v>45709</v>
      </c>
      <c r="I460" s="30" t="n"/>
      <c r="J460" t="inlineStr">
        <is>
          <t>E86.0</t>
        </is>
      </c>
      <c r="K460" t="inlineStr">
        <is>
          <t>Dehydration</t>
        </is>
      </c>
      <c r="L460" t="inlineStr">
        <is>
          <t>Endocrine</t>
        </is>
      </c>
      <c r="M460" t="inlineStr">
        <is>
          <t>Home/Self-Care</t>
        </is>
      </c>
      <c r="N460" t="inlineStr">
        <is>
          <t>Silverline Medicare Advantage</t>
        </is>
      </c>
      <c r="O460" s="31" t="n">
        <v>4317.24</v>
      </c>
    </row>
    <row r="461">
      <c r="A461" t="inlineStr">
        <is>
          <t>ENC112610</t>
        </is>
      </c>
      <c r="B461" t="inlineStr">
        <is>
          <t>PT12524</t>
        </is>
      </c>
      <c r="C461" t="inlineStr">
        <is>
          <t>Inpatient</t>
        </is>
      </c>
      <c r="D461" t="inlineStr">
        <is>
          <t>Bluestone Memorial Hospital</t>
        </is>
      </c>
      <c r="E461" t="inlineStr">
        <is>
          <t>Orthopedics &amp; Spine</t>
        </is>
      </c>
      <c r="F461" t="inlineStr">
        <is>
          <t>Orthopedics</t>
        </is>
      </c>
      <c r="G461" s="29" t="n">
        <v>45709</v>
      </c>
      <c r="H461" s="29" t="n">
        <v>45713</v>
      </c>
      <c r="I461" s="30" t="n">
        <v>4</v>
      </c>
      <c r="J461" t="inlineStr">
        <is>
          <t>S72.001A</t>
        </is>
      </c>
      <c r="K461" t="inlineStr">
        <is>
          <t>Fracture of unspecified part of neck of right femur, initial encounter</t>
        </is>
      </c>
      <c r="L461" t="inlineStr">
        <is>
          <t>Injury</t>
        </is>
      </c>
      <c r="M461" t="inlineStr">
        <is>
          <t>Inpatient Rehab</t>
        </is>
      </c>
      <c r="N461" t="inlineStr">
        <is>
          <t>Medicare</t>
        </is>
      </c>
      <c r="O461" s="31" t="n">
        <v>60958.85</v>
      </c>
      <c r="P461" t="inlineStr">
        <is>
          <t>N</t>
        </is>
      </c>
    </row>
    <row r="462">
      <c r="A462" t="inlineStr">
        <is>
          <t>ENC112617</t>
        </is>
      </c>
      <c r="B462" t="inlineStr">
        <is>
          <t>PT10756</t>
        </is>
      </c>
      <c r="C462" t="inlineStr">
        <is>
          <t>Emergency</t>
        </is>
      </c>
      <c r="D462" t="inlineStr">
        <is>
          <t>Cedar Ridge Medical Center</t>
        </is>
      </c>
      <c r="E462" t="inlineStr">
        <is>
          <t>Emergency Department</t>
        </is>
      </c>
      <c r="F462" t="inlineStr">
        <is>
          <t>Emergency</t>
        </is>
      </c>
      <c r="G462" s="29" t="n">
        <v>45710</v>
      </c>
      <c r="H462" s="29" t="n">
        <v>45710</v>
      </c>
      <c r="I462" s="30" t="n"/>
      <c r="J462" t="inlineStr">
        <is>
          <t>J45.909</t>
        </is>
      </c>
      <c r="K462" t="inlineStr">
        <is>
          <t>Unspecified asthma, uncomplicated</t>
        </is>
      </c>
      <c r="L462" t="inlineStr">
        <is>
          <t>Respiratory</t>
        </is>
      </c>
      <c r="M462" t="inlineStr">
        <is>
          <t>Home/Self-Care</t>
        </is>
      </c>
      <c r="N462" t="inlineStr">
        <is>
          <t>Summit Choice PPO</t>
        </is>
      </c>
      <c r="O462" s="31" t="n">
        <v>3543.58</v>
      </c>
    </row>
    <row r="463">
      <c r="A463" t="inlineStr">
        <is>
          <t>ENC112622</t>
        </is>
      </c>
      <c r="B463" t="inlineStr">
        <is>
          <t>PT10004</t>
        </is>
      </c>
      <c r="C463" t="inlineStr">
        <is>
          <t>Emergency</t>
        </is>
      </c>
      <c r="D463" t="inlineStr">
        <is>
          <t>Bluestone Memorial Hospital</t>
        </is>
      </c>
      <c r="E463" t="inlineStr">
        <is>
          <t>Emergency Department</t>
        </is>
      </c>
      <c r="F463" t="inlineStr">
        <is>
          <t>Emergency</t>
        </is>
      </c>
      <c r="G463" s="29" t="n">
        <v>45710</v>
      </c>
      <c r="H463" s="29" t="n">
        <v>45710</v>
      </c>
      <c r="I463" s="30" t="n"/>
      <c r="J463" t="inlineStr">
        <is>
          <t>G40.909</t>
        </is>
      </c>
      <c r="K463" t="inlineStr">
        <is>
          <t>Epilepsy, unspecified, not intractable, without status epilepticus</t>
        </is>
      </c>
      <c r="L463" t="inlineStr">
        <is>
          <t>Nervous System</t>
        </is>
      </c>
      <c r="M463" t="inlineStr">
        <is>
          <t>Home/Self-Care</t>
        </is>
      </c>
      <c r="N463" t="inlineStr">
        <is>
          <t>Keystone Health Partners</t>
        </is>
      </c>
      <c r="O463" s="31" t="n">
        <v>3421.14</v>
      </c>
    </row>
    <row r="464">
      <c r="A464" t="inlineStr">
        <is>
          <t>ENC112623</t>
        </is>
      </c>
      <c r="B464" t="inlineStr">
        <is>
          <t>PT11056</t>
        </is>
      </c>
      <c r="C464" t="inlineStr">
        <is>
          <t>Emergency</t>
        </is>
      </c>
      <c r="D464" t="inlineStr">
        <is>
          <t>Bluestone Memorial Hospital</t>
        </is>
      </c>
      <c r="E464" t="inlineStr">
        <is>
          <t>Emergency Department</t>
        </is>
      </c>
      <c r="F464" t="inlineStr">
        <is>
          <t>Emergency</t>
        </is>
      </c>
      <c r="G464" s="29" t="n">
        <v>45710</v>
      </c>
      <c r="H464" s="29" t="n">
        <v>45710</v>
      </c>
      <c r="I464" s="30" t="n"/>
      <c r="J464" t="inlineStr">
        <is>
          <t>J21.9</t>
        </is>
      </c>
      <c r="K464" t="inlineStr">
        <is>
          <t>Acute bronchiolitis, unspecified</t>
        </is>
      </c>
      <c r="L464" t="inlineStr">
        <is>
          <t>Respiratory</t>
        </is>
      </c>
      <c r="M464" t="inlineStr">
        <is>
          <t>Home/Self-Care</t>
        </is>
      </c>
      <c r="N464" t="inlineStr">
        <is>
          <t>Keystone Health Partners</t>
        </is>
      </c>
      <c r="O464" s="31" t="n">
        <v>3844.81</v>
      </c>
    </row>
    <row r="465">
      <c r="A465" t="inlineStr">
        <is>
          <t>ENC112624</t>
        </is>
      </c>
      <c r="B465" t="inlineStr">
        <is>
          <t>PT11436</t>
        </is>
      </c>
      <c r="C465" t="inlineStr">
        <is>
          <t>Emergency</t>
        </is>
      </c>
      <c r="D465" t="inlineStr">
        <is>
          <t>Bluestone Memorial Hospital</t>
        </is>
      </c>
      <c r="E465" t="inlineStr">
        <is>
          <t>Emergency Department</t>
        </is>
      </c>
      <c r="F465" t="inlineStr">
        <is>
          <t>Emergency</t>
        </is>
      </c>
      <c r="G465" s="29" t="n">
        <v>45710</v>
      </c>
      <c r="H465" s="29" t="n">
        <v>45710</v>
      </c>
      <c r="I465" s="30" t="n"/>
      <c r="J465" t="inlineStr">
        <is>
          <t>F32.9</t>
        </is>
      </c>
      <c r="K465" t="inlineStr">
        <is>
          <t>Major depressive disorder, single episode, unspecified</t>
        </is>
      </c>
      <c r="L465" t="inlineStr">
        <is>
          <t>Mental &amp; Behavioral</t>
        </is>
      </c>
      <c r="M465" t="inlineStr">
        <is>
          <t>Home/Self-Care</t>
        </is>
      </c>
      <c r="N465" t="inlineStr">
        <is>
          <t>Silverline Medicare Advantage</t>
        </is>
      </c>
      <c r="O465" s="31" t="n">
        <v>1594.43</v>
      </c>
    </row>
    <row r="466">
      <c r="A466" t="inlineStr">
        <is>
          <t>ENC112625</t>
        </is>
      </c>
      <c r="B466" t="inlineStr">
        <is>
          <t>PT13164</t>
        </is>
      </c>
      <c r="C466" t="inlineStr">
        <is>
          <t>Emergency</t>
        </is>
      </c>
      <c r="D466" t="inlineStr">
        <is>
          <t>Bluestone Memorial Hospital</t>
        </is>
      </c>
      <c r="E466" t="inlineStr">
        <is>
          <t>Emergency Department</t>
        </is>
      </c>
      <c r="F466" t="inlineStr">
        <is>
          <t>Emergency</t>
        </is>
      </c>
      <c r="G466" s="29" t="n">
        <v>45710</v>
      </c>
      <c r="H466" s="29" t="n">
        <v>45710</v>
      </c>
      <c r="I466" s="30" t="n"/>
      <c r="J466" t="inlineStr">
        <is>
          <t>M54.50</t>
        </is>
      </c>
      <c r="K466" t="inlineStr">
        <is>
          <t>Low back pain, unspecified</t>
        </is>
      </c>
      <c r="L466" t="inlineStr">
        <is>
          <t>Musculoskeletal</t>
        </is>
      </c>
      <c r="M466" t="inlineStr">
        <is>
          <t>Home/Self-Care</t>
        </is>
      </c>
      <c r="N466" t="inlineStr">
        <is>
          <t>Evergreen Mutual Insurance</t>
        </is>
      </c>
      <c r="O466" s="31" t="n">
        <v>757.3200000000001</v>
      </c>
    </row>
    <row r="467">
      <c r="A467" t="inlineStr">
        <is>
          <t>ENC112641</t>
        </is>
      </c>
      <c r="B467" t="inlineStr">
        <is>
          <t>PT10224</t>
        </is>
      </c>
      <c r="C467" t="inlineStr">
        <is>
          <t>Emergency</t>
        </is>
      </c>
      <c r="D467" t="inlineStr">
        <is>
          <t>Bluestone Memorial Hospital</t>
        </is>
      </c>
      <c r="E467" t="inlineStr">
        <is>
          <t>Emergency Department</t>
        </is>
      </c>
      <c r="F467" t="inlineStr">
        <is>
          <t>Emergency</t>
        </is>
      </c>
      <c r="G467" s="29" t="n">
        <v>45711</v>
      </c>
      <c r="H467" s="29" t="n">
        <v>45711</v>
      </c>
      <c r="I467" s="30" t="n"/>
      <c r="J467" t="inlineStr">
        <is>
          <t>J06.9</t>
        </is>
      </c>
      <c r="K467" t="inlineStr">
        <is>
          <t>Acute upper respiratory infection, unspecified</t>
        </is>
      </c>
      <c r="L467" t="inlineStr">
        <is>
          <t>Respiratory</t>
        </is>
      </c>
      <c r="M467" t="inlineStr">
        <is>
          <t>Home/Self-Care</t>
        </is>
      </c>
      <c r="N467" t="inlineStr">
        <is>
          <t>Keystone Health Partners</t>
        </is>
      </c>
      <c r="O467" s="31" t="n">
        <v>775.48</v>
      </c>
    </row>
    <row r="468">
      <c r="A468" t="inlineStr">
        <is>
          <t>ENC112648</t>
        </is>
      </c>
      <c r="B468" t="inlineStr">
        <is>
          <t>PT11532</t>
        </is>
      </c>
      <c r="C468" t="inlineStr">
        <is>
          <t>Emergency</t>
        </is>
      </c>
      <c r="D468" t="inlineStr">
        <is>
          <t>Bluestone Memorial Hospital</t>
        </is>
      </c>
      <c r="E468" t="inlineStr">
        <is>
          <t>Emergency Department</t>
        </is>
      </c>
      <c r="F468" t="inlineStr">
        <is>
          <t>Emergency</t>
        </is>
      </c>
      <c r="G468" s="29" t="n">
        <v>45711</v>
      </c>
      <c r="H468" s="29" t="n">
        <v>45711</v>
      </c>
      <c r="I468" s="30" t="n"/>
      <c r="J468" t="inlineStr">
        <is>
          <t>I50.9</t>
        </is>
      </c>
      <c r="K468" t="inlineStr">
        <is>
          <t>Heart failure, unspecified</t>
        </is>
      </c>
      <c r="L468" t="inlineStr">
        <is>
          <t>Circulatory</t>
        </is>
      </c>
      <c r="M468" t="inlineStr">
        <is>
          <t>Home/Self-Care</t>
        </is>
      </c>
      <c r="N468" t="inlineStr">
        <is>
          <t>Medicare</t>
        </is>
      </c>
      <c r="O468" s="31" t="n">
        <v>4391.79</v>
      </c>
    </row>
    <row r="469">
      <c r="A469" t="inlineStr">
        <is>
          <t>ENC112654</t>
        </is>
      </c>
      <c r="B469" t="inlineStr">
        <is>
          <t>PT11536</t>
        </is>
      </c>
      <c r="C469" t="inlineStr">
        <is>
          <t>Emergency</t>
        </is>
      </c>
      <c r="D469" t="inlineStr">
        <is>
          <t>Bluestone Memorial Hospital</t>
        </is>
      </c>
      <c r="E469" t="inlineStr">
        <is>
          <t>Emergency Department</t>
        </is>
      </c>
      <c r="F469" t="inlineStr">
        <is>
          <t>Emergency</t>
        </is>
      </c>
      <c r="G469" s="29" t="n">
        <v>45712</v>
      </c>
      <c r="H469" s="29" t="n">
        <v>45712</v>
      </c>
      <c r="I469" s="30" t="n"/>
      <c r="J469" t="inlineStr">
        <is>
          <t>J45.909</t>
        </is>
      </c>
      <c r="K469" t="inlineStr">
        <is>
          <t>Unspecified asthma, uncomplicated</t>
        </is>
      </c>
      <c r="L469" t="inlineStr">
        <is>
          <t>Respiratory</t>
        </is>
      </c>
      <c r="M469" t="inlineStr">
        <is>
          <t>Home/Self-Care</t>
        </is>
      </c>
      <c r="N469" t="inlineStr">
        <is>
          <t>State Medicaid</t>
        </is>
      </c>
      <c r="O469" s="31" t="n">
        <v>2790.18</v>
      </c>
    </row>
    <row r="470">
      <c r="A470" t="inlineStr">
        <is>
          <t>ENC112660</t>
        </is>
      </c>
      <c r="B470" t="inlineStr">
        <is>
          <t>PT10620</t>
        </is>
      </c>
      <c r="C470" t="inlineStr">
        <is>
          <t>Outpatient</t>
        </is>
      </c>
      <c r="D470" t="inlineStr">
        <is>
          <t>Bluestone Outpatient Pavilion</t>
        </is>
      </c>
      <c r="E470" t="inlineStr">
        <is>
          <t>Orthopedic Clinic</t>
        </is>
      </c>
      <c r="F470" t="inlineStr">
        <is>
          <t>Orthopedics</t>
        </is>
      </c>
      <c r="G470" s="29" t="n">
        <v>45712</v>
      </c>
      <c r="H470" s="29" t="n">
        <v>45712</v>
      </c>
      <c r="I470" s="30" t="n"/>
      <c r="J470" t="inlineStr">
        <is>
          <t>S93.401A</t>
        </is>
      </c>
      <c r="K470" t="inlineStr">
        <is>
          <t>Sprain of unspecified ligament of right ankle, initial encounter</t>
        </is>
      </c>
      <c r="L470" t="inlineStr">
        <is>
          <t>Injury</t>
        </is>
      </c>
      <c r="M470" t="inlineStr">
        <is>
          <t>Home/Self-Care</t>
        </is>
      </c>
      <c r="N470" t="inlineStr">
        <is>
          <t>Workers' Compensation</t>
        </is>
      </c>
      <c r="O470" s="31" t="n">
        <v>272.28</v>
      </c>
    </row>
    <row r="471">
      <c r="A471" t="inlineStr">
        <is>
          <t>ENC112664</t>
        </is>
      </c>
      <c r="B471" t="inlineStr">
        <is>
          <t>PT12824</t>
        </is>
      </c>
      <c r="C471" t="inlineStr">
        <is>
          <t>Emergency</t>
        </is>
      </c>
      <c r="D471" t="inlineStr">
        <is>
          <t>Cedar Ridge Medical Center</t>
        </is>
      </c>
      <c r="E471" t="inlineStr">
        <is>
          <t>Emergency Department</t>
        </is>
      </c>
      <c r="F471" t="inlineStr">
        <is>
          <t>Emergency</t>
        </is>
      </c>
      <c r="G471" s="29" t="n">
        <v>45712</v>
      </c>
      <c r="H471" s="29" t="n">
        <v>45712</v>
      </c>
      <c r="I471" s="30" t="n"/>
      <c r="J471" t="inlineStr">
        <is>
          <t>N39.0</t>
        </is>
      </c>
      <c r="K471" t="inlineStr">
        <is>
          <t>Urinary tract infection, site not specified</t>
        </is>
      </c>
      <c r="L471" t="inlineStr">
        <is>
          <t>Genitourinary</t>
        </is>
      </c>
      <c r="M471" t="inlineStr">
        <is>
          <t>Home/Self-Care</t>
        </is>
      </c>
      <c r="N471" t="inlineStr">
        <is>
          <t>Silverline Medicare Advantage</t>
        </is>
      </c>
      <c r="O471" s="31" t="n">
        <v>6693.58</v>
      </c>
    </row>
    <row r="472">
      <c r="A472" t="inlineStr">
        <is>
          <t>ENC112666</t>
        </is>
      </c>
      <c r="B472" t="inlineStr">
        <is>
          <t>PT11924</t>
        </is>
      </c>
      <c r="C472" t="inlineStr">
        <is>
          <t>Outpatient</t>
        </is>
      </c>
      <c r="D472" t="inlineStr">
        <is>
          <t>Bluestone Outpatient Pavilion</t>
        </is>
      </c>
      <c r="E472" t="inlineStr">
        <is>
          <t>Pediatric Clinic</t>
        </is>
      </c>
      <c r="F472" t="inlineStr">
        <is>
          <t>Women &amp; Children</t>
        </is>
      </c>
      <c r="G472" s="29" t="n">
        <v>45712</v>
      </c>
      <c r="H472" s="29" t="n">
        <v>45712</v>
      </c>
      <c r="I472" s="30" t="n"/>
      <c r="J472" t="inlineStr">
        <is>
          <t>J06.9</t>
        </is>
      </c>
      <c r="K472" t="inlineStr">
        <is>
          <t>Acute upper respiratory infection, unspecified</t>
        </is>
      </c>
      <c r="L472" t="inlineStr">
        <is>
          <t>Respiratory</t>
        </is>
      </c>
      <c r="M472" t="inlineStr">
        <is>
          <t>Home/Self-Care</t>
        </is>
      </c>
      <c r="N472" t="inlineStr">
        <is>
          <t>Summit Choice PPO</t>
        </is>
      </c>
      <c r="O472" s="31" t="n">
        <v>562.51</v>
      </c>
    </row>
    <row r="473">
      <c r="A473" t="inlineStr">
        <is>
          <t>ENC112669</t>
        </is>
      </c>
      <c r="B473" t="inlineStr">
        <is>
          <t>PT11844</t>
        </is>
      </c>
      <c r="C473" t="inlineStr">
        <is>
          <t>Outpatient</t>
        </is>
      </c>
      <c r="D473" t="inlineStr">
        <is>
          <t>Bluestone Outpatient Pavilion</t>
        </is>
      </c>
      <c r="E473" t="inlineStr">
        <is>
          <t>Endocrinology &amp; Diabetes Clinic</t>
        </is>
      </c>
      <c r="F473" t="inlineStr">
        <is>
          <t>Ambulatory</t>
        </is>
      </c>
      <c r="G473" s="29" t="n">
        <v>45712</v>
      </c>
      <c r="H473" s="29" t="n">
        <v>45712</v>
      </c>
      <c r="I473" s="30" t="n"/>
      <c r="J473" t="inlineStr">
        <is>
          <t>E11.9</t>
        </is>
      </c>
      <c r="K473" t="inlineStr">
        <is>
          <t>Type 2 diabetes mellitus without complications</t>
        </is>
      </c>
      <c r="L473" t="inlineStr">
        <is>
          <t>Endocrine</t>
        </is>
      </c>
      <c r="M473" t="inlineStr">
        <is>
          <t>Home/Self-Care</t>
        </is>
      </c>
      <c r="N473" t="inlineStr">
        <is>
          <t>State Medicaid</t>
        </is>
      </c>
      <c r="O473" s="31" t="n">
        <v>156.78</v>
      </c>
    </row>
    <row r="474">
      <c r="A474" t="inlineStr">
        <is>
          <t>ENC112672</t>
        </is>
      </c>
      <c r="B474" t="inlineStr">
        <is>
          <t>PT10192</t>
        </is>
      </c>
      <c r="C474" t="inlineStr">
        <is>
          <t>Inpatient</t>
        </is>
      </c>
      <c r="D474" t="inlineStr">
        <is>
          <t>Bluestone Memorial Hospital</t>
        </is>
      </c>
      <c r="E474" t="inlineStr">
        <is>
          <t>Cardiac Step-Down</t>
        </is>
      </c>
      <c r="F474" t="inlineStr">
        <is>
          <t>Cardiovascular</t>
        </is>
      </c>
      <c r="G474" s="29" t="n">
        <v>45712</v>
      </c>
      <c r="H474" s="29" t="n">
        <v>45719</v>
      </c>
      <c r="I474" s="30" t="n">
        <v>7</v>
      </c>
      <c r="J474" t="inlineStr">
        <is>
          <t>I21.4</t>
        </is>
      </c>
      <c r="K474" t="inlineStr">
        <is>
          <t>Non-ST elevation (NSTEMI) myocardial infarction</t>
        </is>
      </c>
      <c r="L474" t="inlineStr">
        <is>
          <t>Circulatory</t>
        </is>
      </c>
      <c r="M474" t="inlineStr">
        <is>
          <t>Home/Self-Care</t>
        </is>
      </c>
      <c r="N474" t="inlineStr">
        <is>
          <t>Summit Choice PPO</t>
        </is>
      </c>
      <c r="O474" s="31" t="n">
        <v>85609.8</v>
      </c>
      <c r="P474" t="inlineStr">
        <is>
          <t>N</t>
        </is>
      </c>
    </row>
    <row r="475">
      <c r="A475" t="inlineStr">
        <is>
          <t>ENC112675</t>
        </is>
      </c>
      <c r="B475" t="inlineStr">
        <is>
          <t>PT12288</t>
        </is>
      </c>
      <c r="C475" t="inlineStr">
        <is>
          <t>Emergency</t>
        </is>
      </c>
      <c r="D475" t="inlineStr">
        <is>
          <t>Cedar Ridge Medical Center</t>
        </is>
      </c>
      <c r="E475" t="inlineStr">
        <is>
          <t>Emergency Department</t>
        </is>
      </c>
      <c r="F475" t="inlineStr">
        <is>
          <t>Emergency</t>
        </is>
      </c>
      <c r="G475" s="29" t="n">
        <v>45712</v>
      </c>
      <c r="H475" s="29" t="n">
        <v>45712</v>
      </c>
      <c r="I475" s="30" t="n"/>
      <c r="J475" t="inlineStr">
        <is>
          <t>J06.9</t>
        </is>
      </c>
      <c r="K475" t="inlineStr">
        <is>
          <t>Acute upper respiratory infection, unspecified</t>
        </is>
      </c>
      <c r="L475" t="inlineStr">
        <is>
          <t>Respiratory</t>
        </is>
      </c>
      <c r="M475" t="inlineStr">
        <is>
          <t>Home/Self-Care</t>
        </is>
      </c>
      <c r="N475" t="inlineStr">
        <is>
          <t>Summit Choice PPO</t>
        </is>
      </c>
      <c r="O475" s="31" t="n">
        <v>1345.51</v>
      </c>
    </row>
    <row r="476">
      <c r="A476" t="inlineStr">
        <is>
          <t>ENC112679</t>
        </is>
      </c>
      <c r="B476" t="inlineStr">
        <is>
          <t>PT13352</t>
        </is>
      </c>
      <c r="C476" t="inlineStr">
        <is>
          <t>Emergency</t>
        </is>
      </c>
      <c r="D476" t="inlineStr">
        <is>
          <t>Bluestone Memorial Hospital</t>
        </is>
      </c>
      <c r="E476" t="inlineStr">
        <is>
          <t>Emergency Department</t>
        </is>
      </c>
      <c r="F476" t="inlineStr">
        <is>
          <t>Emergency</t>
        </is>
      </c>
      <c r="G476" s="29" t="n">
        <v>45712</v>
      </c>
      <c r="H476" s="29" t="n">
        <v>45712</v>
      </c>
      <c r="I476" s="30" t="n"/>
      <c r="J476" t="inlineStr">
        <is>
          <t>J06.9</t>
        </is>
      </c>
      <c r="K476" t="inlineStr">
        <is>
          <t>Acute upper respiratory infection, unspecified</t>
        </is>
      </c>
      <c r="L476" t="inlineStr">
        <is>
          <t>Respiratory</t>
        </is>
      </c>
      <c r="M476" t="inlineStr">
        <is>
          <t>Left Without Being Seen</t>
        </is>
      </c>
      <c r="N476" t="inlineStr">
        <is>
          <t>Medicare</t>
        </is>
      </c>
      <c r="O476" s="31" t="n">
        <v>964.39</v>
      </c>
    </row>
    <row r="477">
      <c r="A477" t="inlineStr">
        <is>
          <t>ENC112681</t>
        </is>
      </c>
      <c r="B477" t="inlineStr">
        <is>
          <t>PT11876</t>
        </is>
      </c>
      <c r="C477" t="inlineStr">
        <is>
          <t>Emergency</t>
        </is>
      </c>
      <c r="D477" t="inlineStr">
        <is>
          <t>Cedar Ridge Medical Center</t>
        </is>
      </c>
      <c r="E477" t="inlineStr">
        <is>
          <t>Emergency Department</t>
        </is>
      </c>
      <c r="F477" t="inlineStr">
        <is>
          <t>Emergency</t>
        </is>
      </c>
      <c r="G477" s="29" t="n">
        <v>45712</v>
      </c>
      <c r="H477" s="29" t="n">
        <v>45712</v>
      </c>
      <c r="I477" s="30" t="n"/>
      <c r="J477" t="inlineStr">
        <is>
          <t>J45.909</t>
        </is>
      </c>
      <c r="K477" t="inlineStr">
        <is>
          <t>Unspecified asthma, uncomplicated</t>
        </is>
      </c>
      <c r="L477" t="inlineStr">
        <is>
          <t>Respiratory</t>
        </is>
      </c>
      <c r="M477" t="inlineStr">
        <is>
          <t>Home/Self-Care</t>
        </is>
      </c>
      <c r="N477" t="inlineStr">
        <is>
          <t>State Medicaid</t>
        </is>
      </c>
      <c r="O477" s="31" t="n">
        <v>4029.29</v>
      </c>
    </row>
    <row r="478">
      <c r="A478" t="inlineStr">
        <is>
          <t>ENC112682</t>
        </is>
      </c>
      <c r="B478" t="inlineStr">
        <is>
          <t>PT12852</t>
        </is>
      </c>
      <c r="C478" t="inlineStr">
        <is>
          <t>Outpatient</t>
        </is>
      </c>
      <c r="D478" t="inlineStr">
        <is>
          <t>Bluestone Outpatient Pavilion</t>
        </is>
      </c>
      <c r="E478" t="inlineStr">
        <is>
          <t>Endocrinology &amp; Diabetes Clinic</t>
        </is>
      </c>
      <c r="F478" t="inlineStr">
        <is>
          <t>Ambulatory</t>
        </is>
      </c>
      <c r="G478" s="29" t="n">
        <v>45712</v>
      </c>
      <c r="H478" s="29" t="n">
        <v>45712</v>
      </c>
      <c r="I478" s="30" t="n"/>
      <c r="J478" t="inlineStr">
        <is>
          <t>E11.65</t>
        </is>
      </c>
      <c r="K478" t="inlineStr">
        <is>
          <t>Type 2 diabetes mellitus with hyperglycemia</t>
        </is>
      </c>
      <c r="L478" t="inlineStr">
        <is>
          <t>Endocrine</t>
        </is>
      </c>
      <c r="M478" t="inlineStr">
        <is>
          <t>Home/Self-Care</t>
        </is>
      </c>
      <c r="N478" t="inlineStr">
        <is>
          <t>State Medicaid</t>
        </is>
      </c>
      <c r="O478" s="31" t="n">
        <v>311.12</v>
      </c>
    </row>
    <row r="479">
      <c r="A479" t="inlineStr">
        <is>
          <t>ENC112683</t>
        </is>
      </c>
      <c r="B479" t="inlineStr">
        <is>
          <t>PT13868</t>
        </is>
      </c>
      <c r="C479" t="inlineStr">
        <is>
          <t>Outpatient</t>
        </is>
      </c>
      <c r="D479" t="inlineStr">
        <is>
          <t>Bluestone Outpatient Pavilion</t>
        </is>
      </c>
      <c r="E479" t="inlineStr">
        <is>
          <t>Primary Care Clinic</t>
        </is>
      </c>
      <c r="F479" t="inlineStr">
        <is>
          <t>Ambulatory</t>
        </is>
      </c>
      <c r="G479" s="29" t="n">
        <v>45712</v>
      </c>
      <c r="H479" s="29" t="n">
        <v>45712</v>
      </c>
      <c r="I479" s="30" t="n"/>
      <c r="J479" t="inlineStr">
        <is>
          <t>Z00.00</t>
        </is>
      </c>
      <c r="K479" t="inlineStr">
        <is>
          <t>Encounter for general adult medical examination without abnormal findings</t>
        </is>
      </c>
      <c r="L479" t="inlineStr">
        <is>
          <t>Factors Influencing Health</t>
        </is>
      </c>
      <c r="M479" t="inlineStr">
        <is>
          <t>Home/Self-Care</t>
        </is>
      </c>
      <c r="N479" t="inlineStr">
        <is>
          <t>Medicare</t>
        </is>
      </c>
      <c r="O479" s="31" t="n">
        <v>341.86</v>
      </c>
    </row>
    <row r="480">
      <c r="A480" t="inlineStr">
        <is>
          <t>ENC112688</t>
        </is>
      </c>
      <c r="B480" t="inlineStr">
        <is>
          <t>PT13372</t>
        </is>
      </c>
      <c r="C480" t="inlineStr">
        <is>
          <t>Outpatient</t>
        </is>
      </c>
      <c r="D480" t="inlineStr">
        <is>
          <t>Bluestone Outpatient Pavilion</t>
        </is>
      </c>
      <c r="E480" t="inlineStr">
        <is>
          <t>Cardiology Clinic</t>
        </is>
      </c>
      <c r="F480" t="inlineStr">
        <is>
          <t>Cardiovascular</t>
        </is>
      </c>
      <c r="G480" s="29" t="n">
        <v>45712</v>
      </c>
      <c r="H480" s="29" t="n">
        <v>45712</v>
      </c>
      <c r="I480" s="30" t="n"/>
      <c r="J480" t="inlineStr">
        <is>
          <t>I50.9</t>
        </is>
      </c>
      <c r="K480" t="inlineStr">
        <is>
          <t>Heart failure, unspecified</t>
        </is>
      </c>
      <c r="L480" t="inlineStr">
        <is>
          <t>Circulatory</t>
        </is>
      </c>
      <c r="M480" t="inlineStr">
        <is>
          <t>Home/Self-Care</t>
        </is>
      </c>
      <c r="N480" t="inlineStr">
        <is>
          <t>Silverline Medicare Advantage</t>
        </is>
      </c>
      <c r="O480" s="31" t="n">
        <v>429.31</v>
      </c>
    </row>
    <row r="481">
      <c r="A481" t="inlineStr">
        <is>
          <t>ENC112690</t>
        </is>
      </c>
      <c r="B481" t="inlineStr">
        <is>
          <t>PT12464</t>
        </is>
      </c>
      <c r="C481" t="inlineStr">
        <is>
          <t>Observation</t>
        </is>
      </c>
      <c r="D481" t="inlineStr">
        <is>
          <t>Cedar Ridge Medical Center</t>
        </is>
      </c>
      <c r="E481" t="inlineStr">
        <is>
          <t>Medical-Surgical</t>
        </is>
      </c>
      <c r="F481" t="inlineStr">
        <is>
          <t>Medicine</t>
        </is>
      </c>
      <c r="G481" s="29" t="n">
        <v>45712</v>
      </c>
      <c r="H481" s="29" t="n">
        <v>45713</v>
      </c>
      <c r="I481" s="30" t="n">
        <v>1</v>
      </c>
      <c r="J481" t="inlineStr">
        <is>
          <t>G43.909</t>
        </is>
      </c>
      <c r="K481" t="inlineStr">
        <is>
          <t>Migraine, unspecified, not intractable, without status migrainosus</t>
        </is>
      </c>
      <c r="L481" t="inlineStr">
        <is>
          <t>Nervous System</t>
        </is>
      </c>
      <c r="M481" t="inlineStr">
        <is>
          <t>Home/Self-Care</t>
        </is>
      </c>
      <c r="N481" t="inlineStr">
        <is>
          <t>Self-Pay</t>
        </is>
      </c>
      <c r="O481" s="31" t="n">
        <v>10484.96</v>
      </c>
    </row>
    <row r="482">
      <c r="A482" t="inlineStr">
        <is>
          <t>ENC112697</t>
        </is>
      </c>
      <c r="B482" t="inlineStr">
        <is>
          <t>PT10288</t>
        </is>
      </c>
      <c r="C482" t="inlineStr">
        <is>
          <t>Inpatient</t>
        </is>
      </c>
      <c r="D482" t="inlineStr">
        <is>
          <t>Ashby Falls Community Hospital</t>
        </is>
      </c>
      <c r="E482" t="inlineStr">
        <is>
          <t>Medical-Surgical</t>
        </is>
      </c>
      <c r="F482" t="inlineStr">
        <is>
          <t>Medicine</t>
        </is>
      </c>
      <c r="G482" s="29" t="n">
        <v>45712</v>
      </c>
      <c r="H482" s="29" t="n">
        <v>45715</v>
      </c>
      <c r="I482" s="30" t="n">
        <v>3</v>
      </c>
      <c r="J482" t="inlineStr">
        <is>
          <t>J18.9</t>
        </is>
      </c>
      <c r="K482" t="inlineStr">
        <is>
          <t>Pneumonia, unspecified organism</t>
        </is>
      </c>
      <c r="L482" t="inlineStr">
        <is>
          <t>Respiratory</t>
        </is>
      </c>
      <c r="M482" t="inlineStr">
        <is>
          <t>Home/Self-Care</t>
        </is>
      </c>
      <c r="N482" t="inlineStr">
        <is>
          <t>Medicare</t>
        </is>
      </c>
      <c r="O482" s="31" t="n">
        <v>21969.4</v>
      </c>
      <c r="P482" t="inlineStr">
        <is>
          <t>N</t>
        </is>
      </c>
    </row>
    <row r="483">
      <c r="A483" t="inlineStr">
        <is>
          <t>ENC112699</t>
        </is>
      </c>
      <c r="B483" t="inlineStr">
        <is>
          <t>PT12168</t>
        </is>
      </c>
      <c r="C483" t="inlineStr">
        <is>
          <t>Outpatient</t>
        </is>
      </c>
      <c r="D483" t="inlineStr">
        <is>
          <t>Bluestone Outpatient Pavilion</t>
        </is>
      </c>
      <c r="E483" t="inlineStr">
        <is>
          <t>Primary Care Clinic</t>
        </is>
      </c>
      <c r="F483" t="inlineStr">
        <is>
          <t>Ambulatory</t>
        </is>
      </c>
      <c r="G483" s="29" t="n">
        <v>45712</v>
      </c>
      <c r="H483" s="29" t="n">
        <v>45712</v>
      </c>
      <c r="I483" s="30" t="n"/>
      <c r="J483" t="inlineStr">
        <is>
          <t>J06.9</t>
        </is>
      </c>
      <c r="K483" t="inlineStr">
        <is>
          <t>Acute upper respiratory infection, unspecified</t>
        </is>
      </c>
      <c r="L483" t="inlineStr">
        <is>
          <t>Respiratory</t>
        </is>
      </c>
      <c r="M483" t="inlineStr">
        <is>
          <t>Home/Self-Care</t>
        </is>
      </c>
      <c r="N483" t="inlineStr">
        <is>
          <t>Self-Pay</t>
        </is>
      </c>
      <c r="O483" s="31" t="n">
        <v>511.07</v>
      </c>
    </row>
    <row r="484">
      <c r="A484" t="inlineStr">
        <is>
          <t>ENC112707</t>
        </is>
      </c>
      <c r="B484" t="inlineStr">
        <is>
          <t>PT10972</t>
        </is>
      </c>
      <c r="C484" t="inlineStr">
        <is>
          <t>Emergency</t>
        </is>
      </c>
      <c r="D484" t="inlineStr">
        <is>
          <t>Bluestone Memorial Hospital</t>
        </is>
      </c>
      <c r="E484" t="inlineStr">
        <is>
          <t>Emergency Department</t>
        </is>
      </c>
      <c r="F484" t="inlineStr">
        <is>
          <t>Emergency</t>
        </is>
      </c>
      <c r="G484" s="29" t="n">
        <v>45712</v>
      </c>
      <c r="H484" s="29" t="n">
        <v>45713</v>
      </c>
      <c r="I484" s="30" t="n"/>
      <c r="J484" t="inlineStr">
        <is>
          <t>J18.9</t>
        </is>
      </c>
      <c r="K484" t="inlineStr">
        <is>
          <t>Pneumonia, unspecified organism</t>
        </is>
      </c>
      <c r="L484" t="inlineStr">
        <is>
          <t>Respiratory</t>
        </is>
      </c>
      <c r="M484" t="inlineStr">
        <is>
          <t>Home/Self-Care</t>
        </is>
      </c>
      <c r="N484" t="inlineStr">
        <is>
          <t>Evergreen Mutual Insurance</t>
        </is>
      </c>
      <c r="O484" s="31" t="n">
        <v>3309.2</v>
      </c>
    </row>
    <row r="485">
      <c r="A485" t="inlineStr">
        <is>
          <t>ENC112708</t>
        </is>
      </c>
      <c r="B485" t="inlineStr">
        <is>
          <t>PT10228</t>
        </is>
      </c>
      <c r="C485" t="inlineStr">
        <is>
          <t>Observation</t>
        </is>
      </c>
      <c r="D485" t="inlineStr">
        <is>
          <t>Bluestone Memorial Hospital</t>
        </is>
      </c>
      <c r="E485" t="inlineStr">
        <is>
          <t>Observation Unit</t>
        </is>
      </c>
      <c r="F485" t="inlineStr">
        <is>
          <t>Medicine</t>
        </is>
      </c>
      <c r="G485" s="29" t="n">
        <v>45713</v>
      </c>
      <c r="H485" s="29" t="n">
        <v>45714</v>
      </c>
      <c r="I485" s="30" t="n">
        <v>1</v>
      </c>
      <c r="J485" t="inlineStr">
        <is>
          <t>E11.65</t>
        </is>
      </c>
      <c r="K485" t="inlineStr">
        <is>
          <t>Type 2 diabetes mellitus with hyperglycemia</t>
        </is>
      </c>
      <c r="L485" t="inlineStr">
        <is>
          <t>Endocrine</t>
        </is>
      </c>
      <c r="M485" t="inlineStr">
        <is>
          <t>Home Health</t>
        </is>
      </c>
      <c r="N485" t="inlineStr">
        <is>
          <t>Evergreen Mutual Insurance</t>
        </is>
      </c>
      <c r="O485" s="31" t="n">
        <v>4596.77</v>
      </c>
    </row>
    <row r="486">
      <c r="A486" t="inlineStr">
        <is>
          <t>ENC112718</t>
        </is>
      </c>
      <c r="B486" t="inlineStr">
        <is>
          <t>PT11196</t>
        </is>
      </c>
      <c r="C486" t="inlineStr">
        <is>
          <t>Outpatient</t>
        </is>
      </c>
      <c r="D486" t="inlineStr">
        <is>
          <t>Bluestone Outpatient Pavilion</t>
        </is>
      </c>
      <c r="E486" t="inlineStr">
        <is>
          <t>Pediatric Clinic</t>
        </is>
      </c>
      <c r="F486" t="inlineStr">
        <is>
          <t>Women &amp; Children</t>
        </is>
      </c>
      <c r="G486" s="29" t="n">
        <v>45713</v>
      </c>
      <c r="H486" s="29" t="n">
        <v>45713</v>
      </c>
      <c r="I486" s="30" t="n"/>
      <c r="J486" t="inlineStr">
        <is>
          <t>Z00.129</t>
        </is>
      </c>
      <c r="K486" t="inlineStr">
        <is>
          <t>Encounter for routine child health examination without abnormal findings</t>
        </is>
      </c>
      <c r="L486" t="inlineStr">
        <is>
          <t>Factors Influencing Health</t>
        </is>
      </c>
      <c r="M486" t="inlineStr">
        <is>
          <t>Home/Self-Care</t>
        </is>
      </c>
      <c r="N486" t="inlineStr">
        <is>
          <t>Evergreen Mutual Insurance</t>
        </is>
      </c>
      <c r="O486" s="31" t="n">
        <v>338.34</v>
      </c>
    </row>
    <row r="487">
      <c r="A487" t="inlineStr">
        <is>
          <t>ENC112719</t>
        </is>
      </c>
      <c r="B487" t="inlineStr">
        <is>
          <t>PT13752</t>
        </is>
      </c>
      <c r="C487" t="inlineStr">
        <is>
          <t>Observation</t>
        </is>
      </c>
      <c r="D487" t="inlineStr">
        <is>
          <t>Bluestone Memorial Hospital</t>
        </is>
      </c>
      <c r="E487" t="inlineStr">
        <is>
          <t>Observation Unit</t>
        </is>
      </c>
      <c r="F487" t="inlineStr">
        <is>
          <t>Medicine</t>
        </is>
      </c>
      <c r="G487" s="29" t="n">
        <v>45713</v>
      </c>
      <c r="H487" s="29" t="n">
        <v>45714</v>
      </c>
      <c r="I487" s="30" t="n">
        <v>1</v>
      </c>
      <c r="J487" t="inlineStr">
        <is>
          <t>G40.909</t>
        </is>
      </c>
      <c r="K487" t="inlineStr">
        <is>
          <t>Epilepsy, unspecified, not intractable, without status epilepticus</t>
        </is>
      </c>
      <c r="L487" t="inlineStr">
        <is>
          <t>Nervous System</t>
        </is>
      </c>
      <c r="M487" t="inlineStr">
        <is>
          <t>Home/Self-Care</t>
        </is>
      </c>
      <c r="N487" t="inlineStr">
        <is>
          <t>State Medicaid</t>
        </is>
      </c>
      <c r="O487" s="31" t="n">
        <v>7448.34</v>
      </c>
    </row>
    <row r="488">
      <c r="A488" t="inlineStr">
        <is>
          <t>ENC112723</t>
        </is>
      </c>
      <c r="B488" t="inlineStr">
        <is>
          <t>PT12424</t>
        </is>
      </c>
      <c r="C488" t="inlineStr">
        <is>
          <t>Outpatient</t>
        </is>
      </c>
      <c r="D488" t="inlineStr">
        <is>
          <t>Bluestone Outpatient Pavilion</t>
        </is>
      </c>
      <c r="E488" t="inlineStr">
        <is>
          <t>Pediatric Clinic</t>
        </is>
      </c>
      <c r="F488" t="inlineStr">
        <is>
          <t>Women &amp; Children</t>
        </is>
      </c>
      <c r="G488" s="29" t="n">
        <v>45713</v>
      </c>
      <c r="H488" s="29" t="n">
        <v>45713</v>
      </c>
      <c r="I488" s="30" t="n"/>
      <c r="J488" t="inlineStr">
        <is>
          <t>Z00.129</t>
        </is>
      </c>
      <c r="K488" t="inlineStr">
        <is>
          <t>Encounter for routine child health examination without abnormal findings</t>
        </is>
      </c>
      <c r="L488" t="inlineStr">
        <is>
          <t>Factors Influencing Health</t>
        </is>
      </c>
      <c r="M488" t="inlineStr">
        <is>
          <t>Home/Self-Care</t>
        </is>
      </c>
      <c r="N488" t="inlineStr">
        <is>
          <t>Self-Pay</t>
        </is>
      </c>
      <c r="O488" s="31" t="n">
        <v>374.23</v>
      </c>
    </row>
    <row r="489">
      <c r="A489" t="inlineStr">
        <is>
          <t>ENC112724</t>
        </is>
      </c>
      <c r="B489" t="inlineStr">
        <is>
          <t>PT13084</t>
        </is>
      </c>
      <c r="C489" t="inlineStr">
        <is>
          <t>Outpatient</t>
        </is>
      </c>
      <c r="D489" t="inlineStr">
        <is>
          <t>Bluestone Outpatient Pavilion</t>
        </is>
      </c>
      <c r="E489" t="inlineStr">
        <is>
          <t>Primary Care Clinic</t>
        </is>
      </c>
      <c r="F489" t="inlineStr">
        <is>
          <t>Ambulatory</t>
        </is>
      </c>
      <c r="G489" s="29" t="n">
        <v>45713</v>
      </c>
      <c r="H489" s="29" t="n">
        <v>45713</v>
      </c>
      <c r="I489" s="30" t="n"/>
      <c r="J489" t="inlineStr">
        <is>
          <t>L03.115</t>
        </is>
      </c>
      <c r="K489" t="inlineStr">
        <is>
          <t>Cellulitis of right lower limb</t>
        </is>
      </c>
      <c r="L489" t="inlineStr">
        <is>
          <t>Skin</t>
        </is>
      </c>
      <c r="M489" t="inlineStr">
        <is>
          <t>Home/Self-Care</t>
        </is>
      </c>
      <c r="N489" t="inlineStr">
        <is>
          <t>Silverline Medicare Advantage</t>
        </is>
      </c>
      <c r="O489" s="31" t="n">
        <v>375.09</v>
      </c>
    </row>
    <row r="490">
      <c r="A490" t="inlineStr">
        <is>
          <t>ENC112726</t>
        </is>
      </c>
      <c r="B490" t="inlineStr">
        <is>
          <t>PT10096</t>
        </is>
      </c>
      <c r="C490" t="inlineStr">
        <is>
          <t>Outpatient</t>
        </is>
      </c>
      <c r="D490" t="inlineStr">
        <is>
          <t>Bluestone Outpatient Pavilion</t>
        </is>
      </c>
      <c r="E490" t="inlineStr">
        <is>
          <t>Orthopedic Clinic</t>
        </is>
      </c>
      <c r="F490" t="inlineStr">
        <is>
          <t>Orthopedics</t>
        </is>
      </c>
      <c r="G490" s="29" t="n">
        <v>45713</v>
      </c>
      <c r="H490" s="29" t="n">
        <v>45713</v>
      </c>
      <c r="I490" s="30" t="n"/>
      <c r="J490" t="inlineStr">
        <is>
          <t>M17.11</t>
        </is>
      </c>
      <c r="K490" t="inlineStr">
        <is>
          <t>Unilateral primary osteoarthritis, right knee</t>
        </is>
      </c>
      <c r="L490" t="inlineStr">
        <is>
          <t>Musculoskeletal</t>
        </is>
      </c>
      <c r="M490" t="inlineStr">
        <is>
          <t>Home/Self-Care</t>
        </is>
      </c>
      <c r="N490" t="inlineStr">
        <is>
          <t>Evergreen Mutual Insurance</t>
        </is>
      </c>
      <c r="O490" s="31" t="n">
        <v>551.24</v>
      </c>
    </row>
    <row r="491">
      <c r="A491" t="inlineStr">
        <is>
          <t>ENC112728</t>
        </is>
      </c>
      <c r="B491" t="inlineStr">
        <is>
          <t>PT10784</t>
        </is>
      </c>
      <c r="C491" t="inlineStr">
        <is>
          <t>Inpatient</t>
        </is>
      </c>
      <c r="D491" t="inlineStr">
        <is>
          <t>Bluestone Memorial Hospital</t>
        </is>
      </c>
      <c r="E491" t="inlineStr">
        <is>
          <t>Orthopedics &amp; Spine</t>
        </is>
      </c>
      <c r="F491" t="inlineStr">
        <is>
          <t>Orthopedics</t>
        </is>
      </c>
      <c r="G491" s="29" t="n">
        <v>45713</v>
      </c>
      <c r="H491" s="29" t="n">
        <v>45720</v>
      </c>
      <c r="I491" s="30" t="n">
        <v>7</v>
      </c>
      <c r="J491" t="inlineStr">
        <is>
          <t>S72.001A</t>
        </is>
      </c>
      <c r="K491" t="inlineStr">
        <is>
          <t>Fracture of unspecified part of neck of right femur, initial encounter</t>
        </is>
      </c>
      <c r="L491" t="inlineStr">
        <is>
          <t>Injury</t>
        </is>
      </c>
      <c r="M491" t="inlineStr">
        <is>
          <t>Skilled Nursing Facility</t>
        </is>
      </c>
      <c r="N491" t="inlineStr">
        <is>
          <t>Silverline Medicare Advantage</t>
        </is>
      </c>
      <c r="O491" s="31" t="n">
        <v>68739.32000000001</v>
      </c>
      <c r="P491" t="inlineStr">
        <is>
          <t>N</t>
        </is>
      </c>
    </row>
    <row r="492">
      <c r="A492" t="inlineStr">
        <is>
          <t>ENC112731</t>
        </is>
      </c>
      <c r="B492" t="inlineStr">
        <is>
          <t>PT13256</t>
        </is>
      </c>
      <c r="C492" t="inlineStr">
        <is>
          <t>Emergency</t>
        </is>
      </c>
      <c r="D492" t="inlineStr">
        <is>
          <t>Bluestone Memorial Hospital</t>
        </is>
      </c>
      <c r="E492" t="inlineStr">
        <is>
          <t>Emergency Department</t>
        </is>
      </c>
      <c r="F492" t="inlineStr">
        <is>
          <t>Emergency</t>
        </is>
      </c>
      <c r="G492" s="29" t="n">
        <v>45713</v>
      </c>
      <c r="H492" s="29" t="n">
        <v>45713</v>
      </c>
      <c r="I492" s="30" t="n"/>
      <c r="J492" t="inlineStr">
        <is>
          <t>F32.9</t>
        </is>
      </c>
      <c r="K492" t="inlineStr">
        <is>
          <t>Major depressive disorder, single episode, unspecified</t>
        </is>
      </c>
      <c r="L492" t="inlineStr">
        <is>
          <t>Mental &amp; Behavioral</t>
        </is>
      </c>
      <c r="M492" t="inlineStr">
        <is>
          <t>Home/Self-Care</t>
        </is>
      </c>
      <c r="N492" t="inlineStr">
        <is>
          <t>Summit Choice PPO</t>
        </is>
      </c>
      <c r="O492" s="31" t="n">
        <v>5307.88</v>
      </c>
    </row>
    <row r="493">
      <c r="A493" t="inlineStr">
        <is>
          <t>ENC112747</t>
        </is>
      </c>
      <c r="B493" t="inlineStr">
        <is>
          <t>PT11804</t>
        </is>
      </c>
      <c r="C493" t="inlineStr">
        <is>
          <t>Emergency</t>
        </is>
      </c>
      <c r="D493" t="inlineStr">
        <is>
          <t>Bluestone Memorial Hospital</t>
        </is>
      </c>
      <c r="E493" t="inlineStr">
        <is>
          <t>Emergency Department</t>
        </is>
      </c>
      <c r="F493" t="inlineStr">
        <is>
          <t>Emergency</t>
        </is>
      </c>
      <c r="G493" s="29" t="n">
        <v>45713</v>
      </c>
      <c r="H493" s="29" t="n">
        <v>45713</v>
      </c>
      <c r="I493" s="30" t="n"/>
      <c r="J493" t="inlineStr">
        <is>
          <t>N39.0</t>
        </is>
      </c>
      <c r="K493" t="inlineStr">
        <is>
          <t>Urinary tract infection, site not specified</t>
        </is>
      </c>
      <c r="L493" t="inlineStr">
        <is>
          <t>Genitourinary</t>
        </is>
      </c>
      <c r="M493" t="inlineStr">
        <is>
          <t>Home/Self-Care</t>
        </is>
      </c>
      <c r="N493" t="inlineStr">
        <is>
          <t>Summit Choice PPO</t>
        </is>
      </c>
      <c r="O493" s="31" t="n">
        <v>2863.66</v>
      </c>
    </row>
    <row r="494">
      <c r="A494" t="inlineStr">
        <is>
          <t>ENC112748</t>
        </is>
      </c>
      <c r="B494" t="inlineStr">
        <is>
          <t>PT13268</t>
        </is>
      </c>
      <c r="C494" t="inlineStr">
        <is>
          <t>Inpatient</t>
        </is>
      </c>
      <c r="D494" t="inlineStr">
        <is>
          <t>Cedar Ridge Medical Center</t>
        </is>
      </c>
      <c r="E494" t="inlineStr">
        <is>
          <t>Medical-Surgical</t>
        </is>
      </c>
      <c r="F494" t="inlineStr">
        <is>
          <t>Medicine</t>
        </is>
      </c>
      <c r="G494" s="29" t="n">
        <v>45713</v>
      </c>
      <c r="H494" s="29" t="n">
        <v>45716</v>
      </c>
      <c r="I494" s="30" t="n">
        <v>3</v>
      </c>
      <c r="J494" t="inlineStr">
        <is>
          <t>J44.1</t>
        </is>
      </c>
      <c r="K494" t="inlineStr">
        <is>
          <t>Chronic obstructive pulmonary disease with (acute) exacerbation</t>
        </is>
      </c>
      <c r="L494" t="inlineStr">
        <is>
          <t>Respiratory</t>
        </is>
      </c>
      <c r="M494" t="inlineStr">
        <is>
          <t>Home/Self-Care</t>
        </is>
      </c>
      <c r="N494" t="inlineStr">
        <is>
          <t>Keystone Health Partners</t>
        </is>
      </c>
      <c r="O494" s="31" t="n">
        <v>26500.23</v>
      </c>
      <c r="P494" t="inlineStr">
        <is>
          <t>N</t>
        </is>
      </c>
    </row>
    <row r="495">
      <c r="A495" t="inlineStr">
        <is>
          <t>ENC112749</t>
        </is>
      </c>
      <c r="B495" t="inlineStr">
        <is>
          <t>PT12060</t>
        </is>
      </c>
      <c r="C495" t="inlineStr">
        <is>
          <t>Inpatient</t>
        </is>
      </c>
      <c r="D495" t="inlineStr">
        <is>
          <t>Cedar Ridge Medical Center</t>
        </is>
      </c>
      <c r="E495" t="inlineStr">
        <is>
          <t>Intensive Care Unit</t>
        </is>
      </c>
      <c r="F495" t="inlineStr">
        <is>
          <t>Critical Care</t>
        </is>
      </c>
      <c r="G495" s="29" t="n">
        <v>45714</v>
      </c>
      <c r="H495" s="29" t="n">
        <v>45733</v>
      </c>
      <c r="I495" s="30" t="n">
        <v>19</v>
      </c>
      <c r="J495" t="inlineStr">
        <is>
          <t>J96.01</t>
        </is>
      </c>
      <c r="K495" t="inlineStr">
        <is>
          <t>Acute respiratory failure with hypoxia</t>
        </is>
      </c>
      <c r="L495" t="inlineStr">
        <is>
          <t>Respiratory</t>
        </is>
      </c>
      <c r="M495" t="inlineStr">
        <is>
          <t>Home/Self-Care</t>
        </is>
      </c>
      <c r="N495" t="inlineStr">
        <is>
          <t>Summit Choice PPO</t>
        </is>
      </c>
      <c r="O495" s="31" t="n">
        <v>167509.41</v>
      </c>
      <c r="P495" t="inlineStr">
        <is>
          <t>N</t>
        </is>
      </c>
    </row>
    <row r="496">
      <c r="A496" t="inlineStr">
        <is>
          <t>ENC112750</t>
        </is>
      </c>
      <c r="B496" t="inlineStr">
        <is>
          <t>PT11624</t>
        </is>
      </c>
      <c r="C496" t="inlineStr">
        <is>
          <t>Emergency</t>
        </is>
      </c>
      <c r="D496" t="inlineStr">
        <is>
          <t>Cedar Ridge Medical Center</t>
        </is>
      </c>
      <c r="E496" t="inlineStr">
        <is>
          <t>Emergency Department</t>
        </is>
      </c>
      <c r="F496" t="inlineStr">
        <is>
          <t>Emergency</t>
        </is>
      </c>
      <c r="G496" s="29" t="n">
        <v>45713</v>
      </c>
      <c r="H496" s="29" t="n">
        <v>45713</v>
      </c>
      <c r="I496" s="30" t="n"/>
      <c r="J496" t="inlineStr">
        <is>
          <t>A08.4</t>
        </is>
      </c>
      <c r="K496" t="inlineStr">
        <is>
          <t>Viral intestinal infection, unspecified</t>
        </is>
      </c>
      <c r="L496" t="inlineStr">
        <is>
          <t>Infectious</t>
        </is>
      </c>
      <c r="M496" t="inlineStr">
        <is>
          <t>Home/Self-Care</t>
        </is>
      </c>
      <c r="N496" t="inlineStr">
        <is>
          <t>State Medicaid</t>
        </is>
      </c>
      <c r="O496" s="31" t="n">
        <v>579.74</v>
      </c>
    </row>
    <row r="497">
      <c r="A497" t="inlineStr">
        <is>
          <t>ENC112757</t>
        </is>
      </c>
      <c r="B497" t="inlineStr">
        <is>
          <t>PT10336</t>
        </is>
      </c>
      <c r="C497" t="inlineStr">
        <is>
          <t>Inpatient</t>
        </is>
      </c>
      <c r="D497" t="inlineStr">
        <is>
          <t>Bluestone Memorial Hospital</t>
        </is>
      </c>
      <c r="E497" t="inlineStr">
        <is>
          <t>Neuroscience &amp; Stroke</t>
        </is>
      </c>
      <c r="F497" t="inlineStr">
        <is>
          <t>Neuroscience</t>
        </is>
      </c>
      <c r="G497" s="29" t="n">
        <v>45714</v>
      </c>
      <c r="H497" s="29" t="n">
        <v>45721</v>
      </c>
      <c r="I497" s="30" t="n">
        <v>7</v>
      </c>
      <c r="J497" t="inlineStr">
        <is>
          <t>I63.9</t>
        </is>
      </c>
      <c r="K497" t="inlineStr">
        <is>
          <t>Cerebral infarction, unspecified</t>
        </is>
      </c>
      <c r="L497" t="inlineStr">
        <is>
          <t>Circulatory</t>
        </is>
      </c>
      <c r="M497" t="inlineStr">
        <is>
          <t>Inpatient Rehab</t>
        </is>
      </c>
      <c r="N497" t="inlineStr">
        <is>
          <t>Medicare</t>
        </is>
      </c>
      <c r="O497" s="31" t="n">
        <v>44954.72</v>
      </c>
      <c r="P497" t="inlineStr">
        <is>
          <t>N</t>
        </is>
      </c>
    </row>
    <row r="498">
      <c r="A498" t="inlineStr">
        <is>
          <t>ENC112758</t>
        </is>
      </c>
      <c r="B498" t="inlineStr">
        <is>
          <t>PT10600</t>
        </is>
      </c>
      <c r="C498" t="inlineStr">
        <is>
          <t>Inpatient</t>
        </is>
      </c>
      <c r="D498" t="inlineStr">
        <is>
          <t>Bluestone Memorial Hospital</t>
        </is>
      </c>
      <c r="E498" t="inlineStr">
        <is>
          <t>Orthopedics &amp; Spine</t>
        </is>
      </c>
      <c r="F498" t="inlineStr">
        <is>
          <t>Orthopedics</t>
        </is>
      </c>
      <c r="G498" s="29" t="n">
        <v>45714</v>
      </c>
      <c r="H498" s="29" t="n">
        <v>45715</v>
      </c>
      <c r="I498" s="30" t="n">
        <v>1</v>
      </c>
      <c r="J498" t="inlineStr">
        <is>
          <t>M16.11</t>
        </is>
      </c>
      <c r="K498" t="inlineStr">
        <is>
          <t>Unilateral primary osteoarthritis, right hip</t>
        </is>
      </c>
      <c r="L498" t="inlineStr">
        <is>
          <t>Musculoskeletal</t>
        </is>
      </c>
      <c r="M498" t="inlineStr">
        <is>
          <t>Home/Self-Care</t>
        </is>
      </c>
      <c r="N498" t="inlineStr">
        <is>
          <t>Summit Choice PPO</t>
        </is>
      </c>
      <c r="O498" s="31" t="n">
        <v>77607.56</v>
      </c>
      <c r="P498" t="inlineStr">
        <is>
          <t>N</t>
        </is>
      </c>
    </row>
    <row r="499">
      <c r="A499" t="inlineStr">
        <is>
          <t>ENC112763</t>
        </is>
      </c>
      <c r="B499" t="inlineStr">
        <is>
          <t>PT12868</t>
        </is>
      </c>
      <c r="C499" t="inlineStr">
        <is>
          <t>Emergency</t>
        </is>
      </c>
      <c r="D499" t="inlineStr">
        <is>
          <t>Bluestone Memorial Hospital</t>
        </is>
      </c>
      <c r="E499" t="inlineStr">
        <is>
          <t>Emergency Department</t>
        </is>
      </c>
      <c r="F499" t="inlineStr">
        <is>
          <t>Emergency</t>
        </is>
      </c>
      <c r="G499" s="29" t="n">
        <v>45714</v>
      </c>
      <c r="H499" s="29" t="n">
        <v>45714</v>
      </c>
      <c r="I499" s="30" t="n"/>
      <c r="J499" t="inlineStr">
        <is>
          <t>R07.9</t>
        </is>
      </c>
      <c r="K499" t="inlineStr">
        <is>
          <t>Chest pain, unspecified</t>
        </is>
      </c>
      <c r="L499" t="inlineStr">
        <is>
          <t>Symptoms &amp; Signs</t>
        </is>
      </c>
      <c r="M499" t="inlineStr">
        <is>
          <t>Home/Self-Care</t>
        </is>
      </c>
      <c r="N499" t="inlineStr">
        <is>
          <t>State Medicaid</t>
        </is>
      </c>
      <c r="O499" s="31" t="n">
        <v>1691.4</v>
      </c>
    </row>
    <row r="500">
      <c r="A500" t="inlineStr">
        <is>
          <t>ENC112770</t>
        </is>
      </c>
      <c r="B500" t="inlineStr">
        <is>
          <t>PT11696</t>
        </is>
      </c>
      <c r="C500" t="inlineStr">
        <is>
          <t>Outpatient</t>
        </is>
      </c>
      <c r="D500" t="inlineStr">
        <is>
          <t>Bluestone Outpatient Pavilion</t>
        </is>
      </c>
      <c r="E500" t="inlineStr">
        <is>
          <t>Primary Care Clinic</t>
        </is>
      </c>
      <c r="F500" t="inlineStr">
        <is>
          <t>Ambulatory</t>
        </is>
      </c>
      <c r="G500" s="29" t="n">
        <v>45714</v>
      </c>
      <c r="H500" s="29" t="n">
        <v>45714</v>
      </c>
      <c r="I500" s="30" t="n"/>
      <c r="J500" t="inlineStr">
        <is>
          <t>J06.9</t>
        </is>
      </c>
      <c r="K500" t="inlineStr">
        <is>
          <t>Acute upper respiratory infection, unspecified</t>
        </is>
      </c>
      <c r="L500" t="inlineStr">
        <is>
          <t>Respiratory</t>
        </is>
      </c>
      <c r="M500" t="inlineStr">
        <is>
          <t>Home/Self-Care</t>
        </is>
      </c>
      <c r="N500" t="inlineStr">
        <is>
          <t>Medicare</t>
        </is>
      </c>
      <c r="O500" s="31" t="n">
        <v>577.0599999999999</v>
      </c>
    </row>
    <row r="501">
      <c r="A501" t="inlineStr">
        <is>
          <t>ENC112774</t>
        </is>
      </c>
      <c r="B501" t="inlineStr">
        <is>
          <t>PT11144</t>
        </is>
      </c>
      <c r="C501" t="inlineStr">
        <is>
          <t>Outpatient</t>
        </is>
      </c>
      <c r="D501" t="inlineStr">
        <is>
          <t>Bluestone Outpatient Pavilion</t>
        </is>
      </c>
      <c r="E501" t="inlineStr">
        <is>
          <t>Pediatric Clinic</t>
        </is>
      </c>
      <c r="F501" t="inlineStr">
        <is>
          <t>Women &amp; Children</t>
        </is>
      </c>
      <c r="G501" s="29" t="n">
        <v>45714</v>
      </c>
      <c r="H501" s="29" t="n">
        <v>45714</v>
      </c>
      <c r="I501" s="30" t="n"/>
      <c r="J501" t="inlineStr">
        <is>
          <t>J06.9</t>
        </is>
      </c>
      <c r="K501" t="inlineStr">
        <is>
          <t>Acute upper respiratory infection, unspecified</t>
        </is>
      </c>
      <c r="L501" t="inlineStr">
        <is>
          <t>Respiratory</t>
        </is>
      </c>
      <c r="M501" t="inlineStr">
        <is>
          <t>Home/Self-Care</t>
        </is>
      </c>
      <c r="N501" t="inlineStr">
        <is>
          <t>Evergreen Mutual Insurance</t>
        </is>
      </c>
      <c r="O501" s="31" t="n">
        <v>181.92</v>
      </c>
    </row>
    <row r="502">
      <c r="A502" t="inlineStr">
        <is>
          <t>ENC112779</t>
        </is>
      </c>
      <c r="B502" t="inlineStr">
        <is>
          <t>PT10188</t>
        </is>
      </c>
      <c r="C502" t="inlineStr">
        <is>
          <t>Outpatient</t>
        </is>
      </c>
      <c r="D502" t="inlineStr">
        <is>
          <t>Bluestone Outpatient Pavilion</t>
        </is>
      </c>
      <c r="E502" t="inlineStr">
        <is>
          <t>Endocrinology &amp; Diabetes Clinic</t>
        </is>
      </c>
      <c r="F502" t="inlineStr">
        <is>
          <t>Ambulatory</t>
        </is>
      </c>
      <c r="G502" s="29" t="n">
        <v>45714</v>
      </c>
      <c r="H502" s="29" t="n">
        <v>45714</v>
      </c>
      <c r="I502" s="30" t="n"/>
      <c r="J502" t="inlineStr">
        <is>
          <t>E11.65</t>
        </is>
      </c>
      <c r="K502" t="inlineStr">
        <is>
          <t>Type 2 diabetes mellitus with hyperglycemia</t>
        </is>
      </c>
      <c r="L502" t="inlineStr">
        <is>
          <t>Endocrine</t>
        </is>
      </c>
      <c r="M502" t="inlineStr">
        <is>
          <t>Home/Self-Care</t>
        </is>
      </c>
      <c r="N502" t="inlineStr">
        <is>
          <t>State Medicaid</t>
        </is>
      </c>
      <c r="O502" s="31" t="n">
        <v>234.79</v>
      </c>
    </row>
    <row r="503">
      <c r="A503" t="inlineStr">
        <is>
          <t>ENC112785</t>
        </is>
      </c>
      <c r="B503" t="inlineStr">
        <is>
          <t>PT10728</t>
        </is>
      </c>
      <c r="C503" t="inlineStr">
        <is>
          <t>Observation</t>
        </is>
      </c>
      <c r="D503" t="inlineStr">
        <is>
          <t>Bluestone Memorial Hospital</t>
        </is>
      </c>
      <c r="E503" t="inlineStr">
        <is>
          <t>Observation Unit</t>
        </is>
      </c>
      <c r="F503" t="inlineStr">
        <is>
          <t>Medicine</t>
        </is>
      </c>
      <c r="G503" s="29" t="n">
        <v>45714</v>
      </c>
      <c r="H503" s="29" t="n">
        <v>45716</v>
      </c>
      <c r="I503" s="30" t="n">
        <v>2</v>
      </c>
      <c r="J503" t="inlineStr">
        <is>
          <t>E86.0</t>
        </is>
      </c>
      <c r="K503" t="inlineStr">
        <is>
          <t>Dehydration</t>
        </is>
      </c>
      <c r="L503" t="inlineStr">
        <is>
          <t>Endocrine</t>
        </is>
      </c>
      <c r="M503" t="inlineStr">
        <is>
          <t>Home/Self-Care</t>
        </is>
      </c>
      <c r="N503" t="inlineStr">
        <is>
          <t>Keystone Health Partners</t>
        </is>
      </c>
      <c r="O503" s="31" t="n">
        <v>6685.3</v>
      </c>
    </row>
    <row r="504">
      <c r="A504" t="inlineStr">
        <is>
          <t>ENC112798</t>
        </is>
      </c>
      <c r="B504" t="inlineStr">
        <is>
          <t>PT13336</t>
        </is>
      </c>
      <c r="C504" t="inlineStr">
        <is>
          <t>Outpatient</t>
        </is>
      </c>
      <c r="D504" t="inlineStr">
        <is>
          <t>Bluestone Outpatient Pavilion</t>
        </is>
      </c>
      <c r="E504" t="inlineStr">
        <is>
          <t>Infusion &amp; Oncology Clinic</t>
        </is>
      </c>
      <c r="F504" t="inlineStr">
        <is>
          <t>Oncology</t>
        </is>
      </c>
      <c r="G504" s="29" t="n">
        <v>45715</v>
      </c>
      <c r="H504" s="29" t="n">
        <v>45715</v>
      </c>
      <c r="I504" s="30" t="n"/>
      <c r="J504" t="inlineStr">
        <is>
          <t>C50.911</t>
        </is>
      </c>
      <c r="K504" t="inlineStr">
        <is>
          <t>Malignant neoplasm of unspecified site of right female breast</t>
        </is>
      </c>
      <c r="L504" t="inlineStr">
        <is>
          <t>Neoplasms</t>
        </is>
      </c>
      <c r="M504" t="inlineStr">
        <is>
          <t>Home/Self-Care</t>
        </is>
      </c>
      <c r="N504" t="inlineStr">
        <is>
          <t>Keystone Health Partners</t>
        </is>
      </c>
      <c r="O504" s="31" t="n">
        <v>1042.12</v>
      </c>
    </row>
    <row r="505">
      <c r="A505" t="inlineStr">
        <is>
          <t>ENC112806</t>
        </is>
      </c>
      <c r="B505" t="inlineStr">
        <is>
          <t>PT12164</t>
        </is>
      </c>
      <c r="C505" t="inlineStr">
        <is>
          <t>Outpatient</t>
        </is>
      </c>
      <c r="D505" t="inlineStr">
        <is>
          <t>Bluestone Outpatient Pavilion</t>
        </is>
      </c>
      <c r="E505" t="inlineStr">
        <is>
          <t>Infusion &amp; Oncology Clinic</t>
        </is>
      </c>
      <c r="F505" t="inlineStr">
        <is>
          <t>Oncology</t>
        </is>
      </c>
      <c r="G505" s="29" t="n">
        <v>45715</v>
      </c>
      <c r="H505" s="29" t="n">
        <v>45715</v>
      </c>
      <c r="I505" s="30" t="n"/>
      <c r="J505" t="inlineStr">
        <is>
          <t>Z51.11</t>
        </is>
      </c>
      <c r="K505" t="inlineStr">
        <is>
          <t>Encounter for antineoplastic chemotherapy</t>
        </is>
      </c>
      <c r="L505" t="inlineStr">
        <is>
          <t>Factors Influencing Health</t>
        </is>
      </c>
      <c r="M505" t="inlineStr">
        <is>
          <t>Home/Self-Care</t>
        </is>
      </c>
      <c r="N505" t="inlineStr">
        <is>
          <t>Silverline Medicare Advantage</t>
        </is>
      </c>
      <c r="O505" s="31" t="n">
        <v>10753.1</v>
      </c>
    </row>
    <row r="506">
      <c r="A506" t="inlineStr">
        <is>
          <t>ENC112807</t>
        </is>
      </c>
      <c r="B506" t="inlineStr">
        <is>
          <t>PT12372</t>
        </is>
      </c>
      <c r="C506" t="inlineStr">
        <is>
          <t>Outpatient</t>
        </is>
      </c>
      <c r="D506" t="inlineStr">
        <is>
          <t>Bluestone Outpatient Pavilion</t>
        </is>
      </c>
      <c r="E506" t="inlineStr">
        <is>
          <t>Orthopedic Clinic</t>
        </is>
      </c>
      <c r="F506" t="inlineStr">
        <is>
          <t>Orthopedics</t>
        </is>
      </c>
      <c r="G506" s="29" t="n">
        <v>45715</v>
      </c>
      <c r="H506" s="29" t="n">
        <v>45715</v>
      </c>
      <c r="I506" s="30" t="n"/>
      <c r="J506" t="inlineStr">
        <is>
          <t>M17.11</t>
        </is>
      </c>
      <c r="K506" t="inlineStr">
        <is>
          <t>Unilateral primary osteoarthritis, right knee</t>
        </is>
      </c>
      <c r="L506" t="inlineStr">
        <is>
          <t>Musculoskeletal</t>
        </is>
      </c>
      <c r="M506" t="inlineStr">
        <is>
          <t>Home/Self-Care</t>
        </is>
      </c>
      <c r="N506" t="inlineStr">
        <is>
          <t>Evergreen Mutual Insurance</t>
        </is>
      </c>
      <c r="O506" s="31" t="n">
        <v>269.65</v>
      </c>
    </row>
    <row r="507">
      <c r="A507" t="inlineStr">
        <is>
          <t>ENC112810</t>
        </is>
      </c>
      <c r="B507" t="inlineStr">
        <is>
          <t>PT11196</t>
        </is>
      </c>
      <c r="C507" t="inlineStr">
        <is>
          <t>Emergency</t>
        </is>
      </c>
      <c r="D507" t="inlineStr">
        <is>
          <t>Ashby Falls Community Hospital</t>
        </is>
      </c>
      <c r="E507" t="inlineStr">
        <is>
          <t>Emergency Department</t>
        </is>
      </c>
      <c r="F507" t="inlineStr">
        <is>
          <t>Emergency</t>
        </is>
      </c>
      <c r="G507" s="29" t="n">
        <v>45715</v>
      </c>
      <c r="H507" s="29" t="n">
        <v>45715</v>
      </c>
      <c r="I507" s="30" t="n"/>
      <c r="J507" t="inlineStr">
        <is>
          <t>R10.9</t>
        </is>
      </c>
      <c r="K507" t="inlineStr">
        <is>
          <t>Unspecified abdominal pain</t>
        </is>
      </c>
      <c r="L507" t="inlineStr">
        <is>
          <t>Symptoms &amp; Signs</t>
        </is>
      </c>
      <c r="M507" t="inlineStr">
        <is>
          <t>Home/Self-Care</t>
        </is>
      </c>
      <c r="N507" t="inlineStr">
        <is>
          <t>Evergreen Mutual Insurance</t>
        </is>
      </c>
      <c r="O507" s="31" t="n">
        <v>1293.77</v>
      </c>
    </row>
    <row r="508">
      <c r="A508" t="inlineStr">
        <is>
          <t>ENC112817</t>
        </is>
      </c>
      <c r="B508" t="inlineStr">
        <is>
          <t>PT13136</t>
        </is>
      </c>
      <c r="C508" t="inlineStr">
        <is>
          <t>Outpatient</t>
        </is>
      </c>
      <c r="D508" t="inlineStr">
        <is>
          <t>Bluestone Outpatient Pavilion</t>
        </is>
      </c>
      <c r="E508" t="inlineStr">
        <is>
          <t>Cardiology Clinic</t>
        </is>
      </c>
      <c r="F508" t="inlineStr">
        <is>
          <t>Cardiovascular</t>
        </is>
      </c>
      <c r="G508" s="29" t="n">
        <v>45715</v>
      </c>
      <c r="H508" s="29" t="n">
        <v>45715</v>
      </c>
      <c r="I508" s="30" t="n"/>
      <c r="J508" t="inlineStr">
        <is>
          <t>I50.9</t>
        </is>
      </c>
      <c r="K508" t="inlineStr">
        <is>
          <t>Heart failure, unspecified</t>
        </is>
      </c>
      <c r="L508" t="inlineStr">
        <is>
          <t>Circulatory</t>
        </is>
      </c>
      <c r="M508" t="inlineStr">
        <is>
          <t>Home/Self-Care</t>
        </is>
      </c>
      <c r="N508" t="inlineStr">
        <is>
          <t>Medicare</t>
        </is>
      </c>
      <c r="O508" s="31" t="n">
        <v>298.46</v>
      </c>
    </row>
    <row r="509">
      <c r="A509" t="inlineStr">
        <is>
          <t>ENC112818</t>
        </is>
      </c>
      <c r="B509" t="inlineStr">
        <is>
          <t>PT10836</t>
        </is>
      </c>
      <c r="C509" t="inlineStr">
        <is>
          <t>Outpatient</t>
        </is>
      </c>
      <c r="D509" t="inlineStr">
        <is>
          <t>Bluestone Outpatient Pavilion</t>
        </is>
      </c>
      <c r="E509" t="inlineStr">
        <is>
          <t>Primary Care Clinic</t>
        </is>
      </c>
      <c r="F509" t="inlineStr">
        <is>
          <t>Ambulatory</t>
        </is>
      </c>
      <c r="G509" s="29" t="n">
        <v>45715</v>
      </c>
      <c r="H509" s="29" t="n">
        <v>45715</v>
      </c>
      <c r="I509" s="30" t="n"/>
      <c r="J509" t="inlineStr">
        <is>
          <t>M54.50</t>
        </is>
      </c>
      <c r="K509" t="inlineStr">
        <is>
          <t>Low back pain, unspecified</t>
        </is>
      </c>
      <c r="L509" t="inlineStr">
        <is>
          <t>Musculoskeletal</t>
        </is>
      </c>
      <c r="M509" t="inlineStr">
        <is>
          <t>Home/Self-Care</t>
        </is>
      </c>
      <c r="N509" t="inlineStr">
        <is>
          <t>Workers' Compensation</t>
        </is>
      </c>
      <c r="O509" s="31" t="n">
        <v>445.66</v>
      </c>
    </row>
    <row r="510">
      <c r="A510" t="inlineStr">
        <is>
          <t>ENC112824</t>
        </is>
      </c>
      <c r="B510" t="inlineStr">
        <is>
          <t>PT10952</t>
        </is>
      </c>
      <c r="C510" t="inlineStr">
        <is>
          <t>Emergency</t>
        </is>
      </c>
      <c r="D510" t="inlineStr">
        <is>
          <t>Bluestone Memorial Hospital</t>
        </is>
      </c>
      <c r="E510" t="inlineStr">
        <is>
          <t>Emergency Department</t>
        </is>
      </c>
      <c r="F510" t="inlineStr">
        <is>
          <t>Emergency</t>
        </is>
      </c>
      <c r="G510" s="29" t="n">
        <v>45715</v>
      </c>
      <c r="H510" s="29" t="n">
        <v>45715</v>
      </c>
      <c r="I510" s="30" t="n"/>
      <c r="J510" t="inlineStr">
        <is>
          <t>S93.401A</t>
        </is>
      </c>
      <c r="K510" t="inlineStr">
        <is>
          <t>Sprain of unspecified ligament of right ankle, initial encounter</t>
        </is>
      </c>
      <c r="L510" t="inlineStr">
        <is>
          <t>Injury</t>
        </is>
      </c>
      <c r="M510" t="inlineStr">
        <is>
          <t>Home/Self-Care</t>
        </is>
      </c>
      <c r="N510" t="inlineStr">
        <is>
          <t>State Medicaid</t>
        </is>
      </c>
      <c r="O510" s="31" t="n">
        <v>889.16</v>
      </c>
    </row>
    <row r="511">
      <c r="A511" t="inlineStr">
        <is>
          <t>ENC112826</t>
        </is>
      </c>
      <c r="B511" t="inlineStr">
        <is>
          <t>PT13792</t>
        </is>
      </c>
      <c r="C511" t="inlineStr">
        <is>
          <t>Emergency</t>
        </is>
      </c>
      <c r="D511" t="inlineStr">
        <is>
          <t>Bluestone Memorial Hospital</t>
        </is>
      </c>
      <c r="E511" t="inlineStr">
        <is>
          <t>Emergency Department</t>
        </is>
      </c>
      <c r="F511" t="inlineStr">
        <is>
          <t>Emergency</t>
        </is>
      </c>
      <c r="G511" s="29" t="n">
        <v>45715</v>
      </c>
      <c r="H511" s="29" t="n">
        <v>45715</v>
      </c>
      <c r="I511" s="30" t="n"/>
      <c r="J511" t="inlineStr">
        <is>
          <t>J06.9</t>
        </is>
      </c>
      <c r="K511" t="inlineStr">
        <is>
          <t>Acute upper respiratory infection, unspecified</t>
        </is>
      </c>
      <c r="L511" t="inlineStr">
        <is>
          <t>Respiratory</t>
        </is>
      </c>
      <c r="M511" t="inlineStr">
        <is>
          <t>Home/Self-Care</t>
        </is>
      </c>
      <c r="N511" t="inlineStr">
        <is>
          <t>Medicare</t>
        </is>
      </c>
      <c r="O511" s="31" t="n">
        <v>1635.21</v>
      </c>
    </row>
    <row r="512">
      <c r="A512" t="inlineStr">
        <is>
          <t>ENC112833</t>
        </is>
      </c>
      <c r="B512" t="inlineStr">
        <is>
          <t>PT10252</t>
        </is>
      </c>
      <c r="C512" t="inlineStr">
        <is>
          <t>Outpatient</t>
        </is>
      </c>
      <c r="D512" t="inlineStr">
        <is>
          <t>Bluestone Outpatient Pavilion</t>
        </is>
      </c>
      <c r="E512" t="inlineStr">
        <is>
          <t>Orthopedic Clinic</t>
        </is>
      </c>
      <c r="F512" t="inlineStr">
        <is>
          <t>Orthopedics</t>
        </is>
      </c>
      <c r="G512" s="29" t="n">
        <v>45716</v>
      </c>
      <c r="H512" s="29" t="n">
        <v>45716</v>
      </c>
      <c r="I512" s="30" t="n"/>
      <c r="J512" t="inlineStr">
        <is>
          <t>M16.11</t>
        </is>
      </c>
      <c r="K512" t="inlineStr">
        <is>
          <t>Unilateral primary osteoarthritis, right hip</t>
        </is>
      </c>
      <c r="L512" t="inlineStr">
        <is>
          <t>Musculoskeletal</t>
        </is>
      </c>
      <c r="M512" t="inlineStr">
        <is>
          <t>Home/Self-Care</t>
        </is>
      </c>
      <c r="N512" t="inlineStr">
        <is>
          <t>Evergreen Mutual Insurance</t>
        </is>
      </c>
      <c r="O512" s="31" t="n">
        <v>348.37</v>
      </c>
    </row>
    <row r="513">
      <c r="A513" t="inlineStr">
        <is>
          <t>ENC112836</t>
        </is>
      </c>
      <c r="B513" t="inlineStr">
        <is>
          <t>PT12416</t>
        </is>
      </c>
      <c r="C513" t="inlineStr">
        <is>
          <t>Outpatient</t>
        </is>
      </c>
      <c r="D513" t="inlineStr">
        <is>
          <t>Bluestone Outpatient Pavilion</t>
        </is>
      </c>
      <c r="E513" t="inlineStr">
        <is>
          <t>Pediatric Clinic</t>
        </is>
      </c>
      <c r="F513" t="inlineStr">
        <is>
          <t>Women &amp; Children</t>
        </is>
      </c>
      <c r="G513" s="29" t="n">
        <v>45716</v>
      </c>
      <c r="H513" s="29" t="n">
        <v>45716</v>
      </c>
      <c r="I513" s="30" t="n"/>
      <c r="J513" t="inlineStr">
        <is>
          <t>G40.909</t>
        </is>
      </c>
      <c r="K513" t="inlineStr">
        <is>
          <t>Epilepsy, unspecified, not intractable, without status epilepticus</t>
        </is>
      </c>
      <c r="L513" t="inlineStr">
        <is>
          <t>Nervous System</t>
        </is>
      </c>
      <c r="M513" t="inlineStr">
        <is>
          <t>Home/Self-Care</t>
        </is>
      </c>
      <c r="N513" t="inlineStr">
        <is>
          <t>Summit Choice PPO</t>
        </is>
      </c>
      <c r="O513" s="31" t="n">
        <v>199.97</v>
      </c>
    </row>
    <row r="514">
      <c r="A514" t="inlineStr">
        <is>
          <t>ENC112839</t>
        </is>
      </c>
      <c r="B514" t="inlineStr">
        <is>
          <t>PT12660</t>
        </is>
      </c>
      <c r="C514" t="inlineStr">
        <is>
          <t>Outpatient</t>
        </is>
      </c>
      <c r="D514" t="inlineStr">
        <is>
          <t>Bluestone Outpatient Pavilion</t>
        </is>
      </c>
      <c r="E514" t="inlineStr">
        <is>
          <t>Orthopedic Clinic</t>
        </is>
      </c>
      <c r="F514" t="inlineStr">
        <is>
          <t>Orthopedics</t>
        </is>
      </c>
      <c r="G514" s="29" t="n">
        <v>45716</v>
      </c>
      <c r="H514" s="29" t="n">
        <v>45716</v>
      </c>
      <c r="I514" s="30" t="n"/>
      <c r="J514" t="inlineStr">
        <is>
          <t>M16.11</t>
        </is>
      </c>
      <c r="K514" t="inlineStr">
        <is>
          <t>Unilateral primary osteoarthritis, right hip</t>
        </is>
      </c>
      <c r="L514" t="inlineStr">
        <is>
          <t>Musculoskeletal</t>
        </is>
      </c>
      <c r="M514" t="inlineStr">
        <is>
          <t>Home/Self-Care</t>
        </is>
      </c>
      <c r="N514" t="inlineStr">
        <is>
          <t>Summit Choice PPO</t>
        </is>
      </c>
      <c r="O514" s="31" t="n">
        <v>261.43</v>
      </c>
    </row>
    <row r="515">
      <c r="A515" t="inlineStr">
        <is>
          <t>ENC112841</t>
        </is>
      </c>
      <c r="B515" t="inlineStr">
        <is>
          <t>PT11884</t>
        </is>
      </c>
      <c r="C515" t="inlineStr">
        <is>
          <t>Inpatient</t>
        </is>
      </c>
      <c r="D515" t="inlineStr">
        <is>
          <t>Bluestone Memorial Hospital</t>
        </is>
      </c>
      <c r="E515" t="inlineStr">
        <is>
          <t>Medical-Surgical 5 East</t>
        </is>
      </c>
      <c r="F515" t="inlineStr">
        <is>
          <t>Medicine</t>
        </is>
      </c>
      <c r="G515" s="29" t="n">
        <v>45716</v>
      </c>
      <c r="H515" s="29" t="n">
        <v>45725</v>
      </c>
      <c r="I515" s="30" t="n">
        <v>9</v>
      </c>
      <c r="J515" t="inlineStr">
        <is>
          <t>J18.9</t>
        </is>
      </c>
      <c r="K515" t="inlineStr">
        <is>
          <t>Pneumonia, unspecified organism</t>
        </is>
      </c>
      <c r="L515" t="inlineStr">
        <is>
          <t>Respiratory</t>
        </is>
      </c>
      <c r="M515" t="inlineStr">
        <is>
          <t>Home/Self-Care</t>
        </is>
      </c>
      <c r="N515" t="inlineStr">
        <is>
          <t>Silverline Medicare Advantage</t>
        </is>
      </c>
      <c r="O515" s="31" t="n">
        <v>55565.16</v>
      </c>
      <c r="P515" t="inlineStr">
        <is>
          <t>N</t>
        </is>
      </c>
    </row>
    <row r="516">
      <c r="A516" t="inlineStr">
        <is>
          <t>ENC112842</t>
        </is>
      </c>
      <c r="B516" t="inlineStr">
        <is>
          <t>PT12692</t>
        </is>
      </c>
      <c r="C516" t="inlineStr">
        <is>
          <t>Outpatient</t>
        </is>
      </c>
      <c r="D516" t="inlineStr">
        <is>
          <t>Bluestone Outpatient Pavilion</t>
        </is>
      </c>
      <c r="E516" t="inlineStr">
        <is>
          <t>Pediatric Clinic</t>
        </is>
      </c>
      <c r="F516" t="inlineStr">
        <is>
          <t>Women &amp; Children</t>
        </is>
      </c>
      <c r="G516" s="29" t="n">
        <v>45716</v>
      </c>
      <c r="H516" s="29" t="n">
        <v>45716</v>
      </c>
      <c r="I516" s="30" t="n"/>
      <c r="J516" t="inlineStr">
        <is>
          <t>H66.90</t>
        </is>
      </c>
      <c r="K516" t="inlineStr">
        <is>
          <t>Otitis media, unspecified, unspecified ear</t>
        </is>
      </c>
      <c r="L516" t="inlineStr">
        <is>
          <t>Ear</t>
        </is>
      </c>
      <c r="M516" t="inlineStr">
        <is>
          <t>Home/Self-Care</t>
        </is>
      </c>
      <c r="N516" t="inlineStr">
        <is>
          <t>State Medicaid</t>
        </is>
      </c>
      <c r="O516" s="31" t="n">
        <v>137.77</v>
      </c>
    </row>
    <row r="517">
      <c r="A517" t="inlineStr">
        <is>
          <t>ENC112843</t>
        </is>
      </c>
      <c r="B517" t="inlineStr">
        <is>
          <t>PT12908</t>
        </is>
      </c>
      <c r="C517" t="inlineStr">
        <is>
          <t>Outpatient</t>
        </is>
      </c>
      <c r="D517" t="inlineStr">
        <is>
          <t>Bluestone Outpatient Pavilion</t>
        </is>
      </c>
      <c r="E517" t="inlineStr">
        <is>
          <t>Primary Care Clinic</t>
        </is>
      </c>
      <c r="F517" t="inlineStr">
        <is>
          <t>Ambulatory</t>
        </is>
      </c>
      <c r="G517" s="29" t="n">
        <v>45716</v>
      </c>
      <c r="H517" s="29" t="n">
        <v>45716</v>
      </c>
      <c r="I517" s="30" t="n"/>
      <c r="J517" t="inlineStr">
        <is>
          <t>Z23</t>
        </is>
      </c>
      <c r="K517" t="inlineStr">
        <is>
          <t>Encounter for immunization</t>
        </is>
      </c>
      <c r="L517" t="inlineStr">
        <is>
          <t>Factors Influencing Health</t>
        </is>
      </c>
      <c r="M517" t="inlineStr">
        <is>
          <t>Home/Self-Care</t>
        </is>
      </c>
      <c r="N517" t="inlineStr">
        <is>
          <t>Evergreen Mutual Insurance</t>
        </is>
      </c>
      <c r="O517" s="31" t="n">
        <v>130.86</v>
      </c>
    </row>
    <row r="518">
      <c r="A518" t="inlineStr">
        <is>
          <t>ENC112844</t>
        </is>
      </c>
      <c r="B518" t="inlineStr">
        <is>
          <t>PT11360</t>
        </is>
      </c>
      <c r="C518" t="inlineStr">
        <is>
          <t>Emergency</t>
        </is>
      </c>
      <c r="D518" t="inlineStr">
        <is>
          <t>Bluestone Memorial Hospital</t>
        </is>
      </c>
      <c r="E518" t="inlineStr">
        <is>
          <t>Emergency Department</t>
        </is>
      </c>
      <c r="F518" t="inlineStr">
        <is>
          <t>Emergency</t>
        </is>
      </c>
      <c r="G518" s="29" t="n">
        <v>45716</v>
      </c>
      <c r="H518" s="29" t="n">
        <v>45716</v>
      </c>
      <c r="I518" s="30" t="n"/>
      <c r="J518" t="inlineStr">
        <is>
          <t>R07.9</t>
        </is>
      </c>
      <c r="K518" t="inlineStr">
        <is>
          <t>Chest pain, unspecified</t>
        </is>
      </c>
      <c r="L518" t="inlineStr">
        <is>
          <t>Symptoms &amp; Signs</t>
        </is>
      </c>
      <c r="M518" t="inlineStr">
        <is>
          <t>Home/Self-Care</t>
        </is>
      </c>
      <c r="N518" t="inlineStr">
        <is>
          <t>Evergreen Mutual Insurance</t>
        </is>
      </c>
      <c r="O518" s="31" t="n">
        <v>3006.02</v>
      </c>
    </row>
    <row r="519">
      <c r="A519" t="inlineStr">
        <is>
          <t>ENC112846</t>
        </is>
      </c>
      <c r="B519" t="inlineStr">
        <is>
          <t>PT13636</t>
        </is>
      </c>
      <c r="C519" t="inlineStr">
        <is>
          <t>Outpatient</t>
        </is>
      </c>
      <c r="D519" t="inlineStr">
        <is>
          <t>Bluestone Outpatient Pavilion</t>
        </is>
      </c>
      <c r="E519" t="inlineStr">
        <is>
          <t>Infusion &amp; Oncology Clinic</t>
        </is>
      </c>
      <c r="F519" t="inlineStr">
        <is>
          <t>Oncology</t>
        </is>
      </c>
      <c r="G519" s="29" t="n">
        <v>45716</v>
      </c>
      <c r="H519" s="29" t="n">
        <v>45716</v>
      </c>
      <c r="I519" s="30" t="n"/>
      <c r="J519" t="inlineStr">
        <is>
          <t>Z51.11</t>
        </is>
      </c>
      <c r="K519" t="inlineStr">
        <is>
          <t>Encounter for antineoplastic chemotherapy</t>
        </is>
      </c>
      <c r="L519" t="inlineStr">
        <is>
          <t>Factors Influencing Health</t>
        </is>
      </c>
      <c r="M519" t="inlineStr">
        <is>
          <t>Home/Self-Care</t>
        </is>
      </c>
      <c r="N519" t="inlineStr">
        <is>
          <t>Keystone Health Partners</t>
        </is>
      </c>
      <c r="O519" s="31" t="n">
        <v>12708.18</v>
      </c>
    </row>
    <row r="520">
      <c r="A520" t="inlineStr">
        <is>
          <t>ENC112848</t>
        </is>
      </c>
      <c r="B520" t="inlineStr">
        <is>
          <t>PT13124</t>
        </is>
      </c>
      <c r="C520" t="inlineStr">
        <is>
          <t>Outpatient</t>
        </is>
      </c>
      <c r="D520" t="inlineStr">
        <is>
          <t>Bluestone Outpatient Pavilion</t>
        </is>
      </c>
      <c r="E520" t="inlineStr">
        <is>
          <t>Pediatric Clinic</t>
        </is>
      </c>
      <c r="F520" t="inlineStr">
        <is>
          <t>Women &amp; Children</t>
        </is>
      </c>
      <c r="G520" s="29" t="n">
        <v>45716</v>
      </c>
      <c r="H520" s="29" t="n">
        <v>45716</v>
      </c>
      <c r="I520" s="30" t="n"/>
      <c r="J520" t="inlineStr">
        <is>
          <t>H66.90</t>
        </is>
      </c>
      <c r="K520" t="inlineStr">
        <is>
          <t>Otitis media, unspecified, unspecified ear</t>
        </is>
      </c>
      <c r="L520" t="inlineStr">
        <is>
          <t>Ear</t>
        </is>
      </c>
      <c r="M520" t="inlineStr">
        <is>
          <t>Home/Self-Care</t>
        </is>
      </c>
      <c r="N520" t="inlineStr">
        <is>
          <t>State Medicaid</t>
        </is>
      </c>
      <c r="O520" s="31" t="n">
        <v>453.26</v>
      </c>
    </row>
    <row r="521">
      <c r="A521" t="inlineStr">
        <is>
          <t>ENC112856</t>
        </is>
      </c>
      <c r="B521" t="inlineStr">
        <is>
          <t>PT10064</t>
        </is>
      </c>
      <c r="C521" t="inlineStr">
        <is>
          <t>Emergency</t>
        </is>
      </c>
      <c r="D521" t="inlineStr">
        <is>
          <t>Bluestone Memorial Hospital</t>
        </is>
      </c>
      <c r="E521" t="inlineStr">
        <is>
          <t>Emergency Department</t>
        </is>
      </c>
      <c r="F521" t="inlineStr">
        <is>
          <t>Emergency</t>
        </is>
      </c>
      <c r="G521" s="29" t="n">
        <v>45716</v>
      </c>
      <c r="H521" s="29" t="n">
        <v>45716</v>
      </c>
      <c r="I521" s="30" t="n"/>
      <c r="J521" t="inlineStr">
        <is>
          <t>R07.9</t>
        </is>
      </c>
      <c r="K521" t="inlineStr">
        <is>
          <t>Chest pain, unspecified</t>
        </is>
      </c>
      <c r="L521" t="inlineStr">
        <is>
          <t>Symptoms &amp; Signs</t>
        </is>
      </c>
      <c r="M521" t="inlineStr">
        <is>
          <t>Home/Self-Care</t>
        </is>
      </c>
      <c r="N521" t="inlineStr">
        <is>
          <t>Summit Choice PPO</t>
        </is>
      </c>
      <c r="O521" s="31" t="n">
        <v>2848.46</v>
      </c>
    </row>
    <row r="522">
      <c r="A522" t="inlineStr">
        <is>
          <t>ENC112859</t>
        </is>
      </c>
      <c r="B522" t="inlineStr">
        <is>
          <t>PT13548</t>
        </is>
      </c>
      <c r="C522" t="inlineStr">
        <is>
          <t>Inpatient</t>
        </is>
      </c>
      <c r="D522" t="inlineStr">
        <is>
          <t>Bluestone Memorial Hospital</t>
        </is>
      </c>
      <c r="E522" t="inlineStr">
        <is>
          <t>Medical-Surgical 5 East</t>
        </is>
      </c>
      <c r="F522" t="inlineStr">
        <is>
          <t>Medicine</t>
        </is>
      </c>
      <c r="G522" s="29" t="n">
        <v>45717</v>
      </c>
      <c r="H522" s="29" t="n">
        <v>45729</v>
      </c>
      <c r="I522" s="30" t="n">
        <v>12</v>
      </c>
      <c r="J522" t="inlineStr">
        <is>
          <t>J18.9</t>
        </is>
      </c>
      <c r="K522" t="inlineStr">
        <is>
          <t>Pneumonia, unspecified organism</t>
        </is>
      </c>
      <c r="L522" t="inlineStr">
        <is>
          <t>Respiratory</t>
        </is>
      </c>
      <c r="M522" t="inlineStr">
        <is>
          <t>Home/Self-Care</t>
        </is>
      </c>
      <c r="N522" t="inlineStr">
        <is>
          <t>Silverline Medicare Advantage</t>
        </is>
      </c>
      <c r="O522" s="31" t="n">
        <v>62653.08</v>
      </c>
      <c r="P522" t="inlineStr">
        <is>
          <t>N</t>
        </is>
      </c>
    </row>
    <row r="523">
      <c r="A523" t="inlineStr">
        <is>
          <t>ENC112870</t>
        </is>
      </c>
      <c r="B523" t="inlineStr">
        <is>
          <t>PT11408</t>
        </is>
      </c>
      <c r="C523" t="inlineStr">
        <is>
          <t>Inpatient</t>
        </is>
      </c>
      <c r="D523" t="inlineStr">
        <is>
          <t>Cedar Ridge Medical Center</t>
        </is>
      </c>
      <c r="E523" t="inlineStr">
        <is>
          <t>Medical-Surgical</t>
        </is>
      </c>
      <c r="F523" t="inlineStr">
        <is>
          <t>Medicine</t>
        </is>
      </c>
      <c r="G523" s="29" t="n">
        <v>45717</v>
      </c>
      <c r="H523" s="29" t="n">
        <v>45724</v>
      </c>
      <c r="I523" s="30" t="n">
        <v>7</v>
      </c>
      <c r="J523" t="inlineStr">
        <is>
          <t>U07.1</t>
        </is>
      </c>
      <c r="K523" t="inlineStr">
        <is>
          <t>COVID-19</t>
        </is>
      </c>
      <c r="L523" t="inlineStr">
        <is>
          <t>Respiratory</t>
        </is>
      </c>
      <c r="M523" t="inlineStr">
        <is>
          <t>Home/Self-Care</t>
        </is>
      </c>
      <c r="N523" t="inlineStr">
        <is>
          <t>State Medicaid</t>
        </is>
      </c>
      <c r="O523" s="31" t="n">
        <v>28161.59</v>
      </c>
      <c r="P523" t="inlineStr">
        <is>
          <t>Y</t>
        </is>
      </c>
    </row>
    <row r="524">
      <c r="A524" t="inlineStr">
        <is>
          <t>ENC112871</t>
        </is>
      </c>
      <c r="B524" t="inlineStr">
        <is>
          <t>PT13660</t>
        </is>
      </c>
      <c r="C524" t="inlineStr">
        <is>
          <t>Emergency</t>
        </is>
      </c>
      <c r="D524" t="inlineStr">
        <is>
          <t>Bluestone Memorial Hospital</t>
        </is>
      </c>
      <c r="E524" t="inlineStr">
        <is>
          <t>Emergency Department</t>
        </is>
      </c>
      <c r="F524" t="inlineStr">
        <is>
          <t>Emergency</t>
        </is>
      </c>
      <c r="G524" s="29" t="n">
        <v>45717</v>
      </c>
      <c r="H524" s="29" t="n">
        <v>45717</v>
      </c>
      <c r="I524" s="30" t="n"/>
      <c r="J524" t="inlineStr">
        <is>
          <t>N39.0</t>
        </is>
      </c>
      <c r="K524" t="inlineStr">
        <is>
          <t>Urinary tract infection, site not specified</t>
        </is>
      </c>
      <c r="L524" t="inlineStr">
        <is>
          <t>Genitourinary</t>
        </is>
      </c>
      <c r="M524" t="inlineStr">
        <is>
          <t>Home/Self-Care</t>
        </is>
      </c>
      <c r="N524" t="inlineStr">
        <is>
          <t>Keystone Health Partners</t>
        </is>
      </c>
      <c r="O524" s="31" t="n">
        <v>1741.33</v>
      </c>
    </row>
    <row r="525">
      <c r="A525" t="inlineStr">
        <is>
          <t>ENC112873</t>
        </is>
      </c>
      <c r="B525" t="inlineStr">
        <is>
          <t>PT10692</t>
        </is>
      </c>
      <c r="C525" t="inlineStr">
        <is>
          <t>Inpatient</t>
        </is>
      </c>
      <c r="D525" t="inlineStr">
        <is>
          <t>Bluestone Memorial Hospital</t>
        </is>
      </c>
      <c r="E525" t="inlineStr">
        <is>
          <t>Medical-Surgical 4 West</t>
        </is>
      </c>
      <c r="F525" t="inlineStr">
        <is>
          <t>Medicine</t>
        </is>
      </c>
      <c r="G525" s="29" t="n">
        <v>45717</v>
      </c>
      <c r="H525" s="29" t="n">
        <v>45722</v>
      </c>
      <c r="I525" s="30" t="n">
        <v>5</v>
      </c>
      <c r="J525" t="inlineStr">
        <is>
          <t>L03.115</t>
        </is>
      </c>
      <c r="K525" t="inlineStr">
        <is>
          <t>Cellulitis of right lower limb</t>
        </is>
      </c>
      <c r="L525" t="inlineStr">
        <is>
          <t>Skin</t>
        </is>
      </c>
      <c r="M525" t="inlineStr">
        <is>
          <t>Home/Self-Care</t>
        </is>
      </c>
      <c r="N525" t="inlineStr">
        <is>
          <t>Keystone Health Partners</t>
        </is>
      </c>
      <c r="O525" s="31" t="n">
        <v>19498.41</v>
      </c>
      <c r="P525" t="inlineStr">
        <is>
          <t>N</t>
        </is>
      </c>
    </row>
    <row r="526">
      <c r="A526" t="inlineStr">
        <is>
          <t>ENC112874</t>
        </is>
      </c>
      <c r="B526" t="inlineStr">
        <is>
          <t>PT11036</t>
        </is>
      </c>
      <c r="C526" t="inlineStr">
        <is>
          <t>Emergency</t>
        </is>
      </c>
      <c r="D526" t="inlineStr">
        <is>
          <t>Bluestone Memorial Hospital</t>
        </is>
      </c>
      <c r="E526" t="inlineStr">
        <is>
          <t>Emergency Department</t>
        </is>
      </c>
      <c r="F526" t="inlineStr">
        <is>
          <t>Emergency</t>
        </is>
      </c>
      <c r="G526" s="29" t="n">
        <v>45717</v>
      </c>
      <c r="H526" s="29" t="n">
        <v>45718</v>
      </c>
      <c r="I526" s="30" t="n"/>
      <c r="J526" t="inlineStr">
        <is>
          <t>J45.909</t>
        </is>
      </c>
      <c r="K526" t="inlineStr">
        <is>
          <t>Unspecified asthma, uncomplicated</t>
        </is>
      </c>
      <c r="L526" t="inlineStr">
        <is>
          <t>Respiratory</t>
        </is>
      </c>
      <c r="M526" t="inlineStr">
        <is>
          <t>Home/Self-Care</t>
        </is>
      </c>
      <c r="N526" t="inlineStr">
        <is>
          <t>Summit Choice PPO</t>
        </is>
      </c>
      <c r="O526" s="31" t="n">
        <v>3797.85</v>
      </c>
    </row>
    <row r="527">
      <c r="A527" t="inlineStr">
        <is>
          <t>ENC112883</t>
        </is>
      </c>
      <c r="B527" t="inlineStr">
        <is>
          <t>PT13152</t>
        </is>
      </c>
      <c r="C527" t="inlineStr">
        <is>
          <t>Emergency</t>
        </is>
      </c>
      <c r="D527" t="inlineStr">
        <is>
          <t>Bluestone Memorial Hospital</t>
        </is>
      </c>
      <c r="E527" t="inlineStr">
        <is>
          <t>Emergency Department</t>
        </is>
      </c>
      <c r="F527" t="inlineStr">
        <is>
          <t>Emergency</t>
        </is>
      </c>
      <c r="G527" s="29" t="n">
        <v>45718</v>
      </c>
      <c r="H527" s="29" t="n">
        <v>45718</v>
      </c>
      <c r="I527" s="30" t="n"/>
      <c r="J527" t="inlineStr">
        <is>
          <t>J06.9</t>
        </is>
      </c>
      <c r="K527" t="inlineStr">
        <is>
          <t>Acute upper respiratory infection, unspecified</t>
        </is>
      </c>
      <c r="L527" t="inlineStr">
        <is>
          <t>Respiratory</t>
        </is>
      </c>
      <c r="M527" t="inlineStr">
        <is>
          <t>Home/Self-Care</t>
        </is>
      </c>
      <c r="N527" t="inlineStr">
        <is>
          <t>State Medicaid</t>
        </is>
      </c>
      <c r="O527" s="31" t="n">
        <v>808.24</v>
      </c>
    </row>
    <row r="528">
      <c r="A528" t="inlineStr">
        <is>
          <t>ENC112884</t>
        </is>
      </c>
      <c r="B528" t="inlineStr">
        <is>
          <t>PT12476</t>
        </is>
      </c>
      <c r="C528" t="inlineStr">
        <is>
          <t>Emergency</t>
        </is>
      </c>
      <c r="D528" t="inlineStr">
        <is>
          <t>Bluestone Memorial Hospital</t>
        </is>
      </c>
      <c r="E528" t="inlineStr">
        <is>
          <t>Emergency Department</t>
        </is>
      </c>
      <c r="F528" t="inlineStr">
        <is>
          <t>Emergency</t>
        </is>
      </c>
      <c r="G528" s="29" t="n">
        <v>45718</v>
      </c>
      <c r="H528" s="29" t="n">
        <v>45718</v>
      </c>
      <c r="I528" s="30" t="n"/>
      <c r="J528" t="inlineStr">
        <is>
          <t>F41.9</t>
        </is>
      </c>
      <c r="K528" t="inlineStr">
        <is>
          <t>Anxiety disorder, unspecified</t>
        </is>
      </c>
      <c r="L528" t="inlineStr">
        <is>
          <t>Mental &amp; Behavioral</t>
        </is>
      </c>
      <c r="M528" t="inlineStr">
        <is>
          <t>Home/Self-Care</t>
        </is>
      </c>
      <c r="N528" t="inlineStr">
        <is>
          <t>Summit Choice PPO</t>
        </is>
      </c>
      <c r="O528" s="31" t="n">
        <v>1882.91</v>
      </c>
    </row>
    <row r="529">
      <c r="A529" t="inlineStr">
        <is>
          <t>ENC112886</t>
        </is>
      </c>
      <c r="B529" t="inlineStr">
        <is>
          <t>PT11000</t>
        </is>
      </c>
      <c r="C529" t="inlineStr">
        <is>
          <t>Inpatient</t>
        </is>
      </c>
      <c r="D529" t="inlineStr">
        <is>
          <t>Bluestone Memorial Hospital</t>
        </is>
      </c>
      <c r="E529" t="inlineStr">
        <is>
          <t>Cardiac Step-Down</t>
        </is>
      </c>
      <c r="F529" t="inlineStr">
        <is>
          <t>Cardiovascular</t>
        </is>
      </c>
      <c r="G529" s="29" t="n">
        <v>45718</v>
      </c>
      <c r="H529" s="29" t="n">
        <v>45721</v>
      </c>
      <c r="I529" s="30" t="n">
        <v>3</v>
      </c>
      <c r="J529" t="inlineStr">
        <is>
          <t>I50.9</t>
        </is>
      </c>
      <c r="K529" t="inlineStr">
        <is>
          <t>Heart failure, unspecified</t>
        </is>
      </c>
      <c r="L529" t="inlineStr">
        <is>
          <t>Circulatory</t>
        </is>
      </c>
      <c r="M529" t="inlineStr">
        <is>
          <t>Home/Self-Care</t>
        </is>
      </c>
      <c r="N529" t="inlineStr">
        <is>
          <t>Evergreen Mutual Insurance</t>
        </is>
      </c>
      <c r="O529" s="31" t="n">
        <v>16191.59</v>
      </c>
      <c r="P529" t="inlineStr">
        <is>
          <t>N</t>
        </is>
      </c>
    </row>
    <row r="530">
      <c r="A530" t="inlineStr">
        <is>
          <t>ENC112889</t>
        </is>
      </c>
      <c r="B530" t="inlineStr">
        <is>
          <t>PT10224</t>
        </is>
      </c>
      <c r="C530" t="inlineStr">
        <is>
          <t>Emergency</t>
        </is>
      </c>
      <c r="D530" t="inlineStr">
        <is>
          <t>Bluestone Memorial Hospital</t>
        </is>
      </c>
      <c r="E530" t="inlineStr">
        <is>
          <t>Emergency Department</t>
        </is>
      </c>
      <c r="F530" t="inlineStr">
        <is>
          <t>Emergency</t>
        </is>
      </c>
      <c r="G530" s="29" t="n">
        <v>45718</v>
      </c>
      <c r="H530" s="29" t="n">
        <v>45718</v>
      </c>
      <c r="I530" s="30" t="n"/>
      <c r="J530" t="inlineStr">
        <is>
          <t>F20.9</t>
        </is>
      </c>
      <c r="K530" t="inlineStr">
        <is>
          <t>Schizophrenia, unspecified</t>
        </is>
      </c>
      <c r="L530" t="inlineStr">
        <is>
          <t>Mental &amp; Behavioral</t>
        </is>
      </c>
      <c r="M530" t="inlineStr">
        <is>
          <t>Home/Self-Care</t>
        </is>
      </c>
      <c r="N530" t="inlineStr">
        <is>
          <t>Keystone Health Partners</t>
        </is>
      </c>
      <c r="O530" s="31" t="n">
        <v>5354.64</v>
      </c>
    </row>
    <row r="531">
      <c r="A531" t="inlineStr">
        <is>
          <t>ENC112903</t>
        </is>
      </c>
      <c r="B531" t="inlineStr">
        <is>
          <t>PT10512</t>
        </is>
      </c>
      <c r="C531" t="inlineStr">
        <is>
          <t>Emergency</t>
        </is>
      </c>
      <c r="D531" t="inlineStr">
        <is>
          <t>Ashby Falls Community Hospital</t>
        </is>
      </c>
      <c r="E531" t="inlineStr">
        <is>
          <t>Emergency Department</t>
        </is>
      </c>
      <c r="F531" t="inlineStr">
        <is>
          <t>Emergency</t>
        </is>
      </c>
      <c r="G531" s="29" t="n">
        <v>45719</v>
      </c>
      <c r="H531" s="29" t="n">
        <v>45719</v>
      </c>
      <c r="I531" s="30" t="n"/>
      <c r="J531" t="inlineStr">
        <is>
          <t>J06.9</t>
        </is>
      </c>
      <c r="K531" t="inlineStr">
        <is>
          <t>Acute upper respiratory infection, unspecified</t>
        </is>
      </c>
      <c r="L531" t="inlineStr">
        <is>
          <t>Respiratory</t>
        </is>
      </c>
      <c r="M531" t="inlineStr">
        <is>
          <t>Home/Self-Care</t>
        </is>
      </c>
      <c r="N531" t="inlineStr">
        <is>
          <t>State Medicaid</t>
        </is>
      </c>
      <c r="O531" s="31" t="n">
        <v>826.23</v>
      </c>
    </row>
    <row r="532">
      <c r="A532" t="inlineStr">
        <is>
          <t>ENC112906</t>
        </is>
      </c>
      <c r="B532" t="inlineStr">
        <is>
          <t>PT11332</t>
        </is>
      </c>
      <c r="C532" t="inlineStr">
        <is>
          <t>Outpatient</t>
        </is>
      </c>
      <c r="D532" t="inlineStr">
        <is>
          <t>Bluestone Outpatient Pavilion</t>
        </is>
      </c>
      <c r="E532" t="inlineStr">
        <is>
          <t>Primary Care Clinic</t>
        </is>
      </c>
      <c r="F532" t="inlineStr">
        <is>
          <t>Ambulatory</t>
        </is>
      </c>
      <c r="G532" s="29" t="n">
        <v>45719</v>
      </c>
      <c r="H532" s="29" t="n">
        <v>45719</v>
      </c>
      <c r="I532" s="30" t="n"/>
      <c r="J532" t="inlineStr">
        <is>
          <t>I10</t>
        </is>
      </c>
      <c r="K532" t="inlineStr">
        <is>
          <t>Essential (primary) hypertension</t>
        </is>
      </c>
      <c r="L532" t="inlineStr">
        <is>
          <t>Circulatory</t>
        </is>
      </c>
      <c r="M532" t="inlineStr">
        <is>
          <t>Home/Self-Care</t>
        </is>
      </c>
      <c r="N532" t="inlineStr">
        <is>
          <t>Keystone Health Partners</t>
        </is>
      </c>
      <c r="O532" s="31" t="n">
        <v>155.35</v>
      </c>
    </row>
    <row r="533">
      <c r="A533" t="inlineStr">
        <is>
          <t>ENC112920</t>
        </is>
      </c>
      <c r="B533" t="inlineStr">
        <is>
          <t>PT12160</t>
        </is>
      </c>
      <c r="C533" t="inlineStr">
        <is>
          <t>Inpatient</t>
        </is>
      </c>
      <c r="D533" t="inlineStr">
        <is>
          <t>Bluestone Memorial Hospital</t>
        </is>
      </c>
      <c r="E533" t="inlineStr">
        <is>
          <t>Medical-Surgical 4 West</t>
        </is>
      </c>
      <c r="F533" t="inlineStr">
        <is>
          <t>Medicine</t>
        </is>
      </c>
      <c r="G533" s="29" t="n">
        <v>45719</v>
      </c>
      <c r="H533" s="29" t="n">
        <v>45722</v>
      </c>
      <c r="I533" s="30" t="n">
        <v>3</v>
      </c>
      <c r="J533" t="inlineStr">
        <is>
          <t>A41.9</t>
        </is>
      </c>
      <c r="K533" t="inlineStr">
        <is>
          <t>Sepsis, unspecified organism</t>
        </is>
      </c>
      <c r="L533" t="inlineStr">
        <is>
          <t>Infectious</t>
        </is>
      </c>
      <c r="M533" t="inlineStr">
        <is>
          <t>Home/Self-Care</t>
        </is>
      </c>
      <c r="N533" t="inlineStr">
        <is>
          <t>State Medicaid</t>
        </is>
      </c>
      <c r="O533" s="31" t="n">
        <v>38351.48</v>
      </c>
      <c r="P533" t="inlineStr">
        <is>
          <t>N</t>
        </is>
      </c>
    </row>
    <row r="534">
      <c r="A534" t="inlineStr">
        <is>
          <t>ENC112923</t>
        </is>
      </c>
      <c r="B534" t="inlineStr">
        <is>
          <t>PT12692</t>
        </is>
      </c>
      <c r="C534" t="inlineStr">
        <is>
          <t>Emergency</t>
        </is>
      </c>
      <c r="D534" t="inlineStr">
        <is>
          <t>Cedar Ridge Medical Center</t>
        </is>
      </c>
      <c r="E534" t="inlineStr">
        <is>
          <t>Emergency Department</t>
        </is>
      </c>
      <c r="F534" t="inlineStr">
        <is>
          <t>Emergency</t>
        </is>
      </c>
      <c r="G534" s="29" t="n">
        <v>45719</v>
      </c>
      <c r="H534" s="29" t="n">
        <v>45719</v>
      </c>
      <c r="I534" s="30" t="n"/>
      <c r="J534" t="inlineStr">
        <is>
          <t>J06.9</t>
        </is>
      </c>
      <c r="K534" t="inlineStr">
        <is>
          <t>Acute upper respiratory infection, unspecified</t>
        </is>
      </c>
      <c r="L534" t="inlineStr">
        <is>
          <t>Respiratory</t>
        </is>
      </c>
      <c r="M534" t="inlineStr">
        <is>
          <t>Home/Self-Care</t>
        </is>
      </c>
      <c r="N534" t="inlineStr">
        <is>
          <t>State Medicaid</t>
        </is>
      </c>
      <c r="O534" s="31" t="n">
        <v>627.1</v>
      </c>
    </row>
    <row r="535">
      <c r="A535" t="inlineStr">
        <is>
          <t>ENC112924</t>
        </is>
      </c>
      <c r="B535" t="inlineStr">
        <is>
          <t>PT12960</t>
        </is>
      </c>
      <c r="C535" t="inlineStr">
        <is>
          <t>Emergency</t>
        </is>
      </c>
      <c r="D535" t="inlineStr">
        <is>
          <t>Bluestone Memorial Hospital</t>
        </is>
      </c>
      <c r="E535" t="inlineStr">
        <is>
          <t>Emergency Department</t>
        </is>
      </c>
      <c r="F535" t="inlineStr">
        <is>
          <t>Emergency</t>
        </is>
      </c>
      <c r="G535" s="29" t="n">
        <v>45719</v>
      </c>
      <c r="H535" s="29" t="n">
        <v>45719</v>
      </c>
      <c r="I535" s="30" t="n"/>
      <c r="J535" t="inlineStr">
        <is>
          <t>R55</t>
        </is>
      </c>
      <c r="K535" t="inlineStr">
        <is>
          <t>Syncope and collapse</t>
        </is>
      </c>
      <c r="L535" t="inlineStr">
        <is>
          <t>Symptoms &amp; Signs</t>
        </is>
      </c>
      <c r="M535" t="inlineStr">
        <is>
          <t>Home/Self-Care</t>
        </is>
      </c>
      <c r="N535" t="inlineStr">
        <is>
          <t>Evergreen Mutual Insurance</t>
        </is>
      </c>
      <c r="O535" s="31" t="n">
        <v>1554.89</v>
      </c>
    </row>
    <row r="536">
      <c r="A536" t="inlineStr">
        <is>
          <t>ENC112925</t>
        </is>
      </c>
      <c r="B536" t="inlineStr">
        <is>
          <t>PT13184</t>
        </is>
      </c>
      <c r="C536" t="inlineStr">
        <is>
          <t>Emergency</t>
        </is>
      </c>
      <c r="D536" t="inlineStr">
        <is>
          <t>Bluestone Memorial Hospital</t>
        </is>
      </c>
      <c r="E536" t="inlineStr">
        <is>
          <t>Emergency Department</t>
        </is>
      </c>
      <c r="F536" t="inlineStr">
        <is>
          <t>Emergency</t>
        </is>
      </c>
      <c r="G536" s="29" t="n">
        <v>45719</v>
      </c>
      <c r="H536" s="29" t="n">
        <v>45719</v>
      </c>
      <c r="I536" s="30" t="n"/>
      <c r="J536" t="inlineStr">
        <is>
          <t>H66.90</t>
        </is>
      </c>
      <c r="K536" t="inlineStr">
        <is>
          <t>Otitis media, unspecified, unspecified ear</t>
        </is>
      </c>
      <c r="L536" t="inlineStr">
        <is>
          <t>Ear</t>
        </is>
      </c>
      <c r="M536" t="inlineStr">
        <is>
          <t>Home/Self-Care</t>
        </is>
      </c>
      <c r="N536" t="inlineStr">
        <is>
          <t>Self-Pay</t>
        </is>
      </c>
      <c r="O536" s="31" t="n">
        <v>1339.04</v>
      </c>
    </row>
    <row r="537">
      <c r="A537" t="inlineStr">
        <is>
          <t>ENC112929</t>
        </is>
      </c>
      <c r="B537" t="inlineStr">
        <is>
          <t>PT10808</t>
        </is>
      </c>
      <c r="C537" t="inlineStr">
        <is>
          <t>Inpatient</t>
        </is>
      </c>
      <c r="D537" t="inlineStr">
        <is>
          <t>Ashby Falls Community Hospital</t>
        </is>
      </c>
      <c r="E537" t="inlineStr">
        <is>
          <t>Intensive Care Unit</t>
        </is>
      </c>
      <c r="F537" t="inlineStr">
        <is>
          <t>Critical Care</t>
        </is>
      </c>
      <c r="G537" s="29" t="n">
        <v>45720</v>
      </c>
      <c r="H537" s="29" t="n">
        <v>45735</v>
      </c>
      <c r="I537" s="30" t="n">
        <v>15</v>
      </c>
      <c r="J537" t="inlineStr">
        <is>
          <t>A41.9</t>
        </is>
      </c>
      <c r="K537" t="inlineStr">
        <is>
          <t>Sepsis, unspecified organism</t>
        </is>
      </c>
      <c r="L537" t="inlineStr">
        <is>
          <t>Infectious</t>
        </is>
      </c>
      <c r="M537" t="inlineStr">
        <is>
          <t>Skilled Nursing Facility</t>
        </is>
      </c>
      <c r="N537" t="inlineStr">
        <is>
          <t>Medicare</t>
        </is>
      </c>
      <c r="O537" s="31" t="n">
        <v>123069.88</v>
      </c>
      <c r="P537" t="inlineStr">
        <is>
          <t>N</t>
        </is>
      </c>
    </row>
    <row r="538">
      <c r="A538" t="inlineStr">
        <is>
          <t>ENC112930</t>
        </is>
      </c>
      <c r="B538" t="inlineStr">
        <is>
          <t>PT13072</t>
        </is>
      </c>
      <c r="C538" t="inlineStr">
        <is>
          <t>Emergency</t>
        </is>
      </c>
      <c r="D538" t="inlineStr">
        <is>
          <t>Ashby Falls Community Hospital</t>
        </is>
      </c>
      <c r="E538" t="inlineStr">
        <is>
          <t>Emergency Department</t>
        </is>
      </c>
      <c r="F538" t="inlineStr">
        <is>
          <t>Emergency</t>
        </is>
      </c>
      <c r="G538" s="29" t="n">
        <v>45720</v>
      </c>
      <c r="H538" s="29" t="n">
        <v>45720</v>
      </c>
      <c r="I538" s="30" t="n"/>
      <c r="J538" t="inlineStr">
        <is>
          <t>R10.9</t>
        </is>
      </c>
      <c r="K538" t="inlineStr">
        <is>
          <t>Unspecified abdominal pain</t>
        </is>
      </c>
      <c r="L538" t="inlineStr">
        <is>
          <t>Symptoms &amp; Signs</t>
        </is>
      </c>
      <c r="M538" t="inlineStr">
        <is>
          <t>Home/Self-Care</t>
        </is>
      </c>
      <c r="N538" t="inlineStr">
        <is>
          <t>Silverline Medicare Advantage</t>
        </is>
      </c>
      <c r="O538" s="31" t="n">
        <v>2604.84</v>
      </c>
    </row>
    <row r="539">
      <c r="A539" t="inlineStr">
        <is>
          <t>ENC112931</t>
        </is>
      </c>
      <c r="B539" t="inlineStr">
        <is>
          <t>PT10720</t>
        </is>
      </c>
      <c r="C539" t="inlineStr">
        <is>
          <t>Outpatient</t>
        </is>
      </c>
      <c r="D539" t="inlineStr">
        <is>
          <t>Bluestone Outpatient Pavilion</t>
        </is>
      </c>
      <c r="E539" t="inlineStr">
        <is>
          <t>Primary Care Clinic</t>
        </is>
      </c>
      <c r="F539" t="inlineStr">
        <is>
          <t>Ambulatory</t>
        </is>
      </c>
      <c r="G539" s="29" t="n">
        <v>45720</v>
      </c>
      <c r="H539" s="29" t="n">
        <v>45720</v>
      </c>
      <c r="I539" s="30" t="n"/>
      <c r="J539" t="inlineStr">
        <is>
          <t>J06.9</t>
        </is>
      </c>
      <c r="K539" t="inlineStr">
        <is>
          <t>Acute upper respiratory infection, unspecified</t>
        </is>
      </c>
      <c r="L539" t="inlineStr">
        <is>
          <t>Respiratory</t>
        </is>
      </c>
      <c r="M539" t="inlineStr">
        <is>
          <t>Home/Self-Care</t>
        </is>
      </c>
      <c r="N539" t="inlineStr">
        <is>
          <t>Summit Choice PPO</t>
        </is>
      </c>
      <c r="O539" s="31" t="n">
        <v>197.88</v>
      </c>
    </row>
    <row r="540">
      <c r="A540" t="inlineStr">
        <is>
          <t>ENC112932</t>
        </is>
      </c>
      <c r="B540" t="inlineStr">
        <is>
          <t>PT11968</t>
        </is>
      </c>
      <c r="C540" t="inlineStr">
        <is>
          <t>Outpatient</t>
        </is>
      </c>
      <c r="D540" t="inlineStr">
        <is>
          <t>Bluestone Outpatient Pavilion</t>
        </is>
      </c>
      <c r="E540" t="inlineStr">
        <is>
          <t>Primary Care Clinic</t>
        </is>
      </c>
      <c r="F540" t="inlineStr">
        <is>
          <t>Ambulatory</t>
        </is>
      </c>
      <c r="G540" s="29" t="n">
        <v>45720</v>
      </c>
      <c r="H540" s="29" t="n">
        <v>45720</v>
      </c>
      <c r="I540" s="30" t="n"/>
      <c r="J540" t="inlineStr">
        <is>
          <t>J45.909</t>
        </is>
      </c>
      <c r="K540" t="inlineStr">
        <is>
          <t>Unspecified asthma, uncomplicated</t>
        </is>
      </c>
      <c r="L540" t="inlineStr">
        <is>
          <t>Respiratory</t>
        </is>
      </c>
      <c r="M540" t="inlineStr">
        <is>
          <t>Home/Self-Care</t>
        </is>
      </c>
      <c r="N540" t="inlineStr">
        <is>
          <t>State Medicaid</t>
        </is>
      </c>
      <c r="O540" s="31" t="n">
        <v>254.69</v>
      </c>
    </row>
    <row r="541">
      <c r="A541" t="inlineStr">
        <is>
          <t>ENC112940</t>
        </is>
      </c>
      <c r="B541" t="inlineStr">
        <is>
          <t>PT12760</t>
        </is>
      </c>
      <c r="C541" t="inlineStr">
        <is>
          <t>Emergency</t>
        </is>
      </c>
      <c r="D541" t="inlineStr">
        <is>
          <t>Cedar Ridge Medical Center</t>
        </is>
      </c>
      <c r="E541" t="inlineStr">
        <is>
          <t>Emergency Department</t>
        </is>
      </c>
      <c r="F541" t="inlineStr">
        <is>
          <t>Emergency</t>
        </is>
      </c>
      <c r="G541" s="29" t="n">
        <v>45720</v>
      </c>
      <c r="H541" s="29" t="n">
        <v>45720</v>
      </c>
      <c r="I541" s="30" t="n"/>
      <c r="J541" t="inlineStr">
        <is>
          <t>S93.401A</t>
        </is>
      </c>
      <c r="K541" t="inlineStr">
        <is>
          <t>Sprain of unspecified ligament of right ankle, initial encounter</t>
        </is>
      </c>
      <c r="L541" t="inlineStr">
        <is>
          <t>Injury</t>
        </is>
      </c>
      <c r="M541" t="inlineStr">
        <is>
          <t>Home/Self-Care</t>
        </is>
      </c>
      <c r="N541" t="inlineStr">
        <is>
          <t>State Medicaid</t>
        </is>
      </c>
      <c r="O541" s="31" t="n">
        <v>865.95</v>
      </c>
    </row>
    <row r="542">
      <c r="A542" t="inlineStr">
        <is>
          <t>ENC112942</t>
        </is>
      </c>
      <c r="B542" t="inlineStr">
        <is>
          <t>PT13936</t>
        </is>
      </c>
      <c r="C542" t="inlineStr">
        <is>
          <t>Outpatient</t>
        </is>
      </c>
      <c r="D542" t="inlineStr">
        <is>
          <t>Bluestone Outpatient Pavilion</t>
        </is>
      </c>
      <c r="E542" t="inlineStr">
        <is>
          <t>Primary Care Clinic</t>
        </is>
      </c>
      <c r="F542" t="inlineStr">
        <is>
          <t>Ambulatory</t>
        </is>
      </c>
      <c r="G542" s="29" t="n">
        <v>45720</v>
      </c>
      <c r="H542" s="29" t="n">
        <v>45720</v>
      </c>
      <c r="I542" s="30" t="n"/>
      <c r="J542" t="inlineStr">
        <is>
          <t>J44.1</t>
        </is>
      </c>
      <c r="K542" t="inlineStr">
        <is>
          <t>Chronic obstructive pulmonary disease with (acute) exacerbation</t>
        </is>
      </c>
      <c r="L542" t="inlineStr">
        <is>
          <t>Respiratory</t>
        </is>
      </c>
      <c r="M542" t="inlineStr">
        <is>
          <t>Home/Self-Care</t>
        </is>
      </c>
      <c r="N542" t="inlineStr">
        <is>
          <t>Medicare</t>
        </is>
      </c>
      <c r="O542" s="31" t="n">
        <v>506.34</v>
      </c>
    </row>
    <row r="543">
      <c r="A543" t="inlineStr">
        <is>
          <t>ENC112944</t>
        </is>
      </c>
      <c r="B543" t="inlineStr">
        <is>
          <t>PT10396</t>
        </is>
      </c>
      <c r="C543" t="inlineStr">
        <is>
          <t>Outpatient</t>
        </is>
      </c>
      <c r="D543" t="inlineStr">
        <is>
          <t>Bluestone Outpatient Pavilion</t>
        </is>
      </c>
      <c r="E543" t="inlineStr">
        <is>
          <t>Cardiology Clinic</t>
        </is>
      </c>
      <c r="F543" t="inlineStr">
        <is>
          <t>Cardiovascular</t>
        </is>
      </c>
      <c r="G543" s="29" t="n">
        <v>45720</v>
      </c>
      <c r="H543" s="29" t="n">
        <v>45720</v>
      </c>
      <c r="I543" s="30" t="n"/>
      <c r="J543" t="inlineStr">
        <is>
          <t>I48.91</t>
        </is>
      </c>
      <c r="K543" t="inlineStr">
        <is>
          <t>Unspecified atrial fibrillation</t>
        </is>
      </c>
      <c r="L543" t="inlineStr">
        <is>
          <t>Circulatory</t>
        </is>
      </c>
      <c r="M543" t="inlineStr">
        <is>
          <t>Home/Self-Care</t>
        </is>
      </c>
      <c r="N543" t="inlineStr">
        <is>
          <t>Keystone Health Partners</t>
        </is>
      </c>
      <c r="O543" s="31" t="n">
        <v>237.75</v>
      </c>
    </row>
    <row r="544">
      <c r="A544" t="inlineStr">
        <is>
          <t>ENC112948</t>
        </is>
      </c>
      <c r="B544" t="inlineStr">
        <is>
          <t>PT12856</t>
        </is>
      </c>
      <c r="C544" t="inlineStr">
        <is>
          <t>Outpatient</t>
        </is>
      </c>
      <c r="D544" t="inlineStr">
        <is>
          <t>Bluestone Outpatient Pavilion</t>
        </is>
      </c>
      <c r="E544" t="inlineStr">
        <is>
          <t>Endocrinology &amp; Diabetes Clinic</t>
        </is>
      </c>
      <c r="F544" t="inlineStr">
        <is>
          <t>Ambulatory</t>
        </is>
      </c>
      <c r="G544" s="29" t="n">
        <v>45720</v>
      </c>
      <c r="H544" s="29" t="n">
        <v>45720</v>
      </c>
      <c r="I544" s="30" t="n"/>
      <c r="J544" t="inlineStr">
        <is>
          <t>E11.9</t>
        </is>
      </c>
      <c r="K544" t="inlineStr">
        <is>
          <t>Type 2 diabetes mellitus without complications</t>
        </is>
      </c>
      <c r="L544" t="inlineStr">
        <is>
          <t>Endocrine</t>
        </is>
      </c>
      <c r="M544" t="inlineStr">
        <is>
          <t>Home/Self-Care</t>
        </is>
      </c>
      <c r="N544" t="inlineStr">
        <is>
          <t>Medicare</t>
        </is>
      </c>
      <c r="O544" s="31" t="n">
        <v>286.44</v>
      </c>
    </row>
    <row r="545">
      <c r="A545" t="inlineStr">
        <is>
          <t>ENC112949</t>
        </is>
      </c>
      <c r="B545" t="inlineStr">
        <is>
          <t>PT10304</t>
        </is>
      </c>
      <c r="C545" t="inlineStr">
        <is>
          <t>Outpatient</t>
        </is>
      </c>
      <c r="D545" t="inlineStr">
        <is>
          <t>Bluestone Outpatient Pavilion</t>
        </is>
      </c>
      <c r="E545" t="inlineStr">
        <is>
          <t>Primary Care Clinic</t>
        </is>
      </c>
      <c r="F545" t="inlineStr">
        <is>
          <t>Ambulatory</t>
        </is>
      </c>
      <c r="G545" s="29" t="n">
        <v>45720</v>
      </c>
      <c r="H545" s="29" t="n">
        <v>45720</v>
      </c>
      <c r="I545" s="30" t="n"/>
      <c r="J545" t="inlineStr">
        <is>
          <t>Z00.00</t>
        </is>
      </c>
      <c r="K545" t="inlineStr">
        <is>
          <t>Encounter for general adult medical examination without abnormal findings</t>
        </is>
      </c>
      <c r="L545" t="inlineStr">
        <is>
          <t>Factors Influencing Health</t>
        </is>
      </c>
      <c r="M545" t="inlineStr">
        <is>
          <t>Home/Self-Care</t>
        </is>
      </c>
      <c r="N545" t="inlineStr">
        <is>
          <t>Medicare</t>
        </is>
      </c>
      <c r="O545" s="31" t="n">
        <v>254.29</v>
      </c>
    </row>
    <row r="546">
      <c r="A546" t="inlineStr">
        <is>
          <t>ENC112957</t>
        </is>
      </c>
      <c r="B546" t="inlineStr">
        <is>
          <t>PT11136</t>
        </is>
      </c>
      <c r="C546" t="inlineStr">
        <is>
          <t>Emergency</t>
        </is>
      </c>
      <c r="D546" t="inlineStr">
        <is>
          <t>Cedar Ridge Medical Center</t>
        </is>
      </c>
      <c r="E546" t="inlineStr">
        <is>
          <t>Emergency Department</t>
        </is>
      </c>
      <c r="F546" t="inlineStr">
        <is>
          <t>Emergency</t>
        </is>
      </c>
      <c r="G546" s="29" t="n">
        <v>45721</v>
      </c>
      <c r="H546" s="29" t="n">
        <v>45721</v>
      </c>
      <c r="I546" s="30" t="n"/>
      <c r="J546" t="inlineStr">
        <is>
          <t>I48.91</t>
        </is>
      </c>
      <c r="K546" t="inlineStr">
        <is>
          <t>Unspecified atrial fibrillation</t>
        </is>
      </c>
      <c r="L546" t="inlineStr">
        <is>
          <t>Circulatory</t>
        </is>
      </c>
      <c r="M546" t="inlineStr">
        <is>
          <t>Home/Self-Care</t>
        </is>
      </c>
      <c r="N546" t="inlineStr">
        <is>
          <t>State Medicaid</t>
        </is>
      </c>
      <c r="O546" s="31" t="n">
        <v>3117</v>
      </c>
    </row>
    <row r="547">
      <c r="A547" t="inlineStr">
        <is>
          <t>ENC112963</t>
        </is>
      </c>
      <c r="B547" t="inlineStr">
        <is>
          <t>PT13180</t>
        </is>
      </c>
      <c r="C547" t="inlineStr">
        <is>
          <t>Emergency</t>
        </is>
      </c>
      <c r="D547" t="inlineStr">
        <is>
          <t>Ashby Falls Community Hospital</t>
        </is>
      </c>
      <c r="E547" t="inlineStr">
        <is>
          <t>Emergency Department</t>
        </is>
      </c>
      <c r="F547" t="inlineStr">
        <is>
          <t>Emergency</t>
        </is>
      </c>
      <c r="G547" s="29" t="n">
        <v>45721</v>
      </c>
      <c r="H547" s="29" t="n">
        <v>45721</v>
      </c>
      <c r="I547" s="30" t="n"/>
      <c r="J547" t="inlineStr">
        <is>
          <t>J18.9</t>
        </is>
      </c>
      <c r="K547" t="inlineStr">
        <is>
          <t>Pneumonia, unspecified organism</t>
        </is>
      </c>
      <c r="L547" t="inlineStr">
        <is>
          <t>Respiratory</t>
        </is>
      </c>
      <c r="M547" t="inlineStr">
        <is>
          <t>Home/Self-Care</t>
        </is>
      </c>
      <c r="N547" t="inlineStr">
        <is>
          <t>State Medicaid</t>
        </is>
      </c>
      <c r="O547" s="31" t="n">
        <v>3283.52</v>
      </c>
    </row>
    <row r="548">
      <c r="A548" t="inlineStr">
        <is>
          <t>ENC112966</t>
        </is>
      </c>
      <c r="B548" t="inlineStr">
        <is>
          <t>PT13572</t>
        </is>
      </c>
      <c r="C548" t="inlineStr">
        <is>
          <t>Outpatient</t>
        </is>
      </c>
      <c r="D548" t="inlineStr">
        <is>
          <t>Bluestone Outpatient Pavilion</t>
        </is>
      </c>
      <c r="E548" t="inlineStr">
        <is>
          <t>Primary Care Clinic</t>
        </is>
      </c>
      <c r="F548" t="inlineStr">
        <is>
          <t>Ambulatory</t>
        </is>
      </c>
      <c r="G548" s="29" t="n">
        <v>45721</v>
      </c>
      <c r="H548" s="29" t="n">
        <v>45721</v>
      </c>
      <c r="I548" s="30" t="n"/>
      <c r="J548" t="inlineStr">
        <is>
          <t>Z00.00</t>
        </is>
      </c>
      <c r="K548" t="inlineStr">
        <is>
          <t>Encounter for general adult medical examination without abnormal findings</t>
        </is>
      </c>
      <c r="L548" t="inlineStr">
        <is>
          <t>Factors Influencing Health</t>
        </is>
      </c>
      <c r="M548" t="inlineStr">
        <is>
          <t>Home/Self-Care</t>
        </is>
      </c>
      <c r="N548" t="inlineStr">
        <is>
          <t>State Medicaid</t>
        </is>
      </c>
      <c r="O548" s="31" t="n">
        <v>512.35</v>
      </c>
    </row>
    <row r="549">
      <c r="A549" t="inlineStr">
        <is>
          <t>ENC112968</t>
        </is>
      </c>
      <c r="B549" t="inlineStr">
        <is>
          <t>PT13940</t>
        </is>
      </c>
      <c r="C549" t="inlineStr">
        <is>
          <t>Inpatient</t>
        </is>
      </c>
      <c r="D549" t="inlineStr">
        <is>
          <t>Cedar Ridge Medical Center</t>
        </is>
      </c>
      <c r="E549" t="inlineStr">
        <is>
          <t>Medical-Surgical</t>
        </is>
      </c>
      <c r="F549" t="inlineStr">
        <is>
          <t>Medicine</t>
        </is>
      </c>
      <c r="G549" s="29" t="n">
        <v>45721</v>
      </c>
      <c r="H549" s="29" t="n">
        <v>45724</v>
      </c>
      <c r="I549" s="30" t="n">
        <v>3</v>
      </c>
      <c r="J549" t="inlineStr">
        <is>
          <t>E87.1</t>
        </is>
      </c>
      <c r="K549" t="inlineStr">
        <is>
          <t>Hypo-osmolality and hyponatremia</t>
        </is>
      </c>
      <c r="L549" t="inlineStr">
        <is>
          <t>Endocrine</t>
        </is>
      </c>
      <c r="M549" t="inlineStr">
        <is>
          <t>Skilled Nursing Facility</t>
        </is>
      </c>
      <c r="N549" t="inlineStr">
        <is>
          <t>Evergreen Mutual Insurance</t>
        </is>
      </c>
      <c r="O549" s="31" t="n">
        <v>14855.64</v>
      </c>
      <c r="P549" t="inlineStr">
        <is>
          <t>N</t>
        </is>
      </c>
    </row>
    <row r="550">
      <c r="A550" t="inlineStr">
        <is>
          <t>ENC112973</t>
        </is>
      </c>
      <c r="B550" t="inlineStr">
        <is>
          <t>PT11004</t>
        </is>
      </c>
      <c r="C550" t="inlineStr">
        <is>
          <t>Inpatient</t>
        </is>
      </c>
      <c r="D550" t="inlineStr">
        <is>
          <t>Ashby Falls Community Hospital</t>
        </is>
      </c>
      <c r="E550" t="inlineStr">
        <is>
          <t>Medical-Surgical</t>
        </is>
      </c>
      <c r="F550" t="inlineStr">
        <is>
          <t>Medicine</t>
        </is>
      </c>
      <c r="G550" s="29" t="n">
        <v>45721</v>
      </c>
      <c r="H550" s="29" t="n">
        <v>45723</v>
      </c>
      <c r="I550" s="30" t="n">
        <v>2</v>
      </c>
      <c r="J550" t="inlineStr">
        <is>
          <t>E87.1</t>
        </is>
      </c>
      <c r="K550" t="inlineStr">
        <is>
          <t>Hypo-osmolality and hyponatremia</t>
        </is>
      </c>
      <c r="L550" t="inlineStr">
        <is>
          <t>Endocrine</t>
        </is>
      </c>
      <c r="M550" t="inlineStr">
        <is>
          <t>Home/Self-Care</t>
        </is>
      </c>
      <c r="N550" t="inlineStr">
        <is>
          <t>Silverline Medicare Advantage</t>
        </is>
      </c>
      <c r="O550" s="31" t="n">
        <v>11813.93</v>
      </c>
      <c r="P550" t="inlineStr">
        <is>
          <t>N</t>
        </is>
      </c>
    </row>
    <row r="551">
      <c r="A551" t="inlineStr">
        <is>
          <t>ENC112974</t>
        </is>
      </c>
      <c r="B551" t="inlineStr">
        <is>
          <t>PT11148</t>
        </is>
      </c>
      <c r="C551" t="inlineStr">
        <is>
          <t>Outpatient</t>
        </is>
      </c>
      <c r="D551" t="inlineStr">
        <is>
          <t>Bluestone Outpatient Pavilion</t>
        </is>
      </c>
      <c r="E551" t="inlineStr">
        <is>
          <t>Orthopedic Clinic</t>
        </is>
      </c>
      <c r="F551" t="inlineStr">
        <is>
          <t>Orthopedics</t>
        </is>
      </c>
      <c r="G551" s="29" t="n">
        <v>45721</v>
      </c>
      <c r="H551" s="29" t="n">
        <v>45721</v>
      </c>
      <c r="I551" s="30" t="n"/>
      <c r="J551" t="inlineStr">
        <is>
          <t>S93.401A</t>
        </is>
      </c>
      <c r="K551" t="inlineStr">
        <is>
          <t>Sprain of unspecified ligament of right ankle, initial encounter</t>
        </is>
      </c>
      <c r="L551" t="inlineStr">
        <is>
          <t>Injury</t>
        </is>
      </c>
      <c r="M551" t="inlineStr">
        <is>
          <t>Home/Self-Care</t>
        </is>
      </c>
      <c r="N551" t="inlineStr">
        <is>
          <t>Evergreen Mutual Insurance</t>
        </is>
      </c>
      <c r="O551" s="31" t="n">
        <v>233.08</v>
      </c>
    </row>
    <row r="552">
      <c r="A552" t="inlineStr">
        <is>
          <t>ENC112980</t>
        </is>
      </c>
      <c r="B552" t="inlineStr">
        <is>
          <t>PT11844</t>
        </is>
      </c>
      <c r="C552" t="inlineStr">
        <is>
          <t>Emergency</t>
        </is>
      </c>
      <c r="D552" t="inlineStr">
        <is>
          <t>Bluestone Memorial Hospital</t>
        </is>
      </c>
      <c r="E552" t="inlineStr">
        <is>
          <t>Emergency Department</t>
        </is>
      </c>
      <c r="F552" t="inlineStr">
        <is>
          <t>Emergency</t>
        </is>
      </c>
      <c r="G552" s="29" t="n">
        <v>45721</v>
      </c>
      <c r="H552" s="29" t="n">
        <v>45721</v>
      </c>
      <c r="I552" s="30" t="n"/>
      <c r="J552" t="inlineStr">
        <is>
          <t>J06.9</t>
        </is>
      </c>
      <c r="K552" t="inlineStr">
        <is>
          <t>Acute upper respiratory infection, unspecified</t>
        </is>
      </c>
      <c r="L552" t="inlineStr">
        <is>
          <t>Respiratory</t>
        </is>
      </c>
      <c r="M552" t="inlineStr">
        <is>
          <t>Home/Self-Care</t>
        </is>
      </c>
      <c r="N552" t="inlineStr">
        <is>
          <t>State Medicaid</t>
        </is>
      </c>
      <c r="O552" s="31" t="n">
        <v>838.7</v>
      </c>
    </row>
    <row r="553">
      <c r="A553" t="inlineStr">
        <is>
          <t>ENC112986</t>
        </is>
      </c>
      <c r="B553" t="inlineStr">
        <is>
          <t>PT12276</t>
        </is>
      </c>
      <c r="C553" t="inlineStr">
        <is>
          <t>Emergency</t>
        </is>
      </c>
      <c r="D553" t="inlineStr">
        <is>
          <t>Ashby Falls Community Hospital</t>
        </is>
      </c>
      <c r="E553" t="inlineStr">
        <is>
          <t>Emergency Department</t>
        </is>
      </c>
      <c r="F553" t="inlineStr">
        <is>
          <t>Emergency</t>
        </is>
      </c>
      <c r="G553" s="29" t="n">
        <v>45721</v>
      </c>
      <c r="H553" s="29" t="n">
        <v>45721</v>
      </c>
      <c r="I553" s="30" t="n"/>
      <c r="J553" t="inlineStr">
        <is>
          <t>J06.9</t>
        </is>
      </c>
      <c r="K553" t="inlineStr">
        <is>
          <t>Acute upper respiratory infection, unspecified</t>
        </is>
      </c>
      <c r="L553" t="inlineStr">
        <is>
          <t>Respiratory</t>
        </is>
      </c>
      <c r="M553" t="inlineStr">
        <is>
          <t>Home/Self-Care</t>
        </is>
      </c>
      <c r="N553" t="inlineStr">
        <is>
          <t>State Medicaid</t>
        </is>
      </c>
      <c r="O553" s="31" t="n">
        <v>699.9400000000001</v>
      </c>
    </row>
    <row r="554">
      <c r="A554" t="inlineStr">
        <is>
          <t>ENC112987</t>
        </is>
      </c>
      <c r="B554" t="inlineStr">
        <is>
          <t>PT10328</t>
        </is>
      </c>
      <c r="C554" t="inlineStr">
        <is>
          <t>Emergency</t>
        </is>
      </c>
      <c r="D554" t="inlineStr">
        <is>
          <t>Cedar Ridge Medical Center</t>
        </is>
      </c>
      <c r="E554" t="inlineStr">
        <is>
          <t>Emergency Department</t>
        </is>
      </c>
      <c r="F554" t="inlineStr">
        <is>
          <t>Emergency</t>
        </is>
      </c>
      <c r="G554" s="29" t="n">
        <v>45721</v>
      </c>
      <c r="H554" s="29" t="n">
        <v>45721</v>
      </c>
      <c r="I554" s="30" t="n"/>
      <c r="J554" t="inlineStr">
        <is>
          <t>R10.9</t>
        </is>
      </c>
      <c r="K554" t="inlineStr">
        <is>
          <t>Unspecified abdominal pain</t>
        </is>
      </c>
      <c r="L554" t="inlineStr">
        <is>
          <t>Symptoms &amp; Signs</t>
        </is>
      </c>
      <c r="M554" t="inlineStr">
        <is>
          <t>Home/Self-Care</t>
        </is>
      </c>
      <c r="N554" t="inlineStr">
        <is>
          <t>Keystone Health Partners</t>
        </is>
      </c>
      <c r="O554" s="31" t="n">
        <v>3246.99</v>
      </c>
    </row>
    <row r="555">
      <c r="A555" t="inlineStr">
        <is>
          <t>ENC112989</t>
        </is>
      </c>
      <c r="B555" t="inlineStr">
        <is>
          <t>PT12880</t>
        </is>
      </c>
      <c r="C555" t="inlineStr">
        <is>
          <t>Emergency</t>
        </is>
      </c>
      <c r="D555" t="inlineStr">
        <is>
          <t>Ashby Falls Community Hospital</t>
        </is>
      </c>
      <c r="E555" t="inlineStr">
        <is>
          <t>Emergency Department</t>
        </is>
      </c>
      <c r="F555" t="inlineStr">
        <is>
          <t>Emergency</t>
        </is>
      </c>
      <c r="G555" s="29" t="n">
        <v>45721</v>
      </c>
      <c r="H555" s="29" t="n">
        <v>45721</v>
      </c>
      <c r="I555" s="30" t="n"/>
      <c r="J555" t="inlineStr">
        <is>
          <t>F10.239</t>
        </is>
      </c>
      <c r="K555" t="inlineStr">
        <is>
          <t>Alcohol dependence with withdrawal, unspecified</t>
        </is>
      </c>
      <c r="L555" t="inlineStr">
        <is>
          <t>Mental &amp; Behavioral</t>
        </is>
      </c>
      <c r="M555" t="inlineStr">
        <is>
          <t>Home/Self-Care</t>
        </is>
      </c>
      <c r="N555" t="inlineStr">
        <is>
          <t>State Medicaid</t>
        </is>
      </c>
      <c r="O555" s="31" t="n">
        <v>3905.47</v>
      </c>
    </row>
    <row r="556">
      <c r="A556" t="inlineStr">
        <is>
          <t>ENC112993</t>
        </is>
      </c>
      <c r="B556" t="inlineStr">
        <is>
          <t>PT10360</t>
        </is>
      </c>
      <c r="C556" t="inlineStr">
        <is>
          <t>Emergency</t>
        </is>
      </c>
      <c r="D556" t="inlineStr">
        <is>
          <t>Bluestone Memorial Hospital</t>
        </is>
      </c>
      <c r="E556" t="inlineStr">
        <is>
          <t>Emergency Department</t>
        </is>
      </c>
      <c r="F556" t="inlineStr">
        <is>
          <t>Emergency</t>
        </is>
      </c>
      <c r="G556" s="29" t="n">
        <v>45721</v>
      </c>
      <c r="H556" s="29" t="n">
        <v>45721</v>
      </c>
      <c r="I556" s="30" t="n"/>
      <c r="J556" t="inlineStr">
        <is>
          <t>G43.909</t>
        </is>
      </c>
      <c r="K556" t="inlineStr">
        <is>
          <t>Migraine, unspecified, not intractable, without status migrainosus</t>
        </is>
      </c>
      <c r="L556" t="inlineStr">
        <is>
          <t>Nervous System</t>
        </is>
      </c>
      <c r="M556" t="inlineStr">
        <is>
          <t>Home/Self-Care</t>
        </is>
      </c>
      <c r="N556" t="inlineStr">
        <is>
          <t>Silverline Medicare Advantage</t>
        </is>
      </c>
      <c r="O556" s="31" t="n">
        <v>1458.51</v>
      </c>
    </row>
    <row r="557">
      <c r="A557" t="inlineStr">
        <is>
          <t>ENC112996</t>
        </is>
      </c>
      <c r="B557" t="inlineStr">
        <is>
          <t>PT10536</t>
        </is>
      </c>
      <c r="C557" t="inlineStr">
        <is>
          <t>Inpatient</t>
        </is>
      </c>
      <c r="D557" t="inlineStr">
        <is>
          <t>Ashby Falls Community Hospital</t>
        </is>
      </c>
      <c r="E557" t="inlineStr">
        <is>
          <t>Medical-Surgical</t>
        </is>
      </c>
      <c r="F557" t="inlineStr">
        <is>
          <t>Medicine</t>
        </is>
      </c>
      <c r="G557" s="29" t="n">
        <v>45722</v>
      </c>
      <c r="H557" s="29" t="n">
        <v>45725</v>
      </c>
      <c r="I557" s="30" t="n">
        <v>3</v>
      </c>
      <c r="J557" t="inlineStr">
        <is>
          <t>L03.115</t>
        </is>
      </c>
      <c r="K557" t="inlineStr">
        <is>
          <t>Cellulitis of right lower limb</t>
        </is>
      </c>
      <c r="L557" t="inlineStr">
        <is>
          <t>Skin</t>
        </is>
      </c>
      <c r="M557" t="inlineStr">
        <is>
          <t>Home/Self-Care</t>
        </is>
      </c>
      <c r="N557" t="inlineStr">
        <is>
          <t>Keystone Health Partners</t>
        </is>
      </c>
      <c r="O557" s="31" t="n">
        <v>17743.35</v>
      </c>
      <c r="P557" t="inlineStr">
        <is>
          <t>N</t>
        </is>
      </c>
    </row>
    <row r="558">
      <c r="A558" t="inlineStr">
        <is>
          <t>ENC112998</t>
        </is>
      </c>
      <c r="B558" t="inlineStr">
        <is>
          <t>PT12300</t>
        </is>
      </c>
      <c r="C558" t="inlineStr">
        <is>
          <t>Emergency</t>
        </is>
      </c>
      <c r="D558" t="inlineStr">
        <is>
          <t>Bluestone Memorial Hospital</t>
        </is>
      </c>
      <c r="E558" t="inlineStr">
        <is>
          <t>Emergency Department</t>
        </is>
      </c>
      <c r="F558" t="inlineStr">
        <is>
          <t>Emergency</t>
        </is>
      </c>
      <c r="G558" s="29" t="n">
        <v>45722</v>
      </c>
      <c r="H558" s="29" t="n">
        <v>45722</v>
      </c>
      <c r="I558" s="30" t="n"/>
      <c r="J558" t="inlineStr">
        <is>
          <t>J18.9</t>
        </is>
      </c>
      <c r="K558" t="inlineStr">
        <is>
          <t>Pneumonia, unspecified organism</t>
        </is>
      </c>
      <c r="L558" t="inlineStr">
        <is>
          <t>Respiratory</t>
        </is>
      </c>
      <c r="M558" t="inlineStr">
        <is>
          <t>Home/Self-Care</t>
        </is>
      </c>
      <c r="N558" t="inlineStr">
        <is>
          <t>Summit Choice PPO</t>
        </is>
      </c>
      <c r="O558" s="31" t="n">
        <v>1261.98</v>
      </c>
    </row>
    <row r="559">
      <c r="A559" t="inlineStr">
        <is>
          <t>ENC112999</t>
        </is>
      </c>
      <c r="B559" t="inlineStr">
        <is>
          <t>PT11468</t>
        </is>
      </c>
      <c r="C559" t="inlineStr">
        <is>
          <t>Emergency</t>
        </is>
      </c>
      <c r="D559" t="inlineStr">
        <is>
          <t>Ashby Falls Community Hospital</t>
        </is>
      </c>
      <c r="E559" t="inlineStr">
        <is>
          <t>Emergency Department</t>
        </is>
      </c>
      <c r="F559" t="inlineStr">
        <is>
          <t>Emergency</t>
        </is>
      </c>
      <c r="G559" s="29" t="n">
        <v>45722</v>
      </c>
      <c r="H559" s="29" t="n">
        <v>45722</v>
      </c>
      <c r="I559" s="30" t="n"/>
      <c r="J559" t="inlineStr">
        <is>
          <t>J06.9</t>
        </is>
      </c>
      <c r="K559" t="inlineStr">
        <is>
          <t>Acute upper respiratory infection, unspecified</t>
        </is>
      </c>
      <c r="L559" t="inlineStr">
        <is>
          <t>Respiratory</t>
        </is>
      </c>
      <c r="M559" t="inlineStr">
        <is>
          <t>Home/Self-Care</t>
        </is>
      </c>
      <c r="N559" t="inlineStr">
        <is>
          <t>Self-Pay</t>
        </is>
      </c>
      <c r="O559" s="31" t="n">
        <v>1154.36</v>
      </c>
    </row>
    <row r="560">
      <c r="A560" t="inlineStr">
        <is>
          <t>ENC113001</t>
        </is>
      </c>
      <c r="B560" t="inlineStr">
        <is>
          <t>PT11104</t>
        </is>
      </c>
      <c r="C560" t="inlineStr">
        <is>
          <t>Outpatient</t>
        </is>
      </c>
      <c r="D560" t="inlineStr">
        <is>
          <t>Bluestone Outpatient Pavilion</t>
        </is>
      </c>
      <c r="E560" t="inlineStr">
        <is>
          <t>Primary Care Clinic</t>
        </is>
      </c>
      <c r="F560" t="inlineStr">
        <is>
          <t>Ambulatory</t>
        </is>
      </c>
      <c r="G560" s="29" t="n">
        <v>45722</v>
      </c>
      <c r="H560" s="29" t="n">
        <v>45722</v>
      </c>
      <c r="I560" s="30" t="n"/>
      <c r="J560" t="inlineStr">
        <is>
          <t>M54.50</t>
        </is>
      </c>
      <c r="K560" t="inlineStr">
        <is>
          <t>Low back pain, unspecified</t>
        </is>
      </c>
      <c r="L560" t="inlineStr">
        <is>
          <t>Musculoskeletal</t>
        </is>
      </c>
      <c r="M560" t="inlineStr">
        <is>
          <t>Home/Self-Care</t>
        </is>
      </c>
      <c r="N560" t="inlineStr">
        <is>
          <t>Medicare</t>
        </is>
      </c>
      <c r="O560" s="31" t="n">
        <v>314.18</v>
      </c>
    </row>
    <row r="561">
      <c r="A561" t="inlineStr">
        <is>
          <t>ENC113003</t>
        </is>
      </c>
      <c r="B561" t="inlineStr">
        <is>
          <t>PT12512</t>
        </is>
      </c>
      <c r="C561" t="inlineStr">
        <is>
          <t>Inpatient</t>
        </is>
      </c>
      <c r="D561" t="inlineStr">
        <is>
          <t>Bluestone Memorial Hospital</t>
        </is>
      </c>
      <c r="E561" t="inlineStr">
        <is>
          <t>Behavioral Health</t>
        </is>
      </c>
      <c r="F561" t="inlineStr">
        <is>
          <t>Behavioral Health</t>
        </is>
      </c>
      <c r="G561" s="29" t="n">
        <v>45722</v>
      </c>
      <c r="H561" s="29" t="n">
        <v>45730</v>
      </c>
      <c r="I561" s="30" t="n">
        <v>8</v>
      </c>
      <c r="J561" t="inlineStr">
        <is>
          <t>F20.9</t>
        </is>
      </c>
      <c r="K561" t="inlineStr">
        <is>
          <t>Schizophrenia, unspecified</t>
        </is>
      </c>
      <c r="L561" t="inlineStr">
        <is>
          <t>Mental &amp; Behavioral</t>
        </is>
      </c>
      <c r="M561" t="inlineStr">
        <is>
          <t>Home/Self-Care</t>
        </is>
      </c>
      <c r="N561" t="inlineStr">
        <is>
          <t>Keystone Health Partners</t>
        </is>
      </c>
      <c r="O561" s="31" t="n">
        <v>22844.78</v>
      </c>
      <c r="P561" t="inlineStr">
        <is>
          <t>N</t>
        </is>
      </c>
    </row>
    <row r="562">
      <c r="A562" t="inlineStr">
        <is>
          <t>ENC113005</t>
        </is>
      </c>
      <c r="B562" t="inlineStr">
        <is>
          <t>PT10704</t>
        </is>
      </c>
      <c r="C562" t="inlineStr">
        <is>
          <t>Emergency</t>
        </is>
      </c>
      <c r="D562" t="inlineStr">
        <is>
          <t>Bluestone Memorial Hospital</t>
        </is>
      </c>
      <c r="E562" t="inlineStr">
        <is>
          <t>Emergency Department</t>
        </is>
      </c>
      <c r="F562" t="inlineStr">
        <is>
          <t>Emergency</t>
        </is>
      </c>
      <c r="G562" s="29" t="n">
        <v>45722</v>
      </c>
      <c r="H562" s="29" t="n">
        <v>45722</v>
      </c>
      <c r="I562" s="30" t="n"/>
      <c r="J562" t="inlineStr">
        <is>
          <t>R07.9</t>
        </is>
      </c>
      <c r="K562" t="inlineStr">
        <is>
          <t>Chest pain, unspecified</t>
        </is>
      </c>
      <c r="L562" t="inlineStr">
        <is>
          <t>Symptoms &amp; Signs</t>
        </is>
      </c>
      <c r="M562" t="inlineStr">
        <is>
          <t>Home/Self-Care</t>
        </is>
      </c>
      <c r="N562" t="inlineStr">
        <is>
          <t>Keystone Health Partners</t>
        </is>
      </c>
      <c r="O562" s="31" t="n">
        <v>3778.4</v>
      </c>
    </row>
    <row r="563">
      <c r="A563" t="inlineStr">
        <is>
          <t>ENC113012</t>
        </is>
      </c>
      <c r="B563" t="inlineStr">
        <is>
          <t>PT13552</t>
        </is>
      </c>
      <c r="C563" t="inlineStr">
        <is>
          <t>Outpatient</t>
        </is>
      </c>
      <c r="D563" t="inlineStr">
        <is>
          <t>Bluestone Outpatient Pavilion</t>
        </is>
      </c>
      <c r="E563" t="inlineStr">
        <is>
          <t>Primary Care Clinic</t>
        </is>
      </c>
      <c r="F563" t="inlineStr">
        <is>
          <t>Ambulatory</t>
        </is>
      </c>
      <c r="G563" s="29" t="n">
        <v>45722</v>
      </c>
      <c r="H563" s="29" t="n">
        <v>45722</v>
      </c>
      <c r="I563" s="30" t="n"/>
      <c r="J563" t="inlineStr">
        <is>
          <t>J44.1</t>
        </is>
      </c>
      <c r="K563" t="inlineStr">
        <is>
          <t>Chronic obstructive pulmonary disease with (acute) exacerbation</t>
        </is>
      </c>
      <c r="L563" t="inlineStr">
        <is>
          <t>Respiratory</t>
        </is>
      </c>
      <c r="M563" t="inlineStr">
        <is>
          <t>Home/Self-Care</t>
        </is>
      </c>
      <c r="N563" t="inlineStr">
        <is>
          <t>Keystone Health Partners</t>
        </is>
      </c>
      <c r="O563" s="31" t="n">
        <v>327.98</v>
      </c>
    </row>
    <row r="564">
      <c r="A564" t="inlineStr">
        <is>
          <t>ENC113013</t>
        </is>
      </c>
      <c r="B564" t="inlineStr">
        <is>
          <t>PT10800</t>
        </is>
      </c>
      <c r="C564" t="inlineStr">
        <is>
          <t>Outpatient</t>
        </is>
      </c>
      <c r="D564" t="inlineStr">
        <is>
          <t>Bluestone Outpatient Pavilion</t>
        </is>
      </c>
      <c r="E564" t="inlineStr">
        <is>
          <t>Pediatric Clinic</t>
        </is>
      </c>
      <c r="F564" t="inlineStr">
        <is>
          <t>Women &amp; Children</t>
        </is>
      </c>
      <c r="G564" s="29" t="n">
        <v>45722</v>
      </c>
      <c r="H564" s="29" t="n">
        <v>45722</v>
      </c>
      <c r="I564" s="30" t="n"/>
      <c r="J564" t="inlineStr">
        <is>
          <t>Z00.129</t>
        </is>
      </c>
      <c r="K564" t="inlineStr">
        <is>
          <t>Encounter for routine child health examination without abnormal findings</t>
        </is>
      </c>
      <c r="L564" t="inlineStr">
        <is>
          <t>Factors Influencing Health</t>
        </is>
      </c>
      <c r="M564" t="inlineStr">
        <is>
          <t>Home/Self-Care</t>
        </is>
      </c>
      <c r="N564" t="inlineStr">
        <is>
          <t>Keystone Health Partners</t>
        </is>
      </c>
      <c r="O564" s="31" t="n">
        <v>340.31</v>
      </c>
    </row>
    <row r="565">
      <c r="A565" t="inlineStr">
        <is>
          <t>ENC113014</t>
        </is>
      </c>
      <c r="B565" t="inlineStr">
        <is>
          <t>PT12860</t>
        </is>
      </c>
      <c r="C565" t="inlineStr">
        <is>
          <t>Outpatient</t>
        </is>
      </c>
      <c r="D565" t="inlineStr">
        <is>
          <t>Bluestone Outpatient Pavilion</t>
        </is>
      </c>
      <c r="E565" t="inlineStr">
        <is>
          <t>Primary Care Clinic</t>
        </is>
      </c>
      <c r="F565" t="inlineStr">
        <is>
          <t>Ambulatory</t>
        </is>
      </c>
      <c r="G565" s="29" t="n">
        <v>45722</v>
      </c>
      <c r="H565" s="29" t="n">
        <v>45722</v>
      </c>
      <c r="I565" s="30" t="n"/>
      <c r="J565" t="inlineStr">
        <is>
          <t>J45.909</t>
        </is>
      </c>
      <c r="K565" t="inlineStr">
        <is>
          <t>Unspecified asthma, uncomplicated</t>
        </is>
      </c>
      <c r="L565" t="inlineStr">
        <is>
          <t>Respiratory</t>
        </is>
      </c>
      <c r="M565" t="inlineStr">
        <is>
          <t>Home/Self-Care</t>
        </is>
      </c>
      <c r="N565" t="inlineStr">
        <is>
          <t>Self-Pay</t>
        </is>
      </c>
      <c r="O565" s="31" t="n">
        <v>265.18</v>
      </c>
    </row>
    <row r="566">
      <c r="A566" t="inlineStr">
        <is>
          <t>ENC113024</t>
        </is>
      </c>
      <c r="B566" t="inlineStr">
        <is>
          <t>PT12452</t>
        </is>
      </c>
      <c r="C566" t="inlineStr">
        <is>
          <t>Emergency</t>
        </is>
      </c>
      <c r="D566" t="inlineStr">
        <is>
          <t>Bluestone Memorial Hospital</t>
        </is>
      </c>
      <c r="E566" t="inlineStr">
        <is>
          <t>Emergency Department</t>
        </is>
      </c>
      <c r="F566" t="inlineStr">
        <is>
          <t>Emergency</t>
        </is>
      </c>
      <c r="G566" s="29" t="n">
        <v>45722</v>
      </c>
      <c r="H566" s="29" t="n">
        <v>45723</v>
      </c>
      <c r="I566" s="30" t="n"/>
      <c r="J566" t="inlineStr">
        <is>
          <t>R10.9</t>
        </is>
      </c>
      <c r="K566" t="inlineStr">
        <is>
          <t>Unspecified abdominal pain</t>
        </is>
      </c>
      <c r="L566" t="inlineStr">
        <is>
          <t>Symptoms &amp; Signs</t>
        </is>
      </c>
      <c r="M566" t="inlineStr">
        <is>
          <t>Home/Self-Care</t>
        </is>
      </c>
      <c r="N566" t="inlineStr">
        <is>
          <t>State Medicaid</t>
        </is>
      </c>
      <c r="O566" s="31" t="n">
        <v>3344.31</v>
      </c>
    </row>
    <row r="567">
      <c r="A567" t="inlineStr">
        <is>
          <t>ENC113026</t>
        </is>
      </c>
      <c r="B567" t="inlineStr">
        <is>
          <t>PT13584</t>
        </is>
      </c>
      <c r="C567" t="inlineStr">
        <is>
          <t>Inpatient</t>
        </is>
      </c>
      <c r="D567" t="inlineStr">
        <is>
          <t>Bluestone Memorial Hospital</t>
        </is>
      </c>
      <c r="E567" t="inlineStr">
        <is>
          <t>Orthopedics &amp; Spine</t>
        </is>
      </c>
      <c r="F567" t="inlineStr">
        <is>
          <t>Orthopedics</t>
        </is>
      </c>
      <c r="G567" s="29" t="n">
        <v>45723</v>
      </c>
      <c r="H567" s="29" t="n">
        <v>45727</v>
      </c>
      <c r="I567" s="30" t="n">
        <v>4</v>
      </c>
      <c r="J567" t="inlineStr">
        <is>
          <t>M16.11</t>
        </is>
      </c>
      <c r="K567" t="inlineStr">
        <is>
          <t>Unilateral primary osteoarthritis, right hip</t>
        </is>
      </c>
      <c r="L567" t="inlineStr">
        <is>
          <t>Musculoskeletal</t>
        </is>
      </c>
      <c r="M567" t="inlineStr">
        <is>
          <t>Home Health</t>
        </is>
      </c>
      <c r="N567" t="inlineStr">
        <is>
          <t>Summit Choice PPO</t>
        </is>
      </c>
      <c r="O567" s="31" t="n">
        <v>79867.34</v>
      </c>
      <c r="P567" t="inlineStr">
        <is>
          <t>N</t>
        </is>
      </c>
    </row>
    <row r="568">
      <c r="A568" t="inlineStr">
        <is>
          <t>ENC113032</t>
        </is>
      </c>
      <c r="B568" t="inlineStr">
        <is>
          <t>PT10780</t>
        </is>
      </c>
      <c r="C568" t="inlineStr">
        <is>
          <t>Inpatient</t>
        </is>
      </c>
      <c r="D568" t="inlineStr">
        <is>
          <t>Bluestone Memorial Hospital</t>
        </is>
      </c>
      <c r="E568" t="inlineStr">
        <is>
          <t>Neuroscience &amp; Stroke</t>
        </is>
      </c>
      <c r="F568" t="inlineStr">
        <is>
          <t>Neuroscience</t>
        </is>
      </c>
      <c r="G568" s="29" t="n">
        <v>45723</v>
      </c>
      <c r="H568" s="29" t="n">
        <v>45726</v>
      </c>
      <c r="I568" s="30" t="n">
        <v>3</v>
      </c>
      <c r="J568" t="inlineStr">
        <is>
          <t>I63.9</t>
        </is>
      </c>
      <c r="K568" t="inlineStr">
        <is>
          <t>Cerebral infarction, unspecified</t>
        </is>
      </c>
      <c r="L568" t="inlineStr">
        <is>
          <t>Circulatory</t>
        </is>
      </c>
      <c r="M568" t="inlineStr">
        <is>
          <t>Inpatient Rehab</t>
        </is>
      </c>
      <c r="N568" t="inlineStr">
        <is>
          <t>Silverline Medicare Advantage</t>
        </is>
      </c>
      <c r="O568" s="31" t="n">
        <v>19222.51</v>
      </c>
      <c r="P568" t="inlineStr">
        <is>
          <t>N</t>
        </is>
      </c>
    </row>
    <row r="569">
      <c r="A569" t="inlineStr">
        <is>
          <t>ENC113035</t>
        </is>
      </c>
      <c r="B569" t="inlineStr">
        <is>
          <t>PT13308</t>
        </is>
      </c>
      <c r="C569" t="inlineStr">
        <is>
          <t>Outpatient</t>
        </is>
      </c>
      <c r="D569" t="inlineStr">
        <is>
          <t>Bluestone Outpatient Pavilion</t>
        </is>
      </c>
      <c r="E569" t="inlineStr">
        <is>
          <t>Primary Care Clinic</t>
        </is>
      </c>
      <c r="F569" t="inlineStr">
        <is>
          <t>Ambulatory</t>
        </is>
      </c>
      <c r="G569" s="29" t="n">
        <v>45723</v>
      </c>
      <c r="H569" s="29" t="n">
        <v>45723</v>
      </c>
      <c r="I569" s="30" t="n"/>
      <c r="J569" t="inlineStr">
        <is>
          <t>Z23</t>
        </is>
      </c>
      <c r="K569" t="inlineStr">
        <is>
          <t>Encounter for immunization</t>
        </is>
      </c>
      <c r="L569" t="inlineStr">
        <is>
          <t>Factors Influencing Health</t>
        </is>
      </c>
      <c r="M569" t="inlineStr">
        <is>
          <t>Home/Self-Care</t>
        </is>
      </c>
      <c r="N569" t="inlineStr">
        <is>
          <t>Medicare</t>
        </is>
      </c>
      <c r="O569" s="31" t="n">
        <v>123.83</v>
      </c>
    </row>
    <row r="570">
      <c r="A570" t="inlineStr">
        <is>
          <t>ENC113036</t>
        </is>
      </c>
      <c r="B570" t="inlineStr">
        <is>
          <t>PT12068</t>
        </is>
      </c>
      <c r="C570" t="inlineStr">
        <is>
          <t>Inpatient</t>
        </is>
      </c>
      <c r="D570" t="inlineStr">
        <is>
          <t>Bluestone Memorial Hospital</t>
        </is>
      </c>
      <c r="E570" t="inlineStr">
        <is>
          <t>Labor &amp; Delivery</t>
        </is>
      </c>
      <c r="F570" t="inlineStr">
        <is>
          <t>Women &amp; Children</t>
        </is>
      </c>
      <c r="G570" s="29" t="n">
        <v>45723</v>
      </c>
      <c r="H570" s="29" t="n">
        <v>45728</v>
      </c>
      <c r="I570" s="30" t="n">
        <v>5</v>
      </c>
      <c r="J570" t="inlineStr">
        <is>
          <t>O80</t>
        </is>
      </c>
      <c r="K570" t="inlineStr">
        <is>
          <t>Encounter for full-term uncomplicated delivery</t>
        </is>
      </c>
      <c r="L570" t="inlineStr">
        <is>
          <t>Pregnancy</t>
        </is>
      </c>
      <c r="M570" t="inlineStr">
        <is>
          <t>Home/Self-Care</t>
        </is>
      </c>
      <c r="N570" t="inlineStr">
        <is>
          <t>Keystone Health Partners</t>
        </is>
      </c>
      <c r="O570" s="31" t="n">
        <v>26990.01</v>
      </c>
      <c r="P570" t="inlineStr">
        <is>
          <t>N</t>
        </is>
      </c>
    </row>
    <row r="571">
      <c r="A571" t="inlineStr">
        <is>
          <t>ENC113041</t>
        </is>
      </c>
      <c r="B571" t="inlineStr">
        <is>
          <t>PT12008</t>
        </is>
      </c>
      <c r="C571" t="inlineStr">
        <is>
          <t>Outpatient</t>
        </is>
      </c>
      <c r="D571" t="inlineStr">
        <is>
          <t>Bluestone Outpatient Pavilion</t>
        </is>
      </c>
      <c r="E571" t="inlineStr">
        <is>
          <t>Primary Care Clinic</t>
        </is>
      </c>
      <c r="F571" t="inlineStr">
        <is>
          <t>Ambulatory</t>
        </is>
      </c>
      <c r="G571" s="29" t="n">
        <v>45723</v>
      </c>
      <c r="H571" s="29" t="n">
        <v>45723</v>
      </c>
      <c r="I571" s="30" t="n"/>
      <c r="J571" t="inlineStr">
        <is>
          <t>I10</t>
        </is>
      </c>
      <c r="K571" t="inlineStr">
        <is>
          <t>Essential (primary) hypertension</t>
        </is>
      </c>
      <c r="L571" t="inlineStr">
        <is>
          <t>Circulatory</t>
        </is>
      </c>
      <c r="M571" t="inlineStr">
        <is>
          <t>Home/Self-Care</t>
        </is>
      </c>
      <c r="N571" t="inlineStr">
        <is>
          <t>Medicare</t>
        </is>
      </c>
      <c r="O571" s="31" t="n">
        <v>313.53</v>
      </c>
    </row>
    <row r="572">
      <c r="A572" t="inlineStr">
        <is>
          <t>ENC113048</t>
        </is>
      </c>
      <c r="B572" t="inlineStr">
        <is>
          <t>PT12672</t>
        </is>
      </c>
      <c r="C572" t="inlineStr">
        <is>
          <t>Outpatient</t>
        </is>
      </c>
      <c r="D572" t="inlineStr">
        <is>
          <t>Bluestone Outpatient Pavilion</t>
        </is>
      </c>
      <c r="E572" t="inlineStr">
        <is>
          <t>Orthopedic Clinic</t>
        </is>
      </c>
      <c r="F572" t="inlineStr">
        <is>
          <t>Orthopedics</t>
        </is>
      </c>
      <c r="G572" s="29" t="n">
        <v>45723</v>
      </c>
      <c r="H572" s="29" t="n">
        <v>45723</v>
      </c>
      <c r="I572" s="30" t="n"/>
      <c r="J572" t="inlineStr">
        <is>
          <t>M17.11</t>
        </is>
      </c>
      <c r="K572" t="inlineStr">
        <is>
          <t>Unilateral primary osteoarthritis, right knee</t>
        </is>
      </c>
      <c r="L572" t="inlineStr">
        <is>
          <t>Musculoskeletal</t>
        </is>
      </c>
      <c r="M572" t="inlineStr">
        <is>
          <t>Home/Self-Care</t>
        </is>
      </c>
      <c r="N572" t="inlineStr">
        <is>
          <t>Medicare</t>
        </is>
      </c>
      <c r="O572" s="31" t="n">
        <v>187.02</v>
      </c>
    </row>
    <row r="573">
      <c r="A573" t="inlineStr">
        <is>
          <t>ENC113052</t>
        </is>
      </c>
      <c r="B573" t="inlineStr">
        <is>
          <t>PT12436</t>
        </is>
      </c>
      <c r="C573" t="inlineStr">
        <is>
          <t>Inpatient</t>
        </is>
      </c>
      <c r="D573" t="inlineStr">
        <is>
          <t>Bluestone Memorial Hospital</t>
        </is>
      </c>
      <c r="E573" t="inlineStr">
        <is>
          <t>Medical-Surgical 4 West</t>
        </is>
      </c>
      <c r="F573" t="inlineStr">
        <is>
          <t>Medicine</t>
        </is>
      </c>
      <c r="G573" s="29" t="n">
        <v>45723</v>
      </c>
      <c r="H573" s="29" t="n">
        <v>45730</v>
      </c>
      <c r="I573" s="30" t="n">
        <v>7</v>
      </c>
      <c r="J573" t="inlineStr">
        <is>
          <t>J18.9</t>
        </is>
      </c>
      <c r="K573" t="inlineStr">
        <is>
          <t>Pneumonia, unspecified organism</t>
        </is>
      </c>
      <c r="L573" t="inlineStr">
        <is>
          <t>Respiratory</t>
        </is>
      </c>
      <c r="M573" t="inlineStr">
        <is>
          <t>Home/Self-Care</t>
        </is>
      </c>
      <c r="N573" t="inlineStr">
        <is>
          <t>Medicare</t>
        </is>
      </c>
      <c r="O573" s="31" t="n">
        <v>18461.52</v>
      </c>
      <c r="P573" t="inlineStr">
        <is>
          <t>N</t>
        </is>
      </c>
    </row>
    <row r="574">
      <c r="A574" t="inlineStr">
        <is>
          <t>ENC113056</t>
        </is>
      </c>
      <c r="B574" t="inlineStr">
        <is>
          <t>PT11180</t>
        </is>
      </c>
      <c r="C574" t="inlineStr">
        <is>
          <t>Observation</t>
        </is>
      </c>
      <c r="D574" t="inlineStr">
        <is>
          <t>Cedar Ridge Medical Center</t>
        </is>
      </c>
      <c r="E574" t="inlineStr">
        <is>
          <t>Medical-Surgical</t>
        </is>
      </c>
      <c r="F574" t="inlineStr">
        <is>
          <t>Medicine</t>
        </is>
      </c>
      <c r="G574" s="29" t="n">
        <v>45724</v>
      </c>
      <c r="H574" s="29" t="n">
        <v>45725</v>
      </c>
      <c r="I574" s="30" t="n">
        <v>1</v>
      </c>
      <c r="J574" t="inlineStr">
        <is>
          <t>R10.9</t>
        </is>
      </c>
      <c r="K574" t="inlineStr">
        <is>
          <t>Unspecified abdominal pain</t>
        </is>
      </c>
      <c r="L574" t="inlineStr">
        <is>
          <t>Symptoms &amp; Signs</t>
        </is>
      </c>
      <c r="M574" t="inlineStr">
        <is>
          <t>Home/Self-Care</t>
        </is>
      </c>
      <c r="N574" t="inlineStr">
        <is>
          <t>Keystone Health Partners</t>
        </is>
      </c>
      <c r="O574" s="31" t="n">
        <v>8846.99</v>
      </c>
    </row>
    <row r="575">
      <c r="A575" t="inlineStr">
        <is>
          <t>ENC113058</t>
        </is>
      </c>
      <c r="B575" t="inlineStr">
        <is>
          <t>PT10136</t>
        </is>
      </c>
      <c r="C575" t="inlineStr">
        <is>
          <t>Emergency</t>
        </is>
      </c>
      <c r="D575" t="inlineStr">
        <is>
          <t>Bluestone Memorial Hospital</t>
        </is>
      </c>
      <c r="E575" t="inlineStr">
        <is>
          <t>Emergency Department</t>
        </is>
      </c>
      <c r="F575" t="inlineStr">
        <is>
          <t>Emergency</t>
        </is>
      </c>
      <c r="G575" s="29" t="n">
        <v>45724</v>
      </c>
      <c r="H575" s="29" t="n">
        <v>45724</v>
      </c>
      <c r="I575" s="30" t="n"/>
      <c r="J575" t="inlineStr">
        <is>
          <t>A08.4</t>
        </is>
      </c>
      <c r="K575" t="inlineStr">
        <is>
          <t>Viral intestinal infection, unspecified</t>
        </is>
      </c>
      <c r="L575" t="inlineStr">
        <is>
          <t>Infectious</t>
        </is>
      </c>
      <c r="M575" t="inlineStr">
        <is>
          <t>Home/Self-Care</t>
        </is>
      </c>
      <c r="N575" t="inlineStr">
        <is>
          <t>Summit Choice PPO</t>
        </is>
      </c>
      <c r="O575" s="31" t="n">
        <v>1183.9</v>
      </c>
    </row>
    <row r="576">
      <c r="A576" t="inlineStr">
        <is>
          <t>ENC113060</t>
        </is>
      </c>
      <c r="B576" t="inlineStr">
        <is>
          <t>PT11236</t>
        </is>
      </c>
      <c r="C576" t="inlineStr">
        <is>
          <t>Emergency</t>
        </is>
      </c>
      <c r="D576" t="inlineStr">
        <is>
          <t>Bluestone Memorial Hospital</t>
        </is>
      </c>
      <c r="E576" t="inlineStr">
        <is>
          <t>Emergency Department</t>
        </is>
      </c>
      <c r="F576" t="inlineStr">
        <is>
          <t>Emergency</t>
        </is>
      </c>
      <c r="G576" s="29" t="n">
        <v>45724</v>
      </c>
      <c r="H576" s="29" t="n">
        <v>45724</v>
      </c>
      <c r="I576" s="30" t="n"/>
      <c r="J576" t="inlineStr">
        <is>
          <t>A08.4</t>
        </is>
      </c>
      <c r="K576" t="inlineStr">
        <is>
          <t>Viral intestinal infection, unspecified</t>
        </is>
      </c>
      <c r="L576" t="inlineStr">
        <is>
          <t>Infectious</t>
        </is>
      </c>
      <c r="M576" t="inlineStr">
        <is>
          <t>Home/Self-Care</t>
        </is>
      </c>
      <c r="N576" t="inlineStr">
        <is>
          <t>State Medicaid</t>
        </is>
      </c>
      <c r="O576" s="31" t="n">
        <v>616.96</v>
      </c>
    </row>
    <row r="577">
      <c r="A577" t="inlineStr">
        <is>
          <t>ENC113062</t>
        </is>
      </c>
      <c r="B577" t="inlineStr">
        <is>
          <t>PT11564</t>
        </is>
      </c>
      <c r="C577" t="inlineStr">
        <is>
          <t>Emergency</t>
        </is>
      </c>
      <c r="D577" t="inlineStr">
        <is>
          <t>Bluestone Memorial Hospital</t>
        </is>
      </c>
      <c r="E577" t="inlineStr">
        <is>
          <t>Emergency Department</t>
        </is>
      </c>
      <c r="F577" t="inlineStr">
        <is>
          <t>Emergency</t>
        </is>
      </c>
      <c r="G577" s="29" t="n">
        <v>45724</v>
      </c>
      <c r="H577" s="29" t="n">
        <v>45724</v>
      </c>
      <c r="I577" s="30" t="n"/>
      <c r="J577" t="inlineStr">
        <is>
          <t>R55</t>
        </is>
      </c>
      <c r="K577" t="inlineStr">
        <is>
          <t>Syncope and collapse</t>
        </is>
      </c>
      <c r="L577" t="inlineStr">
        <is>
          <t>Symptoms &amp; Signs</t>
        </is>
      </c>
      <c r="M577" t="inlineStr">
        <is>
          <t>Home/Self-Care</t>
        </is>
      </c>
      <c r="N577" t="inlineStr">
        <is>
          <t>Medicare</t>
        </is>
      </c>
      <c r="O577" s="31" t="n">
        <v>3576.8</v>
      </c>
    </row>
    <row r="578">
      <c r="A578" t="inlineStr">
        <is>
          <t>ENC113064</t>
        </is>
      </c>
      <c r="B578" t="inlineStr">
        <is>
          <t>PT10544</t>
        </is>
      </c>
      <c r="C578" t="inlineStr">
        <is>
          <t>Inpatient</t>
        </is>
      </c>
      <c r="D578" t="inlineStr">
        <is>
          <t>Bluestone Memorial Hospital</t>
        </is>
      </c>
      <c r="E578" t="inlineStr">
        <is>
          <t>Medical-Surgical 5 East</t>
        </is>
      </c>
      <c r="F578" t="inlineStr">
        <is>
          <t>Medicine</t>
        </is>
      </c>
      <c r="G578" s="29" t="n">
        <v>45724</v>
      </c>
      <c r="H578" s="29" t="n">
        <v>45728</v>
      </c>
      <c r="I578" s="30" t="n">
        <v>4</v>
      </c>
      <c r="J578" t="inlineStr">
        <is>
          <t>U07.1</t>
        </is>
      </c>
      <c r="K578" t="inlineStr">
        <is>
          <t>COVID-19</t>
        </is>
      </c>
      <c r="L578" t="inlineStr">
        <is>
          <t>Respiratory</t>
        </is>
      </c>
      <c r="M578" t="inlineStr">
        <is>
          <t>Left AMA</t>
        </is>
      </c>
      <c r="N578" t="inlineStr">
        <is>
          <t>Self-Pay</t>
        </is>
      </c>
      <c r="O578" s="31" t="n">
        <v>17718.89</v>
      </c>
      <c r="P578" t="inlineStr">
        <is>
          <t>Y</t>
        </is>
      </c>
    </row>
    <row r="579">
      <c r="A579" t="inlineStr">
        <is>
          <t>ENC113068</t>
        </is>
      </c>
      <c r="B579" t="inlineStr">
        <is>
          <t>PT11764</t>
        </is>
      </c>
      <c r="C579" t="inlineStr">
        <is>
          <t>Inpatient</t>
        </is>
      </c>
      <c r="D579" t="inlineStr">
        <is>
          <t>Bluestone Memorial Hospital</t>
        </is>
      </c>
      <c r="E579" t="inlineStr">
        <is>
          <t>Medical-Surgical 4 West</t>
        </is>
      </c>
      <c r="F579" t="inlineStr">
        <is>
          <t>Medicine</t>
        </is>
      </c>
      <c r="G579" s="29" t="n">
        <v>45724</v>
      </c>
      <c r="H579" s="29" t="n">
        <v>45731</v>
      </c>
      <c r="I579" s="30" t="n">
        <v>7</v>
      </c>
      <c r="J579" t="inlineStr">
        <is>
          <t>J18.9</t>
        </is>
      </c>
      <c r="K579" t="inlineStr">
        <is>
          <t>Pneumonia, unspecified organism</t>
        </is>
      </c>
      <c r="L579" t="inlineStr">
        <is>
          <t>Respiratory</t>
        </is>
      </c>
      <c r="M579" t="inlineStr">
        <is>
          <t>Home/Self-Care</t>
        </is>
      </c>
      <c r="N579" t="inlineStr">
        <is>
          <t>Medicare</t>
        </is>
      </c>
      <c r="O579" s="31" t="n">
        <v>34198.08</v>
      </c>
      <c r="P579" t="inlineStr">
        <is>
          <t>N</t>
        </is>
      </c>
    </row>
    <row r="580">
      <c r="A580" t="inlineStr">
        <is>
          <t>ENC113069</t>
        </is>
      </c>
      <c r="B580" t="inlineStr">
        <is>
          <t>PT12664</t>
        </is>
      </c>
      <c r="C580" t="inlineStr">
        <is>
          <t>Inpatient</t>
        </is>
      </c>
      <c r="D580" t="inlineStr">
        <is>
          <t>Bluestone Memorial Hospital</t>
        </is>
      </c>
      <c r="E580" t="inlineStr">
        <is>
          <t>Pediatrics</t>
        </is>
      </c>
      <c r="F580" t="inlineStr">
        <is>
          <t>Women &amp; Children</t>
        </is>
      </c>
      <c r="G580" s="29" t="n">
        <v>45724</v>
      </c>
      <c r="H580" s="29" t="n">
        <v>45726</v>
      </c>
      <c r="I580" s="30" t="n">
        <v>2</v>
      </c>
      <c r="J580" t="inlineStr">
        <is>
          <t>J21.9</t>
        </is>
      </c>
      <c r="K580" t="inlineStr">
        <is>
          <t>Acute bronchiolitis, unspecified</t>
        </is>
      </c>
      <c r="L580" t="inlineStr">
        <is>
          <t>Respiratory</t>
        </is>
      </c>
      <c r="M580" t="inlineStr">
        <is>
          <t>Home/Self-Care</t>
        </is>
      </c>
      <c r="N580" t="inlineStr">
        <is>
          <t>Keystone Health Partners</t>
        </is>
      </c>
      <c r="O580" s="31" t="n">
        <v>14333.65</v>
      </c>
      <c r="P580" t="inlineStr">
        <is>
          <t>N</t>
        </is>
      </c>
    </row>
    <row r="581">
      <c r="A581" t="inlineStr">
        <is>
          <t>ENC113070</t>
        </is>
      </c>
      <c r="B581" t="inlineStr">
        <is>
          <t>PT11308</t>
        </is>
      </c>
      <c r="C581" t="inlineStr">
        <is>
          <t>Inpatient</t>
        </is>
      </c>
      <c r="D581" t="inlineStr">
        <is>
          <t>Cedar Ridge Medical Center</t>
        </is>
      </c>
      <c r="E581" t="inlineStr">
        <is>
          <t>Medical-Surgical</t>
        </is>
      </c>
      <c r="F581" t="inlineStr">
        <is>
          <t>Medicine</t>
        </is>
      </c>
      <c r="G581" s="29" t="n">
        <v>45724</v>
      </c>
      <c r="H581" s="29" t="n">
        <v>45730</v>
      </c>
      <c r="I581" s="30" t="n">
        <v>6</v>
      </c>
      <c r="J581" t="inlineStr">
        <is>
          <t>E11.65</t>
        </is>
      </c>
      <c r="K581" t="inlineStr">
        <is>
          <t>Type 2 diabetes mellitus with hyperglycemia</t>
        </is>
      </c>
      <c r="L581" t="inlineStr">
        <is>
          <t>Endocrine</t>
        </is>
      </c>
      <c r="M581" t="inlineStr">
        <is>
          <t>Home/Self-Care</t>
        </is>
      </c>
      <c r="N581" t="inlineStr">
        <is>
          <t>Keystone Health Partners</t>
        </is>
      </c>
      <c r="O581" s="31" t="n">
        <v>25944.82</v>
      </c>
      <c r="P581" t="inlineStr">
        <is>
          <t>N</t>
        </is>
      </c>
    </row>
    <row r="582">
      <c r="A582" t="inlineStr">
        <is>
          <t>ENC113075</t>
        </is>
      </c>
      <c r="B582" t="inlineStr">
        <is>
          <t>PT10740</t>
        </is>
      </c>
      <c r="C582" t="inlineStr">
        <is>
          <t>Observation</t>
        </is>
      </c>
      <c r="D582" t="inlineStr">
        <is>
          <t>Bluestone Memorial Hospital</t>
        </is>
      </c>
      <c r="E582" t="inlineStr">
        <is>
          <t>Observation Unit</t>
        </is>
      </c>
      <c r="F582" t="inlineStr">
        <is>
          <t>Medicine</t>
        </is>
      </c>
      <c r="G582" s="29" t="n">
        <v>45725</v>
      </c>
      <c r="H582" s="29" t="n">
        <v>45726</v>
      </c>
      <c r="I582" s="30" t="n">
        <v>1</v>
      </c>
      <c r="J582" t="inlineStr">
        <is>
          <t>R55</t>
        </is>
      </c>
      <c r="K582" t="inlineStr">
        <is>
          <t>Syncope and collapse</t>
        </is>
      </c>
      <c r="L582" t="inlineStr">
        <is>
          <t>Symptoms &amp; Signs</t>
        </is>
      </c>
      <c r="M582" t="inlineStr">
        <is>
          <t>Home/Self-Care</t>
        </is>
      </c>
      <c r="N582" t="inlineStr">
        <is>
          <t>Keystone Health Partners</t>
        </is>
      </c>
      <c r="O582" s="31" t="n">
        <v>7287.58</v>
      </c>
    </row>
    <row r="583">
      <c r="A583" t="inlineStr">
        <is>
          <t>ENC113079</t>
        </is>
      </c>
      <c r="B583" t="inlineStr">
        <is>
          <t>PT10416</t>
        </is>
      </c>
      <c r="C583" t="inlineStr">
        <is>
          <t>Inpatient</t>
        </is>
      </c>
      <c r="D583" t="inlineStr">
        <is>
          <t>Bluestone Memorial Hospital</t>
        </is>
      </c>
      <c r="E583" t="inlineStr">
        <is>
          <t>Medical-Surgical 5 East</t>
        </is>
      </c>
      <c r="F583" t="inlineStr">
        <is>
          <t>Medicine</t>
        </is>
      </c>
      <c r="G583" s="29" t="n">
        <v>45725</v>
      </c>
      <c r="H583" s="29" t="n">
        <v>45728</v>
      </c>
      <c r="I583" s="30" t="n">
        <v>3</v>
      </c>
      <c r="J583" t="inlineStr">
        <is>
          <t>J18.9</t>
        </is>
      </c>
      <c r="K583" t="inlineStr">
        <is>
          <t>Pneumonia, unspecified organism</t>
        </is>
      </c>
      <c r="L583" t="inlineStr">
        <is>
          <t>Respiratory</t>
        </is>
      </c>
      <c r="M583" t="inlineStr">
        <is>
          <t>Skilled Nursing Facility</t>
        </is>
      </c>
      <c r="N583" t="inlineStr">
        <is>
          <t>Self-Pay</t>
        </is>
      </c>
      <c r="O583" s="31" t="n">
        <v>18400.32</v>
      </c>
      <c r="P583" t="inlineStr">
        <is>
          <t>Y</t>
        </is>
      </c>
    </row>
    <row r="584">
      <c r="A584" t="inlineStr">
        <is>
          <t>ENC113080</t>
        </is>
      </c>
      <c r="B584" t="inlineStr">
        <is>
          <t>PT12968</t>
        </is>
      </c>
      <c r="C584" t="inlineStr">
        <is>
          <t>Emergency</t>
        </is>
      </c>
      <c r="D584" t="inlineStr">
        <is>
          <t>Bluestone Memorial Hospital</t>
        </is>
      </c>
      <c r="E584" t="inlineStr">
        <is>
          <t>Emergency Department</t>
        </is>
      </c>
      <c r="F584" t="inlineStr">
        <is>
          <t>Emergency</t>
        </is>
      </c>
      <c r="G584" s="29" t="n">
        <v>45725</v>
      </c>
      <c r="H584" s="29" t="n">
        <v>45725</v>
      </c>
      <c r="I584" s="30" t="n"/>
      <c r="J584" t="inlineStr">
        <is>
          <t>J06.9</t>
        </is>
      </c>
      <c r="K584" t="inlineStr">
        <is>
          <t>Acute upper respiratory infection, unspecified</t>
        </is>
      </c>
      <c r="L584" t="inlineStr">
        <is>
          <t>Respiratory</t>
        </is>
      </c>
      <c r="M584" t="inlineStr">
        <is>
          <t>Home/Self-Care</t>
        </is>
      </c>
      <c r="N584" t="inlineStr">
        <is>
          <t>Silverline Medicare Advantage</t>
        </is>
      </c>
      <c r="O584" s="31" t="n">
        <v>865.02</v>
      </c>
    </row>
    <row r="585">
      <c r="A585" t="inlineStr">
        <is>
          <t>ENC113086</t>
        </is>
      </c>
      <c r="B585" t="inlineStr">
        <is>
          <t>PT13236</t>
        </is>
      </c>
      <c r="C585" t="inlineStr">
        <is>
          <t>Emergency</t>
        </is>
      </c>
      <c r="D585" t="inlineStr">
        <is>
          <t>Bluestone Memorial Hospital</t>
        </is>
      </c>
      <c r="E585" t="inlineStr">
        <is>
          <t>Emergency Department</t>
        </is>
      </c>
      <c r="F585" t="inlineStr">
        <is>
          <t>Emergency</t>
        </is>
      </c>
      <c r="G585" s="29" t="n">
        <v>45725</v>
      </c>
      <c r="H585" s="29" t="n">
        <v>45725</v>
      </c>
      <c r="I585" s="30" t="n"/>
      <c r="J585" t="inlineStr">
        <is>
          <t>E86.0</t>
        </is>
      </c>
      <c r="K585" t="inlineStr">
        <is>
          <t>Dehydration</t>
        </is>
      </c>
      <c r="L585" t="inlineStr">
        <is>
          <t>Endocrine</t>
        </is>
      </c>
      <c r="M585" t="inlineStr">
        <is>
          <t>Home/Self-Care</t>
        </is>
      </c>
      <c r="N585" t="inlineStr">
        <is>
          <t>Self-Pay</t>
        </is>
      </c>
      <c r="O585" s="31" t="n">
        <v>1331.86</v>
      </c>
    </row>
    <row r="586">
      <c r="A586" t="inlineStr">
        <is>
          <t>ENC113087</t>
        </is>
      </c>
      <c r="B586" t="inlineStr">
        <is>
          <t>PT10152</t>
        </is>
      </c>
      <c r="C586" t="inlineStr">
        <is>
          <t>Emergency</t>
        </is>
      </c>
      <c r="D586" t="inlineStr">
        <is>
          <t>Bluestone Memorial Hospital</t>
        </is>
      </c>
      <c r="E586" t="inlineStr">
        <is>
          <t>Emergency Department</t>
        </is>
      </c>
      <c r="F586" t="inlineStr">
        <is>
          <t>Emergency</t>
        </is>
      </c>
      <c r="G586" s="29" t="n">
        <v>45725</v>
      </c>
      <c r="H586" s="29" t="n">
        <v>45725</v>
      </c>
      <c r="I586" s="30" t="n"/>
      <c r="J586" t="inlineStr">
        <is>
          <t>J06.9</t>
        </is>
      </c>
      <c r="K586" t="inlineStr">
        <is>
          <t>Acute upper respiratory infection, unspecified</t>
        </is>
      </c>
      <c r="L586" t="inlineStr">
        <is>
          <t>Respiratory</t>
        </is>
      </c>
      <c r="M586" t="inlineStr">
        <is>
          <t>Home/Self-Care</t>
        </is>
      </c>
      <c r="N586" t="inlineStr">
        <is>
          <t>Summit Choice PPO</t>
        </is>
      </c>
      <c r="O586" s="31" t="n">
        <v>1842.27</v>
      </c>
    </row>
    <row r="587">
      <c r="A587" t="inlineStr">
        <is>
          <t>ENC113099</t>
        </is>
      </c>
      <c r="B587" t="inlineStr">
        <is>
          <t>PT11976</t>
        </is>
      </c>
      <c r="C587" t="inlineStr">
        <is>
          <t>Emergency</t>
        </is>
      </c>
      <c r="D587" t="inlineStr">
        <is>
          <t>Ashby Falls Community Hospital</t>
        </is>
      </c>
      <c r="E587" t="inlineStr">
        <is>
          <t>Emergency Department</t>
        </is>
      </c>
      <c r="F587" t="inlineStr">
        <is>
          <t>Emergency</t>
        </is>
      </c>
      <c r="G587" s="29" t="n">
        <v>45725</v>
      </c>
      <c r="H587" s="29" t="n">
        <v>45726</v>
      </c>
      <c r="I587" s="30" t="n"/>
      <c r="J587" t="inlineStr">
        <is>
          <t>R10.9</t>
        </is>
      </c>
      <c r="K587" t="inlineStr">
        <is>
          <t>Unspecified abdominal pain</t>
        </is>
      </c>
      <c r="L587" t="inlineStr">
        <is>
          <t>Symptoms &amp; Signs</t>
        </is>
      </c>
      <c r="M587" t="inlineStr">
        <is>
          <t>Home/Self-Care</t>
        </is>
      </c>
      <c r="N587" t="inlineStr">
        <is>
          <t>Keystone Health Partners</t>
        </is>
      </c>
      <c r="O587" s="31" t="n">
        <v>3752.34</v>
      </c>
    </row>
    <row r="588">
      <c r="A588" t="inlineStr">
        <is>
          <t>ENC113100</t>
        </is>
      </c>
      <c r="B588" t="inlineStr">
        <is>
          <t>PT11408</t>
        </is>
      </c>
      <c r="C588" t="inlineStr">
        <is>
          <t>Emergency</t>
        </is>
      </c>
      <c r="D588" t="inlineStr">
        <is>
          <t>Bluestone Memorial Hospital</t>
        </is>
      </c>
      <c r="E588" t="inlineStr">
        <is>
          <t>Emergency Department</t>
        </is>
      </c>
      <c r="F588" t="inlineStr">
        <is>
          <t>Emergency</t>
        </is>
      </c>
      <c r="G588" s="29" t="n">
        <v>45726</v>
      </c>
      <c r="H588" s="29" t="n">
        <v>45726</v>
      </c>
      <c r="I588" s="30" t="n"/>
      <c r="J588" t="inlineStr">
        <is>
          <t>J21.9</t>
        </is>
      </c>
      <c r="K588" t="inlineStr">
        <is>
          <t>Acute bronchiolitis, unspecified</t>
        </is>
      </c>
      <c r="L588" t="inlineStr">
        <is>
          <t>Respiratory</t>
        </is>
      </c>
      <c r="M588" t="inlineStr">
        <is>
          <t>Home/Self-Care</t>
        </is>
      </c>
      <c r="N588" t="inlineStr">
        <is>
          <t>State Medicaid</t>
        </is>
      </c>
      <c r="O588" s="31" t="n">
        <v>3630.77</v>
      </c>
    </row>
    <row r="589">
      <c r="A589" t="inlineStr">
        <is>
          <t>ENC113101</t>
        </is>
      </c>
      <c r="B589" t="inlineStr">
        <is>
          <t>PT10112</t>
        </is>
      </c>
      <c r="C589" t="inlineStr">
        <is>
          <t>Emergency</t>
        </is>
      </c>
      <c r="D589" t="inlineStr">
        <is>
          <t>Bluestone Memorial Hospital</t>
        </is>
      </c>
      <c r="E589" t="inlineStr">
        <is>
          <t>Emergency Department</t>
        </is>
      </c>
      <c r="F589" t="inlineStr">
        <is>
          <t>Emergency</t>
        </is>
      </c>
      <c r="G589" s="29" t="n">
        <v>45726</v>
      </c>
      <c r="H589" s="29" t="n">
        <v>45726</v>
      </c>
      <c r="I589" s="30" t="n"/>
      <c r="J589" t="inlineStr">
        <is>
          <t>R07.9</t>
        </is>
      </c>
      <c r="K589" t="inlineStr">
        <is>
          <t>Chest pain, unspecified</t>
        </is>
      </c>
      <c r="L589" t="inlineStr">
        <is>
          <t>Symptoms &amp; Signs</t>
        </is>
      </c>
      <c r="M589" t="inlineStr">
        <is>
          <t>Home/Self-Care</t>
        </is>
      </c>
      <c r="N589" t="inlineStr">
        <is>
          <t>Silverline Medicare Advantage</t>
        </is>
      </c>
      <c r="O589" s="31" t="n">
        <v>5666.77</v>
      </c>
    </row>
    <row r="590">
      <c r="A590" t="inlineStr">
        <is>
          <t>ENC113107</t>
        </is>
      </c>
      <c r="B590" t="inlineStr">
        <is>
          <t>PT11488</t>
        </is>
      </c>
      <c r="C590" t="inlineStr">
        <is>
          <t>Outpatient</t>
        </is>
      </c>
      <c r="D590" t="inlineStr">
        <is>
          <t>Bluestone Outpatient Pavilion</t>
        </is>
      </c>
      <c r="E590" t="inlineStr">
        <is>
          <t>Primary Care Clinic</t>
        </is>
      </c>
      <c r="F590" t="inlineStr">
        <is>
          <t>Ambulatory</t>
        </is>
      </c>
      <c r="G590" s="29" t="n">
        <v>45726</v>
      </c>
      <c r="H590" s="29" t="n">
        <v>45726</v>
      </c>
      <c r="I590" s="30" t="n"/>
      <c r="J590" t="inlineStr">
        <is>
          <t>Z23</t>
        </is>
      </c>
      <c r="K590" t="inlineStr">
        <is>
          <t>Encounter for immunization</t>
        </is>
      </c>
      <c r="L590" t="inlineStr">
        <is>
          <t>Factors Influencing Health</t>
        </is>
      </c>
      <c r="M590" t="inlineStr">
        <is>
          <t>Home/Self-Care</t>
        </is>
      </c>
      <c r="N590" t="inlineStr">
        <is>
          <t>Self-Pay</t>
        </is>
      </c>
      <c r="O590" s="31" t="n">
        <v>108.25</v>
      </c>
    </row>
    <row r="591">
      <c r="A591" t="inlineStr">
        <is>
          <t>ENC113110</t>
        </is>
      </c>
      <c r="B591" t="inlineStr">
        <is>
          <t>PT12524</t>
        </is>
      </c>
      <c r="C591" t="inlineStr">
        <is>
          <t>Outpatient</t>
        </is>
      </c>
      <c r="D591" t="inlineStr">
        <is>
          <t>Bluestone Outpatient Pavilion</t>
        </is>
      </c>
      <c r="E591" t="inlineStr">
        <is>
          <t>Endocrinology &amp; Diabetes Clinic</t>
        </is>
      </c>
      <c r="F591" t="inlineStr">
        <is>
          <t>Ambulatory</t>
        </is>
      </c>
      <c r="G591" s="29" t="n">
        <v>45726</v>
      </c>
      <c r="H591" s="29" t="n">
        <v>45726</v>
      </c>
      <c r="I591" s="30" t="n"/>
      <c r="J591" t="inlineStr">
        <is>
          <t>E11.9</t>
        </is>
      </c>
      <c r="K591" t="inlineStr">
        <is>
          <t>Type 2 diabetes mellitus without complications</t>
        </is>
      </c>
      <c r="L591" t="inlineStr">
        <is>
          <t>Endocrine</t>
        </is>
      </c>
      <c r="M591" t="inlineStr">
        <is>
          <t>Home/Self-Care</t>
        </is>
      </c>
      <c r="N591" t="inlineStr">
        <is>
          <t>Medicare</t>
        </is>
      </c>
      <c r="O591" s="31" t="n">
        <v>405.18</v>
      </c>
    </row>
    <row r="592">
      <c r="A592" t="inlineStr">
        <is>
          <t>ENC113114</t>
        </is>
      </c>
      <c r="B592" t="inlineStr">
        <is>
          <t>PT11044</t>
        </is>
      </c>
      <c r="C592" t="inlineStr">
        <is>
          <t>Inpatient</t>
        </is>
      </c>
      <c r="D592" t="inlineStr">
        <is>
          <t>Ashby Falls Community Hospital</t>
        </is>
      </c>
      <c r="E592" t="inlineStr">
        <is>
          <t>Medical-Surgical</t>
        </is>
      </c>
      <c r="F592" t="inlineStr">
        <is>
          <t>Medicine</t>
        </is>
      </c>
      <c r="G592" s="29" t="n">
        <v>45726</v>
      </c>
      <c r="H592" s="29" t="n">
        <v>45730</v>
      </c>
      <c r="I592" s="30" t="n">
        <v>4</v>
      </c>
      <c r="J592" t="inlineStr">
        <is>
          <t>J18.9</t>
        </is>
      </c>
      <c r="K592" t="inlineStr">
        <is>
          <t>Pneumonia, unspecified organism</t>
        </is>
      </c>
      <c r="L592" t="inlineStr">
        <is>
          <t>Respiratory</t>
        </is>
      </c>
      <c r="M592" t="inlineStr">
        <is>
          <t>Home/Self-Care</t>
        </is>
      </c>
      <c r="N592" t="inlineStr">
        <is>
          <t>Keystone Health Partners</t>
        </is>
      </c>
      <c r="O592" s="31" t="n">
        <v>16889.3</v>
      </c>
      <c r="P592" t="inlineStr">
        <is>
          <t>N</t>
        </is>
      </c>
    </row>
    <row r="593">
      <c r="A593" t="inlineStr">
        <is>
          <t>ENC113119</t>
        </is>
      </c>
      <c r="B593" t="inlineStr">
        <is>
          <t>PT12800</t>
        </is>
      </c>
      <c r="C593" t="inlineStr">
        <is>
          <t>Observation</t>
        </is>
      </c>
      <c r="D593" t="inlineStr">
        <is>
          <t>Bluestone Memorial Hospital</t>
        </is>
      </c>
      <c r="E593" t="inlineStr">
        <is>
          <t>Observation Unit</t>
        </is>
      </c>
      <c r="F593" t="inlineStr">
        <is>
          <t>Medicine</t>
        </is>
      </c>
      <c r="G593" s="29" t="n">
        <v>45726</v>
      </c>
      <c r="H593" s="29" t="n">
        <v>45727</v>
      </c>
      <c r="I593" s="30" t="n">
        <v>1</v>
      </c>
      <c r="J593" t="inlineStr">
        <is>
          <t>I63.9</t>
        </is>
      </c>
      <c r="K593" t="inlineStr">
        <is>
          <t>Cerebral infarction, unspecified</t>
        </is>
      </c>
      <c r="L593" t="inlineStr">
        <is>
          <t>Circulatory</t>
        </is>
      </c>
      <c r="M593" t="inlineStr">
        <is>
          <t>Home/Self-Care</t>
        </is>
      </c>
      <c r="N593" t="inlineStr">
        <is>
          <t>Keystone Health Partners</t>
        </is>
      </c>
      <c r="O593" s="31" t="n">
        <v>8125.56</v>
      </c>
    </row>
    <row r="594">
      <c r="A594" t="inlineStr">
        <is>
          <t>ENC113128</t>
        </is>
      </c>
      <c r="B594" t="inlineStr">
        <is>
          <t>PT12336</t>
        </is>
      </c>
      <c r="C594" t="inlineStr">
        <is>
          <t>Outpatient</t>
        </is>
      </c>
      <c r="D594" t="inlineStr">
        <is>
          <t>Bluestone Outpatient Pavilion</t>
        </is>
      </c>
      <c r="E594" t="inlineStr">
        <is>
          <t>Pediatric Clinic</t>
        </is>
      </c>
      <c r="F594" t="inlineStr">
        <is>
          <t>Women &amp; Children</t>
        </is>
      </c>
      <c r="G594" s="29" t="n">
        <v>45726</v>
      </c>
      <c r="H594" s="29" t="n">
        <v>45726</v>
      </c>
      <c r="I594" s="30" t="n"/>
      <c r="J594" t="inlineStr">
        <is>
          <t>J06.9</t>
        </is>
      </c>
      <c r="K594" t="inlineStr">
        <is>
          <t>Acute upper respiratory infection, unspecified</t>
        </is>
      </c>
      <c r="L594" t="inlineStr">
        <is>
          <t>Respiratory</t>
        </is>
      </c>
      <c r="M594" t="inlineStr">
        <is>
          <t>Home/Self-Care</t>
        </is>
      </c>
      <c r="N594" t="inlineStr">
        <is>
          <t>Evergreen Mutual Insurance</t>
        </is>
      </c>
      <c r="O594" s="31" t="n">
        <v>173.45</v>
      </c>
    </row>
    <row r="595">
      <c r="A595" t="inlineStr">
        <is>
          <t>ENC113130</t>
        </is>
      </c>
      <c r="B595" t="inlineStr">
        <is>
          <t>PT10616</t>
        </is>
      </c>
      <c r="C595" t="inlineStr">
        <is>
          <t>Outpatient</t>
        </is>
      </c>
      <c r="D595" t="inlineStr">
        <is>
          <t>Bluestone Outpatient Pavilion</t>
        </is>
      </c>
      <c r="E595" t="inlineStr">
        <is>
          <t>Primary Care Clinic</t>
        </is>
      </c>
      <c r="F595" t="inlineStr">
        <is>
          <t>Ambulatory</t>
        </is>
      </c>
      <c r="G595" s="29" t="n">
        <v>45726</v>
      </c>
      <c r="H595" s="29" t="n">
        <v>45726</v>
      </c>
      <c r="I595" s="30" t="n"/>
      <c r="J595" t="inlineStr">
        <is>
          <t>I10</t>
        </is>
      </c>
      <c r="K595" t="inlineStr">
        <is>
          <t>Essential (primary) hypertension</t>
        </is>
      </c>
      <c r="L595" t="inlineStr">
        <is>
          <t>Circulatory</t>
        </is>
      </c>
      <c r="M595" t="inlineStr">
        <is>
          <t>Home/Self-Care</t>
        </is>
      </c>
      <c r="N595" t="inlineStr">
        <is>
          <t>Medicare</t>
        </is>
      </c>
      <c r="O595" s="31" t="n">
        <v>327.05</v>
      </c>
    </row>
    <row r="596">
      <c r="A596" t="inlineStr">
        <is>
          <t>ENC113133</t>
        </is>
      </c>
      <c r="B596" t="inlineStr">
        <is>
          <t>PT11264</t>
        </is>
      </c>
      <c r="C596" t="inlineStr">
        <is>
          <t>Inpatient</t>
        </is>
      </c>
      <c r="D596" t="inlineStr">
        <is>
          <t>Bluestone Memorial Hospital</t>
        </is>
      </c>
      <c r="E596" t="inlineStr">
        <is>
          <t>Neuroscience &amp; Stroke</t>
        </is>
      </c>
      <c r="F596" t="inlineStr">
        <is>
          <t>Neuroscience</t>
        </is>
      </c>
      <c r="G596" s="29" t="n">
        <v>45726</v>
      </c>
      <c r="H596" s="29" t="n">
        <v>45730</v>
      </c>
      <c r="I596" s="30" t="n">
        <v>4</v>
      </c>
      <c r="J596" t="inlineStr">
        <is>
          <t>G40.909</t>
        </is>
      </c>
      <c r="K596" t="inlineStr">
        <is>
          <t>Epilepsy, unspecified, not intractable, without status epilepticus</t>
        </is>
      </c>
      <c r="L596" t="inlineStr">
        <is>
          <t>Nervous System</t>
        </is>
      </c>
      <c r="M596" t="inlineStr">
        <is>
          <t>Home/Self-Care</t>
        </is>
      </c>
      <c r="N596" t="inlineStr">
        <is>
          <t>State Medicaid</t>
        </is>
      </c>
      <c r="O596" s="31" t="n">
        <v>13148.57</v>
      </c>
      <c r="P596" t="inlineStr">
        <is>
          <t>N</t>
        </is>
      </c>
    </row>
    <row r="597">
      <c r="A597" t="inlineStr">
        <is>
          <t>ENC113138</t>
        </is>
      </c>
      <c r="B597" t="inlineStr">
        <is>
          <t>PT10540</t>
        </is>
      </c>
      <c r="C597" t="inlineStr">
        <is>
          <t>Emergency</t>
        </is>
      </c>
      <c r="D597" t="inlineStr">
        <is>
          <t>Bluestone Memorial Hospital</t>
        </is>
      </c>
      <c r="E597" t="inlineStr">
        <is>
          <t>Emergency Department</t>
        </is>
      </c>
      <c r="F597" t="inlineStr">
        <is>
          <t>Emergency</t>
        </is>
      </c>
      <c r="G597" s="29" t="n">
        <v>45726</v>
      </c>
      <c r="H597" s="29" t="n">
        <v>45727</v>
      </c>
      <c r="I597" s="30" t="n"/>
      <c r="J597" t="inlineStr">
        <is>
          <t>E86.0</t>
        </is>
      </c>
      <c r="K597" t="inlineStr">
        <is>
          <t>Dehydration</t>
        </is>
      </c>
      <c r="L597" t="inlineStr">
        <is>
          <t>Endocrine</t>
        </is>
      </c>
      <c r="M597" t="inlineStr">
        <is>
          <t>Home/Self-Care</t>
        </is>
      </c>
      <c r="N597" t="inlineStr">
        <is>
          <t>Evergreen Mutual Insurance</t>
        </is>
      </c>
      <c r="O597" s="31" t="n">
        <v>3527.01</v>
      </c>
    </row>
    <row r="598">
      <c r="A598" t="inlineStr">
        <is>
          <t>ENC113142</t>
        </is>
      </c>
      <c r="B598" t="inlineStr">
        <is>
          <t>PT12744</t>
        </is>
      </c>
      <c r="C598" t="inlineStr">
        <is>
          <t>Inpatient</t>
        </is>
      </c>
      <c r="D598" t="inlineStr">
        <is>
          <t>Bluestone Memorial Hospital</t>
        </is>
      </c>
      <c r="E598" t="inlineStr">
        <is>
          <t>Medical-Surgical 5 East</t>
        </is>
      </c>
      <c r="F598" t="inlineStr">
        <is>
          <t>Medicine</t>
        </is>
      </c>
      <c r="G598" s="29" t="n">
        <v>45727</v>
      </c>
      <c r="H598" s="29" t="n">
        <v>45735</v>
      </c>
      <c r="I598" s="30" t="n">
        <v>8</v>
      </c>
      <c r="J598" t="inlineStr">
        <is>
          <t>J44.1</t>
        </is>
      </c>
      <c r="K598" t="inlineStr">
        <is>
          <t>Chronic obstructive pulmonary disease with (acute) exacerbation</t>
        </is>
      </c>
      <c r="L598" t="inlineStr">
        <is>
          <t>Respiratory</t>
        </is>
      </c>
      <c r="M598" t="inlineStr">
        <is>
          <t>Home/Self-Care</t>
        </is>
      </c>
      <c r="N598" t="inlineStr">
        <is>
          <t>State Medicaid</t>
        </is>
      </c>
      <c r="O598" s="31" t="n">
        <v>46268.08</v>
      </c>
      <c r="P598" t="inlineStr">
        <is>
          <t>N</t>
        </is>
      </c>
    </row>
    <row r="599">
      <c r="A599" t="inlineStr">
        <is>
          <t>ENC113145</t>
        </is>
      </c>
      <c r="B599" t="inlineStr">
        <is>
          <t>PT10948</t>
        </is>
      </c>
      <c r="C599" t="inlineStr">
        <is>
          <t>Outpatient</t>
        </is>
      </c>
      <c r="D599" t="inlineStr">
        <is>
          <t>Bluestone Outpatient Pavilion</t>
        </is>
      </c>
      <c r="E599" t="inlineStr">
        <is>
          <t>Cardiology Clinic</t>
        </is>
      </c>
      <c r="F599" t="inlineStr">
        <is>
          <t>Cardiovascular</t>
        </is>
      </c>
      <c r="G599" s="29" t="n">
        <v>45727</v>
      </c>
      <c r="H599" s="29" t="n">
        <v>45727</v>
      </c>
      <c r="I599" s="30" t="n"/>
      <c r="J599" t="inlineStr">
        <is>
          <t>I48.91</t>
        </is>
      </c>
      <c r="K599" t="inlineStr">
        <is>
          <t>Unspecified atrial fibrillation</t>
        </is>
      </c>
      <c r="L599" t="inlineStr">
        <is>
          <t>Circulatory</t>
        </is>
      </c>
      <c r="M599" t="inlineStr">
        <is>
          <t>Home/Self-Care</t>
        </is>
      </c>
      <c r="N599" t="inlineStr">
        <is>
          <t>State Medicaid</t>
        </is>
      </c>
      <c r="O599" s="31" t="n">
        <v>462.62</v>
      </c>
    </row>
    <row r="600">
      <c r="A600" t="inlineStr">
        <is>
          <t>ENC113147</t>
        </is>
      </c>
      <c r="B600" t="inlineStr">
        <is>
          <t>PT10320</t>
        </is>
      </c>
      <c r="C600" t="inlineStr">
        <is>
          <t>Outpatient</t>
        </is>
      </c>
      <c r="D600" t="inlineStr">
        <is>
          <t>Bluestone Outpatient Pavilion</t>
        </is>
      </c>
      <c r="E600" t="inlineStr">
        <is>
          <t>Primary Care Clinic</t>
        </is>
      </c>
      <c r="F600" t="inlineStr">
        <is>
          <t>Ambulatory</t>
        </is>
      </c>
      <c r="G600" s="29" t="n">
        <v>45727</v>
      </c>
      <c r="H600" s="29" t="n">
        <v>45727</v>
      </c>
      <c r="I600" s="30" t="n"/>
      <c r="J600" t="inlineStr">
        <is>
          <t>J06.9</t>
        </is>
      </c>
      <c r="K600" t="inlineStr">
        <is>
          <t>Acute upper respiratory infection, unspecified</t>
        </is>
      </c>
      <c r="L600" t="inlineStr">
        <is>
          <t>Respiratory</t>
        </is>
      </c>
      <c r="M600" t="inlineStr">
        <is>
          <t>Home/Self-Care</t>
        </is>
      </c>
      <c r="N600" t="inlineStr">
        <is>
          <t>Medicare</t>
        </is>
      </c>
      <c r="O600" s="31" t="n">
        <v>411.15</v>
      </c>
    </row>
    <row r="601">
      <c r="A601" t="inlineStr">
        <is>
          <t>ENC113148</t>
        </is>
      </c>
      <c r="B601" t="inlineStr">
        <is>
          <t>PT10156</t>
        </is>
      </c>
      <c r="C601" t="inlineStr">
        <is>
          <t>Outpatient</t>
        </is>
      </c>
      <c r="D601" t="inlineStr">
        <is>
          <t>Bluestone Outpatient Pavilion</t>
        </is>
      </c>
      <c r="E601" t="inlineStr">
        <is>
          <t>Primary Care Clinic</t>
        </is>
      </c>
      <c r="F601" t="inlineStr">
        <is>
          <t>Ambulatory</t>
        </is>
      </c>
      <c r="G601" s="29" t="n">
        <v>45727</v>
      </c>
      <c r="H601" s="29" t="n">
        <v>45727</v>
      </c>
      <c r="I601" s="30" t="n"/>
      <c r="J601" t="inlineStr">
        <is>
          <t>F41.9</t>
        </is>
      </c>
      <c r="K601" t="inlineStr">
        <is>
          <t>Anxiety disorder, unspecified</t>
        </is>
      </c>
      <c r="L601" t="inlineStr">
        <is>
          <t>Mental &amp; Behavioral</t>
        </is>
      </c>
      <c r="M601" t="inlineStr">
        <is>
          <t>Home/Self-Care</t>
        </is>
      </c>
      <c r="N601" t="inlineStr">
        <is>
          <t>State Medicaid</t>
        </is>
      </c>
      <c r="O601" s="31" t="n">
        <v>467</v>
      </c>
    </row>
    <row r="602">
      <c r="A602" t="inlineStr">
        <is>
          <t>ENC113150</t>
        </is>
      </c>
      <c r="B602" t="inlineStr">
        <is>
          <t>PT11504</t>
        </is>
      </c>
      <c r="C602" t="inlineStr">
        <is>
          <t>Inpatient</t>
        </is>
      </c>
      <c r="D602" t="inlineStr">
        <is>
          <t>Cedar Ridge Medical Center</t>
        </is>
      </c>
      <c r="E602" t="inlineStr">
        <is>
          <t>Medical-Surgical</t>
        </is>
      </c>
      <c r="F602" t="inlineStr">
        <is>
          <t>Medicine</t>
        </is>
      </c>
      <c r="G602" s="29" t="n">
        <v>45727</v>
      </c>
      <c r="H602" s="29" t="n">
        <v>45730</v>
      </c>
      <c r="I602" s="30" t="n">
        <v>3</v>
      </c>
      <c r="J602" t="inlineStr">
        <is>
          <t>E86.0</t>
        </is>
      </c>
      <c r="K602" t="inlineStr">
        <is>
          <t>Dehydration</t>
        </is>
      </c>
      <c r="L602" t="inlineStr">
        <is>
          <t>Endocrine</t>
        </is>
      </c>
      <c r="M602" t="inlineStr">
        <is>
          <t>Home/Self-Care</t>
        </is>
      </c>
      <c r="N602" t="inlineStr">
        <is>
          <t>Medicare</t>
        </is>
      </c>
      <c r="O602" s="31" t="n">
        <v>18627.42</v>
      </c>
      <c r="P602" t="inlineStr">
        <is>
          <t>Y</t>
        </is>
      </c>
    </row>
    <row r="603">
      <c r="A603" t="inlineStr">
        <is>
          <t>ENC113153</t>
        </is>
      </c>
      <c r="B603" t="inlineStr">
        <is>
          <t>PT13804</t>
        </is>
      </c>
      <c r="C603" t="inlineStr">
        <is>
          <t>Inpatient</t>
        </is>
      </c>
      <c r="D603" t="inlineStr">
        <is>
          <t>Bluestone Memorial Hospital</t>
        </is>
      </c>
      <c r="E603" t="inlineStr">
        <is>
          <t>Orthopedics &amp; Spine</t>
        </is>
      </c>
      <c r="F603" t="inlineStr">
        <is>
          <t>Orthopedics</t>
        </is>
      </c>
      <c r="G603" s="29" t="n">
        <v>45727</v>
      </c>
      <c r="H603" s="29" t="n">
        <v>45733</v>
      </c>
      <c r="I603" s="30" t="n">
        <v>6</v>
      </c>
      <c r="J603" t="inlineStr">
        <is>
          <t>S72.001A</t>
        </is>
      </c>
      <c r="K603" t="inlineStr">
        <is>
          <t>Fracture of unspecified part of neck of right femur, initial encounter</t>
        </is>
      </c>
      <c r="L603" t="inlineStr">
        <is>
          <t>Injury</t>
        </is>
      </c>
      <c r="M603" t="inlineStr">
        <is>
          <t>Skilled Nursing Facility</t>
        </is>
      </c>
      <c r="N603" t="inlineStr">
        <is>
          <t>Self-Pay</t>
        </is>
      </c>
      <c r="O603" s="31" t="n">
        <v>57834.68</v>
      </c>
      <c r="P603" t="inlineStr">
        <is>
          <t>N</t>
        </is>
      </c>
    </row>
    <row r="604">
      <c r="A604" t="inlineStr">
        <is>
          <t>ENC113154</t>
        </is>
      </c>
      <c r="B604" t="inlineStr">
        <is>
          <t>PT13360</t>
        </is>
      </c>
      <c r="C604" t="inlineStr">
        <is>
          <t>Outpatient</t>
        </is>
      </c>
      <c r="D604" t="inlineStr">
        <is>
          <t>Bluestone Outpatient Pavilion</t>
        </is>
      </c>
      <c r="E604" t="inlineStr">
        <is>
          <t>Primary Care Clinic</t>
        </is>
      </c>
      <c r="F604" t="inlineStr">
        <is>
          <t>Ambulatory</t>
        </is>
      </c>
      <c r="G604" s="29" t="n">
        <v>45727</v>
      </c>
      <c r="H604" s="29" t="n">
        <v>45727</v>
      </c>
      <c r="I604" s="30" t="n"/>
      <c r="J604" t="inlineStr">
        <is>
          <t>I10</t>
        </is>
      </c>
      <c r="K604" t="inlineStr">
        <is>
          <t>Essential (primary) hypertension</t>
        </is>
      </c>
      <c r="L604" t="inlineStr">
        <is>
          <t>Circulatory</t>
        </is>
      </c>
      <c r="M604" t="inlineStr">
        <is>
          <t>Home/Self-Care</t>
        </is>
      </c>
      <c r="N604" t="inlineStr">
        <is>
          <t>Keystone Health Partners</t>
        </is>
      </c>
      <c r="O604" s="31" t="n">
        <v>241.65</v>
      </c>
    </row>
    <row r="605">
      <c r="A605" t="inlineStr">
        <is>
          <t>ENC113168</t>
        </is>
      </c>
      <c r="B605" t="inlineStr">
        <is>
          <t>PT10412</t>
        </is>
      </c>
      <c r="C605" t="inlineStr">
        <is>
          <t>Outpatient</t>
        </is>
      </c>
      <c r="D605" t="inlineStr">
        <is>
          <t>Bluestone Outpatient Pavilion</t>
        </is>
      </c>
      <c r="E605" t="inlineStr">
        <is>
          <t>Primary Care Clinic</t>
        </is>
      </c>
      <c r="F605" t="inlineStr">
        <is>
          <t>Ambulatory</t>
        </is>
      </c>
      <c r="G605" s="29" t="n">
        <v>45727</v>
      </c>
      <c r="H605" s="29" t="n">
        <v>45727</v>
      </c>
      <c r="I605" s="30" t="n"/>
      <c r="J605" t="inlineStr">
        <is>
          <t>E78.5</t>
        </is>
      </c>
      <c r="K605" t="inlineStr">
        <is>
          <t>Hyperlipidemia, unspecified</t>
        </is>
      </c>
      <c r="L605" t="inlineStr">
        <is>
          <t>Endocrine</t>
        </is>
      </c>
      <c r="M605" t="inlineStr">
        <is>
          <t>Home/Self-Care</t>
        </is>
      </c>
      <c r="N605" t="inlineStr">
        <is>
          <t>Self-Pay</t>
        </is>
      </c>
      <c r="O605" s="31" t="n">
        <v>269.84</v>
      </c>
    </row>
    <row r="606">
      <c r="A606" t="inlineStr">
        <is>
          <t>ENC113173</t>
        </is>
      </c>
      <c r="B606" t="inlineStr">
        <is>
          <t>PT12916</t>
        </is>
      </c>
      <c r="C606" t="inlineStr">
        <is>
          <t>Inpatient</t>
        </is>
      </c>
      <c r="D606" t="inlineStr">
        <is>
          <t>Bluestone Memorial Hospital</t>
        </is>
      </c>
      <c r="E606" t="inlineStr">
        <is>
          <t>Behavioral Health</t>
        </is>
      </c>
      <c r="F606" t="inlineStr">
        <is>
          <t>Behavioral Health</t>
        </is>
      </c>
      <c r="G606" s="29" t="n">
        <v>45727</v>
      </c>
      <c r="H606" s="29" t="n">
        <v>45741</v>
      </c>
      <c r="I606" s="30" t="n">
        <v>14</v>
      </c>
      <c r="J606" t="inlineStr">
        <is>
          <t>F20.9</t>
        </is>
      </c>
      <c r="K606" t="inlineStr">
        <is>
          <t>Schizophrenia, unspecified</t>
        </is>
      </c>
      <c r="L606" t="inlineStr">
        <is>
          <t>Mental &amp; Behavioral</t>
        </is>
      </c>
      <c r="M606" t="inlineStr">
        <is>
          <t>Home/Self-Care</t>
        </is>
      </c>
      <c r="N606" t="inlineStr">
        <is>
          <t>State Medicaid</t>
        </is>
      </c>
      <c r="O606" s="31" t="n">
        <v>33859.02</v>
      </c>
      <c r="P606" t="inlineStr">
        <is>
          <t>N</t>
        </is>
      </c>
    </row>
    <row r="607">
      <c r="A607" t="inlineStr">
        <is>
          <t>ENC113183</t>
        </is>
      </c>
      <c r="B607" t="inlineStr">
        <is>
          <t>PT13072</t>
        </is>
      </c>
      <c r="C607" t="inlineStr">
        <is>
          <t>Inpatient</t>
        </is>
      </c>
      <c r="D607" t="inlineStr">
        <is>
          <t>Ashby Falls Community Hospital</t>
        </is>
      </c>
      <c r="E607" t="inlineStr">
        <is>
          <t>Medical-Surgical</t>
        </is>
      </c>
      <c r="F607" t="inlineStr">
        <is>
          <t>Medicine</t>
        </is>
      </c>
      <c r="G607" s="29" t="n">
        <v>45728</v>
      </c>
      <c r="H607" s="29" t="n">
        <v>45731</v>
      </c>
      <c r="I607" s="30" t="n">
        <v>3</v>
      </c>
      <c r="J607" t="inlineStr">
        <is>
          <t>I21.4</t>
        </is>
      </c>
      <c r="K607" t="inlineStr">
        <is>
          <t>Non-ST elevation (NSTEMI) myocardial infarction</t>
        </is>
      </c>
      <c r="L607" t="inlineStr">
        <is>
          <t>Circulatory</t>
        </is>
      </c>
      <c r="M607" t="inlineStr">
        <is>
          <t>Home/Self-Care</t>
        </is>
      </c>
      <c r="N607" t="inlineStr">
        <is>
          <t>Silverline Medicare Advantage</t>
        </is>
      </c>
      <c r="O607" s="31" t="n">
        <v>55359.8</v>
      </c>
      <c r="P607" t="inlineStr">
        <is>
          <t>Y</t>
        </is>
      </c>
    </row>
    <row r="608">
      <c r="A608" t="inlineStr">
        <is>
          <t>ENC113192</t>
        </is>
      </c>
      <c r="B608" t="inlineStr">
        <is>
          <t>PT12684</t>
        </is>
      </c>
      <c r="C608" t="inlineStr">
        <is>
          <t>Outpatient</t>
        </is>
      </c>
      <c r="D608" t="inlineStr">
        <is>
          <t>Bluestone Outpatient Pavilion</t>
        </is>
      </c>
      <c r="E608" t="inlineStr">
        <is>
          <t>Orthopedic Clinic</t>
        </is>
      </c>
      <c r="F608" t="inlineStr">
        <is>
          <t>Orthopedics</t>
        </is>
      </c>
      <c r="G608" s="29" t="n">
        <v>45728</v>
      </c>
      <c r="H608" s="29" t="n">
        <v>45728</v>
      </c>
      <c r="I608" s="30" t="n"/>
      <c r="J608" t="inlineStr">
        <is>
          <t>M16.11</t>
        </is>
      </c>
      <c r="K608" t="inlineStr">
        <is>
          <t>Unilateral primary osteoarthritis, right hip</t>
        </is>
      </c>
      <c r="L608" t="inlineStr">
        <is>
          <t>Musculoskeletal</t>
        </is>
      </c>
      <c r="M608" t="inlineStr">
        <is>
          <t>Home/Self-Care</t>
        </is>
      </c>
      <c r="N608" t="inlineStr">
        <is>
          <t>Summit Choice PPO</t>
        </is>
      </c>
      <c r="O608" s="31" t="n">
        <v>287.98</v>
      </c>
    </row>
    <row r="609">
      <c r="A609" t="inlineStr">
        <is>
          <t>ENC113198</t>
        </is>
      </c>
      <c r="B609" t="inlineStr">
        <is>
          <t>PT12988</t>
        </is>
      </c>
      <c r="C609" t="inlineStr">
        <is>
          <t>Emergency</t>
        </is>
      </c>
      <c r="D609" t="inlineStr">
        <is>
          <t>Bluestone Memorial Hospital</t>
        </is>
      </c>
      <c r="E609" t="inlineStr">
        <is>
          <t>Emergency Department</t>
        </is>
      </c>
      <c r="F609" t="inlineStr">
        <is>
          <t>Emergency</t>
        </is>
      </c>
      <c r="G609" s="29" t="n">
        <v>45728</v>
      </c>
      <c r="H609" s="29" t="n">
        <v>45728</v>
      </c>
      <c r="I609" s="30" t="n"/>
      <c r="J609" t="inlineStr">
        <is>
          <t>S06.0X0A</t>
        </is>
      </c>
      <c r="K609" t="inlineStr">
        <is>
          <t>Concussion without loss of consciousness, initial encounter</t>
        </is>
      </c>
      <c r="L609" t="inlineStr">
        <is>
          <t>Injury</t>
        </is>
      </c>
      <c r="M609" t="inlineStr">
        <is>
          <t>Home/Self-Care</t>
        </is>
      </c>
      <c r="N609" t="inlineStr">
        <is>
          <t>Self-Pay</t>
        </is>
      </c>
      <c r="O609" s="31" t="n">
        <v>3188.61</v>
      </c>
    </row>
    <row r="610">
      <c r="A610" t="inlineStr">
        <is>
          <t>ENC113200</t>
        </is>
      </c>
      <c r="B610" t="inlineStr">
        <is>
          <t>PT13788</t>
        </is>
      </c>
      <c r="C610" t="inlineStr">
        <is>
          <t>Outpatient</t>
        </is>
      </c>
      <c r="D610" t="inlineStr">
        <is>
          <t>Bluestone Outpatient Pavilion</t>
        </is>
      </c>
      <c r="E610" t="inlineStr">
        <is>
          <t>Endocrinology &amp; Diabetes Clinic</t>
        </is>
      </c>
      <c r="F610" t="inlineStr">
        <is>
          <t>Ambulatory</t>
        </is>
      </c>
      <c r="G610" s="29" t="n">
        <v>45728</v>
      </c>
      <c r="H610" s="29" t="n">
        <v>45728</v>
      </c>
      <c r="I610" s="30" t="n"/>
      <c r="J610" t="inlineStr">
        <is>
          <t>E11.65</t>
        </is>
      </c>
      <c r="K610" t="inlineStr">
        <is>
          <t>Type 2 diabetes mellitus with hyperglycemia</t>
        </is>
      </c>
      <c r="L610" t="inlineStr">
        <is>
          <t>Endocrine</t>
        </is>
      </c>
      <c r="M610" t="inlineStr">
        <is>
          <t>Home/Self-Care</t>
        </is>
      </c>
      <c r="N610" t="inlineStr">
        <is>
          <t>Silverline Medicare Advantage</t>
        </is>
      </c>
      <c r="O610" s="31" t="n">
        <v>329.38</v>
      </c>
    </row>
    <row r="611">
      <c r="A611" t="inlineStr">
        <is>
          <t>ENC113202</t>
        </is>
      </c>
      <c r="B611" t="inlineStr">
        <is>
          <t>PT10312</t>
        </is>
      </c>
      <c r="C611" t="inlineStr">
        <is>
          <t>Outpatient</t>
        </is>
      </c>
      <c r="D611" t="inlineStr">
        <is>
          <t>Bluestone Outpatient Pavilion</t>
        </is>
      </c>
      <c r="E611" t="inlineStr">
        <is>
          <t>Primary Care Clinic</t>
        </is>
      </c>
      <c r="F611" t="inlineStr">
        <is>
          <t>Ambulatory</t>
        </is>
      </c>
      <c r="G611" s="29" t="n">
        <v>45728</v>
      </c>
      <c r="H611" s="29" t="n">
        <v>45728</v>
      </c>
      <c r="I611" s="30" t="n"/>
      <c r="J611" t="inlineStr">
        <is>
          <t>E78.5</t>
        </is>
      </c>
      <c r="K611" t="inlineStr">
        <is>
          <t>Hyperlipidemia, unspecified</t>
        </is>
      </c>
      <c r="L611" t="inlineStr">
        <is>
          <t>Endocrine</t>
        </is>
      </c>
      <c r="M611" t="inlineStr">
        <is>
          <t>Home/Self-Care</t>
        </is>
      </c>
      <c r="N611" t="inlineStr">
        <is>
          <t>Evergreen Mutual Insurance</t>
        </is>
      </c>
      <c r="O611" s="31" t="n">
        <v>389.63</v>
      </c>
    </row>
    <row r="612">
      <c r="A612" t="inlineStr">
        <is>
          <t>ENC113203</t>
        </is>
      </c>
      <c r="B612" t="inlineStr">
        <is>
          <t>PT12180</t>
        </is>
      </c>
      <c r="C612" t="inlineStr">
        <is>
          <t>Outpatient</t>
        </is>
      </c>
      <c r="D612" t="inlineStr">
        <is>
          <t>Bluestone Outpatient Pavilion</t>
        </is>
      </c>
      <c r="E612" t="inlineStr">
        <is>
          <t>Primary Care Clinic</t>
        </is>
      </c>
      <c r="F612" t="inlineStr">
        <is>
          <t>Ambulatory</t>
        </is>
      </c>
      <c r="G612" s="29" t="n">
        <v>45728</v>
      </c>
      <c r="H612" s="29" t="n">
        <v>45728</v>
      </c>
      <c r="I612" s="30" t="n"/>
      <c r="J612" t="inlineStr">
        <is>
          <t>Z00.00</t>
        </is>
      </c>
      <c r="K612" t="inlineStr">
        <is>
          <t>Encounter for general adult medical examination without abnormal findings</t>
        </is>
      </c>
      <c r="L612" t="inlineStr">
        <is>
          <t>Factors Influencing Health</t>
        </is>
      </c>
      <c r="M612" t="inlineStr">
        <is>
          <t>Home/Self-Care</t>
        </is>
      </c>
      <c r="N612" t="inlineStr">
        <is>
          <t>Silverline Medicare Advantage</t>
        </is>
      </c>
      <c r="O612" s="31" t="n">
        <v>255.74</v>
      </c>
    </row>
    <row r="613">
      <c r="A613" t="inlineStr">
        <is>
          <t>ENC113227</t>
        </is>
      </c>
      <c r="B613" t="inlineStr">
        <is>
          <t>PT10904</t>
        </is>
      </c>
      <c r="C613" t="inlineStr">
        <is>
          <t>Outpatient</t>
        </is>
      </c>
      <c r="D613" t="inlineStr">
        <is>
          <t>Bluestone Outpatient Pavilion</t>
        </is>
      </c>
      <c r="E613" t="inlineStr">
        <is>
          <t>Primary Care Clinic</t>
        </is>
      </c>
      <c r="F613" t="inlineStr">
        <is>
          <t>Ambulatory</t>
        </is>
      </c>
      <c r="G613" s="29" t="n">
        <v>45729</v>
      </c>
      <c r="H613" s="29" t="n">
        <v>45729</v>
      </c>
      <c r="I613" s="30" t="n"/>
      <c r="J613" t="inlineStr">
        <is>
          <t>Z00.00</t>
        </is>
      </c>
      <c r="K613" t="inlineStr">
        <is>
          <t>Encounter for general adult medical examination without abnormal findings</t>
        </is>
      </c>
      <c r="L613" t="inlineStr">
        <is>
          <t>Factors Influencing Health</t>
        </is>
      </c>
      <c r="M613" t="inlineStr">
        <is>
          <t>Home/Self-Care</t>
        </is>
      </c>
      <c r="N613" t="inlineStr">
        <is>
          <t>Silverline Medicare Advantage</t>
        </is>
      </c>
      <c r="O613" s="31" t="n">
        <v>270.74</v>
      </c>
    </row>
    <row r="614">
      <c r="A614" t="inlineStr">
        <is>
          <t>ENC113235</t>
        </is>
      </c>
      <c r="B614" t="inlineStr">
        <is>
          <t>PT10092</t>
        </is>
      </c>
      <c r="C614" t="inlineStr">
        <is>
          <t>Outpatient</t>
        </is>
      </c>
      <c r="D614" t="inlineStr">
        <is>
          <t>Bluestone Outpatient Pavilion</t>
        </is>
      </c>
      <c r="E614" t="inlineStr">
        <is>
          <t>Endocrinology &amp; Diabetes Clinic</t>
        </is>
      </c>
      <c r="F614" t="inlineStr">
        <is>
          <t>Ambulatory</t>
        </is>
      </c>
      <c r="G614" s="29" t="n">
        <v>45729</v>
      </c>
      <c r="H614" s="29" t="n">
        <v>45729</v>
      </c>
      <c r="I614" s="30" t="n"/>
      <c r="J614" t="inlineStr">
        <is>
          <t>E11.9</t>
        </is>
      </c>
      <c r="K614" t="inlineStr">
        <is>
          <t>Type 2 diabetes mellitus without complications</t>
        </is>
      </c>
      <c r="L614" t="inlineStr">
        <is>
          <t>Endocrine</t>
        </is>
      </c>
      <c r="M614" t="inlineStr">
        <is>
          <t>Home/Self-Care</t>
        </is>
      </c>
      <c r="N614" t="inlineStr">
        <is>
          <t>Evergreen Mutual Insurance</t>
        </is>
      </c>
      <c r="O614" s="31" t="n">
        <v>187.12</v>
      </c>
    </row>
    <row r="615">
      <c r="A615" t="inlineStr">
        <is>
          <t>ENC113239</t>
        </is>
      </c>
      <c r="B615" t="inlineStr">
        <is>
          <t>PT12928</t>
        </is>
      </c>
      <c r="C615" t="inlineStr">
        <is>
          <t>Outpatient</t>
        </is>
      </c>
      <c r="D615" t="inlineStr">
        <is>
          <t>Bluestone Outpatient Pavilion</t>
        </is>
      </c>
      <c r="E615" t="inlineStr">
        <is>
          <t>Primary Care Clinic</t>
        </is>
      </c>
      <c r="F615" t="inlineStr">
        <is>
          <t>Ambulatory</t>
        </is>
      </c>
      <c r="G615" s="29" t="n">
        <v>45729</v>
      </c>
      <c r="H615" s="29" t="n">
        <v>45729</v>
      </c>
      <c r="I615" s="30" t="n"/>
      <c r="J615" t="inlineStr">
        <is>
          <t>Z23</t>
        </is>
      </c>
      <c r="K615" t="inlineStr">
        <is>
          <t>Encounter for immunization</t>
        </is>
      </c>
      <c r="L615" t="inlineStr">
        <is>
          <t>Factors Influencing Health</t>
        </is>
      </c>
      <c r="M615" t="inlineStr">
        <is>
          <t>Home/Self-Care</t>
        </is>
      </c>
      <c r="N615" t="inlineStr">
        <is>
          <t>Silverline Medicare Advantage</t>
        </is>
      </c>
      <c r="O615" s="31" t="n">
        <v>112.54</v>
      </c>
    </row>
    <row r="616">
      <c r="A616" t="inlineStr">
        <is>
          <t>ENC113240</t>
        </is>
      </c>
      <c r="B616" t="inlineStr">
        <is>
          <t>PT10484</t>
        </is>
      </c>
      <c r="C616" t="inlineStr">
        <is>
          <t>Emergency</t>
        </is>
      </c>
      <c r="D616" t="inlineStr">
        <is>
          <t>Bluestone Memorial Hospital</t>
        </is>
      </c>
      <c r="E616" t="inlineStr">
        <is>
          <t>Emergency Department</t>
        </is>
      </c>
      <c r="F616" t="inlineStr">
        <is>
          <t>Emergency</t>
        </is>
      </c>
      <c r="G616" s="29" t="n">
        <v>45729</v>
      </c>
      <c r="H616" s="29" t="n">
        <v>45729</v>
      </c>
      <c r="I616" s="30" t="n"/>
      <c r="J616" t="inlineStr">
        <is>
          <t>J06.9</t>
        </is>
      </c>
      <c r="K616" t="inlineStr">
        <is>
          <t>Acute upper respiratory infection, unspecified</t>
        </is>
      </c>
      <c r="L616" t="inlineStr">
        <is>
          <t>Respiratory</t>
        </is>
      </c>
      <c r="M616" t="inlineStr">
        <is>
          <t>Home/Self-Care</t>
        </is>
      </c>
      <c r="N616" t="inlineStr">
        <is>
          <t>Medicare</t>
        </is>
      </c>
      <c r="O616" s="31" t="n">
        <v>707.9</v>
      </c>
    </row>
    <row r="617">
      <c r="A617" t="inlineStr">
        <is>
          <t>ENC113241</t>
        </is>
      </c>
      <c r="B617" t="inlineStr">
        <is>
          <t>PT12804</t>
        </is>
      </c>
      <c r="C617" t="inlineStr">
        <is>
          <t>Outpatient</t>
        </is>
      </c>
      <c r="D617" t="inlineStr">
        <is>
          <t>Bluestone Outpatient Pavilion</t>
        </is>
      </c>
      <c r="E617" t="inlineStr">
        <is>
          <t>Infusion &amp; Oncology Clinic</t>
        </is>
      </c>
      <c r="F617" t="inlineStr">
        <is>
          <t>Oncology</t>
        </is>
      </c>
      <c r="G617" s="29" t="n">
        <v>45729</v>
      </c>
      <c r="H617" s="29" t="n">
        <v>45729</v>
      </c>
      <c r="I617" s="30" t="n"/>
      <c r="J617" t="inlineStr">
        <is>
          <t>C50.911</t>
        </is>
      </c>
      <c r="K617" t="inlineStr">
        <is>
          <t>Malignant neoplasm of unspecified site of right female breast</t>
        </is>
      </c>
      <c r="L617" t="inlineStr">
        <is>
          <t>Neoplasms</t>
        </is>
      </c>
      <c r="M617" t="inlineStr">
        <is>
          <t>Home/Self-Care</t>
        </is>
      </c>
      <c r="N617" t="inlineStr">
        <is>
          <t>State Medicaid</t>
        </is>
      </c>
      <c r="O617" s="31" t="n">
        <v>1470.22</v>
      </c>
    </row>
    <row r="618">
      <c r="A618" t="inlineStr">
        <is>
          <t>ENC113242</t>
        </is>
      </c>
      <c r="B618" t="inlineStr">
        <is>
          <t>PT10936</t>
        </is>
      </c>
      <c r="C618" t="inlineStr">
        <is>
          <t>Emergency</t>
        </is>
      </c>
      <c r="D618" t="inlineStr">
        <is>
          <t>Ashby Falls Community Hospital</t>
        </is>
      </c>
      <c r="E618" t="inlineStr">
        <is>
          <t>Emergency Department</t>
        </is>
      </c>
      <c r="F618" t="inlineStr">
        <is>
          <t>Emergency</t>
        </is>
      </c>
      <c r="G618" s="29" t="n">
        <v>45729</v>
      </c>
      <c r="H618" s="29" t="n">
        <v>45729</v>
      </c>
      <c r="I618" s="30" t="n"/>
      <c r="J618" t="inlineStr">
        <is>
          <t>K80.20</t>
        </is>
      </c>
      <c r="K618" t="inlineStr">
        <is>
          <t>Calculus of gallbladder without cholecystitis without obstruction</t>
        </is>
      </c>
      <c r="L618" t="inlineStr">
        <is>
          <t>Digestive</t>
        </is>
      </c>
      <c r="M618" t="inlineStr">
        <is>
          <t>Home/Self-Care</t>
        </is>
      </c>
      <c r="N618" t="inlineStr">
        <is>
          <t>Evergreen Mutual Insurance</t>
        </is>
      </c>
      <c r="O618" s="31" t="n">
        <v>3100.17</v>
      </c>
    </row>
    <row r="619">
      <c r="A619" t="inlineStr">
        <is>
          <t>ENC113244</t>
        </is>
      </c>
      <c r="B619" t="inlineStr">
        <is>
          <t>PT12800</t>
        </is>
      </c>
      <c r="C619" t="inlineStr">
        <is>
          <t>Outpatient</t>
        </is>
      </c>
      <c r="D619" t="inlineStr">
        <is>
          <t>Bluestone Outpatient Pavilion</t>
        </is>
      </c>
      <c r="E619" t="inlineStr">
        <is>
          <t>Orthopedic Clinic</t>
        </is>
      </c>
      <c r="F619" t="inlineStr">
        <is>
          <t>Orthopedics</t>
        </is>
      </c>
      <c r="G619" s="29" t="n">
        <v>45729</v>
      </c>
      <c r="H619" s="29" t="n">
        <v>45729</v>
      </c>
      <c r="I619" s="30" t="n"/>
      <c r="J619" t="inlineStr">
        <is>
          <t>M16.11</t>
        </is>
      </c>
      <c r="K619" t="inlineStr">
        <is>
          <t>Unilateral primary osteoarthritis, right hip</t>
        </is>
      </c>
      <c r="L619" t="inlineStr">
        <is>
          <t>Musculoskeletal</t>
        </is>
      </c>
      <c r="M619" t="inlineStr">
        <is>
          <t>Home/Self-Care</t>
        </is>
      </c>
      <c r="N619" t="inlineStr">
        <is>
          <t>Keystone Health Partners</t>
        </is>
      </c>
      <c r="O619" s="31" t="n">
        <v>444.49</v>
      </c>
    </row>
    <row r="620">
      <c r="A620" t="inlineStr">
        <is>
          <t>ENC113254</t>
        </is>
      </c>
      <c r="B620" t="inlineStr">
        <is>
          <t>PT13468</t>
        </is>
      </c>
      <c r="C620" t="inlineStr">
        <is>
          <t>Emergency</t>
        </is>
      </c>
      <c r="D620" t="inlineStr">
        <is>
          <t>Ashby Falls Community Hospital</t>
        </is>
      </c>
      <c r="E620" t="inlineStr">
        <is>
          <t>Emergency Department</t>
        </is>
      </c>
      <c r="F620" t="inlineStr">
        <is>
          <t>Emergency</t>
        </is>
      </c>
      <c r="G620" s="29" t="n">
        <v>45729</v>
      </c>
      <c r="H620" s="29" t="n">
        <v>45730</v>
      </c>
      <c r="I620" s="30" t="n"/>
      <c r="J620" t="inlineStr">
        <is>
          <t>R10.9</t>
        </is>
      </c>
      <c r="K620" t="inlineStr">
        <is>
          <t>Unspecified abdominal pain</t>
        </is>
      </c>
      <c r="L620" t="inlineStr">
        <is>
          <t>Symptoms &amp; Signs</t>
        </is>
      </c>
      <c r="M620" t="inlineStr">
        <is>
          <t>Home/Self-Care</t>
        </is>
      </c>
      <c r="N620" t="inlineStr">
        <is>
          <t>Keystone Health Partners</t>
        </is>
      </c>
      <c r="O620" s="31" t="n">
        <v>1235.23</v>
      </c>
    </row>
    <row r="621">
      <c r="A621" t="inlineStr">
        <is>
          <t>ENC113255</t>
        </is>
      </c>
      <c r="B621" t="inlineStr">
        <is>
          <t>PT13056</t>
        </is>
      </c>
      <c r="C621" t="inlineStr">
        <is>
          <t>Observation</t>
        </is>
      </c>
      <c r="D621" t="inlineStr">
        <is>
          <t>Bluestone Memorial Hospital</t>
        </is>
      </c>
      <c r="E621" t="inlineStr">
        <is>
          <t>Observation Unit</t>
        </is>
      </c>
      <c r="F621" t="inlineStr">
        <is>
          <t>Medicine</t>
        </is>
      </c>
      <c r="G621" s="29" t="n">
        <v>45730</v>
      </c>
      <c r="H621" s="29" t="n">
        <v>45731</v>
      </c>
      <c r="I621" s="30" t="n">
        <v>1</v>
      </c>
      <c r="J621" t="inlineStr">
        <is>
          <t>I48.91</t>
        </is>
      </c>
      <c r="K621" t="inlineStr">
        <is>
          <t>Unspecified atrial fibrillation</t>
        </is>
      </c>
      <c r="L621" t="inlineStr">
        <is>
          <t>Circulatory</t>
        </is>
      </c>
      <c r="M621" t="inlineStr">
        <is>
          <t>Home/Self-Care</t>
        </is>
      </c>
      <c r="N621" t="inlineStr">
        <is>
          <t>Silverline Medicare Advantage</t>
        </is>
      </c>
      <c r="O621" s="31" t="n">
        <v>5992.72</v>
      </c>
    </row>
    <row r="622">
      <c r="A622" t="inlineStr">
        <is>
          <t>ENC113256</t>
        </is>
      </c>
      <c r="B622" t="inlineStr">
        <is>
          <t>PT12308</t>
        </is>
      </c>
      <c r="C622" t="inlineStr">
        <is>
          <t>Emergency</t>
        </is>
      </c>
      <c r="D622" t="inlineStr">
        <is>
          <t>Bluestone Memorial Hospital</t>
        </is>
      </c>
      <c r="E622" t="inlineStr">
        <is>
          <t>Emergency Department</t>
        </is>
      </c>
      <c r="F622" t="inlineStr">
        <is>
          <t>Emergency</t>
        </is>
      </c>
      <c r="G622" s="29" t="n">
        <v>45730</v>
      </c>
      <c r="H622" s="29" t="n">
        <v>45730</v>
      </c>
      <c r="I622" s="30" t="n"/>
      <c r="J622" t="inlineStr">
        <is>
          <t>E86.0</t>
        </is>
      </c>
      <c r="K622" t="inlineStr">
        <is>
          <t>Dehydration</t>
        </is>
      </c>
      <c r="L622" t="inlineStr">
        <is>
          <t>Endocrine</t>
        </is>
      </c>
      <c r="M622" t="inlineStr">
        <is>
          <t>Home/Self-Care</t>
        </is>
      </c>
      <c r="N622" t="inlineStr">
        <is>
          <t>Medicare</t>
        </is>
      </c>
      <c r="O622" s="31" t="n">
        <v>1531.79</v>
      </c>
    </row>
    <row r="623">
      <c r="A623" t="inlineStr">
        <is>
          <t>ENC113257</t>
        </is>
      </c>
      <c r="B623" t="inlineStr">
        <is>
          <t>PT10876</t>
        </is>
      </c>
      <c r="C623" t="inlineStr">
        <is>
          <t>Inpatient</t>
        </is>
      </c>
      <c r="D623" t="inlineStr">
        <is>
          <t>Bluestone Memorial Hospital</t>
        </is>
      </c>
      <c r="E623" t="inlineStr">
        <is>
          <t>Orthopedics &amp; Spine</t>
        </is>
      </c>
      <c r="F623" t="inlineStr">
        <is>
          <t>Orthopedics</t>
        </is>
      </c>
      <c r="G623" s="29" t="n">
        <v>45730</v>
      </c>
      <c r="H623" s="29" t="n">
        <v>45732</v>
      </c>
      <c r="I623" s="30" t="n">
        <v>2</v>
      </c>
      <c r="J623" t="inlineStr">
        <is>
          <t>M17.11</t>
        </is>
      </c>
      <c r="K623" t="inlineStr">
        <is>
          <t>Unilateral primary osteoarthritis, right knee</t>
        </is>
      </c>
      <c r="L623" t="inlineStr">
        <is>
          <t>Musculoskeletal</t>
        </is>
      </c>
      <c r="M623" t="inlineStr">
        <is>
          <t>Home/Self-Care</t>
        </is>
      </c>
      <c r="N623" t="inlineStr">
        <is>
          <t>State Medicaid</t>
        </is>
      </c>
      <c r="O623" s="31" t="n">
        <v>50931.23</v>
      </c>
      <c r="P623" t="inlineStr">
        <is>
          <t>Y</t>
        </is>
      </c>
    </row>
    <row r="624">
      <c r="A624" t="inlineStr">
        <is>
          <t>ENC113261</t>
        </is>
      </c>
      <c r="B624" t="inlineStr">
        <is>
          <t>PT13088</t>
        </is>
      </c>
      <c r="C624" t="inlineStr">
        <is>
          <t>Outpatient</t>
        </is>
      </c>
      <c r="D624" t="inlineStr">
        <is>
          <t>Bluestone Outpatient Pavilion</t>
        </is>
      </c>
      <c r="E624" t="inlineStr">
        <is>
          <t>Primary Care Clinic</t>
        </is>
      </c>
      <c r="F624" t="inlineStr">
        <is>
          <t>Ambulatory</t>
        </is>
      </c>
      <c r="G624" s="29" t="n">
        <v>45730</v>
      </c>
      <c r="H624" s="29" t="n">
        <v>45730</v>
      </c>
      <c r="I624" s="30" t="n"/>
      <c r="J624" t="inlineStr">
        <is>
          <t>Z23</t>
        </is>
      </c>
      <c r="K624" t="inlineStr">
        <is>
          <t>Encounter for immunization</t>
        </is>
      </c>
      <c r="L624" t="inlineStr">
        <is>
          <t>Factors Influencing Health</t>
        </is>
      </c>
      <c r="M624" t="inlineStr">
        <is>
          <t>Home/Self-Care</t>
        </is>
      </c>
      <c r="N624" t="inlineStr">
        <is>
          <t>State Medicaid</t>
        </is>
      </c>
      <c r="O624" s="31" t="n">
        <v>99.97</v>
      </c>
    </row>
    <row r="625">
      <c r="A625" t="inlineStr">
        <is>
          <t>ENC113267</t>
        </is>
      </c>
      <c r="B625" t="inlineStr">
        <is>
          <t>PT12220</t>
        </is>
      </c>
      <c r="C625" t="inlineStr">
        <is>
          <t>Outpatient</t>
        </is>
      </c>
      <c r="D625" t="inlineStr">
        <is>
          <t>Bluestone Outpatient Pavilion</t>
        </is>
      </c>
      <c r="E625" t="inlineStr">
        <is>
          <t>Infusion &amp; Oncology Clinic</t>
        </is>
      </c>
      <c r="F625" t="inlineStr">
        <is>
          <t>Oncology</t>
        </is>
      </c>
      <c r="G625" s="29" t="n">
        <v>45730</v>
      </c>
      <c r="H625" s="29" t="n">
        <v>45730</v>
      </c>
      <c r="I625" s="30" t="n"/>
      <c r="J625" t="inlineStr">
        <is>
          <t>Z51.11</t>
        </is>
      </c>
      <c r="K625" t="inlineStr">
        <is>
          <t>Encounter for antineoplastic chemotherapy</t>
        </is>
      </c>
      <c r="L625" t="inlineStr">
        <is>
          <t>Factors Influencing Health</t>
        </is>
      </c>
      <c r="M625" t="inlineStr">
        <is>
          <t>Home/Self-Care</t>
        </is>
      </c>
      <c r="N625" t="inlineStr">
        <is>
          <t>Keystone Health Partners</t>
        </is>
      </c>
      <c r="O625" s="31" t="n">
        <v>15169.02</v>
      </c>
    </row>
    <row r="626">
      <c r="A626" t="inlineStr">
        <is>
          <t>ENC113271</t>
        </is>
      </c>
      <c r="B626" t="inlineStr">
        <is>
          <t>PT10956</t>
        </is>
      </c>
      <c r="C626" t="inlineStr">
        <is>
          <t>Outpatient</t>
        </is>
      </c>
      <c r="D626" t="inlineStr">
        <is>
          <t>Bluestone Outpatient Pavilion</t>
        </is>
      </c>
      <c r="E626" t="inlineStr">
        <is>
          <t>Endocrinology &amp; Diabetes Clinic</t>
        </is>
      </c>
      <c r="F626" t="inlineStr">
        <is>
          <t>Ambulatory</t>
        </is>
      </c>
      <c r="G626" s="29" t="n">
        <v>45730</v>
      </c>
      <c r="H626" s="29" t="n">
        <v>45730</v>
      </c>
      <c r="I626" s="30" t="n"/>
      <c r="J626" t="inlineStr">
        <is>
          <t>E11.9</t>
        </is>
      </c>
      <c r="K626" t="inlineStr">
        <is>
          <t>Type 2 diabetes mellitus without complications</t>
        </is>
      </c>
      <c r="L626" t="inlineStr">
        <is>
          <t>Endocrine</t>
        </is>
      </c>
      <c r="M626" t="inlineStr">
        <is>
          <t>Home/Self-Care</t>
        </is>
      </c>
      <c r="N626" t="inlineStr">
        <is>
          <t>Keystone Health Partners</t>
        </is>
      </c>
      <c r="O626" s="31" t="n">
        <v>347.43</v>
      </c>
    </row>
    <row r="627">
      <c r="A627" t="inlineStr">
        <is>
          <t>ENC113273</t>
        </is>
      </c>
      <c r="B627" t="inlineStr">
        <is>
          <t>PT10240</t>
        </is>
      </c>
      <c r="C627" t="inlineStr">
        <is>
          <t>Outpatient</t>
        </is>
      </c>
      <c r="D627" t="inlineStr">
        <is>
          <t>Bluestone Outpatient Pavilion</t>
        </is>
      </c>
      <c r="E627" t="inlineStr">
        <is>
          <t>Pediatric Clinic</t>
        </is>
      </c>
      <c r="F627" t="inlineStr">
        <is>
          <t>Women &amp; Children</t>
        </is>
      </c>
      <c r="G627" s="29" t="n">
        <v>45730</v>
      </c>
      <c r="H627" s="29" t="n">
        <v>45730</v>
      </c>
      <c r="I627" s="30" t="n"/>
      <c r="J627" t="inlineStr">
        <is>
          <t>H66.90</t>
        </is>
      </c>
      <c r="K627" t="inlineStr">
        <is>
          <t>Otitis media, unspecified, unspecified ear</t>
        </is>
      </c>
      <c r="L627" t="inlineStr">
        <is>
          <t>Ear</t>
        </is>
      </c>
      <c r="M627" t="inlineStr">
        <is>
          <t>Home/Self-Care</t>
        </is>
      </c>
      <c r="N627" t="inlineStr">
        <is>
          <t>State Medicaid</t>
        </is>
      </c>
      <c r="O627" s="31" t="n">
        <v>336.24</v>
      </c>
    </row>
    <row r="628">
      <c r="A628" t="inlineStr">
        <is>
          <t>ENC113274</t>
        </is>
      </c>
      <c r="B628" t="inlineStr">
        <is>
          <t>PT13740</t>
        </is>
      </c>
      <c r="C628" t="inlineStr">
        <is>
          <t>Outpatient</t>
        </is>
      </c>
      <c r="D628" t="inlineStr">
        <is>
          <t>Bluestone Outpatient Pavilion</t>
        </is>
      </c>
      <c r="E628" t="inlineStr">
        <is>
          <t>Pediatric Clinic</t>
        </is>
      </c>
      <c r="F628" t="inlineStr">
        <is>
          <t>Women &amp; Children</t>
        </is>
      </c>
      <c r="G628" s="29" t="n">
        <v>45730</v>
      </c>
      <c r="H628" s="29" t="n">
        <v>45730</v>
      </c>
      <c r="I628" s="30" t="n"/>
      <c r="J628" t="inlineStr">
        <is>
          <t>H66.90</t>
        </is>
      </c>
      <c r="K628" t="inlineStr">
        <is>
          <t>Otitis media, unspecified, unspecified ear</t>
        </is>
      </c>
      <c r="L628" t="inlineStr">
        <is>
          <t>Ear</t>
        </is>
      </c>
      <c r="M628" t="inlineStr">
        <is>
          <t>Home/Self-Care</t>
        </is>
      </c>
      <c r="N628" t="inlineStr">
        <is>
          <t>State Medicaid</t>
        </is>
      </c>
      <c r="O628" s="31" t="n">
        <v>465.45</v>
      </c>
    </row>
    <row r="629">
      <c r="A629" t="inlineStr">
        <is>
          <t>ENC113276</t>
        </is>
      </c>
      <c r="B629" t="inlineStr">
        <is>
          <t>PT13224</t>
        </is>
      </c>
      <c r="C629" t="inlineStr">
        <is>
          <t>Outpatient</t>
        </is>
      </c>
      <c r="D629" t="inlineStr">
        <is>
          <t>Bluestone Outpatient Pavilion</t>
        </is>
      </c>
      <c r="E629" t="inlineStr">
        <is>
          <t>Orthopedic Clinic</t>
        </is>
      </c>
      <c r="F629" t="inlineStr">
        <is>
          <t>Orthopedics</t>
        </is>
      </c>
      <c r="G629" s="29" t="n">
        <v>45730</v>
      </c>
      <c r="H629" s="29" t="n">
        <v>45730</v>
      </c>
      <c r="I629" s="30" t="n"/>
      <c r="J629" t="inlineStr">
        <is>
          <t>M17.11</t>
        </is>
      </c>
      <c r="K629" t="inlineStr">
        <is>
          <t>Unilateral primary osteoarthritis, right knee</t>
        </is>
      </c>
      <c r="L629" t="inlineStr">
        <is>
          <t>Musculoskeletal</t>
        </is>
      </c>
      <c r="M629" t="inlineStr">
        <is>
          <t>Home/Self-Care</t>
        </is>
      </c>
      <c r="N629" t="inlineStr">
        <is>
          <t>Silverline Medicare Advantage</t>
        </is>
      </c>
      <c r="O629" s="31" t="n">
        <v>395.22</v>
      </c>
    </row>
    <row r="630">
      <c r="A630" t="inlineStr">
        <is>
          <t>ENC113277</t>
        </is>
      </c>
      <c r="B630" t="inlineStr">
        <is>
          <t>PT10412</t>
        </is>
      </c>
      <c r="C630" t="inlineStr">
        <is>
          <t>Inpatient</t>
        </is>
      </c>
      <c r="D630" t="inlineStr">
        <is>
          <t>Bluestone Memorial Hospital</t>
        </is>
      </c>
      <c r="E630" t="inlineStr">
        <is>
          <t>Cardiac Step-Down</t>
        </is>
      </c>
      <c r="F630" t="inlineStr">
        <is>
          <t>Cardiovascular</t>
        </is>
      </c>
      <c r="G630" s="29" t="n">
        <v>45730</v>
      </c>
      <c r="H630" s="29" t="n">
        <v>45735</v>
      </c>
      <c r="I630" s="30" t="n">
        <v>5</v>
      </c>
      <c r="J630" t="inlineStr">
        <is>
          <t>I50.9</t>
        </is>
      </c>
      <c r="K630" t="inlineStr">
        <is>
          <t>Heart failure, unspecified</t>
        </is>
      </c>
      <c r="L630" t="inlineStr">
        <is>
          <t>Circulatory</t>
        </is>
      </c>
      <c r="M630" t="inlineStr">
        <is>
          <t>Home/Self-Care</t>
        </is>
      </c>
      <c r="N630" t="inlineStr">
        <is>
          <t>Self-Pay</t>
        </is>
      </c>
      <c r="O630" s="31" t="n">
        <v>22042.47</v>
      </c>
      <c r="P630" t="inlineStr">
        <is>
          <t>N</t>
        </is>
      </c>
    </row>
    <row r="631">
      <c r="A631" t="inlineStr">
        <is>
          <t>ENC113283</t>
        </is>
      </c>
      <c r="B631" t="inlineStr">
        <is>
          <t>PT11032</t>
        </is>
      </c>
      <c r="C631" t="inlineStr">
        <is>
          <t>Emergency</t>
        </is>
      </c>
      <c r="D631" t="inlineStr">
        <is>
          <t>Bluestone Memorial Hospital</t>
        </is>
      </c>
      <c r="E631" t="inlineStr">
        <is>
          <t>Emergency Department</t>
        </is>
      </c>
      <c r="F631" t="inlineStr">
        <is>
          <t>Emergency</t>
        </is>
      </c>
      <c r="G631" s="29" t="n">
        <v>45730</v>
      </c>
      <c r="H631" s="29" t="n">
        <v>45730</v>
      </c>
      <c r="I631" s="30" t="n"/>
      <c r="J631" t="inlineStr">
        <is>
          <t>J06.9</t>
        </is>
      </c>
      <c r="K631" t="inlineStr">
        <is>
          <t>Acute upper respiratory infection, unspecified</t>
        </is>
      </c>
      <c r="L631" t="inlineStr">
        <is>
          <t>Respiratory</t>
        </is>
      </c>
      <c r="M631" t="inlineStr">
        <is>
          <t>Home/Self-Care</t>
        </is>
      </c>
      <c r="N631" t="inlineStr">
        <is>
          <t>State Medicaid</t>
        </is>
      </c>
      <c r="O631" s="31" t="n">
        <v>1481.19</v>
      </c>
    </row>
    <row r="632">
      <c r="A632" t="inlineStr">
        <is>
          <t>ENC113284</t>
        </is>
      </c>
      <c r="B632" t="inlineStr">
        <is>
          <t>PT10364</t>
        </is>
      </c>
      <c r="C632" t="inlineStr">
        <is>
          <t>Inpatient</t>
        </is>
      </c>
      <c r="D632" t="inlineStr">
        <is>
          <t>Bluestone Memorial Hospital</t>
        </is>
      </c>
      <c r="E632" t="inlineStr">
        <is>
          <t>Medical-Surgical 4 West</t>
        </is>
      </c>
      <c r="F632" t="inlineStr">
        <is>
          <t>Medicine</t>
        </is>
      </c>
      <c r="G632" s="29" t="n">
        <v>45730</v>
      </c>
      <c r="H632" s="29" t="n">
        <v>45733</v>
      </c>
      <c r="I632" s="30" t="n">
        <v>3</v>
      </c>
      <c r="J632" t="inlineStr">
        <is>
          <t>K35.80</t>
        </is>
      </c>
      <c r="K632" t="inlineStr">
        <is>
          <t>Unspecified acute appendicitis</t>
        </is>
      </c>
      <c r="L632" t="inlineStr">
        <is>
          <t>Digestive</t>
        </is>
      </c>
      <c r="M632" t="inlineStr">
        <is>
          <t>Transfer to Another Hospital</t>
        </is>
      </c>
      <c r="N632" t="inlineStr">
        <is>
          <t>Medicare</t>
        </is>
      </c>
      <c r="O632" s="31" t="n">
        <v>24966.83</v>
      </c>
      <c r="P632" t="inlineStr">
        <is>
          <t>N</t>
        </is>
      </c>
    </row>
    <row r="633">
      <c r="A633" t="inlineStr">
        <is>
          <t>ENC113286</t>
        </is>
      </c>
      <c r="B633" t="inlineStr">
        <is>
          <t>PT10620</t>
        </is>
      </c>
      <c r="C633" t="inlineStr">
        <is>
          <t>Inpatient</t>
        </is>
      </c>
      <c r="D633" t="inlineStr">
        <is>
          <t>Ashby Falls Community Hospital</t>
        </is>
      </c>
      <c r="E633" t="inlineStr">
        <is>
          <t>Medical-Surgical</t>
        </is>
      </c>
      <c r="F633" t="inlineStr">
        <is>
          <t>Medicine</t>
        </is>
      </c>
      <c r="G633" s="29" t="n">
        <v>45730</v>
      </c>
      <c r="H633" s="29" t="n">
        <v>45733</v>
      </c>
      <c r="I633" s="30" t="n">
        <v>3</v>
      </c>
      <c r="J633" t="inlineStr">
        <is>
          <t>J44.1</t>
        </is>
      </c>
      <c r="K633" t="inlineStr">
        <is>
          <t>Chronic obstructive pulmonary disease with (acute) exacerbation</t>
        </is>
      </c>
      <c r="L633" t="inlineStr">
        <is>
          <t>Respiratory</t>
        </is>
      </c>
      <c r="M633" t="inlineStr">
        <is>
          <t>Home/Self-Care</t>
        </is>
      </c>
      <c r="N633" t="inlineStr">
        <is>
          <t>State Medicaid</t>
        </is>
      </c>
      <c r="O633" s="31" t="n">
        <v>11745.15</v>
      </c>
      <c r="P633" t="inlineStr">
        <is>
          <t>Y</t>
        </is>
      </c>
    </row>
    <row r="634">
      <c r="A634" t="inlineStr">
        <is>
          <t>ENC113287</t>
        </is>
      </c>
      <c r="B634" t="inlineStr">
        <is>
          <t>PT12852</t>
        </is>
      </c>
      <c r="C634" t="inlineStr">
        <is>
          <t>Emergency</t>
        </is>
      </c>
      <c r="D634" t="inlineStr">
        <is>
          <t>Bluestone Memorial Hospital</t>
        </is>
      </c>
      <c r="E634" t="inlineStr">
        <is>
          <t>Emergency Department</t>
        </is>
      </c>
      <c r="F634" t="inlineStr">
        <is>
          <t>Emergency</t>
        </is>
      </c>
      <c r="G634" s="29" t="n">
        <v>45731</v>
      </c>
      <c r="H634" s="29" t="n">
        <v>45731</v>
      </c>
      <c r="I634" s="30" t="n"/>
      <c r="J634" t="inlineStr">
        <is>
          <t>R55</t>
        </is>
      </c>
      <c r="K634" t="inlineStr">
        <is>
          <t>Syncope and collapse</t>
        </is>
      </c>
      <c r="L634" t="inlineStr">
        <is>
          <t>Symptoms &amp; Signs</t>
        </is>
      </c>
      <c r="M634" t="inlineStr">
        <is>
          <t>Home/Self-Care</t>
        </is>
      </c>
      <c r="N634" t="inlineStr">
        <is>
          <t>State Medicaid</t>
        </is>
      </c>
      <c r="O634" s="31" t="n">
        <v>3176.73</v>
      </c>
    </row>
    <row r="635">
      <c r="A635" t="inlineStr">
        <is>
          <t>ENC113288</t>
        </is>
      </c>
      <c r="B635" t="inlineStr">
        <is>
          <t>PT13004</t>
        </is>
      </c>
      <c r="C635" t="inlineStr">
        <is>
          <t>Emergency</t>
        </is>
      </c>
      <c r="D635" t="inlineStr">
        <is>
          <t>Bluestone Memorial Hospital</t>
        </is>
      </c>
      <c r="E635" t="inlineStr">
        <is>
          <t>Emergency Department</t>
        </is>
      </c>
      <c r="F635" t="inlineStr">
        <is>
          <t>Emergency</t>
        </is>
      </c>
      <c r="G635" s="29" t="n">
        <v>45731</v>
      </c>
      <c r="H635" s="29" t="n">
        <v>45731</v>
      </c>
      <c r="I635" s="30" t="n"/>
      <c r="J635" t="inlineStr">
        <is>
          <t>J06.9</t>
        </is>
      </c>
      <c r="K635" t="inlineStr">
        <is>
          <t>Acute upper respiratory infection, unspecified</t>
        </is>
      </c>
      <c r="L635" t="inlineStr">
        <is>
          <t>Respiratory</t>
        </is>
      </c>
      <c r="M635" t="inlineStr">
        <is>
          <t>Home/Self-Care</t>
        </is>
      </c>
      <c r="N635" t="inlineStr">
        <is>
          <t>Medicare</t>
        </is>
      </c>
      <c r="O635" s="31" t="n">
        <v>1135.47</v>
      </c>
    </row>
    <row r="636">
      <c r="A636" t="inlineStr">
        <is>
          <t>ENC113290</t>
        </is>
      </c>
      <c r="B636" t="inlineStr">
        <is>
          <t>PT10976</t>
        </is>
      </c>
      <c r="C636" t="inlineStr">
        <is>
          <t>Emergency</t>
        </is>
      </c>
      <c r="D636" t="inlineStr">
        <is>
          <t>Cedar Ridge Medical Center</t>
        </is>
      </c>
      <c r="E636" t="inlineStr">
        <is>
          <t>Emergency Department</t>
        </is>
      </c>
      <c r="F636" t="inlineStr">
        <is>
          <t>Emergency</t>
        </is>
      </c>
      <c r="G636" s="29" t="n">
        <v>45731</v>
      </c>
      <c r="H636" s="29" t="n">
        <v>45731</v>
      </c>
      <c r="I636" s="30" t="n"/>
      <c r="J636" t="inlineStr">
        <is>
          <t>J06.9</t>
        </is>
      </c>
      <c r="K636" t="inlineStr">
        <is>
          <t>Acute upper respiratory infection, unspecified</t>
        </is>
      </c>
      <c r="L636" t="inlineStr">
        <is>
          <t>Respiratory</t>
        </is>
      </c>
      <c r="M636" t="inlineStr">
        <is>
          <t>Home/Self-Care</t>
        </is>
      </c>
      <c r="N636" t="inlineStr">
        <is>
          <t>Keystone Health Partners</t>
        </is>
      </c>
      <c r="O636" s="31" t="n">
        <v>1450.04</v>
      </c>
    </row>
    <row r="637">
      <c r="A637" t="inlineStr">
        <is>
          <t>ENC113300</t>
        </is>
      </c>
      <c r="B637" t="inlineStr">
        <is>
          <t>PT12828</t>
        </is>
      </c>
      <c r="C637" t="inlineStr">
        <is>
          <t>Inpatient</t>
        </is>
      </c>
      <c r="D637" t="inlineStr">
        <is>
          <t>Bluestone Memorial Hospital</t>
        </is>
      </c>
      <c r="E637" t="inlineStr">
        <is>
          <t>Medical-Surgical 5 East</t>
        </is>
      </c>
      <c r="F637" t="inlineStr">
        <is>
          <t>Medicine</t>
        </is>
      </c>
      <c r="G637" s="29" t="n">
        <v>45731</v>
      </c>
      <c r="H637" s="29" t="n">
        <v>45739</v>
      </c>
      <c r="I637" s="30" t="n">
        <v>8</v>
      </c>
      <c r="J637" t="inlineStr">
        <is>
          <t>J18.9</t>
        </is>
      </c>
      <c r="K637" t="inlineStr">
        <is>
          <t>Pneumonia, unspecified organism</t>
        </is>
      </c>
      <c r="L637" t="inlineStr">
        <is>
          <t>Respiratory</t>
        </is>
      </c>
      <c r="M637" t="inlineStr">
        <is>
          <t>Home/Self-Care</t>
        </is>
      </c>
      <c r="N637" t="inlineStr">
        <is>
          <t>Silverline Medicare Advantage</t>
        </is>
      </c>
      <c r="O637" s="31" t="n">
        <v>51311.54</v>
      </c>
      <c r="P637" t="inlineStr">
        <is>
          <t>Y</t>
        </is>
      </c>
    </row>
    <row r="638">
      <c r="A638" t="inlineStr">
        <is>
          <t>ENC113305</t>
        </is>
      </c>
      <c r="B638" t="inlineStr">
        <is>
          <t>PT11408</t>
        </is>
      </c>
      <c r="C638" t="inlineStr">
        <is>
          <t>Inpatient</t>
        </is>
      </c>
      <c r="D638" t="inlineStr">
        <is>
          <t>Cedar Ridge Medical Center</t>
        </is>
      </c>
      <c r="E638" t="inlineStr">
        <is>
          <t>Medical-Surgical</t>
        </is>
      </c>
      <c r="F638" t="inlineStr">
        <is>
          <t>Medicine</t>
        </is>
      </c>
      <c r="G638" s="29" t="n">
        <v>45731</v>
      </c>
      <c r="H638" s="29" t="n">
        <v>45735</v>
      </c>
      <c r="I638" s="30" t="n">
        <v>4</v>
      </c>
      <c r="J638" t="inlineStr">
        <is>
          <t>U07.1</t>
        </is>
      </c>
      <c r="K638" t="inlineStr">
        <is>
          <t>COVID-19</t>
        </is>
      </c>
      <c r="L638" t="inlineStr">
        <is>
          <t>Respiratory</t>
        </is>
      </c>
      <c r="M638" t="inlineStr">
        <is>
          <t>Home/Self-Care</t>
        </is>
      </c>
      <c r="N638" t="inlineStr">
        <is>
          <t>State Medicaid</t>
        </is>
      </c>
      <c r="O638" s="31" t="n">
        <v>11780.94</v>
      </c>
      <c r="P638" t="inlineStr">
        <is>
          <t>N</t>
        </is>
      </c>
    </row>
    <row r="639">
      <c r="A639" t="inlineStr">
        <is>
          <t>ENC113308</t>
        </is>
      </c>
      <c r="B639" t="inlineStr">
        <is>
          <t>PT11488</t>
        </is>
      </c>
      <c r="C639" t="inlineStr">
        <is>
          <t>Inpatient</t>
        </is>
      </c>
      <c r="D639" t="inlineStr">
        <is>
          <t>Ashby Falls Community Hospital</t>
        </is>
      </c>
      <c r="E639" t="inlineStr">
        <is>
          <t>Medical-Surgical</t>
        </is>
      </c>
      <c r="F639" t="inlineStr">
        <is>
          <t>Medicine</t>
        </is>
      </c>
      <c r="G639" s="29" t="n">
        <v>45732</v>
      </c>
      <c r="H639" s="29" t="n">
        <v>45735</v>
      </c>
      <c r="I639" s="30" t="n">
        <v>3</v>
      </c>
      <c r="J639" t="inlineStr">
        <is>
          <t>I50.9</t>
        </is>
      </c>
      <c r="K639" t="inlineStr">
        <is>
          <t>Heart failure, unspecified</t>
        </is>
      </c>
      <c r="L639" t="inlineStr">
        <is>
          <t>Circulatory</t>
        </is>
      </c>
      <c r="M639" t="inlineStr">
        <is>
          <t>Skilled Nursing Facility</t>
        </is>
      </c>
      <c r="N639" t="inlineStr">
        <is>
          <t>Self-Pay</t>
        </is>
      </c>
      <c r="O639" s="31" t="n">
        <v>29297.3</v>
      </c>
      <c r="P639" t="inlineStr">
        <is>
          <t>N</t>
        </is>
      </c>
    </row>
    <row r="640">
      <c r="A640" t="inlineStr">
        <is>
          <t>ENC113309</t>
        </is>
      </c>
      <c r="B640" t="inlineStr">
        <is>
          <t>PT12392</t>
        </is>
      </c>
      <c r="C640" t="inlineStr">
        <is>
          <t>Observation</t>
        </is>
      </c>
      <c r="D640" t="inlineStr">
        <is>
          <t>Bluestone Memorial Hospital</t>
        </is>
      </c>
      <c r="E640" t="inlineStr">
        <is>
          <t>Observation Unit</t>
        </is>
      </c>
      <c r="F640" t="inlineStr">
        <is>
          <t>Medicine</t>
        </is>
      </c>
      <c r="G640" s="29" t="n">
        <v>45731</v>
      </c>
      <c r="H640" s="29" t="n">
        <v>45732</v>
      </c>
      <c r="I640" s="30" t="n">
        <v>1</v>
      </c>
      <c r="J640" t="inlineStr">
        <is>
          <t>E86.0</t>
        </is>
      </c>
      <c r="K640" t="inlineStr">
        <is>
          <t>Dehydration</t>
        </is>
      </c>
      <c r="L640" t="inlineStr">
        <is>
          <t>Endocrine</t>
        </is>
      </c>
      <c r="M640" t="inlineStr">
        <is>
          <t>Home/Self-Care</t>
        </is>
      </c>
      <c r="N640" t="inlineStr">
        <is>
          <t>Keystone Health Partners</t>
        </is>
      </c>
      <c r="O640" s="31" t="n">
        <v>8381.120000000001</v>
      </c>
    </row>
    <row r="641">
      <c r="A641" t="inlineStr">
        <is>
          <t>ENC113311</t>
        </is>
      </c>
      <c r="B641" t="inlineStr">
        <is>
          <t>PT12124</t>
        </is>
      </c>
      <c r="C641" t="inlineStr">
        <is>
          <t>Emergency</t>
        </is>
      </c>
      <c r="D641" t="inlineStr">
        <is>
          <t>Cedar Ridge Medical Center</t>
        </is>
      </c>
      <c r="E641" t="inlineStr">
        <is>
          <t>Emergency Department</t>
        </is>
      </c>
      <c r="F641" t="inlineStr">
        <is>
          <t>Emergency</t>
        </is>
      </c>
      <c r="G641" s="29" t="n">
        <v>45732</v>
      </c>
      <c r="H641" s="29" t="n">
        <v>45732</v>
      </c>
      <c r="I641" s="30" t="n"/>
      <c r="J641" t="inlineStr">
        <is>
          <t>R55</t>
        </is>
      </c>
      <c r="K641" t="inlineStr">
        <is>
          <t>Syncope and collapse</t>
        </is>
      </c>
      <c r="L641" t="inlineStr">
        <is>
          <t>Symptoms &amp; Signs</t>
        </is>
      </c>
      <c r="M641" t="inlineStr">
        <is>
          <t>Home/Self-Care</t>
        </is>
      </c>
      <c r="N641" t="inlineStr">
        <is>
          <t>Keystone Health Partners</t>
        </is>
      </c>
      <c r="O641" s="31" t="n">
        <v>3893</v>
      </c>
    </row>
    <row r="642">
      <c r="A642" t="inlineStr">
        <is>
          <t>ENC113319</t>
        </is>
      </c>
      <c r="B642" t="inlineStr">
        <is>
          <t>PT12240</t>
        </is>
      </c>
      <c r="C642" t="inlineStr">
        <is>
          <t>Observation</t>
        </is>
      </c>
      <c r="D642" t="inlineStr">
        <is>
          <t>Ashby Falls Community Hospital</t>
        </is>
      </c>
      <c r="E642" t="inlineStr">
        <is>
          <t>Medical-Surgical</t>
        </is>
      </c>
      <c r="F642" t="inlineStr">
        <is>
          <t>Medicine</t>
        </is>
      </c>
      <c r="G642" s="29" t="n">
        <v>45732</v>
      </c>
      <c r="H642" s="29" t="n">
        <v>45733</v>
      </c>
      <c r="I642" s="30" t="n">
        <v>1</v>
      </c>
      <c r="J642" t="inlineStr">
        <is>
          <t>R10.9</t>
        </is>
      </c>
      <c r="K642" t="inlineStr">
        <is>
          <t>Unspecified abdominal pain</t>
        </is>
      </c>
      <c r="L642" t="inlineStr">
        <is>
          <t>Symptoms &amp; Signs</t>
        </is>
      </c>
      <c r="M642" t="inlineStr">
        <is>
          <t>Home/Self-Care</t>
        </is>
      </c>
      <c r="N642" t="inlineStr">
        <is>
          <t>Evergreen Mutual Insurance</t>
        </is>
      </c>
      <c r="O642" s="31" t="n">
        <v>6983.53</v>
      </c>
    </row>
    <row r="643">
      <c r="A643" t="inlineStr">
        <is>
          <t>ENC113324</t>
        </is>
      </c>
      <c r="B643" t="inlineStr">
        <is>
          <t>PT13072</t>
        </is>
      </c>
      <c r="C643" t="inlineStr">
        <is>
          <t>Inpatient</t>
        </is>
      </c>
      <c r="D643" t="inlineStr">
        <is>
          <t>Ashby Falls Community Hospital</t>
        </is>
      </c>
      <c r="E643" t="inlineStr">
        <is>
          <t>Medical-Surgical</t>
        </is>
      </c>
      <c r="F643" t="inlineStr">
        <is>
          <t>Medicine</t>
        </is>
      </c>
      <c r="G643" s="29" t="n">
        <v>45732</v>
      </c>
      <c r="H643" s="29" t="n">
        <v>45739</v>
      </c>
      <c r="I643" s="30" t="n">
        <v>7</v>
      </c>
      <c r="J643" t="inlineStr">
        <is>
          <t>N39.0</t>
        </is>
      </c>
      <c r="K643" t="inlineStr">
        <is>
          <t>Urinary tract infection, site not specified</t>
        </is>
      </c>
      <c r="L643" t="inlineStr">
        <is>
          <t>Genitourinary</t>
        </is>
      </c>
      <c r="M643" t="inlineStr">
        <is>
          <t>Home/Self-Care</t>
        </is>
      </c>
      <c r="N643" t="inlineStr">
        <is>
          <t>Silverline Medicare Advantage</t>
        </is>
      </c>
      <c r="O643" s="31" t="n">
        <v>29577.11</v>
      </c>
      <c r="P643" t="inlineStr">
        <is>
          <t>Y</t>
        </is>
      </c>
    </row>
    <row r="644">
      <c r="A644" t="inlineStr">
        <is>
          <t>ENC113325</t>
        </is>
      </c>
      <c r="B644" t="inlineStr">
        <is>
          <t>PT13492</t>
        </is>
      </c>
      <c r="C644" t="inlineStr">
        <is>
          <t>Inpatient</t>
        </is>
      </c>
      <c r="D644" t="inlineStr">
        <is>
          <t>Cedar Ridge Medical Center</t>
        </is>
      </c>
      <c r="E644" t="inlineStr">
        <is>
          <t>Orthopedics</t>
        </is>
      </c>
      <c r="F644" t="inlineStr">
        <is>
          <t>Orthopedics</t>
        </is>
      </c>
      <c r="G644" s="29" t="n">
        <v>45732</v>
      </c>
      <c r="H644" s="29" t="n">
        <v>45741</v>
      </c>
      <c r="I644" s="30" t="n">
        <v>9</v>
      </c>
      <c r="J644" t="inlineStr">
        <is>
          <t>S72.001A</t>
        </is>
      </c>
      <c r="K644" t="inlineStr">
        <is>
          <t>Fracture of unspecified part of neck of right femur, initial encounter</t>
        </is>
      </c>
      <c r="L644" t="inlineStr">
        <is>
          <t>Injury</t>
        </is>
      </c>
      <c r="M644" t="inlineStr">
        <is>
          <t>Skilled Nursing Facility</t>
        </is>
      </c>
      <c r="N644" t="inlineStr">
        <is>
          <t>Self-Pay</t>
        </is>
      </c>
      <c r="O644" s="31" t="n">
        <v>59145.9</v>
      </c>
      <c r="P644" t="inlineStr">
        <is>
          <t>N</t>
        </is>
      </c>
    </row>
    <row r="645">
      <c r="A645" t="inlineStr">
        <is>
          <t>ENC113327</t>
        </is>
      </c>
      <c r="B645" t="inlineStr">
        <is>
          <t>PT10416</t>
        </is>
      </c>
      <c r="C645" t="inlineStr">
        <is>
          <t>Inpatient</t>
        </is>
      </c>
      <c r="D645" t="inlineStr">
        <is>
          <t>Bluestone Memorial Hospital</t>
        </is>
      </c>
      <c r="E645" t="inlineStr">
        <is>
          <t>Medical-Surgical 4 West</t>
        </is>
      </c>
      <c r="F645" t="inlineStr">
        <is>
          <t>Medicine</t>
        </is>
      </c>
      <c r="G645" s="29" t="n">
        <v>45732</v>
      </c>
      <c r="H645" s="29" t="n">
        <v>45740</v>
      </c>
      <c r="I645" s="30" t="n">
        <v>8</v>
      </c>
      <c r="J645" t="inlineStr">
        <is>
          <t>J18.9</t>
        </is>
      </c>
      <c r="K645" t="inlineStr">
        <is>
          <t>Pneumonia, unspecified organism</t>
        </is>
      </c>
      <c r="L645" t="inlineStr">
        <is>
          <t>Respiratory</t>
        </is>
      </c>
      <c r="M645" t="inlineStr">
        <is>
          <t>Skilled Nursing Facility</t>
        </is>
      </c>
      <c r="N645" t="inlineStr">
        <is>
          <t>Self-Pay</t>
        </is>
      </c>
      <c r="O645" s="31" t="n">
        <v>24708.91</v>
      </c>
      <c r="P645" t="inlineStr">
        <is>
          <t>Y</t>
        </is>
      </c>
    </row>
    <row r="646">
      <c r="A646" t="inlineStr">
        <is>
          <t>ENC113333</t>
        </is>
      </c>
      <c r="B646" t="inlineStr">
        <is>
          <t>PT10948</t>
        </is>
      </c>
      <c r="C646" t="inlineStr">
        <is>
          <t>Emergency</t>
        </is>
      </c>
      <c r="D646" t="inlineStr">
        <is>
          <t>Bluestone Memorial Hospital</t>
        </is>
      </c>
      <c r="E646" t="inlineStr">
        <is>
          <t>Emergency Department</t>
        </is>
      </c>
      <c r="F646" t="inlineStr">
        <is>
          <t>Emergency</t>
        </is>
      </c>
      <c r="G646" s="29" t="n">
        <v>45733</v>
      </c>
      <c r="H646" s="29" t="n">
        <v>45733</v>
      </c>
      <c r="I646" s="30" t="n"/>
      <c r="J646" t="inlineStr">
        <is>
          <t>L03.115</t>
        </is>
      </c>
      <c r="K646" t="inlineStr">
        <is>
          <t>Cellulitis of right lower limb</t>
        </is>
      </c>
      <c r="L646" t="inlineStr">
        <is>
          <t>Skin</t>
        </is>
      </c>
      <c r="M646" t="inlineStr">
        <is>
          <t>Home/Self-Care</t>
        </is>
      </c>
      <c r="N646" t="inlineStr">
        <is>
          <t>State Medicaid</t>
        </is>
      </c>
      <c r="O646" s="31" t="n">
        <v>2037.6</v>
      </c>
    </row>
    <row r="647">
      <c r="A647" t="inlineStr">
        <is>
          <t>ENC113336</t>
        </is>
      </c>
      <c r="B647" t="inlineStr">
        <is>
          <t>PT10140</t>
        </is>
      </c>
      <c r="C647" t="inlineStr">
        <is>
          <t>Observation</t>
        </is>
      </c>
      <c r="D647" t="inlineStr">
        <is>
          <t>Bluestone Memorial Hospital</t>
        </is>
      </c>
      <c r="E647" t="inlineStr">
        <is>
          <t>Observation Unit</t>
        </is>
      </c>
      <c r="F647" t="inlineStr">
        <is>
          <t>Medicine</t>
        </is>
      </c>
      <c r="G647" s="29" t="n">
        <v>45733</v>
      </c>
      <c r="H647" s="29" t="n">
        <v>45734</v>
      </c>
      <c r="I647" s="30" t="n">
        <v>1</v>
      </c>
      <c r="J647" t="inlineStr">
        <is>
          <t>J21.9</t>
        </is>
      </c>
      <c r="K647" t="inlineStr">
        <is>
          <t>Acute bronchiolitis, unspecified</t>
        </is>
      </c>
      <c r="L647" t="inlineStr">
        <is>
          <t>Respiratory</t>
        </is>
      </c>
      <c r="M647" t="inlineStr">
        <is>
          <t>Home/Self-Care</t>
        </is>
      </c>
      <c r="N647" t="inlineStr">
        <is>
          <t>Summit Choice PPO</t>
        </is>
      </c>
      <c r="O647" s="31" t="n">
        <v>5511.06</v>
      </c>
    </row>
    <row r="648">
      <c r="A648" t="inlineStr">
        <is>
          <t>ENC113337</t>
        </is>
      </c>
      <c r="B648" t="inlineStr">
        <is>
          <t>PT12976</t>
        </is>
      </c>
      <c r="C648" t="inlineStr">
        <is>
          <t>Emergency</t>
        </is>
      </c>
      <c r="D648" t="inlineStr">
        <is>
          <t>Bluestone Memorial Hospital</t>
        </is>
      </c>
      <c r="E648" t="inlineStr">
        <is>
          <t>Emergency Department</t>
        </is>
      </c>
      <c r="F648" t="inlineStr">
        <is>
          <t>Emergency</t>
        </is>
      </c>
      <c r="G648" s="29" t="n">
        <v>45733</v>
      </c>
      <c r="H648" s="29" t="n">
        <v>45733</v>
      </c>
      <c r="I648" s="30" t="n"/>
      <c r="J648" t="inlineStr">
        <is>
          <t>G40.909</t>
        </is>
      </c>
      <c r="K648" t="inlineStr">
        <is>
          <t>Epilepsy, unspecified, not intractable, without status epilepticus</t>
        </is>
      </c>
      <c r="L648" t="inlineStr">
        <is>
          <t>Nervous System</t>
        </is>
      </c>
      <c r="M648" t="inlineStr">
        <is>
          <t>Home/Self-Care</t>
        </is>
      </c>
      <c r="N648" t="inlineStr">
        <is>
          <t>Medicare</t>
        </is>
      </c>
      <c r="O648" s="31" t="n">
        <v>1389.41</v>
      </c>
    </row>
    <row r="649">
      <c r="A649" t="inlineStr">
        <is>
          <t>ENC113338</t>
        </is>
      </c>
      <c r="B649" t="inlineStr">
        <is>
          <t>PT13540</t>
        </is>
      </c>
      <c r="C649" t="inlineStr">
        <is>
          <t>Emergency</t>
        </is>
      </c>
      <c r="D649" t="inlineStr">
        <is>
          <t>Bluestone Memorial Hospital</t>
        </is>
      </c>
      <c r="E649" t="inlineStr">
        <is>
          <t>Emergency Department</t>
        </is>
      </c>
      <c r="F649" t="inlineStr">
        <is>
          <t>Emergency</t>
        </is>
      </c>
      <c r="G649" s="29" t="n">
        <v>45733</v>
      </c>
      <c r="H649" s="29" t="n">
        <v>45733</v>
      </c>
      <c r="I649" s="30" t="n"/>
      <c r="J649" t="inlineStr">
        <is>
          <t>A08.4</t>
        </is>
      </c>
      <c r="K649" t="inlineStr">
        <is>
          <t>Viral intestinal infection, unspecified</t>
        </is>
      </c>
      <c r="L649" t="inlineStr">
        <is>
          <t>Infectious</t>
        </is>
      </c>
      <c r="M649" t="inlineStr">
        <is>
          <t>Home/Self-Care</t>
        </is>
      </c>
      <c r="N649" t="inlineStr">
        <is>
          <t>Silverline Medicare Advantage</t>
        </is>
      </c>
      <c r="O649" s="31" t="n">
        <v>1536.73</v>
      </c>
    </row>
    <row r="650">
      <c r="A650" t="inlineStr">
        <is>
          <t>ENC113340</t>
        </is>
      </c>
      <c r="B650" t="inlineStr">
        <is>
          <t>PT11504</t>
        </is>
      </c>
      <c r="C650" t="inlineStr">
        <is>
          <t>Inpatient</t>
        </is>
      </c>
      <c r="D650" t="inlineStr">
        <is>
          <t>Bluestone Memorial Hospital</t>
        </is>
      </c>
      <c r="E650" t="inlineStr">
        <is>
          <t>Medical-Surgical 5 East</t>
        </is>
      </c>
      <c r="F650" t="inlineStr">
        <is>
          <t>Medicine</t>
        </is>
      </c>
      <c r="G650" s="29" t="n">
        <v>45733</v>
      </c>
      <c r="H650" s="29" t="n">
        <v>45738</v>
      </c>
      <c r="I650" s="30" t="n">
        <v>5</v>
      </c>
      <c r="J650" t="inlineStr">
        <is>
          <t>J18.9</t>
        </is>
      </c>
      <c r="K650" t="inlineStr">
        <is>
          <t>Pneumonia, unspecified organism</t>
        </is>
      </c>
      <c r="L650" t="inlineStr">
        <is>
          <t>Respiratory</t>
        </is>
      </c>
      <c r="M650" t="inlineStr">
        <is>
          <t>Home/Self-Care</t>
        </is>
      </c>
      <c r="N650" t="inlineStr">
        <is>
          <t>Medicare</t>
        </is>
      </c>
      <c r="O650" s="31" t="n">
        <v>16881.86</v>
      </c>
      <c r="P650" t="inlineStr">
        <is>
          <t>N</t>
        </is>
      </c>
    </row>
    <row r="651">
      <c r="A651" t="inlineStr">
        <is>
          <t>ENC113345</t>
        </is>
      </c>
      <c r="B651" t="inlineStr">
        <is>
          <t>PT12192</t>
        </is>
      </c>
      <c r="C651" t="inlineStr">
        <is>
          <t>Outpatient</t>
        </is>
      </c>
      <c r="D651" t="inlineStr">
        <is>
          <t>Bluestone Outpatient Pavilion</t>
        </is>
      </c>
      <c r="E651" t="inlineStr">
        <is>
          <t>Primary Care Clinic</t>
        </is>
      </c>
      <c r="F651" t="inlineStr">
        <is>
          <t>Ambulatory</t>
        </is>
      </c>
      <c r="G651" s="29" t="n">
        <v>45733</v>
      </c>
      <c r="H651" s="29" t="n">
        <v>45733</v>
      </c>
      <c r="I651" s="30" t="n"/>
      <c r="J651" t="inlineStr">
        <is>
          <t>Z00.00</t>
        </is>
      </c>
      <c r="K651" t="inlineStr">
        <is>
          <t>Encounter for general adult medical examination without abnormal findings</t>
        </is>
      </c>
      <c r="L651" t="inlineStr">
        <is>
          <t>Factors Influencing Health</t>
        </is>
      </c>
      <c r="M651" t="inlineStr">
        <is>
          <t>Home/Self-Care</t>
        </is>
      </c>
      <c r="N651" t="inlineStr">
        <is>
          <t>Evergreen Mutual Insurance</t>
        </is>
      </c>
      <c r="O651" s="31" t="n">
        <v>174</v>
      </c>
    </row>
    <row r="652">
      <c r="A652" t="inlineStr">
        <is>
          <t>ENC113348</t>
        </is>
      </c>
      <c r="B652" t="inlineStr">
        <is>
          <t>PT13068</t>
        </is>
      </c>
      <c r="C652" t="inlineStr">
        <is>
          <t>Outpatient</t>
        </is>
      </c>
      <c r="D652" t="inlineStr">
        <is>
          <t>Bluestone Outpatient Pavilion</t>
        </is>
      </c>
      <c r="E652" t="inlineStr">
        <is>
          <t>Primary Care Clinic</t>
        </is>
      </c>
      <c r="F652" t="inlineStr">
        <is>
          <t>Ambulatory</t>
        </is>
      </c>
      <c r="G652" s="29" t="n">
        <v>45733</v>
      </c>
      <c r="H652" s="29" t="n">
        <v>45733</v>
      </c>
      <c r="I652" s="30" t="n"/>
      <c r="J652" t="inlineStr">
        <is>
          <t>Z00.00</t>
        </is>
      </c>
      <c r="K652" t="inlineStr">
        <is>
          <t>Encounter for general adult medical examination without abnormal findings</t>
        </is>
      </c>
      <c r="L652" t="inlineStr">
        <is>
          <t>Factors Influencing Health</t>
        </is>
      </c>
      <c r="M652" t="inlineStr">
        <is>
          <t>Home/Self-Care</t>
        </is>
      </c>
      <c r="N652" t="inlineStr">
        <is>
          <t>Keystone Health Partners</t>
        </is>
      </c>
      <c r="O652" s="31" t="n">
        <v>346.77</v>
      </c>
    </row>
    <row r="653">
      <c r="A653" t="inlineStr">
        <is>
          <t>ENC113349</t>
        </is>
      </c>
      <c r="B653" t="inlineStr">
        <is>
          <t>PT10896</t>
        </is>
      </c>
      <c r="C653" t="inlineStr">
        <is>
          <t>Emergency</t>
        </is>
      </c>
      <c r="D653" t="inlineStr">
        <is>
          <t>Bluestone Memorial Hospital</t>
        </is>
      </c>
      <c r="E653" t="inlineStr">
        <is>
          <t>Emergency Department</t>
        </is>
      </c>
      <c r="F653" t="inlineStr">
        <is>
          <t>Emergency</t>
        </is>
      </c>
      <c r="G653" s="29" t="n">
        <v>45733</v>
      </c>
      <c r="H653" s="29" t="n">
        <v>45733</v>
      </c>
      <c r="I653" s="30" t="n"/>
      <c r="J653" t="inlineStr">
        <is>
          <t>U07.1</t>
        </is>
      </c>
      <c r="K653" t="inlineStr">
        <is>
          <t>COVID-19</t>
        </is>
      </c>
      <c r="L653" t="inlineStr">
        <is>
          <t>Respiratory</t>
        </is>
      </c>
      <c r="M653" t="inlineStr">
        <is>
          <t>Home/Self-Care</t>
        </is>
      </c>
      <c r="N653" t="inlineStr">
        <is>
          <t>State Medicaid</t>
        </is>
      </c>
      <c r="O653" s="31" t="n">
        <v>3472.44</v>
      </c>
    </row>
    <row r="654">
      <c r="A654" t="inlineStr">
        <is>
          <t>ENC113355</t>
        </is>
      </c>
      <c r="B654" t="inlineStr">
        <is>
          <t>PT13820</t>
        </is>
      </c>
      <c r="C654" t="inlineStr">
        <is>
          <t>Emergency</t>
        </is>
      </c>
      <c r="D654" t="inlineStr">
        <is>
          <t>Bluestone Memorial Hospital</t>
        </is>
      </c>
      <c r="E654" t="inlineStr">
        <is>
          <t>Emergency Department</t>
        </is>
      </c>
      <c r="F654" t="inlineStr">
        <is>
          <t>Emergency</t>
        </is>
      </c>
      <c r="G654" s="29" t="n">
        <v>45733</v>
      </c>
      <c r="H654" s="29" t="n">
        <v>45733</v>
      </c>
      <c r="I654" s="30" t="n"/>
      <c r="J654" t="inlineStr">
        <is>
          <t>R07.9</t>
        </is>
      </c>
      <c r="K654" t="inlineStr">
        <is>
          <t>Chest pain, unspecified</t>
        </is>
      </c>
      <c r="L654" t="inlineStr">
        <is>
          <t>Symptoms &amp; Signs</t>
        </is>
      </c>
      <c r="M654" t="inlineStr">
        <is>
          <t>Home/Self-Care</t>
        </is>
      </c>
      <c r="N654" t="inlineStr">
        <is>
          <t>Summit Choice PPO</t>
        </is>
      </c>
      <c r="O654" s="31" t="n">
        <v>3713.56</v>
      </c>
    </row>
    <row r="655">
      <c r="A655" t="inlineStr">
        <is>
          <t>ENC113359</t>
        </is>
      </c>
      <c r="B655" t="inlineStr">
        <is>
          <t>PT10480</t>
        </is>
      </c>
      <c r="C655" t="inlineStr">
        <is>
          <t>Observation</t>
        </is>
      </c>
      <c r="D655" t="inlineStr">
        <is>
          <t>Bluestone Memorial Hospital</t>
        </is>
      </c>
      <c r="E655" t="inlineStr">
        <is>
          <t>Observation Unit</t>
        </is>
      </c>
      <c r="F655" t="inlineStr">
        <is>
          <t>Medicine</t>
        </is>
      </c>
      <c r="G655" s="29" t="n">
        <v>45733</v>
      </c>
      <c r="H655" s="29" t="n">
        <v>45735</v>
      </c>
      <c r="I655" s="30" t="n">
        <v>2</v>
      </c>
      <c r="J655" t="inlineStr">
        <is>
          <t>J21.9</t>
        </is>
      </c>
      <c r="K655" t="inlineStr">
        <is>
          <t>Acute bronchiolitis, unspecified</t>
        </is>
      </c>
      <c r="L655" t="inlineStr">
        <is>
          <t>Respiratory</t>
        </is>
      </c>
      <c r="M655" t="inlineStr">
        <is>
          <t>Home/Self-Care</t>
        </is>
      </c>
      <c r="N655" t="inlineStr">
        <is>
          <t>State Medicaid</t>
        </is>
      </c>
      <c r="O655" s="31" t="n">
        <v>8623.040000000001</v>
      </c>
    </row>
    <row r="656">
      <c r="A656" t="inlineStr">
        <is>
          <t>ENC113363</t>
        </is>
      </c>
      <c r="B656" t="inlineStr">
        <is>
          <t>PT10700</t>
        </is>
      </c>
      <c r="C656" t="inlineStr">
        <is>
          <t>Inpatient</t>
        </is>
      </c>
      <c r="D656" t="inlineStr">
        <is>
          <t>Ashby Falls Community Hospital</t>
        </is>
      </c>
      <c r="E656" t="inlineStr">
        <is>
          <t>Medical-Surgical</t>
        </is>
      </c>
      <c r="F656" t="inlineStr">
        <is>
          <t>Medicine</t>
        </is>
      </c>
      <c r="G656" s="29" t="n">
        <v>45733</v>
      </c>
      <c r="H656" s="29" t="n">
        <v>45739</v>
      </c>
      <c r="I656" s="30" t="n">
        <v>6</v>
      </c>
      <c r="J656" t="inlineStr">
        <is>
          <t>J44.1</t>
        </is>
      </c>
      <c r="K656" t="inlineStr">
        <is>
          <t>Chronic obstructive pulmonary disease with (acute) exacerbation</t>
        </is>
      </c>
      <c r="L656" t="inlineStr">
        <is>
          <t>Respiratory</t>
        </is>
      </c>
      <c r="M656" t="inlineStr">
        <is>
          <t>Home/Self-Care</t>
        </is>
      </c>
      <c r="N656" t="inlineStr">
        <is>
          <t>Keystone Health Partners</t>
        </is>
      </c>
      <c r="O656" s="31" t="n">
        <v>22143.82</v>
      </c>
      <c r="P656" t="inlineStr">
        <is>
          <t>N</t>
        </is>
      </c>
    </row>
    <row r="657">
      <c r="A657" t="inlineStr">
        <is>
          <t>ENC113365</t>
        </is>
      </c>
      <c r="B657" t="inlineStr">
        <is>
          <t>PT12904</t>
        </is>
      </c>
      <c r="C657" t="inlineStr">
        <is>
          <t>Inpatient</t>
        </is>
      </c>
      <c r="D657" t="inlineStr">
        <is>
          <t>Ashby Falls Community Hospital</t>
        </is>
      </c>
      <c r="E657" t="inlineStr">
        <is>
          <t>Intensive Care Unit</t>
        </is>
      </c>
      <c r="F657" t="inlineStr">
        <is>
          <t>Critical Care</t>
        </is>
      </c>
      <c r="G657" s="29" t="n">
        <v>45733</v>
      </c>
      <c r="H657" s="29" t="n">
        <v>45749</v>
      </c>
      <c r="I657" s="30" t="n">
        <v>16</v>
      </c>
      <c r="J657" t="inlineStr">
        <is>
          <t>K92.2</t>
        </is>
      </c>
      <c r="K657" t="inlineStr">
        <is>
          <t>Gastrointestinal hemorrhage, unspecified</t>
        </is>
      </c>
      <c r="L657" t="inlineStr">
        <is>
          <t>Digestive</t>
        </is>
      </c>
      <c r="M657" t="inlineStr">
        <is>
          <t>Home/Self-Care</t>
        </is>
      </c>
      <c r="N657" t="inlineStr">
        <is>
          <t>Summit Choice PPO</t>
        </is>
      </c>
      <c r="O657" s="31" t="n">
        <v>125594.18</v>
      </c>
      <c r="P657" t="inlineStr">
        <is>
          <t>N</t>
        </is>
      </c>
    </row>
    <row r="658">
      <c r="A658" t="inlineStr">
        <is>
          <t>ENC113368</t>
        </is>
      </c>
      <c r="B658" t="inlineStr">
        <is>
          <t>PT11024</t>
        </is>
      </c>
      <c r="C658" t="inlineStr">
        <is>
          <t>Emergency</t>
        </is>
      </c>
      <c r="D658" t="inlineStr">
        <is>
          <t>Bluestone Memorial Hospital</t>
        </is>
      </c>
      <c r="E658" t="inlineStr">
        <is>
          <t>Emergency Department</t>
        </is>
      </c>
      <c r="F658" t="inlineStr">
        <is>
          <t>Emergency</t>
        </is>
      </c>
      <c r="G658" s="29" t="n">
        <v>45733</v>
      </c>
      <c r="H658" s="29" t="n">
        <v>45734</v>
      </c>
      <c r="I658" s="30" t="n"/>
      <c r="J658" t="inlineStr">
        <is>
          <t>J06.9</t>
        </is>
      </c>
      <c r="K658" t="inlineStr">
        <is>
          <t>Acute upper respiratory infection, unspecified</t>
        </is>
      </c>
      <c r="L658" t="inlineStr">
        <is>
          <t>Respiratory</t>
        </is>
      </c>
      <c r="M658" t="inlineStr">
        <is>
          <t>Home/Self-Care</t>
        </is>
      </c>
      <c r="N658" t="inlineStr">
        <is>
          <t>Evergreen Mutual Insurance</t>
        </is>
      </c>
      <c r="O658" s="31" t="n">
        <v>916.96</v>
      </c>
    </row>
    <row r="659">
      <c r="A659" t="inlineStr">
        <is>
          <t>ENC113372</t>
        </is>
      </c>
      <c r="B659" t="inlineStr">
        <is>
          <t>PT10536</t>
        </is>
      </c>
      <c r="C659" t="inlineStr">
        <is>
          <t>Emergency</t>
        </is>
      </c>
      <c r="D659" t="inlineStr">
        <is>
          <t>Ashby Falls Community Hospital</t>
        </is>
      </c>
      <c r="E659" t="inlineStr">
        <is>
          <t>Emergency Department</t>
        </is>
      </c>
      <c r="F659" t="inlineStr">
        <is>
          <t>Emergency</t>
        </is>
      </c>
      <c r="G659" s="29" t="n">
        <v>45734</v>
      </c>
      <c r="H659" s="29" t="n">
        <v>45734</v>
      </c>
      <c r="I659" s="30" t="n"/>
      <c r="J659" t="inlineStr">
        <is>
          <t>J06.9</t>
        </is>
      </c>
      <c r="K659" t="inlineStr">
        <is>
          <t>Acute upper respiratory infection, unspecified</t>
        </is>
      </c>
      <c r="L659" t="inlineStr">
        <is>
          <t>Respiratory</t>
        </is>
      </c>
      <c r="M659" t="inlineStr">
        <is>
          <t>Home/Self-Care</t>
        </is>
      </c>
      <c r="N659" t="inlineStr">
        <is>
          <t>Keystone Health Partners</t>
        </is>
      </c>
      <c r="O659" s="31" t="n">
        <v>1540.26</v>
      </c>
    </row>
    <row r="660">
      <c r="A660" t="inlineStr">
        <is>
          <t>ENC113375</t>
        </is>
      </c>
      <c r="B660" t="inlineStr">
        <is>
          <t>PT10388</t>
        </is>
      </c>
      <c r="C660" t="inlineStr">
        <is>
          <t>Inpatient</t>
        </is>
      </c>
      <c r="D660" t="inlineStr">
        <is>
          <t>Bluestone Memorial Hospital</t>
        </is>
      </c>
      <c r="E660" t="inlineStr">
        <is>
          <t>Orthopedics &amp; Spine</t>
        </is>
      </c>
      <c r="F660" t="inlineStr">
        <is>
          <t>Orthopedics</t>
        </is>
      </c>
      <c r="G660" s="29" t="n">
        <v>45734</v>
      </c>
      <c r="H660" s="29" t="n">
        <v>45737</v>
      </c>
      <c r="I660" s="30" t="n">
        <v>3</v>
      </c>
      <c r="J660" t="inlineStr">
        <is>
          <t>M17.11</t>
        </is>
      </c>
      <c r="K660" t="inlineStr">
        <is>
          <t>Unilateral primary osteoarthritis, right knee</t>
        </is>
      </c>
      <c r="L660" t="inlineStr">
        <is>
          <t>Musculoskeletal</t>
        </is>
      </c>
      <c r="M660" t="inlineStr">
        <is>
          <t>Home/Self-Care</t>
        </is>
      </c>
      <c r="N660" t="inlineStr">
        <is>
          <t>Medicare</t>
        </is>
      </c>
      <c r="O660" s="31" t="n">
        <v>38565.32</v>
      </c>
      <c r="P660" t="inlineStr">
        <is>
          <t>N</t>
        </is>
      </c>
    </row>
    <row r="661">
      <c r="A661" t="inlineStr">
        <is>
          <t>ENC113383</t>
        </is>
      </c>
      <c r="B661" t="inlineStr">
        <is>
          <t>PT10976</t>
        </is>
      </c>
      <c r="C661" t="inlineStr">
        <is>
          <t>Outpatient</t>
        </is>
      </c>
      <c r="D661" t="inlineStr">
        <is>
          <t>Bluestone Outpatient Pavilion</t>
        </is>
      </c>
      <c r="E661" t="inlineStr">
        <is>
          <t>Primary Care Clinic</t>
        </is>
      </c>
      <c r="F661" t="inlineStr">
        <is>
          <t>Ambulatory</t>
        </is>
      </c>
      <c r="G661" s="29" t="n">
        <v>45734</v>
      </c>
      <c r="H661" s="29" t="n">
        <v>45734</v>
      </c>
      <c r="I661" s="30" t="n"/>
      <c r="J661" t="inlineStr">
        <is>
          <t>F32.9</t>
        </is>
      </c>
      <c r="K661" t="inlineStr">
        <is>
          <t>Major depressive disorder, single episode, unspecified</t>
        </is>
      </c>
      <c r="L661" t="inlineStr">
        <is>
          <t>Mental &amp; Behavioral</t>
        </is>
      </c>
      <c r="M661" t="inlineStr">
        <is>
          <t>Home/Self-Care</t>
        </is>
      </c>
      <c r="N661" t="inlineStr">
        <is>
          <t>Keystone Health Partners</t>
        </is>
      </c>
      <c r="O661" s="31" t="n">
        <v>510.16</v>
      </c>
    </row>
    <row r="662">
      <c r="A662" t="inlineStr">
        <is>
          <t>ENC113386</t>
        </is>
      </c>
      <c r="B662" t="inlineStr">
        <is>
          <t>PT13568</t>
        </is>
      </c>
      <c r="C662" t="inlineStr">
        <is>
          <t>Outpatient</t>
        </is>
      </c>
      <c r="D662" t="inlineStr">
        <is>
          <t>Bluestone Outpatient Pavilion</t>
        </is>
      </c>
      <c r="E662" t="inlineStr">
        <is>
          <t>Pediatric Clinic</t>
        </is>
      </c>
      <c r="F662" t="inlineStr">
        <is>
          <t>Women &amp; Children</t>
        </is>
      </c>
      <c r="G662" s="29" t="n">
        <v>45734</v>
      </c>
      <c r="H662" s="29" t="n">
        <v>45734</v>
      </c>
      <c r="I662" s="30" t="n"/>
      <c r="J662" t="inlineStr">
        <is>
          <t>Z00.129</t>
        </is>
      </c>
      <c r="K662" t="inlineStr">
        <is>
          <t>Encounter for routine child health examination without abnormal findings</t>
        </is>
      </c>
      <c r="L662" t="inlineStr">
        <is>
          <t>Factors Influencing Health</t>
        </is>
      </c>
      <c r="M662" t="inlineStr">
        <is>
          <t>Home/Self-Care</t>
        </is>
      </c>
      <c r="N662" t="inlineStr">
        <is>
          <t>Self-Pay</t>
        </is>
      </c>
      <c r="O662" s="31" t="n">
        <v>399.45</v>
      </c>
    </row>
    <row r="663">
      <c r="A663" t="inlineStr">
        <is>
          <t>ENC113396</t>
        </is>
      </c>
      <c r="B663" t="inlineStr">
        <is>
          <t>PT11528</t>
        </is>
      </c>
      <c r="C663" t="inlineStr">
        <is>
          <t>Outpatient</t>
        </is>
      </c>
      <c r="D663" t="inlineStr">
        <is>
          <t>Bluestone Outpatient Pavilion</t>
        </is>
      </c>
      <c r="E663" t="inlineStr">
        <is>
          <t>Orthopedic Clinic</t>
        </is>
      </c>
      <c r="F663" t="inlineStr">
        <is>
          <t>Orthopedics</t>
        </is>
      </c>
      <c r="G663" s="29" t="n">
        <v>45734</v>
      </c>
      <c r="H663" s="29" t="n">
        <v>45734</v>
      </c>
      <c r="I663" s="30" t="n"/>
      <c r="J663" t="inlineStr">
        <is>
          <t>M17.11</t>
        </is>
      </c>
      <c r="K663" t="inlineStr">
        <is>
          <t>Unilateral primary osteoarthritis, right knee</t>
        </is>
      </c>
      <c r="L663" t="inlineStr">
        <is>
          <t>Musculoskeletal</t>
        </is>
      </c>
      <c r="M663" t="inlineStr">
        <is>
          <t>Home/Self-Care</t>
        </is>
      </c>
      <c r="N663" t="inlineStr">
        <is>
          <t>Summit Choice PPO</t>
        </is>
      </c>
      <c r="O663" s="31" t="n">
        <v>361.99</v>
      </c>
    </row>
    <row r="664">
      <c r="A664" t="inlineStr">
        <is>
          <t>ENC113402</t>
        </is>
      </c>
      <c r="B664" t="inlineStr">
        <is>
          <t>PT12728</t>
        </is>
      </c>
      <c r="C664" t="inlineStr">
        <is>
          <t>Emergency</t>
        </is>
      </c>
      <c r="D664" t="inlineStr">
        <is>
          <t>Bluestone Memorial Hospital</t>
        </is>
      </c>
      <c r="E664" t="inlineStr">
        <is>
          <t>Emergency Department</t>
        </is>
      </c>
      <c r="F664" t="inlineStr">
        <is>
          <t>Emergency</t>
        </is>
      </c>
      <c r="G664" s="29" t="n">
        <v>45734</v>
      </c>
      <c r="H664" s="29" t="n">
        <v>45734</v>
      </c>
      <c r="I664" s="30" t="n"/>
      <c r="J664" t="inlineStr">
        <is>
          <t>S06.0X0A</t>
        </is>
      </c>
      <c r="K664" t="inlineStr">
        <is>
          <t>Concussion without loss of consciousness, initial encounter</t>
        </is>
      </c>
      <c r="L664" t="inlineStr">
        <is>
          <t>Injury</t>
        </is>
      </c>
      <c r="M664" t="inlineStr">
        <is>
          <t>Home/Self-Care</t>
        </is>
      </c>
      <c r="N664" t="inlineStr">
        <is>
          <t>State Medicaid</t>
        </is>
      </c>
      <c r="O664" s="31" t="n">
        <v>3348.83</v>
      </c>
    </row>
    <row r="665">
      <c r="A665" t="inlineStr">
        <is>
          <t>ENC113404</t>
        </is>
      </c>
      <c r="B665" t="inlineStr">
        <is>
          <t>PT13456</t>
        </is>
      </c>
      <c r="C665" t="inlineStr">
        <is>
          <t>Observation</t>
        </is>
      </c>
      <c r="D665" t="inlineStr">
        <is>
          <t>Bluestone Memorial Hospital</t>
        </is>
      </c>
      <c r="E665" t="inlineStr">
        <is>
          <t>Observation Unit</t>
        </is>
      </c>
      <c r="F665" t="inlineStr">
        <is>
          <t>Medicine</t>
        </is>
      </c>
      <c r="G665" s="29" t="n">
        <v>45734</v>
      </c>
      <c r="H665" s="29" t="n">
        <v>45735</v>
      </c>
      <c r="I665" s="30" t="n">
        <v>1</v>
      </c>
      <c r="J665" t="inlineStr">
        <is>
          <t>R10.9</t>
        </is>
      </c>
      <c r="K665" t="inlineStr">
        <is>
          <t>Unspecified abdominal pain</t>
        </is>
      </c>
      <c r="L665" t="inlineStr">
        <is>
          <t>Symptoms &amp; Signs</t>
        </is>
      </c>
      <c r="M665" t="inlineStr">
        <is>
          <t>Home/Self-Care</t>
        </is>
      </c>
      <c r="N665" t="inlineStr">
        <is>
          <t>Summit Choice PPO</t>
        </is>
      </c>
      <c r="O665" s="31" t="n">
        <v>9683.969999999999</v>
      </c>
    </row>
    <row r="666">
      <c r="A666" t="inlineStr">
        <is>
          <t>ENC113408</t>
        </is>
      </c>
      <c r="B666" t="inlineStr">
        <is>
          <t>PT12748</t>
        </is>
      </c>
      <c r="C666" t="inlineStr">
        <is>
          <t>Emergency</t>
        </is>
      </c>
      <c r="D666" t="inlineStr">
        <is>
          <t>Cedar Ridge Medical Center</t>
        </is>
      </c>
      <c r="E666" t="inlineStr">
        <is>
          <t>Emergency Department</t>
        </is>
      </c>
      <c r="F666" t="inlineStr">
        <is>
          <t>Emergency</t>
        </is>
      </c>
      <c r="G666" s="29" t="n">
        <v>45735</v>
      </c>
      <c r="H666" s="29" t="n">
        <v>45735</v>
      </c>
      <c r="I666" s="30" t="n"/>
      <c r="J666" t="inlineStr">
        <is>
          <t>J06.9</t>
        </is>
      </c>
      <c r="K666" t="inlineStr">
        <is>
          <t>Acute upper respiratory infection, unspecified</t>
        </is>
      </c>
      <c r="L666" t="inlineStr">
        <is>
          <t>Respiratory</t>
        </is>
      </c>
      <c r="M666" t="inlineStr">
        <is>
          <t>Home/Self-Care</t>
        </is>
      </c>
      <c r="N666" t="inlineStr">
        <is>
          <t>Summit Choice PPO</t>
        </is>
      </c>
      <c r="O666" s="31" t="n">
        <v>626.54</v>
      </c>
    </row>
    <row r="667">
      <c r="A667" t="inlineStr">
        <is>
          <t>ENC113409</t>
        </is>
      </c>
      <c r="B667" t="inlineStr">
        <is>
          <t>PT12080</t>
        </is>
      </c>
      <c r="C667" t="inlineStr">
        <is>
          <t>Emergency</t>
        </is>
      </c>
      <c r="D667" t="inlineStr">
        <is>
          <t>Bluestone Memorial Hospital</t>
        </is>
      </c>
      <c r="E667" t="inlineStr">
        <is>
          <t>Emergency Department</t>
        </is>
      </c>
      <c r="F667" t="inlineStr">
        <is>
          <t>Emergency</t>
        </is>
      </c>
      <c r="G667" s="29" t="n">
        <v>45735</v>
      </c>
      <c r="H667" s="29" t="n">
        <v>45735</v>
      </c>
      <c r="I667" s="30" t="n"/>
      <c r="J667" t="inlineStr">
        <is>
          <t>G43.909</t>
        </is>
      </c>
      <c r="K667" t="inlineStr">
        <is>
          <t>Migraine, unspecified, not intractable, without status migrainosus</t>
        </is>
      </c>
      <c r="L667" t="inlineStr">
        <is>
          <t>Nervous System</t>
        </is>
      </c>
      <c r="M667" t="inlineStr">
        <is>
          <t>Home/Self-Care</t>
        </is>
      </c>
      <c r="N667" t="inlineStr">
        <is>
          <t>Self-Pay</t>
        </is>
      </c>
      <c r="O667" s="31" t="n">
        <v>1299.39</v>
      </c>
    </row>
    <row r="668">
      <c r="A668" t="inlineStr">
        <is>
          <t>ENC113411</t>
        </is>
      </c>
      <c r="B668" t="inlineStr">
        <is>
          <t>PT10884</t>
        </is>
      </c>
      <c r="C668" t="inlineStr">
        <is>
          <t>Outpatient</t>
        </is>
      </c>
      <c r="D668" t="inlineStr">
        <is>
          <t>Bluestone Outpatient Pavilion</t>
        </is>
      </c>
      <c r="E668" t="inlineStr">
        <is>
          <t>Primary Care Clinic</t>
        </is>
      </c>
      <c r="F668" t="inlineStr">
        <is>
          <t>Ambulatory</t>
        </is>
      </c>
      <c r="G668" s="29" t="n">
        <v>45735</v>
      </c>
      <c r="H668" s="29" t="n">
        <v>45735</v>
      </c>
      <c r="I668" s="30" t="n"/>
      <c r="J668" t="inlineStr">
        <is>
          <t>E78.5</t>
        </is>
      </c>
      <c r="K668" t="inlineStr">
        <is>
          <t>Hyperlipidemia, unspecified</t>
        </is>
      </c>
      <c r="L668" t="inlineStr">
        <is>
          <t>Endocrine</t>
        </is>
      </c>
      <c r="M668" t="inlineStr">
        <is>
          <t>Home/Self-Care</t>
        </is>
      </c>
      <c r="N668" t="inlineStr">
        <is>
          <t>Silverline Medicare Advantage</t>
        </is>
      </c>
      <c r="O668" s="31" t="n">
        <v>507.36</v>
      </c>
    </row>
    <row r="669">
      <c r="A669" t="inlineStr">
        <is>
          <t>ENC113412</t>
        </is>
      </c>
      <c r="B669" t="inlineStr">
        <is>
          <t>PT13724</t>
        </is>
      </c>
      <c r="C669" t="inlineStr">
        <is>
          <t>Emergency</t>
        </is>
      </c>
      <c r="D669" t="inlineStr">
        <is>
          <t>Bluestone Memorial Hospital</t>
        </is>
      </c>
      <c r="E669" t="inlineStr">
        <is>
          <t>Emergency Department</t>
        </is>
      </c>
      <c r="F669" t="inlineStr">
        <is>
          <t>Emergency</t>
        </is>
      </c>
      <c r="G669" s="29" t="n">
        <v>45735</v>
      </c>
      <c r="H669" s="29" t="n">
        <v>45735</v>
      </c>
      <c r="I669" s="30" t="n"/>
      <c r="J669" t="inlineStr">
        <is>
          <t>R07.9</t>
        </is>
      </c>
      <c r="K669" t="inlineStr">
        <is>
          <t>Chest pain, unspecified</t>
        </is>
      </c>
      <c r="L669" t="inlineStr">
        <is>
          <t>Symptoms &amp; Signs</t>
        </is>
      </c>
      <c r="M669" t="inlineStr">
        <is>
          <t>Home/Self-Care</t>
        </is>
      </c>
      <c r="N669" t="inlineStr">
        <is>
          <t>State Medicaid</t>
        </is>
      </c>
      <c r="O669" s="31" t="n">
        <v>3075.87</v>
      </c>
    </row>
    <row r="670">
      <c r="A670" t="inlineStr">
        <is>
          <t>ENC113420</t>
        </is>
      </c>
      <c r="B670" t="inlineStr">
        <is>
          <t>PT10100</t>
        </is>
      </c>
      <c r="C670" t="inlineStr">
        <is>
          <t>Outpatient</t>
        </is>
      </c>
      <c r="D670" t="inlineStr">
        <is>
          <t>Bluestone Outpatient Pavilion</t>
        </is>
      </c>
      <c r="E670" t="inlineStr">
        <is>
          <t>Infusion &amp; Oncology Clinic</t>
        </is>
      </c>
      <c r="F670" t="inlineStr">
        <is>
          <t>Oncology</t>
        </is>
      </c>
      <c r="G670" s="29" t="n">
        <v>45735</v>
      </c>
      <c r="H670" s="29" t="n">
        <v>45735</v>
      </c>
      <c r="I670" s="30" t="n"/>
      <c r="J670" t="inlineStr">
        <is>
          <t>Z51.11</t>
        </is>
      </c>
      <c r="K670" t="inlineStr">
        <is>
          <t>Encounter for antineoplastic chemotherapy</t>
        </is>
      </c>
      <c r="L670" t="inlineStr">
        <is>
          <t>Factors Influencing Health</t>
        </is>
      </c>
      <c r="M670" t="inlineStr">
        <is>
          <t>Home/Self-Care</t>
        </is>
      </c>
      <c r="N670" t="inlineStr">
        <is>
          <t>Keystone Health Partners</t>
        </is>
      </c>
      <c r="O670" s="31" t="n">
        <v>10980.16</v>
      </c>
    </row>
    <row r="671">
      <c r="A671" t="inlineStr">
        <is>
          <t>ENC113425</t>
        </is>
      </c>
      <c r="B671" t="inlineStr">
        <is>
          <t>PT11836</t>
        </is>
      </c>
      <c r="C671" t="inlineStr">
        <is>
          <t>Outpatient</t>
        </is>
      </c>
      <c r="D671" t="inlineStr">
        <is>
          <t>Bluestone Outpatient Pavilion</t>
        </is>
      </c>
      <c r="E671" t="inlineStr">
        <is>
          <t>Pediatric Clinic</t>
        </is>
      </c>
      <c r="F671" t="inlineStr">
        <is>
          <t>Women &amp; Children</t>
        </is>
      </c>
      <c r="G671" s="29" t="n">
        <v>45735</v>
      </c>
      <c r="H671" s="29" t="n">
        <v>45735</v>
      </c>
      <c r="I671" s="30" t="n"/>
      <c r="J671" t="inlineStr">
        <is>
          <t>Z00.129</t>
        </is>
      </c>
      <c r="K671" t="inlineStr">
        <is>
          <t>Encounter for routine child health examination without abnormal findings</t>
        </is>
      </c>
      <c r="L671" t="inlineStr">
        <is>
          <t>Factors Influencing Health</t>
        </is>
      </c>
      <c r="M671" t="inlineStr">
        <is>
          <t>Home/Self-Care</t>
        </is>
      </c>
      <c r="N671" t="inlineStr">
        <is>
          <t>Evergreen Mutual Insurance</t>
        </is>
      </c>
      <c r="O671" s="31" t="n">
        <v>239.76</v>
      </c>
    </row>
    <row r="672">
      <c r="A672" t="inlineStr">
        <is>
          <t>ENC113429</t>
        </is>
      </c>
      <c r="B672" t="inlineStr">
        <is>
          <t>PT12504</t>
        </is>
      </c>
      <c r="C672" t="inlineStr">
        <is>
          <t>Outpatient</t>
        </is>
      </c>
      <c r="D672" t="inlineStr">
        <is>
          <t>Bluestone Outpatient Pavilion</t>
        </is>
      </c>
      <c r="E672" t="inlineStr">
        <is>
          <t>Primary Care Clinic</t>
        </is>
      </c>
      <c r="F672" t="inlineStr">
        <is>
          <t>Ambulatory</t>
        </is>
      </c>
      <c r="G672" s="29" t="n">
        <v>45735</v>
      </c>
      <c r="H672" s="29" t="n">
        <v>45735</v>
      </c>
      <c r="I672" s="30" t="n"/>
      <c r="J672" t="inlineStr">
        <is>
          <t>I10</t>
        </is>
      </c>
      <c r="K672" t="inlineStr">
        <is>
          <t>Essential (primary) hypertension</t>
        </is>
      </c>
      <c r="L672" t="inlineStr">
        <is>
          <t>Circulatory</t>
        </is>
      </c>
      <c r="M672" t="inlineStr">
        <is>
          <t>Home/Self-Care</t>
        </is>
      </c>
      <c r="N672" t="inlineStr">
        <is>
          <t>Medicare</t>
        </is>
      </c>
      <c r="O672" s="31" t="n">
        <v>378.02</v>
      </c>
    </row>
    <row r="673">
      <c r="A673" t="inlineStr">
        <is>
          <t>ENC113430</t>
        </is>
      </c>
      <c r="B673" t="inlineStr">
        <is>
          <t>PT11564</t>
        </is>
      </c>
      <c r="C673" t="inlineStr">
        <is>
          <t>Outpatient</t>
        </is>
      </c>
      <c r="D673" t="inlineStr">
        <is>
          <t>Bluestone Outpatient Pavilion</t>
        </is>
      </c>
      <c r="E673" t="inlineStr">
        <is>
          <t>Primary Care Clinic</t>
        </is>
      </c>
      <c r="F673" t="inlineStr">
        <is>
          <t>Ambulatory</t>
        </is>
      </c>
      <c r="G673" s="29" t="n">
        <v>45735</v>
      </c>
      <c r="H673" s="29" t="n">
        <v>45735</v>
      </c>
      <c r="I673" s="30" t="n"/>
      <c r="J673" t="inlineStr">
        <is>
          <t>I10</t>
        </is>
      </c>
      <c r="K673" t="inlineStr">
        <is>
          <t>Essential (primary) hypertension</t>
        </is>
      </c>
      <c r="L673" t="inlineStr">
        <is>
          <t>Circulatory</t>
        </is>
      </c>
      <c r="M673" t="inlineStr">
        <is>
          <t>Home/Self-Care</t>
        </is>
      </c>
      <c r="N673" t="inlineStr">
        <is>
          <t>Medicare</t>
        </is>
      </c>
      <c r="O673" s="31" t="n">
        <v>185.5</v>
      </c>
    </row>
    <row r="674">
      <c r="A674" t="inlineStr">
        <is>
          <t>ENC113437</t>
        </is>
      </c>
      <c r="B674" t="inlineStr">
        <is>
          <t>PT10204</t>
        </is>
      </c>
      <c r="C674" t="inlineStr">
        <is>
          <t>Emergency</t>
        </is>
      </c>
      <c r="D674" t="inlineStr">
        <is>
          <t>Bluestone Memorial Hospital</t>
        </is>
      </c>
      <c r="E674" t="inlineStr">
        <is>
          <t>Emergency Department</t>
        </is>
      </c>
      <c r="F674" t="inlineStr">
        <is>
          <t>Emergency</t>
        </is>
      </c>
      <c r="G674" s="29" t="n">
        <v>45735</v>
      </c>
      <c r="H674" s="29" t="n">
        <v>45735</v>
      </c>
      <c r="I674" s="30" t="n"/>
      <c r="J674" t="inlineStr">
        <is>
          <t>R10.9</t>
        </is>
      </c>
      <c r="K674" t="inlineStr">
        <is>
          <t>Unspecified abdominal pain</t>
        </is>
      </c>
      <c r="L674" t="inlineStr">
        <is>
          <t>Symptoms &amp; Signs</t>
        </is>
      </c>
      <c r="M674" t="inlineStr">
        <is>
          <t>Home/Self-Care</t>
        </is>
      </c>
      <c r="N674" t="inlineStr">
        <is>
          <t>Keystone Health Partners</t>
        </is>
      </c>
      <c r="O674" s="31" t="n">
        <v>3105.29</v>
      </c>
    </row>
    <row r="675">
      <c r="A675" t="inlineStr">
        <is>
          <t>ENC113440</t>
        </is>
      </c>
      <c r="B675" t="inlineStr">
        <is>
          <t>PT11396</t>
        </is>
      </c>
      <c r="C675" t="inlineStr">
        <is>
          <t>Emergency</t>
        </is>
      </c>
      <c r="D675" t="inlineStr">
        <is>
          <t>Bluestone Memorial Hospital</t>
        </is>
      </c>
      <c r="E675" t="inlineStr">
        <is>
          <t>Emergency Department</t>
        </is>
      </c>
      <c r="F675" t="inlineStr">
        <is>
          <t>Emergency</t>
        </is>
      </c>
      <c r="G675" s="29" t="n">
        <v>45735</v>
      </c>
      <c r="H675" s="29" t="n">
        <v>45735</v>
      </c>
      <c r="I675" s="30" t="n"/>
      <c r="J675" t="inlineStr">
        <is>
          <t>R07.9</t>
        </is>
      </c>
      <c r="K675" t="inlineStr">
        <is>
          <t>Chest pain, unspecified</t>
        </is>
      </c>
      <c r="L675" t="inlineStr">
        <is>
          <t>Symptoms &amp; Signs</t>
        </is>
      </c>
      <c r="M675" t="inlineStr">
        <is>
          <t>Home/Self-Care</t>
        </is>
      </c>
      <c r="N675" t="inlineStr">
        <is>
          <t>Keystone Health Partners</t>
        </is>
      </c>
      <c r="O675" s="31" t="n">
        <v>2857.47</v>
      </c>
    </row>
    <row r="676">
      <c r="A676" t="inlineStr">
        <is>
          <t>ENC113455</t>
        </is>
      </c>
      <c r="B676" t="inlineStr">
        <is>
          <t>PT13852</t>
        </is>
      </c>
      <c r="C676" t="inlineStr">
        <is>
          <t>Emergency</t>
        </is>
      </c>
      <c r="D676" t="inlineStr">
        <is>
          <t>Bluestone Memorial Hospital</t>
        </is>
      </c>
      <c r="E676" t="inlineStr">
        <is>
          <t>Emergency Department</t>
        </is>
      </c>
      <c r="F676" t="inlineStr">
        <is>
          <t>Emergency</t>
        </is>
      </c>
      <c r="G676" s="29" t="n">
        <v>45736</v>
      </c>
      <c r="H676" s="29" t="n">
        <v>45736</v>
      </c>
      <c r="I676" s="30" t="n"/>
      <c r="J676" t="inlineStr">
        <is>
          <t>J45.909</t>
        </is>
      </c>
      <c r="K676" t="inlineStr">
        <is>
          <t>Unspecified asthma, uncomplicated</t>
        </is>
      </c>
      <c r="L676" t="inlineStr">
        <is>
          <t>Respiratory</t>
        </is>
      </c>
      <c r="M676" t="inlineStr">
        <is>
          <t>Home/Self-Care</t>
        </is>
      </c>
      <c r="N676" t="inlineStr">
        <is>
          <t>Medicare</t>
        </is>
      </c>
      <c r="O676" s="31" t="n">
        <v>1302.34</v>
      </c>
    </row>
    <row r="677">
      <c r="A677" t="inlineStr">
        <is>
          <t>ENC113457</t>
        </is>
      </c>
      <c r="B677" t="inlineStr">
        <is>
          <t>PT10208</t>
        </is>
      </c>
      <c r="C677" t="inlineStr">
        <is>
          <t>Outpatient</t>
        </is>
      </c>
      <c r="D677" t="inlineStr">
        <is>
          <t>Bluestone Outpatient Pavilion</t>
        </is>
      </c>
      <c r="E677" t="inlineStr">
        <is>
          <t>Pediatric Clinic</t>
        </is>
      </c>
      <c r="F677" t="inlineStr">
        <is>
          <t>Women &amp; Children</t>
        </is>
      </c>
      <c r="G677" s="29" t="n">
        <v>45736</v>
      </c>
      <c r="H677" s="29" t="n">
        <v>45736</v>
      </c>
      <c r="I677" s="30" t="n"/>
      <c r="J677" t="inlineStr">
        <is>
          <t>Z00.129</t>
        </is>
      </c>
      <c r="K677" t="inlineStr">
        <is>
          <t>Encounter for routine child health examination without abnormal findings</t>
        </is>
      </c>
      <c r="L677" t="inlineStr">
        <is>
          <t>Factors Influencing Health</t>
        </is>
      </c>
      <c r="M677" t="inlineStr">
        <is>
          <t>Home/Self-Care</t>
        </is>
      </c>
      <c r="N677" t="inlineStr">
        <is>
          <t>State Medicaid</t>
        </is>
      </c>
      <c r="O677" s="31" t="n">
        <v>341.71</v>
      </c>
    </row>
    <row r="678">
      <c r="A678" t="inlineStr">
        <is>
          <t>ENC113459</t>
        </is>
      </c>
      <c r="B678" t="inlineStr">
        <is>
          <t>PT12176</t>
        </is>
      </c>
      <c r="C678" t="inlineStr">
        <is>
          <t>Outpatient</t>
        </is>
      </c>
      <c r="D678" t="inlineStr">
        <is>
          <t>Bluestone Outpatient Pavilion</t>
        </is>
      </c>
      <c r="E678" t="inlineStr">
        <is>
          <t>Primary Care Clinic</t>
        </is>
      </c>
      <c r="F678" t="inlineStr">
        <is>
          <t>Ambulatory</t>
        </is>
      </c>
      <c r="G678" s="29" t="n">
        <v>45736</v>
      </c>
      <c r="H678" s="29" t="n">
        <v>45736</v>
      </c>
      <c r="I678" s="30" t="n"/>
      <c r="J678" t="inlineStr">
        <is>
          <t>J06.9</t>
        </is>
      </c>
      <c r="K678" t="inlineStr">
        <is>
          <t>Acute upper respiratory infection, unspecified</t>
        </is>
      </c>
      <c r="L678" t="inlineStr">
        <is>
          <t>Respiratory</t>
        </is>
      </c>
      <c r="M678" t="inlineStr">
        <is>
          <t>Home/Self-Care</t>
        </is>
      </c>
      <c r="N678" t="inlineStr">
        <is>
          <t>Silverline Medicare Advantage</t>
        </is>
      </c>
      <c r="O678" s="31" t="n">
        <v>428.99</v>
      </c>
    </row>
    <row r="679">
      <c r="A679" t="inlineStr">
        <is>
          <t>ENC113463</t>
        </is>
      </c>
      <c r="B679" t="inlineStr">
        <is>
          <t>PT13964</t>
        </is>
      </c>
      <c r="C679" t="inlineStr">
        <is>
          <t>Inpatient</t>
        </is>
      </c>
      <c r="D679" t="inlineStr">
        <is>
          <t>Bluestone Memorial Hospital</t>
        </is>
      </c>
      <c r="E679" t="inlineStr">
        <is>
          <t>Cardiac Step-Down</t>
        </is>
      </c>
      <c r="F679" t="inlineStr">
        <is>
          <t>Cardiovascular</t>
        </is>
      </c>
      <c r="G679" s="29" t="n">
        <v>45736</v>
      </c>
      <c r="H679" s="29" t="n">
        <v>45743</v>
      </c>
      <c r="I679" s="30" t="n">
        <v>7</v>
      </c>
      <c r="J679" t="inlineStr">
        <is>
          <t>I48.91</t>
        </is>
      </c>
      <c r="K679" t="inlineStr">
        <is>
          <t>Unspecified atrial fibrillation</t>
        </is>
      </c>
      <c r="L679" t="inlineStr">
        <is>
          <t>Circulatory</t>
        </is>
      </c>
      <c r="M679" t="inlineStr">
        <is>
          <t>Home Health</t>
        </is>
      </c>
      <c r="N679" t="inlineStr">
        <is>
          <t>Medicare</t>
        </is>
      </c>
      <c r="O679" s="31" t="n">
        <v>66654.32000000001</v>
      </c>
      <c r="P679" t="inlineStr">
        <is>
          <t>N</t>
        </is>
      </c>
    </row>
    <row r="680">
      <c r="A680" t="inlineStr">
        <is>
          <t>ENC113466</t>
        </is>
      </c>
      <c r="B680" t="inlineStr">
        <is>
          <t>PT13956</t>
        </is>
      </c>
      <c r="C680" t="inlineStr">
        <is>
          <t>Outpatient</t>
        </is>
      </c>
      <c r="D680" t="inlineStr">
        <is>
          <t>Bluestone Outpatient Pavilion</t>
        </is>
      </c>
      <c r="E680" t="inlineStr">
        <is>
          <t>Infusion &amp; Oncology Clinic</t>
        </is>
      </c>
      <c r="F680" t="inlineStr">
        <is>
          <t>Oncology</t>
        </is>
      </c>
      <c r="G680" s="29" t="n">
        <v>45736</v>
      </c>
      <c r="H680" s="29" t="n">
        <v>45736</v>
      </c>
      <c r="I680" s="30" t="n"/>
      <c r="J680" t="inlineStr">
        <is>
          <t>C34.90</t>
        </is>
      </c>
      <c r="K680" t="inlineStr">
        <is>
          <t>Malignant neoplasm of unspecified part of unspecified bronchus or lung</t>
        </is>
      </c>
      <c r="L680" t="inlineStr">
        <is>
          <t>Neoplasms</t>
        </is>
      </c>
      <c r="M680" t="inlineStr">
        <is>
          <t>Home/Self-Care</t>
        </is>
      </c>
      <c r="N680" t="inlineStr">
        <is>
          <t>State Medicaid</t>
        </is>
      </c>
      <c r="O680" s="31" t="n">
        <v>742.28</v>
      </c>
    </row>
    <row r="681">
      <c r="A681" t="inlineStr">
        <is>
          <t>ENC113486</t>
        </is>
      </c>
      <c r="B681" t="inlineStr">
        <is>
          <t>PT12796</t>
        </is>
      </c>
      <c r="C681" t="inlineStr">
        <is>
          <t>Emergency</t>
        </is>
      </c>
      <c r="D681" t="inlineStr">
        <is>
          <t>Bluestone Memorial Hospital</t>
        </is>
      </c>
      <c r="E681" t="inlineStr">
        <is>
          <t>Emergency Department</t>
        </is>
      </c>
      <c r="F681" t="inlineStr">
        <is>
          <t>Emergency</t>
        </is>
      </c>
      <c r="G681" s="29" t="n">
        <v>45737</v>
      </c>
      <c r="H681" s="29" t="n">
        <v>45737</v>
      </c>
      <c r="I681" s="30" t="n"/>
      <c r="J681" t="inlineStr">
        <is>
          <t>J06.9</t>
        </is>
      </c>
      <c r="K681" t="inlineStr">
        <is>
          <t>Acute upper respiratory infection, unspecified</t>
        </is>
      </c>
      <c r="L681" t="inlineStr">
        <is>
          <t>Respiratory</t>
        </is>
      </c>
      <c r="M681" t="inlineStr">
        <is>
          <t>Home/Self-Care</t>
        </is>
      </c>
      <c r="N681" t="inlineStr">
        <is>
          <t>State Medicaid</t>
        </is>
      </c>
      <c r="O681" s="31" t="n">
        <v>805.42</v>
      </c>
    </row>
    <row r="682">
      <c r="A682" t="inlineStr">
        <is>
          <t>ENC113494</t>
        </is>
      </c>
      <c r="B682" t="inlineStr">
        <is>
          <t>PT11308</t>
        </is>
      </c>
      <c r="C682" t="inlineStr">
        <is>
          <t>Outpatient</t>
        </is>
      </c>
      <c r="D682" t="inlineStr">
        <is>
          <t>Bluestone Outpatient Pavilion</t>
        </is>
      </c>
      <c r="E682" t="inlineStr">
        <is>
          <t>Primary Care Clinic</t>
        </is>
      </c>
      <c r="F682" t="inlineStr">
        <is>
          <t>Ambulatory</t>
        </is>
      </c>
      <c r="G682" s="29" t="n">
        <v>45737</v>
      </c>
      <c r="H682" s="29" t="n">
        <v>45737</v>
      </c>
      <c r="I682" s="30" t="n"/>
      <c r="J682" t="inlineStr">
        <is>
          <t>Z00.00</t>
        </is>
      </c>
      <c r="K682" t="inlineStr">
        <is>
          <t>Encounter for general adult medical examination without abnormal findings</t>
        </is>
      </c>
      <c r="L682" t="inlineStr">
        <is>
          <t>Factors Influencing Health</t>
        </is>
      </c>
      <c r="M682" t="inlineStr">
        <is>
          <t>Home/Self-Care</t>
        </is>
      </c>
      <c r="N682" t="inlineStr">
        <is>
          <t>Keystone Health Partners</t>
        </is>
      </c>
      <c r="O682" s="31" t="n">
        <v>170.28</v>
      </c>
    </row>
    <row r="683">
      <c r="A683" t="inlineStr">
        <is>
          <t>ENC113496</t>
        </is>
      </c>
      <c r="B683" t="inlineStr">
        <is>
          <t>PT10620</t>
        </is>
      </c>
      <c r="C683" t="inlineStr">
        <is>
          <t>Inpatient</t>
        </is>
      </c>
      <c r="D683" t="inlineStr">
        <is>
          <t>Ashby Falls Community Hospital</t>
        </is>
      </c>
      <c r="E683" t="inlineStr">
        <is>
          <t>Medical-Surgical</t>
        </is>
      </c>
      <c r="F683" t="inlineStr">
        <is>
          <t>Medicine</t>
        </is>
      </c>
      <c r="G683" s="29" t="n">
        <v>45737</v>
      </c>
      <c r="H683" s="29" t="n">
        <v>45741</v>
      </c>
      <c r="I683" s="30" t="n">
        <v>4</v>
      </c>
      <c r="J683" t="inlineStr">
        <is>
          <t>J44.1</t>
        </is>
      </c>
      <c r="K683" t="inlineStr">
        <is>
          <t>Chronic obstructive pulmonary disease with (acute) exacerbation</t>
        </is>
      </c>
      <c r="L683" t="inlineStr">
        <is>
          <t>Respiratory</t>
        </is>
      </c>
      <c r="M683" t="inlineStr">
        <is>
          <t>Home Health</t>
        </is>
      </c>
      <c r="N683" t="inlineStr">
        <is>
          <t>State Medicaid</t>
        </is>
      </c>
      <c r="O683" s="31" t="n">
        <v>22334.17</v>
      </c>
      <c r="P683" t="inlineStr">
        <is>
          <t>N</t>
        </is>
      </c>
    </row>
    <row r="684">
      <c r="A684" t="inlineStr">
        <is>
          <t>ENC113502</t>
        </is>
      </c>
      <c r="B684" t="inlineStr">
        <is>
          <t>PT13196</t>
        </is>
      </c>
      <c r="C684" t="inlineStr">
        <is>
          <t>Emergency</t>
        </is>
      </c>
      <c r="D684" t="inlineStr">
        <is>
          <t>Bluestone Memorial Hospital</t>
        </is>
      </c>
      <c r="E684" t="inlineStr">
        <is>
          <t>Emergency Department</t>
        </is>
      </c>
      <c r="F684" t="inlineStr">
        <is>
          <t>Emergency</t>
        </is>
      </c>
      <c r="G684" s="29" t="n">
        <v>45737</v>
      </c>
      <c r="H684" s="29" t="n">
        <v>45737</v>
      </c>
      <c r="I684" s="30" t="n"/>
      <c r="J684" t="inlineStr">
        <is>
          <t>K80.20</t>
        </is>
      </c>
      <c r="K684" t="inlineStr">
        <is>
          <t>Calculus of gallbladder without cholecystitis without obstruction</t>
        </is>
      </c>
      <c r="L684" t="inlineStr">
        <is>
          <t>Digestive</t>
        </is>
      </c>
      <c r="M684" t="inlineStr">
        <is>
          <t>Home/Self-Care</t>
        </is>
      </c>
      <c r="N684" t="inlineStr">
        <is>
          <t>Silverline Medicare Advantage</t>
        </is>
      </c>
      <c r="O684" s="31" t="n">
        <v>4679.22</v>
      </c>
    </row>
    <row r="685">
      <c r="A685" t="inlineStr">
        <is>
          <t>ENC113506</t>
        </is>
      </c>
      <c r="B685" t="inlineStr">
        <is>
          <t>PT11872</t>
        </is>
      </c>
      <c r="C685" t="inlineStr">
        <is>
          <t>Outpatient</t>
        </is>
      </c>
      <c r="D685" t="inlineStr">
        <is>
          <t>Bluestone Outpatient Pavilion</t>
        </is>
      </c>
      <c r="E685" t="inlineStr">
        <is>
          <t>Pediatric Clinic</t>
        </is>
      </c>
      <c r="F685" t="inlineStr">
        <is>
          <t>Women &amp; Children</t>
        </is>
      </c>
      <c r="G685" s="29" t="n">
        <v>45737</v>
      </c>
      <c r="H685" s="29" t="n">
        <v>45737</v>
      </c>
      <c r="I685" s="30" t="n"/>
      <c r="J685" t="inlineStr">
        <is>
          <t>Z00.129</t>
        </is>
      </c>
      <c r="K685" t="inlineStr">
        <is>
          <t>Encounter for routine child health examination without abnormal findings</t>
        </is>
      </c>
      <c r="L685" t="inlineStr">
        <is>
          <t>Factors Influencing Health</t>
        </is>
      </c>
      <c r="M685" t="inlineStr">
        <is>
          <t>Home/Self-Care</t>
        </is>
      </c>
      <c r="N685" t="inlineStr">
        <is>
          <t>State Medicaid</t>
        </is>
      </c>
      <c r="O685" s="31" t="n">
        <v>458.89</v>
      </c>
    </row>
    <row r="686">
      <c r="A686" t="inlineStr">
        <is>
          <t>ENC113518</t>
        </is>
      </c>
      <c r="B686" t="inlineStr">
        <is>
          <t>PT10464</t>
        </is>
      </c>
      <c r="C686" t="inlineStr">
        <is>
          <t>Inpatient</t>
        </is>
      </c>
      <c r="D686" t="inlineStr">
        <is>
          <t>Bluestone Memorial Hospital</t>
        </is>
      </c>
      <c r="E686" t="inlineStr">
        <is>
          <t>Medical-Surgical 5 East</t>
        </is>
      </c>
      <c r="F686" t="inlineStr">
        <is>
          <t>Medicine</t>
        </is>
      </c>
      <c r="G686" s="29" t="n">
        <v>45737</v>
      </c>
      <c r="H686" s="29" t="n">
        <v>45741</v>
      </c>
      <c r="I686" s="30" t="n">
        <v>4</v>
      </c>
      <c r="J686" t="inlineStr">
        <is>
          <t>J18.9</t>
        </is>
      </c>
      <c r="K686" t="inlineStr">
        <is>
          <t>Pneumonia, unspecified organism</t>
        </is>
      </c>
      <c r="L686" t="inlineStr">
        <is>
          <t>Respiratory</t>
        </is>
      </c>
      <c r="M686" t="inlineStr">
        <is>
          <t>Home Health</t>
        </is>
      </c>
      <c r="N686" t="inlineStr">
        <is>
          <t>Evergreen Mutual Insurance</t>
        </is>
      </c>
      <c r="O686" s="31" t="n">
        <v>24153.3</v>
      </c>
      <c r="P686" t="inlineStr">
        <is>
          <t>N</t>
        </is>
      </c>
    </row>
    <row r="687">
      <c r="A687" t="inlineStr">
        <is>
          <t>ENC113521</t>
        </is>
      </c>
      <c r="B687" t="inlineStr">
        <is>
          <t>PT12704</t>
        </is>
      </c>
      <c r="C687" t="inlineStr">
        <is>
          <t>Inpatient</t>
        </is>
      </c>
      <c r="D687" t="inlineStr">
        <is>
          <t>Bluestone Memorial Hospital</t>
        </is>
      </c>
      <c r="E687" t="inlineStr">
        <is>
          <t>Labor &amp; Delivery</t>
        </is>
      </c>
      <c r="F687" t="inlineStr">
        <is>
          <t>Women &amp; Children</t>
        </is>
      </c>
      <c r="G687" s="29" t="n">
        <v>45738</v>
      </c>
      <c r="H687" s="29" t="n">
        <v>45739</v>
      </c>
      <c r="I687" s="30" t="n">
        <v>1</v>
      </c>
      <c r="J687" t="inlineStr">
        <is>
          <t>O80</t>
        </is>
      </c>
      <c r="K687" t="inlineStr">
        <is>
          <t>Encounter for full-term uncomplicated delivery</t>
        </is>
      </c>
      <c r="L687" t="inlineStr">
        <is>
          <t>Pregnancy</t>
        </is>
      </c>
      <c r="M687" t="inlineStr">
        <is>
          <t>Home/Self-Care</t>
        </is>
      </c>
      <c r="N687" t="inlineStr">
        <is>
          <t>Summit Choice PPO</t>
        </is>
      </c>
      <c r="O687" s="31" t="n">
        <v>17832.74</v>
      </c>
      <c r="P687" t="inlineStr">
        <is>
          <t>N</t>
        </is>
      </c>
    </row>
    <row r="688">
      <c r="A688" t="inlineStr">
        <is>
          <t>ENC113531</t>
        </is>
      </c>
      <c r="B688" t="inlineStr">
        <is>
          <t>PT11916</t>
        </is>
      </c>
      <c r="C688" t="inlineStr">
        <is>
          <t>Emergency</t>
        </is>
      </c>
      <c r="D688" t="inlineStr">
        <is>
          <t>Bluestone Memorial Hospital</t>
        </is>
      </c>
      <c r="E688" t="inlineStr">
        <is>
          <t>Emergency Department</t>
        </is>
      </c>
      <c r="F688" t="inlineStr">
        <is>
          <t>Emergency</t>
        </is>
      </c>
      <c r="G688" s="29" t="n">
        <v>45738</v>
      </c>
      <c r="H688" s="29" t="n">
        <v>45738</v>
      </c>
      <c r="I688" s="30" t="n"/>
      <c r="J688" t="inlineStr">
        <is>
          <t>A08.4</t>
        </is>
      </c>
      <c r="K688" t="inlineStr">
        <is>
          <t>Viral intestinal infection, unspecified</t>
        </is>
      </c>
      <c r="L688" t="inlineStr">
        <is>
          <t>Infectious</t>
        </is>
      </c>
      <c r="M688" t="inlineStr">
        <is>
          <t>Home/Self-Care</t>
        </is>
      </c>
      <c r="N688" t="inlineStr">
        <is>
          <t>Keystone Health Partners</t>
        </is>
      </c>
      <c r="O688" s="31" t="n">
        <v>4629.8</v>
      </c>
    </row>
    <row r="689">
      <c r="A689" t="inlineStr">
        <is>
          <t>ENC113532</t>
        </is>
      </c>
      <c r="B689" t="inlineStr">
        <is>
          <t>PT11416</t>
        </is>
      </c>
      <c r="C689" t="inlineStr">
        <is>
          <t>Emergency</t>
        </is>
      </c>
      <c r="D689" t="inlineStr">
        <is>
          <t>Ashby Falls Community Hospital</t>
        </is>
      </c>
      <c r="E689" t="inlineStr">
        <is>
          <t>Emergency Department</t>
        </is>
      </c>
      <c r="F689" t="inlineStr">
        <is>
          <t>Emergency</t>
        </is>
      </c>
      <c r="G689" s="29" t="n">
        <v>45738</v>
      </c>
      <c r="H689" s="29" t="n">
        <v>45738</v>
      </c>
      <c r="I689" s="30" t="n"/>
      <c r="J689" t="inlineStr">
        <is>
          <t>M54.50</t>
        </is>
      </c>
      <c r="K689" t="inlineStr">
        <is>
          <t>Low back pain, unspecified</t>
        </is>
      </c>
      <c r="L689" t="inlineStr">
        <is>
          <t>Musculoskeletal</t>
        </is>
      </c>
      <c r="M689" t="inlineStr">
        <is>
          <t>Home/Self-Care</t>
        </is>
      </c>
      <c r="N689" t="inlineStr">
        <is>
          <t>State Medicaid</t>
        </is>
      </c>
      <c r="O689" s="31" t="n">
        <v>2569.33</v>
      </c>
    </row>
    <row r="690">
      <c r="A690" t="inlineStr">
        <is>
          <t>ENC113536</t>
        </is>
      </c>
      <c r="B690" t="inlineStr">
        <is>
          <t>PT11232</t>
        </is>
      </c>
      <c r="C690" t="inlineStr">
        <is>
          <t>Inpatient</t>
        </is>
      </c>
      <c r="D690" t="inlineStr">
        <is>
          <t>Bluestone Memorial Hospital</t>
        </is>
      </c>
      <c r="E690" t="inlineStr">
        <is>
          <t>Intensive Care Unit</t>
        </is>
      </c>
      <c r="F690" t="inlineStr">
        <is>
          <t>Critical Care</t>
        </is>
      </c>
      <c r="G690" s="29" t="n">
        <v>45739</v>
      </c>
      <c r="H690" s="29" t="n">
        <v>45748</v>
      </c>
      <c r="I690" s="30" t="n">
        <v>9</v>
      </c>
      <c r="J690" t="inlineStr">
        <is>
          <t>A41.9</t>
        </is>
      </c>
      <c r="K690" t="inlineStr">
        <is>
          <t>Sepsis, unspecified organism</t>
        </is>
      </c>
      <c r="L690" t="inlineStr">
        <is>
          <t>Infectious</t>
        </is>
      </c>
      <c r="M690" t="inlineStr">
        <is>
          <t>Home Health</t>
        </is>
      </c>
      <c r="N690" t="inlineStr">
        <is>
          <t>State Medicaid</t>
        </is>
      </c>
      <c r="O690" s="31" t="n">
        <v>79944.99000000001</v>
      </c>
      <c r="P690" t="inlineStr">
        <is>
          <t>N</t>
        </is>
      </c>
    </row>
    <row r="691">
      <c r="A691" t="inlineStr">
        <is>
          <t>ENC113539</t>
        </is>
      </c>
      <c r="B691" t="inlineStr">
        <is>
          <t>PT12128</t>
        </is>
      </c>
      <c r="C691" t="inlineStr">
        <is>
          <t>Emergency</t>
        </is>
      </c>
      <c r="D691" t="inlineStr">
        <is>
          <t>Bluestone Memorial Hospital</t>
        </is>
      </c>
      <c r="E691" t="inlineStr">
        <is>
          <t>Emergency Department</t>
        </is>
      </c>
      <c r="F691" t="inlineStr">
        <is>
          <t>Emergency</t>
        </is>
      </c>
      <c r="G691" s="29" t="n">
        <v>45738</v>
      </c>
      <c r="H691" s="29" t="n">
        <v>45739</v>
      </c>
      <c r="I691" s="30" t="n"/>
      <c r="J691" t="inlineStr">
        <is>
          <t>H66.90</t>
        </is>
      </c>
      <c r="K691" t="inlineStr">
        <is>
          <t>Otitis media, unspecified, unspecified ear</t>
        </is>
      </c>
      <c r="L691" t="inlineStr">
        <is>
          <t>Ear</t>
        </is>
      </c>
      <c r="M691" t="inlineStr">
        <is>
          <t>Home/Self-Care</t>
        </is>
      </c>
      <c r="N691" t="inlineStr">
        <is>
          <t>State Medicaid</t>
        </is>
      </c>
      <c r="O691" s="31" t="n">
        <v>1087.53</v>
      </c>
    </row>
    <row r="692">
      <c r="A692" t="inlineStr">
        <is>
          <t>ENC113540</t>
        </is>
      </c>
      <c r="B692" t="inlineStr">
        <is>
          <t>PT12116</t>
        </is>
      </c>
      <c r="C692" t="inlineStr">
        <is>
          <t>Inpatient</t>
        </is>
      </c>
      <c r="D692" t="inlineStr">
        <is>
          <t>Ashby Falls Community Hospital</t>
        </is>
      </c>
      <c r="E692" t="inlineStr">
        <is>
          <t>Intensive Care Unit</t>
        </is>
      </c>
      <c r="F692" t="inlineStr">
        <is>
          <t>Critical Care</t>
        </is>
      </c>
      <c r="G692" s="29" t="n">
        <v>45739</v>
      </c>
      <c r="H692" s="29" t="n">
        <v>45743</v>
      </c>
      <c r="I692" s="30" t="n">
        <v>4</v>
      </c>
      <c r="J692" t="inlineStr">
        <is>
          <t>J96.01</t>
        </is>
      </c>
      <c r="K692" t="inlineStr">
        <is>
          <t>Acute respiratory failure with hypoxia</t>
        </is>
      </c>
      <c r="L692" t="inlineStr">
        <is>
          <t>Respiratory</t>
        </is>
      </c>
      <c r="M692" t="inlineStr">
        <is>
          <t>Home/Self-Care</t>
        </is>
      </c>
      <c r="N692" t="inlineStr">
        <is>
          <t>Keystone Health Partners</t>
        </is>
      </c>
      <c r="O692" s="31" t="n">
        <v>46911.18</v>
      </c>
      <c r="P692" t="inlineStr">
        <is>
          <t>N</t>
        </is>
      </c>
    </row>
    <row r="693">
      <c r="A693" t="inlineStr">
        <is>
          <t>ENC113545</t>
        </is>
      </c>
      <c r="B693" t="inlineStr">
        <is>
          <t>PT12236</t>
        </is>
      </c>
      <c r="C693" t="inlineStr">
        <is>
          <t>Emergency</t>
        </is>
      </c>
      <c r="D693" t="inlineStr">
        <is>
          <t>Bluestone Memorial Hospital</t>
        </is>
      </c>
      <c r="E693" t="inlineStr">
        <is>
          <t>Emergency Department</t>
        </is>
      </c>
      <c r="F693" t="inlineStr">
        <is>
          <t>Emergency</t>
        </is>
      </c>
      <c r="G693" s="29" t="n">
        <v>45739</v>
      </c>
      <c r="H693" s="29" t="n">
        <v>45739</v>
      </c>
      <c r="I693" s="30" t="n"/>
      <c r="J693" t="inlineStr">
        <is>
          <t>J06.9</t>
        </is>
      </c>
      <c r="K693" t="inlineStr">
        <is>
          <t>Acute upper respiratory infection, unspecified</t>
        </is>
      </c>
      <c r="L693" t="inlineStr">
        <is>
          <t>Respiratory</t>
        </is>
      </c>
      <c r="M693" t="inlineStr">
        <is>
          <t>Left Without Being Seen</t>
        </is>
      </c>
      <c r="N693" t="inlineStr">
        <is>
          <t>Keystone Health Partners</t>
        </is>
      </c>
      <c r="O693" s="31" t="n">
        <v>859.78</v>
      </c>
    </row>
    <row r="694">
      <c r="A694" t="inlineStr">
        <is>
          <t>ENC113550</t>
        </is>
      </c>
      <c r="B694" t="inlineStr">
        <is>
          <t>PT11056</t>
        </is>
      </c>
      <c r="C694" t="inlineStr">
        <is>
          <t>Emergency</t>
        </is>
      </c>
      <c r="D694" t="inlineStr">
        <is>
          <t>Bluestone Memorial Hospital</t>
        </is>
      </c>
      <c r="E694" t="inlineStr">
        <is>
          <t>Emergency Department</t>
        </is>
      </c>
      <c r="F694" t="inlineStr">
        <is>
          <t>Emergency</t>
        </is>
      </c>
      <c r="G694" s="29" t="n">
        <v>45739</v>
      </c>
      <c r="H694" s="29" t="n">
        <v>45740</v>
      </c>
      <c r="I694" s="30" t="n"/>
      <c r="J694" t="inlineStr">
        <is>
          <t>J21.9</t>
        </is>
      </c>
      <c r="K694" t="inlineStr">
        <is>
          <t>Acute bronchiolitis, unspecified</t>
        </is>
      </c>
      <c r="L694" t="inlineStr">
        <is>
          <t>Respiratory</t>
        </is>
      </c>
      <c r="M694" t="inlineStr">
        <is>
          <t>Home/Self-Care</t>
        </is>
      </c>
      <c r="N694" t="inlineStr">
        <is>
          <t>Keystone Health Partners</t>
        </is>
      </c>
      <c r="O694" s="31" t="n">
        <v>2753.9</v>
      </c>
    </row>
    <row r="695">
      <c r="A695" t="inlineStr">
        <is>
          <t>ENC113564</t>
        </is>
      </c>
      <c r="B695" t="inlineStr">
        <is>
          <t>PT13380</t>
        </is>
      </c>
      <c r="C695" t="inlineStr">
        <is>
          <t>Outpatient</t>
        </is>
      </c>
      <c r="D695" t="inlineStr">
        <is>
          <t>Bluestone Outpatient Pavilion</t>
        </is>
      </c>
      <c r="E695" t="inlineStr">
        <is>
          <t>Primary Care Clinic</t>
        </is>
      </c>
      <c r="F695" t="inlineStr">
        <is>
          <t>Ambulatory</t>
        </is>
      </c>
      <c r="G695" s="29" t="n">
        <v>45740</v>
      </c>
      <c r="H695" s="29" t="n">
        <v>45740</v>
      </c>
      <c r="I695" s="30" t="n"/>
      <c r="J695" t="inlineStr">
        <is>
          <t>J06.9</t>
        </is>
      </c>
      <c r="K695" t="inlineStr">
        <is>
          <t>Acute upper respiratory infection, unspecified</t>
        </is>
      </c>
      <c r="L695" t="inlineStr">
        <is>
          <t>Respiratory</t>
        </is>
      </c>
      <c r="M695" t="inlineStr">
        <is>
          <t>Home/Self-Care</t>
        </is>
      </c>
      <c r="N695" t="inlineStr">
        <is>
          <t>Summit Choice PPO</t>
        </is>
      </c>
      <c r="O695" s="31" t="n">
        <v>282.95</v>
      </c>
    </row>
    <row r="696">
      <c r="A696" t="inlineStr">
        <is>
          <t>ENC113567</t>
        </is>
      </c>
      <c r="B696" t="inlineStr">
        <is>
          <t>PT10680</t>
        </is>
      </c>
      <c r="C696" t="inlineStr">
        <is>
          <t>Outpatient</t>
        </is>
      </c>
      <c r="D696" t="inlineStr">
        <is>
          <t>Bluestone Outpatient Pavilion</t>
        </is>
      </c>
      <c r="E696" t="inlineStr">
        <is>
          <t>Endocrinology &amp; Diabetes Clinic</t>
        </is>
      </c>
      <c r="F696" t="inlineStr">
        <is>
          <t>Ambulatory</t>
        </is>
      </c>
      <c r="G696" s="29" t="n">
        <v>45740</v>
      </c>
      <c r="H696" s="29" t="n">
        <v>45740</v>
      </c>
      <c r="I696" s="30" t="n"/>
      <c r="J696" t="inlineStr">
        <is>
          <t>E11.65</t>
        </is>
      </c>
      <c r="K696" t="inlineStr">
        <is>
          <t>Type 2 diabetes mellitus with hyperglycemia</t>
        </is>
      </c>
      <c r="L696" t="inlineStr">
        <is>
          <t>Endocrine</t>
        </is>
      </c>
      <c r="M696" t="inlineStr">
        <is>
          <t>Home/Self-Care</t>
        </is>
      </c>
      <c r="N696" t="inlineStr">
        <is>
          <t>Evergreen Mutual Insurance</t>
        </is>
      </c>
      <c r="O696" s="31" t="n">
        <v>265.21</v>
      </c>
    </row>
    <row r="697">
      <c r="A697" t="inlineStr">
        <is>
          <t>ENC113568</t>
        </is>
      </c>
      <c r="B697" t="inlineStr">
        <is>
          <t>PT11884</t>
        </is>
      </c>
      <c r="C697" t="inlineStr">
        <is>
          <t>Outpatient</t>
        </is>
      </c>
      <c r="D697" t="inlineStr">
        <is>
          <t>Bluestone Outpatient Pavilion</t>
        </is>
      </c>
      <c r="E697" t="inlineStr">
        <is>
          <t>Primary Care Clinic</t>
        </is>
      </c>
      <c r="F697" t="inlineStr">
        <is>
          <t>Ambulatory</t>
        </is>
      </c>
      <c r="G697" s="29" t="n">
        <v>45740</v>
      </c>
      <c r="H697" s="29" t="n">
        <v>45740</v>
      </c>
      <c r="I697" s="30" t="n"/>
      <c r="J697" t="inlineStr">
        <is>
          <t>I10</t>
        </is>
      </c>
      <c r="K697" t="inlineStr">
        <is>
          <t>Essential (primary) hypertension</t>
        </is>
      </c>
      <c r="L697" t="inlineStr">
        <is>
          <t>Circulatory</t>
        </is>
      </c>
      <c r="M697" t="inlineStr">
        <is>
          <t>Home/Self-Care</t>
        </is>
      </c>
      <c r="N697" t="inlineStr">
        <is>
          <t>Silverline Medicare Advantage</t>
        </is>
      </c>
      <c r="O697" s="31" t="n">
        <v>230.16</v>
      </c>
    </row>
    <row r="698">
      <c r="A698" t="inlineStr">
        <is>
          <t>ENC113571</t>
        </is>
      </c>
      <c r="B698" t="inlineStr">
        <is>
          <t>PT13784</t>
        </is>
      </c>
      <c r="C698" t="inlineStr">
        <is>
          <t>Emergency</t>
        </is>
      </c>
      <c r="D698" t="inlineStr">
        <is>
          <t>Bluestone Memorial Hospital</t>
        </is>
      </c>
      <c r="E698" t="inlineStr">
        <is>
          <t>Emergency Department</t>
        </is>
      </c>
      <c r="F698" t="inlineStr">
        <is>
          <t>Emergency</t>
        </is>
      </c>
      <c r="G698" s="29" t="n">
        <v>45740</v>
      </c>
      <c r="H698" s="29" t="n">
        <v>45740</v>
      </c>
      <c r="I698" s="30" t="n"/>
      <c r="J698" t="inlineStr">
        <is>
          <t>K80.20</t>
        </is>
      </c>
      <c r="K698" t="inlineStr">
        <is>
          <t>Calculus of gallbladder without cholecystitis without obstruction</t>
        </is>
      </c>
      <c r="L698" t="inlineStr">
        <is>
          <t>Digestive</t>
        </is>
      </c>
      <c r="M698" t="inlineStr">
        <is>
          <t>Home/Self-Care</t>
        </is>
      </c>
      <c r="N698" t="inlineStr">
        <is>
          <t>Medicare</t>
        </is>
      </c>
      <c r="O698" s="31" t="n">
        <v>4803.36</v>
      </c>
    </row>
    <row r="699">
      <c r="A699" t="inlineStr">
        <is>
          <t>ENC113574</t>
        </is>
      </c>
      <c r="B699" t="inlineStr">
        <is>
          <t>PT11096</t>
        </is>
      </c>
      <c r="C699" t="inlineStr">
        <is>
          <t>Inpatient</t>
        </is>
      </c>
      <c r="D699" t="inlineStr">
        <is>
          <t>Bluestone Memorial Hospital</t>
        </is>
      </c>
      <c r="E699" t="inlineStr">
        <is>
          <t>Medical-Surgical 5 East</t>
        </is>
      </c>
      <c r="F699" t="inlineStr">
        <is>
          <t>Medicine</t>
        </is>
      </c>
      <c r="G699" s="29" t="n">
        <v>45740</v>
      </c>
      <c r="H699" s="29" t="n">
        <v>45744</v>
      </c>
      <c r="I699" s="30" t="n">
        <v>4</v>
      </c>
      <c r="J699" t="inlineStr">
        <is>
          <t>J18.9</t>
        </is>
      </c>
      <c r="K699" t="inlineStr">
        <is>
          <t>Pneumonia, unspecified organism</t>
        </is>
      </c>
      <c r="L699" t="inlineStr">
        <is>
          <t>Respiratory</t>
        </is>
      </c>
      <c r="M699" t="inlineStr">
        <is>
          <t>Hospice</t>
        </is>
      </c>
      <c r="N699" t="inlineStr">
        <is>
          <t>Medicare</t>
        </is>
      </c>
      <c r="O699" s="31" t="n">
        <v>19153.78</v>
      </c>
      <c r="P699" t="inlineStr">
        <is>
          <t>N</t>
        </is>
      </c>
    </row>
    <row r="700">
      <c r="A700" t="inlineStr">
        <is>
          <t>ENC113576</t>
        </is>
      </c>
      <c r="B700" t="inlineStr">
        <is>
          <t>PT10632</t>
        </is>
      </c>
      <c r="C700" t="inlineStr">
        <is>
          <t>Outpatient</t>
        </is>
      </c>
      <c r="D700" t="inlineStr">
        <is>
          <t>Bluestone Outpatient Pavilion</t>
        </is>
      </c>
      <c r="E700" t="inlineStr">
        <is>
          <t>Pediatric Clinic</t>
        </is>
      </c>
      <c r="F700" t="inlineStr">
        <is>
          <t>Women &amp; Children</t>
        </is>
      </c>
      <c r="G700" s="29" t="n">
        <v>45740</v>
      </c>
      <c r="H700" s="29" t="n">
        <v>45740</v>
      </c>
      <c r="I700" s="30" t="n"/>
      <c r="J700" t="inlineStr">
        <is>
          <t>Z00.129</t>
        </is>
      </c>
      <c r="K700" t="inlineStr">
        <is>
          <t>Encounter for routine child health examination without abnormal findings</t>
        </is>
      </c>
      <c r="L700" t="inlineStr">
        <is>
          <t>Factors Influencing Health</t>
        </is>
      </c>
      <c r="M700" t="inlineStr">
        <is>
          <t>Home/Self-Care</t>
        </is>
      </c>
      <c r="N700" t="inlineStr">
        <is>
          <t>Evergreen Mutual Insurance</t>
        </is>
      </c>
      <c r="O700" s="31" t="n">
        <v>244.73</v>
      </c>
    </row>
    <row r="701">
      <c r="A701" t="inlineStr">
        <is>
          <t>ENC113577</t>
        </is>
      </c>
      <c r="B701" t="inlineStr">
        <is>
          <t>PT13912</t>
        </is>
      </c>
      <c r="C701" t="inlineStr">
        <is>
          <t>Outpatient</t>
        </is>
      </c>
      <c r="D701" t="inlineStr">
        <is>
          <t>Bluestone Outpatient Pavilion</t>
        </is>
      </c>
      <c r="E701" t="inlineStr">
        <is>
          <t>Pediatric Clinic</t>
        </is>
      </c>
      <c r="F701" t="inlineStr">
        <is>
          <t>Women &amp; Children</t>
        </is>
      </c>
      <c r="G701" s="29" t="n">
        <v>45740</v>
      </c>
      <c r="H701" s="29" t="n">
        <v>45740</v>
      </c>
      <c r="I701" s="30" t="n"/>
      <c r="J701" t="inlineStr">
        <is>
          <t>H66.90</t>
        </is>
      </c>
      <c r="K701" t="inlineStr">
        <is>
          <t>Otitis media, unspecified, unspecified ear</t>
        </is>
      </c>
      <c r="L701" t="inlineStr">
        <is>
          <t>Ear</t>
        </is>
      </c>
      <c r="M701" t="inlineStr">
        <is>
          <t>Home/Self-Care</t>
        </is>
      </c>
      <c r="N701" t="inlineStr">
        <is>
          <t>State Medicaid</t>
        </is>
      </c>
      <c r="O701" s="31" t="n">
        <v>391.18</v>
      </c>
    </row>
    <row r="702">
      <c r="A702" t="inlineStr">
        <is>
          <t>ENC113579</t>
        </is>
      </c>
      <c r="B702" t="inlineStr">
        <is>
          <t>PT12716</t>
        </is>
      </c>
      <c r="C702" t="inlineStr">
        <is>
          <t>Inpatient</t>
        </is>
      </c>
      <c r="D702" t="inlineStr">
        <is>
          <t>Bluestone Memorial Hospital</t>
        </is>
      </c>
      <c r="E702" t="inlineStr">
        <is>
          <t>Medical-Surgical 4 West</t>
        </is>
      </c>
      <c r="F702" t="inlineStr">
        <is>
          <t>Medicine</t>
        </is>
      </c>
      <c r="G702" s="29" t="n">
        <v>45740</v>
      </c>
      <c r="H702" s="29" t="n">
        <v>45746</v>
      </c>
      <c r="I702" s="30" t="n">
        <v>6</v>
      </c>
      <c r="J702" t="inlineStr">
        <is>
          <t>J96.01</t>
        </is>
      </c>
      <c r="K702" t="inlineStr">
        <is>
          <t>Acute respiratory failure with hypoxia</t>
        </is>
      </c>
      <c r="L702" t="inlineStr">
        <is>
          <t>Respiratory</t>
        </is>
      </c>
      <c r="M702" t="inlineStr">
        <is>
          <t>Home/Self-Care</t>
        </is>
      </c>
      <c r="N702" t="inlineStr">
        <is>
          <t>Self-Pay</t>
        </is>
      </c>
      <c r="O702" s="31" t="n">
        <v>73288.96000000001</v>
      </c>
      <c r="P702" t="inlineStr">
        <is>
          <t>Y</t>
        </is>
      </c>
    </row>
    <row r="703">
      <c r="A703" t="inlineStr">
        <is>
          <t>ENC113585</t>
        </is>
      </c>
      <c r="B703" t="inlineStr">
        <is>
          <t>PT13860</t>
        </is>
      </c>
      <c r="C703" t="inlineStr">
        <is>
          <t>Outpatient</t>
        </is>
      </c>
      <c r="D703" t="inlineStr">
        <is>
          <t>Bluestone Outpatient Pavilion</t>
        </is>
      </c>
      <c r="E703" t="inlineStr">
        <is>
          <t>Infusion &amp; Oncology Clinic</t>
        </is>
      </c>
      <c r="F703" t="inlineStr">
        <is>
          <t>Oncology</t>
        </is>
      </c>
      <c r="G703" s="29" t="n">
        <v>45740</v>
      </c>
      <c r="H703" s="29" t="n">
        <v>45740</v>
      </c>
      <c r="I703" s="30" t="n"/>
      <c r="J703" t="inlineStr">
        <is>
          <t>Z51.11</t>
        </is>
      </c>
      <c r="K703" t="inlineStr">
        <is>
          <t>Encounter for antineoplastic chemotherapy</t>
        </is>
      </c>
      <c r="L703" t="inlineStr">
        <is>
          <t>Factors Influencing Health</t>
        </is>
      </c>
      <c r="M703" t="inlineStr">
        <is>
          <t>Home/Self-Care</t>
        </is>
      </c>
      <c r="N703" t="inlineStr">
        <is>
          <t>Self-Pay</t>
        </is>
      </c>
      <c r="O703" s="31" t="n">
        <v>10019.11</v>
      </c>
    </row>
    <row r="704">
      <c r="A704" t="inlineStr">
        <is>
          <t>ENC113586</t>
        </is>
      </c>
      <c r="B704" t="inlineStr">
        <is>
          <t>PT11052</t>
        </is>
      </c>
      <c r="C704" t="inlineStr">
        <is>
          <t>Emergency</t>
        </is>
      </c>
      <c r="D704" t="inlineStr">
        <is>
          <t>Bluestone Memorial Hospital</t>
        </is>
      </c>
      <c r="E704" t="inlineStr">
        <is>
          <t>Emergency Department</t>
        </is>
      </c>
      <c r="F704" t="inlineStr">
        <is>
          <t>Emergency</t>
        </is>
      </c>
      <c r="G704" s="29" t="n">
        <v>45740</v>
      </c>
      <c r="H704" s="29" t="n">
        <v>45740</v>
      </c>
      <c r="I704" s="30" t="n"/>
      <c r="J704" t="inlineStr">
        <is>
          <t>G43.909</t>
        </is>
      </c>
      <c r="K704" t="inlineStr">
        <is>
          <t>Migraine, unspecified, not intractable, without status migrainosus</t>
        </is>
      </c>
      <c r="L704" t="inlineStr">
        <is>
          <t>Nervous System</t>
        </is>
      </c>
      <c r="M704" t="inlineStr">
        <is>
          <t>Home/Self-Care</t>
        </is>
      </c>
      <c r="N704" t="inlineStr">
        <is>
          <t>Evergreen Mutual Insurance</t>
        </is>
      </c>
      <c r="O704" s="31" t="n">
        <v>1321.5</v>
      </c>
    </row>
    <row r="705">
      <c r="A705" t="inlineStr">
        <is>
          <t>ENC113587</t>
        </is>
      </c>
      <c r="B705" t="inlineStr">
        <is>
          <t>PT12420</t>
        </is>
      </c>
      <c r="C705" t="inlineStr">
        <is>
          <t>Emergency</t>
        </is>
      </c>
      <c r="D705" t="inlineStr">
        <is>
          <t>Cedar Ridge Medical Center</t>
        </is>
      </c>
      <c r="E705" t="inlineStr">
        <is>
          <t>Emergency Department</t>
        </is>
      </c>
      <c r="F705" t="inlineStr">
        <is>
          <t>Emergency</t>
        </is>
      </c>
      <c r="G705" s="29" t="n">
        <v>45740</v>
      </c>
      <c r="H705" s="29" t="n">
        <v>45740</v>
      </c>
      <c r="I705" s="30" t="n"/>
      <c r="J705" t="inlineStr">
        <is>
          <t>N39.0</t>
        </is>
      </c>
      <c r="K705" t="inlineStr">
        <is>
          <t>Urinary tract infection, site not specified</t>
        </is>
      </c>
      <c r="L705" t="inlineStr">
        <is>
          <t>Genitourinary</t>
        </is>
      </c>
      <c r="M705" t="inlineStr">
        <is>
          <t>Home/Self-Care</t>
        </is>
      </c>
      <c r="N705" t="inlineStr">
        <is>
          <t>Evergreen Mutual Insurance</t>
        </is>
      </c>
      <c r="O705" s="31" t="n">
        <v>3228.45</v>
      </c>
    </row>
    <row r="706">
      <c r="A706" t="inlineStr">
        <is>
          <t>ENC113589</t>
        </is>
      </c>
      <c r="B706" t="inlineStr">
        <is>
          <t>PT13328</t>
        </is>
      </c>
      <c r="C706" t="inlineStr">
        <is>
          <t>Inpatient</t>
        </is>
      </c>
      <c r="D706" t="inlineStr">
        <is>
          <t>Bluestone Memorial Hospital</t>
        </is>
      </c>
      <c r="E706" t="inlineStr">
        <is>
          <t>Medical-Surgical 4 West</t>
        </is>
      </c>
      <c r="F706" t="inlineStr">
        <is>
          <t>Medicine</t>
        </is>
      </c>
      <c r="G706" s="29" t="n">
        <v>45740</v>
      </c>
      <c r="H706" s="29" t="n">
        <v>45743</v>
      </c>
      <c r="I706" s="30" t="n">
        <v>3</v>
      </c>
      <c r="J706" t="inlineStr">
        <is>
          <t>N39.0</t>
        </is>
      </c>
      <c r="K706" t="inlineStr">
        <is>
          <t>Urinary tract infection, site not specified</t>
        </is>
      </c>
      <c r="L706" t="inlineStr">
        <is>
          <t>Genitourinary</t>
        </is>
      </c>
      <c r="M706" t="inlineStr">
        <is>
          <t>Left AMA</t>
        </is>
      </c>
      <c r="N706" t="inlineStr">
        <is>
          <t>Silverline Medicare Advantage</t>
        </is>
      </c>
      <c r="O706" s="31" t="n">
        <v>15518.52</v>
      </c>
      <c r="P706" t="inlineStr">
        <is>
          <t>N</t>
        </is>
      </c>
    </row>
    <row r="707">
      <c r="A707" t="inlineStr">
        <is>
          <t>ENC113596</t>
        </is>
      </c>
      <c r="B707" t="inlineStr">
        <is>
          <t>PT12876</t>
        </is>
      </c>
      <c r="C707" t="inlineStr">
        <is>
          <t>Inpatient</t>
        </is>
      </c>
      <c r="D707" t="inlineStr">
        <is>
          <t>Bluestone Memorial Hospital</t>
        </is>
      </c>
      <c r="E707" t="inlineStr">
        <is>
          <t>Orthopedics &amp; Spine</t>
        </is>
      </c>
      <c r="F707" t="inlineStr">
        <is>
          <t>Orthopedics</t>
        </is>
      </c>
      <c r="G707" s="29" t="n">
        <v>45741</v>
      </c>
      <c r="H707" s="29" t="n">
        <v>45750</v>
      </c>
      <c r="I707" s="30" t="n">
        <v>9</v>
      </c>
      <c r="J707" t="inlineStr">
        <is>
          <t>S72.001A</t>
        </is>
      </c>
      <c r="K707" t="inlineStr">
        <is>
          <t>Fracture of unspecified part of neck of right femur, initial encounter</t>
        </is>
      </c>
      <c r="L707" t="inlineStr">
        <is>
          <t>Injury</t>
        </is>
      </c>
      <c r="M707" t="inlineStr">
        <is>
          <t>Inpatient Rehab</t>
        </is>
      </c>
      <c r="N707" t="inlineStr">
        <is>
          <t>Medicare</t>
        </is>
      </c>
      <c r="O707" s="31" t="n">
        <v>55773.25</v>
      </c>
      <c r="P707" t="inlineStr">
        <is>
          <t>N</t>
        </is>
      </c>
    </row>
    <row r="708">
      <c r="A708" t="inlineStr">
        <is>
          <t>ENC113597</t>
        </is>
      </c>
      <c r="B708" t="inlineStr">
        <is>
          <t>PT10768</t>
        </is>
      </c>
      <c r="C708" t="inlineStr">
        <is>
          <t>Emergency</t>
        </is>
      </c>
      <c r="D708" t="inlineStr">
        <is>
          <t>Ashby Falls Community Hospital</t>
        </is>
      </c>
      <c r="E708" t="inlineStr">
        <is>
          <t>Emergency Department</t>
        </is>
      </c>
      <c r="F708" t="inlineStr">
        <is>
          <t>Emergency</t>
        </is>
      </c>
      <c r="G708" s="29" t="n">
        <v>45740</v>
      </c>
      <c r="H708" s="29" t="n">
        <v>45741</v>
      </c>
      <c r="I708" s="30" t="n"/>
      <c r="J708" t="inlineStr">
        <is>
          <t>I10</t>
        </is>
      </c>
      <c r="K708" t="inlineStr">
        <is>
          <t>Essential (primary) hypertension</t>
        </is>
      </c>
      <c r="L708" t="inlineStr">
        <is>
          <t>Circulatory</t>
        </is>
      </c>
      <c r="M708" t="inlineStr">
        <is>
          <t>Home/Self-Care</t>
        </is>
      </c>
      <c r="N708" t="inlineStr">
        <is>
          <t>Evergreen Mutual Insurance</t>
        </is>
      </c>
      <c r="O708" s="31" t="n">
        <v>2352.44</v>
      </c>
    </row>
    <row r="709">
      <c r="A709" t="inlineStr">
        <is>
          <t>ENC113610</t>
        </is>
      </c>
      <c r="B709" t="inlineStr">
        <is>
          <t>PT12176</t>
        </is>
      </c>
      <c r="C709" t="inlineStr">
        <is>
          <t>Outpatient</t>
        </is>
      </c>
      <c r="D709" t="inlineStr">
        <is>
          <t>Bluestone Outpatient Pavilion</t>
        </is>
      </c>
      <c r="E709" t="inlineStr">
        <is>
          <t>Primary Care Clinic</t>
        </is>
      </c>
      <c r="F709" t="inlineStr">
        <is>
          <t>Ambulatory</t>
        </is>
      </c>
      <c r="G709" s="29" t="n">
        <v>45741</v>
      </c>
      <c r="H709" s="29" t="n">
        <v>45741</v>
      </c>
      <c r="I709" s="30" t="n"/>
      <c r="J709" t="inlineStr">
        <is>
          <t>Z00.00</t>
        </is>
      </c>
      <c r="K709" t="inlineStr">
        <is>
          <t>Encounter for general adult medical examination without abnormal findings</t>
        </is>
      </c>
      <c r="L709" t="inlineStr">
        <is>
          <t>Factors Influencing Health</t>
        </is>
      </c>
      <c r="M709" t="inlineStr">
        <is>
          <t>Home/Self-Care</t>
        </is>
      </c>
      <c r="N709" t="inlineStr">
        <is>
          <t>Silverline Medicare Advantage</t>
        </is>
      </c>
      <c r="O709" s="31" t="n">
        <v>246.03</v>
      </c>
    </row>
    <row r="710">
      <c r="A710" t="inlineStr">
        <is>
          <t>ENC113615</t>
        </is>
      </c>
      <c r="B710" t="inlineStr">
        <is>
          <t>PT10180</t>
        </is>
      </c>
      <c r="C710" t="inlineStr">
        <is>
          <t>Outpatient</t>
        </is>
      </c>
      <c r="D710" t="inlineStr">
        <is>
          <t>Bluestone Outpatient Pavilion</t>
        </is>
      </c>
      <c r="E710" t="inlineStr">
        <is>
          <t>Primary Care Clinic</t>
        </is>
      </c>
      <c r="F710" t="inlineStr">
        <is>
          <t>Ambulatory</t>
        </is>
      </c>
      <c r="G710" s="29" t="n">
        <v>45741</v>
      </c>
      <c r="H710" s="29" t="n">
        <v>45741</v>
      </c>
      <c r="I710" s="30" t="n"/>
      <c r="J710" t="inlineStr">
        <is>
          <t>E78.5</t>
        </is>
      </c>
      <c r="K710" t="inlineStr">
        <is>
          <t>Hyperlipidemia, unspecified</t>
        </is>
      </c>
      <c r="L710" t="inlineStr">
        <is>
          <t>Endocrine</t>
        </is>
      </c>
      <c r="M710" t="inlineStr">
        <is>
          <t>Home/Self-Care</t>
        </is>
      </c>
      <c r="N710" t="inlineStr">
        <is>
          <t>Silverline Medicare Advantage</t>
        </is>
      </c>
      <c r="O710" s="31" t="n">
        <v>278.79</v>
      </c>
    </row>
    <row r="711">
      <c r="A711" t="inlineStr">
        <is>
          <t>ENC113616</t>
        </is>
      </c>
      <c r="B711" t="inlineStr">
        <is>
          <t>PT10192</t>
        </is>
      </c>
      <c r="C711" t="inlineStr">
        <is>
          <t>Outpatient</t>
        </is>
      </c>
      <c r="D711" t="inlineStr">
        <is>
          <t>Bluestone Outpatient Pavilion</t>
        </is>
      </c>
      <c r="E711" t="inlineStr">
        <is>
          <t>Primary Care Clinic</t>
        </is>
      </c>
      <c r="F711" t="inlineStr">
        <is>
          <t>Ambulatory</t>
        </is>
      </c>
      <c r="G711" s="29" t="n">
        <v>45741</v>
      </c>
      <c r="H711" s="29" t="n">
        <v>45741</v>
      </c>
      <c r="I711" s="30" t="n"/>
      <c r="J711" t="inlineStr">
        <is>
          <t>M54.50</t>
        </is>
      </c>
      <c r="K711" t="inlineStr">
        <is>
          <t>Low back pain, unspecified</t>
        </is>
      </c>
      <c r="L711" t="inlineStr">
        <is>
          <t>Musculoskeletal</t>
        </is>
      </c>
      <c r="M711" t="inlineStr">
        <is>
          <t>Home/Self-Care</t>
        </is>
      </c>
      <c r="N711" t="inlineStr">
        <is>
          <t>Summit Choice PPO</t>
        </is>
      </c>
      <c r="O711" s="31" t="n">
        <v>437.36</v>
      </c>
    </row>
    <row r="712">
      <c r="A712" t="inlineStr">
        <is>
          <t>ENC113619</t>
        </is>
      </c>
      <c r="B712" t="inlineStr">
        <is>
          <t>PT13412</t>
        </is>
      </c>
      <c r="C712" t="inlineStr">
        <is>
          <t>Inpatient</t>
        </is>
      </c>
      <c r="D712" t="inlineStr">
        <is>
          <t>Bluestone Memorial Hospital</t>
        </is>
      </c>
      <c r="E712" t="inlineStr">
        <is>
          <t>Orthopedics &amp; Spine</t>
        </is>
      </c>
      <c r="F712" t="inlineStr">
        <is>
          <t>Orthopedics</t>
        </is>
      </c>
      <c r="G712" s="29" t="n">
        <v>45741</v>
      </c>
      <c r="H712" s="29" t="n">
        <v>45753</v>
      </c>
      <c r="I712" s="30" t="n">
        <v>12</v>
      </c>
      <c r="J712" t="inlineStr">
        <is>
          <t>S72.001A</t>
        </is>
      </c>
      <c r="K712" t="inlineStr">
        <is>
          <t>Fracture of unspecified part of neck of right femur, initial encounter</t>
        </is>
      </c>
      <c r="L712" t="inlineStr">
        <is>
          <t>Injury</t>
        </is>
      </c>
      <c r="M712" t="inlineStr">
        <is>
          <t>Skilled Nursing Facility</t>
        </is>
      </c>
      <c r="N712" t="inlineStr">
        <is>
          <t>Medicare</t>
        </is>
      </c>
      <c r="O712" s="31" t="n">
        <v>75967.13</v>
      </c>
      <c r="P712" t="inlineStr">
        <is>
          <t>N</t>
        </is>
      </c>
    </row>
    <row r="713">
      <c r="A713" t="inlineStr">
        <is>
          <t>ENC113621</t>
        </is>
      </c>
      <c r="B713" t="inlineStr">
        <is>
          <t>PT10544</t>
        </is>
      </c>
      <c r="C713" t="inlineStr">
        <is>
          <t>Inpatient</t>
        </is>
      </c>
      <c r="D713" t="inlineStr">
        <is>
          <t>Ashby Falls Community Hospital</t>
        </is>
      </c>
      <c r="E713" t="inlineStr">
        <is>
          <t>Labor &amp; Delivery</t>
        </is>
      </c>
      <c r="F713" t="inlineStr">
        <is>
          <t>Women &amp; Children</t>
        </is>
      </c>
      <c r="G713" s="29" t="n">
        <v>45741</v>
      </c>
      <c r="H713" s="29" t="n">
        <v>45744</v>
      </c>
      <c r="I713" s="30" t="n">
        <v>3</v>
      </c>
      <c r="J713" t="inlineStr">
        <is>
          <t>O80</t>
        </is>
      </c>
      <c r="K713" t="inlineStr">
        <is>
          <t>Encounter for full-term uncomplicated delivery</t>
        </is>
      </c>
      <c r="L713" t="inlineStr">
        <is>
          <t>Pregnancy</t>
        </is>
      </c>
      <c r="M713" t="inlineStr">
        <is>
          <t>Home/Self-Care</t>
        </is>
      </c>
      <c r="N713" t="inlineStr">
        <is>
          <t>Self-Pay</t>
        </is>
      </c>
      <c r="O713" s="31" t="n">
        <v>17371.92</v>
      </c>
      <c r="P713" t="inlineStr">
        <is>
          <t>N</t>
        </is>
      </c>
    </row>
    <row r="714">
      <c r="A714" t="inlineStr">
        <is>
          <t>ENC113622</t>
        </is>
      </c>
      <c r="B714" t="inlineStr">
        <is>
          <t>PT13264</t>
        </is>
      </c>
      <c r="C714" t="inlineStr">
        <is>
          <t>Outpatient</t>
        </is>
      </c>
      <c r="D714" t="inlineStr">
        <is>
          <t>Bluestone Outpatient Pavilion</t>
        </is>
      </c>
      <c r="E714" t="inlineStr">
        <is>
          <t>Primary Care Clinic</t>
        </is>
      </c>
      <c r="F714" t="inlineStr">
        <is>
          <t>Ambulatory</t>
        </is>
      </c>
      <c r="G714" s="29" t="n">
        <v>45741</v>
      </c>
      <c r="H714" s="29" t="n">
        <v>45741</v>
      </c>
      <c r="I714" s="30" t="n"/>
      <c r="J714" t="inlineStr">
        <is>
          <t>E78.5</t>
        </is>
      </c>
      <c r="K714" t="inlineStr">
        <is>
          <t>Hyperlipidemia, unspecified</t>
        </is>
      </c>
      <c r="L714" t="inlineStr">
        <is>
          <t>Endocrine</t>
        </is>
      </c>
      <c r="M714" t="inlineStr">
        <is>
          <t>Home/Self-Care</t>
        </is>
      </c>
      <c r="N714" t="inlineStr">
        <is>
          <t>Keystone Health Partners</t>
        </is>
      </c>
      <c r="O714" s="31" t="n">
        <v>321.09</v>
      </c>
    </row>
    <row r="715">
      <c r="A715" t="inlineStr">
        <is>
          <t>ENC113624</t>
        </is>
      </c>
      <c r="B715" t="inlineStr">
        <is>
          <t>PT10312</t>
        </is>
      </c>
      <c r="C715" t="inlineStr">
        <is>
          <t>Outpatient</t>
        </is>
      </c>
      <c r="D715" t="inlineStr">
        <is>
          <t>Bluestone Outpatient Pavilion</t>
        </is>
      </c>
      <c r="E715" t="inlineStr">
        <is>
          <t>Infusion &amp; Oncology Clinic</t>
        </is>
      </c>
      <c r="F715" t="inlineStr">
        <is>
          <t>Oncology</t>
        </is>
      </c>
      <c r="G715" s="29" t="n">
        <v>45741</v>
      </c>
      <c r="H715" s="29" t="n">
        <v>45741</v>
      </c>
      <c r="I715" s="30" t="n"/>
      <c r="J715" t="inlineStr">
        <is>
          <t>Z51.11</t>
        </is>
      </c>
      <c r="K715" t="inlineStr">
        <is>
          <t>Encounter for antineoplastic chemotherapy</t>
        </is>
      </c>
      <c r="L715" t="inlineStr">
        <is>
          <t>Factors Influencing Health</t>
        </is>
      </c>
      <c r="M715" t="inlineStr">
        <is>
          <t>Home/Self-Care</t>
        </is>
      </c>
      <c r="N715" t="inlineStr">
        <is>
          <t>Evergreen Mutual Insurance</t>
        </is>
      </c>
      <c r="O715" s="31" t="n">
        <v>8422.5</v>
      </c>
    </row>
    <row r="716">
      <c r="A716" t="inlineStr">
        <is>
          <t>ENC113628</t>
        </is>
      </c>
      <c r="B716" t="inlineStr">
        <is>
          <t>PT13128</t>
        </is>
      </c>
      <c r="C716" t="inlineStr">
        <is>
          <t>Emergency</t>
        </is>
      </c>
      <c r="D716" t="inlineStr">
        <is>
          <t>Bluestone Memorial Hospital</t>
        </is>
      </c>
      <c r="E716" t="inlineStr">
        <is>
          <t>Emergency Department</t>
        </is>
      </c>
      <c r="F716" t="inlineStr">
        <is>
          <t>Emergency</t>
        </is>
      </c>
      <c r="G716" s="29" t="n">
        <v>45741</v>
      </c>
      <c r="H716" s="29" t="n">
        <v>45741</v>
      </c>
      <c r="I716" s="30" t="n"/>
      <c r="J716" t="inlineStr">
        <is>
          <t>R55</t>
        </is>
      </c>
      <c r="K716" t="inlineStr">
        <is>
          <t>Syncope and collapse</t>
        </is>
      </c>
      <c r="L716" t="inlineStr">
        <is>
          <t>Symptoms &amp; Signs</t>
        </is>
      </c>
      <c r="M716" t="inlineStr">
        <is>
          <t>Home/Self-Care</t>
        </is>
      </c>
      <c r="N716" t="inlineStr">
        <is>
          <t>Summit Choice PPO</t>
        </is>
      </c>
      <c r="O716" s="31" t="n">
        <v>2781.12</v>
      </c>
    </row>
    <row r="717">
      <c r="A717" t="inlineStr">
        <is>
          <t>ENC113630</t>
        </is>
      </c>
      <c r="B717" t="inlineStr">
        <is>
          <t>PT11912</t>
        </is>
      </c>
      <c r="C717" t="inlineStr">
        <is>
          <t>Emergency</t>
        </is>
      </c>
      <c r="D717" t="inlineStr">
        <is>
          <t>Bluestone Memorial Hospital</t>
        </is>
      </c>
      <c r="E717" t="inlineStr">
        <is>
          <t>Emergency Department</t>
        </is>
      </c>
      <c r="F717" t="inlineStr">
        <is>
          <t>Emergency</t>
        </is>
      </c>
      <c r="G717" s="29" t="n">
        <v>45741</v>
      </c>
      <c r="H717" s="29" t="n">
        <v>45742</v>
      </c>
      <c r="I717" s="30" t="n"/>
      <c r="J717" t="inlineStr">
        <is>
          <t>R07.9</t>
        </is>
      </c>
      <c r="K717" t="inlineStr">
        <is>
          <t>Chest pain, unspecified</t>
        </is>
      </c>
      <c r="L717" t="inlineStr">
        <is>
          <t>Symptoms &amp; Signs</t>
        </is>
      </c>
      <c r="M717" t="inlineStr">
        <is>
          <t>Home/Self-Care</t>
        </is>
      </c>
      <c r="N717" t="inlineStr">
        <is>
          <t>Medicare</t>
        </is>
      </c>
      <c r="O717" s="31" t="n">
        <v>3197.16</v>
      </c>
    </row>
    <row r="718">
      <c r="A718" t="inlineStr">
        <is>
          <t>ENC113631</t>
        </is>
      </c>
      <c r="B718" t="inlineStr">
        <is>
          <t>PT12244</t>
        </is>
      </c>
      <c r="C718" t="inlineStr">
        <is>
          <t>Emergency</t>
        </is>
      </c>
      <c r="D718" t="inlineStr">
        <is>
          <t>Bluestone Memorial Hospital</t>
        </is>
      </c>
      <c r="E718" t="inlineStr">
        <is>
          <t>Emergency Department</t>
        </is>
      </c>
      <c r="F718" t="inlineStr">
        <is>
          <t>Emergency</t>
        </is>
      </c>
      <c r="G718" s="29" t="n">
        <v>45741</v>
      </c>
      <c r="H718" s="29" t="n">
        <v>45742</v>
      </c>
      <c r="I718" s="30" t="n"/>
      <c r="J718" t="inlineStr">
        <is>
          <t>F32.9</t>
        </is>
      </c>
      <c r="K718" t="inlineStr">
        <is>
          <t>Major depressive disorder, single episode, unspecified</t>
        </is>
      </c>
      <c r="L718" t="inlineStr">
        <is>
          <t>Mental &amp; Behavioral</t>
        </is>
      </c>
      <c r="M718" t="inlineStr">
        <is>
          <t>Home/Self-Care</t>
        </is>
      </c>
      <c r="N718" t="inlineStr">
        <is>
          <t>Silverline Medicare Advantage</t>
        </is>
      </c>
      <c r="O718" s="31" t="n">
        <v>5839.15</v>
      </c>
    </row>
    <row r="719">
      <c r="A719" t="inlineStr">
        <is>
          <t>ENC113635</t>
        </is>
      </c>
      <c r="B719" t="inlineStr">
        <is>
          <t>PT12436</t>
        </is>
      </c>
      <c r="C719" t="inlineStr">
        <is>
          <t>Outpatient</t>
        </is>
      </c>
      <c r="D719" t="inlineStr">
        <is>
          <t>Bluestone Outpatient Pavilion</t>
        </is>
      </c>
      <c r="E719" t="inlineStr">
        <is>
          <t>Primary Care Clinic</t>
        </is>
      </c>
      <c r="F719" t="inlineStr">
        <is>
          <t>Ambulatory</t>
        </is>
      </c>
      <c r="G719" s="29" t="n">
        <v>45742</v>
      </c>
      <c r="H719" s="29" t="n">
        <v>45742</v>
      </c>
      <c r="I719" s="30" t="n"/>
      <c r="J719" t="inlineStr">
        <is>
          <t>I10</t>
        </is>
      </c>
      <c r="K719" t="inlineStr">
        <is>
          <t>Essential (primary) hypertension</t>
        </is>
      </c>
      <c r="L719" t="inlineStr">
        <is>
          <t>Circulatory</t>
        </is>
      </c>
      <c r="M719" t="inlineStr">
        <is>
          <t>Home/Self-Care</t>
        </is>
      </c>
      <c r="N719" t="inlineStr">
        <is>
          <t>Medicare</t>
        </is>
      </c>
      <c r="O719" s="31" t="n">
        <v>166.69</v>
      </c>
    </row>
    <row r="720">
      <c r="A720" t="inlineStr">
        <is>
          <t>ENC113638</t>
        </is>
      </c>
      <c r="B720" t="inlineStr">
        <is>
          <t>PT11352</t>
        </is>
      </c>
      <c r="C720" t="inlineStr">
        <is>
          <t>Outpatient</t>
        </is>
      </c>
      <c r="D720" t="inlineStr">
        <is>
          <t>Bluestone Outpatient Pavilion</t>
        </is>
      </c>
      <c r="E720" t="inlineStr">
        <is>
          <t>Endocrinology &amp; Diabetes Clinic</t>
        </is>
      </c>
      <c r="F720" t="inlineStr">
        <is>
          <t>Ambulatory</t>
        </is>
      </c>
      <c r="G720" s="29" t="n">
        <v>45742</v>
      </c>
      <c r="H720" s="29" t="n">
        <v>45742</v>
      </c>
      <c r="I720" s="30" t="n"/>
      <c r="J720" t="inlineStr">
        <is>
          <t>E11.65</t>
        </is>
      </c>
      <c r="K720" t="inlineStr">
        <is>
          <t>Type 2 diabetes mellitus with hyperglycemia</t>
        </is>
      </c>
      <c r="L720" t="inlineStr">
        <is>
          <t>Endocrine</t>
        </is>
      </c>
      <c r="M720" t="inlineStr">
        <is>
          <t>Home/Self-Care</t>
        </is>
      </c>
      <c r="N720" t="inlineStr">
        <is>
          <t>Evergreen Mutual Insurance</t>
        </is>
      </c>
      <c r="O720" s="31" t="n">
        <v>406.37</v>
      </c>
    </row>
    <row r="721">
      <c r="A721" t="inlineStr">
        <is>
          <t>ENC113644</t>
        </is>
      </c>
      <c r="B721" t="inlineStr">
        <is>
          <t>PT13160</t>
        </is>
      </c>
      <c r="C721" t="inlineStr">
        <is>
          <t>Outpatient</t>
        </is>
      </c>
      <c r="D721" t="inlineStr">
        <is>
          <t>Bluestone Outpatient Pavilion</t>
        </is>
      </c>
      <c r="E721" t="inlineStr">
        <is>
          <t>Pediatric Clinic</t>
        </is>
      </c>
      <c r="F721" t="inlineStr">
        <is>
          <t>Women &amp; Children</t>
        </is>
      </c>
      <c r="G721" s="29" t="n">
        <v>45742</v>
      </c>
      <c r="H721" s="29" t="n">
        <v>45742</v>
      </c>
      <c r="I721" s="30" t="n"/>
      <c r="J721" t="inlineStr">
        <is>
          <t>J06.9</t>
        </is>
      </c>
      <c r="K721" t="inlineStr">
        <is>
          <t>Acute upper respiratory infection, unspecified</t>
        </is>
      </c>
      <c r="L721" t="inlineStr">
        <is>
          <t>Respiratory</t>
        </is>
      </c>
      <c r="M721" t="inlineStr">
        <is>
          <t>Home/Self-Care</t>
        </is>
      </c>
      <c r="N721" t="inlineStr">
        <is>
          <t>Evergreen Mutual Insurance</t>
        </is>
      </c>
      <c r="O721" s="31" t="n">
        <v>297.88</v>
      </c>
    </row>
    <row r="722">
      <c r="A722" t="inlineStr">
        <is>
          <t>ENC113648</t>
        </is>
      </c>
      <c r="B722" t="inlineStr">
        <is>
          <t>PT10476</t>
        </is>
      </c>
      <c r="C722" t="inlineStr">
        <is>
          <t>Outpatient</t>
        </is>
      </c>
      <c r="D722" t="inlineStr">
        <is>
          <t>Bluestone Outpatient Pavilion</t>
        </is>
      </c>
      <c r="E722" t="inlineStr">
        <is>
          <t>Primary Care Clinic</t>
        </is>
      </c>
      <c r="F722" t="inlineStr">
        <is>
          <t>Ambulatory</t>
        </is>
      </c>
      <c r="G722" s="29" t="n">
        <v>45742</v>
      </c>
      <c r="H722" s="29" t="n">
        <v>45742</v>
      </c>
      <c r="I722" s="30" t="n"/>
      <c r="J722" t="inlineStr">
        <is>
          <t>J06.9</t>
        </is>
      </c>
      <c r="K722" t="inlineStr">
        <is>
          <t>Acute upper respiratory infection, unspecified</t>
        </is>
      </c>
      <c r="L722" t="inlineStr">
        <is>
          <t>Respiratory</t>
        </is>
      </c>
      <c r="M722" t="inlineStr">
        <is>
          <t>Home/Self-Care</t>
        </is>
      </c>
      <c r="N722" t="inlineStr">
        <is>
          <t>State Medicaid</t>
        </is>
      </c>
      <c r="O722" s="31" t="n">
        <v>357.85</v>
      </c>
    </row>
    <row r="723">
      <c r="A723" t="inlineStr">
        <is>
          <t>ENC113653</t>
        </is>
      </c>
      <c r="B723" t="inlineStr">
        <is>
          <t>PT13824</t>
        </is>
      </c>
      <c r="C723" t="inlineStr">
        <is>
          <t>Outpatient</t>
        </is>
      </c>
      <c r="D723" t="inlineStr">
        <is>
          <t>Bluestone Outpatient Pavilion</t>
        </is>
      </c>
      <c r="E723" t="inlineStr">
        <is>
          <t>Primary Care Clinic</t>
        </is>
      </c>
      <c r="F723" t="inlineStr">
        <is>
          <t>Ambulatory</t>
        </is>
      </c>
      <c r="G723" s="29" t="n">
        <v>45742</v>
      </c>
      <c r="H723" s="29" t="n">
        <v>45742</v>
      </c>
      <c r="I723" s="30" t="n"/>
      <c r="J723" t="inlineStr">
        <is>
          <t>M54.50</t>
        </is>
      </c>
      <c r="K723" t="inlineStr">
        <is>
          <t>Low back pain, unspecified</t>
        </is>
      </c>
      <c r="L723" t="inlineStr">
        <is>
          <t>Musculoskeletal</t>
        </is>
      </c>
      <c r="M723" t="inlineStr">
        <is>
          <t>Home/Self-Care</t>
        </is>
      </c>
      <c r="N723" t="inlineStr">
        <is>
          <t>Medicare</t>
        </is>
      </c>
      <c r="O723" s="31" t="n">
        <v>391.65</v>
      </c>
    </row>
    <row r="724">
      <c r="A724" t="inlineStr">
        <is>
          <t>ENC113655</t>
        </is>
      </c>
      <c r="B724" t="inlineStr">
        <is>
          <t>PT10884</t>
        </is>
      </c>
      <c r="C724" t="inlineStr">
        <is>
          <t>Emergency</t>
        </is>
      </c>
      <c r="D724" t="inlineStr">
        <is>
          <t>Cedar Ridge Medical Center</t>
        </is>
      </c>
      <c r="E724" t="inlineStr">
        <is>
          <t>Emergency Department</t>
        </is>
      </c>
      <c r="F724" t="inlineStr">
        <is>
          <t>Emergency</t>
        </is>
      </c>
      <c r="G724" s="29" t="n">
        <v>45742</v>
      </c>
      <c r="H724" s="29" t="n">
        <v>45742</v>
      </c>
      <c r="I724" s="30" t="n"/>
      <c r="J724" t="inlineStr">
        <is>
          <t>L03.115</t>
        </is>
      </c>
      <c r="K724" t="inlineStr">
        <is>
          <t>Cellulitis of right lower limb</t>
        </is>
      </c>
      <c r="L724" t="inlineStr">
        <is>
          <t>Skin</t>
        </is>
      </c>
      <c r="M724" t="inlineStr">
        <is>
          <t>Home/Self-Care</t>
        </is>
      </c>
      <c r="N724" t="inlineStr">
        <is>
          <t>Silverline Medicare Advantage</t>
        </is>
      </c>
      <c r="O724" s="31" t="n">
        <v>2013.63</v>
      </c>
    </row>
    <row r="725">
      <c r="A725" t="inlineStr">
        <is>
          <t>ENC113656</t>
        </is>
      </c>
      <c r="B725" t="inlineStr">
        <is>
          <t>PT11304</t>
        </is>
      </c>
      <c r="C725" t="inlineStr">
        <is>
          <t>Outpatient</t>
        </is>
      </c>
      <c r="D725" t="inlineStr">
        <is>
          <t>Bluestone Outpatient Pavilion</t>
        </is>
      </c>
      <c r="E725" t="inlineStr">
        <is>
          <t>Orthopedic Clinic</t>
        </is>
      </c>
      <c r="F725" t="inlineStr">
        <is>
          <t>Orthopedics</t>
        </is>
      </c>
      <c r="G725" s="29" t="n">
        <v>45742</v>
      </c>
      <c r="H725" s="29" t="n">
        <v>45742</v>
      </c>
      <c r="I725" s="30" t="n"/>
      <c r="J725" t="inlineStr">
        <is>
          <t>M16.11</t>
        </is>
      </c>
      <c r="K725" t="inlineStr">
        <is>
          <t>Unilateral primary osteoarthritis, right hip</t>
        </is>
      </c>
      <c r="L725" t="inlineStr">
        <is>
          <t>Musculoskeletal</t>
        </is>
      </c>
      <c r="M725" t="inlineStr">
        <is>
          <t>Home/Self-Care</t>
        </is>
      </c>
      <c r="N725" t="inlineStr">
        <is>
          <t>Silverline Medicare Advantage</t>
        </is>
      </c>
      <c r="O725" s="31" t="n">
        <v>292.86</v>
      </c>
    </row>
    <row r="726">
      <c r="A726" t="inlineStr">
        <is>
          <t>ENC113657</t>
        </is>
      </c>
      <c r="B726" t="inlineStr">
        <is>
          <t>PT11012</t>
        </is>
      </c>
      <c r="C726" t="inlineStr">
        <is>
          <t>Outpatient</t>
        </is>
      </c>
      <c r="D726" t="inlineStr">
        <is>
          <t>Bluestone Outpatient Pavilion</t>
        </is>
      </c>
      <c r="E726" t="inlineStr">
        <is>
          <t>Pediatric Clinic</t>
        </is>
      </c>
      <c r="F726" t="inlineStr">
        <is>
          <t>Women &amp; Children</t>
        </is>
      </c>
      <c r="G726" s="29" t="n">
        <v>45742</v>
      </c>
      <c r="H726" s="29" t="n">
        <v>45742</v>
      </c>
      <c r="I726" s="30" t="n"/>
      <c r="J726" t="inlineStr">
        <is>
          <t>Z00.129</t>
        </is>
      </c>
      <c r="K726" t="inlineStr">
        <is>
          <t>Encounter for routine child health examination without abnormal findings</t>
        </is>
      </c>
      <c r="L726" t="inlineStr">
        <is>
          <t>Factors Influencing Health</t>
        </is>
      </c>
      <c r="M726" t="inlineStr">
        <is>
          <t>Home/Self-Care</t>
        </is>
      </c>
      <c r="N726" t="inlineStr">
        <is>
          <t>Self-Pay</t>
        </is>
      </c>
      <c r="O726" s="31" t="n">
        <v>476.77</v>
      </c>
    </row>
    <row r="727">
      <c r="A727" t="inlineStr">
        <is>
          <t>ENC113658</t>
        </is>
      </c>
      <c r="B727" t="inlineStr">
        <is>
          <t>PT10764</t>
        </is>
      </c>
      <c r="C727" t="inlineStr">
        <is>
          <t>Emergency</t>
        </is>
      </c>
      <c r="D727" t="inlineStr">
        <is>
          <t>Bluestone Memorial Hospital</t>
        </is>
      </c>
      <c r="E727" t="inlineStr">
        <is>
          <t>Emergency Department</t>
        </is>
      </c>
      <c r="F727" t="inlineStr">
        <is>
          <t>Emergency</t>
        </is>
      </c>
      <c r="G727" s="29" t="n">
        <v>45742</v>
      </c>
      <c r="H727" s="29" t="n">
        <v>45742</v>
      </c>
      <c r="I727" s="30" t="n"/>
      <c r="J727" t="inlineStr">
        <is>
          <t>I10</t>
        </is>
      </c>
      <c r="K727" t="inlineStr">
        <is>
          <t>Essential (primary) hypertension</t>
        </is>
      </c>
      <c r="L727" t="inlineStr">
        <is>
          <t>Circulatory</t>
        </is>
      </c>
      <c r="M727" t="inlineStr">
        <is>
          <t>Home/Self-Care</t>
        </is>
      </c>
      <c r="N727" t="inlineStr">
        <is>
          <t>Summit Choice PPO</t>
        </is>
      </c>
      <c r="O727" s="31" t="n">
        <v>1173.36</v>
      </c>
    </row>
    <row r="728">
      <c r="A728" t="inlineStr">
        <is>
          <t>ENC113660</t>
        </is>
      </c>
      <c r="B728" t="inlineStr">
        <is>
          <t>PT11660</t>
        </is>
      </c>
      <c r="C728" t="inlineStr">
        <is>
          <t>Emergency</t>
        </is>
      </c>
      <c r="D728" t="inlineStr">
        <is>
          <t>Bluestone Memorial Hospital</t>
        </is>
      </c>
      <c r="E728" t="inlineStr">
        <is>
          <t>Emergency Department</t>
        </is>
      </c>
      <c r="F728" t="inlineStr">
        <is>
          <t>Emergency</t>
        </is>
      </c>
      <c r="G728" s="29" t="n">
        <v>45742</v>
      </c>
      <c r="H728" s="29" t="n">
        <v>45742</v>
      </c>
      <c r="I728" s="30" t="n"/>
      <c r="J728" t="inlineStr">
        <is>
          <t>L03.115</t>
        </is>
      </c>
      <c r="K728" t="inlineStr">
        <is>
          <t>Cellulitis of right lower limb</t>
        </is>
      </c>
      <c r="L728" t="inlineStr">
        <is>
          <t>Skin</t>
        </is>
      </c>
      <c r="M728" t="inlineStr">
        <is>
          <t>Home/Self-Care</t>
        </is>
      </c>
      <c r="N728" t="inlineStr">
        <is>
          <t>Medicare</t>
        </is>
      </c>
      <c r="O728" s="31" t="n">
        <v>1491.28</v>
      </c>
    </row>
    <row r="729">
      <c r="A729" t="inlineStr">
        <is>
          <t>ENC113669</t>
        </is>
      </c>
      <c r="B729" t="inlineStr">
        <is>
          <t>PT11444</t>
        </is>
      </c>
      <c r="C729" t="inlineStr">
        <is>
          <t>Observation</t>
        </is>
      </c>
      <c r="D729" t="inlineStr">
        <is>
          <t>Bluestone Memorial Hospital</t>
        </is>
      </c>
      <c r="E729" t="inlineStr">
        <is>
          <t>Observation Unit</t>
        </is>
      </c>
      <c r="F729" t="inlineStr">
        <is>
          <t>Medicine</t>
        </is>
      </c>
      <c r="G729" s="29" t="n">
        <v>45743</v>
      </c>
      <c r="H729" s="29" t="n">
        <v>45744</v>
      </c>
      <c r="I729" s="30" t="n">
        <v>1</v>
      </c>
      <c r="J729" t="inlineStr">
        <is>
          <t>U07.1</t>
        </is>
      </c>
      <c r="K729" t="inlineStr">
        <is>
          <t>COVID-19</t>
        </is>
      </c>
      <c r="L729" t="inlineStr">
        <is>
          <t>Respiratory</t>
        </is>
      </c>
      <c r="M729" t="inlineStr">
        <is>
          <t>Home/Self-Care</t>
        </is>
      </c>
      <c r="N729" t="inlineStr">
        <is>
          <t>State Medicaid</t>
        </is>
      </c>
      <c r="O729" s="31" t="n">
        <v>10044.6</v>
      </c>
    </row>
    <row r="730">
      <c r="A730" t="inlineStr">
        <is>
          <t>ENC113672</t>
        </is>
      </c>
      <c r="B730" t="inlineStr">
        <is>
          <t>PT10032</t>
        </is>
      </c>
      <c r="C730" t="inlineStr">
        <is>
          <t>Emergency</t>
        </is>
      </c>
      <c r="D730" t="inlineStr">
        <is>
          <t>Bluestone Memorial Hospital</t>
        </is>
      </c>
      <c r="E730" t="inlineStr">
        <is>
          <t>Emergency Department</t>
        </is>
      </c>
      <c r="F730" t="inlineStr">
        <is>
          <t>Emergency</t>
        </is>
      </c>
      <c r="G730" s="29" t="n">
        <v>45743</v>
      </c>
      <c r="H730" s="29" t="n">
        <v>45743</v>
      </c>
      <c r="I730" s="30" t="n"/>
      <c r="J730" t="inlineStr">
        <is>
          <t>F41.9</t>
        </is>
      </c>
      <c r="K730" t="inlineStr">
        <is>
          <t>Anxiety disorder, unspecified</t>
        </is>
      </c>
      <c r="L730" t="inlineStr">
        <is>
          <t>Mental &amp; Behavioral</t>
        </is>
      </c>
      <c r="M730" t="inlineStr">
        <is>
          <t>Home/Self-Care</t>
        </is>
      </c>
      <c r="N730" t="inlineStr">
        <is>
          <t>State Medicaid</t>
        </is>
      </c>
      <c r="O730" s="31" t="n">
        <v>875.22</v>
      </c>
    </row>
    <row r="731">
      <c r="A731" t="inlineStr">
        <is>
          <t>ENC113674</t>
        </is>
      </c>
      <c r="B731" t="inlineStr">
        <is>
          <t>PT10356</t>
        </is>
      </c>
      <c r="C731" t="inlineStr">
        <is>
          <t>Outpatient</t>
        </is>
      </c>
      <c r="D731" t="inlineStr">
        <is>
          <t>Bluestone Outpatient Pavilion</t>
        </is>
      </c>
      <c r="E731" t="inlineStr">
        <is>
          <t>Primary Care Clinic</t>
        </is>
      </c>
      <c r="F731" t="inlineStr">
        <is>
          <t>Ambulatory</t>
        </is>
      </c>
      <c r="G731" s="29" t="n">
        <v>45743</v>
      </c>
      <c r="H731" s="29" t="n">
        <v>45743</v>
      </c>
      <c r="I731" s="30" t="n"/>
      <c r="J731" t="inlineStr">
        <is>
          <t>Z23</t>
        </is>
      </c>
      <c r="K731" t="inlineStr">
        <is>
          <t>Encounter for immunization</t>
        </is>
      </c>
      <c r="L731" t="inlineStr">
        <is>
          <t>Factors Influencing Health</t>
        </is>
      </c>
      <c r="M731" t="inlineStr">
        <is>
          <t>Home/Self-Care</t>
        </is>
      </c>
      <c r="N731" t="inlineStr">
        <is>
          <t>Medicare</t>
        </is>
      </c>
      <c r="O731" s="31" t="n">
        <v>135.9</v>
      </c>
    </row>
    <row r="732">
      <c r="A732" t="inlineStr">
        <is>
          <t>ENC113681</t>
        </is>
      </c>
      <c r="B732" t="inlineStr">
        <is>
          <t>PT13072</t>
        </is>
      </c>
      <c r="C732" t="inlineStr">
        <is>
          <t>Inpatient</t>
        </is>
      </c>
      <c r="D732" t="inlineStr">
        <is>
          <t>Ashby Falls Community Hospital</t>
        </is>
      </c>
      <c r="E732" t="inlineStr">
        <is>
          <t>Medical-Surgical</t>
        </is>
      </c>
      <c r="F732" t="inlineStr">
        <is>
          <t>Medicine</t>
        </is>
      </c>
      <c r="G732" s="29" t="n">
        <v>45743</v>
      </c>
      <c r="H732" s="29" t="n">
        <v>45746</v>
      </c>
      <c r="I732" s="30" t="n">
        <v>3</v>
      </c>
      <c r="J732" t="inlineStr">
        <is>
          <t>E11.65</t>
        </is>
      </c>
      <c r="K732" t="inlineStr">
        <is>
          <t>Type 2 diabetes mellitus with hyperglycemia</t>
        </is>
      </c>
      <c r="L732" t="inlineStr">
        <is>
          <t>Endocrine</t>
        </is>
      </c>
      <c r="M732" t="inlineStr">
        <is>
          <t>Home Health</t>
        </is>
      </c>
      <c r="N732" t="inlineStr">
        <is>
          <t>Silverline Medicare Advantage</t>
        </is>
      </c>
      <c r="O732" s="31" t="n">
        <v>15272.22</v>
      </c>
      <c r="P732" t="inlineStr">
        <is>
          <t>N</t>
        </is>
      </c>
    </row>
    <row r="733">
      <c r="A733" t="inlineStr">
        <is>
          <t>ENC113686</t>
        </is>
      </c>
      <c r="B733" t="inlineStr">
        <is>
          <t>PT13936</t>
        </is>
      </c>
      <c r="C733" t="inlineStr">
        <is>
          <t>Outpatient</t>
        </is>
      </c>
      <c r="D733" t="inlineStr">
        <is>
          <t>Bluestone Outpatient Pavilion</t>
        </is>
      </c>
      <c r="E733" t="inlineStr">
        <is>
          <t>Orthopedic Clinic</t>
        </is>
      </c>
      <c r="F733" t="inlineStr">
        <is>
          <t>Orthopedics</t>
        </is>
      </c>
      <c r="G733" s="29" t="n">
        <v>45743</v>
      </c>
      <c r="H733" s="29" t="n">
        <v>45743</v>
      </c>
      <c r="I733" s="30" t="n"/>
      <c r="J733" t="inlineStr">
        <is>
          <t>M16.11</t>
        </is>
      </c>
      <c r="K733" t="inlineStr">
        <is>
          <t>Unilateral primary osteoarthritis, right hip</t>
        </is>
      </c>
      <c r="L733" t="inlineStr">
        <is>
          <t>Musculoskeletal</t>
        </is>
      </c>
      <c r="M733" t="inlineStr">
        <is>
          <t>Home/Self-Care</t>
        </is>
      </c>
      <c r="N733" t="inlineStr">
        <is>
          <t>Medicare</t>
        </is>
      </c>
      <c r="O733" s="31" t="n">
        <v>288.32</v>
      </c>
    </row>
    <row r="734">
      <c r="A734" t="inlineStr">
        <is>
          <t>ENC113689</t>
        </is>
      </c>
      <c r="B734" t="inlineStr">
        <is>
          <t>PT13732</t>
        </is>
      </c>
      <c r="C734" t="inlineStr">
        <is>
          <t>Outpatient</t>
        </is>
      </c>
      <c r="D734" t="inlineStr">
        <is>
          <t>Bluestone Outpatient Pavilion</t>
        </is>
      </c>
      <c r="E734" t="inlineStr">
        <is>
          <t>Infusion &amp; Oncology Clinic</t>
        </is>
      </c>
      <c r="F734" t="inlineStr">
        <is>
          <t>Oncology</t>
        </is>
      </c>
      <c r="G734" s="29" t="n">
        <v>45743</v>
      </c>
      <c r="H734" s="29" t="n">
        <v>45743</v>
      </c>
      <c r="I734" s="30" t="n"/>
      <c r="J734" t="inlineStr">
        <is>
          <t>Z51.11</t>
        </is>
      </c>
      <c r="K734" t="inlineStr">
        <is>
          <t>Encounter for antineoplastic chemotherapy</t>
        </is>
      </c>
      <c r="L734" t="inlineStr">
        <is>
          <t>Factors Influencing Health</t>
        </is>
      </c>
      <c r="M734" t="inlineStr">
        <is>
          <t>Home/Self-Care</t>
        </is>
      </c>
      <c r="N734" t="inlineStr">
        <is>
          <t>Evergreen Mutual Insurance</t>
        </is>
      </c>
      <c r="O734" s="31" t="n">
        <v>13663.08</v>
      </c>
    </row>
    <row r="735">
      <c r="A735" t="inlineStr">
        <is>
          <t>ENC113703</t>
        </is>
      </c>
      <c r="B735" t="inlineStr">
        <is>
          <t>PT11404</t>
        </is>
      </c>
      <c r="C735" t="inlineStr">
        <is>
          <t>Observation</t>
        </is>
      </c>
      <c r="D735" t="inlineStr">
        <is>
          <t>Bluestone Memorial Hospital</t>
        </is>
      </c>
      <c r="E735" t="inlineStr">
        <is>
          <t>Observation Unit</t>
        </is>
      </c>
      <c r="F735" t="inlineStr">
        <is>
          <t>Medicine</t>
        </is>
      </c>
      <c r="G735" s="29" t="n">
        <v>45743</v>
      </c>
      <c r="H735" s="29" t="n">
        <v>45745</v>
      </c>
      <c r="I735" s="30" t="n">
        <v>2</v>
      </c>
      <c r="J735" t="inlineStr">
        <is>
          <t>R10.9</t>
        </is>
      </c>
      <c r="K735" t="inlineStr">
        <is>
          <t>Unspecified abdominal pain</t>
        </is>
      </c>
      <c r="L735" t="inlineStr">
        <is>
          <t>Symptoms &amp; Signs</t>
        </is>
      </c>
      <c r="M735" t="inlineStr">
        <is>
          <t>Home/Self-Care</t>
        </is>
      </c>
      <c r="N735" t="inlineStr">
        <is>
          <t>Medicare</t>
        </is>
      </c>
      <c r="O735" s="31" t="n">
        <v>11501.68</v>
      </c>
    </row>
    <row r="736">
      <c r="A736" t="inlineStr">
        <is>
          <t>ENC113709</t>
        </is>
      </c>
      <c r="B736" t="inlineStr">
        <is>
          <t>PT10180</t>
        </is>
      </c>
      <c r="C736" t="inlineStr">
        <is>
          <t>Outpatient</t>
        </is>
      </c>
      <c r="D736" t="inlineStr">
        <is>
          <t>Bluestone Outpatient Pavilion</t>
        </is>
      </c>
      <c r="E736" t="inlineStr">
        <is>
          <t>Primary Care Clinic</t>
        </is>
      </c>
      <c r="F736" t="inlineStr">
        <is>
          <t>Ambulatory</t>
        </is>
      </c>
      <c r="G736" s="29" t="n">
        <v>45744</v>
      </c>
      <c r="H736" s="29" t="n">
        <v>45744</v>
      </c>
      <c r="I736" s="30" t="n"/>
      <c r="J736" t="inlineStr">
        <is>
          <t>Z00.00</t>
        </is>
      </c>
      <c r="K736" t="inlineStr">
        <is>
          <t>Encounter for general adult medical examination without abnormal findings</t>
        </is>
      </c>
      <c r="L736" t="inlineStr">
        <is>
          <t>Factors Influencing Health</t>
        </is>
      </c>
      <c r="M736" t="inlineStr">
        <is>
          <t>Home/Self-Care</t>
        </is>
      </c>
      <c r="N736" t="inlineStr">
        <is>
          <t>Silverline Medicare Advantage</t>
        </is>
      </c>
      <c r="O736" s="31" t="n">
        <v>435.39</v>
      </c>
    </row>
    <row r="737">
      <c r="A737" t="inlineStr">
        <is>
          <t>ENC113721</t>
        </is>
      </c>
      <c r="B737" t="inlineStr">
        <is>
          <t>PT10012</t>
        </is>
      </c>
      <c r="C737" t="inlineStr">
        <is>
          <t>Emergency</t>
        </is>
      </c>
      <c r="D737" t="inlineStr">
        <is>
          <t>Bluestone Memorial Hospital</t>
        </is>
      </c>
      <c r="E737" t="inlineStr">
        <is>
          <t>Emergency Department</t>
        </is>
      </c>
      <c r="F737" t="inlineStr">
        <is>
          <t>Emergency</t>
        </is>
      </c>
      <c r="G737" s="29" t="n">
        <v>45744</v>
      </c>
      <c r="H737" s="29" t="n">
        <v>45744</v>
      </c>
      <c r="I737" s="30" t="n"/>
      <c r="J737" t="inlineStr">
        <is>
          <t>J45.909</t>
        </is>
      </c>
      <c r="K737" t="inlineStr">
        <is>
          <t>Unspecified asthma, uncomplicated</t>
        </is>
      </c>
      <c r="L737" t="inlineStr">
        <is>
          <t>Respiratory</t>
        </is>
      </c>
      <c r="M737" t="inlineStr">
        <is>
          <t>Home/Self-Care</t>
        </is>
      </c>
      <c r="N737" t="inlineStr">
        <is>
          <t>Summit Choice PPO</t>
        </is>
      </c>
      <c r="O737" s="31" t="n">
        <v>5498.52</v>
      </c>
    </row>
    <row r="738">
      <c r="A738" t="inlineStr">
        <is>
          <t>ENC113724</t>
        </is>
      </c>
      <c r="B738" t="inlineStr">
        <is>
          <t>PT13828</t>
        </is>
      </c>
      <c r="C738" t="inlineStr">
        <is>
          <t>Emergency</t>
        </is>
      </c>
      <c r="D738" t="inlineStr">
        <is>
          <t>Cedar Ridge Medical Center</t>
        </is>
      </c>
      <c r="E738" t="inlineStr">
        <is>
          <t>Emergency Department</t>
        </is>
      </c>
      <c r="F738" t="inlineStr">
        <is>
          <t>Emergency</t>
        </is>
      </c>
      <c r="G738" s="29" t="n">
        <v>45744</v>
      </c>
      <c r="H738" s="29" t="n">
        <v>45744</v>
      </c>
      <c r="I738" s="30" t="n"/>
      <c r="J738" t="inlineStr">
        <is>
          <t>N39.0</t>
        </is>
      </c>
      <c r="K738" t="inlineStr">
        <is>
          <t>Urinary tract infection, site not specified</t>
        </is>
      </c>
      <c r="L738" t="inlineStr">
        <is>
          <t>Genitourinary</t>
        </is>
      </c>
      <c r="M738" t="inlineStr">
        <is>
          <t>Home/Self-Care</t>
        </is>
      </c>
      <c r="N738" t="inlineStr">
        <is>
          <t>Medicare</t>
        </is>
      </c>
      <c r="O738" s="31" t="n">
        <v>1376.18</v>
      </c>
    </row>
    <row r="739">
      <c r="A739" t="inlineStr">
        <is>
          <t>ENC113730</t>
        </is>
      </c>
      <c r="B739" t="inlineStr">
        <is>
          <t>PT10040</t>
        </is>
      </c>
      <c r="C739" t="inlineStr">
        <is>
          <t>Inpatient</t>
        </is>
      </c>
      <c r="D739" t="inlineStr">
        <is>
          <t>Bluestone Memorial Hospital</t>
        </is>
      </c>
      <c r="E739" t="inlineStr">
        <is>
          <t>Medical-Surgical 4 West</t>
        </is>
      </c>
      <c r="F739" t="inlineStr">
        <is>
          <t>Medicine</t>
        </is>
      </c>
      <c r="G739" s="29" t="n">
        <v>45744</v>
      </c>
      <c r="H739" s="29" t="n">
        <v>45748</v>
      </c>
      <c r="I739" s="30" t="n">
        <v>4</v>
      </c>
      <c r="J739" t="inlineStr">
        <is>
          <t>E86.0</t>
        </is>
      </c>
      <c r="K739" t="inlineStr">
        <is>
          <t>Dehydration</t>
        </is>
      </c>
      <c r="L739" t="inlineStr">
        <is>
          <t>Endocrine</t>
        </is>
      </c>
      <c r="M739" t="inlineStr">
        <is>
          <t>Home/Self-Care</t>
        </is>
      </c>
      <c r="N739" t="inlineStr">
        <is>
          <t>Medicare</t>
        </is>
      </c>
      <c r="O739" s="31" t="n">
        <v>11750.21</v>
      </c>
      <c r="P739" t="inlineStr">
        <is>
          <t>N</t>
        </is>
      </c>
    </row>
    <row r="740">
      <c r="A740" t="inlineStr">
        <is>
          <t>ENC113731</t>
        </is>
      </c>
      <c r="B740" t="inlineStr">
        <is>
          <t>PT13060</t>
        </is>
      </c>
      <c r="C740" t="inlineStr">
        <is>
          <t>Inpatient</t>
        </is>
      </c>
      <c r="D740" t="inlineStr">
        <is>
          <t>Bluestone Memorial Hospital</t>
        </is>
      </c>
      <c r="E740" t="inlineStr">
        <is>
          <t>Behavioral Health</t>
        </is>
      </c>
      <c r="F740" t="inlineStr">
        <is>
          <t>Behavioral Health</t>
        </is>
      </c>
      <c r="G740" s="29" t="n">
        <v>45744</v>
      </c>
      <c r="H740" s="29" t="n">
        <v>45753</v>
      </c>
      <c r="I740" s="30" t="n">
        <v>9</v>
      </c>
      <c r="J740" t="inlineStr">
        <is>
          <t>F32.9</t>
        </is>
      </c>
      <c r="K740" t="inlineStr">
        <is>
          <t>Major depressive disorder, single episode, unspecified</t>
        </is>
      </c>
      <c r="L740" t="inlineStr">
        <is>
          <t>Mental &amp; Behavioral</t>
        </is>
      </c>
      <c r="M740" t="inlineStr">
        <is>
          <t>Left AMA</t>
        </is>
      </c>
      <c r="N740" t="inlineStr">
        <is>
          <t>State Medicaid</t>
        </is>
      </c>
      <c r="O740" s="31" t="n">
        <v>32019.2</v>
      </c>
      <c r="P740" t="inlineStr">
        <is>
          <t>N</t>
        </is>
      </c>
    </row>
    <row r="741">
      <c r="A741" t="inlineStr">
        <is>
          <t>ENC113742</t>
        </is>
      </c>
      <c r="B741" t="inlineStr">
        <is>
          <t>PT13900</t>
        </is>
      </c>
      <c r="C741" t="inlineStr">
        <is>
          <t>Outpatient</t>
        </is>
      </c>
      <c r="D741" t="inlineStr">
        <is>
          <t>Bluestone Outpatient Pavilion</t>
        </is>
      </c>
      <c r="E741" t="inlineStr">
        <is>
          <t>Primary Care Clinic</t>
        </is>
      </c>
      <c r="F741" t="inlineStr">
        <is>
          <t>Ambulatory</t>
        </is>
      </c>
      <c r="G741" s="29" t="n">
        <v>45744</v>
      </c>
      <c r="H741" s="29" t="n">
        <v>45744</v>
      </c>
      <c r="I741" s="30" t="n"/>
      <c r="J741" t="inlineStr">
        <is>
          <t>I10</t>
        </is>
      </c>
      <c r="K741" t="inlineStr">
        <is>
          <t>Essential (primary) hypertension</t>
        </is>
      </c>
      <c r="L741" t="inlineStr">
        <is>
          <t>Circulatory</t>
        </is>
      </c>
      <c r="M741" t="inlineStr">
        <is>
          <t>Home/Self-Care</t>
        </is>
      </c>
      <c r="N741" t="inlineStr">
        <is>
          <t>Medicare</t>
        </is>
      </c>
      <c r="O741" s="31" t="n">
        <v>485.97</v>
      </c>
    </row>
    <row r="742">
      <c r="A742" t="inlineStr">
        <is>
          <t>ENC113744</t>
        </is>
      </c>
      <c r="B742" t="inlineStr">
        <is>
          <t>PT10800</t>
        </is>
      </c>
      <c r="C742" t="inlineStr">
        <is>
          <t>Outpatient</t>
        </is>
      </c>
      <c r="D742" t="inlineStr">
        <is>
          <t>Bluestone Outpatient Pavilion</t>
        </is>
      </c>
      <c r="E742" t="inlineStr">
        <is>
          <t>Pediatric Clinic</t>
        </is>
      </c>
      <c r="F742" t="inlineStr">
        <is>
          <t>Women &amp; Children</t>
        </is>
      </c>
      <c r="G742" s="29" t="n">
        <v>45744</v>
      </c>
      <c r="H742" s="29" t="n">
        <v>45744</v>
      </c>
      <c r="I742" s="30" t="n"/>
      <c r="J742" t="inlineStr">
        <is>
          <t>H66.90</t>
        </is>
      </c>
      <c r="K742" t="inlineStr">
        <is>
          <t>Otitis media, unspecified, unspecified ear</t>
        </is>
      </c>
      <c r="L742" t="inlineStr">
        <is>
          <t>Ear</t>
        </is>
      </c>
      <c r="M742" t="inlineStr">
        <is>
          <t>Home/Self-Care</t>
        </is>
      </c>
      <c r="N742" t="inlineStr">
        <is>
          <t>Keystone Health Partners</t>
        </is>
      </c>
      <c r="O742" s="31" t="n">
        <v>349.03</v>
      </c>
    </row>
    <row r="743">
      <c r="A743" t="inlineStr">
        <is>
          <t>ENC113746</t>
        </is>
      </c>
      <c r="B743" t="inlineStr">
        <is>
          <t>PT13464</t>
        </is>
      </c>
      <c r="C743" t="inlineStr">
        <is>
          <t>Inpatient</t>
        </is>
      </c>
      <c r="D743" t="inlineStr">
        <is>
          <t>Bluestone Memorial Hospital</t>
        </is>
      </c>
      <c r="E743" t="inlineStr">
        <is>
          <t>Medical-Surgical 4 West</t>
        </is>
      </c>
      <c r="F743" t="inlineStr">
        <is>
          <t>Medicine</t>
        </is>
      </c>
      <c r="G743" s="29" t="n">
        <v>45744</v>
      </c>
      <c r="H743" s="29" t="n">
        <v>45747</v>
      </c>
      <c r="I743" s="30" t="n">
        <v>3</v>
      </c>
      <c r="J743" t="inlineStr">
        <is>
          <t>J18.9</t>
        </is>
      </c>
      <c r="K743" t="inlineStr">
        <is>
          <t>Pneumonia, unspecified organism</t>
        </is>
      </c>
      <c r="L743" t="inlineStr">
        <is>
          <t>Respiratory</t>
        </is>
      </c>
      <c r="M743" t="inlineStr">
        <is>
          <t>Hospice</t>
        </is>
      </c>
      <c r="N743" t="inlineStr">
        <is>
          <t>Silverline Medicare Advantage</t>
        </is>
      </c>
      <c r="O743" s="31" t="n">
        <v>16483.71</v>
      </c>
      <c r="P743" t="inlineStr">
        <is>
          <t>N</t>
        </is>
      </c>
    </row>
    <row r="744">
      <c r="A744" t="inlineStr">
        <is>
          <t>ENC113752</t>
        </is>
      </c>
      <c r="B744" t="inlineStr">
        <is>
          <t>PT12292</t>
        </is>
      </c>
      <c r="C744" t="inlineStr">
        <is>
          <t>Emergency</t>
        </is>
      </c>
      <c r="D744" t="inlineStr">
        <is>
          <t>Bluestone Memorial Hospital</t>
        </is>
      </c>
      <c r="E744" t="inlineStr">
        <is>
          <t>Emergency Department</t>
        </is>
      </c>
      <c r="F744" t="inlineStr">
        <is>
          <t>Emergency</t>
        </is>
      </c>
      <c r="G744" s="29" t="n">
        <v>45745</v>
      </c>
      <c r="H744" s="29" t="n">
        <v>45745</v>
      </c>
      <c r="I744" s="30" t="n"/>
      <c r="J744" t="inlineStr">
        <is>
          <t>J18.9</t>
        </is>
      </c>
      <c r="K744" t="inlineStr">
        <is>
          <t>Pneumonia, unspecified organism</t>
        </is>
      </c>
      <c r="L744" t="inlineStr">
        <is>
          <t>Respiratory</t>
        </is>
      </c>
      <c r="M744" t="inlineStr">
        <is>
          <t>Home/Self-Care</t>
        </is>
      </c>
      <c r="N744" t="inlineStr">
        <is>
          <t>Silverline Medicare Advantage</t>
        </is>
      </c>
      <c r="O744" s="31" t="n">
        <v>4872.49</v>
      </c>
    </row>
    <row r="745">
      <c r="A745" t="inlineStr">
        <is>
          <t>ENC113753</t>
        </is>
      </c>
      <c r="B745" t="inlineStr">
        <is>
          <t>PT13844</t>
        </is>
      </c>
      <c r="C745" t="inlineStr">
        <is>
          <t>Observation</t>
        </is>
      </c>
      <c r="D745" t="inlineStr">
        <is>
          <t>Bluestone Memorial Hospital</t>
        </is>
      </c>
      <c r="E745" t="inlineStr">
        <is>
          <t>Observation Unit</t>
        </is>
      </c>
      <c r="F745" t="inlineStr">
        <is>
          <t>Medicine</t>
        </is>
      </c>
      <c r="G745" s="29" t="n">
        <v>45745</v>
      </c>
      <c r="H745" s="29" t="n">
        <v>45746</v>
      </c>
      <c r="I745" s="30" t="n">
        <v>1</v>
      </c>
      <c r="J745" t="inlineStr">
        <is>
          <t>J18.9</t>
        </is>
      </c>
      <c r="K745" t="inlineStr">
        <is>
          <t>Pneumonia, unspecified organism</t>
        </is>
      </c>
      <c r="L745" t="inlineStr">
        <is>
          <t>Respiratory</t>
        </is>
      </c>
      <c r="M745" t="inlineStr">
        <is>
          <t>Home/Self-Care</t>
        </is>
      </c>
      <c r="N745" t="inlineStr">
        <is>
          <t>State Medicaid</t>
        </is>
      </c>
      <c r="O745" s="31" t="n">
        <v>7592.67</v>
      </c>
    </row>
    <row r="746">
      <c r="A746" t="inlineStr">
        <is>
          <t>ENC113758</t>
        </is>
      </c>
      <c r="B746" t="inlineStr">
        <is>
          <t>PT10232</t>
        </is>
      </c>
      <c r="C746" t="inlineStr">
        <is>
          <t>Observation</t>
        </is>
      </c>
      <c r="D746" t="inlineStr">
        <is>
          <t>Bluestone Memorial Hospital</t>
        </is>
      </c>
      <c r="E746" t="inlineStr">
        <is>
          <t>Observation Unit</t>
        </is>
      </c>
      <c r="F746" t="inlineStr">
        <is>
          <t>Medicine</t>
        </is>
      </c>
      <c r="G746" s="29" t="n">
        <v>45745</v>
      </c>
      <c r="H746" s="29" t="n">
        <v>45746</v>
      </c>
      <c r="I746" s="30" t="n">
        <v>1</v>
      </c>
      <c r="J746" t="inlineStr">
        <is>
          <t>J21.9</t>
        </is>
      </c>
      <c r="K746" t="inlineStr">
        <is>
          <t>Acute bronchiolitis, unspecified</t>
        </is>
      </c>
      <c r="L746" t="inlineStr">
        <is>
          <t>Respiratory</t>
        </is>
      </c>
      <c r="M746" t="inlineStr">
        <is>
          <t>Home/Self-Care</t>
        </is>
      </c>
      <c r="N746" t="inlineStr">
        <is>
          <t>Summit Choice PPO</t>
        </is>
      </c>
      <c r="O746" s="31" t="n">
        <v>6894.48</v>
      </c>
    </row>
    <row r="747">
      <c r="A747" t="inlineStr">
        <is>
          <t>ENC113766</t>
        </is>
      </c>
      <c r="B747" t="inlineStr">
        <is>
          <t>PT12484</t>
        </is>
      </c>
      <c r="C747" t="inlineStr">
        <is>
          <t>Emergency</t>
        </is>
      </c>
      <c r="D747" t="inlineStr">
        <is>
          <t>Bluestone Memorial Hospital</t>
        </is>
      </c>
      <c r="E747" t="inlineStr">
        <is>
          <t>Emergency Department</t>
        </is>
      </c>
      <c r="F747" t="inlineStr">
        <is>
          <t>Emergency</t>
        </is>
      </c>
      <c r="G747" s="29" t="n">
        <v>45745</v>
      </c>
      <c r="H747" s="29" t="n">
        <v>45745</v>
      </c>
      <c r="I747" s="30" t="n"/>
      <c r="J747" t="inlineStr">
        <is>
          <t>N39.0</t>
        </is>
      </c>
      <c r="K747" t="inlineStr">
        <is>
          <t>Urinary tract infection, site not specified</t>
        </is>
      </c>
      <c r="L747" t="inlineStr">
        <is>
          <t>Genitourinary</t>
        </is>
      </c>
      <c r="M747" t="inlineStr">
        <is>
          <t>Home/Self-Care</t>
        </is>
      </c>
      <c r="N747" t="inlineStr">
        <is>
          <t>Medicare</t>
        </is>
      </c>
      <c r="O747" s="31" t="n">
        <v>2304.59</v>
      </c>
    </row>
    <row r="748">
      <c r="A748" t="inlineStr">
        <is>
          <t>ENC113769</t>
        </is>
      </c>
      <c r="B748" t="inlineStr">
        <is>
          <t>PT13460</t>
        </is>
      </c>
      <c r="C748" t="inlineStr">
        <is>
          <t>Inpatient</t>
        </is>
      </c>
      <c r="D748" t="inlineStr">
        <is>
          <t>Bluestone Memorial Hospital</t>
        </is>
      </c>
      <c r="E748" t="inlineStr">
        <is>
          <t>Cardiac Step-Down</t>
        </is>
      </c>
      <c r="F748" t="inlineStr">
        <is>
          <t>Cardiovascular</t>
        </is>
      </c>
      <c r="G748" s="29" t="n">
        <v>45746</v>
      </c>
      <c r="H748" s="29" t="n">
        <v>45747</v>
      </c>
      <c r="I748" s="30" t="n">
        <v>1</v>
      </c>
      <c r="J748" t="inlineStr">
        <is>
          <t>I50.9</t>
        </is>
      </c>
      <c r="K748" t="inlineStr">
        <is>
          <t>Heart failure, unspecified</t>
        </is>
      </c>
      <c r="L748" t="inlineStr">
        <is>
          <t>Circulatory</t>
        </is>
      </c>
      <c r="M748" t="inlineStr">
        <is>
          <t>Home/Self-Care</t>
        </is>
      </c>
      <c r="N748" t="inlineStr">
        <is>
          <t>Evergreen Mutual Insurance</t>
        </is>
      </c>
      <c r="O748" s="31" t="n">
        <v>10583.64</v>
      </c>
      <c r="P748" t="inlineStr">
        <is>
          <t>N</t>
        </is>
      </c>
    </row>
    <row r="749">
      <c r="A749" t="inlineStr">
        <is>
          <t>ENC113771</t>
        </is>
      </c>
      <c r="B749" t="inlineStr">
        <is>
          <t>PT11776</t>
        </is>
      </c>
      <c r="C749" t="inlineStr">
        <is>
          <t>Inpatient</t>
        </is>
      </c>
      <c r="D749" t="inlineStr">
        <is>
          <t>Bluestone Memorial Hospital</t>
        </is>
      </c>
      <c r="E749" t="inlineStr">
        <is>
          <t>Behavioral Health</t>
        </is>
      </c>
      <c r="F749" t="inlineStr">
        <is>
          <t>Behavioral Health</t>
        </is>
      </c>
      <c r="G749" s="29" t="n">
        <v>45746</v>
      </c>
      <c r="H749" s="29" t="n">
        <v>45749</v>
      </c>
      <c r="I749" s="30" t="n">
        <v>3</v>
      </c>
      <c r="J749" t="inlineStr">
        <is>
          <t>F32.9</t>
        </is>
      </c>
      <c r="K749" t="inlineStr">
        <is>
          <t>Major depressive disorder, single episode, unspecified</t>
        </is>
      </c>
      <c r="L749" t="inlineStr">
        <is>
          <t>Mental &amp; Behavioral</t>
        </is>
      </c>
      <c r="M749" t="inlineStr">
        <is>
          <t>Home/Self-Care</t>
        </is>
      </c>
      <c r="N749" t="inlineStr">
        <is>
          <t>Medicare</t>
        </is>
      </c>
      <c r="O749" s="31" t="n">
        <v>10088.08</v>
      </c>
      <c r="P749" t="inlineStr">
        <is>
          <t>N</t>
        </is>
      </c>
    </row>
    <row r="750">
      <c r="A750" t="inlineStr">
        <is>
          <t>ENC113776</t>
        </is>
      </c>
      <c r="B750" t="inlineStr">
        <is>
          <t>PT12796</t>
        </is>
      </c>
      <c r="C750" t="inlineStr">
        <is>
          <t>Emergency</t>
        </is>
      </c>
      <c r="D750" t="inlineStr">
        <is>
          <t>Bluestone Memorial Hospital</t>
        </is>
      </c>
      <c r="E750" t="inlineStr">
        <is>
          <t>Emergency Department</t>
        </is>
      </c>
      <c r="F750" t="inlineStr">
        <is>
          <t>Emergency</t>
        </is>
      </c>
      <c r="G750" s="29" t="n">
        <v>45746</v>
      </c>
      <c r="H750" s="29" t="n">
        <v>45746</v>
      </c>
      <c r="I750" s="30" t="n"/>
      <c r="J750" t="inlineStr">
        <is>
          <t>E86.0</t>
        </is>
      </c>
      <c r="K750" t="inlineStr">
        <is>
          <t>Dehydration</t>
        </is>
      </c>
      <c r="L750" t="inlineStr">
        <is>
          <t>Endocrine</t>
        </is>
      </c>
      <c r="M750" t="inlineStr">
        <is>
          <t>Home/Self-Care</t>
        </is>
      </c>
      <c r="N750" t="inlineStr">
        <is>
          <t>State Medicaid</t>
        </is>
      </c>
      <c r="O750" s="31" t="n">
        <v>1498.43</v>
      </c>
    </row>
    <row r="751">
      <c r="A751" t="inlineStr">
        <is>
          <t>ENC113778</t>
        </is>
      </c>
      <c r="B751" t="inlineStr">
        <is>
          <t>PT13780</t>
        </is>
      </c>
      <c r="C751" t="inlineStr">
        <is>
          <t>Emergency</t>
        </is>
      </c>
      <c r="D751" t="inlineStr">
        <is>
          <t>Bluestone Memorial Hospital</t>
        </is>
      </c>
      <c r="E751" t="inlineStr">
        <is>
          <t>Emergency Department</t>
        </is>
      </c>
      <c r="F751" t="inlineStr">
        <is>
          <t>Emergency</t>
        </is>
      </c>
      <c r="G751" s="29" t="n">
        <v>45746</v>
      </c>
      <c r="H751" s="29" t="n">
        <v>45746</v>
      </c>
      <c r="I751" s="30" t="n"/>
      <c r="J751" t="inlineStr">
        <is>
          <t>J06.9</t>
        </is>
      </c>
      <c r="K751" t="inlineStr">
        <is>
          <t>Acute upper respiratory infection, unspecified</t>
        </is>
      </c>
      <c r="L751" t="inlineStr">
        <is>
          <t>Respiratory</t>
        </is>
      </c>
      <c r="M751" t="inlineStr">
        <is>
          <t>Home/Self-Care</t>
        </is>
      </c>
      <c r="N751" t="inlineStr">
        <is>
          <t>Summit Choice PPO</t>
        </is>
      </c>
      <c r="O751" s="31" t="n">
        <v>1698.45</v>
      </c>
    </row>
    <row r="752">
      <c r="A752" t="inlineStr">
        <is>
          <t>ENC113780</t>
        </is>
      </c>
      <c r="B752" t="inlineStr">
        <is>
          <t>PT13684</t>
        </is>
      </c>
      <c r="C752" t="inlineStr">
        <is>
          <t>Emergency</t>
        </is>
      </c>
      <c r="D752" t="inlineStr">
        <is>
          <t>Ashby Falls Community Hospital</t>
        </is>
      </c>
      <c r="E752" t="inlineStr">
        <is>
          <t>Emergency Department</t>
        </is>
      </c>
      <c r="F752" t="inlineStr">
        <is>
          <t>Emergency</t>
        </is>
      </c>
      <c r="G752" s="29" t="n">
        <v>45746</v>
      </c>
      <c r="H752" s="29" t="n">
        <v>45746</v>
      </c>
      <c r="I752" s="30" t="n"/>
      <c r="J752" t="inlineStr">
        <is>
          <t>F41.9</t>
        </is>
      </c>
      <c r="K752" t="inlineStr">
        <is>
          <t>Anxiety disorder, unspecified</t>
        </is>
      </c>
      <c r="L752" t="inlineStr">
        <is>
          <t>Mental &amp; Behavioral</t>
        </is>
      </c>
      <c r="M752" t="inlineStr">
        <is>
          <t>Home/Self-Care</t>
        </is>
      </c>
      <c r="N752" t="inlineStr">
        <is>
          <t>State Medicaid</t>
        </is>
      </c>
      <c r="O752" s="31" t="n">
        <v>1298.27</v>
      </c>
    </row>
    <row r="753">
      <c r="A753" t="inlineStr">
        <is>
          <t>ENC113782</t>
        </is>
      </c>
      <c r="B753" t="inlineStr">
        <is>
          <t>PT10332</t>
        </is>
      </c>
      <c r="C753" t="inlineStr">
        <is>
          <t>Emergency</t>
        </is>
      </c>
      <c r="D753" t="inlineStr">
        <is>
          <t>Cedar Ridge Medical Center</t>
        </is>
      </c>
      <c r="E753" t="inlineStr">
        <is>
          <t>Emergency Department</t>
        </is>
      </c>
      <c r="F753" t="inlineStr">
        <is>
          <t>Emergency</t>
        </is>
      </c>
      <c r="G753" s="29" t="n">
        <v>45747</v>
      </c>
      <c r="H753" s="29" t="n">
        <v>45747</v>
      </c>
      <c r="I753" s="30" t="n"/>
      <c r="J753" t="inlineStr">
        <is>
          <t>R10.9</t>
        </is>
      </c>
      <c r="K753" t="inlineStr">
        <is>
          <t>Unspecified abdominal pain</t>
        </is>
      </c>
      <c r="L753" t="inlineStr">
        <is>
          <t>Symptoms &amp; Signs</t>
        </is>
      </c>
      <c r="M753" t="inlineStr">
        <is>
          <t>Home/Self-Care</t>
        </is>
      </c>
      <c r="N753" t="inlineStr">
        <is>
          <t>Medicare</t>
        </is>
      </c>
      <c r="O753" s="31" t="n">
        <v>2931.54</v>
      </c>
    </row>
    <row r="754">
      <c r="A754" t="inlineStr">
        <is>
          <t>ENC113784</t>
        </is>
      </c>
      <c r="B754" t="inlineStr">
        <is>
          <t>PT11992</t>
        </is>
      </c>
      <c r="C754" t="inlineStr">
        <is>
          <t>Emergency</t>
        </is>
      </c>
      <c r="D754" t="inlineStr">
        <is>
          <t>Ashby Falls Community Hospital</t>
        </is>
      </c>
      <c r="E754" t="inlineStr">
        <is>
          <t>Emergency Department</t>
        </is>
      </c>
      <c r="F754" t="inlineStr">
        <is>
          <t>Emergency</t>
        </is>
      </c>
      <c r="G754" s="29" t="n">
        <v>45747</v>
      </c>
      <c r="H754" s="29" t="n">
        <v>45747</v>
      </c>
      <c r="I754" s="30" t="n"/>
      <c r="J754" t="inlineStr">
        <is>
          <t>R10.9</t>
        </is>
      </c>
      <c r="K754" t="inlineStr">
        <is>
          <t>Unspecified abdominal pain</t>
        </is>
      </c>
      <c r="L754" t="inlineStr">
        <is>
          <t>Symptoms &amp; Signs</t>
        </is>
      </c>
      <c r="M754" t="inlineStr">
        <is>
          <t>Home/Self-Care</t>
        </is>
      </c>
      <c r="N754" t="inlineStr">
        <is>
          <t>Self-Pay</t>
        </is>
      </c>
      <c r="O754" s="31" t="n">
        <v>1214.32</v>
      </c>
    </row>
    <row r="755">
      <c r="A755" t="inlineStr">
        <is>
          <t>ENC113790</t>
        </is>
      </c>
      <c r="B755" t="inlineStr">
        <is>
          <t>PT11376</t>
        </is>
      </c>
      <c r="C755" t="inlineStr">
        <is>
          <t>Outpatient</t>
        </is>
      </c>
      <c r="D755" t="inlineStr">
        <is>
          <t>Bluestone Outpatient Pavilion</t>
        </is>
      </c>
      <c r="E755" t="inlineStr">
        <is>
          <t>Primary Care Clinic</t>
        </is>
      </c>
      <c r="F755" t="inlineStr">
        <is>
          <t>Ambulatory</t>
        </is>
      </c>
      <c r="G755" s="29" t="n">
        <v>45747</v>
      </c>
      <c r="H755" s="29" t="n">
        <v>45747</v>
      </c>
      <c r="I755" s="30" t="n"/>
      <c r="J755" t="inlineStr">
        <is>
          <t>I10</t>
        </is>
      </c>
      <c r="K755" t="inlineStr">
        <is>
          <t>Essential (primary) hypertension</t>
        </is>
      </c>
      <c r="L755" t="inlineStr">
        <is>
          <t>Circulatory</t>
        </is>
      </c>
      <c r="M755" t="inlineStr">
        <is>
          <t>Home/Self-Care</t>
        </is>
      </c>
      <c r="N755" t="inlineStr">
        <is>
          <t>Medicare</t>
        </is>
      </c>
      <c r="O755" s="31" t="n">
        <v>333.36</v>
      </c>
    </row>
    <row r="756">
      <c r="A756" t="inlineStr">
        <is>
          <t>ENC113792</t>
        </is>
      </c>
      <c r="B756" t="inlineStr">
        <is>
          <t>PT10572</t>
        </is>
      </c>
      <c r="C756" t="inlineStr">
        <is>
          <t>Outpatient</t>
        </is>
      </c>
      <c r="D756" t="inlineStr">
        <is>
          <t>Bluestone Outpatient Pavilion</t>
        </is>
      </c>
      <c r="E756" t="inlineStr">
        <is>
          <t>Primary Care Clinic</t>
        </is>
      </c>
      <c r="F756" t="inlineStr">
        <is>
          <t>Ambulatory</t>
        </is>
      </c>
      <c r="G756" s="29" t="n">
        <v>45747</v>
      </c>
      <c r="H756" s="29" t="n">
        <v>45747</v>
      </c>
      <c r="I756" s="30" t="n"/>
      <c r="J756" t="inlineStr">
        <is>
          <t>Z23</t>
        </is>
      </c>
      <c r="K756" t="inlineStr">
        <is>
          <t>Encounter for immunization</t>
        </is>
      </c>
      <c r="L756" t="inlineStr">
        <is>
          <t>Factors Influencing Health</t>
        </is>
      </c>
      <c r="M756" t="inlineStr">
        <is>
          <t>Home/Self-Care</t>
        </is>
      </c>
      <c r="N756" t="inlineStr">
        <is>
          <t>Evergreen Mutual Insurance</t>
        </is>
      </c>
      <c r="O756" s="31" t="n">
        <v>105.64</v>
      </c>
    </row>
    <row r="757">
      <c r="A757" t="inlineStr">
        <is>
          <t>ENC113795</t>
        </is>
      </c>
      <c r="B757" t="inlineStr">
        <is>
          <t>PT12124</t>
        </is>
      </c>
      <c r="C757" t="inlineStr">
        <is>
          <t>Outpatient</t>
        </is>
      </c>
      <c r="D757" t="inlineStr">
        <is>
          <t>Bluestone Outpatient Pavilion</t>
        </is>
      </c>
      <c r="E757" t="inlineStr">
        <is>
          <t>Endocrinology &amp; Diabetes Clinic</t>
        </is>
      </c>
      <c r="F757" t="inlineStr">
        <is>
          <t>Ambulatory</t>
        </is>
      </c>
      <c r="G757" s="29" t="n">
        <v>45747</v>
      </c>
      <c r="H757" s="29" t="n">
        <v>45747</v>
      </c>
      <c r="I757" s="30" t="n"/>
      <c r="J757" t="inlineStr">
        <is>
          <t>E11.65</t>
        </is>
      </c>
      <c r="K757" t="inlineStr">
        <is>
          <t>Type 2 diabetes mellitus with hyperglycemia</t>
        </is>
      </c>
      <c r="L757" t="inlineStr">
        <is>
          <t>Endocrine</t>
        </is>
      </c>
      <c r="M757" t="inlineStr">
        <is>
          <t>Home/Self-Care</t>
        </is>
      </c>
      <c r="N757" t="inlineStr">
        <is>
          <t>Keystone Health Partners</t>
        </is>
      </c>
      <c r="O757" s="31" t="n">
        <v>327.29</v>
      </c>
    </row>
    <row r="758">
      <c r="A758" t="inlineStr">
        <is>
          <t>ENC113799</t>
        </is>
      </c>
      <c r="B758" t="inlineStr">
        <is>
          <t>PT12532</t>
        </is>
      </c>
      <c r="C758" t="inlineStr">
        <is>
          <t>Emergency</t>
        </is>
      </c>
      <c r="D758" t="inlineStr">
        <is>
          <t>Bluestone Memorial Hospital</t>
        </is>
      </c>
      <c r="E758" t="inlineStr">
        <is>
          <t>Emergency Department</t>
        </is>
      </c>
      <c r="F758" t="inlineStr">
        <is>
          <t>Emergency</t>
        </is>
      </c>
      <c r="G758" s="29" t="n">
        <v>45747</v>
      </c>
      <c r="H758" s="29" t="n">
        <v>45747</v>
      </c>
      <c r="I758" s="30" t="n"/>
      <c r="J758" t="inlineStr">
        <is>
          <t>I48.91</t>
        </is>
      </c>
      <c r="K758" t="inlineStr">
        <is>
          <t>Unspecified atrial fibrillation</t>
        </is>
      </c>
      <c r="L758" t="inlineStr">
        <is>
          <t>Circulatory</t>
        </is>
      </c>
      <c r="M758" t="inlineStr">
        <is>
          <t>Home/Self-Care</t>
        </is>
      </c>
      <c r="N758" t="inlineStr">
        <is>
          <t>Keystone Health Partners</t>
        </is>
      </c>
      <c r="O758" s="31" t="n">
        <v>1404.28</v>
      </c>
    </row>
    <row r="759">
      <c r="A759" t="inlineStr">
        <is>
          <t>ENC113803</t>
        </is>
      </c>
      <c r="B759" t="inlineStr">
        <is>
          <t>PT10956</t>
        </is>
      </c>
      <c r="C759" t="inlineStr">
        <is>
          <t>Outpatient</t>
        </is>
      </c>
      <c r="D759" t="inlineStr">
        <is>
          <t>Bluestone Outpatient Pavilion</t>
        </is>
      </c>
      <c r="E759" t="inlineStr">
        <is>
          <t>Endocrinology &amp; Diabetes Clinic</t>
        </is>
      </c>
      <c r="F759" t="inlineStr">
        <is>
          <t>Ambulatory</t>
        </is>
      </c>
      <c r="G759" s="29" t="n">
        <v>45747</v>
      </c>
      <c r="H759" s="29" t="n">
        <v>45747</v>
      </c>
      <c r="I759" s="30" t="n"/>
      <c r="J759" t="inlineStr">
        <is>
          <t>E11.9</t>
        </is>
      </c>
      <c r="K759" t="inlineStr">
        <is>
          <t>Type 2 diabetes mellitus without complications</t>
        </is>
      </c>
      <c r="L759" t="inlineStr">
        <is>
          <t>Endocrine</t>
        </is>
      </c>
      <c r="M759" t="inlineStr">
        <is>
          <t>Home/Self-Care</t>
        </is>
      </c>
      <c r="N759" t="inlineStr">
        <is>
          <t>Keystone Health Partners</t>
        </is>
      </c>
      <c r="O759" s="31" t="n">
        <v>231.27</v>
      </c>
    </row>
    <row r="760">
      <c r="A760" t="inlineStr">
        <is>
          <t>ENC113807</t>
        </is>
      </c>
      <c r="B760" t="inlineStr">
        <is>
          <t>PT10832</t>
        </is>
      </c>
      <c r="C760" t="inlineStr">
        <is>
          <t>Outpatient</t>
        </is>
      </c>
      <c r="D760" t="inlineStr">
        <is>
          <t>Bluestone Outpatient Pavilion</t>
        </is>
      </c>
      <c r="E760" t="inlineStr">
        <is>
          <t>Primary Care Clinic</t>
        </is>
      </c>
      <c r="F760" t="inlineStr">
        <is>
          <t>Ambulatory</t>
        </is>
      </c>
      <c r="G760" s="29" t="n">
        <v>45747</v>
      </c>
      <c r="H760" s="29" t="n">
        <v>45747</v>
      </c>
      <c r="I760" s="30" t="n"/>
      <c r="J760" t="inlineStr">
        <is>
          <t>I10</t>
        </is>
      </c>
      <c r="K760" t="inlineStr">
        <is>
          <t>Essential (primary) hypertension</t>
        </is>
      </c>
      <c r="L760" t="inlineStr">
        <is>
          <t>Circulatory</t>
        </is>
      </c>
      <c r="M760" t="inlineStr">
        <is>
          <t>Home/Self-Care</t>
        </is>
      </c>
      <c r="N760" t="inlineStr">
        <is>
          <t>Keystone Health Partners</t>
        </is>
      </c>
      <c r="O760" s="31" t="n">
        <v>270.76</v>
      </c>
    </row>
    <row r="761">
      <c r="A761" t="inlineStr">
        <is>
          <t>ENC113808</t>
        </is>
      </c>
      <c r="B761" t="inlineStr">
        <is>
          <t>PT10228</t>
        </is>
      </c>
      <c r="C761" t="inlineStr">
        <is>
          <t>Emergency</t>
        </is>
      </c>
      <c r="D761" t="inlineStr">
        <is>
          <t>Bluestone Memorial Hospital</t>
        </is>
      </c>
      <c r="E761" t="inlineStr">
        <is>
          <t>Emergency Department</t>
        </is>
      </c>
      <c r="F761" t="inlineStr">
        <is>
          <t>Emergency</t>
        </is>
      </c>
      <c r="G761" s="29" t="n">
        <v>45747</v>
      </c>
      <c r="H761" s="29" t="n">
        <v>45747</v>
      </c>
      <c r="I761" s="30" t="n"/>
      <c r="J761" t="inlineStr">
        <is>
          <t>M54.50</t>
        </is>
      </c>
      <c r="K761" t="inlineStr">
        <is>
          <t>Low back pain, unspecified</t>
        </is>
      </c>
      <c r="L761" t="inlineStr">
        <is>
          <t>Musculoskeletal</t>
        </is>
      </c>
      <c r="M761" t="inlineStr">
        <is>
          <t>Home/Self-Care</t>
        </is>
      </c>
      <c r="N761" t="inlineStr">
        <is>
          <t>Evergreen Mutual Insurance</t>
        </is>
      </c>
      <c r="O761" s="31" t="n">
        <v>2019.23</v>
      </c>
    </row>
    <row r="762">
      <c r="A762" t="inlineStr">
        <is>
          <t>ENC113817</t>
        </is>
      </c>
      <c r="B762" t="inlineStr">
        <is>
          <t>PT13316</t>
        </is>
      </c>
      <c r="C762" t="inlineStr">
        <is>
          <t>Outpatient</t>
        </is>
      </c>
      <c r="D762" t="inlineStr">
        <is>
          <t>Bluestone Outpatient Pavilion</t>
        </is>
      </c>
      <c r="E762" t="inlineStr">
        <is>
          <t>Pediatric Clinic</t>
        </is>
      </c>
      <c r="F762" t="inlineStr">
        <is>
          <t>Women &amp; Children</t>
        </is>
      </c>
      <c r="G762" s="29" t="n">
        <v>45748</v>
      </c>
      <c r="H762" s="29" t="n">
        <v>45748</v>
      </c>
      <c r="I762" s="30" t="n"/>
      <c r="J762" t="inlineStr">
        <is>
          <t>Z00.129</t>
        </is>
      </c>
      <c r="K762" t="inlineStr">
        <is>
          <t>Encounter for routine child health examination without abnormal findings</t>
        </is>
      </c>
      <c r="L762" t="inlineStr">
        <is>
          <t>Factors Influencing Health</t>
        </is>
      </c>
      <c r="M762" t="inlineStr">
        <is>
          <t>Home/Self-Care</t>
        </is>
      </c>
      <c r="N762" t="inlineStr">
        <is>
          <t>Keystone Health Partners</t>
        </is>
      </c>
      <c r="O762" s="31" t="n">
        <v>394.62</v>
      </c>
    </row>
    <row r="763">
      <c r="A763" t="inlineStr">
        <is>
          <t>ENC113820</t>
        </is>
      </c>
      <c r="B763" t="inlineStr">
        <is>
          <t>PT11812</t>
        </is>
      </c>
      <c r="C763" t="inlineStr">
        <is>
          <t>Outpatient</t>
        </is>
      </c>
      <c r="D763" t="inlineStr">
        <is>
          <t>Bluestone Outpatient Pavilion</t>
        </is>
      </c>
      <c r="E763" t="inlineStr">
        <is>
          <t>Primary Care Clinic</t>
        </is>
      </c>
      <c r="F763" t="inlineStr">
        <is>
          <t>Ambulatory</t>
        </is>
      </c>
      <c r="G763" s="29" t="n">
        <v>45748</v>
      </c>
      <c r="H763" s="29" t="n">
        <v>45748</v>
      </c>
      <c r="I763" s="30" t="n"/>
      <c r="J763" t="inlineStr">
        <is>
          <t>G40.909</t>
        </is>
      </c>
      <c r="K763" t="inlineStr">
        <is>
          <t>Epilepsy, unspecified, not intractable, without status epilepticus</t>
        </is>
      </c>
      <c r="L763" t="inlineStr">
        <is>
          <t>Nervous System</t>
        </is>
      </c>
      <c r="M763" t="inlineStr">
        <is>
          <t>Home/Self-Care</t>
        </is>
      </c>
      <c r="N763" t="inlineStr">
        <is>
          <t>Silverline Medicare Advantage</t>
        </is>
      </c>
      <c r="O763" s="31" t="n">
        <v>509.31</v>
      </c>
    </row>
    <row r="764">
      <c r="A764" t="inlineStr">
        <is>
          <t>ENC113821</t>
        </is>
      </c>
      <c r="B764" t="inlineStr">
        <is>
          <t>PT11724</t>
        </is>
      </c>
      <c r="C764" t="inlineStr">
        <is>
          <t>Outpatient</t>
        </is>
      </c>
      <c r="D764" t="inlineStr">
        <is>
          <t>Bluestone Outpatient Pavilion</t>
        </is>
      </c>
      <c r="E764" t="inlineStr">
        <is>
          <t>Primary Care Clinic</t>
        </is>
      </c>
      <c r="F764" t="inlineStr">
        <is>
          <t>Ambulatory</t>
        </is>
      </c>
      <c r="G764" s="29" t="n">
        <v>45748</v>
      </c>
      <c r="H764" s="29" t="n">
        <v>45748</v>
      </c>
      <c r="I764" s="30" t="n"/>
      <c r="J764" t="inlineStr">
        <is>
          <t>I10</t>
        </is>
      </c>
      <c r="K764" t="inlineStr">
        <is>
          <t>Essential (primary) hypertension</t>
        </is>
      </c>
      <c r="L764" t="inlineStr">
        <is>
          <t>Circulatory</t>
        </is>
      </c>
      <c r="M764" t="inlineStr">
        <is>
          <t>Home/Self-Care</t>
        </is>
      </c>
      <c r="N764" t="inlineStr">
        <is>
          <t>Medicare</t>
        </is>
      </c>
      <c r="O764" s="31" t="n">
        <v>473.49</v>
      </c>
    </row>
    <row r="765">
      <c r="A765" t="inlineStr">
        <is>
          <t>ENC113839</t>
        </is>
      </c>
      <c r="B765" t="inlineStr">
        <is>
          <t>PT11600</t>
        </is>
      </c>
      <c r="C765" t="inlineStr">
        <is>
          <t>Inpatient</t>
        </is>
      </c>
      <c r="D765" t="inlineStr">
        <is>
          <t>Bluestone Memorial Hospital</t>
        </is>
      </c>
      <c r="E765" t="inlineStr">
        <is>
          <t>Medical-Surgical 5 East</t>
        </is>
      </c>
      <c r="F765" t="inlineStr">
        <is>
          <t>Medicine</t>
        </is>
      </c>
      <c r="G765" s="29" t="n">
        <v>45748</v>
      </c>
      <c r="H765" s="29" t="n">
        <v>45753</v>
      </c>
      <c r="I765" s="30" t="n">
        <v>5</v>
      </c>
      <c r="J765" t="inlineStr">
        <is>
          <t>J18.9</t>
        </is>
      </c>
      <c r="K765" t="inlineStr">
        <is>
          <t>Pneumonia, unspecified organism</t>
        </is>
      </c>
      <c r="L765" t="inlineStr">
        <is>
          <t>Respiratory</t>
        </is>
      </c>
      <c r="M765" t="inlineStr">
        <is>
          <t>Home/Self-Care</t>
        </is>
      </c>
      <c r="N765" t="inlineStr">
        <is>
          <t>State Medicaid</t>
        </is>
      </c>
      <c r="O765" s="31" t="n">
        <v>33353.92</v>
      </c>
      <c r="P765" t="inlineStr">
        <is>
          <t>Y</t>
        </is>
      </c>
    </row>
    <row r="766">
      <c r="A766" t="inlineStr">
        <is>
          <t>ENC113840</t>
        </is>
      </c>
      <c r="B766" t="inlineStr">
        <is>
          <t>PT12844</t>
        </is>
      </c>
      <c r="C766" t="inlineStr">
        <is>
          <t>Emergency</t>
        </is>
      </c>
      <c r="D766" t="inlineStr">
        <is>
          <t>Bluestone Memorial Hospital</t>
        </is>
      </c>
      <c r="E766" t="inlineStr">
        <is>
          <t>Emergency Department</t>
        </is>
      </c>
      <c r="F766" t="inlineStr">
        <is>
          <t>Emergency</t>
        </is>
      </c>
      <c r="G766" s="29" t="n">
        <v>45748</v>
      </c>
      <c r="H766" s="29" t="n">
        <v>45748</v>
      </c>
      <c r="I766" s="30" t="n"/>
      <c r="J766" t="inlineStr">
        <is>
          <t>E86.0</t>
        </is>
      </c>
      <c r="K766" t="inlineStr">
        <is>
          <t>Dehydration</t>
        </is>
      </c>
      <c r="L766" t="inlineStr">
        <is>
          <t>Endocrine</t>
        </is>
      </c>
      <c r="M766" t="inlineStr">
        <is>
          <t>Home/Self-Care</t>
        </is>
      </c>
      <c r="N766" t="inlineStr">
        <is>
          <t>State Medicaid</t>
        </is>
      </c>
      <c r="O766" s="31" t="n">
        <v>3148.42</v>
      </c>
    </row>
    <row r="767">
      <c r="A767" t="inlineStr">
        <is>
          <t>ENC113841</t>
        </is>
      </c>
      <c r="B767" t="inlineStr">
        <is>
          <t>PT11096</t>
        </is>
      </c>
      <c r="C767" t="inlineStr">
        <is>
          <t>Emergency</t>
        </is>
      </c>
      <c r="D767" t="inlineStr">
        <is>
          <t>Bluestone Memorial Hospital</t>
        </is>
      </c>
      <c r="E767" t="inlineStr">
        <is>
          <t>Emergency Department</t>
        </is>
      </c>
      <c r="F767" t="inlineStr">
        <is>
          <t>Emergency</t>
        </is>
      </c>
      <c r="G767" s="29" t="n">
        <v>45748</v>
      </c>
      <c r="H767" s="29" t="n">
        <v>45748</v>
      </c>
      <c r="I767" s="30" t="n"/>
      <c r="J767" t="inlineStr">
        <is>
          <t>I48.91</t>
        </is>
      </c>
      <c r="K767" t="inlineStr">
        <is>
          <t>Unspecified atrial fibrillation</t>
        </is>
      </c>
      <c r="L767" t="inlineStr">
        <is>
          <t>Circulatory</t>
        </is>
      </c>
      <c r="M767" t="inlineStr">
        <is>
          <t>Home/Self-Care</t>
        </is>
      </c>
      <c r="N767" t="inlineStr">
        <is>
          <t>Medicare</t>
        </is>
      </c>
      <c r="O767" s="31" t="n">
        <v>2688.02</v>
      </c>
    </row>
    <row r="768">
      <c r="A768" t="inlineStr">
        <is>
          <t>ENC113846</t>
        </is>
      </c>
      <c r="B768" t="inlineStr">
        <is>
          <t>PT10004</t>
        </is>
      </c>
      <c r="C768" t="inlineStr">
        <is>
          <t>Emergency</t>
        </is>
      </c>
      <c r="D768" t="inlineStr">
        <is>
          <t>Bluestone Memorial Hospital</t>
        </is>
      </c>
      <c r="E768" t="inlineStr">
        <is>
          <t>Emergency Department</t>
        </is>
      </c>
      <c r="F768" t="inlineStr">
        <is>
          <t>Emergency</t>
        </is>
      </c>
      <c r="G768" s="29" t="n">
        <v>45749</v>
      </c>
      <c r="H768" s="29" t="n">
        <v>45749</v>
      </c>
      <c r="I768" s="30" t="n"/>
      <c r="J768" t="inlineStr">
        <is>
          <t>R55</t>
        </is>
      </c>
      <c r="K768" t="inlineStr">
        <is>
          <t>Syncope and collapse</t>
        </is>
      </c>
      <c r="L768" t="inlineStr">
        <is>
          <t>Symptoms &amp; Signs</t>
        </is>
      </c>
      <c r="M768" t="inlineStr">
        <is>
          <t>Home/Self-Care</t>
        </is>
      </c>
      <c r="N768" t="inlineStr">
        <is>
          <t>Keystone Health Partners</t>
        </is>
      </c>
      <c r="O768" s="31" t="n">
        <v>3580.5</v>
      </c>
    </row>
    <row r="769">
      <c r="A769" t="inlineStr">
        <is>
          <t>ENC113851</t>
        </is>
      </c>
      <c r="B769" t="inlineStr">
        <is>
          <t>PT11064</t>
        </is>
      </c>
      <c r="C769" t="inlineStr">
        <is>
          <t>Outpatient</t>
        </is>
      </c>
      <c r="D769" t="inlineStr">
        <is>
          <t>Bluestone Outpatient Pavilion</t>
        </is>
      </c>
      <c r="E769" t="inlineStr">
        <is>
          <t>Primary Care Clinic</t>
        </is>
      </c>
      <c r="F769" t="inlineStr">
        <is>
          <t>Ambulatory</t>
        </is>
      </c>
      <c r="G769" s="29" t="n">
        <v>45749</v>
      </c>
      <c r="H769" s="29" t="n">
        <v>45749</v>
      </c>
      <c r="I769" s="30" t="n"/>
      <c r="J769" t="inlineStr">
        <is>
          <t>Z23</t>
        </is>
      </c>
      <c r="K769" t="inlineStr">
        <is>
          <t>Encounter for immunization</t>
        </is>
      </c>
      <c r="L769" t="inlineStr">
        <is>
          <t>Factors Influencing Health</t>
        </is>
      </c>
      <c r="M769" t="inlineStr">
        <is>
          <t>Home/Self-Care</t>
        </is>
      </c>
      <c r="N769" t="inlineStr">
        <is>
          <t>Keystone Health Partners</t>
        </is>
      </c>
      <c r="O769" s="31" t="n">
        <v>110.95</v>
      </c>
    </row>
    <row r="770">
      <c r="A770" t="inlineStr">
        <is>
          <t>ENC113852</t>
        </is>
      </c>
      <c r="B770" t="inlineStr">
        <is>
          <t>PT10744</t>
        </is>
      </c>
      <c r="C770" t="inlineStr">
        <is>
          <t>Outpatient</t>
        </is>
      </c>
      <c r="D770" t="inlineStr">
        <is>
          <t>Bluestone Outpatient Pavilion</t>
        </is>
      </c>
      <c r="E770" t="inlineStr">
        <is>
          <t>Primary Care Clinic</t>
        </is>
      </c>
      <c r="F770" t="inlineStr">
        <is>
          <t>Ambulatory</t>
        </is>
      </c>
      <c r="G770" s="29" t="n">
        <v>45749</v>
      </c>
      <c r="H770" s="29" t="n">
        <v>45749</v>
      </c>
      <c r="I770" s="30" t="n"/>
      <c r="J770" t="inlineStr">
        <is>
          <t>F41.9</t>
        </is>
      </c>
      <c r="K770" t="inlineStr">
        <is>
          <t>Anxiety disorder, unspecified</t>
        </is>
      </c>
      <c r="L770" t="inlineStr">
        <is>
          <t>Mental &amp; Behavioral</t>
        </is>
      </c>
      <c r="M770" t="inlineStr">
        <is>
          <t>Home/Self-Care</t>
        </is>
      </c>
      <c r="N770" t="inlineStr">
        <is>
          <t>State Medicaid</t>
        </is>
      </c>
      <c r="O770" s="31" t="n">
        <v>492.65</v>
      </c>
    </row>
    <row r="771">
      <c r="A771" t="inlineStr">
        <is>
          <t>ENC113856</t>
        </is>
      </c>
      <c r="B771" t="inlineStr">
        <is>
          <t>PT12372</t>
        </is>
      </c>
      <c r="C771" t="inlineStr">
        <is>
          <t>Outpatient</t>
        </is>
      </c>
      <c r="D771" t="inlineStr">
        <is>
          <t>Bluestone Outpatient Pavilion</t>
        </is>
      </c>
      <c r="E771" t="inlineStr">
        <is>
          <t>Primary Care Clinic</t>
        </is>
      </c>
      <c r="F771" t="inlineStr">
        <is>
          <t>Ambulatory</t>
        </is>
      </c>
      <c r="G771" s="29" t="n">
        <v>45749</v>
      </c>
      <c r="H771" s="29" t="n">
        <v>45749</v>
      </c>
      <c r="I771" s="30" t="n"/>
      <c r="J771" t="inlineStr">
        <is>
          <t>J06.9</t>
        </is>
      </c>
      <c r="K771" t="inlineStr">
        <is>
          <t>Acute upper respiratory infection, unspecified</t>
        </is>
      </c>
      <c r="L771" t="inlineStr">
        <is>
          <t>Respiratory</t>
        </is>
      </c>
      <c r="M771" t="inlineStr">
        <is>
          <t>Home/Self-Care</t>
        </is>
      </c>
      <c r="N771" t="inlineStr">
        <is>
          <t>Evergreen Mutual Insurance</t>
        </is>
      </c>
      <c r="O771" s="31" t="n">
        <v>337.29</v>
      </c>
    </row>
    <row r="772">
      <c r="A772" t="inlineStr">
        <is>
          <t>ENC113857</t>
        </is>
      </c>
      <c r="B772" t="inlineStr">
        <is>
          <t>PT11372</t>
        </is>
      </c>
      <c r="C772" t="inlineStr">
        <is>
          <t>Emergency</t>
        </is>
      </c>
      <c r="D772" t="inlineStr">
        <is>
          <t>Cedar Ridge Medical Center</t>
        </is>
      </c>
      <c r="E772" t="inlineStr">
        <is>
          <t>Emergency Department</t>
        </is>
      </c>
      <c r="F772" t="inlineStr">
        <is>
          <t>Emergency</t>
        </is>
      </c>
      <c r="G772" s="29" t="n">
        <v>45749</v>
      </c>
      <c r="H772" s="29" t="n">
        <v>45749</v>
      </c>
      <c r="I772" s="30" t="n"/>
      <c r="J772" t="inlineStr">
        <is>
          <t>R10.9</t>
        </is>
      </c>
      <c r="K772" t="inlineStr">
        <is>
          <t>Unspecified abdominal pain</t>
        </is>
      </c>
      <c r="L772" t="inlineStr">
        <is>
          <t>Symptoms &amp; Signs</t>
        </is>
      </c>
      <c r="M772" t="inlineStr">
        <is>
          <t>Home/Self-Care</t>
        </is>
      </c>
      <c r="N772" t="inlineStr">
        <is>
          <t>Silverline Medicare Advantage</t>
        </is>
      </c>
      <c r="O772" s="31" t="n">
        <v>1746.41</v>
      </c>
    </row>
    <row r="773">
      <c r="A773" t="inlineStr">
        <is>
          <t>ENC113865</t>
        </is>
      </c>
      <c r="B773" t="inlineStr">
        <is>
          <t>PT12220</t>
        </is>
      </c>
      <c r="C773" t="inlineStr">
        <is>
          <t>Outpatient</t>
        </is>
      </c>
      <c r="D773" t="inlineStr">
        <is>
          <t>Bluestone Outpatient Pavilion</t>
        </is>
      </c>
      <c r="E773" t="inlineStr">
        <is>
          <t>Primary Care Clinic</t>
        </is>
      </c>
      <c r="F773" t="inlineStr">
        <is>
          <t>Ambulatory</t>
        </is>
      </c>
      <c r="G773" s="29" t="n">
        <v>45749</v>
      </c>
      <c r="H773" s="29" t="n">
        <v>45749</v>
      </c>
      <c r="I773" s="30" t="n"/>
      <c r="J773" t="inlineStr">
        <is>
          <t>Z00.00</t>
        </is>
      </c>
      <c r="K773" t="inlineStr">
        <is>
          <t>Encounter for general adult medical examination without abnormal findings</t>
        </is>
      </c>
      <c r="L773" t="inlineStr">
        <is>
          <t>Factors Influencing Health</t>
        </is>
      </c>
      <c r="M773" t="inlineStr">
        <is>
          <t>Home/Self-Care</t>
        </is>
      </c>
      <c r="N773" t="inlineStr">
        <is>
          <t>Keystone Health Partners</t>
        </is>
      </c>
      <c r="O773" s="31" t="n">
        <v>284.35</v>
      </c>
    </row>
    <row r="774">
      <c r="A774" t="inlineStr">
        <is>
          <t>ENC113866</t>
        </is>
      </c>
      <c r="B774" t="inlineStr">
        <is>
          <t>PT10796</t>
        </is>
      </c>
      <c r="C774" t="inlineStr">
        <is>
          <t>Emergency</t>
        </is>
      </c>
      <c r="D774" t="inlineStr">
        <is>
          <t>Ashby Falls Community Hospital</t>
        </is>
      </c>
      <c r="E774" t="inlineStr">
        <is>
          <t>Emergency Department</t>
        </is>
      </c>
      <c r="F774" t="inlineStr">
        <is>
          <t>Emergency</t>
        </is>
      </c>
      <c r="G774" s="29" t="n">
        <v>45749</v>
      </c>
      <c r="H774" s="29" t="n">
        <v>45749</v>
      </c>
      <c r="I774" s="30" t="n"/>
      <c r="J774" t="inlineStr">
        <is>
          <t>S93.401A</t>
        </is>
      </c>
      <c r="K774" t="inlineStr">
        <is>
          <t>Sprain of unspecified ligament of right ankle, initial encounter</t>
        </is>
      </c>
      <c r="L774" t="inlineStr">
        <is>
          <t>Injury</t>
        </is>
      </c>
      <c r="M774" t="inlineStr">
        <is>
          <t>Home/Self-Care</t>
        </is>
      </c>
      <c r="N774" t="inlineStr">
        <is>
          <t>Medicare</t>
        </is>
      </c>
      <c r="O774" s="31" t="n">
        <v>2182.97</v>
      </c>
    </row>
    <row r="775">
      <c r="A775" t="inlineStr">
        <is>
          <t>ENC113868</t>
        </is>
      </c>
      <c r="B775" t="inlineStr">
        <is>
          <t>PT11644</t>
        </is>
      </c>
      <c r="C775" t="inlineStr">
        <is>
          <t>Inpatient</t>
        </is>
      </c>
      <c r="D775" t="inlineStr">
        <is>
          <t>Bluestone Memorial Hospital</t>
        </is>
      </c>
      <c r="E775" t="inlineStr">
        <is>
          <t>Orthopedics &amp; Spine</t>
        </is>
      </c>
      <c r="F775" t="inlineStr">
        <is>
          <t>Orthopedics</t>
        </is>
      </c>
      <c r="G775" s="29" t="n">
        <v>45749</v>
      </c>
      <c r="H775" s="29" t="n">
        <v>45754</v>
      </c>
      <c r="I775" s="30" t="n">
        <v>5</v>
      </c>
      <c r="J775" t="inlineStr">
        <is>
          <t>S72.001A</t>
        </is>
      </c>
      <c r="K775" t="inlineStr">
        <is>
          <t>Fracture of unspecified part of neck of right femur, initial encounter</t>
        </is>
      </c>
      <c r="L775" t="inlineStr">
        <is>
          <t>Injury</t>
        </is>
      </c>
      <c r="M775" t="inlineStr">
        <is>
          <t>Home Health</t>
        </is>
      </c>
      <c r="N775" t="inlineStr">
        <is>
          <t>Summit Choice PPO</t>
        </is>
      </c>
      <c r="O775" s="31" t="n">
        <v>82008.28</v>
      </c>
      <c r="P775" t="inlineStr">
        <is>
          <t>N</t>
        </is>
      </c>
    </row>
    <row r="776">
      <c r="A776" t="inlineStr">
        <is>
          <t>ENC113869</t>
        </is>
      </c>
      <c r="B776" t="inlineStr">
        <is>
          <t>PT11256</t>
        </is>
      </c>
      <c r="C776" t="inlineStr">
        <is>
          <t>Outpatient</t>
        </is>
      </c>
      <c r="D776" t="inlineStr">
        <is>
          <t>Bluestone Outpatient Pavilion</t>
        </is>
      </c>
      <c r="E776" t="inlineStr">
        <is>
          <t>Primary Care Clinic</t>
        </is>
      </c>
      <c r="F776" t="inlineStr">
        <is>
          <t>Ambulatory</t>
        </is>
      </c>
      <c r="G776" s="29" t="n">
        <v>45749</v>
      </c>
      <c r="H776" s="29" t="n">
        <v>45749</v>
      </c>
      <c r="I776" s="30" t="n"/>
      <c r="J776" t="inlineStr">
        <is>
          <t>J45.909</t>
        </is>
      </c>
      <c r="K776" t="inlineStr">
        <is>
          <t>Unspecified asthma, uncomplicated</t>
        </is>
      </c>
      <c r="L776" t="inlineStr">
        <is>
          <t>Respiratory</t>
        </is>
      </c>
      <c r="M776" t="inlineStr">
        <is>
          <t>Home/Self-Care</t>
        </is>
      </c>
      <c r="N776" t="inlineStr">
        <is>
          <t>Keystone Health Partners</t>
        </is>
      </c>
      <c r="O776" s="31" t="n">
        <v>306.26</v>
      </c>
    </row>
    <row r="777">
      <c r="A777" t="inlineStr">
        <is>
          <t>ENC113871</t>
        </is>
      </c>
      <c r="B777" t="inlineStr">
        <is>
          <t>PT13788</t>
        </is>
      </c>
      <c r="C777" t="inlineStr">
        <is>
          <t>Outpatient</t>
        </is>
      </c>
      <c r="D777" t="inlineStr">
        <is>
          <t>Bluestone Outpatient Pavilion</t>
        </is>
      </c>
      <c r="E777" t="inlineStr">
        <is>
          <t>Primary Care Clinic</t>
        </is>
      </c>
      <c r="F777" t="inlineStr">
        <is>
          <t>Ambulatory</t>
        </is>
      </c>
      <c r="G777" s="29" t="n">
        <v>45749</v>
      </c>
      <c r="H777" s="29" t="n">
        <v>45749</v>
      </c>
      <c r="I777" s="30" t="n"/>
      <c r="J777" t="inlineStr">
        <is>
          <t>Z00.00</t>
        </is>
      </c>
      <c r="K777" t="inlineStr">
        <is>
          <t>Encounter for general adult medical examination without abnormal findings</t>
        </is>
      </c>
      <c r="L777" t="inlineStr">
        <is>
          <t>Factors Influencing Health</t>
        </is>
      </c>
      <c r="M777" t="inlineStr">
        <is>
          <t>Home/Self-Care</t>
        </is>
      </c>
      <c r="N777" t="inlineStr">
        <is>
          <t>Silverline Medicare Advantage</t>
        </is>
      </c>
      <c r="O777" s="31" t="n">
        <v>410.64</v>
      </c>
    </row>
    <row r="778">
      <c r="A778" t="inlineStr">
        <is>
          <t>ENC113872</t>
        </is>
      </c>
      <c r="B778" t="inlineStr">
        <is>
          <t>PT11868</t>
        </is>
      </c>
      <c r="C778" t="inlineStr">
        <is>
          <t>Outpatient</t>
        </is>
      </c>
      <c r="D778" t="inlineStr">
        <is>
          <t>Bluestone Outpatient Pavilion</t>
        </is>
      </c>
      <c r="E778" t="inlineStr">
        <is>
          <t>Primary Care Clinic</t>
        </is>
      </c>
      <c r="F778" t="inlineStr">
        <is>
          <t>Ambulatory</t>
        </is>
      </c>
      <c r="G778" s="29" t="n">
        <v>45749</v>
      </c>
      <c r="H778" s="29" t="n">
        <v>45749</v>
      </c>
      <c r="I778" s="30" t="n"/>
      <c r="J778" t="inlineStr">
        <is>
          <t>M54.50</t>
        </is>
      </c>
      <c r="K778" t="inlineStr">
        <is>
          <t>Low back pain, unspecified</t>
        </is>
      </c>
      <c r="L778" t="inlineStr">
        <is>
          <t>Musculoskeletal</t>
        </is>
      </c>
      <c r="M778" t="inlineStr">
        <is>
          <t>Home/Self-Care</t>
        </is>
      </c>
      <c r="N778" t="inlineStr">
        <is>
          <t>State Medicaid</t>
        </is>
      </c>
      <c r="O778" s="31" t="n">
        <v>425.38</v>
      </c>
    </row>
    <row r="779">
      <c r="A779" t="inlineStr">
        <is>
          <t>ENC113874</t>
        </is>
      </c>
      <c r="B779" t="inlineStr">
        <is>
          <t>PT13116</t>
        </is>
      </c>
      <c r="C779" t="inlineStr">
        <is>
          <t>Inpatient</t>
        </is>
      </c>
      <c r="D779" t="inlineStr">
        <is>
          <t>Cedar Ridge Medical Center</t>
        </is>
      </c>
      <c r="E779" t="inlineStr">
        <is>
          <t>Medical-Surgical</t>
        </is>
      </c>
      <c r="F779" t="inlineStr">
        <is>
          <t>Medicine</t>
        </is>
      </c>
      <c r="G779" s="29" t="n">
        <v>45749</v>
      </c>
      <c r="H779" s="29" t="n">
        <v>45756</v>
      </c>
      <c r="I779" s="30" t="n">
        <v>7</v>
      </c>
      <c r="J779" t="inlineStr">
        <is>
          <t>F10.239</t>
        </is>
      </c>
      <c r="K779" t="inlineStr">
        <is>
          <t>Alcohol dependence with withdrawal, unspecified</t>
        </is>
      </c>
      <c r="L779" t="inlineStr">
        <is>
          <t>Mental &amp; Behavioral</t>
        </is>
      </c>
      <c r="M779" t="inlineStr">
        <is>
          <t>Home/Self-Care</t>
        </is>
      </c>
      <c r="N779" t="inlineStr">
        <is>
          <t>Medicare</t>
        </is>
      </c>
      <c r="O779" s="31" t="n">
        <v>17589.73</v>
      </c>
      <c r="P779" t="inlineStr">
        <is>
          <t>N</t>
        </is>
      </c>
    </row>
    <row r="780">
      <c r="A780" t="inlineStr">
        <is>
          <t>ENC113887</t>
        </is>
      </c>
      <c r="B780" t="inlineStr">
        <is>
          <t>PT12564</t>
        </is>
      </c>
      <c r="C780" t="inlineStr">
        <is>
          <t>Inpatient</t>
        </is>
      </c>
      <c r="D780" t="inlineStr">
        <is>
          <t>Ashby Falls Community Hospital</t>
        </is>
      </c>
      <c r="E780" t="inlineStr">
        <is>
          <t>Labor &amp; Delivery</t>
        </is>
      </c>
      <c r="F780" t="inlineStr">
        <is>
          <t>Women &amp; Children</t>
        </is>
      </c>
      <c r="G780" s="29" t="n">
        <v>45750</v>
      </c>
      <c r="H780" s="29" t="n">
        <v>45751</v>
      </c>
      <c r="I780" s="30" t="n">
        <v>1</v>
      </c>
      <c r="J780" t="inlineStr">
        <is>
          <t>O80</t>
        </is>
      </c>
      <c r="K780" t="inlineStr">
        <is>
          <t>Encounter for full-term uncomplicated delivery</t>
        </is>
      </c>
      <c r="L780" t="inlineStr">
        <is>
          <t>Pregnancy</t>
        </is>
      </c>
      <c r="M780" t="inlineStr">
        <is>
          <t>Home/Self-Care</t>
        </is>
      </c>
      <c r="N780" t="inlineStr">
        <is>
          <t>Summit Choice PPO</t>
        </is>
      </c>
      <c r="O780" s="31" t="n">
        <v>13006.93</v>
      </c>
      <c r="P780" t="inlineStr">
        <is>
          <t>N</t>
        </is>
      </c>
    </row>
    <row r="781">
      <c r="A781" t="inlineStr">
        <is>
          <t>ENC113892</t>
        </is>
      </c>
      <c r="B781" t="inlineStr">
        <is>
          <t>PT10568</t>
        </is>
      </c>
      <c r="C781" t="inlineStr">
        <is>
          <t>Emergency</t>
        </is>
      </c>
      <c r="D781" t="inlineStr">
        <is>
          <t>Ashby Falls Community Hospital</t>
        </is>
      </c>
      <c r="E781" t="inlineStr">
        <is>
          <t>Emergency Department</t>
        </is>
      </c>
      <c r="F781" t="inlineStr">
        <is>
          <t>Emergency</t>
        </is>
      </c>
      <c r="G781" s="29" t="n">
        <v>45750</v>
      </c>
      <c r="H781" s="29" t="n">
        <v>45750</v>
      </c>
      <c r="I781" s="30" t="n"/>
      <c r="J781" t="inlineStr">
        <is>
          <t>N39.0</t>
        </is>
      </c>
      <c r="K781" t="inlineStr">
        <is>
          <t>Urinary tract infection, site not specified</t>
        </is>
      </c>
      <c r="L781" t="inlineStr">
        <is>
          <t>Genitourinary</t>
        </is>
      </c>
      <c r="M781" t="inlineStr">
        <is>
          <t>Home/Self-Care</t>
        </is>
      </c>
      <c r="N781" t="inlineStr">
        <is>
          <t>Silverline Medicare Advantage</t>
        </is>
      </c>
      <c r="O781" s="31" t="n">
        <v>2174.3</v>
      </c>
    </row>
    <row r="782">
      <c r="A782" t="inlineStr">
        <is>
          <t>ENC113897</t>
        </is>
      </c>
      <c r="B782" t="inlineStr">
        <is>
          <t>PT10676</t>
        </is>
      </c>
      <c r="C782" t="inlineStr">
        <is>
          <t>Outpatient</t>
        </is>
      </c>
      <c r="D782" t="inlineStr">
        <is>
          <t>Bluestone Outpatient Pavilion</t>
        </is>
      </c>
      <c r="E782" t="inlineStr">
        <is>
          <t>Primary Care Clinic</t>
        </is>
      </c>
      <c r="F782" t="inlineStr">
        <is>
          <t>Ambulatory</t>
        </is>
      </c>
      <c r="G782" s="29" t="n">
        <v>45750</v>
      </c>
      <c r="H782" s="29" t="n">
        <v>45750</v>
      </c>
      <c r="I782" s="30" t="n"/>
      <c r="J782" t="inlineStr">
        <is>
          <t>Z00.00</t>
        </is>
      </c>
      <c r="K782" t="inlineStr">
        <is>
          <t>Encounter for general adult medical examination without abnormal findings</t>
        </is>
      </c>
      <c r="L782" t="inlineStr">
        <is>
          <t>Factors Influencing Health</t>
        </is>
      </c>
      <c r="M782" t="inlineStr">
        <is>
          <t>Home/Self-Care</t>
        </is>
      </c>
      <c r="N782" t="inlineStr">
        <is>
          <t>Medicare</t>
        </is>
      </c>
      <c r="O782" s="31" t="n">
        <v>359.5</v>
      </c>
    </row>
    <row r="783">
      <c r="A783" t="inlineStr">
        <is>
          <t>ENC113907</t>
        </is>
      </c>
      <c r="B783" t="inlineStr">
        <is>
          <t>PT12556</t>
        </is>
      </c>
      <c r="C783" t="inlineStr">
        <is>
          <t>Observation</t>
        </is>
      </c>
      <c r="D783" t="inlineStr">
        <is>
          <t>Bluestone Memorial Hospital</t>
        </is>
      </c>
      <c r="E783" t="inlineStr">
        <is>
          <t>Observation Unit</t>
        </is>
      </c>
      <c r="F783" t="inlineStr">
        <is>
          <t>Medicine</t>
        </is>
      </c>
      <c r="G783" s="29" t="n">
        <v>45750</v>
      </c>
      <c r="H783" s="29" t="n">
        <v>45751</v>
      </c>
      <c r="I783" s="30" t="n">
        <v>1</v>
      </c>
      <c r="J783" t="inlineStr">
        <is>
          <t>I50.9</t>
        </is>
      </c>
      <c r="K783" t="inlineStr">
        <is>
          <t>Heart failure, unspecified</t>
        </is>
      </c>
      <c r="L783" t="inlineStr">
        <is>
          <t>Circulatory</t>
        </is>
      </c>
      <c r="M783" t="inlineStr">
        <is>
          <t>Home/Self-Care</t>
        </is>
      </c>
      <c r="N783" t="inlineStr">
        <is>
          <t>State Medicaid</t>
        </is>
      </c>
      <c r="O783" s="31" t="n">
        <v>5831.99</v>
      </c>
    </row>
    <row r="784">
      <c r="A784" t="inlineStr">
        <is>
          <t>ENC113914</t>
        </is>
      </c>
      <c r="B784" t="inlineStr">
        <is>
          <t>PT12084</t>
        </is>
      </c>
      <c r="C784" t="inlineStr">
        <is>
          <t>Emergency</t>
        </is>
      </c>
      <c r="D784" t="inlineStr">
        <is>
          <t>Bluestone Memorial Hospital</t>
        </is>
      </c>
      <c r="E784" t="inlineStr">
        <is>
          <t>Emergency Department</t>
        </is>
      </c>
      <c r="F784" t="inlineStr">
        <is>
          <t>Emergency</t>
        </is>
      </c>
      <c r="G784" s="29" t="n">
        <v>45750</v>
      </c>
      <c r="H784" s="29" t="n">
        <v>45751</v>
      </c>
      <c r="I784" s="30" t="n"/>
      <c r="J784" t="inlineStr">
        <is>
          <t>N39.0</t>
        </is>
      </c>
      <c r="K784" t="inlineStr">
        <is>
          <t>Urinary tract infection, site not specified</t>
        </is>
      </c>
      <c r="L784" t="inlineStr">
        <is>
          <t>Genitourinary</t>
        </is>
      </c>
      <c r="M784" t="inlineStr">
        <is>
          <t>Home/Self-Care</t>
        </is>
      </c>
      <c r="N784" t="inlineStr">
        <is>
          <t>Medicare</t>
        </is>
      </c>
      <c r="O784" s="31" t="n">
        <v>3530.65</v>
      </c>
    </row>
    <row r="785">
      <c r="A785" t="inlineStr">
        <is>
          <t>ENC113915</t>
        </is>
      </c>
      <c r="B785" t="inlineStr">
        <is>
          <t>PT13528</t>
        </is>
      </c>
      <c r="C785" t="inlineStr">
        <is>
          <t>Observation</t>
        </is>
      </c>
      <c r="D785" t="inlineStr">
        <is>
          <t>Bluestone Memorial Hospital</t>
        </is>
      </c>
      <c r="E785" t="inlineStr">
        <is>
          <t>Observation Unit</t>
        </is>
      </c>
      <c r="F785" t="inlineStr">
        <is>
          <t>Medicine</t>
        </is>
      </c>
      <c r="G785" s="29" t="n">
        <v>45750</v>
      </c>
      <c r="H785" s="29" t="n">
        <v>45752</v>
      </c>
      <c r="I785" s="30" t="n">
        <v>2</v>
      </c>
      <c r="J785" t="inlineStr">
        <is>
          <t>R07.9</t>
        </is>
      </c>
      <c r="K785" t="inlineStr">
        <is>
          <t>Chest pain, unspecified</t>
        </is>
      </c>
      <c r="L785" t="inlineStr">
        <is>
          <t>Symptoms &amp; Signs</t>
        </is>
      </c>
      <c r="M785" t="inlineStr">
        <is>
          <t>Home/Self-Care</t>
        </is>
      </c>
      <c r="N785" t="inlineStr">
        <is>
          <t>State Medicaid</t>
        </is>
      </c>
      <c r="O785" s="31" t="n">
        <v>7453.25</v>
      </c>
    </row>
    <row r="786">
      <c r="A786" t="inlineStr">
        <is>
          <t>ENC113921</t>
        </is>
      </c>
      <c r="B786" t="inlineStr">
        <is>
          <t>PT13480</t>
        </is>
      </c>
      <c r="C786" t="inlineStr">
        <is>
          <t>Inpatient</t>
        </is>
      </c>
      <c r="D786" t="inlineStr">
        <is>
          <t>Bluestone Memorial Hospital</t>
        </is>
      </c>
      <c r="E786" t="inlineStr">
        <is>
          <t>Medical-Surgical 4 West</t>
        </is>
      </c>
      <c r="F786" t="inlineStr">
        <is>
          <t>Medicine</t>
        </is>
      </c>
      <c r="G786" s="29" t="n">
        <v>45751</v>
      </c>
      <c r="H786" s="29" t="n">
        <v>45755</v>
      </c>
      <c r="I786" s="30" t="n">
        <v>4</v>
      </c>
      <c r="J786" t="inlineStr">
        <is>
          <t>L03.115</t>
        </is>
      </c>
      <c r="K786" t="inlineStr">
        <is>
          <t>Cellulitis of right lower limb</t>
        </is>
      </c>
      <c r="L786" t="inlineStr">
        <is>
          <t>Skin</t>
        </is>
      </c>
      <c r="M786" t="inlineStr">
        <is>
          <t>Home/Self-Care</t>
        </is>
      </c>
      <c r="N786" t="inlineStr">
        <is>
          <t>Summit Choice PPO</t>
        </is>
      </c>
      <c r="O786" s="31" t="n">
        <v>23752.11</v>
      </c>
      <c r="P786" t="inlineStr">
        <is>
          <t>Y</t>
        </is>
      </c>
    </row>
    <row r="787">
      <c r="A787" t="inlineStr">
        <is>
          <t>ENC113922</t>
        </is>
      </c>
      <c r="B787" t="inlineStr">
        <is>
          <t>PT10588</t>
        </is>
      </c>
      <c r="C787" t="inlineStr">
        <is>
          <t>Outpatient</t>
        </is>
      </c>
      <c r="D787" t="inlineStr">
        <is>
          <t>Bluestone Outpatient Pavilion</t>
        </is>
      </c>
      <c r="E787" t="inlineStr">
        <is>
          <t>Primary Care Clinic</t>
        </is>
      </c>
      <c r="F787" t="inlineStr">
        <is>
          <t>Ambulatory</t>
        </is>
      </c>
      <c r="G787" s="29" t="n">
        <v>45751</v>
      </c>
      <c r="H787" s="29" t="n">
        <v>45751</v>
      </c>
      <c r="I787" s="30" t="n"/>
      <c r="J787" t="inlineStr">
        <is>
          <t>Z00.00</t>
        </is>
      </c>
      <c r="K787" t="inlineStr">
        <is>
          <t>Encounter for general adult medical examination without abnormal findings</t>
        </is>
      </c>
      <c r="L787" t="inlineStr">
        <is>
          <t>Factors Influencing Health</t>
        </is>
      </c>
      <c r="M787" t="inlineStr">
        <is>
          <t>Home/Self-Care</t>
        </is>
      </c>
      <c r="N787" t="inlineStr">
        <is>
          <t>Medicare</t>
        </is>
      </c>
      <c r="O787" s="31" t="n">
        <v>389.04</v>
      </c>
    </row>
    <row r="788">
      <c r="A788" t="inlineStr">
        <is>
          <t>ENC113926</t>
        </is>
      </c>
      <c r="B788" t="inlineStr">
        <is>
          <t>PT13168</t>
        </is>
      </c>
      <c r="C788" t="inlineStr">
        <is>
          <t>Outpatient</t>
        </is>
      </c>
      <c r="D788" t="inlineStr">
        <is>
          <t>Bluestone Outpatient Pavilion</t>
        </is>
      </c>
      <c r="E788" t="inlineStr">
        <is>
          <t>Endocrinology &amp; Diabetes Clinic</t>
        </is>
      </c>
      <c r="F788" t="inlineStr">
        <is>
          <t>Ambulatory</t>
        </is>
      </c>
      <c r="G788" s="29" t="n">
        <v>45751</v>
      </c>
      <c r="H788" s="29" t="n">
        <v>45751</v>
      </c>
      <c r="I788" s="30" t="n"/>
      <c r="J788" t="inlineStr">
        <is>
          <t>E11.65</t>
        </is>
      </c>
      <c r="K788" t="inlineStr">
        <is>
          <t>Type 2 diabetes mellitus with hyperglycemia</t>
        </is>
      </c>
      <c r="L788" t="inlineStr">
        <is>
          <t>Endocrine</t>
        </is>
      </c>
      <c r="M788" t="inlineStr">
        <is>
          <t>Home/Self-Care</t>
        </is>
      </c>
      <c r="N788" t="inlineStr">
        <is>
          <t>Keystone Health Partners</t>
        </is>
      </c>
      <c r="O788" s="31" t="n">
        <v>382.24</v>
      </c>
    </row>
    <row r="789">
      <c r="A789" t="inlineStr">
        <is>
          <t>ENC113930</t>
        </is>
      </c>
      <c r="B789" t="inlineStr">
        <is>
          <t>PT11724</t>
        </is>
      </c>
      <c r="C789" t="inlineStr">
        <is>
          <t>Emergency</t>
        </is>
      </c>
      <c r="D789" t="inlineStr">
        <is>
          <t>Ashby Falls Community Hospital</t>
        </is>
      </c>
      <c r="E789" t="inlineStr">
        <is>
          <t>Emergency Department</t>
        </is>
      </c>
      <c r="F789" t="inlineStr">
        <is>
          <t>Emergency</t>
        </is>
      </c>
      <c r="G789" s="29" t="n">
        <v>45751</v>
      </c>
      <c r="H789" s="29" t="n">
        <v>45751</v>
      </c>
      <c r="I789" s="30" t="n"/>
      <c r="J789" t="inlineStr">
        <is>
          <t>N39.0</t>
        </is>
      </c>
      <c r="K789" t="inlineStr">
        <is>
          <t>Urinary tract infection, site not specified</t>
        </is>
      </c>
      <c r="L789" t="inlineStr">
        <is>
          <t>Genitourinary</t>
        </is>
      </c>
      <c r="M789" t="inlineStr">
        <is>
          <t>Home/Self-Care</t>
        </is>
      </c>
      <c r="N789" t="inlineStr">
        <is>
          <t>Medicare</t>
        </is>
      </c>
      <c r="O789" s="31" t="n">
        <v>584.65</v>
      </c>
    </row>
    <row r="790">
      <c r="A790" t="inlineStr">
        <is>
          <t>ENC113931</t>
        </is>
      </c>
      <c r="B790" t="inlineStr">
        <is>
          <t>PT11016</t>
        </is>
      </c>
      <c r="C790" t="inlineStr">
        <is>
          <t>Outpatient</t>
        </is>
      </c>
      <c r="D790" t="inlineStr">
        <is>
          <t>Bluestone Outpatient Pavilion</t>
        </is>
      </c>
      <c r="E790" t="inlineStr">
        <is>
          <t>Primary Care Clinic</t>
        </is>
      </c>
      <c r="F790" t="inlineStr">
        <is>
          <t>Ambulatory</t>
        </is>
      </c>
      <c r="G790" s="29" t="n">
        <v>45751</v>
      </c>
      <c r="H790" s="29" t="n">
        <v>45751</v>
      </c>
      <c r="I790" s="30" t="n"/>
      <c r="J790" t="inlineStr">
        <is>
          <t>F32.9</t>
        </is>
      </c>
      <c r="K790" t="inlineStr">
        <is>
          <t>Major depressive disorder, single episode, unspecified</t>
        </is>
      </c>
      <c r="L790" t="inlineStr">
        <is>
          <t>Mental &amp; Behavioral</t>
        </is>
      </c>
      <c r="M790" t="inlineStr">
        <is>
          <t>Home/Self-Care</t>
        </is>
      </c>
      <c r="N790" t="inlineStr">
        <is>
          <t>Keystone Health Partners</t>
        </is>
      </c>
      <c r="O790" s="31" t="n">
        <v>382.86</v>
      </c>
    </row>
    <row r="791">
      <c r="A791" t="inlineStr">
        <is>
          <t>ENC113933</t>
        </is>
      </c>
      <c r="B791" t="inlineStr">
        <is>
          <t>PT11516</t>
        </is>
      </c>
      <c r="C791" t="inlineStr">
        <is>
          <t>Outpatient</t>
        </is>
      </c>
      <c r="D791" t="inlineStr">
        <is>
          <t>Bluestone Outpatient Pavilion</t>
        </is>
      </c>
      <c r="E791" t="inlineStr">
        <is>
          <t>Primary Care Clinic</t>
        </is>
      </c>
      <c r="F791" t="inlineStr">
        <is>
          <t>Ambulatory</t>
        </is>
      </c>
      <c r="G791" s="29" t="n">
        <v>45751</v>
      </c>
      <c r="H791" s="29" t="n">
        <v>45751</v>
      </c>
      <c r="I791" s="30" t="n"/>
      <c r="J791" t="inlineStr">
        <is>
          <t>J06.9</t>
        </is>
      </c>
      <c r="K791" t="inlineStr">
        <is>
          <t>Acute upper respiratory infection, unspecified</t>
        </is>
      </c>
      <c r="L791" t="inlineStr">
        <is>
          <t>Respiratory</t>
        </is>
      </c>
      <c r="M791" t="inlineStr">
        <is>
          <t>Home/Self-Care</t>
        </is>
      </c>
      <c r="N791" t="inlineStr">
        <is>
          <t>Keystone Health Partners</t>
        </is>
      </c>
      <c r="O791" s="31" t="n">
        <v>257.28</v>
      </c>
    </row>
    <row r="792">
      <c r="A792" t="inlineStr">
        <is>
          <t>ENC113936</t>
        </is>
      </c>
      <c r="B792" t="inlineStr">
        <is>
          <t>PT13052</t>
        </is>
      </c>
      <c r="C792" t="inlineStr">
        <is>
          <t>Emergency</t>
        </is>
      </c>
      <c r="D792" t="inlineStr">
        <is>
          <t>Bluestone Memorial Hospital</t>
        </is>
      </c>
      <c r="E792" t="inlineStr">
        <is>
          <t>Emergency Department</t>
        </is>
      </c>
      <c r="F792" t="inlineStr">
        <is>
          <t>Emergency</t>
        </is>
      </c>
      <c r="G792" s="29" t="n">
        <v>45751</v>
      </c>
      <c r="H792" s="29" t="n">
        <v>45751</v>
      </c>
      <c r="I792" s="30" t="n"/>
      <c r="J792" t="inlineStr">
        <is>
          <t>J18.9</t>
        </is>
      </c>
      <c r="K792" t="inlineStr">
        <is>
          <t>Pneumonia, unspecified organism</t>
        </is>
      </c>
      <c r="L792" t="inlineStr">
        <is>
          <t>Respiratory</t>
        </is>
      </c>
      <c r="M792" t="inlineStr">
        <is>
          <t>Home/Self-Care</t>
        </is>
      </c>
      <c r="N792" t="inlineStr">
        <is>
          <t>Summit Choice PPO</t>
        </is>
      </c>
      <c r="O792" s="31" t="n">
        <v>5154.88</v>
      </c>
    </row>
    <row r="793">
      <c r="A793" t="inlineStr">
        <is>
          <t>ENC113940</t>
        </is>
      </c>
      <c r="B793" t="inlineStr">
        <is>
          <t>PT10808</t>
        </is>
      </c>
      <c r="C793" t="inlineStr">
        <is>
          <t>Emergency</t>
        </is>
      </c>
      <c r="D793" t="inlineStr">
        <is>
          <t>Bluestone Memorial Hospital</t>
        </is>
      </c>
      <c r="E793" t="inlineStr">
        <is>
          <t>Emergency Department</t>
        </is>
      </c>
      <c r="F793" t="inlineStr">
        <is>
          <t>Emergency</t>
        </is>
      </c>
      <c r="G793" s="29" t="n">
        <v>45751</v>
      </c>
      <c r="H793" s="29" t="n">
        <v>45751</v>
      </c>
      <c r="I793" s="30" t="n"/>
      <c r="J793" t="inlineStr">
        <is>
          <t>R10.9</t>
        </is>
      </c>
      <c r="K793" t="inlineStr">
        <is>
          <t>Unspecified abdominal pain</t>
        </is>
      </c>
      <c r="L793" t="inlineStr">
        <is>
          <t>Symptoms &amp; Signs</t>
        </is>
      </c>
      <c r="M793" t="inlineStr">
        <is>
          <t>Left Without Being Seen</t>
        </is>
      </c>
      <c r="N793" t="inlineStr">
        <is>
          <t>Medicare</t>
        </is>
      </c>
      <c r="O793" s="31" t="n">
        <v>3629.32</v>
      </c>
    </row>
    <row r="794">
      <c r="A794" t="inlineStr">
        <is>
          <t>ENC113943</t>
        </is>
      </c>
      <c r="B794" t="inlineStr">
        <is>
          <t>PT11984</t>
        </is>
      </c>
      <c r="C794" t="inlineStr">
        <is>
          <t>Inpatient</t>
        </is>
      </c>
      <c r="D794" t="inlineStr">
        <is>
          <t>Bluestone Memorial Hospital</t>
        </is>
      </c>
      <c r="E794" t="inlineStr">
        <is>
          <t>Neuroscience &amp; Stroke</t>
        </is>
      </c>
      <c r="F794" t="inlineStr">
        <is>
          <t>Neuroscience</t>
        </is>
      </c>
      <c r="G794" s="29" t="n">
        <v>45751</v>
      </c>
      <c r="H794" s="29" t="n">
        <v>45754</v>
      </c>
      <c r="I794" s="30" t="n">
        <v>3</v>
      </c>
      <c r="J794" t="inlineStr">
        <is>
          <t>I63.9</t>
        </is>
      </c>
      <c r="K794" t="inlineStr">
        <is>
          <t>Cerebral infarction, unspecified</t>
        </is>
      </c>
      <c r="L794" t="inlineStr">
        <is>
          <t>Circulatory</t>
        </is>
      </c>
      <c r="M794" t="inlineStr">
        <is>
          <t>Inpatient Rehab</t>
        </is>
      </c>
      <c r="N794" t="inlineStr">
        <is>
          <t>Keystone Health Partners</t>
        </is>
      </c>
      <c r="O794" s="31" t="n">
        <v>14235.28</v>
      </c>
      <c r="P794" t="inlineStr">
        <is>
          <t>Y</t>
        </is>
      </c>
    </row>
    <row r="795">
      <c r="A795" t="inlineStr">
        <is>
          <t>ENC113945</t>
        </is>
      </c>
      <c r="B795" t="inlineStr">
        <is>
          <t>PT10652</t>
        </is>
      </c>
      <c r="C795" t="inlineStr">
        <is>
          <t>Inpatient</t>
        </is>
      </c>
      <c r="D795" t="inlineStr">
        <is>
          <t>Bluestone Memorial Hospital</t>
        </is>
      </c>
      <c r="E795" t="inlineStr">
        <is>
          <t>Pediatrics</t>
        </is>
      </c>
      <c r="F795" t="inlineStr">
        <is>
          <t>Women &amp; Children</t>
        </is>
      </c>
      <c r="G795" s="29" t="n">
        <v>45752</v>
      </c>
      <c r="H795" s="29" t="n">
        <v>45754</v>
      </c>
      <c r="I795" s="30" t="n">
        <v>2</v>
      </c>
      <c r="J795" t="inlineStr">
        <is>
          <t>J21.9</t>
        </is>
      </c>
      <c r="K795" t="inlineStr">
        <is>
          <t>Acute bronchiolitis, unspecified</t>
        </is>
      </c>
      <c r="L795" t="inlineStr">
        <is>
          <t>Respiratory</t>
        </is>
      </c>
      <c r="M795" t="inlineStr">
        <is>
          <t>Home/Self-Care</t>
        </is>
      </c>
      <c r="N795" t="inlineStr">
        <is>
          <t>Evergreen Mutual Insurance</t>
        </is>
      </c>
      <c r="O795" s="31" t="n">
        <v>9663.049999999999</v>
      </c>
      <c r="P795" t="inlineStr">
        <is>
          <t>N</t>
        </is>
      </c>
    </row>
    <row r="796">
      <c r="A796" t="inlineStr">
        <is>
          <t>ENC113948</t>
        </is>
      </c>
      <c r="B796" t="inlineStr">
        <is>
          <t>PT13536</t>
        </is>
      </c>
      <c r="C796" t="inlineStr">
        <is>
          <t>Inpatient</t>
        </is>
      </c>
      <c r="D796" t="inlineStr">
        <is>
          <t>Cedar Ridge Medical Center</t>
        </is>
      </c>
      <c r="E796" t="inlineStr">
        <is>
          <t>Intensive Care Unit</t>
        </is>
      </c>
      <c r="F796" t="inlineStr">
        <is>
          <t>Critical Care</t>
        </is>
      </c>
      <c r="G796" s="29" t="n">
        <v>45752</v>
      </c>
      <c r="H796" s="29" t="n">
        <v>45756</v>
      </c>
      <c r="I796" s="30" t="n">
        <v>4</v>
      </c>
      <c r="J796" t="inlineStr">
        <is>
          <t>K92.2</t>
        </is>
      </c>
      <c r="K796" t="inlineStr">
        <is>
          <t>Gastrointestinal hemorrhage, unspecified</t>
        </is>
      </c>
      <c r="L796" t="inlineStr">
        <is>
          <t>Digestive</t>
        </is>
      </c>
      <c r="M796" t="inlineStr">
        <is>
          <t>Home/Self-Care</t>
        </is>
      </c>
      <c r="N796" t="inlineStr">
        <is>
          <t>Silverline Medicare Advantage</t>
        </is>
      </c>
      <c r="O796" s="31" t="n">
        <v>45846.66</v>
      </c>
      <c r="P796" t="inlineStr">
        <is>
          <t>N</t>
        </is>
      </c>
    </row>
    <row r="797">
      <c r="A797" t="inlineStr">
        <is>
          <t>ENC113951</t>
        </is>
      </c>
      <c r="B797" t="inlineStr">
        <is>
          <t>PT10116</t>
        </is>
      </c>
      <c r="C797" t="inlineStr">
        <is>
          <t>Emergency</t>
        </is>
      </c>
      <c r="D797" t="inlineStr">
        <is>
          <t>Bluestone Memorial Hospital</t>
        </is>
      </c>
      <c r="E797" t="inlineStr">
        <is>
          <t>Emergency Department</t>
        </is>
      </c>
      <c r="F797" t="inlineStr">
        <is>
          <t>Emergency</t>
        </is>
      </c>
      <c r="G797" s="29" t="n">
        <v>45752</v>
      </c>
      <c r="H797" s="29" t="n">
        <v>45752</v>
      </c>
      <c r="I797" s="30" t="n"/>
      <c r="J797" t="inlineStr">
        <is>
          <t>S93.401A</t>
        </is>
      </c>
      <c r="K797" t="inlineStr">
        <is>
          <t>Sprain of unspecified ligament of right ankle, initial encounter</t>
        </is>
      </c>
      <c r="L797" t="inlineStr">
        <is>
          <t>Injury</t>
        </is>
      </c>
      <c r="M797" t="inlineStr">
        <is>
          <t>Home/Self-Care</t>
        </is>
      </c>
      <c r="N797" t="inlineStr">
        <is>
          <t>Silverline Medicare Advantage</t>
        </is>
      </c>
      <c r="O797" s="31" t="n">
        <v>643.21</v>
      </c>
    </row>
    <row r="798">
      <c r="A798" t="inlineStr">
        <is>
          <t>ENC113958</t>
        </is>
      </c>
      <c r="B798" t="inlineStr">
        <is>
          <t>PT13216</t>
        </is>
      </c>
      <c r="C798" t="inlineStr">
        <is>
          <t>Emergency</t>
        </is>
      </c>
      <c r="D798" t="inlineStr">
        <is>
          <t>Bluestone Memorial Hospital</t>
        </is>
      </c>
      <c r="E798" t="inlineStr">
        <is>
          <t>Emergency Department</t>
        </is>
      </c>
      <c r="F798" t="inlineStr">
        <is>
          <t>Emergency</t>
        </is>
      </c>
      <c r="G798" s="29" t="n">
        <v>45752</v>
      </c>
      <c r="H798" s="29" t="n">
        <v>45752</v>
      </c>
      <c r="I798" s="30" t="n"/>
      <c r="J798" t="inlineStr">
        <is>
          <t>R07.9</t>
        </is>
      </c>
      <c r="K798" t="inlineStr">
        <is>
          <t>Chest pain, unspecified</t>
        </is>
      </c>
      <c r="L798" t="inlineStr">
        <is>
          <t>Symptoms &amp; Signs</t>
        </is>
      </c>
      <c r="M798" t="inlineStr">
        <is>
          <t>Home/Self-Care</t>
        </is>
      </c>
      <c r="N798" t="inlineStr">
        <is>
          <t>Medicare</t>
        </is>
      </c>
      <c r="O798" s="31" t="n">
        <v>4190.74</v>
      </c>
    </row>
    <row r="799">
      <c r="A799" t="inlineStr">
        <is>
          <t>ENC113960</t>
        </is>
      </c>
      <c r="B799" t="inlineStr">
        <is>
          <t>PT11536</t>
        </is>
      </c>
      <c r="C799" t="inlineStr">
        <is>
          <t>Inpatient</t>
        </is>
      </c>
      <c r="D799" t="inlineStr">
        <is>
          <t>Cedar Ridge Medical Center</t>
        </is>
      </c>
      <c r="E799" t="inlineStr">
        <is>
          <t>Medical-Surgical</t>
        </is>
      </c>
      <c r="F799" t="inlineStr">
        <is>
          <t>Medicine</t>
        </is>
      </c>
      <c r="G799" s="29" t="n">
        <v>45752</v>
      </c>
      <c r="H799" s="29" t="n">
        <v>45756</v>
      </c>
      <c r="I799" s="30" t="n">
        <v>4</v>
      </c>
      <c r="J799" t="inlineStr">
        <is>
          <t>L03.115</t>
        </is>
      </c>
      <c r="K799" t="inlineStr">
        <is>
          <t>Cellulitis of right lower limb</t>
        </is>
      </c>
      <c r="L799" t="inlineStr">
        <is>
          <t>Skin</t>
        </is>
      </c>
      <c r="M799" t="inlineStr">
        <is>
          <t>Home/Self-Care</t>
        </is>
      </c>
      <c r="N799" t="inlineStr">
        <is>
          <t>State Medicaid</t>
        </is>
      </c>
      <c r="O799" s="31" t="n">
        <v>13267.93</v>
      </c>
      <c r="P799" t="inlineStr">
        <is>
          <t>N</t>
        </is>
      </c>
    </row>
    <row r="800">
      <c r="A800" t="inlineStr">
        <is>
          <t>ENC113963</t>
        </is>
      </c>
      <c r="B800" t="inlineStr">
        <is>
          <t>PT13352</t>
        </is>
      </c>
      <c r="C800" t="inlineStr">
        <is>
          <t>Emergency</t>
        </is>
      </c>
      <c r="D800" t="inlineStr">
        <is>
          <t>Bluestone Memorial Hospital</t>
        </is>
      </c>
      <c r="E800" t="inlineStr">
        <is>
          <t>Emergency Department</t>
        </is>
      </c>
      <c r="F800" t="inlineStr">
        <is>
          <t>Emergency</t>
        </is>
      </c>
      <c r="G800" s="29" t="n">
        <v>45753</v>
      </c>
      <c r="H800" s="29" t="n">
        <v>45753</v>
      </c>
      <c r="I800" s="30" t="n"/>
      <c r="J800" t="inlineStr">
        <is>
          <t>R07.9</t>
        </is>
      </c>
      <c r="K800" t="inlineStr">
        <is>
          <t>Chest pain, unspecified</t>
        </is>
      </c>
      <c r="L800" t="inlineStr">
        <is>
          <t>Symptoms &amp; Signs</t>
        </is>
      </c>
      <c r="M800" t="inlineStr">
        <is>
          <t>Home/Self-Care</t>
        </is>
      </c>
      <c r="N800" t="inlineStr">
        <is>
          <t>Medicare</t>
        </is>
      </c>
      <c r="O800" s="31" t="n">
        <v>1379.94</v>
      </c>
    </row>
    <row r="801">
      <c r="A801" t="inlineStr">
        <is>
          <t>ENC113964</t>
        </is>
      </c>
      <c r="B801" t="inlineStr">
        <is>
          <t>PT12408</t>
        </is>
      </c>
      <c r="C801" t="inlineStr">
        <is>
          <t>Inpatient</t>
        </is>
      </c>
      <c r="D801" t="inlineStr">
        <is>
          <t>Ashby Falls Community Hospital</t>
        </is>
      </c>
      <c r="E801" t="inlineStr">
        <is>
          <t>Medical-Surgical</t>
        </is>
      </c>
      <c r="F801" t="inlineStr">
        <is>
          <t>Medicine</t>
        </is>
      </c>
      <c r="G801" s="29" t="n">
        <v>45753</v>
      </c>
      <c r="H801" s="29" t="n">
        <v>45765</v>
      </c>
      <c r="I801" s="30" t="n">
        <v>12</v>
      </c>
      <c r="J801" t="inlineStr">
        <is>
          <t>A41.9</t>
        </is>
      </c>
      <c r="K801" t="inlineStr">
        <is>
          <t>Sepsis, unspecified organism</t>
        </is>
      </c>
      <c r="L801" t="inlineStr">
        <is>
          <t>Infectious</t>
        </is>
      </c>
      <c r="M801" t="inlineStr">
        <is>
          <t>Skilled Nursing Facility</t>
        </is>
      </c>
      <c r="N801" t="inlineStr">
        <is>
          <t>State Medicaid</t>
        </is>
      </c>
      <c r="O801" s="31" t="n">
        <v>87442.19</v>
      </c>
      <c r="P801" t="inlineStr">
        <is>
          <t>N</t>
        </is>
      </c>
    </row>
    <row r="802">
      <c r="A802" t="inlineStr">
        <is>
          <t>ENC113965</t>
        </is>
      </c>
      <c r="B802" t="inlineStr">
        <is>
          <t>PT13604</t>
        </is>
      </c>
      <c r="C802" t="inlineStr">
        <is>
          <t>Emergency</t>
        </is>
      </c>
      <c r="D802" t="inlineStr">
        <is>
          <t>Bluestone Memorial Hospital</t>
        </is>
      </c>
      <c r="E802" t="inlineStr">
        <is>
          <t>Emergency Department</t>
        </is>
      </c>
      <c r="F802" t="inlineStr">
        <is>
          <t>Emergency</t>
        </is>
      </c>
      <c r="G802" s="29" t="n">
        <v>45753</v>
      </c>
      <c r="H802" s="29" t="n">
        <v>45753</v>
      </c>
      <c r="I802" s="30" t="n"/>
      <c r="J802" t="inlineStr">
        <is>
          <t>M54.50</t>
        </is>
      </c>
      <c r="K802" t="inlineStr">
        <is>
          <t>Low back pain, unspecified</t>
        </is>
      </c>
      <c r="L802" t="inlineStr">
        <is>
          <t>Musculoskeletal</t>
        </is>
      </c>
      <c r="M802" t="inlineStr">
        <is>
          <t>Home/Self-Care</t>
        </is>
      </c>
      <c r="N802" t="inlineStr">
        <is>
          <t>Summit Choice PPO</t>
        </is>
      </c>
      <c r="O802" s="31" t="n">
        <v>1348.15</v>
      </c>
    </row>
    <row r="803">
      <c r="A803" t="inlineStr">
        <is>
          <t>ENC113981</t>
        </is>
      </c>
      <c r="B803" t="inlineStr">
        <is>
          <t>PT11024</t>
        </is>
      </c>
      <c r="C803" t="inlineStr">
        <is>
          <t>Inpatient</t>
        </is>
      </c>
      <c r="D803" t="inlineStr">
        <is>
          <t>Bluestone Memorial Hospital</t>
        </is>
      </c>
      <c r="E803" t="inlineStr">
        <is>
          <t>Medical-Surgical 4 West</t>
        </is>
      </c>
      <c r="F803" t="inlineStr">
        <is>
          <t>Medicine</t>
        </is>
      </c>
      <c r="G803" s="29" t="n">
        <v>45754</v>
      </c>
      <c r="H803" s="29" t="n">
        <v>45756</v>
      </c>
      <c r="I803" s="30" t="n">
        <v>2</v>
      </c>
      <c r="J803" t="inlineStr">
        <is>
          <t>E11.65</t>
        </is>
      </c>
      <c r="K803" t="inlineStr">
        <is>
          <t>Type 2 diabetes mellitus with hyperglycemia</t>
        </is>
      </c>
      <c r="L803" t="inlineStr">
        <is>
          <t>Endocrine</t>
        </is>
      </c>
      <c r="M803" t="inlineStr">
        <is>
          <t>Home/Self-Care</t>
        </is>
      </c>
      <c r="N803" t="inlineStr">
        <is>
          <t>Evergreen Mutual Insurance</t>
        </is>
      </c>
      <c r="O803" s="31" t="n">
        <v>16179.02</v>
      </c>
      <c r="P803" t="inlineStr">
        <is>
          <t>N</t>
        </is>
      </c>
    </row>
    <row r="804">
      <c r="A804" t="inlineStr">
        <is>
          <t>ENC113985</t>
        </is>
      </c>
      <c r="B804" t="inlineStr">
        <is>
          <t>PT11620</t>
        </is>
      </c>
      <c r="C804" t="inlineStr">
        <is>
          <t>Inpatient</t>
        </is>
      </c>
      <c r="D804" t="inlineStr">
        <is>
          <t>Bluestone Memorial Hospital</t>
        </is>
      </c>
      <c r="E804" t="inlineStr">
        <is>
          <t>Medical-Surgical 5 East</t>
        </is>
      </c>
      <c r="F804" t="inlineStr">
        <is>
          <t>Medicine</t>
        </is>
      </c>
      <c r="G804" s="29" t="n">
        <v>45754</v>
      </c>
      <c r="H804" s="29" t="n">
        <v>45759</v>
      </c>
      <c r="I804" s="30" t="n">
        <v>5</v>
      </c>
      <c r="J804" t="inlineStr">
        <is>
          <t>F10.239</t>
        </is>
      </c>
      <c r="K804" t="inlineStr">
        <is>
          <t>Alcohol dependence with withdrawal, unspecified</t>
        </is>
      </c>
      <c r="L804" t="inlineStr">
        <is>
          <t>Mental &amp; Behavioral</t>
        </is>
      </c>
      <c r="M804" t="inlineStr">
        <is>
          <t>Home/Self-Care</t>
        </is>
      </c>
      <c r="N804" t="inlineStr">
        <is>
          <t>Medicare</t>
        </is>
      </c>
      <c r="O804" s="31" t="n">
        <v>31504.31</v>
      </c>
      <c r="P804" t="inlineStr">
        <is>
          <t>N</t>
        </is>
      </c>
    </row>
    <row r="805">
      <c r="A805" t="inlineStr">
        <is>
          <t>ENC113987</t>
        </is>
      </c>
      <c r="B805" t="inlineStr">
        <is>
          <t>PT11248</t>
        </is>
      </c>
      <c r="C805" t="inlineStr">
        <is>
          <t>Outpatient</t>
        </is>
      </c>
      <c r="D805" t="inlineStr">
        <is>
          <t>Bluestone Outpatient Pavilion</t>
        </is>
      </c>
      <c r="E805" t="inlineStr">
        <is>
          <t>Primary Care Clinic</t>
        </is>
      </c>
      <c r="F805" t="inlineStr">
        <is>
          <t>Ambulatory</t>
        </is>
      </c>
      <c r="G805" s="29" t="n">
        <v>45754</v>
      </c>
      <c r="H805" s="29" t="n">
        <v>45754</v>
      </c>
      <c r="I805" s="30" t="n"/>
      <c r="J805" t="inlineStr">
        <is>
          <t>M54.50</t>
        </is>
      </c>
      <c r="K805" t="inlineStr">
        <is>
          <t>Low back pain, unspecified</t>
        </is>
      </c>
      <c r="L805" t="inlineStr">
        <is>
          <t>Musculoskeletal</t>
        </is>
      </c>
      <c r="M805" t="inlineStr">
        <is>
          <t>Home/Self-Care</t>
        </is>
      </c>
      <c r="N805" t="inlineStr">
        <is>
          <t>Summit Choice PPO</t>
        </is>
      </c>
      <c r="O805" s="31" t="n">
        <v>205.78</v>
      </c>
    </row>
    <row r="806">
      <c r="A806" t="inlineStr">
        <is>
          <t>ENC113999</t>
        </is>
      </c>
      <c r="B806" t="inlineStr">
        <is>
          <t>PT12740</t>
        </is>
      </c>
      <c r="C806" t="inlineStr">
        <is>
          <t>Outpatient</t>
        </is>
      </c>
      <c r="D806" t="inlineStr">
        <is>
          <t>Bluestone Outpatient Pavilion</t>
        </is>
      </c>
      <c r="E806" t="inlineStr">
        <is>
          <t>Primary Care Clinic</t>
        </is>
      </c>
      <c r="F806" t="inlineStr">
        <is>
          <t>Ambulatory</t>
        </is>
      </c>
      <c r="G806" s="29" t="n">
        <v>45754</v>
      </c>
      <c r="H806" s="29" t="n">
        <v>45754</v>
      </c>
      <c r="I806" s="30" t="n"/>
      <c r="J806" t="inlineStr">
        <is>
          <t>F41.9</t>
        </is>
      </c>
      <c r="K806" t="inlineStr">
        <is>
          <t>Anxiety disorder, unspecified</t>
        </is>
      </c>
      <c r="L806" t="inlineStr">
        <is>
          <t>Mental &amp; Behavioral</t>
        </is>
      </c>
      <c r="M806" t="inlineStr">
        <is>
          <t>Home/Self-Care</t>
        </is>
      </c>
      <c r="N806" t="inlineStr">
        <is>
          <t>Evergreen Mutual Insurance</t>
        </is>
      </c>
      <c r="O806" s="31" t="n">
        <v>203.51</v>
      </c>
    </row>
    <row r="807">
      <c r="A807" t="inlineStr">
        <is>
          <t>ENC114000</t>
        </is>
      </c>
      <c r="B807" t="inlineStr">
        <is>
          <t>PT13076</t>
        </is>
      </c>
      <c r="C807" t="inlineStr">
        <is>
          <t>Emergency</t>
        </is>
      </c>
      <c r="D807" t="inlineStr">
        <is>
          <t>Bluestone Memorial Hospital</t>
        </is>
      </c>
      <c r="E807" t="inlineStr">
        <is>
          <t>Emergency Department</t>
        </is>
      </c>
      <c r="F807" t="inlineStr">
        <is>
          <t>Emergency</t>
        </is>
      </c>
      <c r="G807" s="29" t="n">
        <v>45754</v>
      </c>
      <c r="H807" s="29" t="n">
        <v>45754</v>
      </c>
      <c r="I807" s="30" t="n"/>
      <c r="J807" t="inlineStr">
        <is>
          <t>S93.401A</t>
        </is>
      </c>
      <c r="K807" t="inlineStr">
        <is>
          <t>Sprain of unspecified ligament of right ankle, initial encounter</t>
        </is>
      </c>
      <c r="L807" t="inlineStr">
        <is>
          <t>Injury</t>
        </is>
      </c>
      <c r="M807" t="inlineStr">
        <is>
          <t>Home/Self-Care</t>
        </is>
      </c>
      <c r="N807" t="inlineStr">
        <is>
          <t>Keystone Health Partners</t>
        </is>
      </c>
      <c r="O807" s="31" t="n">
        <v>842.48</v>
      </c>
    </row>
    <row r="808">
      <c r="A808" t="inlineStr">
        <is>
          <t>ENC114001</t>
        </is>
      </c>
      <c r="B808" t="inlineStr">
        <is>
          <t>PT12504</t>
        </is>
      </c>
      <c r="C808" t="inlineStr">
        <is>
          <t>Outpatient</t>
        </is>
      </c>
      <c r="D808" t="inlineStr">
        <is>
          <t>Bluestone Outpatient Pavilion</t>
        </is>
      </c>
      <c r="E808" t="inlineStr">
        <is>
          <t>Endocrinology &amp; Diabetes Clinic</t>
        </is>
      </c>
      <c r="F808" t="inlineStr">
        <is>
          <t>Ambulatory</t>
        </is>
      </c>
      <c r="G808" s="29" t="n">
        <v>45754</v>
      </c>
      <c r="H808" s="29" t="n">
        <v>45754</v>
      </c>
      <c r="I808" s="30" t="n"/>
      <c r="J808" t="inlineStr">
        <is>
          <t>E11.9</t>
        </is>
      </c>
      <c r="K808" t="inlineStr">
        <is>
          <t>Type 2 diabetes mellitus without complications</t>
        </is>
      </c>
      <c r="L808" t="inlineStr">
        <is>
          <t>Endocrine</t>
        </is>
      </c>
      <c r="M808" t="inlineStr">
        <is>
          <t>Home/Self-Care</t>
        </is>
      </c>
      <c r="N808" t="inlineStr">
        <is>
          <t>Medicare</t>
        </is>
      </c>
      <c r="O808" s="31" t="n">
        <v>237.66</v>
      </c>
    </row>
    <row r="809">
      <c r="A809" t="inlineStr">
        <is>
          <t>ENC114004</t>
        </is>
      </c>
      <c r="B809" t="inlineStr">
        <is>
          <t>PT12716</t>
        </is>
      </c>
      <c r="C809" t="inlineStr">
        <is>
          <t>Inpatient</t>
        </is>
      </c>
      <c r="D809" t="inlineStr">
        <is>
          <t>Bluestone Memorial Hospital</t>
        </is>
      </c>
      <c r="E809" t="inlineStr">
        <is>
          <t>Medical-Surgical 5 East</t>
        </is>
      </c>
      <c r="F809" t="inlineStr">
        <is>
          <t>Medicine</t>
        </is>
      </c>
      <c r="G809" s="29" t="n">
        <v>45754</v>
      </c>
      <c r="H809" s="29" t="n">
        <v>45757</v>
      </c>
      <c r="I809" s="30" t="n">
        <v>3</v>
      </c>
      <c r="J809" t="inlineStr">
        <is>
          <t>E11.65</t>
        </is>
      </c>
      <c r="K809" t="inlineStr">
        <is>
          <t>Type 2 diabetes mellitus with hyperglycemia</t>
        </is>
      </c>
      <c r="L809" t="inlineStr">
        <is>
          <t>Endocrine</t>
        </is>
      </c>
      <c r="M809" t="inlineStr">
        <is>
          <t>Home Health</t>
        </is>
      </c>
      <c r="N809" t="inlineStr">
        <is>
          <t>Self-Pay</t>
        </is>
      </c>
      <c r="O809" s="31" t="n">
        <v>17051.86</v>
      </c>
      <c r="P809" t="inlineStr">
        <is>
          <t>N</t>
        </is>
      </c>
    </row>
    <row r="810">
      <c r="A810" t="inlineStr">
        <is>
          <t>ENC114006</t>
        </is>
      </c>
      <c r="B810" t="inlineStr">
        <is>
          <t>PT11652</t>
        </is>
      </c>
      <c r="C810" t="inlineStr">
        <is>
          <t>Outpatient</t>
        </is>
      </c>
      <c r="D810" t="inlineStr">
        <is>
          <t>Bluestone Outpatient Pavilion</t>
        </is>
      </c>
      <c r="E810" t="inlineStr">
        <is>
          <t>Cardiology Clinic</t>
        </is>
      </c>
      <c r="F810" t="inlineStr">
        <is>
          <t>Cardiovascular</t>
        </is>
      </c>
      <c r="G810" s="29" t="n">
        <v>45754</v>
      </c>
      <c r="H810" s="29" t="n">
        <v>45754</v>
      </c>
      <c r="I810" s="30" t="n"/>
      <c r="J810" t="inlineStr">
        <is>
          <t>I48.91</t>
        </is>
      </c>
      <c r="K810" t="inlineStr">
        <is>
          <t>Unspecified atrial fibrillation</t>
        </is>
      </c>
      <c r="L810" t="inlineStr">
        <is>
          <t>Circulatory</t>
        </is>
      </c>
      <c r="M810" t="inlineStr">
        <is>
          <t>Home/Self-Care</t>
        </is>
      </c>
      <c r="N810" t="inlineStr">
        <is>
          <t>Summit Choice PPO</t>
        </is>
      </c>
      <c r="O810" s="31" t="n">
        <v>427.86</v>
      </c>
    </row>
    <row r="811">
      <c r="A811" t="inlineStr">
        <is>
          <t>ENC114007</t>
        </is>
      </c>
      <c r="B811" t="inlineStr">
        <is>
          <t>PT11460</t>
        </is>
      </c>
      <c r="C811" t="inlineStr">
        <is>
          <t>Outpatient</t>
        </is>
      </c>
      <c r="D811" t="inlineStr">
        <is>
          <t>Bluestone Outpatient Pavilion</t>
        </is>
      </c>
      <c r="E811" t="inlineStr">
        <is>
          <t>Pediatric Clinic</t>
        </is>
      </c>
      <c r="F811" t="inlineStr">
        <is>
          <t>Women &amp; Children</t>
        </is>
      </c>
      <c r="G811" s="29" t="n">
        <v>45754</v>
      </c>
      <c r="H811" s="29" t="n">
        <v>45754</v>
      </c>
      <c r="I811" s="30" t="n"/>
      <c r="J811" t="inlineStr">
        <is>
          <t>H66.90</t>
        </is>
      </c>
      <c r="K811" t="inlineStr">
        <is>
          <t>Otitis media, unspecified, unspecified ear</t>
        </is>
      </c>
      <c r="L811" t="inlineStr">
        <is>
          <t>Ear</t>
        </is>
      </c>
      <c r="M811" t="inlineStr">
        <is>
          <t>Home/Self-Care</t>
        </is>
      </c>
      <c r="N811" t="inlineStr">
        <is>
          <t>Evergreen Mutual Insurance</t>
        </is>
      </c>
      <c r="O811" s="31" t="n">
        <v>286.62</v>
      </c>
    </row>
    <row r="812">
      <c r="A812" t="inlineStr">
        <is>
          <t>ENC114008</t>
        </is>
      </c>
      <c r="B812" t="inlineStr">
        <is>
          <t>PT12828</t>
        </is>
      </c>
      <c r="C812" t="inlineStr">
        <is>
          <t>Inpatient</t>
        </is>
      </c>
      <c r="D812" t="inlineStr">
        <is>
          <t>Bluestone Memorial Hospital</t>
        </is>
      </c>
      <c r="E812" t="inlineStr">
        <is>
          <t>Medical-Surgical 5 East</t>
        </is>
      </c>
      <c r="F812" t="inlineStr">
        <is>
          <t>Medicine</t>
        </is>
      </c>
      <c r="G812" s="29" t="n">
        <v>45754</v>
      </c>
      <c r="H812" s="29" t="n">
        <v>45759</v>
      </c>
      <c r="I812" s="30" t="n">
        <v>5</v>
      </c>
      <c r="J812" t="inlineStr">
        <is>
          <t>J44.1</t>
        </is>
      </c>
      <c r="K812" t="inlineStr">
        <is>
          <t>Chronic obstructive pulmonary disease with (acute) exacerbation</t>
        </is>
      </c>
      <c r="L812" t="inlineStr">
        <is>
          <t>Respiratory</t>
        </is>
      </c>
      <c r="M812" t="inlineStr">
        <is>
          <t>Home/Self-Care</t>
        </is>
      </c>
      <c r="N812" t="inlineStr">
        <is>
          <t>Silverline Medicare Advantage</t>
        </is>
      </c>
      <c r="O812" s="31" t="n">
        <v>28655.73</v>
      </c>
      <c r="P812" t="inlineStr">
        <is>
          <t>N</t>
        </is>
      </c>
    </row>
    <row r="813">
      <c r="A813" t="inlineStr">
        <is>
          <t>ENC114010</t>
        </is>
      </c>
      <c r="B813" t="inlineStr">
        <is>
          <t>PT10180</t>
        </is>
      </c>
      <c r="C813" t="inlineStr">
        <is>
          <t>Inpatient</t>
        </is>
      </c>
      <c r="D813" t="inlineStr">
        <is>
          <t>Cedar Ridge Medical Center</t>
        </is>
      </c>
      <c r="E813" t="inlineStr">
        <is>
          <t>Medical-Surgical</t>
        </is>
      </c>
      <c r="F813" t="inlineStr">
        <is>
          <t>Medicine</t>
        </is>
      </c>
      <c r="G813" s="29" t="n">
        <v>45754</v>
      </c>
      <c r="H813" s="29" t="n">
        <v>45757</v>
      </c>
      <c r="I813" s="30" t="n">
        <v>3</v>
      </c>
      <c r="J813" t="inlineStr">
        <is>
          <t>L03.115</t>
        </is>
      </c>
      <c r="K813" t="inlineStr">
        <is>
          <t>Cellulitis of right lower limb</t>
        </is>
      </c>
      <c r="L813" t="inlineStr">
        <is>
          <t>Skin</t>
        </is>
      </c>
      <c r="M813" t="inlineStr">
        <is>
          <t>Home Health</t>
        </is>
      </c>
      <c r="N813" t="inlineStr">
        <is>
          <t>Silverline Medicare Advantage</t>
        </is>
      </c>
      <c r="O813" s="31" t="n">
        <v>9104.09</v>
      </c>
      <c r="P813" t="inlineStr">
        <is>
          <t>N</t>
        </is>
      </c>
    </row>
    <row r="814">
      <c r="A814" t="inlineStr">
        <is>
          <t>ENC114012</t>
        </is>
      </c>
      <c r="B814" t="inlineStr">
        <is>
          <t>PT11664</t>
        </is>
      </c>
      <c r="C814" t="inlineStr">
        <is>
          <t>Inpatient</t>
        </is>
      </c>
      <c r="D814" t="inlineStr">
        <is>
          <t>Bluestone Memorial Hospital</t>
        </is>
      </c>
      <c r="E814" t="inlineStr">
        <is>
          <t>Labor &amp; Delivery</t>
        </is>
      </c>
      <c r="F814" t="inlineStr">
        <is>
          <t>Women &amp; Children</t>
        </is>
      </c>
      <c r="G814" s="29" t="n">
        <v>45755</v>
      </c>
      <c r="H814" s="29" t="n">
        <v>45757</v>
      </c>
      <c r="I814" s="30" t="n">
        <v>2</v>
      </c>
      <c r="J814" t="inlineStr">
        <is>
          <t>O82</t>
        </is>
      </c>
      <c r="K814" t="inlineStr">
        <is>
          <t>Encounter for cesarean delivery without indication</t>
        </is>
      </c>
      <c r="L814" t="inlineStr">
        <is>
          <t>Pregnancy</t>
        </is>
      </c>
      <c r="M814" t="inlineStr">
        <is>
          <t>Home/Self-Care</t>
        </is>
      </c>
      <c r="N814" t="inlineStr">
        <is>
          <t>State Medicaid</t>
        </is>
      </c>
      <c r="O814" s="31" t="n">
        <v>27928.97</v>
      </c>
      <c r="P814" t="inlineStr">
        <is>
          <t>N</t>
        </is>
      </c>
    </row>
    <row r="815">
      <c r="A815" t="inlineStr">
        <is>
          <t>ENC114015</t>
        </is>
      </c>
      <c r="B815" t="inlineStr">
        <is>
          <t>PT10868</t>
        </is>
      </c>
      <c r="C815" t="inlineStr">
        <is>
          <t>Outpatient</t>
        </is>
      </c>
      <c r="D815" t="inlineStr">
        <is>
          <t>Bluestone Outpatient Pavilion</t>
        </is>
      </c>
      <c r="E815" t="inlineStr">
        <is>
          <t>Primary Care Clinic</t>
        </is>
      </c>
      <c r="F815" t="inlineStr">
        <is>
          <t>Ambulatory</t>
        </is>
      </c>
      <c r="G815" s="29" t="n">
        <v>45755</v>
      </c>
      <c r="H815" s="29" t="n">
        <v>45755</v>
      </c>
      <c r="I815" s="30" t="n"/>
      <c r="J815" t="inlineStr">
        <is>
          <t>M54.50</t>
        </is>
      </c>
      <c r="K815" t="inlineStr">
        <is>
          <t>Low back pain, unspecified</t>
        </is>
      </c>
      <c r="L815" t="inlineStr">
        <is>
          <t>Musculoskeletal</t>
        </is>
      </c>
      <c r="M815" t="inlineStr">
        <is>
          <t>Home/Self-Care</t>
        </is>
      </c>
      <c r="N815" t="inlineStr">
        <is>
          <t>Keystone Health Partners</t>
        </is>
      </c>
      <c r="O815" s="31" t="n">
        <v>386.05</v>
      </c>
    </row>
    <row r="816">
      <c r="A816" t="inlineStr">
        <is>
          <t>ENC114017</t>
        </is>
      </c>
      <c r="B816" t="inlineStr">
        <is>
          <t>PT13664</t>
        </is>
      </c>
      <c r="C816" t="inlineStr">
        <is>
          <t>Emergency</t>
        </is>
      </c>
      <c r="D816" t="inlineStr">
        <is>
          <t>Bluestone Memorial Hospital</t>
        </is>
      </c>
      <c r="E816" t="inlineStr">
        <is>
          <t>Emergency Department</t>
        </is>
      </c>
      <c r="F816" t="inlineStr">
        <is>
          <t>Emergency</t>
        </is>
      </c>
      <c r="G816" s="29" t="n">
        <v>45755</v>
      </c>
      <c r="H816" s="29" t="n">
        <v>45755</v>
      </c>
      <c r="I816" s="30" t="n"/>
      <c r="J816" t="inlineStr">
        <is>
          <t>J06.9</t>
        </is>
      </c>
      <c r="K816" t="inlineStr">
        <is>
          <t>Acute upper respiratory infection, unspecified</t>
        </is>
      </c>
      <c r="L816" t="inlineStr">
        <is>
          <t>Respiratory</t>
        </is>
      </c>
      <c r="M816" t="inlineStr">
        <is>
          <t>Left AMA</t>
        </is>
      </c>
      <c r="N816" t="inlineStr">
        <is>
          <t>Silverline Medicare Advantage</t>
        </is>
      </c>
      <c r="O816" s="31" t="n">
        <v>1887.95</v>
      </c>
    </row>
    <row r="817">
      <c r="A817" t="inlineStr">
        <is>
          <t>ENC114020</t>
        </is>
      </c>
      <c r="B817" t="inlineStr">
        <is>
          <t>PT12068</t>
        </is>
      </c>
      <c r="C817" t="inlineStr">
        <is>
          <t>Outpatient</t>
        </is>
      </c>
      <c r="D817" t="inlineStr">
        <is>
          <t>Bluestone Outpatient Pavilion</t>
        </is>
      </c>
      <c r="E817" t="inlineStr">
        <is>
          <t>Primary Care Clinic</t>
        </is>
      </c>
      <c r="F817" t="inlineStr">
        <is>
          <t>Ambulatory</t>
        </is>
      </c>
      <c r="G817" s="29" t="n">
        <v>45755</v>
      </c>
      <c r="H817" s="29" t="n">
        <v>45755</v>
      </c>
      <c r="I817" s="30" t="n"/>
      <c r="J817" t="inlineStr">
        <is>
          <t>I10</t>
        </is>
      </c>
      <c r="K817" t="inlineStr">
        <is>
          <t>Essential (primary) hypertension</t>
        </is>
      </c>
      <c r="L817" t="inlineStr">
        <is>
          <t>Circulatory</t>
        </is>
      </c>
      <c r="M817" t="inlineStr">
        <is>
          <t>Home/Self-Care</t>
        </is>
      </c>
      <c r="N817" t="inlineStr">
        <is>
          <t>Keystone Health Partners</t>
        </is>
      </c>
      <c r="O817" s="31" t="n">
        <v>196.97</v>
      </c>
    </row>
    <row r="818">
      <c r="A818" t="inlineStr">
        <is>
          <t>ENC114026</t>
        </is>
      </c>
      <c r="B818" t="inlineStr">
        <is>
          <t>PT13792</t>
        </is>
      </c>
      <c r="C818" t="inlineStr">
        <is>
          <t>Outpatient</t>
        </is>
      </c>
      <c r="D818" t="inlineStr">
        <is>
          <t>Bluestone Outpatient Pavilion</t>
        </is>
      </c>
      <c r="E818" t="inlineStr">
        <is>
          <t>Endocrinology &amp; Diabetes Clinic</t>
        </is>
      </c>
      <c r="F818" t="inlineStr">
        <is>
          <t>Ambulatory</t>
        </is>
      </c>
      <c r="G818" s="29" t="n">
        <v>45755</v>
      </c>
      <c r="H818" s="29" t="n">
        <v>45755</v>
      </c>
      <c r="I818" s="30" t="n"/>
      <c r="J818" t="inlineStr">
        <is>
          <t>E11.9</t>
        </is>
      </c>
      <c r="K818" t="inlineStr">
        <is>
          <t>Type 2 diabetes mellitus without complications</t>
        </is>
      </c>
      <c r="L818" t="inlineStr">
        <is>
          <t>Endocrine</t>
        </is>
      </c>
      <c r="M818" t="inlineStr">
        <is>
          <t>Home/Self-Care</t>
        </is>
      </c>
      <c r="N818" t="inlineStr">
        <is>
          <t>Medicare</t>
        </is>
      </c>
      <c r="O818" s="31" t="n">
        <v>275.73</v>
      </c>
    </row>
    <row r="819">
      <c r="A819" t="inlineStr">
        <is>
          <t>ENC114029</t>
        </is>
      </c>
      <c r="B819" t="inlineStr">
        <is>
          <t>PT11688</t>
        </is>
      </c>
      <c r="C819" t="inlineStr">
        <is>
          <t>Outpatient</t>
        </is>
      </c>
      <c r="D819" t="inlineStr">
        <is>
          <t>Bluestone Outpatient Pavilion</t>
        </is>
      </c>
      <c r="E819" t="inlineStr">
        <is>
          <t>Cardiology Clinic</t>
        </is>
      </c>
      <c r="F819" t="inlineStr">
        <is>
          <t>Cardiovascular</t>
        </is>
      </c>
      <c r="G819" s="29" t="n">
        <v>45755</v>
      </c>
      <c r="H819" s="29" t="n">
        <v>45755</v>
      </c>
      <c r="I819" s="30" t="n"/>
      <c r="J819" t="inlineStr">
        <is>
          <t>I48.91</t>
        </is>
      </c>
      <c r="K819" t="inlineStr">
        <is>
          <t>Unspecified atrial fibrillation</t>
        </is>
      </c>
      <c r="L819" t="inlineStr">
        <is>
          <t>Circulatory</t>
        </is>
      </c>
      <c r="M819" t="inlineStr">
        <is>
          <t>Home/Self-Care</t>
        </is>
      </c>
      <c r="N819" t="inlineStr">
        <is>
          <t>Silverline Medicare Advantage</t>
        </is>
      </c>
      <c r="O819" s="31" t="n">
        <v>345.86</v>
      </c>
    </row>
    <row r="820">
      <c r="A820" t="inlineStr">
        <is>
          <t>ENC114031</t>
        </is>
      </c>
      <c r="B820" t="inlineStr">
        <is>
          <t>PT13900</t>
        </is>
      </c>
      <c r="C820" t="inlineStr">
        <is>
          <t>Emergency</t>
        </is>
      </c>
      <c r="D820" t="inlineStr">
        <is>
          <t>Bluestone Memorial Hospital</t>
        </is>
      </c>
      <c r="E820" t="inlineStr">
        <is>
          <t>Emergency Department</t>
        </is>
      </c>
      <c r="F820" t="inlineStr">
        <is>
          <t>Emergency</t>
        </is>
      </c>
      <c r="G820" s="29" t="n">
        <v>45755</v>
      </c>
      <c r="H820" s="29" t="n">
        <v>45755</v>
      </c>
      <c r="I820" s="30" t="n"/>
      <c r="J820" t="inlineStr">
        <is>
          <t>J06.9</t>
        </is>
      </c>
      <c r="K820" t="inlineStr">
        <is>
          <t>Acute upper respiratory infection, unspecified</t>
        </is>
      </c>
      <c r="L820" t="inlineStr">
        <is>
          <t>Respiratory</t>
        </is>
      </c>
      <c r="M820" t="inlineStr">
        <is>
          <t>Home/Self-Care</t>
        </is>
      </c>
      <c r="N820" t="inlineStr">
        <is>
          <t>Medicare</t>
        </is>
      </c>
      <c r="O820" s="31" t="n">
        <v>532.5</v>
      </c>
    </row>
    <row r="821">
      <c r="A821" t="inlineStr">
        <is>
          <t>ENC114033</t>
        </is>
      </c>
      <c r="B821" t="inlineStr">
        <is>
          <t>PT11836</t>
        </is>
      </c>
      <c r="C821" t="inlineStr">
        <is>
          <t>Outpatient</t>
        </is>
      </c>
      <c r="D821" t="inlineStr">
        <is>
          <t>Bluestone Outpatient Pavilion</t>
        </is>
      </c>
      <c r="E821" t="inlineStr">
        <is>
          <t>Pediatric Clinic</t>
        </is>
      </c>
      <c r="F821" t="inlineStr">
        <is>
          <t>Women &amp; Children</t>
        </is>
      </c>
      <c r="G821" s="29" t="n">
        <v>45755</v>
      </c>
      <c r="H821" s="29" t="n">
        <v>45755</v>
      </c>
      <c r="I821" s="30" t="n"/>
      <c r="J821" t="inlineStr">
        <is>
          <t>H66.90</t>
        </is>
      </c>
      <c r="K821" t="inlineStr">
        <is>
          <t>Otitis media, unspecified, unspecified ear</t>
        </is>
      </c>
      <c r="L821" t="inlineStr">
        <is>
          <t>Ear</t>
        </is>
      </c>
      <c r="M821" t="inlineStr">
        <is>
          <t>Home/Self-Care</t>
        </is>
      </c>
      <c r="N821" t="inlineStr">
        <is>
          <t>Evergreen Mutual Insurance</t>
        </is>
      </c>
      <c r="O821" s="31" t="n">
        <v>213.69</v>
      </c>
    </row>
    <row r="822">
      <c r="A822" t="inlineStr">
        <is>
          <t>ENC114043</t>
        </is>
      </c>
      <c r="B822" t="inlineStr">
        <is>
          <t>PT11172</t>
        </is>
      </c>
      <c r="C822" t="inlineStr">
        <is>
          <t>Outpatient</t>
        </is>
      </c>
      <c r="D822" t="inlineStr">
        <is>
          <t>Bluestone Outpatient Pavilion</t>
        </is>
      </c>
      <c r="E822" t="inlineStr">
        <is>
          <t>Primary Care Clinic</t>
        </is>
      </c>
      <c r="F822" t="inlineStr">
        <is>
          <t>Ambulatory</t>
        </is>
      </c>
      <c r="G822" s="29" t="n">
        <v>45756</v>
      </c>
      <c r="H822" s="29" t="n">
        <v>45756</v>
      </c>
      <c r="I822" s="30" t="n"/>
      <c r="J822" t="inlineStr">
        <is>
          <t>N39.0</t>
        </is>
      </c>
      <c r="K822" t="inlineStr">
        <is>
          <t>Urinary tract infection, site not specified</t>
        </is>
      </c>
      <c r="L822" t="inlineStr">
        <is>
          <t>Genitourinary</t>
        </is>
      </c>
      <c r="M822" t="inlineStr">
        <is>
          <t>Home/Self-Care</t>
        </is>
      </c>
      <c r="N822" t="inlineStr">
        <is>
          <t>Keystone Health Partners</t>
        </is>
      </c>
      <c r="O822" s="31" t="n">
        <v>187.19</v>
      </c>
    </row>
    <row r="823">
      <c r="A823" t="inlineStr">
        <is>
          <t>ENC114050</t>
        </is>
      </c>
      <c r="B823" t="inlineStr">
        <is>
          <t>PT10148</t>
        </is>
      </c>
      <c r="C823" t="inlineStr">
        <is>
          <t>Emergency</t>
        </is>
      </c>
      <c r="D823" t="inlineStr">
        <is>
          <t>Ashby Falls Community Hospital</t>
        </is>
      </c>
      <c r="E823" t="inlineStr">
        <is>
          <t>Emergency Department</t>
        </is>
      </c>
      <c r="F823" t="inlineStr">
        <is>
          <t>Emergency</t>
        </is>
      </c>
      <c r="G823" s="29" t="n">
        <v>45756</v>
      </c>
      <c r="H823" s="29" t="n">
        <v>45756</v>
      </c>
      <c r="I823" s="30" t="n"/>
      <c r="J823" t="inlineStr">
        <is>
          <t>U07.1</t>
        </is>
      </c>
      <c r="K823" t="inlineStr">
        <is>
          <t>COVID-19</t>
        </is>
      </c>
      <c r="L823" t="inlineStr">
        <is>
          <t>Respiratory</t>
        </is>
      </c>
      <c r="M823" t="inlineStr">
        <is>
          <t>Home/Self-Care</t>
        </is>
      </c>
      <c r="N823" t="inlineStr">
        <is>
          <t>Silverline Medicare Advantage</t>
        </is>
      </c>
      <c r="O823" s="31" t="n">
        <v>4122.01</v>
      </c>
    </row>
    <row r="824">
      <c r="A824" t="inlineStr">
        <is>
          <t>ENC114068</t>
        </is>
      </c>
      <c r="B824" t="inlineStr">
        <is>
          <t>PT11820</t>
        </is>
      </c>
      <c r="C824" t="inlineStr">
        <is>
          <t>Outpatient</t>
        </is>
      </c>
      <c r="D824" t="inlineStr">
        <is>
          <t>Bluestone Outpatient Pavilion</t>
        </is>
      </c>
      <c r="E824" t="inlineStr">
        <is>
          <t>Primary Care Clinic</t>
        </is>
      </c>
      <c r="F824" t="inlineStr">
        <is>
          <t>Ambulatory</t>
        </is>
      </c>
      <c r="G824" s="29" t="n">
        <v>45757</v>
      </c>
      <c r="H824" s="29" t="n">
        <v>45757</v>
      </c>
      <c r="I824" s="30" t="n"/>
      <c r="J824" t="inlineStr">
        <is>
          <t>Z00.00</t>
        </is>
      </c>
      <c r="K824" t="inlineStr">
        <is>
          <t>Encounter for general adult medical examination without abnormal findings</t>
        </is>
      </c>
      <c r="L824" t="inlineStr">
        <is>
          <t>Factors Influencing Health</t>
        </is>
      </c>
      <c r="M824" t="inlineStr">
        <is>
          <t>Home/Self-Care</t>
        </is>
      </c>
      <c r="N824" t="inlineStr">
        <is>
          <t>Silverline Medicare Advantage</t>
        </is>
      </c>
      <c r="O824" s="31" t="n">
        <v>347.68</v>
      </c>
    </row>
    <row r="825">
      <c r="A825" t="inlineStr">
        <is>
          <t>ENC114069</t>
        </is>
      </c>
      <c r="B825" t="inlineStr">
        <is>
          <t>PT11272</t>
        </is>
      </c>
      <c r="C825" t="inlineStr">
        <is>
          <t>Outpatient</t>
        </is>
      </c>
      <c r="D825" t="inlineStr">
        <is>
          <t>Bluestone Outpatient Pavilion</t>
        </is>
      </c>
      <c r="E825" t="inlineStr">
        <is>
          <t>Pediatric Clinic</t>
        </is>
      </c>
      <c r="F825" t="inlineStr">
        <is>
          <t>Women &amp; Children</t>
        </is>
      </c>
      <c r="G825" s="29" t="n">
        <v>45757</v>
      </c>
      <c r="H825" s="29" t="n">
        <v>45757</v>
      </c>
      <c r="I825" s="30" t="n"/>
      <c r="J825" t="inlineStr">
        <is>
          <t>Z00.129</t>
        </is>
      </c>
      <c r="K825" t="inlineStr">
        <is>
          <t>Encounter for routine child health examination without abnormal findings</t>
        </is>
      </c>
      <c r="L825" t="inlineStr">
        <is>
          <t>Factors Influencing Health</t>
        </is>
      </c>
      <c r="M825" t="inlineStr">
        <is>
          <t>Home/Self-Care</t>
        </is>
      </c>
      <c r="N825" t="inlineStr">
        <is>
          <t>State Medicaid</t>
        </is>
      </c>
      <c r="O825" s="31" t="n">
        <v>279.16</v>
      </c>
    </row>
    <row r="826">
      <c r="A826" t="inlineStr">
        <is>
          <t>ENC114083</t>
        </is>
      </c>
      <c r="B826" t="inlineStr">
        <is>
          <t>PT10996</t>
        </is>
      </c>
      <c r="C826" t="inlineStr">
        <is>
          <t>Observation</t>
        </is>
      </c>
      <c r="D826" t="inlineStr">
        <is>
          <t>Bluestone Memorial Hospital</t>
        </is>
      </c>
      <c r="E826" t="inlineStr">
        <is>
          <t>Observation Unit</t>
        </is>
      </c>
      <c r="F826" t="inlineStr">
        <is>
          <t>Medicine</t>
        </is>
      </c>
      <c r="G826" s="29" t="n">
        <v>45757</v>
      </c>
      <c r="H826" s="29" t="n">
        <v>45758</v>
      </c>
      <c r="I826" s="30" t="n">
        <v>1</v>
      </c>
      <c r="J826" t="inlineStr">
        <is>
          <t>J45.909</t>
        </is>
      </c>
      <c r="K826" t="inlineStr">
        <is>
          <t>Unspecified asthma, uncomplicated</t>
        </is>
      </c>
      <c r="L826" t="inlineStr">
        <is>
          <t>Respiratory</t>
        </is>
      </c>
      <c r="M826" t="inlineStr">
        <is>
          <t>Home/Self-Care</t>
        </is>
      </c>
      <c r="N826" t="inlineStr">
        <is>
          <t>Keystone Health Partners</t>
        </is>
      </c>
      <c r="O826" s="31" t="n">
        <v>8474.67</v>
      </c>
    </row>
    <row r="827">
      <c r="A827" t="inlineStr">
        <is>
          <t>ENC114086</t>
        </is>
      </c>
      <c r="B827" t="inlineStr">
        <is>
          <t>PT12040</t>
        </is>
      </c>
      <c r="C827" t="inlineStr">
        <is>
          <t>Outpatient</t>
        </is>
      </c>
      <c r="D827" t="inlineStr">
        <is>
          <t>Bluestone Outpatient Pavilion</t>
        </is>
      </c>
      <c r="E827" t="inlineStr">
        <is>
          <t>Primary Care Clinic</t>
        </is>
      </c>
      <c r="F827" t="inlineStr">
        <is>
          <t>Ambulatory</t>
        </is>
      </c>
      <c r="G827" s="29" t="n">
        <v>45757</v>
      </c>
      <c r="H827" s="29" t="n">
        <v>45757</v>
      </c>
      <c r="I827" s="30" t="n"/>
      <c r="J827" t="inlineStr">
        <is>
          <t>Z00.00</t>
        </is>
      </c>
      <c r="K827" t="inlineStr">
        <is>
          <t>Encounter for general adult medical examination without abnormal findings</t>
        </is>
      </c>
      <c r="L827" t="inlineStr">
        <is>
          <t>Factors Influencing Health</t>
        </is>
      </c>
      <c r="M827" t="inlineStr">
        <is>
          <t>Home/Self-Care</t>
        </is>
      </c>
      <c r="N827" t="inlineStr">
        <is>
          <t>Medicare</t>
        </is>
      </c>
      <c r="O827" s="31" t="n">
        <v>317.64</v>
      </c>
    </row>
    <row r="828">
      <c r="A828" t="inlineStr">
        <is>
          <t>ENC114090</t>
        </is>
      </c>
      <c r="B828" t="inlineStr">
        <is>
          <t>PT13876</t>
        </is>
      </c>
      <c r="C828" t="inlineStr">
        <is>
          <t>Emergency</t>
        </is>
      </c>
      <c r="D828" t="inlineStr">
        <is>
          <t>Cedar Ridge Medical Center</t>
        </is>
      </c>
      <c r="E828" t="inlineStr">
        <is>
          <t>Emergency Department</t>
        </is>
      </c>
      <c r="F828" t="inlineStr">
        <is>
          <t>Emergency</t>
        </is>
      </c>
      <c r="G828" s="29" t="n">
        <v>45757</v>
      </c>
      <c r="H828" s="29" t="n">
        <v>45757</v>
      </c>
      <c r="I828" s="30" t="n"/>
      <c r="J828" t="inlineStr">
        <is>
          <t>A08.4</t>
        </is>
      </c>
      <c r="K828" t="inlineStr">
        <is>
          <t>Viral intestinal infection, unspecified</t>
        </is>
      </c>
      <c r="L828" t="inlineStr">
        <is>
          <t>Infectious</t>
        </is>
      </c>
      <c r="M828" t="inlineStr">
        <is>
          <t>Home/Self-Care</t>
        </is>
      </c>
      <c r="N828" t="inlineStr">
        <is>
          <t>Silverline Medicare Advantage</t>
        </is>
      </c>
      <c r="O828" s="31" t="n">
        <v>845.6799999999999</v>
      </c>
    </row>
    <row r="829">
      <c r="A829" t="inlineStr">
        <is>
          <t>ENC114091</t>
        </is>
      </c>
      <c r="B829" t="inlineStr">
        <is>
          <t>PT10952</t>
        </is>
      </c>
      <c r="C829" t="inlineStr">
        <is>
          <t>Emergency</t>
        </is>
      </c>
      <c r="D829" t="inlineStr">
        <is>
          <t>Ashby Falls Community Hospital</t>
        </is>
      </c>
      <c r="E829" t="inlineStr">
        <is>
          <t>Emergency Department</t>
        </is>
      </c>
      <c r="F829" t="inlineStr">
        <is>
          <t>Emergency</t>
        </is>
      </c>
      <c r="G829" s="29" t="n">
        <v>45757</v>
      </c>
      <c r="H829" s="29" t="n">
        <v>45757</v>
      </c>
      <c r="I829" s="30" t="n"/>
      <c r="J829" t="inlineStr">
        <is>
          <t>J06.9</t>
        </is>
      </c>
      <c r="K829" t="inlineStr">
        <is>
          <t>Acute upper respiratory infection, unspecified</t>
        </is>
      </c>
      <c r="L829" t="inlineStr">
        <is>
          <t>Respiratory</t>
        </is>
      </c>
      <c r="M829" t="inlineStr">
        <is>
          <t>Home/Self-Care</t>
        </is>
      </c>
      <c r="N829" t="inlineStr">
        <is>
          <t>State Medicaid</t>
        </is>
      </c>
      <c r="O829" s="31" t="n">
        <v>960.24</v>
      </c>
    </row>
    <row r="830">
      <c r="A830" t="inlineStr">
        <is>
          <t>ENC114099</t>
        </is>
      </c>
      <c r="B830" t="inlineStr">
        <is>
          <t>PT12160</t>
        </is>
      </c>
      <c r="C830" t="inlineStr">
        <is>
          <t>Emergency</t>
        </is>
      </c>
      <c r="D830" t="inlineStr">
        <is>
          <t>Bluestone Memorial Hospital</t>
        </is>
      </c>
      <c r="E830" t="inlineStr">
        <is>
          <t>Emergency Department</t>
        </is>
      </c>
      <c r="F830" t="inlineStr">
        <is>
          <t>Emergency</t>
        </is>
      </c>
      <c r="G830" s="29" t="n">
        <v>45758</v>
      </c>
      <c r="H830" s="29" t="n">
        <v>45758</v>
      </c>
      <c r="I830" s="30" t="n"/>
      <c r="J830" t="inlineStr">
        <is>
          <t>S93.401A</t>
        </is>
      </c>
      <c r="K830" t="inlineStr">
        <is>
          <t>Sprain of unspecified ligament of right ankle, initial encounter</t>
        </is>
      </c>
      <c r="L830" t="inlineStr">
        <is>
          <t>Injury</t>
        </is>
      </c>
      <c r="M830" t="inlineStr">
        <is>
          <t>Home/Self-Care</t>
        </is>
      </c>
      <c r="N830" t="inlineStr">
        <is>
          <t>State Medicaid</t>
        </is>
      </c>
      <c r="O830" s="31" t="n">
        <v>642.1</v>
      </c>
    </row>
    <row r="831">
      <c r="A831" t="inlineStr">
        <is>
          <t>ENC114103</t>
        </is>
      </c>
      <c r="B831" t="inlineStr">
        <is>
          <t>PT12524</t>
        </is>
      </c>
      <c r="C831" t="inlineStr">
        <is>
          <t>Outpatient</t>
        </is>
      </c>
      <c r="D831" t="inlineStr">
        <is>
          <t>Bluestone Outpatient Pavilion</t>
        </is>
      </c>
      <c r="E831" t="inlineStr">
        <is>
          <t>Endocrinology &amp; Diabetes Clinic</t>
        </is>
      </c>
      <c r="F831" t="inlineStr">
        <is>
          <t>Ambulatory</t>
        </is>
      </c>
      <c r="G831" s="29" t="n">
        <v>45758</v>
      </c>
      <c r="H831" s="29" t="n">
        <v>45758</v>
      </c>
      <c r="I831" s="30" t="n"/>
      <c r="J831" t="inlineStr">
        <is>
          <t>E11.9</t>
        </is>
      </c>
      <c r="K831" t="inlineStr">
        <is>
          <t>Type 2 diabetes mellitus without complications</t>
        </is>
      </c>
      <c r="L831" t="inlineStr">
        <is>
          <t>Endocrine</t>
        </is>
      </c>
      <c r="M831" t="inlineStr">
        <is>
          <t>Home/Self-Care</t>
        </is>
      </c>
      <c r="N831" t="inlineStr">
        <is>
          <t>Medicare</t>
        </is>
      </c>
      <c r="O831" s="31" t="n">
        <v>469.46</v>
      </c>
    </row>
    <row r="832">
      <c r="A832" t="inlineStr">
        <is>
          <t>ENC114107</t>
        </is>
      </c>
      <c r="B832" t="inlineStr">
        <is>
          <t>PT10788</t>
        </is>
      </c>
      <c r="C832" t="inlineStr">
        <is>
          <t>Emergency</t>
        </is>
      </c>
      <c r="D832" t="inlineStr">
        <is>
          <t>Cedar Ridge Medical Center</t>
        </is>
      </c>
      <c r="E832" t="inlineStr">
        <is>
          <t>Emergency Department</t>
        </is>
      </c>
      <c r="F832" t="inlineStr">
        <is>
          <t>Emergency</t>
        </is>
      </c>
      <c r="G832" s="29" t="n">
        <v>45758</v>
      </c>
      <c r="H832" s="29" t="n">
        <v>45758</v>
      </c>
      <c r="I832" s="30" t="n"/>
      <c r="J832" t="inlineStr">
        <is>
          <t>R07.9</t>
        </is>
      </c>
      <c r="K832" t="inlineStr">
        <is>
          <t>Chest pain, unspecified</t>
        </is>
      </c>
      <c r="L832" t="inlineStr">
        <is>
          <t>Symptoms &amp; Signs</t>
        </is>
      </c>
      <c r="M832" t="inlineStr">
        <is>
          <t>Home/Self-Care</t>
        </is>
      </c>
      <c r="N832" t="inlineStr">
        <is>
          <t>Keystone Health Partners</t>
        </is>
      </c>
      <c r="O832" s="31" t="n">
        <v>3505.09</v>
      </c>
    </row>
    <row r="833">
      <c r="A833" t="inlineStr">
        <is>
          <t>ENC114109</t>
        </is>
      </c>
      <c r="B833" t="inlineStr">
        <is>
          <t>PT12608</t>
        </is>
      </c>
      <c r="C833" t="inlineStr">
        <is>
          <t>Outpatient</t>
        </is>
      </c>
      <c r="D833" t="inlineStr">
        <is>
          <t>Bluestone Outpatient Pavilion</t>
        </is>
      </c>
      <c r="E833" t="inlineStr">
        <is>
          <t>Primary Care Clinic</t>
        </is>
      </c>
      <c r="F833" t="inlineStr">
        <is>
          <t>Ambulatory</t>
        </is>
      </c>
      <c r="G833" s="29" t="n">
        <v>45758</v>
      </c>
      <c r="H833" s="29" t="n">
        <v>45758</v>
      </c>
      <c r="I833" s="30" t="n"/>
      <c r="J833" t="inlineStr">
        <is>
          <t>A08.4</t>
        </is>
      </c>
      <c r="K833" t="inlineStr">
        <is>
          <t>Viral intestinal infection, unspecified</t>
        </is>
      </c>
      <c r="L833" t="inlineStr">
        <is>
          <t>Infectious</t>
        </is>
      </c>
      <c r="M833" t="inlineStr">
        <is>
          <t>Home/Self-Care</t>
        </is>
      </c>
      <c r="N833" t="inlineStr">
        <is>
          <t>Summit Choice PPO</t>
        </is>
      </c>
      <c r="O833" s="31" t="n">
        <v>261.61</v>
      </c>
    </row>
    <row r="834">
      <c r="A834" t="inlineStr">
        <is>
          <t>ENC114126</t>
        </is>
      </c>
      <c r="B834" t="inlineStr">
        <is>
          <t>PT11492</t>
        </is>
      </c>
      <c r="C834" t="inlineStr">
        <is>
          <t>Outpatient</t>
        </is>
      </c>
      <c r="D834" t="inlineStr">
        <is>
          <t>Bluestone Outpatient Pavilion</t>
        </is>
      </c>
      <c r="E834" t="inlineStr">
        <is>
          <t>Endocrinology &amp; Diabetes Clinic</t>
        </is>
      </c>
      <c r="F834" t="inlineStr">
        <is>
          <t>Ambulatory</t>
        </is>
      </c>
      <c r="G834" s="29" t="n">
        <v>45758</v>
      </c>
      <c r="H834" s="29" t="n">
        <v>45758</v>
      </c>
      <c r="I834" s="30" t="n"/>
      <c r="J834" t="inlineStr">
        <is>
          <t>E11.65</t>
        </is>
      </c>
      <c r="K834" t="inlineStr">
        <is>
          <t>Type 2 diabetes mellitus with hyperglycemia</t>
        </is>
      </c>
      <c r="L834" t="inlineStr">
        <is>
          <t>Endocrine</t>
        </is>
      </c>
      <c r="M834" t="inlineStr">
        <is>
          <t>Home/Self-Care</t>
        </is>
      </c>
      <c r="N834" t="inlineStr">
        <is>
          <t>Silverline Medicare Advantage</t>
        </is>
      </c>
      <c r="O834" s="31" t="n">
        <v>325.93</v>
      </c>
    </row>
    <row r="835">
      <c r="A835" t="inlineStr">
        <is>
          <t>ENC114133</t>
        </is>
      </c>
      <c r="B835" t="inlineStr">
        <is>
          <t>PT10672</t>
        </is>
      </c>
      <c r="C835" t="inlineStr">
        <is>
          <t>Inpatient</t>
        </is>
      </c>
      <c r="D835" t="inlineStr">
        <is>
          <t>Cedar Ridge Medical Center</t>
        </is>
      </c>
      <c r="E835" t="inlineStr">
        <is>
          <t>Medical-Surgical</t>
        </is>
      </c>
      <c r="F835" t="inlineStr">
        <is>
          <t>Medicine</t>
        </is>
      </c>
      <c r="G835" s="29" t="n">
        <v>45759</v>
      </c>
      <c r="H835" s="29" t="n">
        <v>45764</v>
      </c>
      <c r="I835" s="30" t="n">
        <v>5</v>
      </c>
      <c r="J835" t="inlineStr">
        <is>
          <t>J18.9</t>
        </is>
      </c>
      <c r="K835" t="inlineStr">
        <is>
          <t>Pneumonia, unspecified organism</t>
        </is>
      </c>
      <c r="L835" t="inlineStr">
        <is>
          <t>Respiratory</t>
        </is>
      </c>
      <c r="M835" t="inlineStr">
        <is>
          <t>Home/Self-Care</t>
        </is>
      </c>
      <c r="N835" t="inlineStr">
        <is>
          <t>Keystone Health Partners</t>
        </is>
      </c>
      <c r="O835" s="31" t="n">
        <v>20910.69</v>
      </c>
      <c r="P835" t="inlineStr">
        <is>
          <t>N</t>
        </is>
      </c>
    </row>
    <row r="836">
      <c r="A836" t="inlineStr">
        <is>
          <t>ENC114140</t>
        </is>
      </c>
      <c r="B836" t="inlineStr">
        <is>
          <t>PT10420</t>
        </is>
      </c>
      <c r="C836" t="inlineStr">
        <is>
          <t>Emergency</t>
        </is>
      </c>
      <c r="D836" t="inlineStr">
        <is>
          <t>Bluestone Memorial Hospital</t>
        </is>
      </c>
      <c r="E836" t="inlineStr">
        <is>
          <t>Emergency Department</t>
        </is>
      </c>
      <c r="F836" t="inlineStr">
        <is>
          <t>Emergency</t>
        </is>
      </c>
      <c r="G836" s="29" t="n">
        <v>45759</v>
      </c>
      <c r="H836" s="29" t="n">
        <v>45759</v>
      </c>
      <c r="I836" s="30" t="n"/>
      <c r="J836" t="inlineStr">
        <is>
          <t>J06.9</t>
        </is>
      </c>
      <c r="K836" t="inlineStr">
        <is>
          <t>Acute upper respiratory infection, unspecified</t>
        </is>
      </c>
      <c r="L836" t="inlineStr">
        <is>
          <t>Respiratory</t>
        </is>
      </c>
      <c r="M836" t="inlineStr">
        <is>
          <t>Home/Self-Care</t>
        </is>
      </c>
      <c r="N836" t="inlineStr">
        <is>
          <t>Evergreen Mutual Insurance</t>
        </is>
      </c>
      <c r="O836" s="31" t="n">
        <v>3740.25</v>
      </c>
    </row>
    <row r="837">
      <c r="A837" t="inlineStr">
        <is>
          <t>ENC114150</t>
        </is>
      </c>
      <c r="B837" t="inlineStr">
        <is>
          <t>PT10876</t>
        </is>
      </c>
      <c r="C837" t="inlineStr">
        <is>
          <t>Inpatient</t>
        </is>
      </c>
      <c r="D837" t="inlineStr">
        <is>
          <t>Ashby Falls Community Hospital</t>
        </is>
      </c>
      <c r="E837" t="inlineStr">
        <is>
          <t>Medical-Surgical</t>
        </is>
      </c>
      <c r="F837" t="inlineStr">
        <is>
          <t>Medicine</t>
        </is>
      </c>
      <c r="G837" s="29" t="n">
        <v>45760</v>
      </c>
      <c r="H837" s="29" t="n">
        <v>45763</v>
      </c>
      <c r="I837" s="30" t="n">
        <v>3</v>
      </c>
      <c r="J837" t="inlineStr">
        <is>
          <t>N39.0</t>
        </is>
      </c>
      <c r="K837" t="inlineStr">
        <is>
          <t>Urinary tract infection, site not specified</t>
        </is>
      </c>
      <c r="L837" t="inlineStr">
        <is>
          <t>Genitourinary</t>
        </is>
      </c>
      <c r="M837" t="inlineStr">
        <is>
          <t>Home/Self-Care</t>
        </is>
      </c>
      <c r="N837" t="inlineStr">
        <is>
          <t>State Medicaid</t>
        </is>
      </c>
      <c r="O837" s="31" t="n">
        <v>17107.79</v>
      </c>
      <c r="P837" t="inlineStr">
        <is>
          <t>N</t>
        </is>
      </c>
    </row>
    <row r="838">
      <c r="A838" t="inlineStr">
        <is>
          <t>ENC114158</t>
        </is>
      </c>
      <c r="B838" t="inlineStr">
        <is>
          <t>PT11964</t>
        </is>
      </c>
      <c r="C838" t="inlineStr">
        <is>
          <t>Emergency</t>
        </is>
      </c>
      <c r="D838" t="inlineStr">
        <is>
          <t>Bluestone Memorial Hospital</t>
        </is>
      </c>
      <c r="E838" t="inlineStr">
        <is>
          <t>Emergency Department</t>
        </is>
      </c>
      <c r="F838" t="inlineStr">
        <is>
          <t>Emergency</t>
        </is>
      </c>
      <c r="G838" s="29" t="n">
        <v>45760</v>
      </c>
      <c r="H838" s="29" t="n">
        <v>45760</v>
      </c>
      <c r="I838" s="30" t="n"/>
      <c r="J838" t="inlineStr">
        <is>
          <t>A08.4</t>
        </is>
      </c>
      <c r="K838" t="inlineStr">
        <is>
          <t>Viral intestinal infection, unspecified</t>
        </is>
      </c>
      <c r="L838" t="inlineStr">
        <is>
          <t>Infectious</t>
        </is>
      </c>
      <c r="M838" t="inlineStr">
        <is>
          <t>Home/Self-Care</t>
        </is>
      </c>
      <c r="N838" t="inlineStr">
        <is>
          <t>Silverline Medicare Advantage</t>
        </is>
      </c>
      <c r="O838" s="31" t="n">
        <v>999.52</v>
      </c>
    </row>
    <row r="839">
      <c r="A839" t="inlineStr">
        <is>
          <t>ENC114159</t>
        </is>
      </c>
      <c r="B839" t="inlineStr">
        <is>
          <t>PT12580</t>
        </is>
      </c>
      <c r="C839" t="inlineStr">
        <is>
          <t>Emergency</t>
        </is>
      </c>
      <c r="D839" t="inlineStr">
        <is>
          <t>Cedar Ridge Medical Center</t>
        </is>
      </c>
      <c r="E839" t="inlineStr">
        <is>
          <t>Emergency Department</t>
        </is>
      </c>
      <c r="F839" t="inlineStr">
        <is>
          <t>Emergency</t>
        </is>
      </c>
      <c r="G839" s="29" t="n">
        <v>45760</v>
      </c>
      <c r="H839" s="29" t="n">
        <v>45760</v>
      </c>
      <c r="I839" s="30" t="n"/>
      <c r="J839" t="inlineStr">
        <is>
          <t>N39.0</t>
        </is>
      </c>
      <c r="K839" t="inlineStr">
        <is>
          <t>Urinary tract infection, site not specified</t>
        </is>
      </c>
      <c r="L839" t="inlineStr">
        <is>
          <t>Genitourinary</t>
        </is>
      </c>
      <c r="M839" t="inlineStr">
        <is>
          <t>Home/Self-Care</t>
        </is>
      </c>
      <c r="N839" t="inlineStr">
        <is>
          <t>Keystone Health Partners</t>
        </is>
      </c>
      <c r="O839" s="31" t="n">
        <v>4252.79</v>
      </c>
    </row>
    <row r="840">
      <c r="A840" t="inlineStr">
        <is>
          <t>ENC114161</t>
        </is>
      </c>
      <c r="B840" t="inlineStr">
        <is>
          <t>PT11076</t>
        </is>
      </c>
      <c r="C840" t="inlineStr">
        <is>
          <t>Emergency</t>
        </is>
      </c>
      <c r="D840" t="inlineStr">
        <is>
          <t>Bluestone Memorial Hospital</t>
        </is>
      </c>
      <c r="E840" t="inlineStr">
        <is>
          <t>Emergency Department</t>
        </is>
      </c>
      <c r="F840" t="inlineStr">
        <is>
          <t>Emergency</t>
        </is>
      </c>
      <c r="G840" s="29" t="n">
        <v>45760</v>
      </c>
      <c r="H840" s="29" t="n">
        <v>45761</v>
      </c>
      <c r="I840" s="30" t="n"/>
      <c r="J840" t="inlineStr">
        <is>
          <t>L03.115</t>
        </is>
      </c>
      <c r="K840" t="inlineStr">
        <is>
          <t>Cellulitis of right lower limb</t>
        </is>
      </c>
      <c r="L840" t="inlineStr">
        <is>
          <t>Skin</t>
        </is>
      </c>
      <c r="M840" t="inlineStr">
        <is>
          <t>Home/Self-Care</t>
        </is>
      </c>
      <c r="N840" t="inlineStr">
        <is>
          <t>Summit Choice PPO</t>
        </is>
      </c>
      <c r="O840" s="31" t="n">
        <v>3690.14</v>
      </c>
    </row>
    <row r="841">
      <c r="A841" t="inlineStr">
        <is>
          <t>ENC114163</t>
        </is>
      </c>
      <c r="B841" t="inlineStr">
        <is>
          <t>PT10440</t>
        </is>
      </c>
      <c r="C841" t="inlineStr">
        <is>
          <t>Inpatient</t>
        </is>
      </c>
      <c r="D841" t="inlineStr">
        <is>
          <t>Bluestone Memorial Hospital</t>
        </is>
      </c>
      <c r="E841" t="inlineStr">
        <is>
          <t>Cardiac Step-Down</t>
        </is>
      </c>
      <c r="F841" t="inlineStr">
        <is>
          <t>Cardiovascular</t>
        </is>
      </c>
      <c r="G841" s="29" t="n">
        <v>45761</v>
      </c>
      <c r="H841" s="29" t="n">
        <v>45768</v>
      </c>
      <c r="I841" s="30" t="n">
        <v>7</v>
      </c>
      <c r="J841" t="inlineStr">
        <is>
          <t>I50.9</t>
        </is>
      </c>
      <c r="K841" t="inlineStr">
        <is>
          <t>Heart failure, unspecified</t>
        </is>
      </c>
      <c r="L841" t="inlineStr">
        <is>
          <t>Circulatory</t>
        </is>
      </c>
      <c r="M841" t="inlineStr">
        <is>
          <t>Home/Self-Care</t>
        </is>
      </c>
      <c r="N841" t="inlineStr">
        <is>
          <t>Medicare</t>
        </is>
      </c>
      <c r="O841" s="31" t="n">
        <v>58202.53</v>
      </c>
      <c r="P841" t="inlineStr">
        <is>
          <t>N</t>
        </is>
      </c>
    </row>
    <row r="842">
      <c r="A842" t="inlineStr">
        <is>
          <t>ENC114166</t>
        </is>
      </c>
      <c r="B842" t="inlineStr">
        <is>
          <t>PT12444</t>
        </is>
      </c>
      <c r="C842" t="inlineStr">
        <is>
          <t>Outpatient</t>
        </is>
      </c>
      <c r="D842" t="inlineStr">
        <is>
          <t>Bluestone Outpatient Pavilion</t>
        </is>
      </c>
      <c r="E842" t="inlineStr">
        <is>
          <t>Primary Care Clinic</t>
        </is>
      </c>
      <c r="F842" t="inlineStr">
        <is>
          <t>Ambulatory</t>
        </is>
      </c>
      <c r="G842" s="29" t="n">
        <v>45761</v>
      </c>
      <c r="H842" s="29" t="n">
        <v>45761</v>
      </c>
      <c r="I842" s="30" t="n"/>
      <c r="J842" t="inlineStr">
        <is>
          <t>M54.50</t>
        </is>
      </c>
      <c r="K842" t="inlineStr">
        <is>
          <t>Low back pain, unspecified</t>
        </is>
      </c>
      <c r="L842" t="inlineStr">
        <is>
          <t>Musculoskeletal</t>
        </is>
      </c>
      <c r="M842" t="inlineStr">
        <is>
          <t>Home/Self-Care</t>
        </is>
      </c>
      <c r="N842" t="inlineStr">
        <is>
          <t>Keystone Health Partners</t>
        </is>
      </c>
      <c r="O842" s="31" t="n">
        <v>397.51</v>
      </c>
    </row>
    <row r="843">
      <c r="A843" t="inlineStr">
        <is>
          <t>ENC114167</t>
        </is>
      </c>
      <c r="B843" t="inlineStr">
        <is>
          <t>PT10592</t>
        </is>
      </c>
      <c r="C843" t="inlineStr">
        <is>
          <t>Outpatient</t>
        </is>
      </c>
      <c r="D843" t="inlineStr">
        <is>
          <t>Bluestone Outpatient Pavilion</t>
        </is>
      </c>
      <c r="E843" t="inlineStr">
        <is>
          <t>Primary Care Clinic</t>
        </is>
      </c>
      <c r="F843" t="inlineStr">
        <is>
          <t>Ambulatory</t>
        </is>
      </c>
      <c r="G843" s="29" t="n">
        <v>45761</v>
      </c>
      <c r="H843" s="29" t="n">
        <v>45761</v>
      </c>
      <c r="I843" s="30" t="n"/>
      <c r="J843" t="inlineStr">
        <is>
          <t>J06.9</t>
        </is>
      </c>
      <c r="K843" t="inlineStr">
        <is>
          <t>Acute upper respiratory infection, unspecified</t>
        </is>
      </c>
      <c r="L843" t="inlineStr">
        <is>
          <t>Respiratory</t>
        </is>
      </c>
      <c r="M843" t="inlineStr">
        <is>
          <t>Home/Self-Care</t>
        </is>
      </c>
      <c r="N843" t="inlineStr">
        <is>
          <t>Silverline Medicare Advantage</t>
        </is>
      </c>
      <c r="O843" s="31" t="n">
        <v>356.73</v>
      </c>
    </row>
    <row r="844">
      <c r="A844" t="inlineStr">
        <is>
          <t>ENC114169</t>
        </is>
      </c>
      <c r="B844" t="inlineStr">
        <is>
          <t>PT10652</t>
        </is>
      </c>
      <c r="C844" t="inlineStr">
        <is>
          <t>Outpatient</t>
        </is>
      </c>
      <c r="D844" t="inlineStr">
        <is>
          <t>Bluestone Outpatient Pavilion</t>
        </is>
      </c>
      <c r="E844" t="inlineStr">
        <is>
          <t>Pediatric Clinic</t>
        </is>
      </c>
      <c r="F844" t="inlineStr">
        <is>
          <t>Women &amp; Children</t>
        </is>
      </c>
      <c r="G844" s="29" t="n">
        <v>45761</v>
      </c>
      <c r="H844" s="29" t="n">
        <v>45761</v>
      </c>
      <c r="I844" s="30" t="n"/>
      <c r="J844" t="inlineStr">
        <is>
          <t>Z00.129</t>
        </is>
      </c>
      <c r="K844" t="inlineStr">
        <is>
          <t>Encounter for routine child health examination without abnormal findings</t>
        </is>
      </c>
      <c r="L844" t="inlineStr">
        <is>
          <t>Factors Influencing Health</t>
        </is>
      </c>
      <c r="M844" t="inlineStr">
        <is>
          <t>Home/Self-Care</t>
        </is>
      </c>
      <c r="N844" t="inlineStr">
        <is>
          <t>Evergreen Mutual Insurance</t>
        </is>
      </c>
      <c r="O844" s="31" t="n">
        <v>343.88</v>
      </c>
    </row>
    <row r="845">
      <c r="A845" t="inlineStr">
        <is>
          <t>ENC114170</t>
        </is>
      </c>
      <c r="B845" t="inlineStr">
        <is>
          <t>PT11480</t>
        </is>
      </c>
      <c r="C845" t="inlineStr">
        <is>
          <t>Outpatient</t>
        </is>
      </c>
      <c r="D845" t="inlineStr">
        <is>
          <t>Bluestone Outpatient Pavilion</t>
        </is>
      </c>
      <c r="E845" t="inlineStr">
        <is>
          <t>Primary Care Clinic</t>
        </is>
      </c>
      <c r="F845" t="inlineStr">
        <is>
          <t>Ambulatory</t>
        </is>
      </c>
      <c r="G845" s="29" t="n">
        <v>45761</v>
      </c>
      <c r="H845" s="29" t="n">
        <v>45761</v>
      </c>
      <c r="I845" s="30" t="n"/>
      <c r="J845" t="inlineStr">
        <is>
          <t>M54.50</t>
        </is>
      </c>
      <c r="K845" t="inlineStr">
        <is>
          <t>Low back pain, unspecified</t>
        </is>
      </c>
      <c r="L845" t="inlineStr">
        <is>
          <t>Musculoskeletal</t>
        </is>
      </c>
      <c r="M845" t="inlineStr">
        <is>
          <t>Home/Self-Care</t>
        </is>
      </c>
      <c r="N845" t="inlineStr">
        <is>
          <t>Keystone Health Partners</t>
        </is>
      </c>
      <c r="O845" s="31" t="n">
        <v>395.56</v>
      </c>
    </row>
    <row r="846">
      <c r="A846" t="inlineStr">
        <is>
          <t>ENC114174</t>
        </is>
      </c>
      <c r="B846" t="inlineStr">
        <is>
          <t>PT12188</t>
        </is>
      </c>
      <c r="C846" t="inlineStr">
        <is>
          <t>Emergency</t>
        </is>
      </c>
      <c r="D846" t="inlineStr">
        <is>
          <t>Ashby Falls Community Hospital</t>
        </is>
      </c>
      <c r="E846" t="inlineStr">
        <is>
          <t>Emergency Department</t>
        </is>
      </c>
      <c r="F846" t="inlineStr">
        <is>
          <t>Emergency</t>
        </is>
      </c>
      <c r="G846" s="29" t="n">
        <v>45761</v>
      </c>
      <c r="H846" s="29" t="n">
        <v>45761</v>
      </c>
      <c r="I846" s="30" t="n"/>
      <c r="J846" t="inlineStr">
        <is>
          <t>M54.50</t>
        </is>
      </c>
      <c r="K846" t="inlineStr">
        <is>
          <t>Low back pain, unspecified</t>
        </is>
      </c>
      <c r="L846" t="inlineStr">
        <is>
          <t>Musculoskeletal</t>
        </is>
      </c>
      <c r="M846" t="inlineStr">
        <is>
          <t>Transfer to Another Hospital</t>
        </is>
      </c>
      <c r="N846" t="inlineStr">
        <is>
          <t>Workers' Compensation</t>
        </is>
      </c>
      <c r="O846" s="31" t="n">
        <v>958.33</v>
      </c>
    </row>
    <row r="847">
      <c r="A847" t="inlineStr">
        <is>
          <t>ENC114175</t>
        </is>
      </c>
      <c r="B847" t="inlineStr">
        <is>
          <t>PT12712</t>
        </is>
      </c>
      <c r="C847" t="inlineStr">
        <is>
          <t>Outpatient</t>
        </is>
      </c>
      <c r="D847" t="inlineStr">
        <is>
          <t>Bluestone Outpatient Pavilion</t>
        </is>
      </c>
      <c r="E847" t="inlineStr">
        <is>
          <t>Primary Care Clinic</t>
        </is>
      </c>
      <c r="F847" t="inlineStr">
        <is>
          <t>Ambulatory</t>
        </is>
      </c>
      <c r="G847" s="29" t="n">
        <v>45761</v>
      </c>
      <c r="H847" s="29" t="n">
        <v>45761</v>
      </c>
      <c r="I847" s="30" t="n"/>
      <c r="J847" t="inlineStr">
        <is>
          <t>F32.9</t>
        </is>
      </c>
      <c r="K847" t="inlineStr">
        <is>
          <t>Major depressive disorder, single episode, unspecified</t>
        </is>
      </c>
      <c r="L847" t="inlineStr">
        <is>
          <t>Mental &amp; Behavioral</t>
        </is>
      </c>
      <c r="M847" t="inlineStr">
        <is>
          <t>Home/Self-Care</t>
        </is>
      </c>
      <c r="N847" t="inlineStr">
        <is>
          <t>Silverline Medicare Advantage</t>
        </is>
      </c>
      <c r="O847" s="31" t="n">
        <v>311.64</v>
      </c>
    </row>
    <row r="848">
      <c r="A848" t="inlineStr">
        <is>
          <t>ENC114177</t>
        </is>
      </c>
      <c r="B848" t="inlineStr">
        <is>
          <t>PT11060</t>
        </is>
      </c>
      <c r="C848" t="inlineStr">
        <is>
          <t>Inpatient</t>
        </is>
      </c>
      <c r="D848" t="inlineStr">
        <is>
          <t>Bluestone Memorial Hospital</t>
        </is>
      </c>
      <c r="E848" t="inlineStr">
        <is>
          <t>Behavioral Health</t>
        </is>
      </c>
      <c r="F848" t="inlineStr">
        <is>
          <t>Behavioral Health</t>
        </is>
      </c>
      <c r="G848" s="29" t="n">
        <v>45761</v>
      </c>
      <c r="H848" s="29" t="n">
        <v>45768</v>
      </c>
      <c r="I848" s="30" t="n">
        <v>7</v>
      </c>
      <c r="J848" t="inlineStr">
        <is>
          <t>F32.9</t>
        </is>
      </c>
      <c r="K848" t="inlineStr">
        <is>
          <t>Major depressive disorder, single episode, unspecified</t>
        </is>
      </c>
      <c r="L848" t="inlineStr">
        <is>
          <t>Mental &amp; Behavioral</t>
        </is>
      </c>
      <c r="M848" t="inlineStr">
        <is>
          <t>Home/Self-Care</t>
        </is>
      </c>
      <c r="N848" t="inlineStr">
        <is>
          <t>Evergreen Mutual Insurance</t>
        </is>
      </c>
      <c r="O848" s="31" t="n">
        <v>30110.72</v>
      </c>
      <c r="P848" t="inlineStr">
        <is>
          <t>N</t>
        </is>
      </c>
    </row>
    <row r="849">
      <c r="A849" t="inlineStr">
        <is>
          <t>ENC114181</t>
        </is>
      </c>
      <c r="B849" t="inlineStr">
        <is>
          <t>PT10848</t>
        </is>
      </c>
      <c r="C849" t="inlineStr">
        <is>
          <t>Outpatient</t>
        </is>
      </c>
      <c r="D849" t="inlineStr">
        <is>
          <t>Bluestone Outpatient Pavilion</t>
        </is>
      </c>
      <c r="E849" t="inlineStr">
        <is>
          <t>Pediatric Clinic</t>
        </is>
      </c>
      <c r="F849" t="inlineStr">
        <is>
          <t>Women &amp; Children</t>
        </is>
      </c>
      <c r="G849" s="29" t="n">
        <v>45761</v>
      </c>
      <c r="H849" s="29" t="n">
        <v>45761</v>
      </c>
      <c r="I849" s="30" t="n"/>
      <c r="J849" t="inlineStr">
        <is>
          <t>G40.909</t>
        </is>
      </c>
      <c r="K849" t="inlineStr">
        <is>
          <t>Epilepsy, unspecified, not intractable, without status epilepticus</t>
        </is>
      </c>
      <c r="L849" t="inlineStr">
        <is>
          <t>Nervous System</t>
        </is>
      </c>
      <c r="M849" t="inlineStr">
        <is>
          <t>Home/Self-Care</t>
        </is>
      </c>
      <c r="N849" t="inlineStr">
        <is>
          <t>Keystone Health Partners</t>
        </is>
      </c>
      <c r="O849" s="31" t="n">
        <v>271.54</v>
      </c>
    </row>
    <row r="850">
      <c r="A850" t="inlineStr">
        <is>
          <t>ENC114182</t>
        </is>
      </c>
      <c r="B850" t="inlineStr">
        <is>
          <t>PT12092</t>
        </is>
      </c>
      <c r="C850" t="inlineStr">
        <is>
          <t>Outpatient</t>
        </is>
      </c>
      <c r="D850" t="inlineStr">
        <is>
          <t>Bluestone Outpatient Pavilion</t>
        </is>
      </c>
      <c r="E850" t="inlineStr">
        <is>
          <t>Primary Care Clinic</t>
        </is>
      </c>
      <c r="F850" t="inlineStr">
        <is>
          <t>Ambulatory</t>
        </is>
      </c>
      <c r="G850" s="29" t="n">
        <v>45761</v>
      </c>
      <c r="H850" s="29" t="n">
        <v>45761</v>
      </c>
      <c r="I850" s="30" t="n"/>
      <c r="J850" t="inlineStr">
        <is>
          <t>M54.50</t>
        </is>
      </c>
      <c r="K850" t="inlineStr">
        <is>
          <t>Low back pain, unspecified</t>
        </is>
      </c>
      <c r="L850" t="inlineStr">
        <is>
          <t>Musculoskeletal</t>
        </is>
      </c>
      <c r="M850" t="inlineStr">
        <is>
          <t>Home/Self-Care</t>
        </is>
      </c>
      <c r="N850" t="inlineStr">
        <is>
          <t>State Medicaid</t>
        </is>
      </c>
      <c r="O850" s="31" t="n">
        <v>368.87</v>
      </c>
    </row>
    <row r="851">
      <c r="A851" t="inlineStr">
        <is>
          <t>ENC114188</t>
        </is>
      </c>
      <c r="B851" t="inlineStr">
        <is>
          <t>PT10300</t>
        </is>
      </c>
      <c r="C851" t="inlineStr">
        <is>
          <t>Outpatient</t>
        </is>
      </c>
      <c r="D851" t="inlineStr">
        <is>
          <t>Bluestone Outpatient Pavilion</t>
        </is>
      </c>
      <c r="E851" t="inlineStr">
        <is>
          <t>Primary Care Clinic</t>
        </is>
      </c>
      <c r="F851" t="inlineStr">
        <is>
          <t>Ambulatory</t>
        </is>
      </c>
      <c r="G851" s="29" t="n">
        <v>45761</v>
      </c>
      <c r="H851" s="29" t="n">
        <v>45761</v>
      </c>
      <c r="I851" s="30" t="n"/>
      <c r="J851" t="inlineStr">
        <is>
          <t>G43.909</t>
        </is>
      </c>
      <c r="K851" t="inlineStr">
        <is>
          <t>Migraine, unspecified, not intractable, without status migrainosus</t>
        </is>
      </c>
      <c r="L851" t="inlineStr">
        <is>
          <t>Nervous System</t>
        </is>
      </c>
      <c r="M851" t="inlineStr">
        <is>
          <t>Home/Self-Care</t>
        </is>
      </c>
      <c r="N851" t="inlineStr">
        <is>
          <t>Summit Choice PPO</t>
        </is>
      </c>
      <c r="O851" s="31" t="n">
        <v>476.8</v>
      </c>
    </row>
    <row r="852">
      <c r="A852" t="inlineStr">
        <is>
          <t>ENC114190</t>
        </is>
      </c>
      <c r="B852" t="inlineStr">
        <is>
          <t>PT13196</t>
        </is>
      </c>
      <c r="C852" t="inlineStr">
        <is>
          <t>Emergency</t>
        </is>
      </c>
      <c r="D852" t="inlineStr">
        <is>
          <t>Bluestone Memorial Hospital</t>
        </is>
      </c>
      <c r="E852" t="inlineStr">
        <is>
          <t>Emergency Department</t>
        </is>
      </c>
      <c r="F852" t="inlineStr">
        <is>
          <t>Emergency</t>
        </is>
      </c>
      <c r="G852" s="29" t="n">
        <v>45761</v>
      </c>
      <c r="H852" s="29" t="n">
        <v>45761</v>
      </c>
      <c r="I852" s="30" t="n"/>
      <c r="J852" t="inlineStr">
        <is>
          <t>S93.401A</t>
        </is>
      </c>
      <c r="K852" t="inlineStr">
        <is>
          <t>Sprain of unspecified ligament of right ankle, initial encounter</t>
        </is>
      </c>
      <c r="L852" t="inlineStr">
        <is>
          <t>Injury</t>
        </is>
      </c>
      <c r="M852" t="inlineStr">
        <is>
          <t>Left Without Being Seen</t>
        </is>
      </c>
      <c r="N852" t="inlineStr">
        <is>
          <t>Silverline Medicare Advantage</t>
        </is>
      </c>
      <c r="O852" s="31" t="n">
        <v>750.36</v>
      </c>
    </row>
    <row r="853">
      <c r="A853" t="inlineStr">
        <is>
          <t>ENC114191</t>
        </is>
      </c>
      <c r="B853" t="inlineStr">
        <is>
          <t>PT11024</t>
        </is>
      </c>
      <c r="C853" t="inlineStr">
        <is>
          <t>Observation</t>
        </is>
      </c>
      <c r="D853" t="inlineStr">
        <is>
          <t>Bluestone Memorial Hospital</t>
        </is>
      </c>
      <c r="E853" t="inlineStr">
        <is>
          <t>Observation Unit</t>
        </is>
      </c>
      <c r="F853" t="inlineStr">
        <is>
          <t>Medicine</t>
        </is>
      </c>
      <c r="G853" s="29" t="n">
        <v>45761</v>
      </c>
      <c r="H853" s="29" t="n">
        <v>45762</v>
      </c>
      <c r="I853" s="30" t="n">
        <v>1</v>
      </c>
      <c r="J853" t="inlineStr">
        <is>
          <t>F10.239</t>
        </is>
      </c>
      <c r="K853" t="inlineStr">
        <is>
          <t>Alcohol dependence with withdrawal, unspecified</t>
        </is>
      </c>
      <c r="L853" t="inlineStr">
        <is>
          <t>Mental &amp; Behavioral</t>
        </is>
      </c>
      <c r="M853" t="inlineStr">
        <is>
          <t>Home/Self-Care</t>
        </is>
      </c>
      <c r="N853" t="inlineStr">
        <is>
          <t>Evergreen Mutual Insurance</t>
        </is>
      </c>
      <c r="O853" s="31" t="n">
        <v>9663.27</v>
      </c>
    </row>
    <row r="854">
      <c r="A854" t="inlineStr">
        <is>
          <t>ENC114192</t>
        </is>
      </c>
      <c r="B854" t="inlineStr">
        <is>
          <t>PT11428</t>
        </is>
      </c>
      <c r="C854" t="inlineStr">
        <is>
          <t>Outpatient</t>
        </is>
      </c>
      <c r="D854" t="inlineStr">
        <is>
          <t>Bluestone Outpatient Pavilion</t>
        </is>
      </c>
      <c r="E854" t="inlineStr">
        <is>
          <t>Orthopedic Clinic</t>
        </is>
      </c>
      <c r="F854" t="inlineStr">
        <is>
          <t>Orthopedics</t>
        </is>
      </c>
      <c r="G854" s="29" t="n">
        <v>45761</v>
      </c>
      <c r="H854" s="29" t="n">
        <v>45761</v>
      </c>
      <c r="I854" s="30" t="n"/>
      <c r="J854" t="inlineStr">
        <is>
          <t>S93.401A</t>
        </is>
      </c>
      <c r="K854" t="inlineStr">
        <is>
          <t>Sprain of unspecified ligament of right ankle, initial encounter</t>
        </is>
      </c>
      <c r="L854" t="inlineStr">
        <is>
          <t>Injury</t>
        </is>
      </c>
      <c r="M854" t="inlineStr">
        <is>
          <t>Home/Self-Care</t>
        </is>
      </c>
      <c r="N854" t="inlineStr">
        <is>
          <t>Medicare</t>
        </is>
      </c>
      <c r="O854" s="31" t="n">
        <v>630.75</v>
      </c>
    </row>
    <row r="855">
      <c r="A855" t="inlineStr">
        <is>
          <t>ENC114198</t>
        </is>
      </c>
      <c r="B855" t="inlineStr">
        <is>
          <t>PT11600</t>
        </is>
      </c>
      <c r="C855" t="inlineStr">
        <is>
          <t>Inpatient</t>
        </is>
      </c>
      <c r="D855" t="inlineStr">
        <is>
          <t>Bluestone Memorial Hospital</t>
        </is>
      </c>
      <c r="E855" t="inlineStr">
        <is>
          <t>Cardiac Step-Down</t>
        </is>
      </c>
      <c r="F855" t="inlineStr">
        <is>
          <t>Cardiovascular</t>
        </is>
      </c>
      <c r="G855" s="29" t="n">
        <v>45761</v>
      </c>
      <c r="H855" s="29" t="n">
        <v>45773</v>
      </c>
      <c r="I855" s="30" t="n">
        <v>12</v>
      </c>
      <c r="J855" t="inlineStr">
        <is>
          <t>I48.91</t>
        </is>
      </c>
      <c r="K855" t="inlineStr">
        <is>
          <t>Unspecified atrial fibrillation</t>
        </is>
      </c>
      <c r="L855" t="inlineStr">
        <is>
          <t>Circulatory</t>
        </is>
      </c>
      <c r="M855" t="inlineStr">
        <is>
          <t>Home/Self-Care</t>
        </is>
      </c>
      <c r="N855" t="inlineStr">
        <is>
          <t>State Medicaid</t>
        </is>
      </c>
      <c r="O855" s="31" t="n">
        <v>52501.93</v>
      </c>
      <c r="P855" t="inlineStr">
        <is>
          <t>Y</t>
        </is>
      </c>
    </row>
    <row r="856">
      <c r="A856" t="inlineStr">
        <is>
          <t>ENC114203</t>
        </is>
      </c>
      <c r="B856" t="inlineStr">
        <is>
          <t>PT11724</t>
        </is>
      </c>
      <c r="C856" t="inlineStr">
        <is>
          <t>Outpatient</t>
        </is>
      </c>
      <c r="D856" t="inlineStr">
        <is>
          <t>Bluestone Outpatient Pavilion</t>
        </is>
      </c>
      <c r="E856" t="inlineStr">
        <is>
          <t>Primary Care Clinic</t>
        </is>
      </c>
      <c r="F856" t="inlineStr">
        <is>
          <t>Ambulatory</t>
        </is>
      </c>
      <c r="G856" s="29" t="n">
        <v>45762</v>
      </c>
      <c r="H856" s="29" t="n">
        <v>45762</v>
      </c>
      <c r="I856" s="30" t="n"/>
      <c r="J856" t="inlineStr">
        <is>
          <t>F32.9</t>
        </is>
      </c>
      <c r="K856" t="inlineStr">
        <is>
          <t>Major depressive disorder, single episode, unspecified</t>
        </is>
      </c>
      <c r="L856" t="inlineStr">
        <is>
          <t>Mental &amp; Behavioral</t>
        </is>
      </c>
      <c r="M856" t="inlineStr">
        <is>
          <t>Home/Self-Care</t>
        </is>
      </c>
      <c r="N856" t="inlineStr">
        <is>
          <t>Medicare</t>
        </is>
      </c>
      <c r="O856" s="31" t="n">
        <v>227.95</v>
      </c>
    </row>
    <row r="857">
      <c r="A857" t="inlineStr">
        <is>
          <t>ENC114204</t>
        </is>
      </c>
      <c r="B857" t="inlineStr">
        <is>
          <t>PT13848</t>
        </is>
      </c>
      <c r="C857" t="inlineStr">
        <is>
          <t>Outpatient</t>
        </is>
      </c>
      <c r="D857" t="inlineStr">
        <is>
          <t>Bluestone Outpatient Pavilion</t>
        </is>
      </c>
      <c r="E857" t="inlineStr">
        <is>
          <t>Infusion &amp; Oncology Clinic</t>
        </is>
      </c>
      <c r="F857" t="inlineStr">
        <is>
          <t>Oncology</t>
        </is>
      </c>
      <c r="G857" s="29" t="n">
        <v>45762</v>
      </c>
      <c r="H857" s="29" t="n">
        <v>45762</v>
      </c>
      <c r="I857" s="30" t="n"/>
      <c r="J857" t="inlineStr">
        <is>
          <t>Z51.11</t>
        </is>
      </c>
      <c r="K857" t="inlineStr">
        <is>
          <t>Encounter for antineoplastic chemotherapy</t>
        </is>
      </c>
      <c r="L857" t="inlineStr">
        <is>
          <t>Factors Influencing Health</t>
        </is>
      </c>
      <c r="M857" t="inlineStr">
        <is>
          <t>Home/Self-Care</t>
        </is>
      </c>
      <c r="N857" t="inlineStr">
        <is>
          <t>Medicare</t>
        </is>
      </c>
      <c r="O857" s="31" t="n">
        <v>8332.889999999999</v>
      </c>
    </row>
    <row r="858">
      <c r="A858" t="inlineStr">
        <is>
          <t>ENC114207</t>
        </is>
      </c>
      <c r="B858" t="inlineStr">
        <is>
          <t>PT13548</t>
        </is>
      </c>
      <c r="C858" t="inlineStr">
        <is>
          <t>Outpatient</t>
        </is>
      </c>
      <c r="D858" t="inlineStr">
        <is>
          <t>Bluestone Outpatient Pavilion</t>
        </is>
      </c>
      <c r="E858" t="inlineStr">
        <is>
          <t>Endocrinology &amp; Diabetes Clinic</t>
        </is>
      </c>
      <c r="F858" t="inlineStr">
        <is>
          <t>Ambulatory</t>
        </is>
      </c>
      <c r="G858" s="29" t="n">
        <v>45762</v>
      </c>
      <c r="H858" s="29" t="n">
        <v>45762</v>
      </c>
      <c r="I858" s="30" t="n"/>
      <c r="J858" t="inlineStr">
        <is>
          <t>E11.65</t>
        </is>
      </c>
      <c r="K858" t="inlineStr">
        <is>
          <t>Type 2 diabetes mellitus with hyperglycemia</t>
        </is>
      </c>
      <c r="L858" t="inlineStr">
        <is>
          <t>Endocrine</t>
        </is>
      </c>
      <c r="M858" t="inlineStr">
        <is>
          <t>Home/Self-Care</t>
        </is>
      </c>
      <c r="N858" t="inlineStr">
        <is>
          <t>Silverline Medicare Advantage</t>
        </is>
      </c>
      <c r="O858" s="31" t="n">
        <v>262.88</v>
      </c>
    </row>
    <row r="859">
      <c r="A859" t="inlineStr">
        <is>
          <t>ENC114208</t>
        </is>
      </c>
      <c r="B859" t="inlineStr">
        <is>
          <t>PT11736</t>
        </is>
      </c>
      <c r="C859" t="inlineStr">
        <is>
          <t>Outpatient</t>
        </is>
      </c>
      <c r="D859" t="inlineStr">
        <is>
          <t>Bluestone Outpatient Pavilion</t>
        </is>
      </c>
      <c r="E859" t="inlineStr">
        <is>
          <t>Endocrinology &amp; Diabetes Clinic</t>
        </is>
      </c>
      <c r="F859" t="inlineStr">
        <is>
          <t>Ambulatory</t>
        </is>
      </c>
      <c r="G859" s="29" t="n">
        <v>45762</v>
      </c>
      <c r="H859" s="29" t="n">
        <v>45762</v>
      </c>
      <c r="I859" s="30" t="n"/>
      <c r="J859" t="inlineStr">
        <is>
          <t>E11.9</t>
        </is>
      </c>
      <c r="K859" t="inlineStr">
        <is>
          <t>Type 2 diabetes mellitus without complications</t>
        </is>
      </c>
      <c r="L859" t="inlineStr">
        <is>
          <t>Endocrine</t>
        </is>
      </c>
      <c r="M859" t="inlineStr">
        <is>
          <t>Home/Self-Care</t>
        </is>
      </c>
      <c r="N859" t="inlineStr">
        <is>
          <t>Keystone Health Partners</t>
        </is>
      </c>
      <c r="O859" s="31" t="n">
        <v>422.31</v>
      </c>
    </row>
    <row r="860">
      <c r="A860" t="inlineStr">
        <is>
          <t>ENC114209</t>
        </is>
      </c>
      <c r="B860" t="inlineStr">
        <is>
          <t>PT12108</t>
        </is>
      </c>
      <c r="C860" t="inlineStr">
        <is>
          <t>Inpatient</t>
        </is>
      </c>
      <c r="D860" t="inlineStr">
        <is>
          <t>Bluestone Memorial Hospital</t>
        </is>
      </c>
      <c r="E860" t="inlineStr">
        <is>
          <t>Neuroscience &amp; Stroke</t>
        </is>
      </c>
      <c r="F860" t="inlineStr">
        <is>
          <t>Neuroscience</t>
        </is>
      </c>
      <c r="G860" s="29" t="n">
        <v>45762</v>
      </c>
      <c r="H860" s="29" t="n">
        <v>45763</v>
      </c>
      <c r="I860" s="30" t="n">
        <v>1</v>
      </c>
      <c r="J860" t="inlineStr">
        <is>
          <t>I63.9</t>
        </is>
      </c>
      <c r="K860" t="inlineStr">
        <is>
          <t>Cerebral infarction, unspecified</t>
        </is>
      </c>
      <c r="L860" t="inlineStr">
        <is>
          <t>Circulatory</t>
        </is>
      </c>
      <c r="M860" t="inlineStr">
        <is>
          <t>Home/Self-Care</t>
        </is>
      </c>
      <c r="N860" t="inlineStr">
        <is>
          <t>Keystone Health Partners</t>
        </is>
      </c>
      <c r="O860" s="31" t="n">
        <v>13696.38</v>
      </c>
      <c r="P860" t="inlineStr">
        <is>
          <t>N</t>
        </is>
      </c>
    </row>
    <row r="861">
      <c r="A861" t="inlineStr">
        <is>
          <t>ENC114210</t>
        </is>
      </c>
      <c r="B861" t="inlineStr">
        <is>
          <t>PT12276</t>
        </is>
      </c>
      <c r="C861" t="inlineStr">
        <is>
          <t>Outpatient</t>
        </is>
      </c>
      <c r="D861" t="inlineStr">
        <is>
          <t>Bluestone Outpatient Pavilion</t>
        </is>
      </c>
      <c r="E861" t="inlineStr">
        <is>
          <t>Primary Care Clinic</t>
        </is>
      </c>
      <c r="F861" t="inlineStr">
        <is>
          <t>Ambulatory</t>
        </is>
      </c>
      <c r="G861" s="29" t="n">
        <v>45762</v>
      </c>
      <c r="H861" s="29" t="n">
        <v>45762</v>
      </c>
      <c r="I861" s="30" t="n"/>
      <c r="J861" t="inlineStr">
        <is>
          <t>Z23</t>
        </is>
      </c>
      <c r="K861" t="inlineStr">
        <is>
          <t>Encounter for immunization</t>
        </is>
      </c>
      <c r="L861" t="inlineStr">
        <is>
          <t>Factors Influencing Health</t>
        </is>
      </c>
      <c r="M861" t="inlineStr">
        <is>
          <t>Home/Self-Care</t>
        </is>
      </c>
      <c r="N861" t="inlineStr">
        <is>
          <t>State Medicaid</t>
        </is>
      </c>
      <c r="O861" s="31" t="n">
        <v>106.99</v>
      </c>
    </row>
    <row r="862">
      <c r="A862" t="inlineStr">
        <is>
          <t>ENC114212</t>
        </is>
      </c>
      <c r="B862" t="inlineStr">
        <is>
          <t>PT11224</t>
        </is>
      </c>
      <c r="C862" t="inlineStr">
        <is>
          <t>Outpatient</t>
        </is>
      </c>
      <c r="D862" t="inlineStr">
        <is>
          <t>Bluestone Outpatient Pavilion</t>
        </is>
      </c>
      <c r="E862" t="inlineStr">
        <is>
          <t>Primary Care Clinic</t>
        </is>
      </c>
      <c r="F862" t="inlineStr">
        <is>
          <t>Ambulatory</t>
        </is>
      </c>
      <c r="G862" s="29" t="n">
        <v>45762</v>
      </c>
      <c r="H862" s="29" t="n">
        <v>45762</v>
      </c>
      <c r="I862" s="30" t="n"/>
      <c r="J862" t="inlineStr">
        <is>
          <t>Z23</t>
        </is>
      </c>
      <c r="K862" t="inlineStr">
        <is>
          <t>Encounter for immunization</t>
        </is>
      </c>
      <c r="L862" t="inlineStr">
        <is>
          <t>Factors Influencing Health</t>
        </is>
      </c>
      <c r="M862" t="inlineStr">
        <is>
          <t>Home/Self-Care</t>
        </is>
      </c>
      <c r="N862" t="inlineStr">
        <is>
          <t>Medicare</t>
        </is>
      </c>
      <c r="O862" s="31" t="n">
        <v>108.4</v>
      </c>
    </row>
    <row r="863">
      <c r="A863" t="inlineStr">
        <is>
          <t>ENC114218</t>
        </is>
      </c>
      <c r="B863" t="inlineStr">
        <is>
          <t>PT13036</t>
        </is>
      </c>
      <c r="C863" t="inlineStr">
        <is>
          <t>Outpatient</t>
        </is>
      </c>
      <c r="D863" t="inlineStr">
        <is>
          <t>Bluestone Outpatient Pavilion</t>
        </is>
      </c>
      <c r="E863" t="inlineStr">
        <is>
          <t>Primary Care Clinic</t>
        </is>
      </c>
      <c r="F863" t="inlineStr">
        <is>
          <t>Ambulatory</t>
        </is>
      </c>
      <c r="G863" s="29" t="n">
        <v>45762</v>
      </c>
      <c r="H863" s="29" t="n">
        <v>45762</v>
      </c>
      <c r="I863" s="30" t="n"/>
      <c r="J863" t="inlineStr">
        <is>
          <t>F41.9</t>
        </is>
      </c>
      <c r="K863" t="inlineStr">
        <is>
          <t>Anxiety disorder, unspecified</t>
        </is>
      </c>
      <c r="L863" t="inlineStr">
        <is>
          <t>Mental &amp; Behavioral</t>
        </is>
      </c>
      <c r="M863" t="inlineStr">
        <is>
          <t>Home/Self-Care</t>
        </is>
      </c>
      <c r="N863" t="inlineStr">
        <is>
          <t>Keystone Health Partners</t>
        </is>
      </c>
      <c r="O863" s="31" t="n">
        <v>346.5</v>
      </c>
    </row>
    <row r="864">
      <c r="A864" t="inlineStr">
        <is>
          <t>ENC114223</t>
        </is>
      </c>
      <c r="B864" t="inlineStr">
        <is>
          <t>PT11984</t>
        </is>
      </c>
      <c r="C864" t="inlineStr">
        <is>
          <t>Inpatient</t>
        </is>
      </c>
      <c r="D864" t="inlineStr">
        <is>
          <t>Bluestone Memorial Hospital</t>
        </is>
      </c>
      <c r="E864" t="inlineStr">
        <is>
          <t>Medical-Surgical 5 East</t>
        </is>
      </c>
      <c r="F864" t="inlineStr">
        <is>
          <t>Medicine</t>
        </is>
      </c>
      <c r="G864" s="29" t="n">
        <v>45762</v>
      </c>
      <c r="H864" s="29" t="n">
        <v>45766</v>
      </c>
      <c r="I864" s="30" t="n">
        <v>4</v>
      </c>
      <c r="J864" t="inlineStr">
        <is>
          <t>E86.0</t>
        </is>
      </c>
      <c r="K864" t="inlineStr">
        <is>
          <t>Dehydration</t>
        </is>
      </c>
      <c r="L864" t="inlineStr">
        <is>
          <t>Endocrine</t>
        </is>
      </c>
      <c r="M864" t="inlineStr">
        <is>
          <t>Home/Self-Care</t>
        </is>
      </c>
      <c r="N864" t="inlineStr">
        <is>
          <t>Keystone Health Partners</t>
        </is>
      </c>
      <c r="O864" s="31" t="n">
        <v>21955.7</v>
      </c>
      <c r="P864" t="inlineStr">
        <is>
          <t>N</t>
        </is>
      </c>
    </row>
    <row r="865">
      <c r="A865" t="inlineStr">
        <is>
          <t>ENC114224</t>
        </is>
      </c>
      <c r="B865" t="inlineStr">
        <is>
          <t>PT10500</t>
        </is>
      </c>
      <c r="C865" t="inlineStr">
        <is>
          <t>Emergency</t>
        </is>
      </c>
      <c r="D865" t="inlineStr">
        <is>
          <t>Ashby Falls Community Hospital</t>
        </is>
      </c>
      <c r="E865" t="inlineStr">
        <is>
          <t>Emergency Department</t>
        </is>
      </c>
      <c r="F865" t="inlineStr">
        <is>
          <t>Emergency</t>
        </is>
      </c>
      <c r="G865" s="29" t="n">
        <v>45762</v>
      </c>
      <c r="H865" s="29" t="n">
        <v>45762</v>
      </c>
      <c r="I865" s="30" t="n"/>
      <c r="J865" t="inlineStr">
        <is>
          <t>J06.9</t>
        </is>
      </c>
      <c r="K865" t="inlineStr">
        <is>
          <t>Acute upper respiratory infection, unspecified</t>
        </is>
      </c>
      <c r="L865" t="inlineStr">
        <is>
          <t>Respiratory</t>
        </is>
      </c>
      <c r="M865" t="inlineStr">
        <is>
          <t>Home/Self-Care</t>
        </is>
      </c>
      <c r="N865" t="inlineStr">
        <is>
          <t>Evergreen Mutual Insurance</t>
        </is>
      </c>
      <c r="O865" s="31" t="n">
        <v>1198.12</v>
      </c>
    </row>
    <row r="866">
      <c r="A866" t="inlineStr">
        <is>
          <t>ENC114230</t>
        </is>
      </c>
      <c r="B866" t="inlineStr">
        <is>
          <t>PT10452</t>
        </is>
      </c>
      <c r="C866" t="inlineStr">
        <is>
          <t>Emergency</t>
        </is>
      </c>
      <c r="D866" t="inlineStr">
        <is>
          <t>Bluestone Memorial Hospital</t>
        </is>
      </c>
      <c r="E866" t="inlineStr">
        <is>
          <t>Emergency Department</t>
        </is>
      </c>
      <c r="F866" t="inlineStr">
        <is>
          <t>Emergency</t>
        </is>
      </c>
      <c r="G866" s="29" t="n">
        <v>45763</v>
      </c>
      <c r="H866" s="29" t="n">
        <v>45763</v>
      </c>
      <c r="I866" s="30" t="n"/>
      <c r="J866" t="inlineStr">
        <is>
          <t>U07.1</t>
        </is>
      </c>
      <c r="K866" t="inlineStr">
        <is>
          <t>COVID-19</t>
        </is>
      </c>
      <c r="L866" t="inlineStr">
        <is>
          <t>Respiratory</t>
        </is>
      </c>
      <c r="M866" t="inlineStr">
        <is>
          <t>Home/Self-Care</t>
        </is>
      </c>
      <c r="N866" t="inlineStr">
        <is>
          <t>Medicare</t>
        </is>
      </c>
      <c r="O866" s="31" t="n">
        <v>996.23</v>
      </c>
    </row>
    <row r="867">
      <c r="A867" t="inlineStr">
        <is>
          <t>ENC114231</t>
        </is>
      </c>
      <c r="B867" t="inlineStr">
        <is>
          <t>PT11992</t>
        </is>
      </c>
      <c r="C867" t="inlineStr">
        <is>
          <t>Outpatient</t>
        </is>
      </c>
      <c r="D867" t="inlineStr">
        <is>
          <t>Bluestone Outpatient Pavilion</t>
        </is>
      </c>
      <c r="E867" t="inlineStr">
        <is>
          <t>Orthopedic Clinic</t>
        </is>
      </c>
      <c r="F867" t="inlineStr">
        <is>
          <t>Orthopedics</t>
        </is>
      </c>
      <c r="G867" s="29" t="n">
        <v>45763</v>
      </c>
      <c r="H867" s="29" t="n">
        <v>45763</v>
      </c>
      <c r="I867" s="30" t="n"/>
      <c r="J867" t="inlineStr">
        <is>
          <t>M17.11</t>
        </is>
      </c>
      <c r="K867" t="inlineStr">
        <is>
          <t>Unilateral primary osteoarthritis, right knee</t>
        </is>
      </c>
      <c r="L867" t="inlineStr">
        <is>
          <t>Musculoskeletal</t>
        </is>
      </c>
      <c r="M867" t="inlineStr">
        <is>
          <t>Home/Self-Care</t>
        </is>
      </c>
      <c r="N867" t="inlineStr">
        <is>
          <t>Self-Pay</t>
        </is>
      </c>
      <c r="O867" s="31" t="n">
        <v>713.4299999999999</v>
      </c>
    </row>
    <row r="868">
      <c r="A868" t="inlineStr">
        <is>
          <t>ENC114238</t>
        </is>
      </c>
      <c r="B868" t="inlineStr">
        <is>
          <t>PT10868</t>
        </is>
      </c>
      <c r="C868" t="inlineStr">
        <is>
          <t>Inpatient</t>
        </is>
      </c>
      <c r="D868" t="inlineStr">
        <is>
          <t>Ashby Falls Community Hospital</t>
        </is>
      </c>
      <c r="E868" t="inlineStr">
        <is>
          <t>Medical-Surgical</t>
        </is>
      </c>
      <c r="F868" t="inlineStr">
        <is>
          <t>Medicine</t>
        </is>
      </c>
      <c r="G868" s="29" t="n">
        <v>45763</v>
      </c>
      <c r="H868" s="29" t="n">
        <v>45765</v>
      </c>
      <c r="I868" s="30" t="n">
        <v>2</v>
      </c>
      <c r="J868" t="inlineStr">
        <is>
          <t>J18.9</t>
        </is>
      </c>
      <c r="K868" t="inlineStr">
        <is>
          <t>Pneumonia, unspecified organism</t>
        </is>
      </c>
      <c r="L868" t="inlineStr">
        <is>
          <t>Respiratory</t>
        </is>
      </c>
      <c r="M868" t="inlineStr">
        <is>
          <t>Skilled Nursing Facility</t>
        </is>
      </c>
      <c r="N868" t="inlineStr">
        <is>
          <t>Keystone Health Partners</t>
        </is>
      </c>
      <c r="O868" s="31" t="n">
        <v>13757.04</v>
      </c>
      <c r="P868" t="inlineStr">
        <is>
          <t>N</t>
        </is>
      </c>
    </row>
    <row r="869">
      <c r="A869" t="inlineStr">
        <is>
          <t>ENC114247</t>
        </is>
      </c>
      <c r="B869" t="inlineStr">
        <is>
          <t>PT10860</t>
        </is>
      </c>
      <c r="C869" t="inlineStr">
        <is>
          <t>Outpatient</t>
        </is>
      </c>
      <c r="D869" t="inlineStr">
        <is>
          <t>Bluestone Outpatient Pavilion</t>
        </is>
      </c>
      <c r="E869" t="inlineStr">
        <is>
          <t>Primary Care Clinic</t>
        </is>
      </c>
      <c r="F869" t="inlineStr">
        <is>
          <t>Ambulatory</t>
        </is>
      </c>
      <c r="G869" s="29" t="n">
        <v>45763</v>
      </c>
      <c r="H869" s="29" t="n">
        <v>45763</v>
      </c>
      <c r="I869" s="30" t="n"/>
      <c r="J869" t="inlineStr">
        <is>
          <t>Z23</t>
        </is>
      </c>
      <c r="K869" t="inlineStr">
        <is>
          <t>Encounter for immunization</t>
        </is>
      </c>
      <c r="L869" t="inlineStr">
        <is>
          <t>Factors Influencing Health</t>
        </is>
      </c>
      <c r="M869" t="inlineStr">
        <is>
          <t>Home/Self-Care</t>
        </is>
      </c>
      <c r="N869" t="inlineStr">
        <is>
          <t>Silverline Medicare Advantage</t>
        </is>
      </c>
      <c r="O869" s="31" t="n">
        <v>142.41</v>
      </c>
    </row>
    <row r="870">
      <c r="A870" t="inlineStr">
        <is>
          <t>ENC114248</t>
        </is>
      </c>
      <c r="B870" t="inlineStr">
        <is>
          <t>PT11840</t>
        </is>
      </c>
      <c r="C870" t="inlineStr">
        <is>
          <t>Emergency</t>
        </is>
      </c>
      <c r="D870" t="inlineStr">
        <is>
          <t>Bluestone Memorial Hospital</t>
        </is>
      </c>
      <c r="E870" t="inlineStr">
        <is>
          <t>Emergency Department</t>
        </is>
      </c>
      <c r="F870" t="inlineStr">
        <is>
          <t>Emergency</t>
        </is>
      </c>
      <c r="G870" s="29" t="n">
        <v>45763</v>
      </c>
      <c r="H870" s="29" t="n">
        <v>45763</v>
      </c>
      <c r="I870" s="30" t="n"/>
      <c r="J870" t="inlineStr">
        <is>
          <t>S93.401A</t>
        </is>
      </c>
      <c r="K870" t="inlineStr">
        <is>
          <t>Sprain of unspecified ligament of right ankle, initial encounter</t>
        </is>
      </c>
      <c r="L870" t="inlineStr">
        <is>
          <t>Injury</t>
        </is>
      </c>
      <c r="M870" t="inlineStr">
        <is>
          <t>Home/Self-Care</t>
        </is>
      </c>
      <c r="N870" t="inlineStr">
        <is>
          <t>Silverline Medicare Advantage</t>
        </is>
      </c>
      <c r="O870" s="31" t="n">
        <v>630.53</v>
      </c>
    </row>
    <row r="871">
      <c r="A871" t="inlineStr">
        <is>
          <t>ENC114251</t>
        </is>
      </c>
      <c r="B871" t="inlineStr">
        <is>
          <t>PT10452</t>
        </is>
      </c>
      <c r="C871" t="inlineStr">
        <is>
          <t>Outpatient</t>
        </is>
      </c>
      <c r="D871" t="inlineStr">
        <is>
          <t>Bluestone Outpatient Pavilion</t>
        </is>
      </c>
      <c r="E871" t="inlineStr">
        <is>
          <t>Endocrinology &amp; Diabetes Clinic</t>
        </is>
      </c>
      <c r="F871" t="inlineStr">
        <is>
          <t>Ambulatory</t>
        </is>
      </c>
      <c r="G871" s="29" t="n">
        <v>45763</v>
      </c>
      <c r="H871" s="29" t="n">
        <v>45763</v>
      </c>
      <c r="I871" s="30" t="n"/>
      <c r="J871" t="inlineStr">
        <is>
          <t>E11.65</t>
        </is>
      </c>
      <c r="K871" t="inlineStr">
        <is>
          <t>Type 2 diabetes mellitus with hyperglycemia</t>
        </is>
      </c>
      <c r="L871" t="inlineStr">
        <is>
          <t>Endocrine</t>
        </is>
      </c>
      <c r="M871" t="inlineStr">
        <is>
          <t>Home/Self-Care</t>
        </is>
      </c>
      <c r="N871" t="inlineStr">
        <is>
          <t>Medicare</t>
        </is>
      </c>
      <c r="O871" s="31" t="n">
        <v>250.78</v>
      </c>
    </row>
    <row r="872">
      <c r="A872" t="inlineStr">
        <is>
          <t>ENC114254</t>
        </is>
      </c>
      <c r="B872" t="inlineStr">
        <is>
          <t>PT12040</t>
        </is>
      </c>
      <c r="C872" t="inlineStr">
        <is>
          <t>Outpatient</t>
        </is>
      </c>
      <c r="D872" t="inlineStr">
        <is>
          <t>Bluestone Outpatient Pavilion</t>
        </is>
      </c>
      <c r="E872" t="inlineStr">
        <is>
          <t>Primary Care Clinic</t>
        </is>
      </c>
      <c r="F872" t="inlineStr">
        <is>
          <t>Ambulatory</t>
        </is>
      </c>
      <c r="G872" s="29" t="n">
        <v>45763</v>
      </c>
      <c r="H872" s="29" t="n">
        <v>45763</v>
      </c>
      <c r="I872" s="30" t="n"/>
      <c r="J872" t="inlineStr">
        <is>
          <t>N39.0</t>
        </is>
      </c>
      <c r="K872" t="inlineStr">
        <is>
          <t>Urinary tract infection, site not specified</t>
        </is>
      </c>
      <c r="L872" t="inlineStr">
        <is>
          <t>Genitourinary</t>
        </is>
      </c>
      <c r="M872" t="inlineStr">
        <is>
          <t>Home/Self-Care</t>
        </is>
      </c>
      <c r="N872" t="inlineStr">
        <is>
          <t>Medicare</t>
        </is>
      </c>
      <c r="O872" s="31" t="n">
        <v>255.48</v>
      </c>
    </row>
    <row r="873">
      <c r="A873" t="inlineStr">
        <is>
          <t>ENC114259</t>
        </is>
      </c>
      <c r="B873" t="inlineStr">
        <is>
          <t>PT13920</t>
        </is>
      </c>
      <c r="C873" t="inlineStr">
        <is>
          <t>Inpatient</t>
        </is>
      </c>
      <c r="D873" t="inlineStr">
        <is>
          <t>Bluestone Memorial Hospital</t>
        </is>
      </c>
      <c r="E873" t="inlineStr">
        <is>
          <t>Cardiac Step-Down</t>
        </is>
      </c>
      <c r="F873" t="inlineStr">
        <is>
          <t>Cardiovascular</t>
        </is>
      </c>
      <c r="G873" s="29" t="n">
        <v>45763</v>
      </c>
      <c r="H873" s="29" t="n">
        <v>45765</v>
      </c>
      <c r="I873" s="30" t="n">
        <v>2</v>
      </c>
      <c r="J873" t="inlineStr">
        <is>
          <t>I50.9</t>
        </is>
      </c>
      <c r="K873" t="inlineStr">
        <is>
          <t>Heart failure, unspecified</t>
        </is>
      </c>
      <c r="L873" t="inlineStr">
        <is>
          <t>Circulatory</t>
        </is>
      </c>
      <c r="M873" t="inlineStr">
        <is>
          <t>Home/Self-Care</t>
        </is>
      </c>
      <c r="N873" t="inlineStr">
        <is>
          <t>Medicare</t>
        </is>
      </c>
      <c r="O873" s="31" t="n">
        <v>13900.62</v>
      </c>
      <c r="P873" t="inlineStr">
        <is>
          <t>N</t>
        </is>
      </c>
    </row>
    <row r="874">
      <c r="A874" t="inlineStr">
        <is>
          <t>ENC114265</t>
        </is>
      </c>
      <c r="B874" t="inlineStr">
        <is>
          <t>PT12436</t>
        </is>
      </c>
      <c r="C874" t="inlineStr">
        <is>
          <t>Emergency</t>
        </is>
      </c>
      <c r="D874" t="inlineStr">
        <is>
          <t>Bluestone Memorial Hospital</t>
        </is>
      </c>
      <c r="E874" t="inlineStr">
        <is>
          <t>Emergency Department</t>
        </is>
      </c>
      <c r="F874" t="inlineStr">
        <is>
          <t>Emergency</t>
        </is>
      </c>
      <c r="G874" s="29" t="n">
        <v>45764</v>
      </c>
      <c r="H874" s="29" t="n">
        <v>45764</v>
      </c>
      <c r="I874" s="30" t="n"/>
      <c r="J874" t="inlineStr">
        <is>
          <t>R10.9</t>
        </is>
      </c>
      <c r="K874" t="inlineStr">
        <is>
          <t>Unspecified abdominal pain</t>
        </is>
      </c>
      <c r="L874" t="inlineStr">
        <is>
          <t>Symptoms &amp; Signs</t>
        </is>
      </c>
      <c r="M874" t="inlineStr">
        <is>
          <t>Home/Self-Care</t>
        </is>
      </c>
      <c r="N874" t="inlineStr">
        <is>
          <t>Medicare</t>
        </is>
      </c>
      <c r="O874" s="31" t="n">
        <v>1710.21</v>
      </c>
    </row>
    <row r="875">
      <c r="A875" t="inlineStr">
        <is>
          <t>ENC114267</t>
        </is>
      </c>
      <c r="B875" t="inlineStr">
        <is>
          <t>PT11224</t>
        </is>
      </c>
      <c r="C875" t="inlineStr">
        <is>
          <t>Emergency</t>
        </is>
      </c>
      <c r="D875" t="inlineStr">
        <is>
          <t>Cedar Ridge Medical Center</t>
        </is>
      </c>
      <c r="E875" t="inlineStr">
        <is>
          <t>Emergency Department</t>
        </is>
      </c>
      <c r="F875" t="inlineStr">
        <is>
          <t>Emergency</t>
        </is>
      </c>
      <c r="G875" s="29" t="n">
        <v>45764</v>
      </c>
      <c r="H875" s="29" t="n">
        <v>45764</v>
      </c>
      <c r="I875" s="30" t="n"/>
      <c r="J875" t="inlineStr">
        <is>
          <t>R07.9</t>
        </is>
      </c>
      <c r="K875" t="inlineStr">
        <is>
          <t>Chest pain, unspecified</t>
        </is>
      </c>
      <c r="L875" t="inlineStr">
        <is>
          <t>Symptoms &amp; Signs</t>
        </is>
      </c>
      <c r="M875" t="inlineStr">
        <is>
          <t>Home/Self-Care</t>
        </is>
      </c>
      <c r="N875" t="inlineStr">
        <is>
          <t>Medicare</t>
        </is>
      </c>
      <c r="O875" s="31" t="n">
        <v>2506.03</v>
      </c>
    </row>
    <row r="876">
      <c r="A876" t="inlineStr">
        <is>
          <t>ENC114275</t>
        </is>
      </c>
      <c r="B876" t="inlineStr">
        <is>
          <t>PT10776</t>
        </is>
      </c>
      <c r="C876" t="inlineStr">
        <is>
          <t>Outpatient</t>
        </is>
      </c>
      <c r="D876" t="inlineStr">
        <is>
          <t>Bluestone Outpatient Pavilion</t>
        </is>
      </c>
      <c r="E876" t="inlineStr">
        <is>
          <t>Infusion &amp; Oncology Clinic</t>
        </is>
      </c>
      <c r="F876" t="inlineStr">
        <is>
          <t>Oncology</t>
        </is>
      </c>
      <c r="G876" s="29" t="n">
        <v>45764</v>
      </c>
      <c r="H876" s="29" t="n">
        <v>45764</v>
      </c>
      <c r="I876" s="30" t="n"/>
      <c r="J876" t="inlineStr">
        <is>
          <t>Z51.11</t>
        </is>
      </c>
      <c r="K876" t="inlineStr">
        <is>
          <t>Encounter for antineoplastic chemotherapy</t>
        </is>
      </c>
      <c r="L876" t="inlineStr">
        <is>
          <t>Factors Influencing Health</t>
        </is>
      </c>
      <c r="M876" t="inlineStr">
        <is>
          <t>Home/Self-Care</t>
        </is>
      </c>
      <c r="N876" t="inlineStr">
        <is>
          <t>State Medicaid</t>
        </is>
      </c>
      <c r="O876" s="31" t="n">
        <v>6115.47</v>
      </c>
    </row>
    <row r="877">
      <c r="A877" t="inlineStr">
        <is>
          <t>ENC114279</t>
        </is>
      </c>
      <c r="B877" t="inlineStr">
        <is>
          <t>PT11148</t>
        </is>
      </c>
      <c r="C877" t="inlineStr">
        <is>
          <t>Outpatient</t>
        </is>
      </c>
      <c r="D877" t="inlineStr">
        <is>
          <t>Bluestone Outpatient Pavilion</t>
        </is>
      </c>
      <c r="E877" t="inlineStr">
        <is>
          <t>Pediatric Clinic</t>
        </is>
      </c>
      <c r="F877" t="inlineStr">
        <is>
          <t>Women &amp; Children</t>
        </is>
      </c>
      <c r="G877" s="29" t="n">
        <v>45764</v>
      </c>
      <c r="H877" s="29" t="n">
        <v>45764</v>
      </c>
      <c r="I877" s="30" t="n"/>
      <c r="J877" t="inlineStr">
        <is>
          <t>J06.9</t>
        </is>
      </c>
      <c r="K877" t="inlineStr">
        <is>
          <t>Acute upper respiratory infection, unspecified</t>
        </is>
      </c>
      <c r="L877" t="inlineStr">
        <is>
          <t>Respiratory</t>
        </is>
      </c>
      <c r="M877" t="inlineStr">
        <is>
          <t>Home/Self-Care</t>
        </is>
      </c>
      <c r="N877" t="inlineStr">
        <is>
          <t>Evergreen Mutual Insurance</t>
        </is>
      </c>
      <c r="O877" s="31" t="n">
        <v>263.65</v>
      </c>
    </row>
    <row r="878">
      <c r="A878" t="inlineStr">
        <is>
          <t>ENC114281</t>
        </is>
      </c>
      <c r="B878" t="inlineStr">
        <is>
          <t>PT10476</t>
        </is>
      </c>
      <c r="C878" t="inlineStr">
        <is>
          <t>Outpatient</t>
        </is>
      </c>
      <c r="D878" t="inlineStr">
        <is>
          <t>Bluestone Outpatient Pavilion</t>
        </is>
      </c>
      <c r="E878" t="inlineStr">
        <is>
          <t>Infusion &amp; Oncology Clinic</t>
        </is>
      </c>
      <c r="F878" t="inlineStr">
        <is>
          <t>Oncology</t>
        </is>
      </c>
      <c r="G878" s="29" t="n">
        <v>45764</v>
      </c>
      <c r="H878" s="29" t="n">
        <v>45764</v>
      </c>
      <c r="I878" s="30" t="n"/>
      <c r="J878" t="inlineStr">
        <is>
          <t>C50.911</t>
        </is>
      </c>
      <c r="K878" t="inlineStr">
        <is>
          <t>Malignant neoplasm of unspecified site of right female breast</t>
        </is>
      </c>
      <c r="L878" t="inlineStr">
        <is>
          <t>Neoplasms</t>
        </is>
      </c>
      <c r="M878" t="inlineStr">
        <is>
          <t>Home/Self-Care</t>
        </is>
      </c>
      <c r="N878" t="inlineStr">
        <is>
          <t>State Medicaid</t>
        </is>
      </c>
      <c r="O878" s="31" t="n">
        <v>695.76</v>
      </c>
    </row>
    <row r="879">
      <c r="A879" t="inlineStr">
        <is>
          <t>ENC114284</t>
        </is>
      </c>
      <c r="B879" t="inlineStr">
        <is>
          <t>PT12276</t>
        </is>
      </c>
      <c r="C879" t="inlineStr">
        <is>
          <t>Outpatient</t>
        </is>
      </c>
      <c r="D879" t="inlineStr">
        <is>
          <t>Bluestone Outpatient Pavilion</t>
        </is>
      </c>
      <c r="E879" t="inlineStr">
        <is>
          <t>Infusion &amp; Oncology Clinic</t>
        </is>
      </c>
      <c r="F879" t="inlineStr">
        <is>
          <t>Oncology</t>
        </is>
      </c>
      <c r="G879" s="29" t="n">
        <v>45764</v>
      </c>
      <c r="H879" s="29" t="n">
        <v>45764</v>
      </c>
      <c r="I879" s="30" t="n"/>
      <c r="J879" t="inlineStr">
        <is>
          <t>C34.90</t>
        </is>
      </c>
      <c r="K879" t="inlineStr">
        <is>
          <t>Malignant neoplasm of unspecified part of unspecified bronchus or lung</t>
        </is>
      </c>
      <c r="L879" t="inlineStr">
        <is>
          <t>Neoplasms</t>
        </is>
      </c>
      <c r="M879" t="inlineStr">
        <is>
          <t>Home/Self-Care</t>
        </is>
      </c>
      <c r="N879" t="inlineStr">
        <is>
          <t>State Medicaid</t>
        </is>
      </c>
      <c r="O879" s="31" t="n">
        <v>751.23</v>
      </c>
    </row>
    <row r="880">
      <c r="A880" t="inlineStr">
        <is>
          <t>ENC114287</t>
        </is>
      </c>
      <c r="B880" t="inlineStr">
        <is>
          <t>PT11512</t>
        </is>
      </c>
      <c r="C880" t="inlineStr">
        <is>
          <t>Outpatient</t>
        </is>
      </c>
      <c r="D880" t="inlineStr">
        <is>
          <t>Bluestone Outpatient Pavilion</t>
        </is>
      </c>
      <c r="E880" t="inlineStr">
        <is>
          <t>Primary Care Clinic</t>
        </is>
      </c>
      <c r="F880" t="inlineStr">
        <is>
          <t>Ambulatory</t>
        </is>
      </c>
      <c r="G880" s="29" t="n">
        <v>45764</v>
      </c>
      <c r="H880" s="29" t="n">
        <v>45764</v>
      </c>
      <c r="I880" s="30" t="n"/>
      <c r="J880" t="inlineStr">
        <is>
          <t>F32.9</t>
        </is>
      </c>
      <c r="K880" t="inlineStr">
        <is>
          <t>Major depressive disorder, single episode, unspecified</t>
        </is>
      </c>
      <c r="L880" t="inlineStr">
        <is>
          <t>Mental &amp; Behavioral</t>
        </is>
      </c>
      <c r="M880" t="inlineStr">
        <is>
          <t>Home/Self-Care</t>
        </is>
      </c>
      <c r="N880" t="inlineStr">
        <is>
          <t>Evergreen Mutual Insurance</t>
        </is>
      </c>
      <c r="O880" s="31" t="n">
        <v>462.27</v>
      </c>
    </row>
    <row r="881">
      <c r="A881" t="inlineStr">
        <is>
          <t>ENC114288</t>
        </is>
      </c>
      <c r="B881" t="inlineStr">
        <is>
          <t>PT12176</t>
        </is>
      </c>
      <c r="C881" t="inlineStr">
        <is>
          <t>Outpatient</t>
        </is>
      </c>
      <c r="D881" t="inlineStr">
        <is>
          <t>Bluestone Outpatient Pavilion</t>
        </is>
      </c>
      <c r="E881" t="inlineStr">
        <is>
          <t>Cardiology Clinic</t>
        </is>
      </c>
      <c r="F881" t="inlineStr">
        <is>
          <t>Cardiovascular</t>
        </is>
      </c>
      <c r="G881" s="29" t="n">
        <v>45764</v>
      </c>
      <c r="H881" s="29" t="n">
        <v>45764</v>
      </c>
      <c r="I881" s="30" t="n"/>
      <c r="J881" t="inlineStr">
        <is>
          <t>I50.9</t>
        </is>
      </c>
      <c r="K881" t="inlineStr">
        <is>
          <t>Heart failure, unspecified</t>
        </is>
      </c>
      <c r="L881" t="inlineStr">
        <is>
          <t>Circulatory</t>
        </is>
      </c>
      <c r="M881" t="inlineStr">
        <is>
          <t>Home/Self-Care</t>
        </is>
      </c>
      <c r="N881" t="inlineStr">
        <is>
          <t>Silverline Medicare Advantage</t>
        </is>
      </c>
      <c r="O881" s="31" t="n">
        <v>308.79</v>
      </c>
    </row>
    <row r="882">
      <c r="A882" t="inlineStr">
        <is>
          <t>ENC114289</t>
        </is>
      </c>
      <c r="B882" t="inlineStr">
        <is>
          <t>PT12016</t>
        </is>
      </c>
      <c r="C882" t="inlineStr">
        <is>
          <t>Emergency</t>
        </is>
      </c>
      <c r="D882" t="inlineStr">
        <is>
          <t>Bluestone Memorial Hospital</t>
        </is>
      </c>
      <c r="E882" t="inlineStr">
        <is>
          <t>Emergency Department</t>
        </is>
      </c>
      <c r="F882" t="inlineStr">
        <is>
          <t>Emergency</t>
        </is>
      </c>
      <c r="G882" s="29" t="n">
        <v>45764</v>
      </c>
      <c r="H882" s="29" t="n">
        <v>45764</v>
      </c>
      <c r="I882" s="30" t="n"/>
      <c r="J882" t="inlineStr">
        <is>
          <t>N39.0</t>
        </is>
      </c>
      <c r="K882" t="inlineStr">
        <is>
          <t>Urinary tract infection, site not specified</t>
        </is>
      </c>
      <c r="L882" t="inlineStr">
        <is>
          <t>Genitourinary</t>
        </is>
      </c>
      <c r="M882" t="inlineStr">
        <is>
          <t>Home/Self-Care</t>
        </is>
      </c>
      <c r="N882" t="inlineStr">
        <is>
          <t>State Medicaid</t>
        </is>
      </c>
      <c r="O882" s="31" t="n">
        <v>3382.14</v>
      </c>
    </row>
    <row r="883">
      <c r="A883" t="inlineStr">
        <is>
          <t>ENC114292</t>
        </is>
      </c>
      <c r="B883" t="inlineStr">
        <is>
          <t>PT10416</t>
        </is>
      </c>
      <c r="C883" t="inlineStr">
        <is>
          <t>Inpatient</t>
        </is>
      </c>
      <c r="D883" t="inlineStr">
        <is>
          <t>Bluestone Memorial Hospital</t>
        </is>
      </c>
      <c r="E883" t="inlineStr">
        <is>
          <t>Oncology</t>
        </is>
      </c>
      <c r="F883" t="inlineStr">
        <is>
          <t>Oncology</t>
        </is>
      </c>
      <c r="G883" s="29" t="n">
        <v>45764</v>
      </c>
      <c r="H883" s="29" t="n">
        <v>45773</v>
      </c>
      <c r="I883" s="30" t="n">
        <v>9</v>
      </c>
      <c r="J883" t="inlineStr">
        <is>
          <t>D70.1</t>
        </is>
      </c>
      <c r="K883" t="inlineStr">
        <is>
          <t>Agranulocytosis secondary to cancer chemotherapy</t>
        </is>
      </c>
      <c r="L883" t="inlineStr">
        <is>
          <t>Blood</t>
        </is>
      </c>
      <c r="M883" t="inlineStr">
        <is>
          <t>Skilled Nursing Facility</t>
        </is>
      </c>
      <c r="N883" t="inlineStr">
        <is>
          <t>Self-Pay</t>
        </is>
      </c>
      <c r="O883" s="31" t="n">
        <v>54714.9</v>
      </c>
      <c r="P883" t="inlineStr">
        <is>
          <t>N</t>
        </is>
      </c>
    </row>
    <row r="884">
      <c r="A884" t="inlineStr">
        <is>
          <t>ENC114295</t>
        </is>
      </c>
      <c r="B884" t="inlineStr">
        <is>
          <t>PT11520</t>
        </is>
      </c>
      <c r="C884" t="inlineStr">
        <is>
          <t>Emergency</t>
        </is>
      </c>
      <c r="D884" t="inlineStr">
        <is>
          <t>Bluestone Memorial Hospital</t>
        </is>
      </c>
      <c r="E884" t="inlineStr">
        <is>
          <t>Emergency Department</t>
        </is>
      </c>
      <c r="F884" t="inlineStr">
        <is>
          <t>Emergency</t>
        </is>
      </c>
      <c r="G884" s="29" t="n">
        <v>45764</v>
      </c>
      <c r="H884" s="29" t="n">
        <v>45764</v>
      </c>
      <c r="I884" s="30" t="n"/>
      <c r="J884" t="inlineStr">
        <is>
          <t>E86.0</t>
        </is>
      </c>
      <c r="K884" t="inlineStr">
        <is>
          <t>Dehydration</t>
        </is>
      </c>
      <c r="L884" t="inlineStr">
        <is>
          <t>Endocrine</t>
        </is>
      </c>
      <c r="M884" t="inlineStr">
        <is>
          <t>Home/Self-Care</t>
        </is>
      </c>
      <c r="N884" t="inlineStr">
        <is>
          <t>State Medicaid</t>
        </is>
      </c>
      <c r="O884" s="31" t="n">
        <v>1538.74</v>
      </c>
    </row>
    <row r="885">
      <c r="A885" t="inlineStr">
        <is>
          <t>ENC114296</t>
        </is>
      </c>
      <c r="B885" t="inlineStr">
        <is>
          <t>PT11624</t>
        </is>
      </c>
      <c r="C885" t="inlineStr">
        <is>
          <t>Observation</t>
        </is>
      </c>
      <c r="D885" t="inlineStr">
        <is>
          <t>Bluestone Memorial Hospital</t>
        </is>
      </c>
      <c r="E885" t="inlineStr">
        <is>
          <t>Observation Unit</t>
        </is>
      </c>
      <c r="F885" t="inlineStr">
        <is>
          <t>Medicine</t>
        </is>
      </c>
      <c r="G885" s="29" t="n">
        <v>45765</v>
      </c>
      <c r="H885" s="29" t="n">
        <v>45766</v>
      </c>
      <c r="I885" s="30" t="n">
        <v>1</v>
      </c>
      <c r="J885" t="inlineStr">
        <is>
          <t>I50.9</t>
        </is>
      </c>
      <c r="K885" t="inlineStr">
        <is>
          <t>Heart failure, unspecified</t>
        </is>
      </c>
      <c r="L885" t="inlineStr">
        <is>
          <t>Circulatory</t>
        </is>
      </c>
      <c r="M885" t="inlineStr">
        <is>
          <t>Left AMA</t>
        </is>
      </c>
      <c r="N885" t="inlineStr">
        <is>
          <t>State Medicaid</t>
        </is>
      </c>
      <c r="O885" s="31" t="n">
        <v>7974.05</v>
      </c>
    </row>
    <row r="886">
      <c r="A886" t="inlineStr">
        <is>
          <t>ENC114324</t>
        </is>
      </c>
      <c r="B886" t="inlineStr">
        <is>
          <t>PT10796</t>
        </is>
      </c>
      <c r="C886" t="inlineStr">
        <is>
          <t>Outpatient</t>
        </is>
      </c>
      <c r="D886" t="inlineStr">
        <is>
          <t>Bluestone Outpatient Pavilion</t>
        </is>
      </c>
      <c r="E886" t="inlineStr">
        <is>
          <t>Primary Care Clinic</t>
        </is>
      </c>
      <c r="F886" t="inlineStr">
        <is>
          <t>Ambulatory</t>
        </is>
      </c>
      <c r="G886" s="29" t="n">
        <v>45765</v>
      </c>
      <c r="H886" s="29" t="n">
        <v>45765</v>
      </c>
      <c r="I886" s="30" t="n"/>
      <c r="J886" t="inlineStr">
        <is>
          <t>F41.9</t>
        </is>
      </c>
      <c r="K886" t="inlineStr">
        <is>
          <t>Anxiety disorder, unspecified</t>
        </is>
      </c>
      <c r="L886" t="inlineStr">
        <is>
          <t>Mental &amp; Behavioral</t>
        </is>
      </c>
      <c r="M886" t="inlineStr">
        <is>
          <t>Home/Self-Care</t>
        </is>
      </c>
      <c r="N886" t="inlineStr">
        <is>
          <t>Medicare</t>
        </is>
      </c>
      <c r="O886" s="31" t="n">
        <v>187.17</v>
      </c>
    </row>
    <row r="887">
      <c r="A887" t="inlineStr">
        <is>
          <t>ENC114325</t>
        </is>
      </c>
      <c r="B887" t="inlineStr">
        <is>
          <t>PT11596</t>
        </is>
      </c>
      <c r="C887" t="inlineStr">
        <is>
          <t>Outpatient</t>
        </is>
      </c>
      <c r="D887" t="inlineStr">
        <is>
          <t>Bluestone Outpatient Pavilion</t>
        </is>
      </c>
      <c r="E887" t="inlineStr">
        <is>
          <t>Primary Care Clinic</t>
        </is>
      </c>
      <c r="F887" t="inlineStr">
        <is>
          <t>Ambulatory</t>
        </is>
      </c>
      <c r="G887" s="29" t="n">
        <v>45765</v>
      </c>
      <c r="H887" s="29" t="n">
        <v>45765</v>
      </c>
      <c r="I887" s="30" t="n"/>
      <c r="J887" t="inlineStr">
        <is>
          <t>Z00.00</t>
        </is>
      </c>
      <c r="K887" t="inlineStr">
        <is>
          <t>Encounter for general adult medical examination without abnormal findings</t>
        </is>
      </c>
      <c r="L887" t="inlineStr">
        <is>
          <t>Factors Influencing Health</t>
        </is>
      </c>
      <c r="M887" t="inlineStr">
        <is>
          <t>Home/Self-Care</t>
        </is>
      </c>
      <c r="N887" t="inlineStr">
        <is>
          <t>Keystone Health Partners</t>
        </is>
      </c>
      <c r="O887" s="31" t="n">
        <v>466.14</v>
      </c>
    </row>
    <row r="888">
      <c r="A888" t="inlineStr">
        <is>
          <t>ENC114327</t>
        </is>
      </c>
      <c r="B888" t="inlineStr">
        <is>
          <t>PT12468</t>
        </is>
      </c>
      <c r="C888" t="inlineStr">
        <is>
          <t>Outpatient</t>
        </is>
      </c>
      <c r="D888" t="inlineStr">
        <is>
          <t>Bluestone Outpatient Pavilion</t>
        </is>
      </c>
      <c r="E888" t="inlineStr">
        <is>
          <t>Infusion &amp; Oncology Clinic</t>
        </is>
      </c>
      <c r="F888" t="inlineStr">
        <is>
          <t>Oncology</t>
        </is>
      </c>
      <c r="G888" s="29" t="n">
        <v>45765</v>
      </c>
      <c r="H888" s="29" t="n">
        <v>45765</v>
      </c>
      <c r="I888" s="30" t="n"/>
      <c r="J888" t="inlineStr">
        <is>
          <t>Z51.11</t>
        </is>
      </c>
      <c r="K888" t="inlineStr">
        <is>
          <t>Encounter for antineoplastic chemotherapy</t>
        </is>
      </c>
      <c r="L888" t="inlineStr">
        <is>
          <t>Factors Influencing Health</t>
        </is>
      </c>
      <c r="M888" t="inlineStr">
        <is>
          <t>Home/Self-Care</t>
        </is>
      </c>
      <c r="N888" t="inlineStr">
        <is>
          <t>Medicare</t>
        </is>
      </c>
      <c r="O888" s="31" t="n">
        <v>9529.98</v>
      </c>
    </row>
    <row r="889">
      <c r="A889" t="inlineStr">
        <is>
          <t>ENC114334</t>
        </is>
      </c>
      <c r="B889" t="inlineStr">
        <is>
          <t>PT10996</t>
        </is>
      </c>
      <c r="C889" t="inlineStr">
        <is>
          <t>Emergency</t>
        </is>
      </c>
      <c r="D889" t="inlineStr">
        <is>
          <t>Bluestone Memorial Hospital</t>
        </is>
      </c>
      <c r="E889" t="inlineStr">
        <is>
          <t>Emergency Department</t>
        </is>
      </c>
      <c r="F889" t="inlineStr">
        <is>
          <t>Emergency</t>
        </is>
      </c>
      <c r="G889" s="29" t="n">
        <v>45766</v>
      </c>
      <c r="H889" s="29" t="n">
        <v>45766</v>
      </c>
      <c r="I889" s="30" t="n"/>
      <c r="J889" t="inlineStr">
        <is>
          <t>J44.1</t>
        </is>
      </c>
      <c r="K889" t="inlineStr">
        <is>
          <t>Chronic obstructive pulmonary disease with (acute) exacerbation</t>
        </is>
      </c>
      <c r="L889" t="inlineStr">
        <is>
          <t>Respiratory</t>
        </is>
      </c>
      <c r="M889" t="inlineStr">
        <is>
          <t>Home/Self-Care</t>
        </is>
      </c>
      <c r="N889" t="inlineStr">
        <is>
          <t>Keystone Health Partners</t>
        </is>
      </c>
      <c r="O889" s="31" t="n">
        <v>6023.09</v>
      </c>
    </row>
    <row r="890">
      <c r="A890" t="inlineStr">
        <is>
          <t>ENC114341</t>
        </is>
      </c>
      <c r="B890" t="inlineStr">
        <is>
          <t>PT13036</t>
        </is>
      </c>
      <c r="C890" t="inlineStr">
        <is>
          <t>Inpatient</t>
        </is>
      </c>
      <c r="D890" t="inlineStr">
        <is>
          <t>Bluestone Memorial Hospital</t>
        </is>
      </c>
      <c r="E890" t="inlineStr">
        <is>
          <t>Labor &amp; Delivery</t>
        </is>
      </c>
      <c r="F890" t="inlineStr">
        <is>
          <t>Women &amp; Children</t>
        </is>
      </c>
      <c r="G890" s="29" t="n">
        <v>45766</v>
      </c>
      <c r="H890" s="29" t="n">
        <v>45772</v>
      </c>
      <c r="I890" s="30" t="n">
        <v>6</v>
      </c>
      <c r="J890" t="inlineStr">
        <is>
          <t>O82</t>
        </is>
      </c>
      <c r="K890" t="inlineStr">
        <is>
          <t>Encounter for cesarean delivery without indication</t>
        </is>
      </c>
      <c r="L890" t="inlineStr">
        <is>
          <t>Pregnancy</t>
        </is>
      </c>
      <c r="M890" t="inlineStr">
        <is>
          <t>Home/Self-Care</t>
        </is>
      </c>
      <c r="N890" t="inlineStr">
        <is>
          <t>Keystone Health Partners</t>
        </is>
      </c>
      <c r="O890" s="31" t="n">
        <v>27465.91</v>
      </c>
      <c r="P890" t="inlineStr">
        <is>
          <t>N</t>
        </is>
      </c>
    </row>
    <row r="891">
      <c r="A891" t="inlineStr">
        <is>
          <t>ENC114342</t>
        </is>
      </c>
      <c r="B891" t="inlineStr">
        <is>
          <t>PT13248</t>
        </is>
      </c>
      <c r="C891" t="inlineStr">
        <is>
          <t>Inpatient</t>
        </is>
      </c>
      <c r="D891" t="inlineStr">
        <is>
          <t>Bluestone Memorial Hospital</t>
        </is>
      </c>
      <c r="E891" t="inlineStr">
        <is>
          <t>Intensive Care Unit</t>
        </is>
      </c>
      <c r="F891" t="inlineStr">
        <is>
          <t>Critical Care</t>
        </is>
      </c>
      <c r="G891" s="29" t="n">
        <v>45766</v>
      </c>
      <c r="H891" s="29" t="n">
        <v>45772</v>
      </c>
      <c r="I891" s="30" t="n">
        <v>6</v>
      </c>
      <c r="J891" t="inlineStr">
        <is>
          <t>A41.9</t>
        </is>
      </c>
      <c r="K891" t="inlineStr">
        <is>
          <t>Sepsis, unspecified organism</t>
        </is>
      </c>
      <c r="L891" t="inlineStr">
        <is>
          <t>Infectious</t>
        </is>
      </c>
      <c r="M891" t="inlineStr">
        <is>
          <t>Home/Self-Care</t>
        </is>
      </c>
      <c r="N891" t="inlineStr">
        <is>
          <t>Medicare</t>
        </is>
      </c>
      <c r="O891" s="31" t="n">
        <v>54926.7</v>
      </c>
      <c r="P891" t="inlineStr">
        <is>
          <t>N</t>
        </is>
      </c>
    </row>
    <row r="892">
      <c r="A892" t="inlineStr">
        <is>
          <t>ENC114349</t>
        </is>
      </c>
      <c r="B892" t="inlineStr">
        <is>
          <t>PT13604</t>
        </is>
      </c>
      <c r="C892" t="inlineStr">
        <is>
          <t>Emergency</t>
        </is>
      </c>
      <c r="D892" t="inlineStr">
        <is>
          <t>Bluestone Memorial Hospital</t>
        </is>
      </c>
      <c r="E892" t="inlineStr">
        <is>
          <t>Emergency Department</t>
        </is>
      </c>
      <c r="F892" t="inlineStr">
        <is>
          <t>Emergency</t>
        </is>
      </c>
      <c r="G892" s="29" t="n">
        <v>45767</v>
      </c>
      <c r="H892" s="29" t="n">
        <v>45767</v>
      </c>
      <c r="I892" s="30" t="n"/>
      <c r="J892" t="inlineStr">
        <is>
          <t>S93.401A</t>
        </is>
      </c>
      <c r="K892" t="inlineStr">
        <is>
          <t>Sprain of unspecified ligament of right ankle, initial encounter</t>
        </is>
      </c>
      <c r="L892" t="inlineStr">
        <is>
          <t>Injury</t>
        </is>
      </c>
      <c r="M892" t="inlineStr">
        <is>
          <t>Home/Self-Care</t>
        </is>
      </c>
      <c r="N892" t="inlineStr">
        <is>
          <t>Summit Choice PPO</t>
        </is>
      </c>
      <c r="O892" s="31" t="n">
        <v>753.12</v>
      </c>
    </row>
    <row r="893">
      <c r="A893" t="inlineStr">
        <is>
          <t>ENC114351</t>
        </is>
      </c>
      <c r="B893" t="inlineStr">
        <is>
          <t>PT13060</t>
        </is>
      </c>
      <c r="C893" t="inlineStr">
        <is>
          <t>Emergency</t>
        </is>
      </c>
      <c r="D893" t="inlineStr">
        <is>
          <t>Bluestone Memorial Hospital</t>
        </is>
      </c>
      <c r="E893" t="inlineStr">
        <is>
          <t>Emergency Department</t>
        </is>
      </c>
      <c r="F893" t="inlineStr">
        <is>
          <t>Emergency</t>
        </is>
      </c>
      <c r="G893" s="29" t="n">
        <v>45767</v>
      </c>
      <c r="H893" s="29" t="n">
        <v>45767</v>
      </c>
      <c r="I893" s="30" t="n"/>
      <c r="J893" t="inlineStr">
        <is>
          <t>J06.9</t>
        </is>
      </c>
      <c r="K893" t="inlineStr">
        <is>
          <t>Acute upper respiratory infection, unspecified</t>
        </is>
      </c>
      <c r="L893" t="inlineStr">
        <is>
          <t>Respiratory</t>
        </is>
      </c>
      <c r="M893" t="inlineStr">
        <is>
          <t>Home/Self-Care</t>
        </is>
      </c>
      <c r="N893" t="inlineStr">
        <is>
          <t>State Medicaid</t>
        </is>
      </c>
      <c r="O893" s="31" t="n">
        <v>1252.97</v>
      </c>
    </row>
    <row r="894">
      <c r="A894" t="inlineStr">
        <is>
          <t>ENC114354</t>
        </is>
      </c>
      <c r="B894" t="inlineStr">
        <is>
          <t>PT10996</t>
        </is>
      </c>
      <c r="C894" t="inlineStr">
        <is>
          <t>Observation</t>
        </is>
      </c>
      <c r="D894" t="inlineStr">
        <is>
          <t>Bluestone Memorial Hospital</t>
        </is>
      </c>
      <c r="E894" t="inlineStr">
        <is>
          <t>Observation Unit</t>
        </is>
      </c>
      <c r="F894" t="inlineStr">
        <is>
          <t>Medicine</t>
        </is>
      </c>
      <c r="G894" s="29" t="n">
        <v>45767</v>
      </c>
      <c r="H894" s="29" t="n">
        <v>45768</v>
      </c>
      <c r="I894" s="30" t="n">
        <v>1</v>
      </c>
      <c r="J894" t="inlineStr">
        <is>
          <t>I50.9</t>
        </is>
      </c>
      <c r="K894" t="inlineStr">
        <is>
          <t>Heart failure, unspecified</t>
        </is>
      </c>
      <c r="L894" t="inlineStr">
        <is>
          <t>Circulatory</t>
        </is>
      </c>
      <c r="M894" t="inlineStr">
        <is>
          <t>Home Health</t>
        </is>
      </c>
      <c r="N894" t="inlineStr">
        <is>
          <t>Keystone Health Partners</t>
        </is>
      </c>
      <c r="O894" s="31" t="n">
        <v>7532.16</v>
      </c>
    </row>
    <row r="895">
      <c r="A895" t="inlineStr">
        <is>
          <t>ENC114358</t>
        </is>
      </c>
      <c r="B895" t="inlineStr">
        <is>
          <t>PT13240</t>
        </is>
      </c>
      <c r="C895" t="inlineStr">
        <is>
          <t>Emergency</t>
        </is>
      </c>
      <c r="D895" t="inlineStr">
        <is>
          <t>Bluestone Memorial Hospital</t>
        </is>
      </c>
      <c r="E895" t="inlineStr">
        <is>
          <t>Emergency Department</t>
        </is>
      </c>
      <c r="F895" t="inlineStr">
        <is>
          <t>Emergency</t>
        </is>
      </c>
      <c r="G895" s="29" t="n">
        <v>45767</v>
      </c>
      <c r="H895" s="29" t="n">
        <v>45767</v>
      </c>
      <c r="I895" s="30" t="n"/>
      <c r="J895" t="inlineStr">
        <is>
          <t>R07.9</t>
        </is>
      </c>
      <c r="K895" t="inlineStr">
        <is>
          <t>Chest pain, unspecified</t>
        </is>
      </c>
      <c r="L895" t="inlineStr">
        <is>
          <t>Symptoms &amp; Signs</t>
        </is>
      </c>
      <c r="M895" t="inlineStr">
        <is>
          <t>Home/Self-Care</t>
        </is>
      </c>
      <c r="N895" t="inlineStr">
        <is>
          <t>Medicare</t>
        </is>
      </c>
      <c r="O895" s="31" t="n">
        <v>4064.95</v>
      </c>
    </row>
    <row r="896">
      <c r="A896" t="inlineStr">
        <is>
          <t>ENC114359</t>
        </is>
      </c>
      <c r="B896" t="inlineStr">
        <is>
          <t>PT11296</t>
        </is>
      </c>
      <c r="C896" t="inlineStr">
        <is>
          <t>Emergency</t>
        </is>
      </c>
      <c r="D896" t="inlineStr">
        <is>
          <t>Bluestone Memorial Hospital</t>
        </is>
      </c>
      <c r="E896" t="inlineStr">
        <is>
          <t>Emergency Department</t>
        </is>
      </c>
      <c r="F896" t="inlineStr">
        <is>
          <t>Emergency</t>
        </is>
      </c>
      <c r="G896" s="29" t="n">
        <v>45767</v>
      </c>
      <c r="H896" s="29" t="n">
        <v>45767</v>
      </c>
      <c r="I896" s="30" t="n"/>
      <c r="J896" t="inlineStr">
        <is>
          <t>A08.4</t>
        </is>
      </c>
      <c r="K896" t="inlineStr">
        <is>
          <t>Viral intestinal infection, unspecified</t>
        </is>
      </c>
      <c r="L896" t="inlineStr">
        <is>
          <t>Infectious</t>
        </is>
      </c>
      <c r="M896" t="inlineStr">
        <is>
          <t>Home/Self-Care</t>
        </is>
      </c>
      <c r="N896" t="inlineStr">
        <is>
          <t>Evergreen Mutual Insurance</t>
        </is>
      </c>
      <c r="O896" s="31" t="n">
        <v>942.4400000000001</v>
      </c>
    </row>
    <row r="897">
      <c r="A897" t="inlineStr">
        <is>
          <t>ENC114361</t>
        </is>
      </c>
      <c r="B897" t="inlineStr">
        <is>
          <t>PT12540</t>
        </is>
      </c>
      <c r="C897" t="inlineStr">
        <is>
          <t>Emergency</t>
        </is>
      </c>
      <c r="D897" t="inlineStr">
        <is>
          <t>Bluestone Memorial Hospital</t>
        </is>
      </c>
      <c r="E897" t="inlineStr">
        <is>
          <t>Emergency Department</t>
        </is>
      </c>
      <c r="F897" t="inlineStr">
        <is>
          <t>Emergency</t>
        </is>
      </c>
      <c r="G897" s="29" t="n">
        <v>45767</v>
      </c>
      <c r="H897" s="29" t="n">
        <v>45767</v>
      </c>
      <c r="I897" s="30" t="n"/>
      <c r="J897" t="inlineStr">
        <is>
          <t>U07.1</t>
        </is>
      </c>
      <c r="K897" t="inlineStr">
        <is>
          <t>COVID-19</t>
        </is>
      </c>
      <c r="L897" t="inlineStr">
        <is>
          <t>Respiratory</t>
        </is>
      </c>
      <c r="M897" t="inlineStr">
        <is>
          <t>Home/Self-Care</t>
        </is>
      </c>
      <c r="N897" t="inlineStr">
        <is>
          <t>Evergreen Mutual Insurance</t>
        </is>
      </c>
      <c r="O897" s="31" t="n">
        <v>3002.07</v>
      </c>
    </row>
    <row r="898">
      <c r="A898" t="inlineStr">
        <is>
          <t>ENC114374</t>
        </is>
      </c>
      <c r="B898" t="inlineStr">
        <is>
          <t>PT10424</t>
        </is>
      </c>
      <c r="C898" t="inlineStr">
        <is>
          <t>Emergency</t>
        </is>
      </c>
      <c r="D898" t="inlineStr">
        <is>
          <t>Bluestone Memorial Hospital</t>
        </is>
      </c>
      <c r="E898" t="inlineStr">
        <is>
          <t>Emergency Department</t>
        </is>
      </c>
      <c r="F898" t="inlineStr">
        <is>
          <t>Emergency</t>
        </is>
      </c>
      <c r="G898" s="29" t="n">
        <v>45768</v>
      </c>
      <c r="H898" s="29" t="n">
        <v>45768</v>
      </c>
      <c r="I898" s="30" t="n"/>
      <c r="J898" t="inlineStr">
        <is>
          <t>J18.9</t>
        </is>
      </c>
      <c r="K898" t="inlineStr">
        <is>
          <t>Pneumonia, unspecified organism</t>
        </is>
      </c>
      <c r="L898" t="inlineStr">
        <is>
          <t>Respiratory</t>
        </is>
      </c>
      <c r="M898" t="inlineStr">
        <is>
          <t>Home/Self-Care</t>
        </is>
      </c>
      <c r="N898" t="inlineStr">
        <is>
          <t>Self-Pay</t>
        </is>
      </c>
      <c r="O898" s="31" t="n">
        <v>5213.48</v>
      </c>
    </row>
    <row r="899">
      <c r="A899" t="inlineStr">
        <is>
          <t>ENC114379</t>
        </is>
      </c>
      <c r="B899" t="inlineStr">
        <is>
          <t>PT12860</t>
        </is>
      </c>
      <c r="C899" t="inlineStr">
        <is>
          <t>Outpatient</t>
        </is>
      </c>
      <c r="D899" t="inlineStr">
        <is>
          <t>Bluestone Outpatient Pavilion</t>
        </is>
      </c>
      <c r="E899" t="inlineStr">
        <is>
          <t>Endocrinology &amp; Diabetes Clinic</t>
        </is>
      </c>
      <c r="F899" t="inlineStr">
        <is>
          <t>Ambulatory</t>
        </is>
      </c>
      <c r="G899" s="29" t="n">
        <v>45768</v>
      </c>
      <c r="H899" s="29" t="n">
        <v>45768</v>
      </c>
      <c r="I899" s="30" t="n"/>
      <c r="J899" t="inlineStr">
        <is>
          <t>E11.9</t>
        </is>
      </c>
      <c r="K899" t="inlineStr">
        <is>
          <t>Type 2 diabetes mellitus without complications</t>
        </is>
      </c>
      <c r="L899" t="inlineStr">
        <is>
          <t>Endocrine</t>
        </is>
      </c>
      <c r="M899" t="inlineStr">
        <is>
          <t>Home/Self-Care</t>
        </is>
      </c>
      <c r="N899" t="inlineStr">
        <is>
          <t>Self-Pay</t>
        </is>
      </c>
      <c r="O899" s="31" t="n">
        <v>196.89</v>
      </c>
    </row>
    <row r="900">
      <c r="A900" t="inlineStr">
        <is>
          <t>ENC114384</t>
        </is>
      </c>
      <c r="B900" t="inlineStr">
        <is>
          <t>PT13828</t>
        </is>
      </c>
      <c r="C900" t="inlineStr">
        <is>
          <t>Outpatient</t>
        </is>
      </c>
      <c r="D900" t="inlineStr">
        <is>
          <t>Bluestone Outpatient Pavilion</t>
        </is>
      </c>
      <c r="E900" t="inlineStr">
        <is>
          <t>Orthopedic Clinic</t>
        </is>
      </c>
      <c r="F900" t="inlineStr">
        <is>
          <t>Orthopedics</t>
        </is>
      </c>
      <c r="G900" s="29" t="n">
        <v>45768</v>
      </c>
      <c r="H900" s="29" t="n">
        <v>45768</v>
      </c>
      <c r="I900" s="30" t="n"/>
      <c r="J900" t="inlineStr">
        <is>
          <t>M17.11</t>
        </is>
      </c>
      <c r="K900" t="inlineStr">
        <is>
          <t>Unilateral primary osteoarthritis, right knee</t>
        </is>
      </c>
      <c r="L900" t="inlineStr">
        <is>
          <t>Musculoskeletal</t>
        </is>
      </c>
      <c r="M900" t="inlineStr">
        <is>
          <t>Home/Self-Care</t>
        </is>
      </c>
      <c r="N900" t="inlineStr">
        <is>
          <t>Medicare</t>
        </is>
      </c>
      <c r="O900" s="31" t="n">
        <v>351.45</v>
      </c>
    </row>
    <row r="901">
      <c r="A901" t="inlineStr">
        <is>
          <t>ENC114386</t>
        </is>
      </c>
      <c r="B901" t="inlineStr">
        <is>
          <t>PT11024</t>
        </is>
      </c>
      <c r="C901" t="inlineStr">
        <is>
          <t>Outpatient</t>
        </is>
      </c>
      <c r="D901" t="inlineStr">
        <is>
          <t>Bluestone Outpatient Pavilion</t>
        </is>
      </c>
      <c r="E901" t="inlineStr">
        <is>
          <t>Primary Care Clinic</t>
        </is>
      </c>
      <c r="F901" t="inlineStr">
        <is>
          <t>Ambulatory</t>
        </is>
      </c>
      <c r="G901" s="29" t="n">
        <v>45768</v>
      </c>
      <c r="H901" s="29" t="n">
        <v>45768</v>
      </c>
      <c r="I901" s="30" t="n"/>
      <c r="J901" t="inlineStr">
        <is>
          <t>Z23</t>
        </is>
      </c>
      <c r="K901" t="inlineStr">
        <is>
          <t>Encounter for immunization</t>
        </is>
      </c>
      <c r="L901" t="inlineStr">
        <is>
          <t>Factors Influencing Health</t>
        </is>
      </c>
      <c r="M901" t="inlineStr">
        <is>
          <t>Home/Self-Care</t>
        </is>
      </c>
      <c r="N901" t="inlineStr">
        <is>
          <t>Evergreen Mutual Insurance</t>
        </is>
      </c>
      <c r="O901" s="31" t="n">
        <v>101.64</v>
      </c>
    </row>
    <row r="902">
      <c r="A902" t="inlineStr">
        <is>
          <t>ENC114387</t>
        </is>
      </c>
      <c r="B902" t="inlineStr">
        <is>
          <t>PT11188</t>
        </is>
      </c>
      <c r="C902" t="inlineStr">
        <is>
          <t>Inpatient</t>
        </is>
      </c>
      <c r="D902" t="inlineStr">
        <is>
          <t>Cedar Ridge Medical Center</t>
        </is>
      </c>
      <c r="E902" t="inlineStr">
        <is>
          <t>Medical-Surgical</t>
        </is>
      </c>
      <c r="F902" t="inlineStr">
        <is>
          <t>Medicine</t>
        </is>
      </c>
      <c r="G902" s="29" t="n">
        <v>45768</v>
      </c>
      <c r="H902" s="29" t="n">
        <v>45774</v>
      </c>
      <c r="I902" s="30" t="n">
        <v>6</v>
      </c>
      <c r="J902" t="inlineStr">
        <is>
          <t>J18.9</t>
        </is>
      </c>
      <c r="K902" t="inlineStr">
        <is>
          <t>Pneumonia, unspecified organism</t>
        </is>
      </c>
      <c r="L902" t="inlineStr">
        <is>
          <t>Respiratory</t>
        </is>
      </c>
      <c r="M902" t="inlineStr">
        <is>
          <t>Skilled Nursing Facility</t>
        </is>
      </c>
      <c r="N902" t="inlineStr">
        <is>
          <t>Medicare</t>
        </is>
      </c>
      <c r="O902" s="31" t="n">
        <v>28332.51</v>
      </c>
      <c r="P902" t="inlineStr">
        <is>
          <t>Y</t>
        </is>
      </c>
    </row>
    <row r="903">
      <c r="A903" t="inlineStr">
        <is>
          <t>ENC114389</t>
        </is>
      </c>
      <c r="B903" t="inlineStr">
        <is>
          <t>PT12672</t>
        </is>
      </c>
      <c r="C903" t="inlineStr">
        <is>
          <t>Outpatient</t>
        </is>
      </c>
      <c r="D903" t="inlineStr">
        <is>
          <t>Bluestone Outpatient Pavilion</t>
        </is>
      </c>
      <c r="E903" t="inlineStr">
        <is>
          <t>Infusion &amp; Oncology Clinic</t>
        </is>
      </c>
      <c r="F903" t="inlineStr">
        <is>
          <t>Oncology</t>
        </is>
      </c>
      <c r="G903" s="29" t="n">
        <v>45768</v>
      </c>
      <c r="H903" s="29" t="n">
        <v>45768</v>
      </c>
      <c r="I903" s="30" t="n"/>
      <c r="J903" t="inlineStr">
        <is>
          <t>Z51.11</t>
        </is>
      </c>
      <c r="K903" t="inlineStr">
        <is>
          <t>Encounter for antineoplastic chemotherapy</t>
        </is>
      </c>
      <c r="L903" t="inlineStr">
        <is>
          <t>Factors Influencing Health</t>
        </is>
      </c>
      <c r="M903" t="inlineStr">
        <is>
          <t>Home/Self-Care</t>
        </is>
      </c>
      <c r="N903" t="inlineStr">
        <is>
          <t>Medicare</t>
        </is>
      </c>
      <c r="O903" s="31" t="n">
        <v>7805.14</v>
      </c>
    </row>
    <row r="904">
      <c r="A904" t="inlineStr">
        <is>
          <t>ENC114390</t>
        </is>
      </c>
      <c r="B904" t="inlineStr">
        <is>
          <t>PT11728</t>
        </is>
      </c>
      <c r="C904" t="inlineStr">
        <is>
          <t>Outpatient</t>
        </is>
      </c>
      <c r="D904" t="inlineStr">
        <is>
          <t>Bluestone Outpatient Pavilion</t>
        </is>
      </c>
      <c r="E904" t="inlineStr">
        <is>
          <t>Primary Care Clinic</t>
        </is>
      </c>
      <c r="F904" t="inlineStr">
        <is>
          <t>Ambulatory</t>
        </is>
      </c>
      <c r="G904" s="29" t="n">
        <v>45768</v>
      </c>
      <c r="H904" s="29" t="n">
        <v>45768</v>
      </c>
      <c r="I904" s="30" t="n"/>
      <c r="J904" t="inlineStr">
        <is>
          <t>F32.9</t>
        </is>
      </c>
      <c r="K904" t="inlineStr">
        <is>
          <t>Major depressive disorder, single episode, unspecified</t>
        </is>
      </c>
      <c r="L904" t="inlineStr">
        <is>
          <t>Mental &amp; Behavioral</t>
        </is>
      </c>
      <c r="M904" t="inlineStr">
        <is>
          <t>Home/Self-Care</t>
        </is>
      </c>
      <c r="N904" t="inlineStr">
        <is>
          <t>State Medicaid</t>
        </is>
      </c>
      <c r="O904" s="31" t="n">
        <v>382.26</v>
      </c>
    </row>
    <row r="905">
      <c r="A905" t="inlineStr">
        <is>
          <t>ENC114412</t>
        </is>
      </c>
      <c r="B905" t="inlineStr">
        <is>
          <t>PT11412</t>
        </is>
      </c>
      <c r="C905" t="inlineStr">
        <is>
          <t>Inpatient</t>
        </is>
      </c>
      <c r="D905" t="inlineStr">
        <is>
          <t>Bluestone Memorial Hospital</t>
        </is>
      </c>
      <c r="E905" t="inlineStr">
        <is>
          <t>Medical-Surgical 5 East</t>
        </is>
      </c>
      <c r="F905" t="inlineStr">
        <is>
          <t>Medicine</t>
        </is>
      </c>
      <c r="G905" s="29" t="n">
        <v>45769</v>
      </c>
      <c r="H905" s="29" t="n">
        <v>45772</v>
      </c>
      <c r="I905" s="30" t="n">
        <v>3</v>
      </c>
      <c r="J905" t="inlineStr">
        <is>
          <t>A41.9</t>
        </is>
      </c>
      <c r="K905" t="inlineStr">
        <is>
          <t>Sepsis, unspecified organism</t>
        </is>
      </c>
      <c r="L905" t="inlineStr">
        <is>
          <t>Infectious</t>
        </is>
      </c>
      <c r="M905" t="inlineStr">
        <is>
          <t>Home/Self-Care</t>
        </is>
      </c>
      <c r="N905" t="inlineStr">
        <is>
          <t>Medicare</t>
        </is>
      </c>
      <c r="O905" s="31" t="n">
        <v>31822.85</v>
      </c>
      <c r="P905" t="inlineStr">
        <is>
          <t>N</t>
        </is>
      </c>
    </row>
    <row r="906">
      <c r="A906" t="inlineStr">
        <is>
          <t>ENC114413</t>
        </is>
      </c>
      <c r="B906" t="inlineStr">
        <is>
          <t>PT10500</t>
        </is>
      </c>
      <c r="C906" t="inlineStr">
        <is>
          <t>Outpatient</t>
        </is>
      </c>
      <c r="D906" t="inlineStr">
        <is>
          <t>Bluestone Outpatient Pavilion</t>
        </is>
      </c>
      <c r="E906" t="inlineStr">
        <is>
          <t>Primary Care Clinic</t>
        </is>
      </c>
      <c r="F906" t="inlineStr">
        <is>
          <t>Ambulatory</t>
        </is>
      </c>
      <c r="G906" s="29" t="n">
        <v>45769</v>
      </c>
      <c r="H906" s="29" t="n">
        <v>45769</v>
      </c>
      <c r="I906" s="30" t="n"/>
      <c r="J906" t="inlineStr">
        <is>
          <t>Z00.00</t>
        </is>
      </c>
      <c r="K906" t="inlineStr">
        <is>
          <t>Encounter for general adult medical examination without abnormal findings</t>
        </is>
      </c>
      <c r="L906" t="inlineStr">
        <is>
          <t>Factors Influencing Health</t>
        </is>
      </c>
      <c r="M906" t="inlineStr">
        <is>
          <t>Home/Self-Care</t>
        </is>
      </c>
      <c r="N906" t="inlineStr">
        <is>
          <t>Evergreen Mutual Insurance</t>
        </is>
      </c>
      <c r="O906" s="31" t="n">
        <v>266.47</v>
      </c>
    </row>
    <row r="907">
      <c r="A907" t="inlineStr">
        <is>
          <t>ENC114419</t>
        </is>
      </c>
      <c r="B907" t="inlineStr">
        <is>
          <t>PT10444</t>
        </is>
      </c>
      <c r="C907" t="inlineStr">
        <is>
          <t>Outpatient</t>
        </is>
      </c>
      <c r="D907" t="inlineStr">
        <is>
          <t>Bluestone Outpatient Pavilion</t>
        </is>
      </c>
      <c r="E907" t="inlineStr">
        <is>
          <t>Primary Care Clinic</t>
        </is>
      </c>
      <c r="F907" t="inlineStr">
        <is>
          <t>Ambulatory</t>
        </is>
      </c>
      <c r="G907" s="29" t="n">
        <v>45769</v>
      </c>
      <c r="H907" s="29" t="n">
        <v>45769</v>
      </c>
      <c r="I907" s="30" t="n"/>
      <c r="J907" t="inlineStr">
        <is>
          <t>I10</t>
        </is>
      </c>
      <c r="K907" t="inlineStr">
        <is>
          <t>Essential (primary) hypertension</t>
        </is>
      </c>
      <c r="L907" t="inlineStr">
        <is>
          <t>Circulatory</t>
        </is>
      </c>
      <c r="M907" t="inlineStr">
        <is>
          <t>Home/Self-Care</t>
        </is>
      </c>
      <c r="N907" t="inlineStr">
        <is>
          <t>Medicare</t>
        </is>
      </c>
      <c r="O907" s="31" t="n">
        <v>383.19</v>
      </c>
    </row>
    <row r="908">
      <c r="A908" t="inlineStr">
        <is>
          <t>ENC114423</t>
        </is>
      </c>
      <c r="B908" t="inlineStr">
        <is>
          <t>PT13720</t>
        </is>
      </c>
      <c r="C908" t="inlineStr">
        <is>
          <t>Inpatient</t>
        </is>
      </c>
      <c r="D908" t="inlineStr">
        <is>
          <t>Bluestone Memorial Hospital</t>
        </is>
      </c>
      <c r="E908" t="inlineStr">
        <is>
          <t>Cardiac Step-Down</t>
        </is>
      </c>
      <c r="F908" t="inlineStr">
        <is>
          <t>Cardiovascular</t>
        </is>
      </c>
      <c r="G908" s="29" t="n">
        <v>45769</v>
      </c>
      <c r="H908" s="29" t="n">
        <v>45780</v>
      </c>
      <c r="I908" s="30" t="n">
        <v>11</v>
      </c>
      <c r="J908" t="inlineStr">
        <is>
          <t>I50.9</t>
        </is>
      </c>
      <c r="K908" t="inlineStr">
        <is>
          <t>Heart failure, unspecified</t>
        </is>
      </c>
      <c r="L908" t="inlineStr">
        <is>
          <t>Circulatory</t>
        </is>
      </c>
      <c r="M908" t="inlineStr">
        <is>
          <t>Home/Self-Care</t>
        </is>
      </c>
      <c r="N908" t="inlineStr">
        <is>
          <t>Medicare</t>
        </is>
      </c>
      <c r="O908" s="31" t="n">
        <v>59105.15</v>
      </c>
      <c r="P908" t="inlineStr">
        <is>
          <t>N</t>
        </is>
      </c>
    </row>
    <row r="909">
      <c r="A909" t="inlineStr">
        <is>
          <t>ENC114428</t>
        </is>
      </c>
      <c r="B909" t="inlineStr">
        <is>
          <t>PT11456</t>
        </is>
      </c>
      <c r="C909" t="inlineStr">
        <is>
          <t>Emergency</t>
        </is>
      </c>
      <c r="D909" t="inlineStr">
        <is>
          <t>Cedar Ridge Medical Center</t>
        </is>
      </c>
      <c r="E909" t="inlineStr">
        <is>
          <t>Emergency Department</t>
        </is>
      </c>
      <c r="F909" t="inlineStr">
        <is>
          <t>Emergency</t>
        </is>
      </c>
      <c r="G909" s="29" t="n">
        <v>45769</v>
      </c>
      <c r="H909" s="29" t="n">
        <v>45769</v>
      </c>
      <c r="I909" s="30" t="n"/>
      <c r="J909" t="inlineStr">
        <is>
          <t>J06.9</t>
        </is>
      </c>
      <c r="K909" t="inlineStr">
        <is>
          <t>Acute upper respiratory infection, unspecified</t>
        </is>
      </c>
      <c r="L909" t="inlineStr">
        <is>
          <t>Respiratory</t>
        </is>
      </c>
      <c r="M909" t="inlineStr">
        <is>
          <t>Home/Self-Care</t>
        </is>
      </c>
      <c r="N909" t="inlineStr">
        <is>
          <t>Evergreen Mutual Insurance</t>
        </is>
      </c>
      <c r="O909" s="31" t="n">
        <v>573.51</v>
      </c>
    </row>
    <row r="910">
      <c r="A910" t="inlineStr">
        <is>
          <t>ENC114429</t>
        </is>
      </c>
      <c r="B910" t="inlineStr">
        <is>
          <t>PT10924</t>
        </is>
      </c>
      <c r="C910" t="inlineStr">
        <is>
          <t>Emergency</t>
        </is>
      </c>
      <c r="D910" t="inlineStr">
        <is>
          <t>Ashby Falls Community Hospital</t>
        </is>
      </c>
      <c r="E910" t="inlineStr">
        <is>
          <t>Emergency Department</t>
        </is>
      </c>
      <c r="F910" t="inlineStr">
        <is>
          <t>Emergency</t>
        </is>
      </c>
      <c r="G910" s="29" t="n">
        <v>45769</v>
      </c>
      <c r="H910" s="29" t="n">
        <v>45769</v>
      </c>
      <c r="I910" s="30" t="n"/>
      <c r="J910" t="inlineStr">
        <is>
          <t>F10.239</t>
        </is>
      </c>
      <c r="K910" t="inlineStr">
        <is>
          <t>Alcohol dependence with withdrawal, unspecified</t>
        </is>
      </c>
      <c r="L910" t="inlineStr">
        <is>
          <t>Mental &amp; Behavioral</t>
        </is>
      </c>
      <c r="M910" t="inlineStr">
        <is>
          <t>Home/Self-Care</t>
        </is>
      </c>
      <c r="N910" t="inlineStr">
        <is>
          <t>Silverline Medicare Advantage</t>
        </is>
      </c>
      <c r="O910" s="31" t="n">
        <v>6113.16</v>
      </c>
    </row>
    <row r="911">
      <c r="A911" t="inlineStr">
        <is>
          <t>ENC114432</t>
        </is>
      </c>
      <c r="B911" t="inlineStr">
        <is>
          <t>PT13940</t>
        </is>
      </c>
      <c r="C911" t="inlineStr">
        <is>
          <t>Inpatient</t>
        </is>
      </c>
      <c r="D911" t="inlineStr">
        <is>
          <t>Bluestone Memorial Hospital</t>
        </is>
      </c>
      <c r="E911" t="inlineStr">
        <is>
          <t>Neuroscience &amp; Stroke</t>
        </is>
      </c>
      <c r="F911" t="inlineStr">
        <is>
          <t>Neuroscience</t>
        </is>
      </c>
      <c r="G911" s="29" t="n">
        <v>45770</v>
      </c>
      <c r="H911" s="29" t="n">
        <v>45774</v>
      </c>
      <c r="I911" s="30" t="n">
        <v>4</v>
      </c>
      <c r="J911" t="inlineStr">
        <is>
          <t>I63.9</t>
        </is>
      </c>
      <c r="K911" t="inlineStr">
        <is>
          <t>Cerebral infarction, unspecified</t>
        </is>
      </c>
      <c r="L911" t="inlineStr">
        <is>
          <t>Circulatory</t>
        </is>
      </c>
      <c r="M911" t="inlineStr">
        <is>
          <t>Inpatient Rehab</t>
        </is>
      </c>
      <c r="N911" t="inlineStr">
        <is>
          <t>Evergreen Mutual Insurance</t>
        </is>
      </c>
      <c r="O911" s="31" t="n">
        <v>26617.81</v>
      </c>
      <c r="P911" t="inlineStr">
        <is>
          <t>N</t>
        </is>
      </c>
    </row>
    <row r="912">
      <c r="A912" t="inlineStr">
        <is>
          <t>ENC114433</t>
        </is>
      </c>
      <c r="B912" t="inlineStr">
        <is>
          <t>PT13816</t>
        </is>
      </c>
      <c r="C912" t="inlineStr">
        <is>
          <t>Emergency</t>
        </is>
      </c>
      <c r="D912" t="inlineStr">
        <is>
          <t>Cedar Ridge Medical Center</t>
        </is>
      </c>
      <c r="E912" t="inlineStr">
        <is>
          <t>Emergency Department</t>
        </is>
      </c>
      <c r="F912" t="inlineStr">
        <is>
          <t>Emergency</t>
        </is>
      </c>
      <c r="G912" s="29" t="n">
        <v>45770</v>
      </c>
      <c r="H912" s="29" t="n">
        <v>45770</v>
      </c>
      <c r="I912" s="30" t="n"/>
      <c r="J912" t="inlineStr">
        <is>
          <t>R10.9</t>
        </is>
      </c>
      <c r="K912" t="inlineStr">
        <is>
          <t>Unspecified abdominal pain</t>
        </is>
      </c>
      <c r="L912" t="inlineStr">
        <is>
          <t>Symptoms &amp; Signs</t>
        </is>
      </c>
      <c r="M912" t="inlineStr">
        <is>
          <t>Home/Self-Care</t>
        </is>
      </c>
      <c r="N912" t="inlineStr">
        <is>
          <t>Silverline Medicare Advantage</t>
        </is>
      </c>
      <c r="O912" s="31" t="n">
        <v>3378.75</v>
      </c>
    </row>
    <row r="913">
      <c r="A913" t="inlineStr">
        <is>
          <t>ENC114437</t>
        </is>
      </c>
      <c r="B913" t="inlineStr">
        <is>
          <t>PT13384</t>
        </is>
      </c>
      <c r="C913" t="inlineStr">
        <is>
          <t>Inpatient</t>
        </is>
      </c>
      <c r="D913" t="inlineStr">
        <is>
          <t>Cedar Ridge Medical Center</t>
        </is>
      </c>
      <c r="E913" t="inlineStr">
        <is>
          <t>Medical-Surgical</t>
        </is>
      </c>
      <c r="F913" t="inlineStr">
        <is>
          <t>Medicine</t>
        </is>
      </c>
      <c r="G913" s="29" t="n">
        <v>45770</v>
      </c>
      <c r="H913" s="29" t="n">
        <v>45781</v>
      </c>
      <c r="I913" s="30" t="n">
        <v>11</v>
      </c>
      <c r="J913" t="inlineStr">
        <is>
          <t>J44.1</t>
        </is>
      </c>
      <c r="K913" t="inlineStr">
        <is>
          <t>Chronic obstructive pulmonary disease with (acute) exacerbation</t>
        </is>
      </c>
      <c r="L913" t="inlineStr">
        <is>
          <t>Respiratory</t>
        </is>
      </c>
      <c r="M913" t="inlineStr">
        <is>
          <t>Home/Self-Care</t>
        </is>
      </c>
      <c r="N913" t="inlineStr">
        <is>
          <t>Keystone Health Partners</t>
        </is>
      </c>
      <c r="O913" s="31" t="n">
        <v>41297.66</v>
      </c>
      <c r="P913" t="inlineStr">
        <is>
          <t>N</t>
        </is>
      </c>
    </row>
    <row r="914">
      <c r="A914" t="inlineStr">
        <is>
          <t>ENC114446</t>
        </is>
      </c>
      <c r="B914" t="inlineStr">
        <is>
          <t>PT11172</t>
        </is>
      </c>
      <c r="C914" t="inlineStr">
        <is>
          <t>Inpatient</t>
        </is>
      </c>
      <c r="D914" t="inlineStr">
        <is>
          <t>Bluestone Memorial Hospital</t>
        </is>
      </c>
      <c r="E914" t="inlineStr">
        <is>
          <t>Labor &amp; Delivery</t>
        </is>
      </c>
      <c r="F914" t="inlineStr">
        <is>
          <t>Women &amp; Children</t>
        </is>
      </c>
      <c r="G914" s="29" t="n">
        <v>45770</v>
      </c>
      <c r="H914" s="29" t="n">
        <v>45773</v>
      </c>
      <c r="I914" s="30" t="n">
        <v>3</v>
      </c>
      <c r="J914" t="inlineStr">
        <is>
          <t>O82</t>
        </is>
      </c>
      <c r="K914" t="inlineStr">
        <is>
          <t>Encounter for cesarean delivery without indication</t>
        </is>
      </c>
      <c r="L914" t="inlineStr">
        <is>
          <t>Pregnancy</t>
        </is>
      </c>
      <c r="M914" t="inlineStr">
        <is>
          <t>Home/Self-Care</t>
        </is>
      </c>
      <c r="N914" t="inlineStr">
        <is>
          <t>Keystone Health Partners</t>
        </is>
      </c>
      <c r="O914" s="31" t="n">
        <v>39023.56</v>
      </c>
      <c r="P914" t="inlineStr">
        <is>
          <t>N</t>
        </is>
      </c>
    </row>
    <row r="915">
      <c r="A915" t="inlineStr">
        <is>
          <t>ENC114448</t>
        </is>
      </c>
      <c r="B915" t="inlineStr">
        <is>
          <t>PT12780</t>
        </is>
      </c>
      <c r="C915" t="inlineStr">
        <is>
          <t>Emergency</t>
        </is>
      </c>
      <c r="D915" t="inlineStr">
        <is>
          <t>Bluestone Memorial Hospital</t>
        </is>
      </c>
      <c r="E915" t="inlineStr">
        <is>
          <t>Emergency Department</t>
        </is>
      </c>
      <c r="F915" t="inlineStr">
        <is>
          <t>Emergency</t>
        </is>
      </c>
      <c r="G915" s="29" t="n">
        <v>45770</v>
      </c>
      <c r="H915" s="29" t="n">
        <v>45770</v>
      </c>
      <c r="I915" s="30" t="n"/>
      <c r="J915" t="inlineStr">
        <is>
          <t>L03.115</t>
        </is>
      </c>
      <c r="K915" t="inlineStr">
        <is>
          <t>Cellulitis of right lower limb</t>
        </is>
      </c>
      <c r="L915" t="inlineStr">
        <is>
          <t>Skin</t>
        </is>
      </c>
      <c r="M915" t="inlineStr">
        <is>
          <t>Home/Self-Care</t>
        </is>
      </c>
      <c r="N915" t="inlineStr">
        <is>
          <t>Medicare</t>
        </is>
      </c>
      <c r="O915" s="31" t="n">
        <v>4515.83</v>
      </c>
    </row>
    <row r="916">
      <c r="A916" t="inlineStr">
        <is>
          <t>ENC114453</t>
        </is>
      </c>
      <c r="B916" t="inlineStr">
        <is>
          <t>PT13656</t>
        </is>
      </c>
      <c r="C916" t="inlineStr">
        <is>
          <t>Outpatient</t>
        </is>
      </c>
      <c r="D916" t="inlineStr">
        <is>
          <t>Bluestone Outpatient Pavilion</t>
        </is>
      </c>
      <c r="E916" t="inlineStr">
        <is>
          <t>Infusion &amp; Oncology Clinic</t>
        </is>
      </c>
      <c r="F916" t="inlineStr">
        <is>
          <t>Oncology</t>
        </is>
      </c>
      <c r="G916" s="29" t="n">
        <v>45770</v>
      </c>
      <c r="H916" s="29" t="n">
        <v>45770</v>
      </c>
      <c r="I916" s="30" t="n"/>
      <c r="J916" t="inlineStr">
        <is>
          <t>C34.90</t>
        </is>
      </c>
      <c r="K916" t="inlineStr">
        <is>
          <t>Malignant neoplasm of unspecified part of unspecified bronchus or lung</t>
        </is>
      </c>
      <c r="L916" t="inlineStr">
        <is>
          <t>Neoplasms</t>
        </is>
      </c>
      <c r="M916" t="inlineStr">
        <is>
          <t>Home/Self-Care</t>
        </is>
      </c>
      <c r="N916" t="inlineStr">
        <is>
          <t>Evergreen Mutual Insurance</t>
        </is>
      </c>
      <c r="O916" s="31" t="n">
        <v>363.35</v>
      </c>
    </row>
    <row r="917">
      <c r="A917" t="inlineStr">
        <is>
          <t>ENC114456</t>
        </is>
      </c>
      <c r="B917" t="inlineStr">
        <is>
          <t>PT12008</t>
        </is>
      </c>
      <c r="C917" t="inlineStr">
        <is>
          <t>Outpatient</t>
        </is>
      </c>
      <c r="D917" t="inlineStr">
        <is>
          <t>Bluestone Outpatient Pavilion</t>
        </is>
      </c>
      <c r="E917" t="inlineStr">
        <is>
          <t>Orthopedic Clinic</t>
        </is>
      </c>
      <c r="F917" t="inlineStr">
        <is>
          <t>Orthopedics</t>
        </is>
      </c>
      <c r="G917" s="29" t="n">
        <v>45770</v>
      </c>
      <c r="H917" s="29" t="n">
        <v>45770</v>
      </c>
      <c r="I917" s="30" t="n"/>
      <c r="J917" t="inlineStr">
        <is>
          <t>S93.401A</t>
        </is>
      </c>
      <c r="K917" t="inlineStr">
        <is>
          <t>Sprain of unspecified ligament of right ankle, initial encounter</t>
        </is>
      </c>
      <c r="L917" t="inlineStr">
        <is>
          <t>Injury</t>
        </is>
      </c>
      <c r="M917" t="inlineStr">
        <is>
          <t>Home/Self-Care</t>
        </is>
      </c>
      <c r="N917" t="inlineStr">
        <is>
          <t>Medicare</t>
        </is>
      </c>
      <c r="O917" s="31" t="n">
        <v>207.43</v>
      </c>
    </row>
    <row r="918">
      <c r="A918" t="inlineStr">
        <is>
          <t>ENC114459</t>
        </is>
      </c>
      <c r="B918" t="inlineStr">
        <is>
          <t>PT11504</t>
        </is>
      </c>
      <c r="C918" t="inlineStr">
        <is>
          <t>Observation</t>
        </is>
      </c>
      <c r="D918" t="inlineStr">
        <is>
          <t>Bluestone Memorial Hospital</t>
        </is>
      </c>
      <c r="E918" t="inlineStr">
        <is>
          <t>Observation Unit</t>
        </is>
      </c>
      <c r="F918" t="inlineStr">
        <is>
          <t>Medicine</t>
        </is>
      </c>
      <c r="G918" s="29" t="n">
        <v>45770</v>
      </c>
      <c r="H918" s="29" t="n">
        <v>45771</v>
      </c>
      <c r="I918" s="30" t="n">
        <v>1</v>
      </c>
      <c r="J918" t="inlineStr">
        <is>
          <t>R10.9</t>
        </is>
      </c>
      <c r="K918" t="inlineStr">
        <is>
          <t>Unspecified abdominal pain</t>
        </is>
      </c>
      <c r="L918" t="inlineStr">
        <is>
          <t>Symptoms &amp; Signs</t>
        </is>
      </c>
      <c r="M918" t="inlineStr">
        <is>
          <t>Home/Self-Care</t>
        </is>
      </c>
      <c r="N918" t="inlineStr">
        <is>
          <t>Medicare</t>
        </is>
      </c>
      <c r="O918" s="31" t="n">
        <v>3838.01</v>
      </c>
    </row>
    <row r="919">
      <c r="A919" t="inlineStr">
        <is>
          <t>ENC114461</t>
        </is>
      </c>
      <c r="B919" t="inlineStr">
        <is>
          <t>PT10936</t>
        </is>
      </c>
      <c r="C919" t="inlineStr">
        <is>
          <t>Observation</t>
        </is>
      </c>
      <c r="D919" t="inlineStr">
        <is>
          <t>Bluestone Memorial Hospital</t>
        </is>
      </c>
      <c r="E919" t="inlineStr">
        <is>
          <t>Observation Unit</t>
        </is>
      </c>
      <c r="F919" t="inlineStr">
        <is>
          <t>Medicine</t>
        </is>
      </c>
      <c r="G919" s="29" t="n">
        <v>45770</v>
      </c>
      <c r="H919" s="29" t="n">
        <v>45771</v>
      </c>
      <c r="I919" s="30" t="n">
        <v>1</v>
      </c>
      <c r="J919" t="inlineStr">
        <is>
          <t>R10.9</t>
        </is>
      </c>
      <c r="K919" t="inlineStr">
        <is>
          <t>Unspecified abdominal pain</t>
        </is>
      </c>
      <c r="L919" t="inlineStr">
        <is>
          <t>Symptoms &amp; Signs</t>
        </is>
      </c>
      <c r="M919" t="inlineStr">
        <is>
          <t>Home/Self-Care</t>
        </is>
      </c>
      <c r="N919" t="inlineStr">
        <is>
          <t>Evergreen Mutual Insurance</t>
        </is>
      </c>
      <c r="O919" s="31" t="n">
        <v>9161.719999999999</v>
      </c>
    </row>
    <row r="920">
      <c r="A920" t="inlineStr">
        <is>
          <t>ENC114463</t>
        </is>
      </c>
      <c r="B920" t="inlineStr">
        <is>
          <t>PT11136</t>
        </is>
      </c>
      <c r="C920" t="inlineStr">
        <is>
          <t>Outpatient</t>
        </is>
      </c>
      <c r="D920" t="inlineStr">
        <is>
          <t>Bluestone Outpatient Pavilion</t>
        </is>
      </c>
      <c r="E920" t="inlineStr">
        <is>
          <t>Primary Care Clinic</t>
        </is>
      </c>
      <c r="F920" t="inlineStr">
        <is>
          <t>Ambulatory</t>
        </is>
      </c>
      <c r="G920" s="29" t="n">
        <v>45770</v>
      </c>
      <c r="H920" s="29" t="n">
        <v>45770</v>
      </c>
      <c r="I920" s="30" t="n"/>
      <c r="J920" t="inlineStr">
        <is>
          <t>N39.0</t>
        </is>
      </c>
      <c r="K920" t="inlineStr">
        <is>
          <t>Urinary tract infection, site not specified</t>
        </is>
      </c>
      <c r="L920" t="inlineStr">
        <is>
          <t>Genitourinary</t>
        </is>
      </c>
      <c r="M920" t="inlineStr">
        <is>
          <t>Home/Self-Care</t>
        </is>
      </c>
      <c r="N920" t="inlineStr">
        <is>
          <t>State Medicaid</t>
        </is>
      </c>
      <c r="O920" s="31" t="n">
        <v>202.58</v>
      </c>
    </row>
    <row r="921">
      <c r="A921" t="inlineStr">
        <is>
          <t>ENC114467</t>
        </is>
      </c>
      <c r="B921" t="inlineStr">
        <is>
          <t>PT12268</t>
        </is>
      </c>
      <c r="C921" t="inlineStr">
        <is>
          <t>Emergency</t>
        </is>
      </c>
      <c r="D921" t="inlineStr">
        <is>
          <t>Bluestone Memorial Hospital</t>
        </is>
      </c>
      <c r="E921" t="inlineStr">
        <is>
          <t>Emergency Department</t>
        </is>
      </c>
      <c r="F921" t="inlineStr">
        <is>
          <t>Emergency</t>
        </is>
      </c>
      <c r="G921" s="29" t="n">
        <v>45770</v>
      </c>
      <c r="H921" s="29" t="n">
        <v>45770</v>
      </c>
      <c r="I921" s="30" t="n"/>
      <c r="J921" t="inlineStr">
        <is>
          <t>E11.9</t>
        </is>
      </c>
      <c r="K921" t="inlineStr">
        <is>
          <t>Type 2 diabetes mellitus without complications</t>
        </is>
      </c>
      <c r="L921" t="inlineStr">
        <is>
          <t>Endocrine</t>
        </is>
      </c>
      <c r="M921" t="inlineStr">
        <is>
          <t>Home/Self-Care</t>
        </is>
      </c>
      <c r="N921" t="inlineStr">
        <is>
          <t>Evergreen Mutual Insurance</t>
        </is>
      </c>
      <c r="O921" s="31" t="n">
        <v>1525.31</v>
      </c>
    </row>
    <row r="922">
      <c r="A922" t="inlineStr">
        <is>
          <t>ENC114469</t>
        </is>
      </c>
      <c r="B922" t="inlineStr">
        <is>
          <t>PT10740</t>
        </is>
      </c>
      <c r="C922" t="inlineStr">
        <is>
          <t>Inpatient</t>
        </is>
      </c>
      <c r="D922" t="inlineStr">
        <is>
          <t>Bluestone Memorial Hospital</t>
        </is>
      </c>
      <c r="E922" t="inlineStr">
        <is>
          <t>Medical-Surgical 5 East</t>
        </is>
      </c>
      <c r="F922" t="inlineStr">
        <is>
          <t>Medicine</t>
        </is>
      </c>
      <c r="G922" s="29" t="n">
        <v>45770</v>
      </c>
      <c r="H922" s="29" t="n">
        <v>45774</v>
      </c>
      <c r="I922" s="30" t="n">
        <v>4</v>
      </c>
      <c r="J922" t="inlineStr">
        <is>
          <t>F10.239</t>
        </is>
      </c>
      <c r="K922" t="inlineStr">
        <is>
          <t>Alcohol dependence with withdrawal, unspecified</t>
        </is>
      </c>
      <c r="L922" t="inlineStr">
        <is>
          <t>Mental &amp; Behavioral</t>
        </is>
      </c>
      <c r="M922" t="inlineStr">
        <is>
          <t>Home Health</t>
        </is>
      </c>
      <c r="N922" t="inlineStr">
        <is>
          <t>Keystone Health Partners</t>
        </is>
      </c>
      <c r="O922" s="31" t="n">
        <v>16577.14</v>
      </c>
      <c r="P922" t="inlineStr">
        <is>
          <t>N</t>
        </is>
      </c>
    </row>
    <row r="923">
      <c r="A923" t="inlineStr">
        <is>
          <t>ENC114475</t>
        </is>
      </c>
      <c r="B923" t="inlineStr">
        <is>
          <t>PT10184</t>
        </is>
      </c>
      <c r="C923" t="inlineStr">
        <is>
          <t>Inpatient</t>
        </is>
      </c>
      <c r="D923" t="inlineStr">
        <is>
          <t>Bluestone Memorial Hospital</t>
        </is>
      </c>
      <c r="E923" t="inlineStr">
        <is>
          <t>Labor &amp; Delivery</t>
        </is>
      </c>
      <c r="F923" t="inlineStr">
        <is>
          <t>Women &amp; Children</t>
        </is>
      </c>
      <c r="G923" s="29" t="n">
        <v>45771</v>
      </c>
      <c r="H923" s="29" t="n">
        <v>45772</v>
      </c>
      <c r="I923" s="30" t="n">
        <v>1</v>
      </c>
      <c r="J923" t="inlineStr">
        <is>
          <t>O80</t>
        </is>
      </c>
      <c r="K923" t="inlineStr">
        <is>
          <t>Encounter for full-term uncomplicated delivery</t>
        </is>
      </c>
      <c r="L923" t="inlineStr">
        <is>
          <t>Pregnancy</t>
        </is>
      </c>
      <c r="M923" t="inlineStr">
        <is>
          <t>Home/Self-Care</t>
        </is>
      </c>
      <c r="N923" t="inlineStr">
        <is>
          <t>Keystone Health Partners</t>
        </is>
      </c>
      <c r="O923" s="31" t="n">
        <v>8164.25</v>
      </c>
      <c r="P923" t="inlineStr">
        <is>
          <t>N</t>
        </is>
      </c>
    </row>
    <row r="924">
      <c r="A924" t="inlineStr">
        <is>
          <t>ENC114480</t>
        </is>
      </c>
      <c r="B924" t="inlineStr">
        <is>
          <t>PT11792</t>
        </is>
      </c>
      <c r="C924" t="inlineStr">
        <is>
          <t>Outpatient</t>
        </is>
      </c>
      <c r="D924" t="inlineStr">
        <is>
          <t>Bluestone Outpatient Pavilion</t>
        </is>
      </c>
      <c r="E924" t="inlineStr">
        <is>
          <t>Endocrinology &amp; Diabetes Clinic</t>
        </is>
      </c>
      <c r="F924" t="inlineStr">
        <is>
          <t>Ambulatory</t>
        </is>
      </c>
      <c r="G924" s="29" t="n">
        <v>45771</v>
      </c>
      <c r="H924" s="29" t="n">
        <v>45771</v>
      </c>
      <c r="I924" s="30" t="n"/>
      <c r="J924" t="inlineStr">
        <is>
          <t>E11.65</t>
        </is>
      </c>
      <c r="K924" t="inlineStr">
        <is>
          <t>Type 2 diabetes mellitus with hyperglycemia</t>
        </is>
      </c>
      <c r="L924" t="inlineStr">
        <is>
          <t>Endocrine</t>
        </is>
      </c>
      <c r="M924" t="inlineStr">
        <is>
          <t>Home/Self-Care</t>
        </is>
      </c>
      <c r="N924" t="inlineStr">
        <is>
          <t>Silverline Medicare Advantage</t>
        </is>
      </c>
      <c r="O924" s="31" t="n">
        <v>173.36</v>
      </c>
    </row>
    <row r="925">
      <c r="A925" t="inlineStr">
        <is>
          <t>ENC114481</t>
        </is>
      </c>
      <c r="B925" t="inlineStr">
        <is>
          <t>PT10032</t>
        </is>
      </c>
      <c r="C925" t="inlineStr">
        <is>
          <t>Observation</t>
        </is>
      </c>
      <c r="D925" t="inlineStr">
        <is>
          <t>Cedar Ridge Medical Center</t>
        </is>
      </c>
      <c r="E925" t="inlineStr">
        <is>
          <t>Medical-Surgical</t>
        </is>
      </c>
      <c r="F925" t="inlineStr">
        <is>
          <t>Medicine</t>
        </is>
      </c>
      <c r="G925" s="29" t="n">
        <v>45771</v>
      </c>
      <c r="H925" s="29" t="n">
        <v>45772</v>
      </c>
      <c r="I925" s="30" t="n">
        <v>1</v>
      </c>
      <c r="J925" t="inlineStr">
        <is>
          <t>E86.0</t>
        </is>
      </c>
      <c r="K925" t="inlineStr">
        <is>
          <t>Dehydration</t>
        </is>
      </c>
      <c r="L925" t="inlineStr">
        <is>
          <t>Endocrine</t>
        </is>
      </c>
      <c r="M925" t="inlineStr">
        <is>
          <t>Home/Self-Care</t>
        </is>
      </c>
      <c r="N925" t="inlineStr">
        <is>
          <t>State Medicaid</t>
        </is>
      </c>
      <c r="O925" s="31" t="n">
        <v>8062.59</v>
      </c>
    </row>
    <row r="926">
      <c r="A926" t="inlineStr">
        <is>
          <t>ENC114482</t>
        </is>
      </c>
      <c r="B926" t="inlineStr">
        <is>
          <t>PT11572</t>
        </is>
      </c>
      <c r="C926" t="inlineStr">
        <is>
          <t>Emergency</t>
        </is>
      </c>
      <c r="D926" t="inlineStr">
        <is>
          <t>Bluestone Memorial Hospital</t>
        </is>
      </c>
      <c r="E926" t="inlineStr">
        <is>
          <t>Emergency Department</t>
        </is>
      </c>
      <c r="F926" t="inlineStr">
        <is>
          <t>Emergency</t>
        </is>
      </c>
      <c r="G926" s="29" t="n">
        <v>45771</v>
      </c>
      <c r="H926" s="29" t="n">
        <v>45771</v>
      </c>
      <c r="I926" s="30" t="n"/>
      <c r="J926" t="inlineStr">
        <is>
          <t>R10.9</t>
        </is>
      </c>
      <c r="K926" t="inlineStr">
        <is>
          <t>Unspecified abdominal pain</t>
        </is>
      </c>
      <c r="L926" t="inlineStr">
        <is>
          <t>Symptoms &amp; Signs</t>
        </is>
      </c>
      <c r="M926" t="inlineStr">
        <is>
          <t>Home/Self-Care</t>
        </is>
      </c>
      <c r="N926" t="inlineStr">
        <is>
          <t>Keystone Health Partners</t>
        </is>
      </c>
      <c r="O926" s="31" t="n">
        <v>1556.05</v>
      </c>
    </row>
    <row r="927">
      <c r="A927" t="inlineStr">
        <is>
          <t>ENC114483</t>
        </is>
      </c>
      <c r="B927" t="inlineStr">
        <is>
          <t>PT13428</t>
        </is>
      </c>
      <c r="C927" t="inlineStr">
        <is>
          <t>Outpatient</t>
        </is>
      </c>
      <c r="D927" t="inlineStr">
        <is>
          <t>Bluestone Outpatient Pavilion</t>
        </is>
      </c>
      <c r="E927" t="inlineStr">
        <is>
          <t>Endocrinology &amp; Diabetes Clinic</t>
        </is>
      </c>
      <c r="F927" t="inlineStr">
        <is>
          <t>Ambulatory</t>
        </is>
      </c>
      <c r="G927" s="29" t="n">
        <v>45771</v>
      </c>
      <c r="H927" s="29" t="n">
        <v>45771</v>
      </c>
      <c r="I927" s="30" t="n"/>
      <c r="J927" t="inlineStr">
        <is>
          <t>E11.65</t>
        </is>
      </c>
      <c r="K927" t="inlineStr">
        <is>
          <t>Type 2 diabetes mellitus with hyperglycemia</t>
        </is>
      </c>
      <c r="L927" t="inlineStr">
        <is>
          <t>Endocrine</t>
        </is>
      </c>
      <c r="M927" t="inlineStr">
        <is>
          <t>Home/Self-Care</t>
        </is>
      </c>
      <c r="N927" t="inlineStr">
        <is>
          <t>Keystone Health Partners</t>
        </is>
      </c>
      <c r="O927" s="31" t="n">
        <v>178.71</v>
      </c>
    </row>
    <row r="928">
      <c r="A928" t="inlineStr">
        <is>
          <t>ENC114487</t>
        </is>
      </c>
      <c r="B928" t="inlineStr">
        <is>
          <t>PT13896</t>
        </is>
      </c>
      <c r="C928" t="inlineStr">
        <is>
          <t>Inpatient</t>
        </is>
      </c>
      <c r="D928" t="inlineStr">
        <is>
          <t>Bluestone Memorial Hospital</t>
        </is>
      </c>
      <c r="E928" t="inlineStr">
        <is>
          <t>Labor &amp; Delivery</t>
        </is>
      </c>
      <c r="F928" t="inlineStr">
        <is>
          <t>Women &amp; Children</t>
        </is>
      </c>
      <c r="G928" s="29" t="n">
        <v>45771</v>
      </c>
      <c r="H928" s="29" t="n">
        <v>45774</v>
      </c>
      <c r="I928" s="30" t="n">
        <v>3</v>
      </c>
      <c r="J928" t="inlineStr">
        <is>
          <t>O80</t>
        </is>
      </c>
      <c r="K928" t="inlineStr">
        <is>
          <t>Encounter for full-term uncomplicated delivery</t>
        </is>
      </c>
      <c r="L928" t="inlineStr">
        <is>
          <t>Pregnancy</t>
        </is>
      </c>
      <c r="M928" t="inlineStr">
        <is>
          <t>Home/Self-Care</t>
        </is>
      </c>
      <c r="N928" t="inlineStr">
        <is>
          <t>Evergreen Mutual Insurance</t>
        </is>
      </c>
      <c r="O928" s="31" t="n">
        <v>28417.77</v>
      </c>
      <c r="P928" t="inlineStr">
        <is>
          <t>N</t>
        </is>
      </c>
    </row>
    <row r="929">
      <c r="A929" t="inlineStr">
        <is>
          <t>ENC114488</t>
        </is>
      </c>
      <c r="B929" t="inlineStr">
        <is>
          <t>PT11520</t>
        </is>
      </c>
      <c r="C929" t="inlineStr">
        <is>
          <t>Outpatient</t>
        </is>
      </c>
      <c r="D929" t="inlineStr">
        <is>
          <t>Bluestone Outpatient Pavilion</t>
        </is>
      </c>
      <c r="E929" t="inlineStr">
        <is>
          <t>Primary Care Clinic</t>
        </is>
      </c>
      <c r="F929" t="inlineStr">
        <is>
          <t>Ambulatory</t>
        </is>
      </c>
      <c r="G929" s="29" t="n">
        <v>45771</v>
      </c>
      <c r="H929" s="29" t="n">
        <v>45771</v>
      </c>
      <c r="I929" s="30" t="n"/>
      <c r="J929" t="inlineStr">
        <is>
          <t>I10</t>
        </is>
      </c>
      <c r="K929" t="inlineStr">
        <is>
          <t>Essential (primary) hypertension</t>
        </is>
      </c>
      <c r="L929" t="inlineStr">
        <is>
          <t>Circulatory</t>
        </is>
      </c>
      <c r="M929" t="inlineStr">
        <is>
          <t>Home/Self-Care</t>
        </is>
      </c>
      <c r="N929" t="inlineStr">
        <is>
          <t>State Medicaid</t>
        </is>
      </c>
      <c r="O929" s="31" t="n">
        <v>356.02</v>
      </c>
    </row>
    <row r="930">
      <c r="A930" t="inlineStr">
        <is>
          <t>ENC114495</t>
        </is>
      </c>
      <c r="B930" t="inlineStr">
        <is>
          <t>PT12400</t>
        </is>
      </c>
      <c r="C930" t="inlineStr">
        <is>
          <t>Outpatient</t>
        </is>
      </c>
      <c r="D930" t="inlineStr">
        <is>
          <t>Bluestone Outpatient Pavilion</t>
        </is>
      </c>
      <c r="E930" t="inlineStr">
        <is>
          <t>Primary Care Clinic</t>
        </is>
      </c>
      <c r="F930" t="inlineStr">
        <is>
          <t>Ambulatory</t>
        </is>
      </c>
      <c r="G930" s="29" t="n">
        <v>45771</v>
      </c>
      <c r="H930" s="29" t="n">
        <v>45771</v>
      </c>
      <c r="I930" s="30" t="n"/>
      <c r="J930" t="inlineStr">
        <is>
          <t>I10</t>
        </is>
      </c>
      <c r="K930" t="inlineStr">
        <is>
          <t>Essential (primary) hypertension</t>
        </is>
      </c>
      <c r="L930" t="inlineStr">
        <is>
          <t>Circulatory</t>
        </is>
      </c>
      <c r="M930" t="inlineStr">
        <is>
          <t>Home/Self-Care</t>
        </is>
      </c>
      <c r="N930" t="inlineStr">
        <is>
          <t>Self-Pay</t>
        </is>
      </c>
      <c r="O930" s="31" t="n">
        <v>216.33</v>
      </c>
    </row>
    <row r="931">
      <c r="A931" t="inlineStr">
        <is>
          <t>ENC114498</t>
        </is>
      </c>
      <c r="B931" t="inlineStr">
        <is>
          <t>PT11820</t>
        </is>
      </c>
      <c r="C931" t="inlineStr">
        <is>
          <t>Outpatient</t>
        </is>
      </c>
      <c r="D931" t="inlineStr">
        <is>
          <t>Bluestone Outpatient Pavilion</t>
        </is>
      </c>
      <c r="E931" t="inlineStr">
        <is>
          <t>Primary Care Clinic</t>
        </is>
      </c>
      <c r="F931" t="inlineStr">
        <is>
          <t>Ambulatory</t>
        </is>
      </c>
      <c r="G931" s="29" t="n">
        <v>45771</v>
      </c>
      <c r="H931" s="29" t="n">
        <v>45771</v>
      </c>
      <c r="I931" s="30" t="n"/>
      <c r="J931" t="inlineStr">
        <is>
          <t>Z00.00</t>
        </is>
      </c>
      <c r="K931" t="inlineStr">
        <is>
          <t>Encounter for general adult medical examination without abnormal findings</t>
        </is>
      </c>
      <c r="L931" t="inlineStr">
        <is>
          <t>Factors Influencing Health</t>
        </is>
      </c>
      <c r="M931" t="inlineStr">
        <is>
          <t>Home/Self-Care</t>
        </is>
      </c>
      <c r="N931" t="inlineStr">
        <is>
          <t>Silverline Medicare Advantage</t>
        </is>
      </c>
      <c r="O931" s="31" t="n">
        <v>355.08</v>
      </c>
    </row>
    <row r="932">
      <c r="A932" t="inlineStr">
        <is>
          <t>ENC114503</t>
        </is>
      </c>
      <c r="B932" t="inlineStr">
        <is>
          <t>PT13528</t>
        </is>
      </c>
      <c r="C932" t="inlineStr">
        <is>
          <t>Emergency</t>
        </is>
      </c>
      <c r="D932" t="inlineStr">
        <is>
          <t>Cedar Ridge Medical Center</t>
        </is>
      </c>
      <c r="E932" t="inlineStr">
        <is>
          <t>Emergency Department</t>
        </is>
      </c>
      <c r="F932" t="inlineStr">
        <is>
          <t>Emergency</t>
        </is>
      </c>
      <c r="G932" s="29" t="n">
        <v>45771</v>
      </c>
      <c r="H932" s="29" t="n">
        <v>45771</v>
      </c>
      <c r="I932" s="30" t="n"/>
      <c r="J932" t="inlineStr">
        <is>
          <t>J06.9</t>
        </is>
      </c>
      <c r="K932" t="inlineStr">
        <is>
          <t>Acute upper respiratory infection, unspecified</t>
        </is>
      </c>
      <c r="L932" t="inlineStr">
        <is>
          <t>Respiratory</t>
        </is>
      </c>
      <c r="M932" t="inlineStr">
        <is>
          <t>Home/Self-Care</t>
        </is>
      </c>
      <c r="N932" t="inlineStr">
        <is>
          <t>State Medicaid</t>
        </is>
      </c>
      <c r="O932" s="31" t="n">
        <v>1622.99</v>
      </c>
    </row>
    <row r="933">
      <c r="A933" t="inlineStr">
        <is>
          <t>ENC114504</t>
        </is>
      </c>
      <c r="B933" t="inlineStr">
        <is>
          <t>PT11312</t>
        </is>
      </c>
      <c r="C933" t="inlineStr">
        <is>
          <t>Observation</t>
        </is>
      </c>
      <c r="D933" t="inlineStr">
        <is>
          <t>Cedar Ridge Medical Center</t>
        </is>
      </c>
      <c r="E933" t="inlineStr">
        <is>
          <t>Medical-Surgical</t>
        </is>
      </c>
      <c r="F933" t="inlineStr">
        <is>
          <t>Medicine</t>
        </is>
      </c>
      <c r="G933" s="29" t="n">
        <v>45772</v>
      </c>
      <c r="H933" s="29" t="n">
        <v>45773</v>
      </c>
      <c r="I933" s="30" t="n">
        <v>1</v>
      </c>
      <c r="J933" t="inlineStr">
        <is>
          <t>U07.1</t>
        </is>
      </c>
      <c r="K933" t="inlineStr">
        <is>
          <t>COVID-19</t>
        </is>
      </c>
      <c r="L933" t="inlineStr">
        <is>
          <t>Respiratory</t>
        </is>
      </c>
      <c r="M933" t="inlineStr">
        <is>
          <t>Home/Self-Care</t>
        </is>
      </c>
      <c r="N933" t="inlineStr">
        <is>
          <t>Evergreen Mutual Insurance</t>
        </is>
      </c>
      <c r="O933" s="31" t="n">
        <v>6832.69</v>
      </c>
    </row>
    <row r="934">
      <c r="A934" t="inlineStr">
        <is>
          <t>ENC114509</t>
        </is>
      </c>
      <c r="B934" t="inlineStr">
        <is>
          <t>PT11988</t>
        </is>
      </c>
      <c r="C934" t="inlineStr">
        <is>
          <t>Outpatient</t>
        </is>
      </c>
      <c r="D934" t="inlineStr">
        <is>
          <t>Bluestone Outpatient Pavilion</t>
        </is>
      </c>
      <c r="E934" t="inlineStr">
        <is>
          <t>Cardiology Clinic</t>
        </is>
      </c>
      <c r="F934" t="inlineStr">
        <is>
          <t>Cardiovascular</t>
        </is>
      </c>
      <c r="G934" s="29" t="n">
        <v>45772</v>
      </c>
      <c r="H934" s="29" t="n">
        <v>45772</v>
      </c>
      <c r="I934" s="30" t="n"/>
      <c r="J934" t="inlineStr">
        <is>
          <t>I48.91</t>
        </is>
      </c>
      <c r="K934" t="inlineStr">
        <is>
          <t>Unspecified atrial fibrillation</t>
        </is>
      </c>
      <c r="L934" t="inlineStr">
        <is>
          <t>Circulatory</t>
        </is>
      </c>
      <c r="M934" t="inlineStr">
        <is>
          <t>Home/Self-Care</t>
        </is>
      </c>
      <c r="N934" t="inlineStr">
        <is>
          <t>Medicare</t>
        </is>
      </c>
      <c r="O934" s="31" t="n">
        <v>434.15</v>
      </c>
    </row>
    <row r="935">
      <c r="A935" t="inlineStr">
        <is>
          <t>ENC114512</t>
        </is>
      </c>
      <c r="B935" t="inlineStr">
        <is>
          <t>PT12120</t>
        </is>
      </c>
      <c r="C935" t="inlineStr">
        <is>
          <t>Outpatient</t>
        </is>
      </c>
      <c r="D935" t="inlineStr">
        <is>
          <t>Bluestone Outpatient Pavilion</t>
        </is>
      </c>
      <c r="E935" t="inlineStr">
        <is>
          <t>Orthopedic Clinic</t>
        </is>
      </c>
      <c r="F935" t="inlineStr">
        <is>
          <t>Orthopedics</t>
        </is>
      </c>
      <c r="G935" s="29" t="n">
        <v>45772</v>
      </c>
      <c r="H935" s="29" t="n">
        <v>45772</v>
      </c>
      <c r="I935" s="30" t="n"/>
      <c r="J935" t="inlineStr">
        <is>
          <t>S93.401A</t>
        </is>
      </c>
      <c r="K935" t="inlineStr">
        <is>
          <t>Sprain of unspecified ligament of right ankle, initial encounter</t>
        </is>
      </c>
      <c r="L935" t="inlineStr">
        <is>
          <t>Injury</t>
        </is>
      </c>
      <c r="M935" t="inlineStr">
        <is>
          <t>Home/Self-Care</t>
        </is>
      </c>
      <c r="N935" t="inlineStr">
        <is>
          <t>State Medicaid</t>
        </is>
      </c>
      <c r="O935" s="31" t="n">
        <v>468.13</v>
      </c>
    </row>
    <row r="936">
      <c r="A936" t="inlineStr">
        <is>
          <t>ENC114515</t>
        </is>
      </c>
      <c r="B936" t="inlineStr">
        <is>
          <t>PT13452</t>
        </is>
      </c>
      <c r="C936" t="inlineStr">
        <is>
          <t>Inpatient</t>
        </is>
      </c>
      <c r="D936" t="inlineStr">
        <is>
          <t>Bluestone Memorial Hospital</t>
        </is>
      </c>
      <c r="E936" t="inlineStr">
        <is>
          <t>Neuroscience &amp; Stroke</t>
        </is>
      </c>
      <c r="F936" t="inlineStr">
        <is>
          <t>Neuroscience</t>
        </is>
      </c>
      <c r="G936" s="29" t="n">
        <v>45772</v>
      </c>
      <c r="H936" s="29" t="n">
        <v>45774</v>
      </c>
      <c r="I936" s="30" t="n">
        <v>2</v>
      </c>
      <c r="J936" t="inlineStr">
        <is>
          <t>G40.909</t>
        </is>
      </c>
      <c r="K936" t="inlineStr">
        <is>
          <t>Epilepsy, unspecified, not intractable, without status epilepticus</t>
        </is>
      </c>
      <c r="L936" t="inlineStr">
        <is>
          <t>Nervous System</t>
        </is>
      </c>
      <c r="M936" t="inlineStr">
        <is>
          <t>Home/Self-Care</t>
        </is>
      </c>
      <c r="N936" t="inlineStr">
        <is>
          <t>State Medicaid</t>
        </is>
      </c>
      <c r="O936" s="31" t="n">
        <v>15880.02</v>
      </c>
      <c r="P936" t="inlineStr">
        <is>
          <t>N</t>
        </is>
      </c>
    </row>
    <row r="937">
      <c r="A937" t="inlineStr">
        <is>
          <t>ENC114525</t>
        </is>
      </c>
      <c r="B937" t="inlineStr">
        <is>
          <t>PT10600</t>
        </is>
      </c>
      <c r="C937" t="inlineStr">
        <is>
          <t>Inpatient</t>
        </is>
      </c>
      <c r="D937" t="inlineStr">
        <is>
          <t>Bluestone Memorial Hospital</t>
        </is>
      </c>
      <c r="E937" t="inlineStr">
        <is>
          <t>Medical-Surgical 5 East</t>
        </is>
      </c>
      <c r="F937" t="inlineStr">
        <is>
          <t>Medicine</t>
        </is>
      </c>
      <c r="G937" s="29" t="n">
        <v>45772</v>
      </c>
      <c r="H937" s="29" t="n">
        <v>45776</v>
      </c>
      <c r="I937" s="30" t="n">
        <v>4</v>
      </c>
      <c r="J937" t="inlineStr">
        <is>
          <t>J18.9</t>
        </is>
      </c>
      <c r="K937" t="inlineStr">
        <is>
          <t>Pneumonia, unspecified organism</t>
        </is>
      </c>
      <c r="L937" t="inlineStr">
        <is>
          <t>Respiratory</t>
        </is>
      </c>
      <c r="M937" t="inlineStr">
        <is>
          <t>Home/Self-Care</t>
        </is>
      </c>
      <c r="N937" t="inlineStr">
        <is>
          <t>Summit Choice PPO</t>
        </is>
      </c>
      <c r="O937" s="31" t="n">
        <v>21009.9</v>
      </c>
      <c r="P937" t="inlineStr">
        <is>
          <t>Y</t>
        </is>
      </c>
    </row>
    <row r="938">
      <c r="A938" t="inlineStr">
        <is>
          <t>ENC114526</t>
        </is>
      </c>
      <c r="B938" t="inlineStr">
        <is>
          <t>PT10608</t>
        </is>
      </c>
      <c r="C938" t="inlineStr">
        <is>
          <t>Emergency</t>
        </is>
      </c>
      <c r="D938" t="inlineStr">
        <is>
          <t>Bluestone Memorial Hospital</t>
        </is>
      </c>
      <c r="E938" t="inlineStr">
        <is>
          <t>Emergency Department</t>
        </is>
      </c>
      <c r="F938" t="inlineStr">
        <is>
          <t>Emergency</t>
        </is>
      </c>
      <c r="G938" s="29" t="n">
        <v>45772</v>
      </c>
      <c r="H938" s="29" t="n">
        <v>45772</v>
      </c>
      <c r="I938" s="30" t="n"/>
      <c r="J938" t="inlineStr">
        <is>
          <t>G40.909</t>
        </is>
      </c>
      <c r="K938" t="inlineStr">
        <is>
          <t>Epilepsy, unspecified, not intractable, without status epilepticus</t>
        </is>
      </c>
      <c r="L938" t="inlineStr">
        <is>
          <t>Nervous System</t>
        </is>
      </c>
      <c r="M938" t="inlineStr">
        <is>
          <t>Transfer to Another Hospital</t>
        </is>
      </c>
      <c r="N938" t="inlineStr">
        <is>
          <t>Silverline Medicare Advantage</t>
        </is>
      </c>
      <c r="O938" s="31" t="n">
        <v>4010.89</v>
      </c>
    </row>
    <row r="939">
      <c r="A939" t="inlineStr">
        <is>
          <t>ENC114532</t>
        </is>
      </c>
      <c r="B939" t="inlineStr">
        <is>
          <t>PT12032</t>
        </is>
      </c>
      <c r="C939" t="inlineStr">
        <is>
          <t>Emergency</t>
        </is>
      </c>
      <c r="D939" t="inlineStr">
        <is>
          <t>Bluestone Memorial Hospital</t>
        </is>
      </c>
      <c r="E939" t="inlineStr">
        <is>
          <t>Emergency Department</t>
        </is>
      </c>
      <c r="F939" t="inlineStr">
        <is>
          <t>Emergency</t>
        </is>
      </c>
      <c r="G939" s="29" t="n">
        <v>45772</v>
      </c>
      <c r="H939" s="29" t="n">
        <v>45772</v>
      </c>
      <c r="I939" s="30" t="n"/>
      <c r="J939" t="inlineStr">
        <is>
          <t>J06.9</t>
        </is>
      </c>
      <c r="K939" t="inlineStr">
        <is>
          <t>Acute upper respiratory infection, unspecified</t>
        </is>
      </c>
      <c r="L939" t="inlineStr">
        <is>
          <t>Respiratory</t>
        </is>
      </c>
      <c r="M939" t="inlineStr">
        <is>
          <t>Home/Self-Care</t>
        </is>
      </c>
      <c r="N939" t="inlineStr">
        <is>
          <t>State Medicaid</t>
        </is>
      </c>
      <c r="O939" s="31" t="n">
        <v>628.39</v>
      </c>
    </row>
    <row r="940">
      <c r="A940" t="inlineStr">
        <is>
          <t>ENC114536</t>
        </is>
      </c>
      <c r="B940" t="inlineStr">
        <is>
          <t>PT13016</t>
        </is>
      </c>
      <c r="C940" t="inlineStr">
        <is>
          <t>Emergency</t>
        </is>
      </c>
      <c r="D940" t="inlineStr">
        <is>
          <t>Ashby Falls Community Hospital</t>
        </is>
      </c>
      <c r="E940" t="inlineStr">
        <is>
          <t>Emergency Department</t>
        </is>
      </c>
      <c r="F940" t="inlineStr">
        <is>
          <t>Emergency</t>
        </is>
      </c>
      <c r="G940" s="29" t="n">
        <v>45773</v>
      </c>
      <c r="H940" s="29" t="n">
        <v>45773</v>
      </c>
      <c r="I940" s="30" t="n"/>
      <c r="J940" t="inlineStr">
        <is>
          <t>R07.9</t>
        </is>
      </c>
      <c r="K940" t="inlineStr">
        <is>
          <t>Chest pain, unspecified</t>
        </is>
      </c>
      <c r="L940" t="inlineStr">
        <is>
          <t>Symptoms &amp; Signs</t>
        </is>
      </c>
      <c r="M940" t="inlineStr">
        <is>
          <t>Home/Self-Care</t>
        </is>
      </c>
      <c r="N940" t="inlineStr">
        <is>
          <t>Evergreen Mutual Insurance</t>
        </is>
      </c>
      <c r="O940" s="31" t="n">
        <v>3232.1</v>
      </c>
    </row>
    <row r="941">
      <c r="A941" t="inlineStr">
        <is>
          <t>ENC114540</t>
        </is>
      </c>
      <c r="B941" t="inlineStr">
        <is>
          <t>PT10552</t>
        </is>
      </c>
      <c r="C941" t="inlineStr">
        <is>
          <t>Inpatient</t>
        </is>
      </c>
      <c r="D941" t="inlineStr">
        <is>
          <t>Bluestone Memorial Hospital</t>
        </is>
      </c>
      <c r="E941" t="inlineStr">
        <is>
          <t>Oncology</t>
        </is>
      </c>
      <c r="F941" t="inlineStr">
        <is>
          <t>Oncology</t>
        </is>
      </c>
      <c r="G941" s="29" t="n">
        <v>45773</v>
      </c>
      <c r="H941" s="29" t="n">
        <v>45778</v>
      </c>
      <c r="I941" s="30" t="n">
        <v>5</v>
      </c>
      <c r="J941" t="inlineStr">
        <is>
          <t>D70.1</t>
        </is>
      </c>
      <c r="K941" t="inlineStr">
        <is>
          <t>Agranulocytosis secondary to cancer chemotherapy</t>
        </is>
      </c>
      <c r="L941" t="inlineStr">
        <is>
          <t>Blood</t>
        </is>
      </c>
      <c r="M941" t="inlineStr">
        <is>
          <t>Home/Self-Care</t>
        </is>
      </c>
      <c r="N941" t="inlineStr">
        <is>
          <t>Medicare</t>
        </is>
      </c>
      <c r="O941" s="31" t="n">
        <v>29245.43</v>
      </c>
      <c r="P941" t="inlineStr">
        <is>
          <t>N</t>
        </is>
      </c>
    </row>
    <row r="942">
      <c r="A942" t="inlineStr">
        <is>
          <t>ENC114541</t>
        </is>
      </c>
      <c r="B942" t="inlineStr">
        <is>
          <t>PT11300</t>
        </is>
      </c>
      <c r="C942" t="inlineStr">
        <is>
          <t>Inpatient</t>
        </is>
      </c>
      <c r="D942" t="inlineStr">
        <is>
          <t>Bluestone Memorial Hospital</t>
        </is>
      </c>
      <c r="E942" t="inlineStr">
        <is>
          <t>Cardiac Step-Down</t>
        </is>
      </c>
      <c r="F942" t="inlineStr">
        <is>
          <t>Cardiovascular</t>
        </is>
      </c>
      <c r="G942" s="29" t="n">
        <v>45773</v>
      </c>
      <c r="H942" s="29" t="n">
        <v>45774</v>
      </c>
      <c r="I942" s="30" t="n">
        <v>1</v>
      </c>
      <c r="J942" t="inlineStr">
        <is>
          <t>I48.91</t>
        </is>
      </c>
      <c r="K942" t="inlineStr">
        <is>
          <t>Unspecified atrial fibrillation</t>
        </is>
      </c>
      <c r="L942" t="inlineStr">
        <is>
          <t>Circulatory</t>
        </is>
      </c>
      <c r="M942" t="inlineStr">
        <is>
          <t>Home/Self-Care</t>
        </is>
      </c>
      <c r="N942" t="inlineStr">
        <is>
          <t>Keystone Health Partners</t>
        </is>
      </c>
      <c r="O942" s="31" t="n">
        <v>5740.44</v>
      </c>
      <c r="P942" t="inlineStr">
        <is>
          <t>N</t>
        </is>
      </c>
    </row>
    <row r="943">
      <c r="A943" t="inlineStr">
        <is>
          <t>ENC114558</t>
        </is>
      </c>
      <c r="B943" t="inlineStr">
        <is>
          <t>PT11716</t>
        </is>
      </c>
      <c r="C943" t="inlineStr">
        <is>
          <t>Emergency</t>
        </is>
      </c>
      <c r="D943" t="inlineStr">
        <is>
          <t>Cedar Ridge Medical Center</t>
        </is>
      </c>
      <c r="E943" t="inlineStr">
        <is>
          <t>Emergency Department</t>
        </is>
      </c>
      <c r="F943" t="inlineStr">
        <is>
          <t>Emergency</t>
        </is>
      </c>
      <c r="G943" s="29" t="n">
        <v>45774</v>
      </c>
      <c r="H943" s="29" t="n">
        <v>45774</v>
      </c>
      <c r="I943" s="30" t="n"/>
      <c r="J943" t="inlineStr">
        <is>
          <t>J06.9</t>
        </is>
      </c>
      <c r="K943" t="inlineStr">
        <is>
          <t>Acute upper respiratory infection, unspecified</t>
        </is>
      </c>
      <c r="L943" t="inlineStr">
        <is>
          <t>Respiratory</t>
        </is>
      </c>
      <c r="M943" t="inlineStr">
        <is>
          <t>Home/Self-Care</t>
        </is>
      </c>
      <c r="N943" t="inlineStr">
        <is>
          <t>Silverline Medicare Advantage</t>
        </is>
      </c>
      <c r="O943" s="31" t="n">
        <v>1356.46</v>
      </c>
    </row>
    <row r="944">
      <c r="A944" t="inlineStr">
        <is>
          <t>ENC114562</t>
        </is>
      </c>
      <c r="B944" t="inlineStr">
        <is>
          <t>PT11952</t>
        </is>
      </c>
      <c r="C944" t="inlineStr">
        <is>
          <t>Inpatient</t>
        </is>
      </c>
      <c r="D944" t="inlineStr">
        <is>
          <t>Bluestone Memorial Hospital</t>
        </is>
      </c>
      <c r="E944" t="inlineStr">
        <is>
          <t>Cardiac Step-Down</t>
        </is>
      </c>
      <c r="F944" t="inlineStr">
        <is>
          <t>Cardiovascular</t>
        </is>
      </c>
      <c r="G944" s="29" t="n">
        <v>45774</v>
      </c>
      <c r="H944" s="29" t="n">
        <v>45781</v>
      </c>
      <c r="I944" s="30" t="n">
        <v>7</v>
      </c>
      <c r="J944" t="inlineStr">
        <is>
          <t>I50.9</t>
        </is>
      </c>
      <c r="K944" t="inlineStr">
        <is>
          <t>Heart failure, unspecified</t>
        </is>
      </c>
      <c r="L944" t="inlineStr">
        <is>
          <t>Circulatory</t>
        </is>
      </c>
      <c r="M944" t="inlineStr">
        <is>
          <t>Home/Self-Care</t>
        </is>
      </c>
      <c r="N944" t="inlineStr">
        <is>
          <t>Silverline Medicare Advantage</t>
        </is>
      </c>
      <c r="O944" s="31" t="n">
        <v>43710.53</v>
      </c>
      <c r="P944" t="inlineStr">
        <is>
          <t>Y</t>
        </is>
      </c>
    </row>
    <row r="945">
      <c r="A945" t="inlineStr">
        <is>
          <t>ENC114566</t>
        </is>
      </c>
      <c r="B945" t="inlineStr">
        <is>
          <t>PT10136</t>
        </is>
      </c>
      <c r="C945" t="inlineStr">
        <is>
          <t>Inpatient</t>
        </is>
      </c>
      <c r="D945" t="inlineStr">
        <is>
          <t>Bluestone Memorial Hospital</t>
        </is>
      </c>
      <c r="E945" t="inlineStr">
        <is>
          <t>Neuroscience &amp; Stroke</t>
        </is>
      </c>
      <c r="F945" t="inlineStr">
        <is>
          <t>Neuroscience</t>
        </is>
      </c>
      <c r="G945" s="29" t="n">
        <v>45775</v>
      </c>
      <c r="H945" s="29" t="n">
        <v>45780</v>
      </c>
      <c r="I945" s="30" t="n">
        <v>5</v>
      </c>
      <c r="J945" t="inlineStr">
        <is>
          <t>I63.9</t>
        </is>
      </c>
      <c r="K945" t="inlineStr">
        <is>
          <t>Cerebral infarction, unspecified</t>
        </is>
      </c>
      <c r="L945" t="inlineStr">
        <is>
          <t>Circulatory</t>
        </is>
      </c>
      <c r="M945" t="inlineStr">
        <is>
          <t>Inpatient Rehab</t>
        </is>
      </c>
      <c r="N945" t="inlineStr">
        <is>
          <t>Summit Choice PPO</t>
        </is>
      </c>
      <c r="O945" s="31" t="n">
        <v>19598.69</v>
      </c>
      <c r="P945" t="inlineStr">
        <is>
          <t>N</t>
        </is>
      </c>
    </row>
    <row r="946">
      <c r="A946" t="inlineStr">
        <is>
          <t>ENC114569</t>
        </is>
      </c>
      <c r="B946" t="inlineStr">
        <is>
          <t>PT13128</t>
        </is>
      </c>
      <c r="C946" t="inlineStr">
        <is>
          <t>Inpatient</t>
        </is>
      </c>
      <c r="D946" t="inlineStr">
        <is>
          <t>Bluestone Memorial Hospital</t>
        </is>
      </c>
      <c r="E946" t="inlineStr">
        <is>
          <t>Labor &amp; Delivery</t>
        </is>
      </c>
      <c r="F946" t="inlineStr">
        <is>
          <t>Women &amp; Children</t>
        </is>
      </c>
      <c r="G946" s="29" t="n">
        <v>45775</v>
      </c>
      <c r="H946" s="29" t="n">
        <v>45777</v>
      </c>
      <c r="I946" s="30" t="n">
        <v>2</v>
      </c>
      <c r="J946" t="inlineStr">
        <is>
          <t>O80</t>
        </is>
      </c>
      <c r="K946" t="inlineStr">
        <is>
          <t>Encounter for full-term uncomplicated delivery</t>
        </is>
      </c>
      <c r="L946" t="inlineStr">
        <is>
          <t>Pregnancy</t>
        </is>
      </c>
      <c r="M946" t="inlineStr">
        <is>
          <t>Home/Self-Care</t>
        </is>
      </c>
      <c r="N946" t="inlineStr">
        <is>
          <t>Summit Choice PPO</t>
        </is>
      </c>
      <c r="O946" s="31" t="n">
        <v>19733.44</v>
      </c>
      <c r="P946" t="inlineStr">
        <is>
          <t>N</t>
        </is>
      </c>
    </row>
    <row r="947">
      <c r="A947" t="inlineStr">
        <is>
          <t>ENC114583</t>
        </is>
      </c>
      <c r="B947" t="inlineStr">
        <is>
          <t>PT12220</t>
        </is>
      </c>
      <c r="C947" t="inlineStr">
        <is>
          <t>Emergency</t>
        </is>
      </c>
      <c r="D947" t="inlineStr">
        <is>
          <t>Bluestone Memorial Hospital</t>
        </is>
      </c>
      <c r="E947" t="inlineStr">
        <is>
          <t>Emergency Department</t>
        </is>
      </c>
      <c r="F947" t="inlineStr">
        <is>
          <t>Emergency</t>
        </is>
      </c>
      <c r="G947" s="29" t="n">
        <v>45775</v>
      </c>
      <c r="H947" s="29" t="n">
        <v>45775</v>
      </c>
      <c r="I947" s="30" t="n"/>
      <c r="J947" t="inlineStr">
        <is>
          <t>U07.1</t>
        </is>
      </c>
      <c r="K947" t="inlineStr">
        <is>
          <t>COVID-19</t>
        </is>
      </c>
      <c r="L947" t="inlineStr">
        <is>
          <t>Respiratory</t>
        </is>
      </c>
      <c r="M947" t="inlineStr">
        <is>
          <t>Home/Self-Care</t>
        </is>
      </c>
      <c r="N947" t="inlineStr">
        <is>
          <t>Keystone Health Partners</t>
        </is>
      </c>
      <c r="O947" s="31" t="n">
        <v>3033.72</v>
      </c>
    </row>
    <row r="948">
      <c r="A948" t="inlineStr">
        <is>
          <t>ENC114585</t>
        </is>
      </c>
      <c r="B948" t="inlineStr">
        <is>
          <t>PT11760</t>
        </is>
      </c>
      <c r="C948" t="inlineStr">
        <is>
          <t>Outpatient</t>
        </is>
      </c>
      <c r="D948" t="inlineStr">
        <is>
          <t>Bluestone Outpatient Pavilion</t>
        </is>
      </c>
      <c r="E948" t="inlineStr">
        <is>
          <t>Primary Care Clinic</t>
        </is>
      </c>
      <c r="F948" t="inlineStr">
        <is>
          <t>Ambulatory</t>
        </is>
      </c>
      <c r="G948" s="29" t="n">
        <v>45775</v>
      </c>
      <c r="H948" s="29" t="n">
        <v>45775</v>
      </c>
      <c r="I948" s="30" t="n"/>
      <c r="J948" t="inlineStr">
        <is>
          <t>I10</t>
        </is>
      </c>
      <c r="K948" t="inlineStr">
        <is>
          <t>Essential (primary) hypertension</t>
        </is>
      </c>
      <c r="L948" t="inlineStr">
        <is>
          <t>Circulatory</t>
        </is>
      </c>
      <c r="M948" t="inlineStr">
        <is>
          <t>Home/Self-Care</t>
        </is>
      </c>
      <c r="N948" t="inlineStr">
        <is>
          <t>State Medicaid</t>
        </is>
      </c>
      <c r="O948" s="31" t="n">
        <v>309.64</v>
      </c>
    </row>
    <row r="949">
      <c r="A949" t="inlineStr">
        <is>
          <t>ENC114590</t>
        </is>
      </c>
      <c r="B949" t="inlineStr">
        <is>
          <t>PT12268</t>
        </is>
      </c>
      <c r="C949" t="inlineStr">
        <is>
          <t>Inpatient</t>
        </is>
      </c>
      <c r="D949" t="inlineStr">
        <is>
          <t>Bluestone Memorial Hospital</t>
        </is>
      </c>
      <c r="E949" t="inlineStr">
        <is>
          <t>Neuroscience &amp; Stroke</t>
        </is>
      </c>
      <c r="F949" t="inlineStr">
        <is>
          <t>Neuroscience</t>
        </is>
      </c>
      <c r="G949" s="29" t="n">
        <v>45775</v>
      </c>
      <c r="H949" s="29" t="n">
        <v>45781</v>
      </c>
      <c r="I949" s="30" t="n">
        <v>6</v>
      </c>
      <c r="J949" t="inlineStr">
        <is>
          <t>I63.9</t>
        </is>
      </c>
      <c r="K949" t="inlineStr">
        <is>
          <t>Cerebral infarction, unspecified</t>
        </is>
      </c>
      <c r="L949" t="inlineStr">
        <is>
          <t>Circulatory</t>
        </is>
      </c>
      <c r="M949" t="inlineStr">
        <is>
          <t>Home Health</t>
        </is>
      </c>
      <c r="N949" t="inlineStr">
        <is>
          <t>Evergreen Mutual Insurance</t>
        </is>
      </c>
      <c r="O949" s="31" t="n">
        <v>42614.45</v>
      </c>
      <c r="P949" t="inlineStr">
        <is>
          <t>N</t>
        </is>
      </c>
    </row>
    <row r="950">
      <c r="A950" t="inlineStr">
        <is>
          <t>ENC114592</t>
        </is>
      </c>
      <c r="B950" t="inlineStr">
        <is>
          <t>PT13540</t>
        </is>
      </c>
      <c r="C950" t="inlineStr">
        <is>
          <t>Inpatient</t>
        </is>
      </c>
      <c r="D950" t="inlineStr">
        <is>
          <t>Bluestone Memorial Hospital</t>
        </is>
      </c>
      <c r="E950" t="inlineStr">
        <is>
          <t>Medical-Surgical 4 West</t>
        </is>
      </c>
      <c r="F950" t="inlineStr">
        <is>
          <t>Medicine</t>
        </is>
      </c>
      <c r="G950" s="29" t="n">
        <v>45776</v>
      </c>
      <c r="H950" s="29" t="n">
        <v>45778</v>
      </c>
      <c r="I950" s="30" t="n">
        <v>2</v>
      </c>
      <c r="J950" t="inlineStr">
        <is>
          <t>J44.1</t>
        </is>
      </c>
      <c r="K950" t="inlineStr">
        <is>
          <t>Chronic obstructive pulmonary disease with (acute) exacerbation</t>
        </is>
      </c>
      <c r="L950" t="inlineStr">
        <is>
          <t>Respiratory</t>
        </is>
      </c>
      <c r="M950" t="inlineStr">
        <is>
          <t>Home/Self-Care</t>
        </is>
      </c>
      <c r="N950" t="inlineStr">
        <is>
          <t>Silverline Medicare Advantage</t>
        </is>
      </c>
      <c r="O950" s="31" t="n">
        <v>16174.04</v>
      </c>
      <c r="P950" t="inlineStr">
        <is>
          <t>Y</t>
        </is>
      </c>
    </row>
    <row r="951">
      <c r="A951" t="inlineStr">
        <is>
          <t>ENC114593</t>
        </is>
      </c>
      <c r="B951" t="inlineStr">
        <is>
          <t>PT11600</t>
        </is>
      </c>
      <c r="C951" t="inlineStr">
        <is>
          <t>Inpatient</t>
        </is>
      </c>
      <c r="D951" t="inlineStr">
        <is>
          <t>Bluestone Memorial Hospital</t>
        </is>
      </c>
      <c r="E951" t="inlineStr">
        <is>
          <t>Medical-Surgical 4 West</t>
        </is>
      </c>
      <c r="F951" t="inlineStr">
        <is>
          <t>Medicine</t>
        </is>
      </c>
      <c r="G951" s="29" t="n">
        <v>45776</v>
      </c>
      <c r="H951" s="29" t="n">
        <v>45784</v>
      </c>
      <c r="I951" s="30" t="n">
        <v>8</v>
      </c>
      <c r="J951" t="inlineStr">
        <is>
          <t>J18.9</t>
        </is>
      </c>
      <c r="K951" t="inlineStr">
        <is>
          <t>Pneumonia, unspecified organism</t>
        </is>
      </c>
      <c r="L951" t="inlineStr">
        <is>
          <t>Respiratory</t>
        </is>
      </c>
      <c r="M951" t="inlineStr">
        <is>
          <t>Home/Self-Care</t>
        </is>
      </c>
      <c r="N951" t="inlineStr">
        <is>
          <t>State Medicaid</t>
        </is>
      </c>
      <c r="O951" s="31" t="n">
        <v>44471.43</v>
      </c>
      <c r="P951" t="inlineStr">
        <is>
          <t>N</t>
        </is>
      </c>
    </row>
    <row r="952">
      <c r="A952" t="inlineStr">
        <is>
          <t>ENC114597</t>
        </is>
      </c>
      <c r="B952" t="inlineStr">
        <is>
          <t>PT11844</t>
        </is>
      </c>
      <c r="C952" t="inlineStr">
        <is>
          <t>Emergency</t>
        </is>
      </c>
      <c r="D952" t="inlineStr">
        <is>
          <t>Bluestone Memorial Hospital</t>
        </is>
      </c>
      <c r="E952" t="inlineStr">
        <is>
          <t>Emergency Department</t>
        </is>
      </c>
      <c r="F952" t="inlineStr">
        <is>
          <t>Emergency</t>
        </is>
      </c>
      <c r="G952" s="29" t="n">
        <v>45776</v>
      </c>
      <c r="H952" s="29" t="n">
        <v>45776</v>
      </c>
      <c r="I952" s="30" t="n"/>
      <c r="J952" t="inlineStr">
        <is>
          <t>J06.9</t>
        </is>
      </c>
      <c r="K952" t="inlineStr">
        <is>
          <t>Acute upper respiratory infection, unspecified</t>
        </is>
      </c>
      <c r="L952" t="inlineStr">
        <is>
          <t>Respiratory</t>
        </is>
      </c>
      <c r="M952" t="inlineStr">
        <is>
          <t>Home/Self-Care</t>
        </is>
      </c>
      <c r="N952" t="inlineStr">
        <is>
          <t>State Medicaid</t>
        </is>
      </c>
      <c r="O952" s="31" t="n">
        <v>1281.05</v>
      </c>
    </row>
    <row r="953">
      <c r="A953" t="inlineStr">
        <is>
          <t>ENC114602</t>
        </is>
      </c>
      <c r="B953" t="inlineStr">
        <is>
          <t>PT11700</t>
        </is>
      </c>
      <c r="C953" t="inlineStr">
        <is>
          <t>Inpatient</t>
        </is>
      </c>
      <c r="D953" t="inlineStr">
        <is>
          <t>Bluestone Memorial Hospital</t>
        </is>
      </c>
      <c r="E953" t="inlineStr">
        <is>
          <t>Labor &amp; Delivery</t>
        </is>
      </c>
      <c r="F953" t="inlineStr">
        <is>
          <t>Women &amp; Children</t>
        </is>
      </c>
      <c r="G953" s="29" t="n">
        <v>45776</v>
      </c>
      <c r="H953" s="29" t="n">
        <v>45779</v>
      </c>
      <c r="I953" s="30" t="n">
        <v>3</v>
      </c>
      <c r="J953" t="inlineStr">
        <is>
          <t>O82</t>
        </is>
      </c>
      <c r="K953" t="inlineStr">
        <is>
          <t>Encounter for cesarean delivery without indication</t>
        </is>
      </c>
      <c r="L953" t="inlineStr">
        <is>
          <t>Pregnancy</t>
        </is>
      </c>
      <c r="M953" t="inlineStr">
        <is>
          <t>Home/Self-Care</t>
        </is>
      </c>
      <c r="N953" t="inlineStr">
        <is>
          <t>State Medicaid</t>
        </is>
      </c>
      <c r="O953" s="31" t="n">
        <v>25447.12</v>
      </c>
      <c r="P953" t="inlineStr">
        <is>
          <t>N</t>
        </is>
      </c>
    </row>
    <row r="954">
      <c r="A954" t="inlineStr">
        <is>
          <t>ENC114606</t>
        </is>
      </c>
      <c r="B954" t="inlineStr">
        <is>
          <t>PT10680</t>
        </is>
      </c>
      <c r="C954" t="inlineStr">
        <is>
          <t>Outpatient</t>
        </is>
      </c>
      <c r="D954" t="inlineStr">
        <is>
          <t>Bluestone Outpatient Pavilion</t>
        </is>
      </c>
      <c r="E954" t="inlineStr">
        <is>
          <t>Endocrinology &amp; Diabetes Clinic</t>
        </is>
      </c>
      <c r="F954" t="inlineStr">
        <is>
          <t>Ambulatory</t>
        </is>
      </c>
      <c r="G954" s="29" t="n">
        <v>45776</v>
      </c>
      <c r="H954" s="29" t="n">
        <v>45776</v>
      </c>
      <c r="I954" s="30" t="n"/>
      <c r="J954" t="inlineStr">
        <is>
          <t>E11.65</t>
        </is>
      </c>
      <c r="K954" t="inlineStr">
        <is>
          <t>Type 2 diabetes mellitus with hyperglycemia</t>
        </is>
      </c>
      <c r="L954" t="inlineStr">
        <is>
          <t>Endocrine</t>
        </is>
      </c>
      <c r="M954" t="inlineStr">
        <is>
          <t>Home/Self-Care</t>
        </is>
      </c>
      <c r="N954" t="inlineStr">
        <is>
          <t>Evergreen Mutual Insurance</t>
        </is>
      </c>
      <c r="O954" s="31" t="n">
        <v>217.66</v>
      </c>
    </row>
    <row r="955">
      <c r="A955" t="inlineStr">
        <is>
          <t>ENC114611</t>
        </is>
      </c>
      <c r="B955" t="inlineStr">
        <is>
          <t>PT12612</t>
        </is>
      </c>
      <c r="C955" t="inlineStr">
        <is>
          <t>Inpatient</t>
        </is>
      </c>
      <c r="D955" t="inlineStr">
        <is>
          <t>Ashby Falls Community Hospital</t>
        </is>
      </c>
      <c r="E955" t="inlineStr">
        <is>
          <t>Medical-Surgical</t>
        </is>
      </c>
      <c r="F955" t="inlineStr">
        <is>
          <t>Medicine</t>
        </is>
      </c>
      <c r="G955" s="29" t="n">
        <v>45777</v>
      </c>
      <c r="H955" s="29" t="n">
        <v>45780</v>
      </c>
      <c r="I955" s="30" t="n">
        <v>3</v>
      </c>
      <c r="J955" t="inlineStr">
        <is>
          <t>J18.9</t>
        </is>
      </c>
      <c r="K955" t="inlineStr">
        <is>
          <t>Pneumonia, unspecified organism</t>
        </is>
      </c>
      <c r="L955" t="inlineStr">
        <is>
          <t>Respiratory</t>
        </is>
      </c>
      <c r="M955" t="inlineStr">
        <is>
          <t>Home/Self-Care</t>
        </is>
      </c>
      <c r="N955" t="inlineStr">
        <is>
          <t>Evergreen Mutual Insurance</t>
        </is>
      </c>
      <c r="O955" s="31" t="n">
        <v>12676.45</v>
      </c>
      <c r="P955" t="inlineStr">
        <is>
          <t>N</t>
        </is>
      </c>
    </row>
    <row r="956">
      <c r="A956" t="inlineStr">
        <is>
          <t>ENC114618</t>
        </is>
      </c>
      <c r="B956" t="inlineStr">
        <is>
          <t>PT13728</t>
        </is>
      </c>
      <c r="C956" t="inlineStr">
        <is>
          <t>Outpatient</t>
        </is>
      </c>
      <c r="D956" t="inlineStr">
        <is>
          <t>Bluestone Outpatient Pavilion</t>
        </is>
      </c>
      <c r="E956" t="inlineStr">
        <is>
          <t>Primary Care Clinic</t>
        </is>
      </c>
      <c r="F956" t="inlineStr">
        <is>
          <t>Ambulatory</t>
        </is>
      </c>
      <c r="G956" s="29" t="n">
        <v>45777</v>
      </c>
      <c r="H956" s="29" t="n">
        <v>45777</v>
      </c>
      <c r="I956" s="30" t="n"/>
      <c r="J956" t="inlineStr">
        <is>
          <t>G43.909</t>
        </is>
      </c>
      <c r="K956" t="inlineStr">
        <is>
          <t>Migraine, unspecified, not intractable, without status migrainosus</t>
        </is>
      </c>
      <c r="L956" t="inlineStr">
        <is>
          <t>Nervous System</t>
        </is>
      </c>
      <c r="M956" t="inlineStr">
        <is>
          <t>Home/Self-Care</t>
        </is>
      </c>
      <c r="N956" t="inlineStr">
        <is>
          <t>Summit Choice PPO</t>
        </is>
      </c>
      <c r="O956" s="31" t="n">
        <v>503.29</v>
      </c>
    </row>
    <row r="957">
      <c r="A957" t="inlineStr">
        <is>
          <t>ENC114624</t>
        </is>
      </c>
      <c r="B957" t="inlineStr">
        <is>
          <t>PT13448</t>
        </is>
      </c>
      <c r="C957" t="inlineStr">
        <is>
          <t>Inpatient</t>
        </is>
      </c>
      <c r="D957" t="inlineStr">
        <is>
          <t>Bluestone Memorial Hospital</t>
        </is>
      </c>
      <c r="E957" t="inlineStr">
        <is>
          <t>Cardiac Step-Down</t>
        </is>
      </c>
      <c r="F957" t="inlineStr">
        <is>
          <t>Cardiovascular</t>
        </is>
      </c>
      <c r="G957" s="29" t="n">
        <v>45777</v>
      </c>
      <c r="H957" s="29" t="n">
        <v>45780</v>
      </c>
      <c r="I957" s="30" t="n">
        <v>3</v>
      </c>
      <c r="J957" t="inlineStr">
        <is>
          <t>I50.9</t>
        </is>
      </c>
      <c r="K957" t="inlineStr">
        <is>
          <t>Heart failure, unspecified</t>
        </is>
      </c>
      <c r="L957" t="inlineStr">
        <is>
          <t>Circulatory</t>
        </is>
      </c>
      <c r="M957" t="inlineStr">
        <is>
          <t>Expired</t>
        </is>
      </c>
      <c r="N957" t="inlineStr">
        <is>
          <t>Summit Choice PPO</t>
        </is>
      </c>
      <c r="O957" s="31" t="n">
        <v>25762.32</v>
      </c>
      <c r="P957" t="inlineStr">
        <is>
          <t>N</t>
        </is>
      </c>
    </row>
    <row r="958">
      <c r="A958" t="inlineStr">
        <is>
          <t>ENC114626</t>
        </is>
      </c>
      <c r="B958" t="inlineStr">
        <is>
          <t>PT11460</t>
        </is>
      </c>
      <c r="C958" t="inlineStr">
        <is>
          <t>Outpatient</t>
        </is>
      </c>
      <c r="D958" t="inlineStr">
        <is>
          <t>Bluestone Outpatient Pavilion</t>
        </is>
      </c>
      <c r="E958" t="inlineStr">
        <is>
          <t>Pediatric Clinic</t>
        </is>
      </c>
      <c r="F958" t="inlineStr">
        <is>
          <t>Women &amp; Children</t>
        </is>
      </c>
      <c r="G958" s="29" t="n">
        <v>45777</v>
      </c>
      <c r="H958" s="29" t="n">
        <v>45777</v>
      </c>
      <c r="I958" s="30" t="n"/>
      <c r="J958" t="inlineStr">
        <is>
          <t>Z00.129</t>
        </is>
      </c>
      <c r="K958" t="inlineStr">
        <is>
          <t>Encounter for routine child health examination without abnormal findings</t>
        </is>
      </c>
      <c r="L958" t="inlineStr">
        <is>
          <t>Factors Influencing Health</t>
        </is>
      </c>
      <c r="M958" t="inlineStr">
        <is>
          <t>Home/Self-Care</t>
        </is>
      </c>
      <c r="N958" t="inlineStr">
        <is>
          <t>Evergreen Mutual Insurance</t>
        </is>
      </c>
      <c r="O958" s="31" t="n">
        <v>242.65</v>
      </c>
    </row>
    <row r="959">
      <c r="A959" t="inlineStr">
        <is>
          <t>ENC114646</t>
        </is>
      </c>
      <c r="B959" t="inlineStr">
        <is>
          <t>PT13480</t>
        </is>
      </c>
      <c r="C959" t="inlineStr">
        <is>
          <t>Inpatient</t>
        </is>
      </c>
      <c r="D959" t="inlineStr">
        <is>
          <t>Bluestone Memorial Hospital</t>
        </is>
      </c>
      <c r="E959" t="inlineStr">
        <is>
          <t>Behavioral Health</t>
        </is>
      </c>
      <c r="F959" t="inlineStr">
        <is>
          <t>Behavioral Health</t>
        </is>
      </c>
      <c r="G959" s="29" t="n">
        <v>45778</v>
      </c>
      <c r="H959" s="29" t="n">
        <v>45781</v>
      </c>
      <c r="I959" s="30" t="n">
        <v>3</v>
      </c>
      <c r="J959" t="inlineStr">
        <is>
          <t>F20.9</t>
        </is>
      </c>
      <c r="K959" t="inlineStr">
        <is>
          <t>Schizophrenia, unspecified</t>
        </is>
      </c>
      <c r="L959" t="inlineStr">
        <is>
          <t>Mental &amp; Behavioral</t>
        </is>
      </c>
      <c r="M959" t="inlineStr">
        <is>
          <t>Home/Self-Care</t>
        </is>
      </c>
      <c r="N959" t="inlineStr">
        <is>
          <t>Summit Choice PPO</t>
        </is>
      </c>
      <c r="O959" s="31" t="n">
        <v>9018.66</v>
      </c>
      <c r="P959" t="inlineStr">
        <is>
          <t>N</t>
        </is>
      </c>
    </row>
    <row r="960">
      <c r="A960" t="inlineStr">
        <is>
          <t>ENC114653</t>
        </is>
      </c>
      <c r="B960" t="inlineStr">
        <is>
          <t>PT11948</t>
        </is>
      </c>
      <c r="C960" t="inlineStr">
        <is>
          <t>Emergency</t>
        </is>
      </c>
      <c r="D960" t="inlineStr">
        <is>
          <t>Ashby Falls Community Hospital</t>
        </is>
      </c>
      <c r="E960" t="inlineStr">
        <is>
          <t>Emergency Department</t>
        </is>
      </c>
      <c r="F960" t="inlineStr">
        <is>
          <t>Emergency</t>
        </is>
      </c>
      <c r="G960" s="29" t="n">
        <v>45778</v>
      </c>
      <c r="H960" s="29" t="n">
        <v>45778</v>
      </c>
      <c r="I960" s="30" t="n"/>
      <c r="J960" t="inlineStr">
        <is>
          <t>R10.9</t>
        </is>
      </c>
      <c r="K960" t="inlineStr">
        <is>
          <t>Unspecified abdominal pain</t>
        </is>
      </c>
      <c r="L960" t="inlineStr">
        <is>
          <t>Symptoms &amp; Signs</t>
        </is>
      </c>
      <c r="M960" t="inlineStr">
        <is>
          <t>Home/Self-Care</t>
        </is>
      </c>
      <c r="N960" t="inlineStr">
        <is>
          <t>Medicare</t>
        </is>
      </c>
      <c r="O960" s="31" t="n">
        <v>1354.09</v>
      </c>
    </row>
    <row r="961">
      <c r="A961" t="inlineStr">
        <is>
          <t>ENC114662</t>
        </is>
      </c>
      <c r="B961" t="inlineStr">
        <is>
          <t>PT12956</t>
        </is>
      </c>
      <c r="C961" t="inlineStr">
        <is>
          <t>Emergency</t>
        </is>
      </c>
      <c r="D961" t="inlineStr">
        <is>
          <t>Bluestone Memorial Hospital</t>
        </is>
      </c>
      <c r="E961" t="inlineStr">
        <is>
          <t>Emergency Department</t>
        </is>
      </c>
      <c r="F961" t="inlineStr">
        <is>
          <t>Emergency</t>
        </is>
      </c>
      <c r="G961" s="29" t="n">
        <v>45778</v>
      </c>
      <c r="H961" s="29" t="n">
        <v>45778</v>
      </c>
      <c r="I961" s="30" t="n"/>
      <c r="J961" t="inlineStr">
        <is>
          <t>E86.0</t>
        </is>
      </c>
      <c r="K961" t="inlineStr">
        <is>
          <t>Dehydration</t>
        </is>
      </c>
      <c r="L961" t="inlineStr">
        <is>
          <t>Endocrine</t>
        </is>
      </c>
      <c r="M961" t="inlineStr">
        <is>
          <t>Home/Self-Care</t>
        </is>
      </c>
      <c r="N961" t="inlineStr">
        <is>
          <t>Keystone Health Partners</t>
        </is>
      </c>
      <c r="O961" s="31" t="n">
        <v>1345.77</v>
      </c>
    </row>
    <row r="962">
      <c r="A962" t="inlineStr">
        <is>
          <t>ENC114674</t>
        </is>
      </c>
      <c r="B962" t="inlineStr">
        <is>
          <t>PT12280</t>
        </is>
      </c>
      <c r="C962" t="inlineStr">
        <is>
          <t>Emergency</t>
        </is>
      </c>
      <c r="D962" t="inlineStr">
        <is>
          <t>Bluestone Memorial Hospital</t>
        </is>
      </c>
      <c r="E962" t="inlineStr">
        <is>
          <t>Emergency Department</t>
        </is>
      </c>
      <c r="F962" t="inlineStr">
        <is>
          <t>Emergency</t>
        </is>
      </c>
      <c r="G962" s="29" t="n">
        <v>45778</v>
      </c>
      <c r="H962" s="29" t="n">
        <v>45778</v>
      </c>
      <c r="I962" s="30" t="n"/>
      <c r="J962" t="inlineStr">
        <is>
          <t>U07.1</t>
        </is>
      </c>
      <c r="K962" t="inlineStr">
        <is>
          <t>COVID-19</t>
        </is>
      </c>
      <c r="L962" t="inlineStr">
        <is>
          <t>Respiratory</t>
        </is>
      </c>
      <c r="M962" t="inlineStr">
        <is>
          <t>Home/Self-Care</t>
        </is>
      </c>
      <c r="N962" t="inlineStr">
        <is>
          <t>Self-Pay</t>
        </is>
      </c>
      <c r="O962" s="31" t="n">
        <v>6242.7</v>
      </c>
    </row>
    <row r="963">
      <c r="A963" t="inlineStr">
        <is>
          <t>ENC114681</t>
        </is>
      </c>
      <c r="B963" t="inlineStr">
        <is>
          <t>PT11036</t>
        </is>
      </c>
      <c r="C963" t="inlineStr">
        <is>
          <t>Emergency</t>
        </is>
      </c>
      <c r="D963" t="inlineStr">
        <is>
          <t>Bluestone Memorial Hospital</t>
        </is>
      </c>
      <c r="E963" t="inlineStr">
        <is>
          <t>Emergency Department</t>
        </is>
      </c>
      <c r="F963" t="inlineStr">
        <is>
          <t>Emergency</t>
        </is>
      </c>
      <c r="G963" s="29" t="n">
        <v>45779</v>
      </c>
      <c r="H963" s="29" t="n">
        <v>45779</v>
      </c>
      <c r="I963" s="30" t="n"/>
      <c r="J963" t="inlineStr">
        <is>
          <t>F32.9</t>
        </is>
      </c>
      <c r="K963" t="inlineStr">
        <is>
          <t>Major depressive disorder, single episode, unspecified</t>
        </is>
      </c>
      <c r="L963" t="inlineStr">
        <is>
          <t>Mental &amp; Behavioral</t>
        </is>
      </c>
      <c r="M963" t="inlineStr">
        <is>
          <t>Home/Self-Care</t>
        </is>
      </c>
      <c r="N963" t="inlineStr">
        <is>
          <t>Summit Choice PPO</t>
        </is>
      </c>
      <c r="O963" s="31" t="n">
        <v>1098.21</v>
      </c>
    </row>
    <row r="964">
      <c r="A964" t="inlineStr">
        <is>
          <t>ENC114682</t>
        </is>
      </c>
      <c r="B964" t="inlineStr">
        <is>
          <t>PT13456</t>
        </is>
      </c>
      <c r="C964" t="inlineStr">
        <is>
          <t>Emergency</t>
        </is>
      </c>
      <c r="D964" t="inlineStr">
        <is>
          <t>Bluestone Memorial Hospital</t>
        </is>
      </c>
      <c r="E964" t="inlineStr">
        <is>
          <t>Emergency Department</t>
        </is>
      </c>
      <c r="F964" t="inlineStr">
        <is>
          <t>Emergency</t>
        </is>
      </c>
      <c r="G964" s="29" t="n">
        <v>45779</v>
      </c>
      <c r="H964" s="29" t="n">
        <v>45779</v>
      </c>
      <c r="I964" s="30" t="n"/>
      <c r="J964" t="inlineStr">
        <is>
          <t>S06.0X0A</t>
        </is>
      </c>
      <c r="K964" t="inlineStr">
        <is>
          <t>Concussion without loss of consciousness, initial encounter</t>
        </is>
      </c>
      <c r="L964" t="inlineStr">
        <is>
          <t>Injury</t>
        </is>
      </c>
      <c r="M964" t="inlineStr">
        <is>
          <t>Home/Self-Care</t>
        </is>
      </c>
      <c r="N964" t="inlineStr">
        <is>
          <t>Summit Choice PPO</t>
        </is>
      </c>
      <c r="O964" s="31" t="n">
        <v>3748.53</v>
      </c>
    </row>
    <row r="965">
      <c r="A965" t="inlineStr">
        <is>
          <t>ENC114684</t>
        </is>
      </c>
      <c r="B965" t="inlineStr">
        <is>
          <t>PT11688</t>
        </is>
      </c>
      <c r="C965" t="inlineStr">
        <is>
          <t>Emergency</t>
        </is>
      </c>
      <c r="D965" t="inlineStr">
        <is>
          <t>Ashby Falls Community Hospital</t>
        </is>
      </c>
      <c r="E965" t="inlineStr">
        <is>
          <t>Emergency Department</t>
        </is>
      </c>
      <c r="F965" t="inlineStr">
        <is>
          <t>Emergency</t>
        </is>
      </c>
      <c r="G965" s="29" t="n">
        <v>45779</v>
      </c>
      <c r="H965" s="29" t="n">
        <v>45779</v>
      </c>
      <c r="I965" s="30" t="n"/>
      <c r="J965" t="inlineStr">
        <is>
          <t>L03.115</t>
        </is>
      </c>
      <c r="K965" t="inlineStr">
        <is>
          <t>Cellulitis of right lower limb</t>
        </is>
      </c>
      <c r="L965" t="inlineStr">
        <is>
          <t>Skin</t>
        </is>
      </c>
      <c r="M965" t="inlineStr">
        <is>
          <t>Home/Self-Care</t>
        </is>
      </c>
      <c r="N965" t="inlineStr">
        <is>
          <t>Silverline Medicare Advantage</t>
        </is>
      </c>
      <c r="O965" s="31" t="n">
        <v>1033.89</v>
      </c>
    </row>
    <row r="966">
      <c r="A966" t="inlineStr">
        <is>
          <t>ENC114692</t>
        </is>
      </c>
      <c r="B966" t="inlineStr">
        <is>
          <t>PT11500</t>
        </is>
      </c>
      <c r="C966" t="inlineStr">
        <is>
          <t>Observation</t>
        </is>
      </c>
      <c r="D966" t="inlineStr">
        <is>
          <t>Bluestone Memorial Hospital</t>
        </is>
      </c>
      <c r="E966" t="inlineStr">
        <is>
          <t>Observation Unit</t>
        </is>
      </c>
      <c r="F966" t="inlineStr">
        <is>
          <t>Medicine</t>
        </is>
      </c>
      <c r="G966" s="29" t="n">
        <v>45779</v>
      </c>
      <c r="H966" s="29" t="n">
        <v>45780</v>
      </c>
      <c r="I966" s="30" t="n">
        <v>1</v>
      </c>
      <c r="J966" t="inlineStr">
        <is>
          <t>J44.1</t>
        </is>
      </c>
      <c r="K966" t="inlineStr">
        <is>
          <t>Chronic obstructive pulmonary disease with (acute) exacerbation</t>
        </is>
      </c>
      <c r="L966" t="inlineStr">
        <is>
          <t>Respiratory</t>
        </is>
      </c>
      <c r="M966" t="inlineStr">
        <is>
          <t>Home/Self-Care</t>
        </is>
      </c>
      <c r="N966" t="inlineStr">
        <is>
          <t>Medicare</t>
        </is>
      </c>
      <c r="O966" s="31" t="n">
        <v>9713.190000000001</v>
      </c>
    </row>
    <row r="967">
      <c r="A967" t="inlineStr">
        <is>
          <t>ENC114697</t>
        </is>
      </c>
      <c r="B967" t="inlineStr">
        <is>
          <t>PT12852</t>
        </is>
      </c>
      <c r="C967" t="inlineStr">
        <is>
          <t>Outpatient</t>
        </is>
      </c>
      <c r="D967" t="inlineStr">
        <is>
          <t>Bluestone Outpatient Pavilion</t>
        </is>
      </c>
      <c r="E967" t="inlineStr">
        <is>
          <t>Primary Care Clinic</t>
        </is>
      </c>
      <c r="F967" t="inlineStr">
        <is>
          <t>Ambulatory</t>
        </is>
      </c>
      <c r="G967" s="29" t="n">
        <v>45779</v>
      </c>
      <c r="H967" s="29" t="n">
        <v>45779</v>
      </c>
      <c r="I967" s="30" t="n"/>
      <c r="J967" t="inlineStr">
        <is>
          <t>N39.0</t>
        </is>
      </c>
      <c r="K967" t="inlineStr">
        <is>
          <t>Urinary tract infection, site not specified</t>
        </is>
      </c>
      <c r="L967" t="inlineStr">
        <is>
          <t>Genitourinary</t>
        </is>
      </c>
      <c r="M967" t="inlineStr">
        <is>
          <t>Home/Self-Care</t>
        </is>
      </c>
      <c r="N967" t="inlineStr">
        <is>
          <t>State Medicaid</t>
        </is>
      </c>
      <c r="O967" s="31" t="n">
        <v>211.17</v>
      </c>
    </row>
    <row r="968">
      <c r="A968" t="inlineStr">
        <is>
          <t>ENC114698</t>
        </is>
      </c>
      <c r="B968" t="inlineStr">
        <is>
          <t>PT10388</t>
        </is>
      </c>
      <c r="C968" t="inlineStr">
        <is>
          <t>Inpatient</t>
        </is>
      </c>
      <c r="D968" t="inlineStr">
        <is>
          <t>Bluestone Memorial Hospital</t>
        </is>
      </c>
      <c r="E968" t="inlineStr">
        <is>
          <t>Intensive Care Unit</t>
        </is>
      </c>
      <c r="F968" t="inlineStr">
        <is>
          <t>Critical Care</t>
        </is>
      </c>
      <c r="G968" s="29" t="n">
        <v>45779</v>
      </c>
      <c r="H968" s="29" t="n">
        <v>45788</v>
      </c>
      <c r="I968" s="30" t="n">
        <v>9</v>
      </c>
      <c r="J968" t="inlineStr">
        <is>
          <t>J96.01</t>
        </is>
      </c>
      <c r="K968" t="inlineStr">
        <is>
          <t>Acute respiratory failure with hypoxia</t>
        </is>
      </c>
      <c r="L968" t="inlineStr">
        <is>
          <t>Respiratory</t>
        </is>
      </c>
      <c r="M968" t="inlineStr">
        <is>
          <t>Home/Self-Care</t>
        </is>
      </c>
      <c r="N968" t="inlineStr">
        <is>
          <t>Medicare</t>
        </is>
      </c>
      <c r="O968" s="31" t="n">
        <v>96796.72</v>
      </c>
      <c r="P968" t="inlineStr">
        <is>
          <t>N</t>
        </is>
      </c>
    </row>
    <row r="969">
      <c r="A969" t="inlineStr">
        <is>
          <t>ENC114704</t>
        </is>
      </c>
      <c r="B969" t="inlineStr">
        <is>
          <t>PT10600</t>
        </is>
      </c>
      <c r="C969" t="inlineStr">
        <is>
          <t>Inpatient</t>
        </is>
      </c>
      <c r="D969" t="inlineStr">
        <is>
          <t>Bluestone Memorial Hospital</t>
        </is>
      </c>
      <c r="E969" t="inlineStr">
        <is>
          <t>Medical-Surgical 4 West</t>
        </is>
      </c>
      <c r="F969" t="inlineStr">
        <is>
          <t>Medicine</t>
        </is>
      </c>
      <c r="G969" s="29" t="n">
        <v>45779</v>
      </c>
      <c r="H969" s="29" t="n">
        <v>45781</v>
      </c>
      <c r="I969" s="30" t="n">
        <v>2</v>
      </c>
      <c r="J969" t="inlineStr">
        <is>
          <t>E87.1</t>
        </is>
      </c>
      <c r="K969" t="inlineStr">
        <is>
          <t>Hypo-osmolality and hyponatremia</t>
        </is>
      </c>
      <c r="L969" t="inlineStr">
        <is>
          <t>Endocrine</t>
        </is>
      </c>
      <c r="M969" t="inlineStr">
        <is>
          <t>Home Health</t>
        </is>
      </c>
      <c r="N969" t="inlineStr">
        <is>
          <t>Summit Choice PPO</t>
        </is>
      </c>
      <c r="O969" s="31" t="n">
        <v>13442.77</v>
      </c>
      <c r="P969" t="inlineStr">
        <is>
          <t>N</t>
        </is>
      </c>
    </row>
    <row r="970">
      <c r="A970" t="inlineStr">
        <is>
          <t>ENC114706</t>
        </is>
      </c>
      <c r="B970" t="inlineStr">
        <is>
          <t>PT10912</t>
        </is>
      </c>
      <c r="C970" t="inlineStr">
        <is>
          <t>Inpatient</t>
        </is>
      </c>
      <c r="D970" t="inlineStr">
        <is>
          <t>Bluestone Memorial Hospital</t>
        </is>
      </c>
      <c r="E970" t="inlineStr">
        <is>
          <t>Medical-Surgical 4 West</t>
        </is>
      </c>
      <c r="F970" t="inlineStr">
        <is>
          <t>Medicine</t>
        </is>
      </c>
      <c r="G970" s="29" t="n">
        <v>45779</v>
      </c>
      <c r="H970" s="29" t="n">
        <v>45783</v>
      </c>
      <c r="I970" s="30" t="n">
        <v>4</v>
      </c>
      <c r="J970" t="inlineStr">
        <is>
          <t>A41.9</t>
        </is>
      </c>
      <c r="K970" t="inlineStr">
        <is>
          <t>Sepsis, unspecified organism</t>
        </is>
      </c>
      <c r="L970" t="inlineStr">
        <is>
          <t>Infectious</t>
        </is>
      </c>
      <c r="M970" t="inlineStr">
        <is>
          <t>Home/Self-Care</t>
        </is>
      </c>
      <c r="N970" t="inlineStr">
        <is>
          <t>Keystone Health Partners</t>
        </is>
      </c>
      <c r="O970" s="31" t="n">
        <v>55729.78</v>
      </c>
      <c r="P970" t="inlineStr">
        <is>
          <t>N</t>
        </is>
      </c>
    </row>
    <row r="971">
      <c r="A971" t="inlineStr">
        <is>
          <t>ENC114710</t>
        </is>
      </c>
      <c r="B971" t="inlineStr">
        <is>
          <t>PT10172</t>
        </is>
      </c>
      <c r="C971" t="inlineStr">
        <is>
          <t>Inpatient</t>
        </is>
      </c>
      <c r="D971" t="inlineStr">
        <is>
          <t>Bluestone Memorial Hospital</t>
        </is>
      </c>
      <c r="E971" t="inlineStr">
        <is>
          <t>Medical-Surgical 4 West</t>
        </is>
      </c>
      <c r="F971" t="inlineStr">
        <is>
          <t>Medicine</t>
        </is>
      </c>
      <c r="G971" s="29" t="n">
        <v>45779</v>
      </c>
      <c r="H971" s="29" t="n">
        <v>45785</v>
      </c>
      <c r="I971" s="30" t="n">
        <v>6</v>
      </c>
      <c r="J971" t="inlineStr">
        <is>
          <t>A41.9</t>
        </is>
      </c>
      <c r="K971" t="inlineStr">
        <is>
          <t>Sepsis, unspecified organism</t>
        </is>
      </c>
      <c r="L971" t="inlineStr">
        <is>
          <t>Infectious</t>
        </is>
      </c>
      <c r="M971" t="inlineStr">
        <is>
          <t>Home/Self-Care</t>
        </is>
      </c>
      <c r="N971" t="inlineStr">
        <is>
          <t>Medicare</t>
        </is>
      </c>
      <c r="O971" s="31" t="n">
        <v>61724.07</v>
      </c>
      <c r="P971" t="inlineStr">
        <is>
          <t>N</t>
        </is>
      </c>
    </row>
    <row r="972">
      <c r="A972" t="inlineStr">
        <is>
          <t>ENC114711</t>
        </is>
      </c>
      <c r="B972" t="inlineStr">
        <is>
          <t>PT11776</t>
        </is>
      </c>
      <c r="C972" t="inlineStr">
        <is>
          <t>Outpatient</t>
        </is>
      </c>
      <c r="D972" t="inlineStr">
        <is>
          <t>Bluestone Outpatient Pavilion</t>
        </is>
      </c>
      <c r="E972" t="inlineStr">
        <is>
          <t>Endocrinology &amp; Diabetes Clinic</t>
        </is>
      </c>
      <c r="F972" t="inlineStr">
        <is>
          <t>Ambulatory</t>
        </is>
      </c>
      <c r="G972" s="29" t="n">
        <v>45779</v>
      </c>
      <c r="H972" s="29" t="n">
        <v>45779</v>
      </c>
      <c r="I972" s="30" t="n"/>
      <c r="J972" t="inlineStr">
        <is>
          <t>E11.65</t>
        </is>
      </c>
      <c r="K972" t="inlineStr">
        <is>
          <t>Type 2 diabetes mellitus with hyperglycemia</t>
        </is>
      </c>
      <c r="L972" t="inlineStr">
        <is>
          <t>Endocrine</t>
        </is>
      </c>
      <c r="M972" t="inlineStr">
        <is>
          <t>Home/Self-Care</t>
        </is>
      </c>
      <c r="N972" t="inlineStr">
        <is>
          <t>Medicare</t>
        </is>
      </c>
      <c r="O972" s="31" t="n">
        <v>360.46</v>
      </c>
    </row>
    <row r="973">
      <c r="A973" t="inlineStr">
        <is>
          <t>ENC114716</t>
        </is>
      </c>
      <c r="B973" t="inlineStr">
        <is>
          <t>PT13692</t>
        </is>
      </c>
      <c r="C973" t="inlineStr">
        <is>
          <t>Emergency</t>
        </is>
      </c>
      <c r="D973" t="inlineStr">
        <is>
          <t>Ashby Falls Community Hospital</t>
        </is>
      </c>
      <c r="E973" t="inlineStr">
        <is>
          <t>Emergency Department</t>
        </is>
      </c>
      <c r="F973" t="inlineStr">
        <is>
          <t>Emergency</t>
        </is>
      </c>
      <c r="G973" s="29" t="n">
        <v>45779</v>
      </c>
      <c r="H973" s="29" t="n">
        <v>45779</v>
      </c>
      <c r="I973" s="30" t="n"/>
      <c r="J973" t="inlineStr">
        <is>
          <t>R10.9</t>
        </is>
      </c>
      <c r="K973" t="inlineStr">
        <is>
          <t>Unspecified abdominal pain</t>
        </is>
      </c>
      <c r="L973" t="inlineStr">
        <is>
          <t>Symptoms &amp; Signs</t>
        </is>
      </c>
      <c r="M973" t="inlineStr">
        <is>
          <t>Left AMA</t>
        </is>
      </c>
      <c r="N973" t="inlineStr">
        <is>
          <t>State Medicaid</t>
        </is>
      </c>
      <c r="O973" s="31" t="n">
        <v>1657.47</v>
      </c>
    </row>
    <row r="974">
      <c r="A974" t="inlineStr">
        <is>
          <t>ENC114717</t>
        </is>
      </c>
      <c r="B974" t="inlineStr">
        <is>
          <t>PT12660</t>
        </is>
      </c>
      <c r="C974" t="inlineStr">
        <is>
          <t>Observation</t>
        </is>
      </c>
      <c r="D974" t="inlineStr">
        <is>
          <t>Bluestone Memorial Hospital</t>
        </is>
      </c>
      <c r="E974" t="inlineStr">
        <is>
          <t>Observation Unit</t>
        </is>
      </c>
      <c r="F974" t="inlineStr">
        <is>
          <t>Medicine</t>
        </is>
      </c>
      <c r="G974" s="29" t="n">
        <v>45780</v>
      </c>
      <c r="H974" s="29" t="n">
        <v>45781</v>
      </c>
      <c r="I974" s="30" t="n">
        <v>1</v>
      </c>
      <c r="J974" t="inlineStr">
        <is>
          <t>R55</t>
        </is>
      </c>
      <c r="K974" t="inlineStr">
        <is>
          <t>Syncope and collapse</t>
        </is>
      </c>
      <c r="L974" t="inlineStr">
        <is>
          <t>Symptoms &amp; Signs</t>
        </is>
      </c>
      <c r="M974" t="inlineStr">
        <is>
          <t>Home/Self-Care</t>
        </is>
      </c>
      <c r="N974" t="inlineStr">
        <is>
          <t>Summit Choice PPO</t>
        </is>
      </c>
      <c r="O974" s="31" t="n">
        <v>16127.55</v>
      </c>
    </row>
    <row r="975">
      <c r="A975" t="inlineStr">
        <is>
          <t>ENC114720</t>
        </is>
      </c>
      <c r="B975" t="inlineStr">
        <is>
          <t>PT12524</t>
        </is>
      </c>
      <c r="C975" t="inlineStr">
        <is>
          <t>Inpatient</t>
        </is>
      </c>
      <c r="D975" t="inlineStr">
        <is>
          <t>Bluestone Memorial Hospital</t>
        </is>
      </c>
      <c r="E975" t="inlineStr">
        <is>
          <t>Medical-Surgical 4 West</t>
        </is>
      </c>
      <c r="F975" t="inlineStr">
        <is>
          <t>Medicine</t>
        </is>
      </c>
      <c r="G975" s="29" t="n">
        <v>45780</v>
      </c>
      <c r="H975" s="29" t="n">
        <v>45783</v>
      </c>
      <c r="I975" s="30" t="n">
        <v>3</v>
      </c>
      <c r="J975" t="inlineStr">
        <is>
          <t>J18.9</t>
        </is>
      </c>
      <c r="K975" t="inlineStr">
        <is>
          <t>Pneumonia, unspecified organism</t>
        </is>
      </c>
      <c r="L975" t="inlineStr">
        <is>
          <t>Respiratory</t>
        </is>
      </c>
      <c r="M975" t="inlineStr">
        <is>
          <t>Skilled Nursing Facility</t>
        </is>
      </c>
      <c r="N975" t="inlineStr">
        <is>
          <t>Medicare</t>
        </is>
      </c>
      <c r="O975" s="31" t="n">
        <v>20737.22</v>
      </c>
      <c r="P975" t="inlineStr">
        <is>
          <t>N</t>
        </is>
      </c>
    </row>
    <row r="976">
      <c r="A976" t="inlineStr">
        <is>
          <t>ENC114722</t>
        </is>
      </c>
      <c r="B976" t="inlineStr">
        <is>
          <t>PT13380</t>
        </is>
      </c>
      <c r="C976" t="inlineStr">
        <is>
          <t>Emergency</t>
        </is>
      </c>
      <c r="D976" t="inlineStr">
        <is>
          <t>Ashby Falls Community Hospital</t>
        </is>
      </c>
      <c r="E976" t="inlineStr">
        <is>
          <t>Emergency Department</t>
        </is>
      </c>
      <c r="F976" t="inlineStr">
        <is>
          <t>Emergency</t>
        </is>
      </c>
      <c r="G976" s="29" t="n">
        <v>45780</v>
      </c>
      <c r="H976" s="29" t="n">
        <v>45780</v>
      </c>
      <c r="I976" s="30" t="n"/>
      <c r="J976" t="inlineStr">
        <is>
          <t>N39.0</t>
        </is>
      </c>
      <c r="K976" t="inlineStr">
        <is>
          <t>Urinary tract infection, site not specified</t>
        </is>
      </c>
      <c r="L976" t="inlineStr">
        <is>
          <t>Genitourinary</t>
        </is>
      </c>
      <c r="M976" t="inlineStr">
        <is>
          <t>Home/Self-Care</t>
        </is>
      </c>
      <c r="N976" t="inlineStr">
        <is>
          <t>Summit Choice PPO</t>
        </is>
      </c>
      <c r="O976" s="31" t="n">
        <v>2771.25</v>
      </c>
    </row>
    <row r="977">
      <c r="A977" t="inlineStr">
        <is>
          <t>ENC114723</t>
        </is>
      </c>
      <c r="B977" t="inlineStr">
        <is>
          <t>PT10036</t>
        </is>
      </c>
      <c r="C977" t="inlineStr">
        <is>
          <t>Inpatient</t>
        </is>
      </c>
      <c r="D977" t="inlineStr">
        <is>
          <t>Bluestone Memorial Hospital</t>
        </is>
      </c>
      <c r="E977" t="inlineStr">
        <is>
          <t>Behavioral Health</t>
        </is>
      </c>
      <c r="F977" t="inlineStr">
        <is>
          <t>Behavioral Health</t>
        </is>
      </c>
      <c r="G977" s="29" t="n">
        <v>45780</v>
      </c>
      <c r="H977" s="29" t="n">
        <v>45793</v>
      </c>
      <c r="I977" s="30" t="n">
        <v>13</v>
      </c>
      <c r="J977" t="inlineStr">
        <is>
          <t>F20.9</t>
        </is>
      </c>
      <c r="K977" t="inlineStr">
        <is>
          <t>Schizophrenia, unspecified</t>
        </is>
      </c>
      <c r="L977" t="inlineStr">
        <is>
          <t>Mental &amp; Behavioral</t>
        </is>
      </c>
      <c r="M977" t="inlineStr">
        <is>
          <t>Left AMA</t>
        </is>
      </c>
      <c r="N977" t="inlineStr">
        <is>
          <t>Summit Choice PPO</t>
        </is>
      </c>
      <c r="O977" s="31" t="n">
        <v>24127.41</v>
      </c>
      <c r="P977" t="inlineStr">
        <is>
          <t>N</t>
        </is>
      </c>
    </row>
    <row r="978">
      <c r="A978" t="inlineStr">
        <is>
          <t>ENC114736</t>
        </is>
      </c>
      <c r="B978" t="inlineStr">
        <is>
          <t>PT10696</t>
        </is>
      </c>
      <c r="C978" t="inlineStr">
        <is>
          <t>Emergency</t>
        </is>
      </c>
      <c r="D978" t="inlineStr">
        <is>
          <t>Ashby Falls Community Hospital</t>
        </is>
      </c>
      <c r="E978" t="inlineStr">
        <is>
          <t>Emergency Department</t>
        </is>
      </c>
      <c r="F978" t="inlineStr">
        <is>
          <t>Emergency</t>
        </is>
      </c>
      <c r="G978" s="29" t="n">
        <v>45781</v>
      </c>
      <c r="H978" s="29" t="n">
        <v>45781</v>
      </c>
      <c r="I978" s="30" t="n"/>
      <c r="J978" t="inlineStr">
        <is>
          <t>G43.909</t>
        </is>
      </c>
      <c r="K978" t="inlineStr">
        <is>
          <t>Migraine, unspecified, not intractable, without status migrainosus</t>
        </is>
      </c>
      <c r="L978" t="inlineStr">
        <is>
          <t>Nervous System</t>
        </is>
      </c>
      <c r="M978" t="inlineStr">
        <is>
          <t>Home/Self-Care</t>
        </is>
      </c>
      <c r="N978" t="inlineStr">
        <is>
          <t>Medicare</t>
        </is>
      </c>
      <c r="O978" s="31" t="n">
        <v>638.34</v>
      </c>
    </row>
    <row r="979">
      <c r="A979" t="inlineStr">
        <is>
          <t>ENC114745</t>
        </is>
      </c>
      <c r="B979" t="inlineStr">
        <is>
          <t>PT11188</t>
        </is>
      </c>
      <c r="C979" t="inlineStr">
        <is>
          <t>Inpatient</t>
        </is>
      </c>
      <c r="D979" t="inlineStr">
        <is>
          <t>Cedar Ridge Medical Center</t>
        </is>
      </c>
      <c r="E979" t="inlineStr">
        <is>
          <t>Medical-Surgical</t>
        </is>
      </c>
      <c r="F979" t="inlineStr">
        <is>
          <t>Medicine</t>
        </is>
      </c>
      <c r="G979" s="29" t="n">
        <v>45781</v>
      </c>
      <c r="H979" s="29" t="n">
        <v>45788</v>
      </c>
      <c r="I979" s="30" t="n">
        <v>7</v>
      </c>
      <c r="J979" t="inlineStr">
        <is>
          <t>J18.9</t>
        </is>
      </c>
      <c r="K979" t="inlineStr">
        <is>
          <t>Pneumonia, unspecified organism</t>
        </is>
      </c>
      <c r="L979" t="inlineStr">
        <is>
          <t>Respiratory</t>
        </is>
      </c>
      <c r="M979" t="inlineStr">
        <is>
          <t>Home/Self-Care</t>
        </is>
      </c>
      <c r="N979" t="inlineStr">
        <is>
          <t>Medicare</t>
        </is>
      </c>
      <c r="O979" s="31" t="n">
        <v>25360.94</v>
      </c>
      <c r="P979" t="inlineStr">
        <is>
          <t>N</t>
        </is>
      </c>
    </row>
    <row r="980">
      <c r="A980" t="inlineStr">
        <is>
          <t>ENC114753</t>
        </is>
      </c>
      <c r="B980" t="inlineStr">
        <is>
          <t>PT10612</t>
        </is>
      </c>
      <c r="C980" t="inlineStr">
        <is>
          <t>Emergency</t>
        </is>
      </c>
      <c r="D980" t="inlineStr">
        <is>
          <t>Cedar Ridge Medical Center</t>
        </is>
      </c>
      <c r="E980" t="inlineStr">
        <is>
          <t>Emergency Department</t>
        </is>
      </c>
      <c r="F980" t="inlineStr">
        <is>
          <t>Emergency</t>
        </is>
      </c>
      <c r="G980" s="29" t="n">
        <v>45782</v>
      </c>
      <c r="H980" s="29" t="n">
        <v>45782</v>
      </c>
      <c r="I980" s="30" t="n"/>
      <c r="J980" t="inlineStr">
        <is>
          <t>G43.909</t>
        </is>
      </c>
      <c r="K980" t="inlineStr">
        <is>
          <t>Migraine, unspecified, not intractable, without status migrainosus</t>
        </is>
      </c>
      <c r="L980" t="inlineStr">
        <is>
          <t>Nervous System</t>
        </is>
      </c>
      <c r="M980" t="inlineStr">
        <is>
          <t>Home/Self-Care</t>
        </is>
      </c>
      <c r="N980" t="inlineStr">
        <is>
          <t>Medicare</t>
        </is>
      </c>
      <c r="O980" s="31" t="n">
        <v>1543.1</v>
      </c>
    </row>
    <row r="981">
      <c r="A981" t="inlineStr">
        <is>
          <t>ENC114756</t>
        </is>
      </c>
      <c r="B981" t="inlineStr">
        <is>
          <t>PT10744</t>
        </is>
      </c>
      <c r="C981" t="inlineStr">
        <is>
          <t>Inpatient</t>
        </is>
      </c>
      <c r="D981" t="inlineStr">
        <is>
          <t>Bluestone Memorial Hospital</t>
        </is>
      </c>
      <c r="E981" t="inlineStr">
        <is>
          <t>Orthopedics &amp; Spine</t>
        </is>
      </c>
      <c r="F981" t="inlineStr">
        <is>
          <t>Orthopedics</t>
        </is>
      </c>
      <c r="G981" s="29" t="n">
        <v>45782</v>
      </c>
      <c r="H981" s="29" t="n">
        <v>45786</v>
      </c>
      <c r="I981" s="30" t="n">
        <v>4</v>
      </c>
      <c r="J981" t="inlineStr">
        <is>
          <t>M16.11</t>
        </is>
      </c>
      <c r="K981" t="inlineStr">
        <is>
          <t>Unilateral primary osteoarthritis, right hip</t>
        </is>
      </c>
      <c r="L981" t="inlineStr">
        <is>
          <t>Musculoskeletal</t>
        </is>
      </c>
      <c r="M981" t="inlineStr">
        <is>
          <t>Home/Self-Care</t>
        </is>
      </c>
      <c r="N981" t="inlineStr">
        <is>
          <t>State Medicaid</t>
        </is>
      </c>
      <c r="O981" s="31" t="n">
        <v>47864.66</v>
      </c>
      <c r="P981" t="inlineStr">
        <is>
          <t>N</t>
        </is>
      </c>
    </row>
    <row r="982">
      <c r="A982" t="inlineStr">
        <is>
          <t>ENC114759</t>
        </is>
      </c>
      <c r="B982" t="inlineStr">
        <is>
          <t>PT10648</t>
        </is>
      </c>
      <c r="C982" t="inlineStr">
        <is>
          <t>Outpatient</t>
        </is>
      </c>
      <c r="D982" t="inlineStr">
        <is>
          <t>Bluestone Outpatient Pavilion</t>
        </is>
      </c>
      <c r="E982" t="inlineStr">
        <is>
          <t>Primary Care Clinic</t>
        </is>
      </c>
      <c r="F982" t="inlineStr">
        <is>
          <t>Ambulatory</t>
        </is>
      </c>
      <c r="G982" s="29" t="n">
        <v>45782</v>
      </c>
      <c r="H982" s="29" t="n">
        <v>45782</v>
      </c>
      <c r="I982" s="30" t="n"/>
      <c r="J982" t="inlineStr">
        <is>
          <t>I10</t>
        </is>
      </c>
      <c r="K982" t="inlineStr">
        <is>
          <t>Essential (primary) hypertension</t>
        </is>
      </c>
      <c r="L982" t="inlineStr">
        <is>
          <t>Circulatory</t>
        </is>
      </c>
      <c r="M982" t="inlineStr">
        <is>
          <t>Home/Self-Care</t>
        </is>
      </c>
      <c r="N982" t="inlineStr">
        <is>
          <t>Self-Pay</t>
        </is>
      </c>
      <c r="O982" s="31" t="n">
        <v>444.1</v>
      </c>
    </row>
    <row r="983">
      <c r="A983" t="inlineStr">
        <is>
          <t>ENC114765</t>
        </is>
      </c>
      <c r="B983" t="inlineStr">
        <is>
          <t>PT12692</t>
        </is>
      </c>
      <c r="C983" t="inlineStr">
        <is>
          <t>Inpatient</t>
        </is>
      </c>
      <c r="D983" t="inlineStr">
        <is>
          <t>Cedar Ridge Medical Center</t>
        </is>
      </c>
      <c r="E983" t="inlineStr">
        <is>
          <t>Medical-Surgical</t>
        </is>
      </c>
      <c r="F983" t="inlineStr">
        <is>
          <t>Medicine</t>
        </is>
      </c>
      <c r="G983" s="29" t="n">
        <v>45782</v>
      </c>
      <c r="H983" s="29" t="n">
        <v>45790</v>
      </c>
      <c r="I983" s="30" t="n">
        <v>8</v>
      </c>
      <c r="J983" t="inlineStr">
        <is>
          <t>A41.9</t>
        </is>
      </c>
      <c r="K983" t="inlineStr">
        <is>
          <t>Sepsis, unspecified organism</t>
        </is>
      </c>
      <c r="L983" t="inlineStr">
        <is>
          <t>Infectious</t>
        </is>
      </c>
      <c r="M983" t="inlineStr">
        <is>
          <t>Home/Self-Care</t>
        </is>
      </c>
      <c r="N983" t="inlineStr">
        <is>
          <t>State Medicaid</t>
        </is>
      </c>
      <c r="O983" s="31" t="n">
        <v>51250.73</v>
      </c>
      <c r="P983" t="inlineStr">
        <is>
          <t>N</t>
        </is>
      </c>
    </row>
    <row r="984">
      <c r="A984" t="inlineStr">
        <is>
          <t>ENC114766</t>
        </is>
      </c>
      <c r="B984" t="inlineStr">
        <is>
          <t>PT12768</t>
        </is>
      </c>
      <c r="C984" t="inlineStr">
        <is>
          <t>Emergency</t>
        </is>
      </c>
      <c r="D984" t="inlineStr">
        <is>
          <t>Bluestone Memorial Hospital</t>
        </is>
      </c>
      <c r="E984" t="inlineStr">
        <is>
          <t>Emergency Department</t>
        </is>
      </c>
      <c r="F984" t="inlineStr">
        <is>
          <t>Emergency</t>
        </is>
      </c>
      <c r="G984" s="29" t="n">
        <v>45782</v>
      </c>
      <c r="H984" s="29" t="n">
        <v>45782</v>
      </c>
      <c r="I984" s="30" t="n"/>
      <c r="J984" t="inlineStr">
        <is>
          <t>J06.9</t>
        </is>
      </c>
      <c r="K984" t="inlineStr">
        <is>
          <t>Acute upper respiratory infection, unspecified</t>
        </is>
      </c>
      <c r="L984" t="inlineStr">
        <is>
          <t>Respiratory</t>
        </is>
      </c>
      <c r="M984" t="inlineStr">
        <is>
          <t>Home/Self-Care</t>
        </is>
      </c>
      <c r="N984" t="inlineStr">
        <is>
          <t>State Medicaid</t>
        </is>
      </c>
      <c r="O984" s="31" t="n">
        <v>680.6799999999999</v>
      </c>
    </row>
    <row r="985">
      <c r="A985" t="inlineStr">
        <is>
          <t>ENC114769</t>
        </is>
      </c>
      <c r="B985" t="inlineStr">
        <is>
          <t>PT11868</t>
        </is>
      </c>
      <c r="C985" t="inlineStr">
        <is>
          <t>Inpatient</t>
        </is>
      </c>
      <c r="D985" t="inlineStr">
        <is>
          <t>Bluestone Memorial Hospital</t>
        </is>
      </c>
      <c r="E985" t="inlineStr">
        <is>
          <t>Medical-Surgical 4 West</t>
        </is>
      </c>
      <c r="F985" t="inlineStr">
        <is>
          <t>Medicine</t>
        </is>
      </c>
      <c r="G985" s="29" t="n">
        <v>45782</v>
      </c>
      <c r="H985" s="29" t="n">
        <v>45786</v>
      </c>
      <c r="I985" s="30" t="n">
        <v>4</v>
      </c>
      <c r="J985" t="inlineStr">
        <is>
          <t>A41.9</t>
        </is>
      </c>
      <c r="K985" t="inlineStr">
        <is>
          <t>Sepsis, unspecified organism</t>
        </is>
      </c>
      <c r="L985" t="inlineStr">
        <is>
          <t>Infectious</t>
        </is>
      </c>
      <c r="M985" t="inlineStr">
        <is>
          <t>Home/Self-Care</t>
        </is>
      </c>
      <c r="N985" t="inlineStr">
        <is>
          <t>State Medicaid</t>
        </is>
      </c>
      <c r="O985" s="31" t="n">
        <v>32067.43</v>
      </c>
      <c r="P985" t="inlineStr">
        <is>
          <t>N</t>
        </is>
      </c>
    </row>
    <row r="986">
      <c r="A986" t="inlineStr">
        <is>
          <t>ENC114770</t>
        </is>
      </c>
      <c r="B986" t="inlineStr">
        <is>
          <t>PT13356</t>
        </is>
      </c>
      <c r="C986" t="inlineStr">
        <is>
          <t>Outpatient</t>
        </is>
      </c>
      <c r="D986" t="inlineStr">
        <is>
          <t>Bluestone Outpatient Pavilion</t>
        </is>
      </c>
      <c r="E986" t="inlineStr">
        <is>
          <t>Pediatric Clinic</t>
        </is>
      </c>
      <c r="F986" t="inlineStr">
        <is>
          <t>Women &amp; Children</t>
        </is>
      </c>
      <c r="G986" s="29" t="n">
        <v>45782</v>
      </c>
      <c r="H986" s="29" t="n">
        <v>45782</v>
      </c>
      <c r="I986" s="30" t="n"/>
      <c r="J986" t="inlineStr">
        <is>
          <t>Z00.129</t>
        </is>
      </c>
      <c r="K986" t="inlineStr">
        <is>
          <t>Encounter for routine child health examination without abnormal findings</t>
        </is>
      </c>
      <c r="L986" t="inlineStr">
        <is>
          <t>Factors Influencing Health</t>
        </is>
      </c>
      <c r="M986" t="inlineStr">
        <is>
          <t>Home/Self-Care</t>
        </is>
      </c>
      <c r="N986" t="inlineStr">
        <is>
          <t>Evergreen Mutual Insurance</t>
        </is>
      </c>
      <c r="O986" s="31" t="n">
        <v>368.89</v>
      </c>
    </row>
    <row r="987">
      <c r="A987" t="inlineStr">
        <is>
          <t>ENC114775</t>
        </is>
      </c>
      <c r="B987" t="inlineStr">
        <is>
          <t>PT11660</t>
        </is>
      </c>
      <c r="C987" t="inlineStr">
        <is>
          <t>Outpatient</t>
        </is>
      </c>
      <c r="D987" t="inlineStr">
        <is>
          <t>Bluestone Outpatient Pavilion</t>
        </is>
      </c>
      <c r="E987" t="inlineStr">
        <is>
          <t>Primary Care Clinic</t>
        </is>
      </c>
      <c r="F987" t="inlineStr">
        <is>
          <t>Ambulatory</t>
        </is>
      </c>
      <c r="G987" s="29" t="n">
        <v>45782</v>
      </c>
      <c r="H987" s="29" t="n">
        <v>45782</v>
      </c>
      <c r="I987" s="30" t="n"/>
      <c r="J987" t="inlineStr">
        <is>
          <t>M54.50</t>
        </is>
      </c>
      <c r="K987" t="inlineStr">
        <is>
          <t>Low back pain, unspecified</t>
        </is>
      </c>
      <c r="L987" t="inlineStr">
        <is>
          <t>Musculoskeletal</t>
        </is>
      </c>
      <c r="M987" t="inlineStr">
        <is>
          <t>Home/Self-Care</t>
        </is>
      </c>
      <c r="N987" t="inlineStr">
        <is>
          <t>Medicare</t>
        </is>
      </c>
      <c r="O987" s="31" t="n">
        <v>164.98</v>
      </c>
    </row>
    <row r="988">
      <c r="A988" t="inlineStr">
        <is>
          <t>ENC114778</t>
        </is>
      </c>
      <c r="B988" t="inlineStr">
        <is>
          <t>PT13392</t>
        </is>
      </c>
      <c r="C988" t="inlineStr">
        <is>
          <t>Outpatient</t>
        </is>
      </c>
      <c r="D988" t="inlineStr">
        <is>
          <t>Bluestone Outpatient Pavilion</t>
        </is>
      </c>
      <c r="E988" t="inlineStr">
        <is>
          <t>Primary Care Clinic</t>
        </is>
      </c>
      <c r="F988" t="inlineStr">
        <is>
          <t>Ambulatory</t>
        </is>
      </c>
      <c r="G988" s="29" t="n">
        <v>45782</v>
      </c>
      <c r="H988" s="29" t="n">
        <v>45782</v>
      </c>
      <c r="I988" s="30" t="n"/>
      <c r="J988" t="inlineStr">
        <is>
          <t>E78.5</t>
        </is>
      </c>
      <c r="K988" t="inlineStr">
        <is>
          <t>Hyperlipidemia, unspecified</t>
        </is>
      </c>
      <c r="L988" t="inlineStr">
        <is>
          <t>Endocrine</t>
        </is>
      </c>
      <c r="M988" t="inlineStr">
        <is>
          <t>Home/Self-Care</t>
        </is>
      </c>
      <c r="N988" t="inlineStr">
        <is>
          <t>Silverline Medicare Advantage</t>
        </is>
      </c>
      <c r="O988" s="31" t="n">
        <v>410.5</v>
      </c>
    </row>
    <row r="989">
      <c r="A989" t="inlineStr">
        <is>
          <t>ENC114781</t>
        </is>
      </c>
      <c r="B989" t="inlineStr">
        <is>
          <t>PT12100</t>
        </is>
      </c>
      <c r="C989" t="inlineStr">
        <is>
          <t>Outpatient</t>
        </is>
      </c>
      <c r="D989" t="inlineStr">
        <is>
          <t>Bluestone Outpatient Pavilion</t>
        </is>
      </c>
      <c r="E989" t="inlineStr">
        <is>
          <t>Pediatric Clinic</t>
        </is>
      </c>
      <c r="F989" t="inlineStr">
        <is>
          <t>Women &amp; Children</t>
        </is>
      </c>
      <c r="G989" s="29" t="n">
        <v>45782</v>
      </c>
      <c r="H989" s="29" t="n">
        <v>45782</v>
      </c>
      <c r="I989" s="30" t="n"/>
      <c r="J989" t="inlineStr">
        <is>
          <t>Z00.129</t>
        </is>
      </c>
      <c r="K989" t="inlineStr">
        <is>
          <t>Encounter for routine child health examination without abnormal findings</t>
        </is>
      </c>
      <c r="L989" t="inlineStr">
        <is>
          <t>Factors Influencing Health</t>
        </is>
      </c>
      <c r="M989" t="inlineStr">
        <is>
          <t>Home/Self-Care</t>
        </is>
      </c>
      <c r="N989" t="inlineStr">
        <is>
          <t>State Medicaid</t>
        </is>
      </c>
      <c r="O989" s="31" t="n">
        <v>347.97</v>
      </c>
    </row>
    <row r="990">
      <c r="A990" t="inlineStr">
        <is>
          <t>ENC114789</t>
        </is>
      </c>
      <c r="B990" t="inlineStr">
        <is>
          <t>PT11888</t>
        </is>
      </c>
      <c r="C990" t="inlineStr">
        <is>
          <t>Emergency</t>
        </is>
      </c>
      <c r="D990" t="inlineStr">
        <is>
          <t>Bluestone Memorial Hospital</t>
        </is>
      </c>
      <c r="E990" t="inlineStr">
        <is>
          <t>Emergency Department</t>
        </is>
      </c>
      <c r="F990" t="inlineStr">
        <is>
          <t>Emergency</t>
        </is>
      </c>
      <c r="G990" s="29" t="n">
        <v>45782</v>
      </c>
      <c r="H990" s="29" t="n">
        <v>45782</v>
      </c>
      <c r="I990" s="30" t="n"/>
      <c r="J990" t="inlineStr">
        <is>
          <t>S06.0X0A</t>
        </is>
      </c>
      <c r="K990" t="inlineStr">
        <is>
          <t>Concussion without loss of consciousness, initial encounter</t>
        </is>
      </c>
      <c r="L990" t="inlineStr">
        <is>
          <t>Injury</t>
        </is>
      </c>
      <c r="M990" t="inlineStr">
        <is>
          <t>Home/Self-Care</t>
        </is>
      </c>
      <c r="N990" t="inlineStr">
        <is>
          <t>Keystone Health Partners</t>
        </is>
      </c>
      <c r="O990" s="31" t="n">
        <v>2186.25</v>
      </c>
    </row>
    <row r="991">
      <c r="A991" t="inlineStr">
        <is>
          <t>ENC114798</t>
        </is>
      </c>
      <c r="B991" t="inlineStr">
        <is>
          <t>PT10392</t>
        </is>
      </c>
      <c r="C991" t="inlineStr">
        <is>
          <t>Emergency</t>
        </is>
      </c>
      <c r="D991" t="inlineStr">
        <is>
          <t>Bluestone Memorial Hospital</t>
        </is>
      </c>
      <c r="E991" t="inlineStr">
        <is>
          <t>Emergency Department</t>
        </is>
      </c>
      <c r="F991" t="inlineStr">
        <is>
          <t>Emergency</t>
        </is>
      </c>
      <c r="G991" s="29" t="n">
        <v>45782</v>
      </c>
      <c r="H991" s="29" t="n">
        <v>45783</v>
      </c>
      <c r="I991" s="30" t="n"/>
      <c r="J991" t="inlineStr">
        <is>
          <t>M54.50</t>
        </is>
      </c>
      <c r="K991" t="inlineStr">
        <is>
          <t>Low back pain, unspecified</t>
        </is>
      </c>
      <c r="L991" t="inlineStr">
        <is>
          <t>Musculoskeletal</t>
        </is>
      </c>
      <c r="M991" t="inlineStr">
        <is>
          <t>Home/Self-Care</t>
        </is>
      </c>
      <c r="N991" t="inlineStr">
        <is>
          <t>State Medicaid</t>
        </is>
      </c>
      <c r="O991" s="31" t="n">
        <v>1536.08</v>
      </c>
    </row>
    <row r="992">
      <c r="A992" t="inlineStr">
        <is>
          <t>ENC114800</t>
        </is>
      </c>
      <c r="B992" t="inlineStr">
        <is>
          <t>PT11952</t>
        </is>
      </c>
      <c r="C992" t="inlineStr">
        <is>
          <t>Inpatient</t>
        </is>
      </c>
      <c r="D992" t="inlineStr">
        <is>
          <t>Ashby Falls Community Hospital</t>
        </is>
      </c>
      <c r="E992" t="inlineStr">
        <is>
          <t>Medical-Surgical</t>
        </is>
      </c>
      <c r="F992" t="inlineStr">
        <is>
          <t>Medicine</t>
        </is>
      </c>
      <c r="G992" s="29" t="n">
        <v>45783</v>
      </c>
      <c r="H992" s="29" t="n">
        <v>45789</v>
      </c>
      <c r="I992" s="30" t="n">
        <v>6</v>
      </c>
      <c r="J992" t="inlineStr">
        <is>
          <t>I50.9</t>
        </is>
      </c>
      <c r="K992" t="inlineStr">
        <is>
          <t>Heart failure, unspecified</t>
        </is>
      </c>
      <c r="L992" t="inlineStr">
        <is>
          <t>Circulatory</t>
        </is>
      </c>
      <c r="M992" t="inlineStr">
        <is>
          <t>Skilled Nursing Facility</t>
        </is>
      </c>
      <c r="N992" t="inlineStr">
        <is>
          <t>Silverline Medicare Advantage</t>
        </is>
      </c>
      <c r="O992" s="31" t="n">
        <v>29706.23</v>
      </c>
      <c r="P992" t="inlineStr">
        <is>
          <t>Y</t>
        </is>
      </c>
    </row>
    <row r="993">
      <c r="A993" t="inlineStr">
        <is>
          <t>ENC114808</t>
        </is>
      </c>
      <c r="B993" t="inlineStr">
        <is>
          <t>PT10812</t>
        </is>
      </c>
      <c r="C993" t="inlineStr">
        <is>
          <t>Outpatient</t>
        </is>
      </c>
      <c r="D993" t="inlineStr">
        <is>
          <t>Bluestone Outpatient Pavilion</t>
        </is>
      </c>
      <c r="E993" t="inlineStr">
        <is>
          <t>Infusion &amp; Oncology Clinic</t>
        </is>
      </c>
      <c r="F993" t="inlineStr">
        <is>
          <t>Oncology</t>
        </is>
      </c>
      <c r="G993" s="29" t="n">
        <v>45783</v>
      </c>
      <c r="H993" s="29" t="n">
        <v>45783</v>
      </c>
      <c r="I993" s="30" t="n"/>
      <c r="J993" t="inlineStr">
        <is>
          <t>Z51.11</t>
        </is>
      </c>
      <c r="K993" t="inlineStr">
        <is>
          <t>Encounter for antineoplastic chemotherapy</t>
        </is>
      </c>
      <c r="L993" t="inlineStr">
        <is>
          <t>Factors Influencing Health</t>
        </is>
      </c>
      <c r="M993" t="inlineStr">
        <is>
          <t>Home/Self-Care</t>
        </is>
      </c>
      <c r="N993" t="inlineStr">
        <is>
          <t>Summit Choice PPO</t>
        </is>
      </c>
      <c r="O993" s="31" t="n">
        <v>12314.85</v>
      </c>
    </row>
    <row r="994">
      <c r="A994" t="inlineStr">
        <is>
          <t>ENC114809</t>
        </is>
      </c>
      <c r="B994" t="inlineStr">
        <is>
          <t>PT11664</t>
        </is>
      </c>
      <c r="C994" t="inlineStr">
        <is>
          <t>Emergency</t>
        </is>
      </c>
      <c r="D994" t="inlineStr">
        <is>
          <t>Bluestone Memorial Hospital</t>
        </is>
      </c>
      <c r="E994" t="inlineStr">
        <is>
          <t>Emergency Department</t>
        </is>
      </c>
      <c r="F994" t="inlineStr">
        <is>
          <t>Emergency</t>
        </is>
      </c>
      <c r="G994" s="29" t="n">
        <v>45783</v>
      </c>
      <c r="H994" s="29" t="n">
        <v>45783</v>
      </c>
      <c r="I994" s="30" t="n"/>
      <c r="J994" t="inlineStr">
        <is>
          <t>F10.239</t>
        </is>
      </c>
      <c r="K994" t="inlineStr">
        <is>
          <t>Alcohol dependence with withdrawal, unspecified</t>
        </is>
      </c>
      <c r="L994" t="inlineStr">
        <is>
          <t>Mental &amp; Behavioral</t>
        </is>
      </c>
      <c r="M994" t="inlineStr">
        <is>
          <t>Home/Self-Care</t>
        </is>
      </c>
      <c r="N994" t="inlineStr">
        <is>
          <t>State Medicaid</t>
        </is>
      </c>
      <c r="O994" s="31" t="n">
        <v>2658.45</v>
      </c>
    </row>
    <row r="995">
      <c r="A995" t="inlineStr">
        <is>
          <t>ENC114816</t>
        </is>
      </c>
      <c r="B995" t="inlineStr">
        <is>
          <t>PT13492</t>
        </is>
      </c>
      <c r="C995" t="inlineStr">
        <is>
          <t>Outpatient</t>
        </is>
      </c>
      <c r="D995" t="inlineStr">
        <is>
          <t>Bluestone Outpatient Pavilion</t>
        </is>
      </c>
      <c r="E995" t="inlineStr">
        <is>
          <t>Primary Care Clinic</t>
        </is>
      </c>
      <c r="F995" t="inlineStr">
        <is>
          <t>Ambulatory</t>
        </is>
      </c>
      <c r="G995" s="29" t="n">
        <v>45783</v>
      </c>
      <c r="H995" s="29" t="n">
        <v>45783</v>
      </c>
      <c r="I995" s="30" t="n"/>
      <c r="J995" t="inlineStr">
        <is>
          <t>F32.9</t>
        </is>
      </c>
      <c r="K995" t="inlineStr">
        <is>
          <t>Major depressive disorder, single episode, unspecified</t>
        </is>
      </c>
      <c r="L995" t="inlineStr">
        <is>
          <t>Mental &amp; Behavioral</t>
        </is>
      </c>
      <c r="M995" t="inlineStr">
        <is>
          <t>Home/Self-Care</t>
        </is>
      </c>
      <c r="N995" t="inlineStr">
        <is>
          <t>Self-Pay</t>
        </is>
      </c>
      <c r="O995" s="31" t="n">
        <v>315.52</v>
      </c>
    </row>
    <row r="996">
      <c r="A996" t="inlineStr">
        <is>
          <t>ENC114819</t>
        </is>
      </c>
      <c r="B996" t="inlineStr">
        <is>
          <t>PT13360</t>
        </is>
      </c>
      <c r="C996" t="inlineStr">
        <is>
          <t>Outpatient</t>
        </is>
      </c>
      <c r="D996" t="inlineStr">
        <is>
          <t>Bluestone Outpatient Pavilion</t>
        </is>
      </c>
      <c r="E996" t="inlineStr">
        <is>
          <t>Primary Care Clinic</t>
        </is>
      </c>
      <c r="F996" t="inlineStr">
        <is>
          <t>Ambulatory</t>
        </is>
      </c>
      <c r="G996" s="29" t="n">
        <v>45783</v>
      </c>
      <c r="H996" s="29" t="n">
        <v>45783</v>
      </c>
      <c r="I996" s="30" t="n"/>
      <c r="J996" t="inlineStr">
        <is>
          <t>E78.5</t>
        </is>
      </c>
      <c r="K996" t="inlineStr">
        <is>
          <t>Hyperlipidemia, unspecified</t>
        </is>
      </c>
      <c r="L996" t="inlineStr">
        <is>
          <t>Endocrine</t>
        </is>
      </c>
      <c r="M996" t="inlineStr">
        <is>
          <t>Home/Self-Care</t>
        </is>
      </c>
      <c r="N996" t="inlineStr">
        <is>
          <t>Keystone Health Partners</t>
        </is>
      </c>
      <c r="O996" s="31" t="n">
        <v>454.53</v>
      </c>
    </row>
    <row r="997">
      <c r="A997" t="inlineStr">
        <is>
          <t>ENC114823</t>
        </is>
      </c>
      <c r="B997" t="inlineStr">
        <is>
          <t>PT10252</t>
        </is>
      </c>
      <c r="C997" t="inlineStr">
        <is>
          <t>Emergency</t>
        </is>
      </c>
      <c r="D997" t="inlineStr">
        <is>
          <t>Cedar Ridge Medical Center</t>
        </is>
      </c>
      <c r="E997" t="inlineStr">
        <is>
          <t>Emergency Department</t>
        </is>
      </c>
      <c r="F997" t="inlineStr">
        <is>
          <t>Emergency</t>
        </is>
      </c>
      <c r="G997" s="29" t="n">
        <v>45783</v>
      </c>
      <c r="H997" s="29" t="n">
        <v>45783</v>
      </c>
      <c r="I997" s="30" t="n"/>
      <c r="J997" t="inlineStr">
        <is>
          <t>G43.909</t>
        </is>
      </c>
      <c r="K997" t="inlineStr">
        <is>
          <t>Migraine, unspecified, not intractable, without status migrainosus</t>
        </is>
      </c>
      <c r="L997" t="inlineStr">
        <is>
          <t>Nervous System</t>
        </is>
      </c>
      <c r="M997" t="inlineStr">
        <is>
          <t>Home/Self-Care</t>
        </is>
      </c>
      <c r="N997" t="inlineStr">
        <is>
          <t>Evergreen Mutual Insurance</t>
        </is>
      </c>
      <c r="O997" s="31" t="n">
        <v>1202.42</v>
      </c>
    </row>
    <row r="998">
      <c r="A998" t="inlineStr">
        <is>
          <t>ENC114825</t>
        </is>
      </c>
      <c r="B998" t="inlineStr">
        <is>
          <t>PT10680</t>
        </is>
      </c>
      <c r="C998" t="inlineStr">
        <is>
          <t>Outpatient</t>
        </is>
      </c>
      <c r="D998" t="inlineStr">
        <is>
          <t>Bluestone Outpatient Pavilion</t>
        </is>
      </c>
      <c r="E998" t="inlineStr">
        <is>
          <t>Cardiology Clinic</t>
        </is>
      </c>
      <c r="F998" t="inlineStr">
        <is>
          <t>Cardiovascular</t>
        </is>
      </c>
      <c r="G998" s="29" t="n">
        <v>45783</v>
      </c>
      <c r="H998" s="29" t="n">
        <v>45783</v>
      </c>
      <c r="I998" s="30" t="n"/>
      <c r="J998" t="inlineStr">
        <is>
          <t>I48.91</t>
        </is>
      </c>
      <c r="K998" t="inlineStr">
        <is>
          <t>Unspecified atrial fibrillation</t>
        </is>
      </c>
      <c r="L998" t="inlineStr">
        <is>
          <t>Circulatory</t>
        </is>
      </c>
      <c r="M998" t="inlineStr">
        <is>
          <t>Home/Self-Care</t>
        </is>
      </c>
      <c r="N998" t="inlineStr">
        <is>
          <t>Evergreen Mutual Insurance</t>
        </is>
      </c>
      <c r="O998" s="31" t="n">
        <v>215.18</v>
      </c>
    </row>
    <row r="999">
      <c r="A999" t="inlineStr">
        <is>
          <t>ENC114828</t>
        </is>
      </c>
      <c r="B999" t="inlineStr">
        <is>
          <t>PT13876</t>
        </is>
      </c>
      <c r="C999" t="inlineStr">
        <is>
          <t>Outpatient</t>
        </is>
      </c>
      <c r="D999" t="inlineStr">
        <is>
          <t>Bluestone Outpatient Pavilion</t>
        </is>
      </c>
      <c r="E999" t="inlineStr">
        <is>
          <t>Primary Care Clinic</t>
        </is>
      </c>
      <c r="F999" t="inlineStr">
        <is>
          <t>Ambulatory</t>
        </is>
      </c>
      <c r="G999" s="29" t="n">
        <v>45783</v>
      </c>
      <c r="H999" s="29" t="n">
        <v>45783</v>
      </c>
      <c r="I999" s="30" t="n"/>
      <c r="J999" t="inlineStr">
        <is>
          <t>I10</t>
        </is>
      </c>
      <c r="K999" t="inlineStr">
        <is>
          <t>Essential (primary) hypertension</t>
        </is>
      </c>
      <c r="L999" t="inlineStr">
        <is>
          <t>Circulatory</t>
        </is>
      </c>
      <c r="M999" t="inlineStr">
        <is>
          <t>Home/Self-Care</t>
        </is>
      </c>
      <c r="N999" t="inlineStr">
        <is>
          <t>Silverline Medicare Advantage</t>
        </is>
      </c>
      <c r="O999" s="31" t="n">
        <v>280.18</v>
      </c>
    </row>
    <row r="1000">
      <c r="A1000" t="inlineStr">
        <is>
          <t>ENC114832</t>
        </is>
      </c>
      <c r="B1000" t="inlineStr">
        <is>
          <t>PT13900</t>
        </is>
      </c>
      <c r="C1000" t="inlineStr">
        <is>
          <t>Outpatient</t>
        </is>
      </c>
      <c r="D1000" t="inlineStr">
        <is>
          <t>Bluestone Outpatient Pavilion</t>
        </is>
      </c>
      <c r="E1000" t="inlineStr">
        <is>
          <t>Primary Care Clinic</t>
        </is>
      </c>
      <c r="F1000" t="inlineStr">
        <is>
          <t>Ambulatory</t>
        </is>
      </c>
      <c r="G1000" s="29" t="n">
        <v>45783</v>
      </c>
      <c r="H1000" s="29" t="n">
        <v>45783</v>
      </c>
      <c r="I1000" s="30" t="n"/>
      <c r="J1000" t="inlineStr">
        <is>
          <t>J44.1</t>
        </is>
      </c>
      <c r="K1000" t="inlineStr">
        <is>
          <t>Chronic obstructive pulmonary disease with (acute) exacerbation</t>
        </is>
      </c>
      <c r="L1000" t="inlineStr">
        <is>
          <t>Respiratory</t>
        </is>
      </c>
      <c r="M1000" t="inlineStr">
        <is>
          <t>Home/Self-Care</t>
        </is>
      </c>
      <c r="N1000" t="inlineStr">
        <is>
          <t>Medicare</t>
        </is>
      </c>
      <c r="O1000" s="31" t="n">
        <v>286.09</v>
      </c>
    </row>
    <row r="1001">
      <c r="A1001" t="inlineStr">
        <is>
          <t>ENC114842</t>
        </is>
      </c>
      <c r="B1001" t="inlineStr">
        <is>
          <t>PT13380</t>
        </is>
      </c>
      <c r="C1001" t="inlineStr">
        <is>
          <t>Inpatient</t>
        </is>
      </c>
      <c r="D1001" t="inlineStr">
        <is>
          <t>Ashby Falls Community Hospital</t>
        </is>
      </c>
      <c r="E1001" t="inlineStr">
        <is>
          <t>Medical-Surgical</t>
        </is>
      </c>
      <c r="F1001" t="inlineStr">
        <is>
          <t>Medicine</t>
        </is>
      </c>
      <c r="G1001" s="29" t="n">
        <v>45784</v>
      </c>
      <c r="H1001" s="29" t="n">
        <v>45791</v>
      </c>
      <c r="I1001" s="30" t="n">
        <v>7</v>
      </c>
      <c r="J1001" t="inlineStr">
        <is>
          <t>N17.9</t>
        </is>
      </c>
      <c r="K1001" t="inlineStr">
        <is>
          <t>Acute kidney failure, unspecified</t>
        </is>
      </c>
      <c r="L1001" t="inlineStr">
        <is>
          <t>Genitourinary</t>
        </is>
      </c>
      <c r="M1001" t="inlineStr">
        <is>
          <t>Home/Self-Care</t>
        </is>
      </c>
      <c r="N1001" t="inlineStr">
        <is>
          <t>Summit Choice PPO</t>
        </is>
      </c>
      <c r="O1001" s="31" t="n">
        <v>29580.37</v>
      </c>
      <c r="P1001" t="inlineStr">
        <is>
          <t>N</t>
        </is>
      </c>
    </row>
    <row r="1002">
      <c r="A1002" t="inlineStr">
        <is>
          <t>ENC114846</t>
        </is>
      </c>
      <c r="B1002" t="inlineStr">
        <is>
          <t>PT11712</t>
        </is>
      </c>
      <c r="C1002" t="inlineStr">
        <is>
          <t>Outpatient</t>
        </is>
      </c>
      <c r="D1002" t="inlineStr">
        <is>
          <t>Bluestone Outpatient Pavilion</t>
        </is>
      </c>
      <c r="E1002" t="inlineStr">
        <is>
          <t>Primary Care Clinic</t>
        </is>
      </c>
      <c r="F1002" t="inlineStr">
        <is>
          <t>Ambulatory</t>
        </is>
      </c>
      <c r="G1002" s="29" t="n">
        <v>45784</v>
      </c>
      <c r="H1002" s="29" t="n">
        <v>45784</v>
      </c>
      <c r="I1002" s="30" t="n"/>
      <c r="J1002" t="inlineStr">
        <is>
          <t>N39.0</t>
        </is>
      </c>
      <c r="K1002" t="inlineStr">
        <is>
          <t>Urinary tract infection, site not specified</t>
        </is>
      </c>
      <c r="L1002" t="inlineStr">
        <is>
          <t>Genitourinary</t>
        </is>
      </c>
      <c r="M1002" t="inlineStr">
        <is>
          <t>Home/Self-Care</t>
        </is>
      </c>
      <c r="N1002" t="inlineStr">
        <is>
          <t>Medicare</t>
        </is>
      </c>
      <c r="O1002" s="31" t="n">
        <v>173.98</v>
      </c>
    </row>
    <row r="1003">
      <c r="A1003" t="inlineStr">
        <is>
          <t>ENC114854</t>
        </is>
      </c>
      <c r="B1003" t="inlineStr">
        <is>
          <t>PT11548</t>
        </is>
      </c>
      <c r="C1003" t="inlineStr">
        <is>
          <t>Outpatient</t>
        </is>
      </c>
      <c r="D1003" t="inlineStr">
        <is>
          <t>Bluestone Outpatient Pavilion</t>
        </is>
      </c>
      <c r="E1003" t="inlineStr">
        <is>
          <t>Primary Care Clinic</t>
        </is>
      </c>
      <c r="F1003" t="inlineStr">
        <is>
          <t>Ambulatory</t>
        </is>
      </c>
      <c r="G1003" s="29" t="n">
        <v>45784</v>
      </c>
      <c r="H1003" s="29" t="n">
        <v>45784</v>
      </c>
      <c r="I1003" s="30" t="n"/>
      <c r="J1003" t="inlineStr">
        <is>
          <t>Z00.00</t>
        </is>
      </c>
      <c r="K1003" t="inlineStr">
        <is>
          <t>Encounter for general adult medical examination without abnormal findings</t>
        </is>
      </c>
      <c r="L1003" t="inlineStr">
        <is>
          <t>Factors Influencing Health</t>
        </is>
      </c>
      <c r="M1003" t="inlineStr">
        <is>
          <t>Home/Self-Care</t>
        </is>
      </c>
      <c r="N1003" t="inlineStr">
        <is>
          <t>Evergreen Mutual Insurance</t>
        </is>
      </c>
      <c r="O1003" s="31" t="n">
        <v>397.48</v>
      </c>
    </row>
    <row r="1004">
      <c r="A1004" t="inlineStr">
        <is>
          <t>ENC114859</t>
        </is>
      </c>
      <c r="B1004" t="inlineStr">
        <is>
          <t>PT12168</t>
        </is>
      </c>
      <c r="C1004" t="inlineStr">
        <is>
          <t>Emergency</t>
        </is>
      </c>
      <c r="D1004" t="inlineStr">
        <is>
          <t>Cedar Ridge Medical Center</t>
        </is>
      </c>
      <c r="E1004" t="inlineStr">
        <is>
          <t>Emergency Department</t>
        </is>
      </c>
      <c r="F1004" t="inlineStr">
        <is>
          <t>Emergency</t>
        </is>
      </c>
      <c r="G1004" s="29" t="n">
        <v>45784</v>
      </c>
      <c r="H1004" s="29" t="n">
        <v>45784</v>
      </c>
      <c r="I1004" s="30" t="n"/>
      <c r="J1004" t="inlineStr">
        <is>
          <t>R10.9</t>
        </is>
      </c>
      <c r="K1004" t="inlineStr">
        <is>
          <t>Unspecified abdominal pain</t>
        </is>
      </c>
      <c r="L1004" t="inlineStr">
        <is>
          <t>Symptoms &amp; Signs</t>
        </is>
      </c>
      <c r="M1004" t="inlineStr">
        <is>
          <t>Home/Self-Care</t>
        </is>
      </c>
      <c r="N1004" t="inlineStr">
        <is>
          <t>Self-Pay</t>
        </is>
      </c>
      <c r="O1004" s="31" t="n">
        <v>1082.2</v>
      </c>
    </row>
    <row r="1005">
      <c r="A1005" t="inlineStr">
        <is>
          <t>ENC114871</t>
        </is>
      </c>
      <c r="B1005" t="inlineStr">
        <is>
          <t>PT11040</t>
        </is>
      </c>
      <c r="C1005" t="inlineStr">
        <is>
          <t>Outpatient</t>
        </is>
      </c>
      <c r="D1005" t="inlineStr">
        <is>
          <t>Bluestone Outpatient Pavilion</t>
        </is>
      </c>
      <c r="E1005" t="inlineStr">
        <is>
          <t>Orthopedic Clinic</t>
        </is>
      </c>
      <c r="F1005" t="inlineStr">
        <is>
          <t>Orthopedics</t>
        </is>
      </c>
      <c r="G1005" s="29" t="n">
        <v>45785</v>
      </c>
      <c r="H1005" s="29" t="n">
        <v>45785</v>
      </c>
      <c r="I1005" s="30" t="n"/>
      <c r="J1005" t="inlineStr">
        <is>
          <t>M16.11</t>
        </is>
      </c>
      <c r="K1005" t="inlineStr">
        <is>
          <t>Unilateral primary osteoarthritis, right hip</t>
        </is>
      </c>
      <c r="L1005" t="inlineStr">
        <is>
          <t>Musculoskeletal</t>
        </is>
      </c>
      <c r="M1005" t="inlineStr">
        <is>
          <t>Home/Self-Care</t>
        </is>
      </c>
      <c r="N1005" t="inlineStr">
        <is>
          <t>Silverline Medicare Advantage</t>
        </is>
      </c>
      <c r="O1005" s="31" t="n">
        <v>367.66</v>
      </c>
    </row>
    <row r="1006">
      <c r="A1006" t="inlineStr">
        <is>
          <t>ENC114872</t>
        </is>
      </c>
      <c r="B1006" t="inlineStr">
        <is>
          <t>PT12480</t>
        </is>
      </c>
      <c r="C1006" t="inlineStr">
        <is>
          <t>Inpatient</t>
        </is>
      </c>
      <c r="D1006" t="inlineStr">
        <is>
          <t>Bluestone Memorial Hospital</t>
        </is>
      </c>
      <c r="E1006" t="inlineStr">
        <is>
          <t>Labor &amp; Delivery</t>
        </is>
      </c>
      <c r="F1006" t="inlineStr">
        <is>
          <t>Women &amp; Children</t>
        </is>
      </c>
      <c r="G1006" s="29" t="n">
        <v>45785</v>
      </c>
      <c r="H1006" s="29" t="n">
        <v>45787</v>
      </c>
      <c r="I1006" s="30" t="n">
        <v>2</v>
      </c>
      <c r="J1006" t="inlineStr">
        <is>
          <t>O80</t>
        </is>
      </c>
      <c r="K1006" t="inlineStr">
        <is>
          <t>Encounter for full-term uncomplicated delivery</t>
        </is>
      </c>
      <c r="L1006" t="inlineStr">
        <is>
          <t>Pregnancy</t>
        </is>
      </c>
      <c r="M1006" t="inlineStr">
        <is>
          <t>Home/Self-Care</t>
        </is>
      </c>
      <c r="N1006" t="inlineStr">
        <is>
          <t>State Medicaid</t>
        </is>
      </c>
      <c r="O1006" s="31" t="n">
        <v>21054.18</v>
      </c>
      <c r="P1006" t="inlineStr">
        <is>
          <t>N</t>
        </is>
      </c>
    </row>
    <row r="1007">
      <c r="A1007" t="inlineStr">
        <is>
          <t>ENC114875</t>
        </is>
      </c>
      <c r="B1007" t="inlineStr">
        <is>
          <t>PT10860</t>
        </is>
      </c>
      <c r="C1007" t="inlineStr">
        <is>
          <t>Inpatient</t>
        </is>
      </c>
      <c r="D1007" t="inlineStr">
        <is>
          <t>Bluestone Memorial Hospital</t>
        </is>
      </c>
      <c r="E1007" t="inlineStr">
        <is>
          <t>Medical-Surgical 5 East</t>
        </is>
      </c>
      <c r="F1007" t="inlineStr">
        <is>
          <t>Medicine</t>
        </is>
      </c>
      <c r="G1007" s="29" t="n">
        <v>45785</v>
      </c>
      <c r="H1007" s="29" t="n">
        <v>45788</v>
      </c>
      <c r="I1007" s="30" t="n">
        <v>3</v>
      </c>
      <c r="J1007" t="inlineStr">
        <is>
          <t>K35.80</t>
        </is>
      </c>
      <c r="K1007" t="inlineStr">
        <is>
          <t>Unspecified acute appendicitis</t>
        </is>
      </c>
      <c r="L1007" t="inlineStr">
        <is>
          <t>Digestive</t>
        </is>
      </c>
      <c r="M1007" t="inlineStr">
        <is>
          <t>Skilled Nursing Facility</t>
        </is>
      </c>
      <c r="N1007" t="inlineStr">
        <is>
          <t>Silverline Medicare Advantage</t>
        </is>
      </c>
      <c r="O1007" s="31" t="n">
        <v>31657.46</v>
      </c>
      <c r="P1007" t="inlineStr">
        <is>
          <t>N</t>
        </is>
      </c>
    </row>
    <row r="1008">
      <c r="A1008" t="inlineStr">
        <is>
          <t>ENC114876</t>
        </is>
      </c>
      <c r="B1008" t="inlineStr">
        <is>
          <t>PT12044</t>
        </is>
      </c>
      <c r="C1008" t="inlineStr">
        <is>
          <t>Inpatient</t>
        </is>
      </c>
      <c r="D1008" t="inlineStr">
        <is>
          <t>Bluestone Memorial Hospital</t>
        </is>
      </c>
      <c r="E1008" t="inlineStr">
        <is>
          <t>Medical-Surgical 4 West</t>
        </is>
      </c>
      <c r="F1008" t="inlineStr">
        <is>
          <t>Medicine</t>
        </is>
      </c>
      <c r="G1008" s="29" t="n">
        <v>45785</v>
      </c>
      <c r="H1008" s="29" t="n">
        <v>45787</v>
      </c>
      <c r="I1008" s="30" t="n">
        <v>2</v>
      </c>
      <c r="J1008" t="inlineStr">
        <is>
          <t>J18.9</t>
        </is>
      </c>
      <c r="K1008" t="inlineStr">
        <is>
          <t>Pneumonia, unspecified organism</t>
        </is>
      </c>
      <c r="L1008" t="inlineStr">
        <is>
          <t>Respiratory</t>
        </is>
      </c>
      <c r="M1008" t="inlineStr">
        <is>
          <t>Home/Self-Care</t>
        </is>
      </c>
      <c r="N1008" t="inlineStr">
        <is>
          <t>Medicare</t>
        </is>
      </c>
      <c r="O1008" s="31" t="n">
        <v>8299.129999999999</v>
      </c>
      <c r="P1008" t="inlineStr">
        <is>
          <t>N</t>
        </is>
      </c>
    </row>
    <row r="1009">
      <c r="A1009" t="inlineStr">
        <is>
          <t>ENC114880</t>
        </is>
      </c>
      <c r="B1009" t="inlineStr">
        <is>
          <t>PT10832</t>
        </is>
      </c>
      <c r="C1009" t="inlineStr">
        <is>
          <t>Outpatient</t>
        </is>
      </c>
      <c r="D1009" t="inlineStr">
        <is>
          <t>Bluestone Outpatient Pavilion</t>
        </is>
      </c>
      <c r="E1009" t="inlineStr">
        <is>
          <t>Infusion &amp; Oncology Clinic</t>
        </is>
      </c>
      <c r="F1009" t="inlineStr">
        <is>
          <t>Oncology</t>
        </is>
      </c>
      <c r="G1009" s="29" t="n">
        <v>45785</v>
      </c>
      <c r="H1009" s="29" t="n">
        <v>45785</v>
      </c>
      <c r="I1009" s="30" t="n"/>
      <c r="J1009" t="inlineStr">
        <is>
          <t>Z51.11</t>
        </is>
      </c>
      <c r="K1009" t="inlineStr">
        <is>
          <t>Encounter for antineoplastic chemotherapy</t>
        </is>
      </c>
      <c r="L1009" t="inlineStr">
        <is>
          <t>Factors Influencing Health</t>
        </is>
      </c>
      <c r="M1009" t="inlineStr">
        <is>
          <t>Home/Self-Care</t>
        </is>
      </c>
      <c r="N1009" t="inlineStr">
        <is>
          <t>Keystone Health Partners</t>
        </is>
      </c>
      <c r="O1009" s="31" t="n">
        <v>18850.81</v>
      </c>
    </row>
    <row r="1010">
      <c r="A1010" t="inlineStr">
        <is>
          <t>ENC114885</t>
        </is>
      </c>
      <c r="B1010" t="inlineStr">
        <is>
          <t>PT10392</t>
        </is>
      </c>
      <c r="C1010" t="inlineStr">
        <is>
          <t>Outpatient</t>
        </is>
      </c>
      <c r="D1010" t="inlineStr">
        <is>
          <t>Bluestone Outpatient Pavilion</t>
        </is>
      </c>
      <c r="E1010" t="inlineStr">
        <is>
          <t>Primary Care Clinic</t>
        </is>
      </c>
      <c r="F1010" t="inlineStr">
        <is>
          <t>Ambulatory</t>
        </is>
      </c>
      <c r="G1010" s="29" t="n">
        <v>45785</v>
      </c>
      <c r="H1010" s="29" t="n">
        <v>45785</v>
      </c>
      <c r="I1010" s="30" t="n"/>
      <c r="J1010" t="inlineStr">
        <is>
          <t>Z00.00</t>
        </is>
      </c>
      <c r="K1010" t="inlineStr">
        <is>
          <t>Encounter for general adult medical examination without abnormal findings</t>
        </is>
      </c>
      <c r="L1010" t="inlineStr">
        <is>
          <t>Factors Influencing Health</t>
        </is>
      </c>
      <c r="M1010" t="inlineStr">
        <is>
          <t>Home/Self-Care</t>
        </is>
      </c>
      <c r="N1010" t="inlineStr">
        <is>
          <t>State Medicaid</t>
        </is>
      </c>
      <c r="O1010" s="31" t="n">
        <v>314.14</v>
      </c>
    </row>
    <row r="1011">
      <c r="A1011" t="inlineStr">
        <is>
          <t>ENC114887</t>
        </is>
      </c>
      <c r="B1011" t="inlineStr">
        <is>
          <t>PT12484</t>
        </is>
      </c>
      <c r="C1011" t="inlineStr">
        <is>
          <t>Emergency</t>
        </is>
      </c>
      <c r="D1011" t="inlineStr">
        <is>
          <t>Bluestone Memorial Hospital</t>
        </is>
      </c>
      <c r="E1011" t="inlineStr">
        <is>
          <t>Emergency Department</t>
        </is>
      </c>
      <c r="F1011" t="inlineStr">
        <is>
          <t>Emergency</t>
        </is>
      </c>
      <c r="G1011" s="29" t="n">
        <v>45785</v>
      </c>
      <c r="H1011" s="29" t="n">
        <v>45785</v>
      </c>
      <c r="I1011" s="30" t="n"/>
      <c r="J1011" t="inlineStr">
        <is>
          <t>N39.0</t>
        </is>
      </c>
      <c r="K1011" t="inlineStr">
        <is>
          <t>Urinary tract infection, site not specified</t>
        </is>
      </c>
      <c r="L1011" t="inlineStr">
        <is>
          <t>Genitourinary</t>
        </is>
      </c>
      <c r="M1011" t="inlineStr">
        <is>
          <t>Home/Self-Care</t>
        </is>
      </c>
      <c r="N1011" t="inlineStr">
        <is>
          <t>Medicare</t>
        </is>
      </c>
      <c r="O1011" s="31" t="n">
        <v>2925.31</v>
      </c>
    </row>
    <row r="1012">
      <c r="A1012" t="inlineStr">
        <is>
          <t>ENC114895</t>
        </is>
      </c>
      <c r="B1012" t="inlineStr">
        <is>
          <t>PT13992</t>
        </is>
      </c>
      <c r="C1012" t="inlineStr">
        <is>
          <t>Emergency</t>
        </is>
      </c>
      <c r="D1012" t="inlineStr">
        <is>
          <t>Ashby Falls Community Hospital</t>
        </is>
      </c>
      <c r="E1012" t="inlineStr">
        <is>
          <t>Emergency Department</t>
        </is>
      </c>
      <c r="F1012" t="inlineStr">
        <is>
          <t>Emergency</t>
        </is>
      </c>
      <c r="G1012" s="29" t="n">
        <v>45785</v>
      </c>
      <c r="H1012" s="29" t="n">
        <v>45785</v>
      </c>
      <c r="I1012" s="30" t="n"/>
      <c r="J1012" t="inlineStr">
        <is>
          <t>R55</t>
        </is>
      </c>
      <c r="K1012" t="inlineStr">
        <is>
          <t>Syncope and collapse</t>
        </is>
      </c>
      <c r="L1012" t="inlineStr">
        <is>
          <t>Symptoms &amp; Signs</t>
        </is>
      </c>
      <c r="M1012" t="inlineStr">
        <is>
          <t>Home/Self-Care</t>
        </is>
      </c>
      <c r="N1012" t="inlineStr">
        <is>
          <t>State Medicaid</t>
        </is>
      </c>
      <c r="O1012" s="31" t="n">
        <v>7711.12</v>
      </c>
    </row>
    <row r="1013">
      <c r="A1013" t="inlineStr">
        <is>
          <t>ENC114897</t>
        </is>
      </c>
      <c r="B1013" t="inlineStr">
        <is>
          <t>PT12296</t>
        </is>
      </c>
      <c r="C1013" t="inlineStr">
        <is>
          <t>Emergency</t>
        </is>
      </c>
      <c r="D1013" t="inlineStr">
        <is>
          <t>Bluestone Memorial Hospital</t>
        </is>
      </c>
      <c r="E1013" t="inlineStr">
        <is>
          <t>Emergency Department</t>
        </is>
      </c>
      <c r="F1013" t="inlineStr">
        <is>
          <t>Emergency</t>
        </is>
      </c>
      <c r="G1013" s="29" t="n">
        <v>45785</v>
      </c>
      <c r="H1013" s="29" t="n">
        <v>45785</v>
      </c>
      <c r="I1013" s="30" t="n"/>
      <c r="J1013" t="inlineStr">
        <is>
          <t>R07.9</t>
        </is>
      </c>
      <c r="K1013" t="inlineStr">
        <is>
          <t>Chest pain, unspecified</t>
        </is>
      </c>
      <c r="L1013" t="inlineStr">
        <is>
          <t>Symptoms &amp; Signs</t>
        </is>
      </c>
      <c r="M1013" t="inlineStr">
        <is>
          <t>Home/Self-Care</t>
        </is>
      </c>
      <c r="N1013" t="inlineStr">
        <is>
          <t>Keystone Health Partners</t>
        </is>
      </c>
      <c r="O1013" s="31" t="n">
        <v>4639.36</v>
      </c>
    </row>
    <row r="1014">
      <c r="A1014" t="inlineStr">
        <is>
          <t>ENC114898</t>
        </is>
      </c>
      <c r="B1014" t="inlineStr">
        <is>
          <t>PT13584</t>
        </is>
      </c>
      <c r="C1014" t="inlineStr">
        <is>
          <t>Inpatient</t>
        </is>
      </c>
      <c r="D1014" t="inlineStr">
        <is>
          <t>Bluestone Memorial Hospital</t>
        </is>
      </c>
      <c r="E1014" t="inlineStr">
        <is>
          <t>Medical-Surgical 4 West</t>
        </is>
      </c>
      <c r="F1014" t="inlineStr">
        <is>
          <t>Medicine</t>
        </is>
      </c>
      <c r="G1014" s="29" t="n">
        <v>45785</v>
      </c>
      <c r="H1014" s="29" t="n">
        <v>45795</v>
      </c>
      <c r="I1014" s="30" t="n">
        <v>10</v>
      </c>
      <c r="J1014" t="inlineStr">
        <is>
          <t>U07.1</t>
        </is>
      </c>
      <c r="K1014" t="inlineStr">
        <is>
          <t>COVID-19</t>
        </is>
      </c>
      <c r="L1014" t="inlineStr">
        <is>
          <t>Respiratory</t>
        </is>
      </c>
      <c r="M1014" t="inlineStr">
        <is>
          <t>Home/Self-Care</t>
        </is>
      </c>
      <c r="N1014" t="inlineStr">
        <is>
          <t>Summit Choice PPO</t>
        </is>
      </c>
      <c r="O1014" s="31" t="n">
        <v>41775.86</v>
      </c>
      <c r="P1014" t="inlineStr">
        <is>
          <t>N</t>
        </is>
      </c>
    </row>
    <row r="1015">
      <c r="A1015" t="inlineStr">
        <is>
          <t>ENC114899</t>
        </is>
      </c>
      <c r="B1015" t="inlineStr">
        <is>
          <t>PT11004</t>
        </is>
      </c>
      <c r="C1015" t="inlineStr">
        <is>
          <t>Observation</t>
        </is>
      </c>
      <c r="D1015" t="inlineStr">
        <is>
          <t>Ashby Falls Community Hospital</t>
        </is>
      </c>
      <c r="E1015" t="inlineStr">
        <is>
          <t>Medical-Surgical</t>
        </is>
      </c>
      <c r="F1015" t="inlineStr">
        <is>
          <t>Medicine</t>
        </is>
      </c>
      <c r="G1015" s="29" t="n">
        <v>45785</v>
      </c>
      <c r="H1015" s="29" t="n">
        <v>45787</v>
      </c>
      <c r="I1015" s="30" t="n">
        <v>2</v>
      </c>
      <c r="J1015" t="inlineStr">
        <is>
          <t>U07.1</t>
        </is>
      </c>
      <c r="K1015" t="inlineStr">
        <is>
          <t>COVID-19</t>
        </is>
      </c>
      <c r="L1015" t="inlineStr">
        <is>
          <t>Respiratory</t>
        </is>
      </c>
      <c r="M1015" t="inlineStr">
        <is>
          <t>Home/Self-Care</t>
        </is>
      </c>
      <c r="N1015" t="inlineStr">
        <is>
          <t>Silverline Medicare Advantage</t>
        </is>
      </c>
      <c r="O1015" s="31" t="n">
        <v>9821.620000000001</v>
      </c>
    </row>
    <row r="1016">
      <c r="A1016" t="inlineStr">
        <is>
          <t>ENC114900</t>
        </is>
      </c>
      <c r="B1016" t="inlineStr">
        <is>
          <t>PT13960</t>
        </is>
      </c>
      <c r="C1016" t="inlineStr">
        <is>
          <t>Emergency</t>
        </is>
      </c>
      <c r="D1016" t="inlineStr">
        <is>
          <t>Bluestone Memorial Hospital</t>
        </is>
      </c>
      <c r="E1016" t="inlineStr">
        <is>
          <t>Emergency Department</t>
        </is>
      </c>
      <c r="F1016" t="inlineStr">
        <is>
          <t>Emergency</t>
        </is>
      </c>
      <c r="G1016" s="29" t="n">
        <v>45785</v>
      </c>
      <c r="H1016" s="29" t="n">
        <v>45786</v>
      </c>
      <c r="I1016" s="30" t="n"/>
      <c r="J1016" t="inlineStr">
        <is>
          <t>J45.909</t>
        </is>
      </c>
      <c r="K1016" t="inlineStr">
        <is>
          <t>Unspecified asthma, uncomplicated</t>
        </is>
      </c>
      <c r="L1016" t="inlineStr">
        <is>
          <t>Respiratory</t>
        </is>
      </c>
      <c r="M1016" t="inlineStr">
        <is>
          <t>Home/Self-Care</t>
        </is>
      </c>
      <c r="N1016" t="inlineStr">
        <is>
          <t>Medicare</t>
        </is>
      </c>
      <c r="O1016" s="31" t="n">
        <v>3747.69</v>
      </c>
    </row>
    <row r="1017">
      <c r="A1017" t="inlineStr">
        <is>
          <t>ENC114901</t>
        </is>
      </c>
      <c r="B1017" t="inlineStr">
        <is>
          <t>PT11860</t>
        </is>
      </c>
      <c r="C1017" t="inlineStr">
        <is>
          <t>Inpatient</t>
        </is>
      </c>
      <c r="D1017" t="inlineStr">
        <is>
          <t>Cedar Ridge Medical Center</t>
        </is>
      </c>
      <c r="E1017" t="inlineStr">
        <is>
          <t>Medical-Surgical</t>
        </is>
      </c>
      <c r="F1017" t="inlineStr">
        <is>
          <t>Medicine</t>
        </is>
      </c>
      <c r="G1017" s="29" t="n">
        <v>45785</v>
      </c>
      <c r="H1017" s="29" t="n">
        <v>45794</v>
      </c>
      <c r="I1017" s="30" t="n">
        <v>9</v>
      </c>
      <c r="J1017" t="inlineStr">
        <is>
          <t>U07.1</t>
        </is>
      </c>
      <c r="K1017" t="inlineStr">
        <is>
          <t>COVID-19</t>
        </is>
      </c>
      <c r="L1017" t="inlineStr">
        <is>
          <t>Respiratory</t>
        </is>
      </c>
      <c r="M1017" t="inlineStr">
        <is>
          <t>Home/Self-Care</t>
        </is>
      </c>
      <c r="N1017" t="inlineStr">
        <is>
          <t>Self-Pay</t>
        </is>
      </c>
      <c r="O1017" s="31" t="n">
        <v>25992.82</v>
      </c>
      <c r="P1017" t="inlineStr">
        <is>
          <t>N</t>
        </is>
      </c>
    </row>
    <row r="1018">
      <c r="A1018" t="inlineStr">
        <is>
          <t>ENC114909</t>
        </is>
      </c>
      <c r="B1018" t="inlineStr">
        <is>
          <t>PT11896</t>
        </is>
      </c>
      <c r="C1018" t="inlineStr">
        <is>
          <t>Outpatient</t>
        </is>
      </c>
      <c r="D1018" t="inlineStr">
        <is>
          <t>Bluestone Outpatient Pavilion</t>
        </is>
      </c>
      <c r="E1018" t="inlineStr">
        <is>
          <t>Endocrinology &amp; Diabetes Clinic</t>
        </is>
      </c>
      <c r="F1018" t="inlineStr">
        <is>
          <t>Ambulatory</t>
        </is>
      </c>
      <c r="G1018" s="29" t="n">
        <v>45786</v>
      </c>
      <c r="H1018" s="29" t="n">
        <v>45786</v>
      </c>
      <c r="I1018" s="30" t="n"/>
      <c r="J1018" t="inlineStr">
        <is>
          <t>E11.9</t>
        </is>
      </c>
      <c r="K1018" t="inlineStr">
        <is>
          <t>Type 2 diabetes mellitus without complications</t>
        </is>
      </c>
      <c r="L1018" t="inlineStr">
        <is>
          <t>Endocrine</t>
        </is>
      </c>
      <c r="M1018" t="inlineStr">
        <is>
          <t>Home/Self-Care</t>
        </is>
      </c>
      <c r="N1018" t="inlineStr">
        <is>
          <t>State Medicaid</t>
        </is>
      </c>
      <c r="O1018" s="31" t="n">
        <v>424.13</v>
      </c>
    </row>
    <row r="1019">
      <c r="A1019" t="inlineStr">
        <is>
          <t>ENC114912</t>
        </is>
      </c>
      <c r="B1019" t="inlineStr">
        <is>
          <t>PT10276</t>
        </is>
      </c>
      <c r="C1019" t="inlineStr">
        <is>
          <t>Inpatient</t>
        </is>
      </c>
      <c r="D1019" t="inlineStr">
        <is>
          <t>Bluestone Memorial Hospital</t>
        </is>
      </c>
      <c r="E1019" t="inlineStr">
        <is>
          <t>Intensive Care Unit</t>
        </is>
      </c>
      <c r="F1019" t="inlineStr">
        <is>
          <t>Critical Care</t>
        </is>
      </c>
      <c r="G1019" s="29" t="n">
        <v>45786</v>
      </c>
      <c r="H1019" s="29" t="n">
        <v>45793</v>
      </c>
      <c r="I1019" s="30" t="n">
        <v>7</v>
      </c>
      <c r="J1019" t="inlineStr">
        <is>
          <t>A41.9</t>
        </is>
      </c>
      <c r="K1019" t="inlineStr">
        <is>
          <t>Sepsis, unspecified organism</t>
        </is>
      </c>
      <c r="L1019" t="inlineStr">
        <is>
          <t>Infectious</t>
        </is>
      </c>
      <c r="M1019" t="inlineStr">
        <is>
          <t>Expired</t>
        </is>
      </c>
      <c r="N1019" t="inlineStr">
        <is>
          <t>Keystone Health Partners</t>
        </is>
      </c>
      <c r="O1019" s="31" t="n">
        <v>113305.51</v>
      </c>
      <c r="P1019" t="inlineStr">
        <is>
          <t>N</t>
        </is>
      </c>
    </row>
    <row r="1020">
      <c r="A1020" t="inlineStr">
        <is>
          <t>ENC114913</t>
        </is>
      </c>
      <c r="B1020" t="inlineStr">
        <is>
          <t>PT12220</t>
        </is>
      </c>
      <c r="C1020" t="inlineStr">
        <is>
          <t>Inpatient</t>
        </is>
      </c>
      <c r="D1020" t="inlineStr">
        <is>
          <t>Bluestone Memorial Hospital</t>
        </is>
      </c>
      <c r="E1020" t="inlineStr">
        <is>
          <t>Cardiac Step-Down</t>
        </is>
      </c>
      <c r="F1020" t="inlineStr">
        <is>
          <t>Cardiovascular</t>
        </is>
      </c>
      <c r="G1020" s="29" t="n">
        <v>45786</v>
      </c>
      <c r="H1020" s="29" t="n">
        <v>45793</v>
      </c>
      <c r="I1020" s="30" t="n">
        <v>7</v>
      </c>
      <c r="J1020" t="inlineStr">
        <is>
          <t>I48.91</t>
        </is>
      </c>
      <c r="K1020" t="inlineStr">
        <is>
          <t>Unspecified atrial fibrillation</t>
        </is>
      </c>
      <c r="L1020" t="inlineStr">
        <is>
          <t>Circulatory</t>
        </is>
      </c>
      <c r="M1020" t="inlineStr">
        <is>
          <t>Skilled Nursing Facility</t>
        </is>
      </c>
      <c r="N1020" t="inlineStr">
        <is>
          <t>Keystone Health Partners</t>
        </is>
      </c>
      <c r="O1020" s="31" t="n">
        <v>48753.42</v>
      </c>
      <c r="P1020" t="inlineStr">
        <is>
          <t>Y</t>
        </is>
      </c>
    </row>
    <row r="1021">
      <c r="A1021" t="inlineStr">
        <is>
          <t>ENC114914</t>
        </is>
      </c>
      <c r="B1021" t="inlineStr">
        <is>
          <t>PT11548</t>
        </is>
      </c>
      <c r="C1021" t="inlineStr">
        <is>
          <t>Emergency</t>
        </is>
      </c>
      <c r="D1021" t="inlineStr">
        <is>
          <t>Bluestone Memorial Hospital</t>
        </is>
      </c>
      <c r="E1021" t="inlineStr">
        <is>
          <t>Emergency Department</t>
        </is>
      </c>
      <c r="F1021" t="inlineStr">
        <is>
          <t>Emergency</t>
        </is>
      </c>
      <c r="G1021" s="29" t="n">
        <v>45786</v>
      </c>
      <c r="H1021" s="29" t="n">
        <v>45786</v>
      </c>
      <c r="I1021" s="30" t="n"/>
      <c r="J1021" t="inlineStr">
        <is>
          <t>E86.0</t>
        </is>
      </c>
      <c r="K1021" t="inlineStr">
        <is>
          <t>Dehydration</t>
        </is>
      </c>
      <c r="L1021" t="inlineStr">
        <is>
          <t>Endocrine</t>
        </is>
      </c>
      <c r="M1021" t="inlineStr">
        <is>
          <t>Home/Self-Care</t>
        </is>
      </c>
      <c r="N1021" t="inlineStr">
        <is>
          <t>Evergreen Mutual Insurance</t>
        </is>
      </c>
      <c r="O1021" s="31" t="n">
        <v>5113.99</v>
      </c>
    </row>
    <row r="1022">
      <c r="A1022" t="inlineStr">
        <is>
          <t>ENC114916</t>
        </is>
      </c>
      <c r="B1022" t="inlineStr">
        <is>
          <t>PT13684</t>
        </is>
      </c>
      <c r="C1022" t="inlineStr">
        <is>
          <t>Outpatient</t>
        </is>
      </c>
      <c r="D1022" t="inlineStr">
        <is>
          <t>Bluestone Outpatient Pavilion</t>
        </is>
      </c>
      <c r="E1022" t="inlineStr">
        <is>
          <t>Infusion &amp; Oncology Clinic</t>
        </is>
      </c>
      <c r="F1022" t="inlineStr">
        <is>
          <t>Oncology</t>
        </is>
      </c>
      <c r="G1022" s="29" t="n">
        <v>45786</v>
      </c>
      <c r="H1022" s="29" t="n">
        <v>45786</v>
      </c>
      <c r="I1022" s="30" t="n"/>
      <c r="J1022" t="inlineStr">
        <is>
          <t>Z51.11</t>
        </is>
      </c>
      <c r="K1022" t="inlineStr">
        <is>
          <t>Encounter for antineoplastic chemotherapy</t>
        </is>
      </c>
      <c r="L1022" t="inlineStr">
        <is>
          <t>Factors Influencing Health</t>
        </is>
      </c>
      <c r="M1022" t="inlineStr">
        <is>
          <t>Home/Self-Care</t>
        </is>
      </c>
      <c r="N1022" t="inlineStr">
        <is>
          <t>State Medicaid</t>
        </is>
      </c>
      <c r="O1022" s="31" t="n">
        <v>11670.68</v>
      </c>
    </row>
    <row r="1023">
      <c r="A1023" t="inlineStr">
        <is>
          <t>ENC114918</t>
        </is>
      </c>
      <c r="B1023" t="inlineStr">
        <is>
          <t>PT13960</t>
        </is>
      </c>
      <c r="C1023" t="inlineStr">
        <is>
          <t>Outpatient</t>
        </is>
      </c>
      <c r="D1023" t="inlineStr">
        <is>
          <t>Bluestone Outpatient Pavilion</t>
        </is>
      </c>
      <c r="E1023" t="inlineStr">
        <is>
          <t>Primary Care Clinic</t>
        </is>
      </c>
      <c r="F1023" t="inlineStr">
        <is>
          <t>Ambulatory</t>
        </is>
      </c>
      <c r="G1023" s="29" t="n">
        <v>45786</v>
      </c>
      <c r="H1023" s="29" t="n">
        <v>45786</v>
      </c>
      <c r="I1023" s="30" t="n"/>
      <c r="J1023" t="inlineStr">
        <is>
          <t>I10</t>
        </is>
      </c>
      <c r="K1023" t="inlineStr">
        <is>
          <t>Essential (primary) hypertension</t>
        </is>
      </c>
      <c r="L1023" t="inlineStr">
        <is>
          <t>Circulatory</t>
        </is>
      </c>
      <c r="M1023" t="inlineStr">
        <is>
          <t>Home/Self-Care</t>
        </is>
      </c>
      <c r="N1023" t="inlineStr">
        <is>
          <t>Medicare</t>
        </is>
      </c>
      <c r="O1023" s="31" t="n">
        <v>213.29</v>
      </c>
    </row>
    <row r="1024">
      <c r="A1024" t="inlineStr">
        <is>
          <t>ENC114919</t>
        </is>
      </c>
      <c r="B1024" t="inlineStr">
        <is>
          <t>PT10268</t>
        </is>
      </c>
      <c r="C1024" t="inlineStr">
        <is>
          <t>Outpatient</t>
        </is>
      </c>
      <c r="D1024" t="inlineStr">
        <is>
          <t>Bluestone Outpatient Pavilion</t>
        </is>
      </c>
      <c r="E1024" t="inlineStr">
        <is>
          <t>Pediatric Clinic</t>
        </is>
      </c>
      <c r="F1024" t="inlineStr">
        <is>
          <t>Women &amp; Children</t>
        </is>
      </c>
      <c r="G1024" s="29" t="n">
        <v>45786</v>
      </c>
      <c r="H1024" s="29" t="n">
        <v>45786</v>
      </c>
      <c r="I1024" s="30" t="n"/>
      <c r="J1024" t="inlineStr">
        <is>
          <t>Z00.129</t>
        </is>
      </c>
      <c r="K1024" t="inlineStr">
        <is>
          <t>Encounter for routine child health examination without abnormal findings</t>
        </is>
      </c>
      <c r="L1024" t="inlineStr">
        <is>
          <t>Factors Influencing Health</t>
        </is>
      </c>
      <c r="M1024" t="inlineStr">
        <is>
          <t>Home/Self-Care</t>
        </is>
      </c>
      <c r="N1024" t="inlineStr">
        <is>
          <t>Evergreen Mutual Insurance</t>
        </is>
      </c>
      <c r="O1024" s="31" t="n">
        <v>338.96</v>
      </c>
    </row>
    <row r="1025">
      <c r="A1025" t="inlineStr">
        <is>
          <t>ENC114922</t>
        </is>
      </c>
      <c r="B1025" t="inlineStr">
        <is>
          <t>PT11988</t>
        </is>
      </c>
      <c r="C1025" t="inlineStr">
        <is>
          <t>Outpatient</t>
        </is>
      </c>
      <c r="D1025" t="inlineStr">
        <is>
          <t>Bluestone Outpatient Pavilion</t>
        </is>
      </c>
      <c r="E1025" t="inlineStr">
        <is>
          <t>Primary Care Clinic</t>
        </is>
      </c>
      <c r="F1025" t="inlineStr">
        <is>
          <t>Ambulatory</t>
        </is>
      </c>
      <c r="G1025" s="29" t="n">
        <v>45786</v>
      </c>
      <c r="H1025" s="29" t="n">
        <v>45786</v>
      </c>
      <c r="I1025" s="30" t="n"/>
      <c r="J1025" t="inlineStr">
        <is>
          <t>I10</t>
        </is>
      </c>
      <c r="K1025" t="inlineStr">
        <is>
          <t>Essential (primary) hypertension</t>
        </is>
      </c>
      <c r="L1025" t="inlineStr">
        <is>
          <t>Circulatory</t>
        </is>
      </c>
      <c r="M1025" t="inlineStr">
        <is>
          <t>Home/Self-Care</t>
        </is>
      </c>
      <c r="N1025" t="inlineStr">
        <is>
          <t>Medicare</t>
        </is>
      </c>
      <c r="O1025" s="31" t="n">
        <v>228.92</v>
      </c>
    </row>
    <row r="1026">
      <c r="A1026" t="inlineStr">
        <is>
          <t>ENC114924</t>
        </is>
      </c>
      <c r="B1026" t="inlineStr">
        <is>
          <t>PT11380</t>
        </is>
      </c>
      <c r="C1026" t="inlineStr">
        <is>
          <t>Inpatient</t>
        </is>
      </c>
      <c r="D1026" t="inlineStr">
        <is>
          <t>Bluestone Memorial Hospital</t>
        </is>
      </c>
      <c r="E1026" t="inlineStr">
        <is>
          <t>Medical-Surgical 5 East</t>
        </is>
      </c>
      <c r="F1026" t="inlineStr">
        <is>
          <t>Medicine</t>
        </is>
      </c>
      <c r="G1026" s="29" t="n">
        <v>45786</v>
      </c>
      <c r="H1026" s="29" t="n">
        <v>45789</v>
      </c>
      <c r="I1026" s="30" t="n">
        <v>3</v>
      </c>
      <c r="J1026" t="inlineStr">
        <is>
          <t>E87.1</t>
        </is>
      </c>
      <c r="K1026" t="inlineStr">
        <is>
          <t>Hypo-osmolality and hyponatremia</t>
        </is>
      </c>
      <c r="L1026" t="inlineStr">
        <is>
          <t>Endocrine</t>
        </is>
      </c>
      <c r="M1026" t="inlineStr">
        <is>
          <t>Home/Self-Care</t>
        </is>
      </c>
      <c r="N1026" t="inlineStr">
        <is>
          <t>Medicare</t>
        </is>
      </c>
      <c r="O1026" s="31" t="n">
        <v>27691.43</v>
      </c>
      <c r="P1026" t="inlineStr">
        <is>
          <t>Y</t>
        </is>
      </c>
    </row>
    <row r="1027">
      <c r="A1027" t="inlineStr">
        <is>
          <t>ENC114925</t>
        </is>
      </c>
      <c r="B1027" t="inlineStr">
        <is>
          <t>PT12636</t>
        </is>
      </c>
      <c r="C1027" t="inlineStr">
        <is>
          <t>Outpatient</t>
        </is>
      </c>
      <c r="D1027" t="inlineStr">
        <is>
          <t>Bluestone Outpatient Pavilion</t>
        </is>
      </c>
      <c r="E1027" t="inlineStr">
        <is>
          <t>Cardiology Clinic</t>
        </is>
      </c>
      <c r="F1027" t="inlineStr">
        <is>
          <t>Cardiovascular</t>
        </is>
      </c>
      <c r="G1027" s="29" t="n">
        <v>45786</v>
      </c>
      <c r="H1027" s="29" t="n">
        <v>45786</v>
      </c>
      <c r="I1027" s="30" t="n"/>
      <c r="J1027" t="inlineStr">
        <is>
          <t>I48.91</t>
        </is>
      </c>
      <c r="K1027" t="inlineStr">
        <is>
          <t>Unspecified atrial fibrillation</t>
        </is>
      </c>
      <c r="L1027" t="inlineStr">
        <is>
          <t>Circulatory</t>
        </is>
      </c>
      <c r="M1027" t="inlineStr">
        <is>
          <t>Home/Self-Care</t>
        </is>
      </c>
      <c r="N1027" t="inlineStr">
        <is>
          <t>Medicare</t>
        </is>
      </c>
      <c r="O1027" s="31" t="n">
        <v>380.41</v>
      </c>
    </row>
    <row r="1028">
      <c r="A1028" t="inlineStr">
        <is>
          <t>ENC114933</t>
        </is>
      </c>
      <c r="B1028" t="inlineStr">
        <is>
          <t>PT10888</t>
        </is>
      </c>
      <c r="C1028" t="inlineStr">
        <is>
          <t>Emergency</t>
        </is>
      </c>
      <c r="D1028" t="inlineStr">
        <is>
          <t>Ashby Falls Community Hospital</t>
        </is>
      </c>
      <c r="E1028" t="inlineStr">
        <is>
          <t>Emergency Department</t>
        </is>
      </c>
      <c r="F1028" t="inlineStr">
        <is>
          <t>Emergency</t>
        </is>
      </c>
      <c r="G1028" s="29" t="n">
        <v>45786</v>
      </c>
      <c r="H1028" s="29" t="n">
        <v>45787</v>
      </c>
      <c r="I1028" s="30" t="n"/>
      <c r="J1028" t="inlineStr">
        <is>
          <t>J06.9</t>
        </is>
      </c>
      <c r="K1028" t="inlineStr">
        <is>
          <t>Acute upper respiratory infection, unspecified</t>
        </is>
      </c>
      <c r="L1028" t="inlineStr">
        <is>
          <t>Respiratory</t>
        </is>
      </c>
      <c r="M1028" t="inlineStr">
        <is>
          <t>Home/Self-Care</t>
        </is>
      </c>
      <c r="N1028" t="inlineStr">
        <is>
          <t>Keystone Health Partners</t>
        </is>
      </c>
      <c r="O1028" s="31" t="n">
        <v>853.71</v>
      </c>
    </row>
    <row r="1029">
      <c r="A1029" t="inlineStr">
        <is>
          <t>ENC114935</t>
        </is>
      </c>
      <c r="B1029" t="inlineStr">
        <is>
          <t>PT11632</t>
        </is>
      </c>
      <c r="C1029" t="inlineStr">
        <is>
          <t>Emergency</t>
        </is>
      </c>
      <c r="D1029" t="inlineStr">
        <is>
          <t>Bluestone Memorial Hospital</t>
        </is>
      </c>
      <c r="E1029" t="inlineStr">
        <is>
          <t>Emergency Department</t>
        </is>
      </c>
      <c r="F1029" t="inlineStr">
        <is>
          <t>Emergency</t>
        </is>
      </c>
      <c r="G1029" s="29" t="n">
        <v>45787</v>
      </c>
      <c r="H1029" s="29" t="n">
        <v>45787</v>
      </c>
      <c r="I1029" s="30" t="n"/>
      <c r="J1029" t="inlineStr">
        <is>
          <t>S93.401A</t>
        </is>
      </c>
      <c r="K1029" t="inlineStr">
        <is>
          <t>Sprain of unspecified ligament of right ankle, initial encounter</t>
        </is>
      </c>
      <c r="L1029" t="inlineStr">
        <is>
          <t>Injury</t>
        </is>
      </c>
      <c r="M1029" t="inlineStr">
        <is>
          <t>Home/Self-Care</t>
        </is>
      </c>
      <c r="N1029" t="inlineStr">
        <is>
          <t>State Medicaid</t>
        </is>
      </c>
      <c r="O1029" s="31" t="n">
        <v>804.01</v>
      </c>
    </row>
    <row r="1030">
      <c r="A1030" t="inlineStr">
        <is>
          <t>ENC114936</t>
        </is>
      </c>
      <c r="B1030" t="inlineStr">
        <is>
          <t>PT12936</t>
        </is>
      </c>
      <c r="C1030" t="inlineStr">
        <is>
          <t>Observation</t>
        </is>
      </c>
      <c r="D1030" t="inlineStr">
        <is>
          <t>Bluestone Memorial Hospital</t>
        </is>
      </c>
      <c r="E1030" t="inlineStr">
        <is>
          <t>Observation Unit</t>
        </is>
      </c>
      <c r="F1030" t="inlineStr">
        <is>
          <t>Medicine</t>
        </is>
      </c>
      <c r="G1030" s="29" t="n">
        <v>45787</v>
      </c>
      <c r="H1030" s="29" t="n">
        <v>45788</v>
      </c>
      <c r="I1030" s="30" t="n">
        <v>1</v>
      </c>
      <c r="J1030" t="inlineStr">
        <is>
          <t>J45.909</t>
        </is>
      </c>
      <c r="K1030" t="inlineStr">
        <is>
          <t>Unspecified asthma, uncomplicated</t>
        </is>
      </c>
      <c r="L1030" t="inlineStr">
        <is>
          <t>Respiratory</t>
        </is>
      </c>
      <c r="M1030" t="inlineStr">
        <is>
          <t>Home/Self-Care</t>
        </is>
      </c>
      <c r="N1030" t="inlineStr">
        <is>
          <t>Medicare</t>
        </is>
      </c>
      <c r="O1030" s="31" t="n">
        <v>11096.16</v>
      </c>
    </row>
    <row r="1031">
      <c r="A1031" t="inlineStr">
        <is>
          <t>ENC114938</t>
        </is>
      </c>
      <c r="B1031" t="inlineStr">
        <is>
          <t>PT11340</t>
        </is>
      </c>
      <c r="C1031" t="inlineStr">
        <is>
          <t>Emergency</t>
        </is>
      </c>
      <c r="D1031" t="inlineStr">
        <is>
          <t>Bluestone Memorial Hospital</t>
        </is>
      </c>
      <c r="E1031" t="inlineStr">
        <is>
          <t>Emergency Department</t>
        </is>
      </c>
      <c r="F1031" t="inlineStr">
        <is>
          <t>Emergency</t>
        </is>
      </c>
      <c r="G1031" s="29" t="n">
        <v>45787</v>
      </c>
      <c r="H1031" s="29" t="n">
        <v>45787</v>
      </c>
      <c r="I1031" s="30" t="n"/>
      <c r="J1031" t="inlineStr">
        <is>
          <t>A08.4</t>
        </is>
      </c>
      <c r="K1031" t="inlineStr">
        <is>
          <t>Viral intestinal infection, unspecified</t>
        </is>
      </c>
      <c r="L1031" t="inlineStr">
        <is>
          <t>Infectious</t>
        </is>
      </c>
      <c r="M1031" t="inlineStr">
        <is>
          <t>Home/Self-Care</t>
        </is>
      </c>
      <c r="N1031" t="inlineStr">
        <is>
          <t>Evergreen Mutual Insurance</t>
        </is>
      </c>
      <c r="O1031" s="31" t="n">
        <v>3101.76</v>
      </c>
    </row>
    <row r="1032">
      <c r="A1032" t="inlineStr">
        <is>
          <t>ENC114942</t>
        </is>
      </c>
      <c r="B1032" t="inlineStr">
        <is>
          <t>PT10428</t>
        </is>
      </c>
      <c r="C1032" t="inlineStr">
        <is>
          <t>Inpatient</t>
        </is>
      </c>
      <c r="D1032" t="inlineStr">
        <is>
          <t>Bluestone Memorial Hospital</t>
        </is>
      </c>
      <c r="E1032" t="inlineStr">
        <is>
          <t>Orthopedics &amp; Spine</t>
        </is>
      </c>
      <c r="F1032" t="inlineStr">
        <is>
          <t>Orthopedics</t>
        </is>
      </c>
      <c r="G1032" s="29" t="n">
        <v>45787</v>
      </c>
      <c r="H1032" s="29" t="n">
        <v>45793</v>
      </c>
      <c r="I1032" s="30" t="n">
        <v>6</v>
      </c>
      <c r="J1032" t="inlineStr">
        <is>
          <t>S72.001A</t>
        </is>
      </c>
      <c r="K1032" t="inlineStr">
        <is>
          <t>Fracture of unspecified part of neck of right femur, initial encounter</t>
        </is>
      </c>
      <c r="L1032" t="inlineStr">
        <is>
          <t>Injury</t>
        </is>
      </c>
      <c r="M1032" t="inlineStr">
        <is>
          <t>Home Health</t>
        </is>
      </c>
      <c r="N1032" t="inlineStr">
        <is>
          <t>Medicare</t>
        </is>
      </c>
      <c r="O1032" s="31" t="n">
        <v>86929.14</v>
      </c>
      <c r="P1032" t="inlineStr">
        <is>
          <t>N</t>
        </is>
      </c>
    </row>
    <row r="1033">
      <c r="A1033" t="inlineStr">
        <is>
          <t>ENC114949</t>
        </is>
      </c>
      <c r="B1033" t="inlineStr">
        <is>
          <t>PT13632</t>
        </is>
      </c>
      <c r="C1033" t="inlineStr">
        <is>
          <t>Emergency</t>
        </is>
      </c>
      <c r="D1033" t="inlineStr">
        <is>
          <t>Bluestone Memorial Hospital</t>
        </is>
      </c>
      <c r="E1033" t="inlineStr">
        <is>
          <t>Emergency Department</t>
        </is>
      </c>
      <c r="F1033" t="inlineStr">
        <is>
          <t>Emergency</t>
        </is>
      </c>
      <c r="G1033" s="29" t="n">
        <v>45788</v>
      </c>
      <c r="H1033" s="29" t="n">
        <v>45788</v>
      </c>
      <c r="I1033" s="30" t="n"/>
      <c r="J1033" t="inlineStr">
        <is>
          <t>L03.115</t>
        </is>
      </c>
      <c r="K1033" t="inlineStr">
        <is>
          <t>Cellulitis of right lower limb</t>
        </is>
      </c>
      <c r="L1033" t="inlineStr">
        <is>
          <t>Skin</t>
        </is>
      </c>
      <c r="M1033" t="inlineStr">
        <is>
          <t>Home/Self-Care</t>
        </is>
      </c>
      <c r="N1033" t="inlineStr">
        <is>
          <t>Silverline Medicare Advantage</t>
        </is>
      </c>
      <c r="O1033" s="31" t="n">
        <v>1545.22</v>
      </c>
    </row>
    <row r="1034">
      <c r="A1034" t="inlineStr">
        <is>
          <t>ENC114951</t>
        </is>
      </c>
      <c r="B1034" t="inlineStr">
        <is>
          <t>PT13168</t>
        </is>
      </c>
      <c r="C1034" t="inlineStr">
        <is>
          <t>Observation</t>
        </is>
      </c>
      <c r="D1034" t="inlineStr">
        <is>
          <t>Bluestone Memorial Hospital</t>
        </is>
      </c>
      <c r="E1034" t="inlineStr">
        <is>
          <t>Observation Unit</t>
        </is>
      </c>
      <c r="F1034" t="inlineStr">
        <is>
          <t>Medicine</t>
        </is>
      </c>
      <c r="G1034" s="29" t="n">
        <v>45788</v>
      </c>
      <c r="H1034" s="29" t="n">
        <v>45789</v>
      </c>
      <c r="I1034" s="30" t="n">
        <v>1</v>
      </c>
      <c r="J1034" t="inlineStr">
        <is>
          <t>R10.9</t>
        </is>
      </c>
      <c r="K1034" t="inlineStr">
        <is>
          <t>Unspecified abdominal pain</t>
        </is>
      </c>
      <c r="L1034" t="inlineStr">
        <is>
          <t>Symptoms &amp; Signs</t>
        </is>
      </c>
      <c r="M1034" t="inlineStr">
        <is>
          <t>Home/Self-Care</t>
        </is>
      </c>
      <c r="N1034" t="inlineStr">
        <is>
          <t>Keystone Health Partners</t>
        </is>
      </c>
      <c r="O1034" s="31" t="n">
        <v>6014.86</v>
      </c>
    </row>
    <row r="1035">
      <c r="A1035" t="inlineStr">
        <is>
          <t>ENC114961</t>
        </is>
      </c>
      <c r="B1035" t="inlineStr">
        <is>
          <t>PT13708</t>
        </is>
      </c>
      <c r="C1035" t="inlineStr">
        <is>
          <t>Emergency</t>
        </is>
      </c>
      <c r="D1035" t="inlineStr">
        <is>
          <t>Bluestone Memorial Hospital</t>
        </is>
      </c>
      <c r="E1035" t="inlineStr">
        <is>
          <t>Emergency Department</t>
        </is>
      </c>
      <c r="F1035" t="inlineStr">
        <is>
          <t>Emergency</t>
        </is>
      </c>
      <c r="G1035" s="29" t="n">
        <v>45788</v>
      </c>
      <c r="H1035" s="29" t="n">
        <v>45788</v>
      </c>
      <c r="I1035" s="30" t="n"/>
      <c r="J1035" t="inlineStr">
        <is>
          <t>M54.50</t>
        </is>
      </c>
      <c r="K1035" t="inlineStr">
        <is>
          <t>Low back pain, unspecified</t>
        </is>
      </c>
      <c r="L1035" t="inlineStr">
        <is>
          <t>Musculoskeletal</t>
        </is>
      </c>
      <c r="M1035" t="inlineStr">
        <is>
          <t>Home/Self-Care</t>
        </is>
      </c>
      <c r="N1035" t="inlineStr">
        <is>
          <t>Summit Choice PPO</t>
        </is>
      </c>
      <c r="O1035" s="31" t="n">
        <v>910.27</v>
      </c>
    </row>
    <row r="1036">
      <c r="A1036" t="inlineStr">
        <is>
          <t>ENC114964</t>
        </is>
      </c>
      <c r="B1036" t="inlineStr">
        <is>
          <t>PT11792</t>
        </is>
      </c>
      <c r="C1036" t="inlineStr">
        <is>
          <t>Emergency</t>
        </is>
      </c>
      <c r="D1036" t="inlineStr">
        <is>
          <t>Bluestone Memorial Hospital</t>
        </is>
      </c>
      <c r="E1036" t="inlineStr">
        <is>
          <t>Emergency Department</t>
        </is>
      </c>
      <c r="F1036" t="inlineStr">
        <is>
          <t>Emergency</t>
        </is>
      </c>
      <c r="G1036" s="29" t="n">
        <v>45788</v>
      </c>
      <c r="H1036" s="29" t="n">
        <v>45789</v>
      </c>
      <c r="I1036" s="30" t="n"/>
      <c r="J1036" t="inlineStr">
        <is>
          <t>R07.9</t>
        </is>
      </c>
      <c r="K1036" t="inlineStr">
        <is>
          <t>Chest pain, unspecified</t>
        </is>
      </c>
      <c r="L1036" t="inlineStr">
        <is>
          <t>Symptoms &amp; Signs</t>
        </is>
      </c>
      <c r="M1036" t="inlineStr">
        <is>
          <t>Home/Self-Care</t>
        </is>
      </c>
      <c r="N1036" t="inlineStr">
        <is>
          <t>Silverline Medicare Advantage</t>
        </is>
      </c>
      <c r="O1036" s="31" t="n">
        <v>5858.77</v>
      </c>
    </row>
    <row r="1037">
      <c r="A1037" t="inlineStr">
        <is>
          <t>ENC114972</t>
        </is>
      </c>
      <c r="B1037" t="inlineStr">
        <is>
          <t>PT11600</t>
        </is>
      </c>
      <c r="C1037" t="inlineStr">
        <is>
          <t>Outpatient</t>
        </is>
      </c>
      <c r="D1037" t="inlineStr">
        <is>
          <t>Bluestone Outpatient Pavilion</t>
        </is>
      </c>
      <c r="E1037" t="inlineStr">
        <is>
          <t>Primary Care Clinic</t>
        </is>
      </c>
      <c r="F1037" t="inlineStr">
        <is>
          <t>Ambulatory</t>
        </is>
      </c>
      <c r="G1037" s="29" t="n">
        <v>45789</v>
      </c>
      <c r="H1037" s="29" t="n">
        <v>45789</v>
      </c>
      <c r="I1037" s="30" t="n"/>
      <c r="J1037" t="inlineStr">
        <is>
          <t>M54.50</t>
        </is>
      </c>
      <c r="K1037" t="inlineStr">
        <is>
          <t>Low back pain, unspecified</t>
        </is>
      </c>
      <c r="L1037" t="inlineStr">
        <is>
          <t>Musculoskeletal</t>
        </is>
      </c>
      <c r="M1037" t="inlineStr">
        <is>
          <t>Home/Self-Care</t>
        </is>
      </c>
      <c r="N1037" t="inlineStr">
        <is>
          <t>State Medicaid</t>
        </is>
      </c>
      <c r="O1037" s="31" t="n">
        <v>336.26</v>
      </c>
    </row>
    <row r="1038">
      <c r="A1038" t="inlineStr">
        <is>
          <t>ENC114973</t>
        </is>
      </c>
      <c r="B1038" t="inlineStr">
        <is>
          <t>PT10464</t>
        </is>
      </c>
      <c r="C1038" t="inlineStr">
        <is>
          <t>Emergency</t>
        </is>
      </c>
      <c r="D1038" t="inlineStr">
        <is>
          <t>Bluestone Memorial Hospital</t>
        </is>
      </c>
      <c r="E1038" t="inlineStr">
        <is>
          <t>Emergency Department</t>
        </is>
      </c>
      <c r="F1038" t="inlineStr">
        <is>
          <t>Emergency</t>
        </is>
      </c>
      <c r="G1038" s="29" t="n">
        <v>45789</v>
      </c>
      <c r="H1038" s="29" t="n">
        <v>45789</v>
      </c>
      <c r="I1038" s="30" t="n"/>
      <c r="J1038" t="inlineStr">
        <is>
          <t>N39.0</t>
        </is>
      </c>
      <c r="K1038" t="inlineStr">
        <is>
          <t>Urinary tract infection, site not specified</t>
        </is>
      </c>
      <c r="L1038" t="inlineStr">
        <is>
          <t>Genitourinary</t>
        </is>
      </c>
      <c r="M1038" t="inlineStr">
        <is>
          <t>Home/Self-Care</t>
        </is>
      </c>
      <c r="N1038" t="inlineStr">
        <is>
          <t>Evergreen Mutual Insurance</t>
        </is>
      </c>
      <c r="O1038" s="31" t="n">
        <v>4401.49</v>
      </c>
    </row>
    <row r="1039">
      <c r="A1039" t="inlineStr">
        <is>
          <t>ENC114975</t>
        </is>
      </c>
      <c r="B1039" t="inlineStr">
        <is>
          <t>PT11944</t>
        </is>
      </c>
      <c r="C1039" t="inlineStr">
        <is>
          <t>Observation</t>
        </is>
      </c>
      <c r="D1039" t="inlineStr">
        <is>
          <t>Bluestone Memorial Hospital</t>
        </is>
      </c>
      <c r="E1039" t="inlineStr">
        <is>
          <t>Observation Unit</t>
        </is>
      </c>
      <c r="F1039" t="inlineStr">
        <is>
          <t>Medicine</t>
        </is>
      </c>
      <c r="G1039" s="29" t="n">
        <v>45789</v>
      </c>
      <c r="H1039" s="29" t="n">
        <v>45790</v>
      </c>
      <c r="I1039" s="30" t="n">
        <v>1</v>
      </c>
      <c r="J1039" t="inlineStr">
        <is>
          <t>R55</t>
        </is>
      </c>
      <c r="K1039" t="inlineStr">
        <is>
          <t>Syncope and collapse</t>
        </is>
      </c>
      <c r="L1039" t="inlineStr">
        <is>
          <t>Symptoms &amp; Signs</t>
        </is>
      </c>
      <c r="M1039" t="inlineStr">
        <is>
          <t>Home/Self-Care</t>
        </is>
      </c>
      <c r="N1039" t="inlineStr">
        <is>
          <t>Silverline Medicare Advantage</t>
        </is>
      </c>
      <c r="O1039" s="31" t="n">
        <v>6391.1</v>
      </c>
    </row>
    <row r="1040">
      <c r="A1040" t="inlineStr">
        <is>
          <t>ENC114977</t>
        </is>
      </c>
      <c r="B1040" t="inlineStr">
        <is>
          <t>PT11892</t>
        </is>
      </c>
      <c r="C1040" t="inlineStr">
        <is>
          <t>Outpatient</t>
        </is>
      </c>
      <c r="D1040" t="inlineStr">
        <is>
          <t>Bluestone Outpatient Pavilion</t>
        </is>
      </c>
      <c r="E1040" t="inlineStr">
        <is>
          <t>Primary Care Clinic</t>
        </is>
      </c>
      <c r="F1040" t="inlineStr">
        <is>
          <t>Ambulatory</t>
        </is>
      </c>
      <c r="G1040" s="29" t="n">
        <v>45789</v>
      </c>
      <c r="H1040" s="29" t="n">
        <v>45789</v>
      </c>
      <c r="I1040" s="30" t="n"/>
      <c r="J1040" t="inlineStr">
        <is>
          <t>G43.909</t>
        </is>
      </c>
      <c r="K1040" t="inlineStr">
        <is>
          <t>Migraine, unspecified, not intractable, without status migrainosus</t>
        </is>
      </c>
      <c r="L1040" t="inlineStr">
        <is>
          <t>Nervous System</t>
        </is>
      </c>
      <c r="M1040" t="inlineStr">
        <is>
          <t>Home/Self-Care</t>
        </is>
      </c>
      <c r="N1040" t="inlineStr">
        <is>
          <t>State Medicaid</t>
        </is>
      </c>
      <c r="O1040" s="31" t="n">
        <v>360.57</v>
      </c>
    </row>
    <row r="1041">
      <c r="A1041" t="inlineStr">
        <is>
          <t>ENC114978</t>
        </is>
      </c>
      <c r="B1041" t="inlineStr">
        <is>
          <t>PT13376</t>
        </is>
      </c>
      <c r="C1041" t="inlineStr">
        <is>
          <t>Outpatient</t>
        </is>
      </c>
      <c r="D1041" t="inlineStr">
        <is>
          <t>Bluestone Outpatient Pavilion</t>
        </is>
      </c>
      <c r="E1041" t="inlineStr">
        <is>
          <t>Primary Care Clinic</t>
        </is>
      </c>
      <c r="F1041" t="inlineStr">
        <is>
          <t>Ambulatory</t>
        </is>
      </c>
      <c r="G1041" s="29" t="n">
        <v>45789</v>
      </c>
      <c r="H1041" s="29" t="n">
        <v>45789</v>
      </c>
      <c r="I1041" s="30" t="n"/>
      <c r="J1041" t="inlineStr">
        <is>
          <t>Z00.00</t>
        </is>
      </c>
      <c r="K1041" t="inlineStr">
        <is>
          <t>Encounter for general adult medical examination without abnormal findings</t>
        </is>
      </c>
      <c r="L1041" t="inlineStr">
        <is>
          <t>Factors Influencing Health</t>
        </is>
      </c>
      <c r="M1041" t="inlineStr">
        <is>
          <t>Home/Self-Care</t>
        </is>
      </c>
      <c r="N1041" t="inlineStr">
        <is>
          <t>State Medicaid</t>
        </is>
      </c>
      <c r="O1041" s="31" t="n">
        <v>476.02</v>
      </c>
    </row>
    <row r="1042">
      <c r="A1042" t="inlineStr">
        <is>
          <t>ENC114981</t>
        </is>
      </c>
      <c r="B1042" t="inlineStr">
        <is>
          <t>PT11976</t>
        </is>
      </c>
      <c r="C1042" t="inlineStr">
        <is>
          <t>Outpatient</t>
        </is>
      </c>
      <c r="D1042" t="inlineStr">
        <is>
          <t>Bluestone Outpatient Pavilion</t>
        </is>
      </c>
      <c r="E1042" t="inlineStr">
        <is>
          <t>Primary Care Clinic</t>
        </is>
      </c>
      <c r="F1042" t="inlineStr">
        <is>
          <t>Ambulatory</t>
        </is>
      </c>
      <c r="G1042" s="29" t="n">
        <v>45789</v>
      </c>
      <c r="H1042" s="29" t="n">
        <v>45789</v>
      </c>
      <c r="I1042" s="30" t="n"/>
      <c r="J1042" t="inlineStr">
        <is>
          <t>I10</t>
        </is>
      </c>
      <c r="K1042" t="inlineStr">
        <is>
          <t>Essential (primary) hypertension</t>
        </is>
      </c>
      <c r="L1042" t="inlineStr">
        <is>
          <t>Circulatory</t>
        </is>
      </c>
      <c r="M1042" t="inlineStr">
        <is>
          <t>Home/Self-Care</t>
        </is>
      </c>
      <c r="N1042" t="inlineStr">
        <is>
          <t>Keystone Health Partners</t>
        </is>
      </c>
      <c r="O1042" s="31" t="n">
        <v>318.31</v>
      </c>
    </row>
    <row r="1043">
      <c r="A1043" t="inlineStr">
        <is>
          <t>ENC114985</t>
        </is>
      </c>
      <c r="B1043" t="inlineStr">
        <is>
          <t>PT13768</t>
        </is>
      </c>
      <c r="C1043" t="inlineStr">
        <is>
          <t>Outpatient</t>
        </is>
      </c>
      <c r="D1043" t="inlineStr">
        <is>
          <t>Bluestone Outpatient Pavilion</t>
        </is>
      </c>
      <c r="E1043" t="inlineStr">
        <is>
          <t>Infusion &amp; Oncology Clinic</t>
        </is>
      </c>
      <c r="F1043" t="inlineStr">
        <is>
          <t>Oncology</t>
        </is>
      </c>
      <c r="G1043" s="29" t="n">
        <v>45789</v>
      </c>
      <c r="H1043" s="29" t="n">
        <v>45789</v>
      </c>
      <c r="I1043" s="30" t="n"/>
      <c r="J1043" t="inlineStr">
        <is>
          <t>Z51.11</t>
        </is>
      </c>
      <c r="K1043" t="inlineStr">
        <is>
          <t>Encounter for antineoplastic chemotherapy</t>
        </is>
      </c>
      <c r="L1043" t="inlineStr">
        <is>
          <t>Factors Influencing Health</t>
        </is>
      </c>
      <c r="M1043" t="inlineStr">
        <is>
          <t>Home/Self-Care</t>
        </is>
      </c>
      <c r="N1043" t="inlineStr">
        <is>
          <t>State Medicaid</t>
        </is>
      </c>
      <c r="O1043" s="31" t="n">
        <v>14506.5</v>
      </c>
    </row>
    <row r="1044">
      <c r="A1044" t="inlineStr">
        <is>
          <t>ENC115002</t>
        </is>
      </c>
      <c r="B1044" t="inlineStr">
        <is>
          <t>PT12512</t>
        </is>
      </c>
      <c r="C1044" t="inlineStr">
        <is>
          <t>Outpatient</t>
        </is>
      </c>
      <c r="D1044" t="inlineStr">
        <is>
          <t>Bluestone Outpatient Pavilion</t>
        </is>
      </c>
      <c r="E1044" t="inlineStr">
        <is>
          <t>Primary Care Clinic</t>
        </is>
      </c>
      <c r="F1044" t="inlineStr">
        <is>
          <t>Ambulatory</t>
        </is>
      </c>
      <c r="G1044" s="29" t="n">
        <v>45790</v>
      </c>
      <c r="H1044" s="29" t="n">
        <v>45790</v>
      </c>
      <c r="I1044" s="30" t="n"/>
      <c r="J1044" t="inlineStr">
        <is>
          <t>G43.909</t>
        </is>
      </c>
      <c r="K1044" t="inlineStr">
        <is>
          <t>Migraine, unspecified, not intractable, without status migrainosus</t>
        </is>
      </c>
      <c r="L1044" t="inlineStr">
        <is>
          <t>Nervous System</t>
        </is>
      </c>
      <c r="M1044" t="inlineStr">
        <is>
          <t>Home/Self-Care</t>
        </is>
      </c>
      <c r="N1044" t="inlineStr">
        <is>
          <t>Keystone Health Partners</t>
        </is>
      </c>
      <c r="O1044" s="31" t="n">
        <v>197.05</v>
      </c>
    </row>
    <row r="1045">
      <c r="A1045" t="inlineStr">
        <is>
          <t>ENC115003</t>
        </is>
      </c>
      <c r="B1045" t="inlineStr">
        <is>
          <t>PT11348</t>
        </is>
      </c>
      <c r="C1045" t="inlineStr">
        <is>
          <t>Outpatient</t>
        </is>
      </c>
      <c r="D1045" t="inlineStr">
        <is>
          <t>Bluestone Outpatient Pavilion</t>
        </is>
      </c>
      <c r="E1045" t="inlineStr">
        <is>
          <t>Primary Care Clinic</t>
        </is>
      </c>
      <c r="F1045" t="inlineStr">
        <is>
          <t>Ambulatory</t>
        </is>
      </c>
      <c r="G1045" s="29" t="n">
        <v>45790</v>
      </c>
      <c r="H1045" s="29" t="n">
        <v>45790</v>
      </c>
      <c r="I1045" s="30" t="n"/>
      <c r="J1045" t="inlineStr">
        <is>
          <t>J06.9</t>
        </is>
      </c>
      <c r="K1045" t="inlineStr">
        <is>
          <t>Acute upper respiratory infection, unspecified</t>
        </is>
      </c>
      <c r="L1045" t="inlineStr">
        <is>
          <t>Respiratory</t>
        </is>
      </c>
      <c r="M1045" t="inlineStr">
        <is>
          <t>Home/Self-Care</t>
        </is>
      </c>
      <c r="N1045" t="inlineStr">
        <is>
          <t>Evergreen Mutual Insurance</t>
        </is>
      </c>
      <c r="O1045" s="31" t="n">
        <v>497.1</v>
      </c>
    </row>
    <row r="1046">
      <c r="A1046" t="inlineStr">
        <is>
          <t>ENC115009</t>
        </is>
      </c>
      <c r="B1046" t="inlineStr">
        <is>
          <t>PT10544</t>
        </is>
      </c>
      <c r="C1046" t="inlineStr">
        <is>
          <t>Outpatient</t>
        </is>
      </c>
      <c r="D1046" t="inlineStr">
        <is>
          <t>Bluestone Outpatient Pavilion</t>
        </is>
      </c>
      <c r="E1046" t="inlineStr">
        <is>
          <t>Primary Care Clinic</t>
        </is>
      </c>
      <c r="F1046" t="inlineStr">
        <is>
          <t>Ambulatory</t>
        </is>
      </c>
      <c r="G1046" s="29" t="n">
        <v>45790</v>
      </c>
      <c r="H1046" s="29" t="n">
        <v>45790</v>
      </c>
      <c r="I1046" s="30" t="n"/>
      <c r="J1046" t="inlineStr">
        <is>
          <t>M54.50</t>
        </is>
      </c>
      <c r="K1046" t="inlineStr">
        <is>
          <t>Low back pain, unspecified</t>
        </is>
      </c>
      <c r="L1046" t="inlineStr">
        <is>
          <t>Musculoskeletal</t>
        </is>
      </c>
      <c r="M1046" t="inlineStr">
        <is>
          <t>Home/Self-Care</t>
        </is>
      </c>
      <c r="N1046" t="inlineStr">
        <is>
          <t>Self-Pay</t>
        </is>
      </c>
      <c r="O1046" s="31" t="n">
        <v>163.32</v>
      </c>
    </row>
    <row r="1047">
      <c r="A1047" t="inlineStr">
        <is>
          <t>ENC115010</t>
        </is>
      </c>
      <c r="B1047" t="inlineStr">
        <is>
          <t>PT11064</t>
        </is>
      </c>
      <c r="C1047" t="inlineStr">
        <is>
          <t>Outpatient</t>
        </is>
      </c>
      <c r="D1047" t="inlineStr">
        <is>
          <t>Bluestone Outpatient Pavilion</t>
        </is>
      </c>
      <c r="E1047" t="inlineStr">
        <is>
          <t>Primary Care Clinic</t>
        </is>
      </c>
      <c r="F1047" t="inlineStr">
        <is>
          <t>Ambulatory</t>
        </is>
      </c>
      <c r="G1047" s="29" t="n">
        <v>45790</v>
      </c>
      <c r="H1047" s="29" t="n">
        <v>45790</v>
      </c>
      <c r="I1047" s="30" t="n"/>
      <c r="J1047" t="inlineStr">
        <is>
          <t>J06.9</t>
        </is>
      </c>
      <c r="K1047" t="inlineStr">
        <is>
          <t>Acute upper respiratory infection, unspecified</t>
        </is>
      </c>
      <c r="L1047" t="inlineStr">
        <is>
          <t>Respiratory</t>
        </is>
      </c>
      <c r="M1047" t="inlineStr">
        <is>
          <t>Home/Self-Care</t>
        </is>
      </c>
      <c r="N1047" t="inlineStr">
        <is>
          <t>Keystone Health Partners</t>
        </is>
      </c>
      <c r="O1047" s="31" t="n">
        <v>367.34</v>
      </c>
    </row>
    <row r="1048">
      <c r="A1048" t="inlineStr">
        <is>
          <t>ENC115011</t>
        </is>
      </c>
      <c r="B1048" t="inlineStr">
        <is>
          <t>PT13256</t>
        </is>
      </c>
      <c r="C1048" t="inlineStr">
        <is>
          <t>Outpatient</t>
        </is>
      </c>
      <c r="D1048" t="inlineStr">
        <is>
          <t>Bluestone Outpatient Pavilion</t>
        </is>
      </c>
      <c r="E1048" t="inlineStr">
        <is>
          <t>Primary Care Clinic</t>
        </is>
      </c>
      <c r="F1048" t="inlineStr">
        <is>
          <t>Ambulatory</t>
        </is>
      </c>
      <c r="G1048" s="29" t="n">
        <v>45790</v>
      </c>
      <c r="H1048" s="29" t="n">
        <v>45790</v>
      </c>
      <c r="I1048" s="30" t="n"/>
      <c r="J1048" t="inlineStr">
        <is>
          <t>F32.9</t>
        </is>
      </c>
      <c r="K1048" t="inlineStr">
        <is>
          <t>Major depressive disorder, single episode, unspecified</t>
        </is>
      </c>
      <c r="L1048" t="inlineStr">
        <is>
          <t>Mental &amp; Behavioral</t>
        </is>
      </c>
      <c r="M1048" t="inlineStr">
        <is>
          <t>Home/Self-Care</t>
        </is>
      </c>
      <c r="N1048" t="inlineStr">
        <is>
          <t>Summit Choice PPO</t>
        </is>
      </c>
      <c r="O1048" s="31" t="n">
        <v>168.51</v>
      </c>
    </row>
    <row r="1049">
      <c r="A1049" t="inlineStr">
        <is>
          <t>ENC115013</t>
        </is>
      </c>
      <c r="B1049" t="inlineStr">
        <is>
          <t>PT12244</t>
        </is>
      </c>
      <c r="C1049" t="inlineStr">
        <is>
          <t>Emergency</t>
        </is>
      </c>
      <c r="D1049" t="inlineStr">
        <is>
          <t>Bluestone Memorial Hospital</t>
        </is>
      </c>
      <c r="E1049" t="inlineStr">
        <is>
          <t>Emergency Department</t>
        </is>
      </c>
      <c r="F1049" t="inlineStr">
        <is>
          <t>Emergency</t>
        </is>
      </c>
      <c r="G1049" s="29" t="n">
        <v>45790</v>
      </c>
      <c r="H1049" s="29" t="n">
        <v>45790</v>
      </c>
      <c r="I1049" s="30" t="n"/>
      <c r="J1049" t="inlineStr">
        <is>
          <t>E86.0</t>
        </is>
      </c>
      <c r="K1049" t="inlineStr">
        <is>
          <t>Dehydration</t>
        </is>
      </c>
      <c r="L1049" t="inlineStr">
        <is>
          <t>Endocrine</t>
        </is>
      </c>
      <c r="M1049" t="inlineStr">
        <is>
          <t>Home/Self-Care</t>
        </is>
      </c>
      <c r="N1049" t="inlineStr">
        <is>
          <t>Silverline Medicare Advantage</t>
        </is>
      </c>
      <c r="O1049" s="31" t="n">
        <v>1319.82</v>
      </c>
    </row>
    <row r="1050">
      <c r="A1050" t="inlineStr">
        <is>
          <t>ENC115014</t>
        </is>
      </c>
      <c r="B1050" t="inlineStr">
        <is>
          <t>PT12184</t>
        </is>
      </c>
      <c r="C1050" t="inlineStr">
        <is>
          <t>Observation</t>
        </is>
      </c>
      <c r="D1050" t="inlineStr">
        <is>
          <t>Bluestone Memorial Hospital</t>
        </is>
      </c>
      <c r="E1050" t="inlineStr">
        <is>
          <t>Observation Unit</t>
        </is>
      </c>
      <c r="F1050" t="inlineStr">
        <is>
          <t>Medicine</t>
        </is>
      </c>
      <c r="G1050" s="29" t="n">
        <v>45790</v>
      </c>
      <c r="H1050" s="29" t="n">
        <v>45791</v>
      </c>
      <c r="I1050" s="30" t="n">
        <v>1</v>
      </c>
      <c r="J1050" t="inlineStr">
        <is>
          <t>M54.50</t>
        </is>
      </c>
      <c r="K1050" t="inlineStr">
        <is>
          <t>Low back pain, unspecified</t>
        </is>
      </c>
      <c r="L1050" t="inlineStr">
        <is>
          <t>Musculoskeletal</t>
        </is>
      </c>
      <c r="M1050" t="inlineStr">
        <is>
          <t>Home/Self-Care</t>
        </is>
      </c>
      <c r="N1050" t="inlineStr">
        <is>
          <t>Keystone Health Partners</t>
        </is>
      </c>
      <c r="O1050" s="31" t="n">
        <v>6475.81</v>
      </c>
    </row>
    <row r="1051">
      <c r="A1051" t="inlineStr">
        <is>
          <t>ENC115016</t>
        </is>
      </c>
      <c r="B1051" t="inlineStr">
        <is>
          <t>PT13292</t>
        </is>
      </c>
      <c r="C1051" t="inlineStr">
        <is>
          <t>Outpatient</t>
        </is>
      </c>
      <c r="D1051" t="inlineStr">
        <is>
          <t>Bluestone Outpatient Pavilion</t>
        </is>
      </c>
      <c r="E1051" t="inlineStr">
        <is>
          <t>Primary Care Clinic</t>
        </is>
      </c>
      <c r="F1051" t="inlineStr">
        <is>
          <t>Ambulatory</t>
        </is>
      </c>
      <c r="G1051" s="29" t="n">
        <v>45790</v>
      </c>
      <c r="H1051" s="29" t="n">
        <v>45790</v>
      </c>
      <c r="I1051" s="30" t="n"/>
      <c r="J1051" t="inlineStr">
        <is>
          <t>E78.5</t>
        </is>
      </c>
      <c r="K1051" t="inlineStr">
        <is>
          <t>Hyperlipidemia, unspecified</t>
        </is>
      </c>
      <c r="L1051" t="inlineStr">
        <is>
          <t>Endocrine</t>
        </is>
      </c>
      <c r="M1051" t="inlineStr">
        <is>
          <t>Home/Self-Care</t>
        </is>
      </c>
      <c r="N1051" t="inlineStr">
        <is>
          <t>Silverline Medicare Advantage</t>
        </is>
      </c>
      <c r="O1051" s="31" t="n">
        <v>236.21</v>
      </c>
    </row>
    <row r="1052">
      <c r="A1052" t="inlineStr">
        <is>
          <t>ENC115027</t>
        </is>
      </c>
      <c r="B1052" t="inlineStr">
        <is>
          <t>PT12972</t>
        </is>
      </c>
      <c r="C1052" t="inlineStr">
        <is>
          <t>Outpatient</t>
        </is>
      </c>
      <c r="D1052" t="inlineStr">
        <is>
          <t>Bluestone Outpatient Pavilion</t>
        </is>
      </c>
      <c r="E1052" t="inlineStr">
        <is>
          <t>Primary Care Clinic</t>
        </is>
      </c>
      <c r="F1052" t="inlineStr">
        <is>
          <t>Ambulatory</t>
        </is>
      </c>
      <c r="G1052" s="29" t="n">
        <v>45790</v>
      </c>
      <c r="H1052" s="29" t="n">
        <v>45790</v>
      </c>
      <c r="I1052" s="30" t="n"/>
      <c r="J1052" t="inlineStr">
        <is>
          <t>I10</t>
        </is>
      </c>
      <c r="K1052" t="inlineStr">
        <is>
          <t>Essential (primary) hypertension</t>
        </is>
      </c>
      <c r="L1052" t="inlineStr">
        <is>
          <t>Circulatory</t>
        </is>
      </c>
      <c r="M1052" t="inlineStr">
        <is>
          <t>Home/Self-Care</t>
        </is>
      </c>
      <c r="N1052" t="inlineStr">
        <is>
          <t>Medicare</t>
        </is>
      </c>
      <c r="O1052" s="31" t="n">
        <v>562.61</v>
      </c>
    </row>
    <row r="1053">
      <c r="A1053" t="inlineStr">
        <is>
          <t>ENC115031</t>
        </is>
      </c>
      <c r="B1053" t="inlineStr">
        <is>
          <t>PT11380</t>
        </is>
      </c>
      <c r="C1053" t="inlineStr">
        <is>
          <t>Inpatient</t>
        </is>
      </c>
      <c r="D1053" t="inlineStr">
        <is>
          <t>Bluestone Memorial Hospital</t>
        </is>
      </c>
      <c r="E1053" t="inlineStr">
        <is>
          <t>Medical-Surgical 4 West</t>
        </is>
      </c>
      <c r="F1053" t="inlineStr">
        <is>
          <t>Medicine</t>
        </is>
      </c>
      <c r="G1053" s="29" t="n">
        <v>45790</v>
      </c>
      <c r="H1053" s="29" t="n">
        <v>45796</v>
      </c>
      <c r="I1053" s="30" t="n">
        <v>6</v>
      </c>
      <c r="J1053" t="inlineStr">
        <is>
          <t>N39.0</t>
        </is>
      </c>
      <c r="K1053" t="inlineStr">
        <is>
          <t>Urinary tract infection, site not specified</t>
        </is>
      </c>
      <c r="L1053" t="inlineStr">
        <is>
          <t>Genitourinary</t>
        </is>
      </c>
      <c r="M1053" t="inlineStr">
        <is>
          <t>Skilled Nursing Facility</t>
        </is>
      </c>
      <c r="N1053" t="inlineStr">
        <is>
          <t>Medicare</t>
        </is>
      </c>
      <c r="O1053" s="31" t="n">
        <v>24242.42</v>
      </c>
      <c r="P1053" t="inlineStr">
        <is>
          <t>N</t>
        </is>
      </c>
    </row>
    <row r="1054">
      <c r="A1054" t="inlineStr">
        <is>
          <t>ENC115032</t>
        </is>
      </c>
      <c r="B1054" t="inlineStr">
        <is>
          <t>PT11004</t>
        </is>
      </c>
      <c r="C1054" t="inlineStr">
        <is>
          <t>Emergency</t>
        </is>
      </c>
      <c r="D1054" t="inlineStr">
        <is>
          <t>Ashby Falls Community Hospital</t>
        </is>
      </c>
      <c r="E1054" t="inlineStr">
        <is>
          <t>Emergency Department</t>
        </is>
      </c>
      <c r="F1054" t="inlineStr">
        <is>
          <t>Emergency</t>
        </is>
      </c>
      <c r="G1054" s="29" t="n">
        <v>45790</v>
      </c>
      <c r="H1054" s="29" t="n">
        <v>45790</v>
      </c>
      <c r="I1054" s="30" t="n"/>
      <c r="J1054" t="inlineStr">
        <is>
          <t>I48.91</t>
        </is>
      </c>
      <c r="K1054" t="inlineStr">
        <is>
          <t>Unspecified atrial fibrillation</t>
        </is>
      </c>
      <c r="L1054" t="inlineStr">
        <is>
          <t>Circulatory</t>
        </is>
      </c>
      <c r="M1054" t="inlineStr">
        <is>
          <t>Home/Self-Care</t>
        </is>
      </c>
      <c r="N1054" t="inlineStr">
        <is>
          <t>Silverline Medicare Advantage</t>
        </is>
      </c>
      <c r="O1054" s="31" t="n">
        <v>7500.56</v>
      </c>
    </row>
    <row r="1055">
      <c r="A1055" t="inlineStr">
        <is>
          <t>ENC115035</t>
        </is>
      </c>
      <c r="B1055" t="inlineStr">
        <is>
          <t>PT10524</t>
        </is>
      </c>
      <c r="C1055" t="inlineStr">
        <is>
          <t>Emergency</t>
        </is>
      </c>
      <c r="D1055" t="inlineStr">
        <is>
          <t>Ashby Falls Community Hospital</t>
        </is>
      </c>
      <c r="E1055" t="inlineStr">
        <is>
          <t>Emergency Department</t>
        </is>
      </c>
      <c r="F1055" t="inlineStr">
        <is>
          <t>Emergency</t>
        </is>
      </c>
      <c r="G1055" s="29" t="n">
        <v>45790</v>
      </c>
      <c r="H1055" s="29" t="n">
        <v>45791</v>
      </c>
      <c r="I1055" s="30" t="n"/>
      <c r="J1055" t="inlineStr">
        <is>
          <t>R10.9</t>
        </is>
      </c>
      <c r="K1055" t="inlineStr">
        <is>
          <t>Unspecified abdominal pain</t>
        </is>
      </c>
      <c r="L1055" t="inlineStr">
        <is>
          <t>Symptoms &amp; Signs</t>
        </is>
      </c>
      <c r="M1055" t="inlineStr">
        <is>
          <t>Home/Self-Care</t>
        </is>
      </c>
      <c r="N1055" t="inlineStr">
        <is>
          <t>Evergreen Mutual Insurance</t>
        </is>
      </c>
      <c r="O1055" s="31" t="n">
        <v>2431.21</v>
      </c>
    </row>
    <row r="1056">
      <c r="A1056" t="inlineStr">
        <is>
          <t>ENC115038</t>
        </is>
      </c>
      <c r="B1056" t="inlineStr">
        <is>
          <t>PT10564</t>
        </is>
      </c>
      <c r="C1056" t="inlineStr">
        <is>
          <t>Emergency</t>
        </is>
      </c>
      <c r="D1056" t="inlineStr">
        <is>
          <t>Bluestone Memorial Hospital</t>
        </is>
      </c>
      <c r="E1056" t="inlineStr">
        <is>
          <t>Emergency Department</t>
        </is>
      </c>
      <c r="F1056" t="inlineStr">
        <is>
          <t>Emergency</t>
        </is>
      </c>
      <c r="G1056" s="29" t="n">
        <v>45790</v>
      </c>
      <c r="H1056" s="29" t="n">
        <v>45790</v>
      </c>
      <c r="I1056" s="30" t="n"/>
      <c r="J1056" t="inlineStr">
        <is>
          <t>H66.90</t>
        </is>
      </c>
      <c r="K1056" t="inlineStr">
        <is>
          <t>Otitis media, unspecified, unspecified ear</t>
        </is>
      </c>
      <c r="L1056" t="inlineStr">
        <is>
          <t>Ear</t>
        </is>
      </c>
      <c r="M1056" t="inlineStr">
        <is>
          <t>Home/Self-Care</t>
        </is>
      </c>
      <c r="N1056" t="inlineStr">
        <is>
          <t>State Medicaid</t>
        </is>
      </c>
      <c r="O1056" s="31" t="n">
        <v>669.87</v>
      </c>
    </row>
    <row r="1057">
      <c r="A1057" t="inlineStr">
        <is>
          <t>ENC115040</t>
        </is>
      </c>
      <c r="B1057" t="inlineStr">
        <is>
          <t>PT10452</t>
        </is>
      </c>
      <c r="C1057" t="inlineStr">
        <is>
          <t>Observation</t>
        </is>
      </c>
      <c r="D1057" t="inlineStr">
        <is>
          <t>Bluestone Memorial Hospital</t>
        </is>
      </c>
      <c r="E1057" t="inlineStr">
        <is>
          <t>Observation Unit</t>
        </is>
      </c>
      <c r="F1057" t="inlineStr">
        <is>
          <t>Medicine</t>
        </is>
      </c>
      <c r="G1057" s="29" t="n">
        <v>45791</v>
      </c>
      <c r="H1057" s="29" t="n">
        <v>45791</v>
      </c>
      <c r="I1057" s="30" t="n">
        <v>0</v>
      </c>
      <c r="J1057" t="inlineStr">
        <is>
          <t>E87.1</t>
        </is>
      </c>
      <c r="K1057" t="inlineStr">
        <is>
          <t>Hypo-osmolality and hyponatremia</t>
        </is>
      </c>
      <c r="L1057" t="inlineStr">
        <is>
          <t>Endocrine</t>
        </is>
      </c>
      <c r="M1057" t="inlineStr">
        <is>
          <t>Home/Self-Care</t>
        </is>
      </c>
      <c r="N1057" t="inlineStr">
        <is>
          <t>Medicare</t>
        </is>
      </c>
      <c r="O1057" s="31" t="n">
        <v>6781.63</v>
      </c>
    </row>
    <row r="1058">
      <c r="A1058" t="inlineStr">
        <is>
          <t>ENC115041</t>
        </is>
      </c>
      <c r="B1058" t="inlineStr">
        <is>
          <t>PT10496</t>
        </is>
      </c>
      <c r="C1058" t="inlineStr">
        <is>
          <t>Emergency</t>
        </is>
      </c>
      <c r="D1058" t="inlineStr">
        <is>
          <t>Bluestone Memorial Hospital</t>
        </is>
      </c>
      <c r="E1058" t="inlineStr">
        <is>
          <t>Emergency Department</t>
        </is>
      </c>
      <c r="F1058" t="inlineStr">
        <is>
          <t>Emergency</t>
        </is>
      </c>
      <c r="G1058" s="29" t="n">
        <v>45790</v>
      </c>
      <c r="H1058" s="29" t="n">
        <v>45791</v>
      </c>
      <c r="I1058" s="30" t="n"/>
      <c r="J1058" t="inlineStr">
        <is>
          <t>S93.401A</t>
        </is>
      </c>
      <c r="K1058" t="inlineStr">
        <is>
          <t>Sprain of unspecified ligament of right ankle, initial encounter</t>
        </is>
      </c>
      <c r="L1058" t="inlineStr">
        <is>
          <t>Injury</t>
        </is>
      </c>
      <c r="M1058" t="inlineStr">
        <is>
          <t>Home/Self-Care</t>
        </is>
      </c>
      <c r="N1058" t="inlineStr">
        <is>
          <t>Silverline Medicare Advantage</t>
        </is>
      </c>
      <c r="O1058" s="31" t="n">
        <v>919.04</v>
      </c>
    </row>
    <row r="1059">
      <c r="A1059" t="inlineStr">
        <is>
          <t>ENC115043</t>
        </is>
      </c>
      <c r="B1059" t="inlineStr">
        <is>
          <t>PT10120</t>
        </is>
      </c>
      <c r="C1059" t="inlineStr">
        <is>
          <t>Emergency</t>
        </is>
      </c>
      <c r="D1059" t="inlineStr">
        <is>
          <t>Bluestone Memorial Hospital</t>
        </is>
      </c>
      <c r="E1059" t="inlineStr">
        <is>
          <t>Emergency Department</t>
        </is>
      </c>
      <c r="F1059" t="inlineStr">
        <is>
          <t>Emergency</t>
        </is>
      </c>
      <c r="G1059" s="29" t="n">
        <v>45791</v>
      </c>
      <c r="H1059" s="29" t="n">
        <v>45791</v>
      </c>
      <c r="I1059" s="30" t="n"/>
      <c r="J1059" t="inlineStr">
        <is>
          <t>G40.909</t>
        </is>
      </c>
      <c r="K1059" t="inlineStr">
        <is>
          <t>Epilepsy, unspecified, not intractable, without status epilepticus</t>
        </is>
      </c>
      <c r="L1059" t="inlineStr">
        <is>
          <t>Nervous System</t>
        </is>
      </c>
      <c r="M1059" t="inlineStr">
        <is>
          <t>Home/Self-Care</t>
        </is>
      </c>
      <c r="N1059" t="inlineStr">
        <is>
          <t>Evergreen Mutual Insurance</t>
        </is>
      </c>
      <c r="O1059" s="31" t="n">
        <v>3328.77</v>
      </c>
    </row>
    <row r="1060">
      <c r="A1060" t="inlineStr">
        <is>
          <t>ENC115047</t>
        </is>
      </c>
      <c r="B1060" t="inlineStr">
        <is>
          <t>PT10548</t>
        </is>
      </c>
      <c r="C1060" t="inlineStr">
        <is>
          <t>Inpatient</t>
        </is>
      </c>
      <c r="D1060" t="inlineStr">
        <is>
          <t>Bluestone Memorial Hospital</t>
        </is>
      </c>
      <c r="E1060" t="inlineStr">
        <is>
          <t>Orthopedics &amp; Spine</t>
        </is>
      </c>
      <c r="F1060" t="inlineStr">
        <is>
          <t>Orthopedics</t>
        </is>
      </c>
      <c r="G1060" s="29" t="n">
        <v>45791</v>
      </c>
      <c r="H1060" s="29" t="n">
        <v>45793</v>
      </c>
      <c r="I1060" s="30" t="n">
        <v>2</v>
      </c>
      <c r="J1060" t="inlineStr">
        <is>
          <t>M17.11</t>
        </is>
      </c>
      <c r="K1060" t="inlineStr">
        <is>
          <t>Unilateral primary osteoarthritis, right knee</t>
        </is>
      </c>
      <c r="L1060" t="inlineStr">
        <is>
          <t>Musculoskeletal</t>
        </is>
      </c>
      <c r="M1060" t="inlineStr">
        <is>
          <t>Skilled Nursing Facility</t>
        </is>
      </c>
      <c r="N1060" t="inlineStr">
        <is>
          <t>Medicare</t>
        </is>
      </c>
      <c r="O1060" s="31" t="n">
        <v>66070.39999999999</v>
      </c>
      <c r="P1060" t="inlineStr">
        <is>
          <t>N</t>
        </is>
      </c>
    </row>
    <row r="1061">
      <c r="A1061" t="inlineStr">
        <is>
          <t>ENC115048</t>
        </is>
      </c>
      <c r="B1061" t="inlineStr">
        <is>
          <t>PT13644</t>
        </is>
      </c>
      <c r="C1061" t="inlineStr">
        <is>
          <t>Outpatient</t>
        </is>
      </c>
      <c r="D1061" t="inlineStr">
        <is>
          <t>Bluestone Outpatient Pavilion</t>
        </is>
      </c>
      <c r="E1061" t="inlineStr">
        <is>
          <t>Primary Care Clinic</t>
        </is>
      </c>
      <c r="F1061" t="inlineStr">
        <is>
          <t>Ambulatory</t>
        </is>
      </c>
      <c r="G1061" s="29" t="n">
        <v>45791</v>
      </c>
      <c r="H1061" s="29" t="n">
        <v>45791</v>
      </c>
      <c r="I1061" s="30" t="n"/>
      <c r="J1061" t="inlineStr">
        <is>
          <t>E78.5</t>
        </is>
      </c>
      <c r="K1061" t="inlineStr">
        <is>
          <t>Hyperlipidemia, unspecified</t>
        </is>
      </c>
      <c r="L1061" t="inlineStr">
        <is>
          <t>Endocrine</t>
        </is>
      </c>
      <c r="M1061" t="inlineStr">
        <is>
          <t>Home/Self-Care</t>
        </is>
      </c>
      <c r="N1061" t="inlineStr">
        <is>
          <t>Medicare</t>
        </is>
      </c>
      <c r="O1061" s="31" t="n">
        <v>297.64</v>
      </c>
    </row>
    <row r="1062">
      <c r="A1062" t="inlineStr">
        <is>
          <t>ENC115050</t>
        </is>
      </c>
      <c r="B1062" t="inlineStr">
        <is>
          <t>PT11856</t>
        </is>
      </c>
      <c r="C1062" t="inlineStr">
        <is>
          <t>Outpatient</t>
        </is>
      </c>
      <c r="D1062" t="inlineStr">
        <is>
          <t>Bluestone Outpatient Pavilion</t>
        </is>
      </c>
      <c r="E1062" t="inlineStr">
        <is>
          <t>Infusion &amp; Oncology Clinic</t>
        </is>
      </c>
      <c r="F1062" t="inlineStr">
        <is>
          <t>Oncology</t>
        </is>
      </c>
      <c r="G1062" s="29" t="n">
        <v>45791</v>
      </c>
      <c r="H1062" s="29" t="n">
        <v>45791</v>
      </c>
      <c r="I1062" s="30" t="n"/>
      <c r="J1062" t="inlineStr">
        <is>
          <t>Z51.11</t>
        </is>
      </c>
      <c r="K1062" t="inlineStr">
        <is>
          <t>Encounter for antineoplastic chemotherapy</t>
        </is>
      </c>
      <c r="L1062" t="inlineStr">
        <is>
          <t>Factors Influencing Health</t>
        </is>
      </c>
      <c r="M1062" t="inlineStr">
        <is>
          <t>Home/Self-Care</t>
        </is>
      </c>
      <c r="N1062" t="inlineStr">
        <is>
          <t>Evergreen Mutual Insurance</t>
        </is>
      </c>
      <c r="O1062" s="31" t="n">
        <v>15258.42</v>
      </c>
    </row>
    <row r="1063">
      <c r="A1063" t="inlineStr">
        <is>
          <t>ENC115052</t>
        </is>
      </c>
      <c r="B1063" t="inlineStr">
        <is>
          <t>PT12188</t>
        </is>
      </c>
      <c r="C1063" t="inlineStr">
        <is>
          <t>Outpatient</t>
        </is>
      </c>
      <c r="D1063" t="inlineStr">
        <is>
          <t>Bluestone Outpatient Pavilion</t>
        </is>
      </c>
      <c r="E1063" t="inlineStr">
        <is>
          <t>Endocrinology &amp; Diabetes Clinic</t>
        </is>
      </c>
      <c r="F1063" t="inlineStr">
        <is>
          <t>Ambulatory</t>
        </is>
      </c>
      <c r="G1063" s="29" t="n">
        <v>45791</v>
      </c>
      <c r="H1063" s="29" t="n">
        <v>45791</v>
      </c>
      <c r="I1063" s="30" t="n"/>
      <c r="J1063" t="inlineStr">
        <is>
          <t>E11.9</t>
        </is>
      </c>
      <c r="K1063" t="inlineStr">
        <is>
          <t>Type 2 diabetes mellitus without complications</t>
        </is>
      </c>
      <c r="L1063" t="inlineStr">
        <is>
          <t>Endocrine</t>
        </is>
      </c>
      <c r="M1063" t="inlineStr">
        <is>
          <t>Home/Self-Care</t>
        </is>
      </c>
      <c r="N1063" t="inlineStr">
        <is>
          <t>State Medicaid</t>
        </is>
      </c>
      <c r="O1063" s="31" t="n">
        <v>367.44</v>
      </c>
    </row>
    <row r="1064">
      <c r="A1064" t="inlineStr">
        <is>
          <t>ENC115057</t>
        </is>
      </c>
      <c r="B1064" t="inlineStr">
        <is>
          <t>PT13540</t>
        </is>
      </c>
      <c r="C1064" t="inlineStr">
        <is>
          <t>Inpatient</t>
        </is>
      </c>
      <c r="D1064" t="inlineStr">
        <is>
          <t>Bluestone Memorial Hospital</t>
        </is>
      </c>
      <c r="E1064" t="inlineStr">
        <is>
          <t>Medical-Surgical 5 East</t>
        </is>
      </c>
      <c r="F1064" t="inlineStr">
        <is>
          <t>Medicine</t>
        </is>
      </c>
      <c r="G1064" s="29" t="n">
        <v>45791</v>
      </c>
      <c r="H1064" s="29" t="n">
        <v>45794</v>
      </c>
      <c r="I1064" s="30" t="n">
        <v>3</v>
      </c>
      <c r="J1064" t="inlineStr">
        <is>
          <t>J44.1</t>
        </is>
      </c>
      <c r="K1064" t="inlineStr">
        <is>
          <t>Chronic obstructive pulmonary disease with (acute) exacerbation</t>
        </is>
      </c>
      <c r="L1064" t="inlineStr">
        <is>
          <t>Respiratory</t>
        </is>
      </c>
      <c r="M1064" t="inlineStr">
        <is>
          <t>Skilled Nursing Facility</t>
        </is>
      </c>
      <c r="N1064" t="inlineStr">
        <is>
          <t>Silverline Medicare Advantage</t>
        </is>
      </c>
      <c r="O1064" s="31" t="n">
        <v>10332.78</v>
      </c>
      <c r="P1064" t="inlineStr">
        <is>
          <t>Y</t>
        </is>
      </c>
    </row>
    <row r="1065">
      <c r="A1065" t="inlineStr">
        <is>
          <t>ENC115058</t>
        </is>
      </c>
      <c r="B1065" t="inlineStr">
        <is>
          <t>PT11104</t>
        </is>
      </c>
      <c r="C1065" t="inlineStr">
        <is>
          <t>Outpatient</t>
        </is>
      </c>
      <c r="D1065" t="inlineStr">
        <is>
          <t>Bluestone Outpatient Pavilion</t>
        </is>
      </c>
      <c r="E1065" t="inlineStr">
        <is>
          <t>Primary Care Clinic</t>
        </is>
      </c>
      <c r="F1065" t="inlineStr">
        <is>
          <t>Ambulatory</t>
        </is>
      </c>
      <c r="G1065" s="29" t="n">
        <v>45791</v>
      </c>
      <c r="H1065" s="29" t="n">
        <v>45791</v>
      </c>
      <c r="I1065" s="30" t="n"/>
      <c r="J1065" t="inlineStr">
        <is>
          <t>E78.5</t>
        </is>
      </c>
      <c r="K1065" t="inlineStr">
        <is>
          <t>Hyperlipidemia, unspecified</t>
        </is>
      </c>
      <c r="L1065" t="inlineStr">
        <is>
          <t>Endocrine</t>
        </is>
      </c>
      <c r="M1065" t="inlineStr">
        <is>
          <t>Home/Self-Care</t>
        </is>
      </c>
      <c r="N1065" t="inlineStr">
        <is>
          <t>Medicare</t>
        </is>
      </c>
      <c r="O1065" s="31" t="n">
        <v>194.8</v>
      </c>
    </row>
    <row r="1066">
      <c r="A1066" t="inlineStr">
        <is>
          <t>ENC115060</t>
        </is>
      </c>
      <c r="B1066" t="inlineStr">
        <is>
          <t>PT12896</t>
        </is>
      </c>
      <c r="C1066" t="inlineStr">
        <is>
          <t>Inpatient</t>
        </is>
      </c>
      <c r="D1066" t="inlineStr">
        <is>
          <t>Cedar Ridge Medical Center</t>
        </is>
      </c>
      <c r="E1066" t="inlineStr">
        <is>
          <t>Medical-Surgical</t>
        </is>
      </c>
      <c r="F1066" t="inlineStr">
        <is>
          <t>Medicine</t>
        </is>
      </c>
      <c r="G1066" s="29" t="n">
        <v>45791</v>
      </c>
      <c r="H1066" s="29" t="n">
        <v>45795</v>
      </c>
      <c r="I1066" s="30" t="n">
        <v>4</v>
      </c>
      <c r="J1066" t="inlineStr">
        <is>
          <t>J18.9</t>
        </is>
      </c>
      <c r="K1066" t="inlineStr">
        <is>
          <t>Pneumonia, unspecified organism</t>
        </is>
      </c>
      <c r="L1066" t="inlineStr">
        <is>
          <t>Respiratory</t>
        </is>
      </c>
      <c r="M1066" t="inlineStr">
        <is>
          <t>Home/Self-Care</t>
        </is>
      </c>
      <c r="N1066" t="inlineStr">
        <is>
          <t>Silverline Medicare Advantage</t>
        </is>
      </c>
      <c r="O1066" s="31" t="n">
        <v>22256.82</v>
      </c>
      <c r="P1066" t="inlineStr">
        <is>
          <t>N</t>
        </is>
      </c>
    </row>
    <row r="1067">
      <c r="A1067" t="inlineStr">
        <is>
          <t>ENC115068</t>
        </is>
      </c>
      <c r="B1067" t="inlineStr">
        <is>
          <t>PT10356</t>
        </is>
      </c>
      <c r="C1067" t="inlineStr">
        <is>
          <t>Emergency</t>
        </is>
      </c>
      <c r="D1067" t="inlineStr">
        <is>
          <t>Bluestone Memorial Hospital</t>
        </is>
      </c>
      <c r="E1067" t="inlineStr">
        <is>
          <t>Emergency Department</t>
        </is>
      </c>
      <c r="F1067" t="inlineStr">
        <is>
          <t>Emergency</t>
        </is>
      </c>
      <c r="G1067" s="29" t="n">
        <v>45791</v>
      </c>
      <c r="H1067" s="29" t="n">
        <v>45791</v>
      </c>
      <c r="I1067" s="30" t="n"/>
      <c r="J1067" t="inlineStr">
        <is>
          <t>J06.9</t>
        </is>
      </c>
      <c r="K1067" t="inlineStr">
        <is>
          <t>Acute upper respiratory infection, unspecified</t>
        </is>
      </c>
      <c r="L1067" t="inlineStr">
        <is>
          <t>Respiratory</t>
        </is>
      </c>
      <c r="M1067" t="inlineStr">
        <is>
          <t>Home/Self-Care</t>
        </is>
      </c>
      <c r="N1067" t="inlineStr">
        <is>
          <t>Medicare</t>
        </is>
      </c>
      <c r="O1067" s="31" t="n">
        <v>820.23</v>
      </c>
    </row>
    <row r="1068">
      <c r="A1068" t="inlineStr">
        <is>
          <t>ENC115071</t>
        </is>
      </c>
      <c r="B1068" t="inlineStr">
        <is>
          <t>PT13500</t>
        </is>
      </c>
      <c r="C1068" t="inlineStr">
        <is>
          <t>Outpatient</t>
        </is>
      </c>
      <c r="D1068" t="inlineStr">
        <is>
          <t>Bluestone Outpatient Pavilion</t>
        </is>
      </c>
      <c r="E1068" t="inlineStr">
        <is>
          <t>Primary Care Clinic</t>
        </is>
      </c>
      <c r="F1068" t="inlineStr">
        <is>
          <t>Ambulatory</t>
        </is>
      </c>
      <c r="G1068" s="29" t="n">
        <v>45791</v>
      </c>
      <c r="H1068" s="29" t="n">
        <v>45791</v>
      </c>
      <c r="I1068" s="30" t="n"/>
      <c r="J1068" t="inlineStr">
        <is>
          <t>F41.9</t>
        </is>
      </c>
      <c r="K1068" t="inlineStr">
        <is>
          <t>Anxiety disorder, unspecified</t>
        </is>
      </c>
      <c r="L1068" t="inlineStr">
        <is>
          <t>Mental &amp; Behavioral</t>
        </is>
      </c>
      <c r="M1068" t="inlineStr">
        <is>
          <t>Home/Self-Care</t>
        </is>
      </c>
      <c r="N1068" t="inlineStr">
        <is>
          <t>Medicare</t>
        </is>
      </c>
      <c r="O1068" s="31" t="n">
        <v>450.77</v>
      </c>
    </row>
    <row r="1069">
      <c r="A1069" t="inlineStr">
        <is>
          <t>ENC115072</t>
        </is>
      </c>
      <c r="B1069" t="inlineStr">
        <is>
          <t>PT11628</t>
        </is>
      </c>
      <c r="C1069" t="inlineStr">
        <is>
          <t>Outpatient</t>
        </is>
      </c>
      <c r="D1069" t="inlineStr">
        <is>
          <t>Bluestone Outpatient Pavilion</t>
        </is>
      </c>
      <c r="E1069" t="inlineStr">
        <is>
          <t>Primary Care Clinic</t>
        </is>
      </c>
      <c r="F1069" t="inlineStr">
        <is>
          <t>Ambulatory</t>
        </is>
      </c>
      <c r="G1069" s="29" t="n">
        <v>45791</v>
      </c>
      <c r="H1069" s="29" t="n">
        <v>45791</v>
      </c>
      <c r="I1069" s="30" t="n"/>
      <c r="J1069" t="inlineStr">
        <is>
          <t>I10</t>
        </is>
      </c>
      <c r="K1069" t="inlineStr">
        <is>
          <t>Essential (primary) hypertension</t>
        </is>
      </c>
      <c r="L1069" t="inlineStr">
        <is>
          <t>Circulatory</t>
        </is>
      </c>
      <c r="M1069" t="inlineStr">
        <is>
          <t>Home/Self-Care</t>
        </is>
      </c>
      <c r="N1069" t="inlineStr">
        <is>
          <t>Silverline Medicare Advantage</t>
        </is>
      </c>
      <c r="O1069" s="31" t="n">
        <v>546.39</v>
      </c>
    </row>
    <row r="1070">
      <c r="A1070" t="inlineStr">
        <is>
          <t>ENC115078</t>
        </is>
      </c>
      <c r="B1070" t="inlineStr">
        <is>
          <t>PT11436</t>
        </is>
      </c>
      <c r="C1070" t="inlineStr">
        <is>
          <t>Emergency</t>
        </is>
      </c>
      <c r="D1070" t="inlineStr">
        <is>
          <t>Bluestone Memorial Hospital</t>
        </is>
      </c>
      <c r="E1070" t="inlineStr">
        <is>
          <t>Emergency Department</t>
        </is>
      </c>
      <c r="F1070" t="inlineStr">
        <is>
          <t>Emergency</t>
        </is>
      </c>
      <c r="G1070" s="29" t="n">
        <v>45791</v>
      </c>
      <c r="H1070" s="29" t="n">
        <v>45791</v>
      </c>
      <c r="I1070" s="30" t="n"/>
      <c r="J1070" t="inlineStr">
        <is>
          <t>E11.9</t>
        </is>
      </c>
      <c r="K1070" t="inlineStr">
        <is>
          <t>Type 2 diabetes mellitus without complications</t>
        </is>
      </c>
      <c r="L1070" t="inlineStr">
        <is>
          <t>Endocrine</t>
        </is>
      </c>
      <c r="M1070" t="inlineStr">
        <is>
          <t>Home/Self-Care</t>
        </is>
      </c>
      <c r="N1070" t="inlineStr">
        <is>
          <t>Silverline Medicare Advantage</t>
        </is>
      </c>
      <c r="O1070" s="31" t="n">
        <v>1442.76</v>
      </c>
    </row>
    <row r="1071">
      <c r="A1071" t="inlineStr">
        <is>
          <t>ENC115098</t>
        </is>
      </c>
      <c r="B1071" t="inlineStr">
        <is>
          <t>PT11904</t>
        </is>
      </c>
      <c r="C1071" t="inlineStr">
        <is>
          <t>Observation</t>
        </is>
      </c>
      <c r="D1071" t="inlineStr">
        <is>
          <t>Bluestone Memorial Hospital</t>
        </is>
      </c>
      <c r="E1071" t="inlineStr">
        <is>
          <t>Observation Unit</t>
        </is>
      </c>
      <c r="F1071" t="inlineStr">
        <is>
          <t>Medicine</t>
        </is>
      </c>
      <c r="G1071" s="29" t="n">
        <v>45792</v>
      </c>
      <c r="H1071" s="29" t="n">
        <v>45793</v>
      </c>
      <c r="I1071" s="30" t="n">
        <v>1</v>
      </c>
      <c r="J1071" t="inlineStr">
        <is>
          <t>R07.9</t>
        </is>
      </c>
      <c r="K1071" t="inlineStr">
        <is>
          <t>Chest pain, unspecified</t>
        </is>
      </c>
      <c r="L1071" t="inlineStr">
        <is>
          <t>Symptoms &amp; Signs</t>
        </is>
      </c>
      <c r="M1071" t="inlineStr">
        <is>
          <t>Home/Self-Care</t>
        </is>
      </c>
      <c r="N1071" t="inlineStr">
        <is>
          <t>Evergreen Mutual Insurance</t>
        </is>
      </c>
      <c r="O1071" s="31" t="n">
        <v>10113.62</v>
      </c>
    </row>
    <row r="1072">
      <c r="A1072" t="inlineStr">
        <is>
          <t>ENC115100</t>
        </is>
      </c>
      <c r="B1072" t="inlineStr">
        <is>
          <t>PT11976</t>
        </is>
      </c>
      <c r="C1072" t="inlineStr">
        <is>
          <t>Observation</t>
        </is>
      </c>
      <c r="D1072" t="inlineStr">
        <is>
          <t>Ashby Falls Community Hospital</t>
        </is>
      </c>
      <c r="E1072" t="inlineStr">
        <is>
          <t>Medical-Surgical</t>
        </is>
      </c>
      <c r="F1072" t="inlineStr">
        <is>
          <t>Medicine</t>
        </is>
      </c>
      <c r="G1072" s="29" t="n">
        <v>45793</v>
      </c>
      <c r="H1072" s="29" t="n">
        <v>45793</v>
      </c>
      <c r="I1072" s="30" t="n">
        <v>0</v>
      </c>
      <c r="J1072" t="inlineStr">
        <is>
          <t>R07.9</t>
        </is>
      </c>
      <c r="K1072" t="inlineStr">
        <is>
          <t>Chest pain, unspecified</t>
        </is>
      </c>
      <c r="L1072" t="inlineStr">
        <is>
          <t>Symptoms &amp; Signs</t>
        </is>
      </c>
      <c r="M1072" t="inlineStr">
        <is>
          <t>Home/Self-Care</t>
        </is>
      </c>
      <c r="N1072" t="inlineStr">
        <is>
          <t>Keystone Health Partners</t>
        </is>
      </c>
      <c r="O1072" s="31" t="n">
        <v>10603.66</v>
      </c>
    </row>
    <row r="1073">
      <c r="A1073" t="inlineStr">
        <is>
          <t>ENC115108</t>
        </is>
      </c>
      <c r="B1073" t="inlineStr">
        <is>
          <t>PT10540</t>
        </is>
      </c>
      <c r="C1073" t="inlineStr">
        <is>
          <t>Outpatient</t>
        </is>
      </c>
      <c r="D1073" t="inlineStr">
        <is>
          <t>Bluestone Outpatient Pavilion</t>
        </is>
      </c>
      <c r="E1073" t="inlineStr">
        <is>
          <t>Infusion &amp; Oncology Clinic</t>
        </is>
      </c>
      <c r="F1073" t="inlineStr">
        <is>
          <t>Oncology</t>
        </is>
      </c>
      <c r="G1073" s="29" t="n">
        <v>45793</v>
      </c>
      <c r="H1073" s="29" t="n">
        <v>45793</v>
      </c>
      <c r="I1073" s="30" t="n"/>
      <c r="J1073" t="inlineStr">
        <is>
          <t>C34.90</t>
        </is>
      </c>
      <c r="K1073" t="inlineStr">
        <is>
          <t>Malignant neoplasm of unspecified part of unspecified bronchus or lung</t>
        </is>
      </c>
      <c r="L1073" t="inlineStr">
        <is>
          <t>Neoplasms</t>
        </is>
      </c>
      <c r="M1073" t="inlineStr">
        <is>
          <t>Home/Self-Care</t>
        </is>
      </c>
      <c r="N1073" t="inlineStr">
        <is>
          <t>Evergreen Mutual Insurance</t>
        </is>
      </c>
      <c r="O1073" s="31" t="n">
        <v>789.46</v>
      </c>
    </row>
    <row r="1074">
      <c r="A1074" t="inlineStr">
        <is>
          <t>ENC115110</t>
        </is>
      </c>
      <c r="B1074" t="inlineStr">
        <is>
          <t>PT11064</t>
        </is>
      </c>
      <c r="C1074" t="inlineStr">
        <is>
          <t>Inpatient</t>
        </is>
      </c>
      <c r="D1074" t="inlineStr">
        <is>
          <t>Bluestone Memorial Hospital</t>
        </is>
      </c>
      <c r="E1074" t="inlineStr">
        <is>
          <t>Medical-Surgical 5 East</t>
        </is>
      </c>
      <c r="F1074" t="inlineStr">
        <is>
          <t>Medicine</t>
        </is>
      </c>
      <c r="G1074" s="29" t="n">
        <v>45793</v>
      </c>
      <c r="H1074" s="29" t="n">
        <v>45798</v>
      </c>
      <c r="I1074" s="30" t="n">
        <v>5</v>
      </c>
      <c r="J1074" t="inlineStr">
        <is>
          <t>N17.9</t>
        </is>
      </c>
      <c r="K1074" t="inlineStr">
        <is>
          <t>Acute kidney failure, unspecified</t>
        </is>
      </c>
      <c r="L1074" t="inlineStr">
        <is>
          <t>Genitourinary</t>
        </is>
      </c>
      <c r="M1074" t="inlineStr">
        <is>
          <t>Home Health</t>
        </is>
      </c>
      <c r="N1074" t="inlineStr">
        <is>
          <t>Keystone Health Partners</t>
        </is>
      </c>
      <c r="O1074" s="31" t="n">
        <v>20880.25</v>
      </c>
      <c r="P1074" t="inlineStr">
        <is>
          <t>N</t>
        </is>
      </c>
    </row>
    <row r="1075">
      <c r="A1075" t="inlineStr">
        <is>
          <t>ENC115111</t>
        </is>
      </c>
      <c r="B1075" t="inlineStr">
        <is>
          <t>PT12800</t>
        </is>
      </c>
      <c r="C1075" t="inlineStr">
        <is>
          <t>Outpatient</t>
        </is>
      </c>
      <c r="D1075" t="inlineStr">
        <is>
          <t>Bluestone Outpatient Pavilion</t>
        </is>
      </c>
      <c r="E1075" t="inlineStr">
        <is>
          <t>Orthopedic Clinic</t>
        </is>
      </c>
      <c r="F1075" t="inlineStr">
        <is>
          <t>Orthopedics</t>
        </is>
      </c>
      <c r="G1075" s="29" t="n">
        <v>45793</v>
      </c>
      <c r="H1075" s="29" t="n">
        <v>45793</v>
      </c>
      <c r="I1075" s="30" t="n"/>
      <c r="J1075" t="inlineStr">
        <is>
          <t>M17.11</t>
        </is>
      </c>
      <c r="K1075" t="inlineStr">
        <is>
          <t>Unilateral primary osteoarthritis, right knee</t>
        </is>
      </c>
      <c r="L1075" t="inlineStr">
        <is>
          <t>Musculoskeletal</t>
        </is>
      </c>
      <c r="M1075" t="inlineStr">
        <is>
          <t>Home/Self-Care</t>
        </is>
      </c>
      <c r="N1075" t="inlineStr">
        <is>
          <t>Keystone Health Partners</t>
        </is>
      </c>
      <c r="O1075" s="31" t="n">
        <v>325.57</v>
      </c>
    </row>
    <row r="1076">
      <c r="A1076" t="inlineStr">
        <is>
          <t>ENC115112</t>
        </is>
      </c>
      <c r="B1076" t="inlineStr">
        <is>
          <t>PT11952</t>
        </is>
      </c>
      <c r="C1076" t="inlineStr">
        <is>
          <t>Inpatient</t>
        </is>
      </c>
      <c r="D1076" t="inlineStr">
        <is>
          <t>Ashby Falls Community Hospital</t>
        </is>
      </c>
      <c r="E1076" t="inlineStr">
        <is>
          <t>Medical-Surgical</t>
        </is>
      </c>
      <c r="F1076" t="inlineStr">
        <is>
          <t>Medicine</t>
        </is>
      </c>
      <c r="G1076" s="29" t="n">
        <v>45793</v>
      </c>
      <c r="H1076" s="29" t="n">
        <v>45798</v>
      </c>
      <c r="I1076" s="30" t="n">
        <v>5</v>
      </c>
      <c r="J1076" t="inlineStr">
        <is>
          <t>I50.9</t>
        </is>
      </c>
      <c r="K1076" t="inlineStr">
        <is>
          <t>Heart failure, unspecified</t>
        </is>
      </c>
      <c r="L1076" t="inlineStr">
        <is>
          <t>Circulatory</t>
        </is>
      </c>
      <c r="M1076" t="inlineStr">
        <is>
          <t>Home/Self-Care</t>
        </is>
      </c>
      <c r="N1076" t="inlineStr">
        <is>
          <t>Silverline Medicare Advantage</t>
        </is>
      </c>
      <c r="O1076" s="31" t="n">
        <v>48253.7</v>
      </c>
      <c r="P1076" t="inlineStr">
        <is>
          <t>N</t>
        </is>
      </c>
    </row>
    <row r="1077">
      <c r="A1077" t="inlineStr">
        <is>
          <t>ENC115116</t>
        </is>
      </c>
      <c r="B1077" t="inlineStr">
        <is>
          <t>PT10676</t>
        </is>
      </c>
      <c r="C1077" t="inlineStr">
        <is>
          <t>Outpatient</t>
        </is>
      </c>
      <c r="D1077" t="inlineStr">
        <is>
          <t>Bluestone Outpatient Pavilion</t>
        </is>
      </c>
      <c r="E1077" t="inlineStr">
        <is>
          <t>Orthopedic Clinic</t>
        </is>
      </c>
      <c r="F1077" t="inlineStr">
        <is>
          <t>Orthopedics</t>
        </is>
      </c>
      <c r="G1077" s="29" t="n">
        <v>45793</v>
      </c>
      <c r="H1077" s="29" t="n">
        <v>45793</v>
      </c>
      <c r="I1077" s="30" t="n"/>
      <c r="J1077" t="inlineStr">
        <is>
          <t>M16.11</t>
        </is>
      </c>
      <c r="K1077" t="inlineStr">
        <is>
          <t>Unilateral primary osteoarthritis, right hip</t>
        </is>
      </c>
      <c r="L1077" t="inlineStr">
        <is>
          <t>Musculoskeletal</t>
        </is>
      </c>
      <c r="M1077" t="inlineStr">
        <is>
          <t>Home/Self-Care</t>
        </is>
      </c>
      <c r="N1077" t="inlineStr">
        <is>
          <t>Medicare</t>
        </is>
      </c>
      <c r="O1077" s="31" t="n">
        <v>308.44</v>
      </c>
    </row>
    <row r="1078">
      <c r="A1078" t="inlineStr">
        <is>
          <t>ENC115119</t>
        </is>
      </c>
      <c r="B1078" t="inlineStr">
        <is>
          <t>PT12404</t>
        </is>
      </c>
      <c r="C1078" t="inlineStr">
        <is>
          <t>Outpatient</t>
        </is>
      </c>
      <c r="D1078" t="inlineStr">
        <is>
          <t>Bluestone Outpatient Pavilion</t>
        </is>
      </c>
      <c r="E1078" t="inlineStr">
        <is>
          <t>Cardiology Clinic</t>
        </is>
      </c>
      <c r="F1078" t="inlineStr">
        <is>
          <t>Cardiovascular</t>
        </is>
      </c>
      <c r="G1078" s="29" t="n">
        <v>45793</v>
      </c>
      <c r="H1078" s="29" t="n">
        <v>45793</v>
      </c>
      <c r="I1078" s="30" t="n"/>
      <c r="J1078" t="inlineStr">
        <is>
          <t>I50.9</t>
        </is>
      </c>
      <c r="K1078" t="inlineStr">
        <is>
          <t>Heart failure, unspecified</t>
        </is>
      </c>
      <c r="L1078" t="inlineStr">
        <is>
          <t>Circulatory</t>
        </is>
      </c>
      <c r="M1078" t="inlineStr">
        <is>
          <t>Home/Self-Care</t>
        </is>
      </c>
      <c r="N1078" t="inlineStr">
        <is>
          <t>Evergreen Mutual Insurance</t>
        </is>
      </c>
      <c r="O1078" s="31" t="n">
        <v>161.12</v>
      </c>
    </row>
    <row r="1079">
      <c r="A1079" t="inlineStr">
        <is>
          <t>ENC115129</t>
        </is>
      </c>
      <c r="B1079" t="inlineStr">
        <is>
          <t>PT11548</t>
        </is>
      </c>
      <c r="C1079" t="inlineStr">
        <is>
          <t>Inpatient</t>
        </is>
      </c>
      <c r="D1079" t="inlineStr">
        <is>
          <t>Bluestone Memorial Hospital</t>
        </is>
      </c>
      <c r="E1079" t="inlineStr">
        <is>
          <t>Labor &amp; Delivery</t>
        </is>
      </c>
      <c r="F1079" t="inlineStr">
        <is>
          <t>Women &amp; Children</t>
        </is>
      </c>
      <c r="G1079" s="29" t="n">
        <v>45793</v>
      </c>
      <c r="H1079" s="29" t="n">
        <v>45797</v>
      </c>
      <c r="I1079" s="30" t="n">
        <v>4</v>
      </c>
      <c r="J1079" t="inlineStr">
        <is>
          <t>O82</t>
        </is>
      </c>
      <c r="K1079" t="inlineStr">
        <is>
          <t>Encounter for cesarean delivery without indication</t>
        </is>
      </c>
      <c r="L1079" t="inlineStr">
        <is>
          <t>Pregnancy</t>
        </is>
      </c>
      <c r="M1079" t="inlineStr">
        <is>
          <t>Home/Self-Care</t>
        </is>
      </c>
      <c r="N1079" t="inlineStr">
        <is>
          <t>Evergreen Mutual Insurance</t>
        </is>
      </c>
      <c r="O1079" s="31" t="n">
        <v>34310.75</v>
      </c>
      <c r="P1079" t="inlineStr">
        <is>
          <t>Y</t>
        </is>
      </c>
    </row>
    <row r="1080">
      <c r="A1080" t="inlineStr">
        <is>
          <t>ENC115137</t>
        </is>
      </c>
      <c r="B1080" t="inlineStr">
        <is>
          <t>PT12652</t>
        </is>
      </c>
      <c r="C1080" t="inlineStr">
        <is>
          <t>Emergency</t>
        </is>
      </c>
      <c r="D1080" t="inlineStr">
        <is>
          <t>Bluestone Memorial Hospital</t>
        </is>
      </c>
      <c r="E1080" t="inlineStr">
        <is>
          <t>Emergency Department</t>
        </is>
      </c>
      <c r="F1080" t="inlineStr">
        <is>
          <t>Emergency</t>
        </is>
      </c>
      <c r="G1080" s="29" t="n">
        <v>45794</v>
      </c>
      <c r="H1080" s="29" t="n">
        <v>45794</v>
      </c>
      <c r="I1080" s="30" t="n"/>
      <c r="J1080" t="inlineStr">
        <is>
          <t>I48.91</t>
        </is>
      </c>
      <c r="K1080" t="inlineStr">
        <is>
          <t>Unspecified atrial fibrillation</t>
        </is>
      </c>
      <c r="L1080" t="inlineStr">
        <is>
          <t>Circulatory</t>
        </is>
      </c>
      <c r="M1080" t="inlineStr">
        <is>
          <t>Home/Self-Care</t>
        </is>
      </c>
      <c r="N1080" t="inlineStr">
        <is>
          <t>State Medicaid</t>
        </is>
      </c>
      <c r="O1080" s="31" t="n">
        <v>2794.88</v>
      </c>
    </row>
    <row r="1081">
      <c r="A1081" t="inlineStr">
        <is>
          <t>ENC115153</t>
        </is>
      </c>
      <c r="B1081" t="inlineStr">
        <is>
          <t>PT10064</t>
        </is>
      </c>
      <c r="C1081" t="inlineStr">
        <is>
          <t>Inpatient</t>
        </is>
      </c>
      <c r="D1081" t="inlineStr">
        <is>
          <t>Bluestone Memorial Hospital</t>
        </is>
      </c>
      <c r="E1081" t="inlineStr">
        <is>
          <t>Medical-Surgical 5 East</t>
        </is>
      </c>
      <c r="F1081" t="inlineStr">
        <is>
          <t>Medicine</t>
        </is>
      </c>
      <c r="G1081" s="29" t="n">
        <v>45795</v>
      </c>
      <c r="H1081" s="29" t="n">
        <v>45798</v>
      </c>
      <c r="I1081" s="30" t="n">
        <v>3</v>
      </c>
      <c r="J1081" t="inlineStr">
        <is>
          <t>L03.115</t>
        </is>
      </c>
      <c r="K1081" t="inlineStr">
        <is>
          <t>Cellulitis of right lower limb</t>
        </is>
      </c>
      <c r="L1081" t="inlineStr">
        <is>
          <t>Skin</t>
        </is>
      </c>
      <c r="M1081" t="inlineStr">
        <is>
          <t>Home/Self-Care</t>
        </is>
      </c>
      <c r="N1081" t="inlineStr">
        <is>
          <t>Summit Choice PPO</t>
        </is>
      </c>
      <c r="O1081" s="31" t="n">
        <v>17722.18</v>
      </c>
      <c r="P1081" t="inlineStr">
        <is>
          <t>N</t>
        </is>
      </c>
    </row>
    <row r="1082">
      <c r="A1082" t="inlineStr">
        <is>
          <t>ENC115155</t>
        </is>
      </c>
      <c r="B1082" t="inlineStr">
        <is>
          <t>PT13704</t>
        </is>
      </c>
      <c r="C1082" t="inlineStr">
        <is>
          <t>Emergency</t>
        </is>
      </c>
      <c r="D1082" t="inlineStr">
        <is>
          <t>Bluestone Memorial Hospital</t>
        </is>
      </c>
      <c r="E1082" t="inlineStr">
        <is>
          <t>Emergency Department</t>
        </is>
      </c>
      <c r="F1082" t="inlineStr">
        <is>
          <t>Emergency</t>
        </is>
      </c>
      <c r="G1082" s="29" t="n">
        <v>45795</v>
      </c>
      <c r="H1082" s="29" t="n">
        <v>45795</v>
      </c>
      <c r="I1082" s="30" t="n"/>
      <c r="J1082" t="inlineStr">
        <is>
          <t>R10.9</t>
        </is>
      </c>
      <c r="K1082" t="inlineStr">
        <is>
          <t>Unspecified abdominal pain</t>
        </is>
      </c>
      <c r="L1082" t="inlineStr">
        <is>
          <t>Symptoms &amp; Signs</t>
        </is>
      </c>
      <c r="M1082" t="inlineStr">
        <is>
          <t>Home/Self-Care</t>
        </is>
      </c>
      <c r="N1082" t="inlineStr">
        <is>
          <t>Medicare</t>
        </is>
      </c>
      <c r="O1082" s="31" t="n">
        <v>3627.59</v>
      </c>
    </row>
    <row r="1083">
      <c r="A1083" t="inlineStr">
        <is>
          <t>ENC115157</t>
        </is>
      </c>
      <c r="B1083" t="inlineStr">
        <is>
          <t>PT10224</t>
        </is>
      </c>
      <c r="C1083" t="inlineStr">
        <is>
          <t>Inpatient</t>
        </is>
      </c>
      <c r="D1083" t="inlineStr">
        <is>
          <t>Bluestone Memorial Hospital</t>
        </is>
      </c>
      <c r="E1083" t="inlineStr">
        <is>
          <t>Medical-Surgical 5 East</t>
        </is>
      </c>
      <c r="F1083" t="inlineStr">
        <is>
          <t>Medicine</t>
        </is>
      </c>
      <c r="G1083" s="29" t="n">
        <v>45795</v>
      </c>
      <c r="H1083" s="29" t="n">
        <v>45796</v>
      </c>
      <c r="I1083" s="30" t="n">
        <v>1</v>
      </c>
      <c r="J1083" t="inlineStr">
        <is>
          <t>J18.9</t>
        </is>
      </c>
      <c r="K1083" t="inlineStr">
        <is>
          <t>Pneumonia, unspecified organism</t>
        </is>
      </c>
      <c r="L1083" t="inlineStr">
        <is>
          <t>Respiratory</t>
        </is>
      </c>
      <c r="M1083" t="inlineStr">
        <is>
          <t>Home Health</t>
        </is>
      </c>
      <c r="N1083" t="inlineStr">
        <is>
          <t>Keystone Health Partners</t>
        </is>
      </c>
      <c r="O1083" s="31" t="n">
        <v>14496.87</v>
      </c>
      <c r="P1083" t="inlineStr">
        <is>
          <t>N</t>
        </is>
      </c>
    </row>
    <row r="1084">
      <c r="A1084" t="inlineStr">
        <is>
          <t>ENC115166</t>
        </is>
      </c>
      <c r="B1084" t="inlineStr">
        <is>
          <t>PT13664</t>
        </is>
      </c>
      <c r="C1084" t="inlineStr">
        <is>
          <t>Emergency</t>
        </is>
      </c>
      <c r="D1084" t="inlineStr">
        <is>
          <t>Bluestone Memorial Hospital</t>
        </is>
      </c>
      <c r="E1084" t="inlineStr">
        <is>
          <t>Emergency Department</t>
        </is>
      </c>
      <c r="F1084" t="inlineStr">
        <is>
          <t>Emergency</t>
        </is>
      </c>
      <c r="G1084" s="29" t="n">
        <v>45795</v>
      </c>
      <c r="H1084" s="29" t="n">
        <v>45795</v>
      </c>
      <c r="I1084" s="30" t="n"/>
      <c r="J1084" t="inlineStr">
        <is>
          <t>J06.9</t>
        </is>
      </c>
      <c r="K1084" t="inlineStr">
        <is>
          <t>Acute upper respiratory infection, unspecified</t>
        </is>
      </c>
      <c r="L1084" t="inlineStr">
        <is>
          <t>Respiratory</t>
        </is>
      </c>
      <c r="M1084" t="inlineStr">
        <is>
          <t>Home/Self-Care</t>
        </is>
      </c>
      <c r="N1084" t="inlineStr">
        <is>
          <t>Silverline Medicare Advantage</t>
        </is>
      </c>
      <c r="O1084" s="31" t="n">
        <v>1798.52</v>
      </c>
    </row>
    <row r="1085">
      <c r="A1085" t="inlineStr">
        <is>
          <t>ENC115167</t>
        </is>
      </c>
      <c r="B1085" t="inlineStr">
        <is>
          <t>PT10528</t>
        </is>
      </c>
      <c r="C1085" t="inlineStr">
        <is>
          <t>Observation</t>
        </is>
      </c>
      <c r="D1085" t="inlineStr">
        <is>
          <t>Bluestone Memorial Hospital</t>
        </is>
      </c>
      <c r="E1085" t="inlineStr">
        <is>
          <t>Observation Unit</t>
        </is>
      </c>
      <c r="F1085" t="inlineStr">
        <is>
          <t>Medicine</t>
        </is>
      </c>
      <c r="G1085" s="29" t="n">
        <v>45795</v>
      </c>
      <c r="H1085" s="29" t="n">
        <v>45797</v>
      </c>
      <c r="I1085" s="30" t="n">
        <v>2</v>
      </c>
      <c r="J1085" t="inlineStr">
        <is>
          <t>N39.0</t>
        </is>
      </c>
      <c r="K1085" t="inlineStr">
        <is>
          <t>Urinary tract infection, site not specified</t>
        </is>
      </c>
      <c r="L1085" t="inlineStr">
        <is>
          <t>Genitourinary</t>
        </is>
      </c>
      <c r="M1085" t="inlineStr">
        <is>
          <t>Home Health</t>
        </is>
      </c>
      <c r="N1085" t="inlineStr">
        <is>
          <t>Medicare</t>
        </is>
      </c>
      <c r="O1085" s="31" t="n">
        <v>5579.19</v>
      </c>
    </row>
    <row r="1086">
      <c r="A1086" t="inlineStr">
        <is>
          <t>ENC115173</t>
        </is>
      </c>
      <c r="B1086" t="inlineStr">
        <is>
          <t>PT13060</t>
        </is>
      </c>
      <c r="C1086" t="inlineStr">
        <is>
          <t>Inpatient</t>
        </is>
      </c>
      <c r="D1086" t="inlineStr">
        <is>
          <t>Bluestone Memorial Hospital</t>
        </is>
      </c>
      <c r="E1086" t="inlineStr">
        <is>
          <t>Labor &amp; Delivery</t>
        </is>
      </c>
      <c r="F1086" t="inlineStr">
        <is>
          <t>Women &amp; Children</t>
        </is>
      </c>
      <c r="G1086" s="29" t="n">
        <v>45796</v>
      </c>
      <c r="H1086" s="29" t="n">
        <v>45801</v>
      </c>
      <c r="I1086" s="30" t="n">
        <v>5</v>
      </c>
      <c r="J1086" t="inlineStr">
        <is>
          <t>O80</t>
        </is>
      </c>
      <c r="K1086" t="inlineStr">
        <is>
          <t>Encounter for full-term uncomplicated delivery</t>
        </is>
      </c>
      <c r="L1086" t="inlineStr">
        <is>
          <t>Pregnancy</t>
        </is>
      </c>
      <c r="M1086" t="inlineStr">
        <is>
          <t>Home/Self-Care</t>
        </is>
      </c>
      <c r="N1086" t="inlineStr">
        <is>
          <t>State Medicaid</t>
        </is>
      </c>
      <c r="O1086" s="31" t="n">
        <v>31889.47</v>
      </c>
      <c r="P1086" t="inlineStr">
        <is>
          <t>N</t>
        </is>
      </c>
    </row>
    <row r="1087">
      <c r="A1087" t="inlineStr">
        <is>
          <t>ENC115179</t>
        </is>
      </c>
      <c r="B1087" t="inlineStr">
        <is>
          <t>PT11948</t>
        </is>
      </c>
      <c r="C1087" t="inlineStr">
        <is>
          <t>Outpatient</t>
        </is>
      </c>
      <c r="D1087" t="inlineStr">
        <is>
          <t>Bluestone Outpatient Pavilion</t>
        </is>
      </c>
      <c r="E1087" t="inlineStr">
        <is>
          <t>Primary Care Clinic</t>
        </is>
      </c>
      <c r="F1087" t="inlineStr">
        <is>
          <t>Ambulatory</t>
        </is>
      </c>
      <c r="G1087" s="29" t="n">
        <v>45796</v>
      </c>
      <c r="H1087" s="29" t="n">
        <v>45796</v>
      </c>
      <c r="I1087" s="30" t="n"/>
      <c r="J1087" t="inlineStr">
        <is>
          <t>Z23</t>
        </is>
      </c>
      <c r="K1087" t="inlineStr">
        <is>
          <t>Encounter for immunization</t>
        </is>
      </c>
      <c r="L1087" t="inlineStr">
        <is>
          <t>Factors Influencing Health</t>
        </is>
      </c>
      <c r="M1087" t="inlineStr">
        <is>
          <t>Home/Self-Care</t>
        </is>
      </c>
      <c r="N1087" t="inlineStr">
        <is>
          <t>Medicare</t>
        </is>
      </c>
      <c r="O1087" s="31" t="n">
        <v>122.15</v>
      </c>
    </row>
    <row r="1088">
      <c r="A1088" t="inlineStr">
        <is>
          <t>ENC115181</t>
        </is>
      </c>
      <c r="B1088" t="inlineStr">
        <is>
          <t>PT13160</t>
        </is>
      </c>
      <c r="C1088" t="inlineStr">
        <is>
          <t>Outpatient</t>
        </is>
      </c>
      <c r="D1088" t="inlineStr">
        <is>
          <t>Bluestone Outpatient Pavilion</t>
        </is>
      </c>
      <c r="E1088" t="inlineStr">
        <is>
          <t>Pediatric Clinic</t>
        </is>
      </c>
      <c r="F1088" t="inlineStr">
        <is>
          <t>Women &amp; Children</t>
        </is>
      </c>
      <c r="G1088" s="29" t="n">
        <v>45796</v>
      </c>
      <c r="H1088" s="29" t="n">
        <v>45796</v>
      </c>
      <c r="I1088" s="30" t="n"/>
      <c r="J1088" t="inlineStr">
        <is>
          <t>Z00.129</t>
        </is>
      </c>
      <c r="K1088" t="inlineStr">
        <is>
          <t>Encounter for routine child health examination without abnormal findings</t>
        </is>
      </c>
      <c r="L1088" t="inlineStr">
        <is>
          <t>Factors Influencing Health</t>
        </is>
      </c>
      <c r="M1088" t="inlineStr">
        <is>
          <t>Home/Self-Care</t>
        </is>
      </c>
      <c r="N1088" t="inlineStr">
        <is>
          <t>Evergreen Mutual Insurance</t>
        </is>
      </c>
      <c r="O1088" s="31" t="n">
        <v>229.98</v>
      </c>
    </row>
    <row r="1089">
      <c r="A1089" t="inlineStr">
        <is>
          <t>ENC115184</t>
        </is>
      </c>
      <c r="B1089" t="inlineStr">
        <is>
          <t>PT12600</t>
        </is>
      </c>
      <c r="C1089" t="inlineStr">
        <is>
          <t>Emergency</t>
        </is>
      </c>
      <c r="D1089" t="inlineStr">
        <is>
          <t>Bluestone Memorial Hospital</t>
        </is>
      </c>
      <c r="E1089" t="inlineStr">
        <is>
          <t>Emergency Department</t>
        </is>
      </c>
      <c r="F1089" t="inlineStr">
        <is>
          <t>Emergency</t>
        </is>
      </c>
      <c r="G1089" s="29" t="n">
        <v>45796</v>
      </c>
      <c r="H1089" s="29" t="n">
        <v>45796</v>
      </c>
      <c r="I1089" s="30" t="n"/>
      <c r="J1089" t="inlineStr">
        <is>
          <t>R10.9</t>
        </is>
      </c>
      <c r="K1089" t="inlineStr">
        <is>
          <t>Unspecified abdominal pain</t>
        </is>
      </c>
      <c r="L1089" t="inlineStr">
        <is>
          <t>Symptoms &amp; Signs</t>
        </is>
      </c>
      <c r="M1089" t="inlineStr">
        <is>
          <t>Home/Self-Care</t>
        </is>
      </c>
      <c r="N1089" t="inlineStr">
        <is>
          <t>Silverline Medicare Advantage</t>
        </is>
      </c>
      <c r="O1089" s="31" t="n">
        <v>1115.02</v>
      </c>
    </row>
    <row r="1090">
      <c r="A1090" t="inlineStr">
        <is>
          <t>ENC115188</t>
        </is>
      </c>
      <c r="B1090" t="inlineStr">
        <is>
          <t>PT13652</t>
        </is>
      </c>
      <c r="C1090" t="inlineStr">
        <is>
          <t>Observation</t>
        </is>
      </c>
      <c r="D1090" t="inlineStr">
        <is>
          <t>Cedar Ridge Medical Center</t>
        </is>
      </c>
      <c r="E1090" t="inlineStr">
        <is>
          <t>Medical-Surgical</t>
        </is>
      </c>
      <c r="F1090" t="inlineStr">
        <is>
          <t>Medicine</t>
        </is>
      </c>
      <c r="G1090" s="29" t="n">
        <v>45796</v>
      </c>
      <c r="H1090" s="29" t="n">
        <v>45797</v>
      </c>
      <c r="I1090" s="30" t="n">
        <v>1</v>
      </c>
      <c r="J1090" t="inlineStr">
        <is>
          <t>L03.115</t>
        </is>
      </c>
      <c r="K1090" t="inlineStr">
        <is>
          <t>Cellulitis of right lower limb</t>
        </is>
      </c>
      <c r="L1090" t="inlineStr">
        <is>
          <t>Skin</t>
        </is>
      </c>
      <c r="M1090" t="inlineStr">
        <is>
          <t>Home/Self-Care</t>
        </is>
      </c>
      <c r="N1090" t="inlineStr">
        <is>
          <t>State Medicaid</t>
        </is>
      </c>
      <c r="O1090" s="31" t="n">
        <v>9056.370000000001</v>
      </c>
    </row>
    <row r="1091">
      <c r="A1091" t="inlineStr">
        <is>
          <t>ENC115189</t>
        </is>
      </c>
      <c r="B1091" t="inlineStr">
        <is>
          <t>PT10740</t>
        </is>
      </c>
      <c r="C1091" t="inlineStr">
        <is>
          <t>Outpatient</t>
        </is>
      </c>
      <c r="D1091" t="inlineStr">
        <is>
          <t>Bluestone Outpatient Pavilion</t>
        </is>
      </c>
      <c r="E1091" t="inlineStr">
        <is>
          <t>Cardiology Clinic</t>
        </is>
      </c>
      <c r="F1091" t="inlineStr">
        <is>
          <t>Cardiovascular</t>
        </is>
      </c>
      <c r="G1091" s="29" t="n">
        <v>45796</v>
      </c>
      <c r="H1091" s="29" t="n">
        <v>45796</v>
      </c>
      <c r="I1091" s="30" t="n"/>
      <c r="J1091" t="inlineStr">
        <is>
          <t>I50.9</t>
        </is>
      </c>
      <c r="K1091" t="inlineStr">
        <is>
          <t>Heart failure, unspecified</t>
        </is>
      </c>
      <c r="L1091" t="inlineStr">
        <is>
          <t>Circulatory</t>
        </is>
      </c>
      <c r="M1091" t="inlineStr">
        <is>
          <t>Home/Self-Care</t>
        </is>
      </c>
      <c r="N1091" t="inlineStr">
        <is>
          <t>Keystone Health Partners</t>
        </is>
      </c>
      <c r="O1091" s="31" t="n">
        <v>470.48</v>
      </c>
    </row>
    <row r="1092">
      <c r="A1092" t="inlineStr">
        <is>
          <t>ENC115191</t>
        </is>
      </c>
      <c r="B1092" t="inlineStr">
        <is>
          <t>PT12628</t>
        </is>
      </c>
      <c r="C1092" t="inlineStr">
        <is>
          <t>Inpatient</t>
        </is>
      </c>
      <c r="D1092" t="inlineStr">
        <is>
          <t>Bluestone Memorial Hospital</t>
        </is>
      </c>
      <c r="E1092" t="inlineStr">
        <is>
          <t>Medical-Surgical 4 West</t>
        </is>
      </c>
      <c r="F1092" t="inlineStr">
        <is>
          <t>Medicine</t>
        </is>
      </c>
      <c r="G1092" s="29" t="n">
        <v>45796</v>
      </c>
      <c r="H1092" s="29" t="n">
        <v>45803</v>
      </c>
      <c r="I1092" s="30" t="n">
        <v>7</v>
      </c>
      <c r="J1092" t="inlineStr">
        <is>
          <t>L03.115</t>
        </is>
      </c>
      <c r="K1092" t="inlineStr">
        <is>
          <t>Cellulitis of right lower limb</t>
        </is>
      </c>
      <c r="L1092" t="inlineStr">
        <is>
          <t>Skin</t>
        </is>
      </c>
      <c r="M1092" t="inlineStr">
        <is>
          <t>Home/Self-Care</t>
        </is>
      </c>
      <c r="N1092" t="inlineStr">
        <is>
          <t>Evergreen Mutual Insurance</t>
        </is>
      </c>
      <c r="O1092" s="31" t="n">
        <v>31115.3</v>
      </c>
      <c r="P1092" t="inlineStr">
        <is>
          <t>N</t>
        </is>
      </c>
    </row>
    <row r="1093">
      <c r="A1093" t="inlineStr">
        <is>
          <t>ENC115194</t>
        </is>
      </c>
      <c r="B1093" t="inlineStr">
        <is>
          <t>PT11636</t>
        </is>
      </c>
      <c r="C1093" t="inlineStr">
        <is>
          <t>Inpatient</t>
        </is>
      </c>
      <c r="D1093" t="inlineStr">
        <is>
          <t>Ashby Falls Community Hospital</t>
        </is>
      </c>
      <c r="E1093" t="inlineStr">
        <is>
          <t>Medical-Surgical</t>
        </is>
      </c>
      <c r="F1093" t="inlineStr">
        <is>
          <t>Medicine</t>
        </is>
      </c>
      <c r="G1093" s="29" t="n">
        <v>45796</v>
      </c>
      <c r="H1093" s="29" t="n">
        <v>45798</v>
      </c>
      <c r="I1093" s="30" t="n">
        <v>2</v>
      </c>
      <c r="J1093" t="inlineStr">
        <is>
          <t>E86.0</t>
        </is>
      </c>
      <c r="K1093" t="inlineStr">
        <is>
          <t>Dehydration</t>
        </is>
      </c>
      <c r="L1093" t="inlineStr">
        <is>
          <t>Endocrine</t>
        </is>
      </c>
      <c r="M1093" t="inlineStr">
        <is>
          <t>Home/Self-Care</t>
        </is>
      </c>
      <c r="N1093" t="inlineStr">
        <is>
          <t>Medicare</t>
        </is>
      </c>
      <c r="O1093" s="31" t="n">
        <v>9306.700000000001</v>
      </c>
      <c r="P1093" t="inlineStr">
        <is>
          <t>N</t>
        </is>
      </c>
    </row>
    <row r="1094">
      <c r="A1094" t="inlineStr">
        <is>
          <t>ENC115203</t>
        </is>
      </c>
      <c r="B1094" t="inlineStr">
        <is>
          <t>PT10548</t>
        </is>
      </c>
      <c r="C1094" t="inlineStr">
        <is>
          <t>Emergency</t>
        </is>
      </c>
      <c r="D1094" t="inlineStr">
        <is>
          <t>Bluestone Memorial Hospital</t>
        </is>
      </c>
      <c r="E1094" t="inlineStr">
        <is>
          <t>Emergency Department</t>
        </is>
      </c>
      <c r="F1094" t="inlineStr">
        <is>
          <t>Emergency</t>
        </is>
      </c>
      <c r="G1094" s="29" t="n">
        <v>45796</v>
      </c>
      <c r="H1094" s="29" t="n">
        <v>45796</v>
      </c>
      <c r="I1094" s="30" t="n"/>
      <c r="J1094" t="inlineStr">
        <is>
          <t>R07.9</t>
        </is>
      </c>
      <c r="K1094" t="inlineStr">
        <is>
          <t>Chest pain, unspecified</t>
        </is>
      </c>
      <c r="L1094" t="inlineStr">
        <is>
          <t>Symptoms &amp; Signs</t>
        </is>
      </c>
      <c r="M1094" t="inlineStr">
        <is>
          <t>Home/Self-Care</t>
        </is>
      </c>
      <c r="N1094" t="inlineStr">
        <is>
          <t>Medicare</t>
        </is>
      </c>
      <c r="O1094" s="31" t="n">
        <v>3752.88</v>
      </c>
    </row>
    <row r="1095">
      <c r="A1095" t="inlineStr">
        <is>
          <t>ENC115204</t>
        </is>
      </c>
      <c r="B1095" t="inlineStr">
        <is>
          <t>PT12600</t>
        </is>
      </c>
      <c r="C1095" t="inlineStr">
        <is>
          <t>Inpatient</t>
        </is>
      </c>
      <c r="D1095" t="inlineStr">
        <is>
          <t>Bluestone Memorial Hospital</t>
        </is>
      </c>
      <c r="E1095" t="inlineStr">
        <is>
          <t>Medical-Surgical 5 East</t>
        </is>
      </c>
      <c r="F1095" t="inlineStr">
        <is>
          <t>Medicine</t>
        </is>
      </c>
      <c r="G1095" s="29" t="n">
        <v>45796</v>
      </c>
      <c r="H1095" s="29" t="n">
        <v>45804</v>
      </c>
      <c r="I1095" s="30" t="n">
        <v>8</v>
      </c>
      <c r="J1095" t="inlineStr">
        <is>
          <t>U07.1</t>
        </is>
      </c>
      <c r="K1095" t="inlineStr">
        <is>
          <t>COVID-19</t>
        </is>
      </c>
      <c r="L1095" t="inlineStr">
        <is>
          <t>Respiratory</t>
        </is>
      </c>
      <c r="M1095" t="inlineStr">
        <is>
          <t>Home/Self-Care</t>
        </is>
      </c>
      <c r="N1095" t="inlineStr">
        <is>
          <t>Silverline Medicare Advantage</t>
        </is>
      </c>
      <c r="O1095" s="31" t="n">
        <v>19989.89</v>
      </c>
      <c r="P1095" t="inlineStr">
        <is>
          <t>N</t>
        </is>
      </c>
    </row>
    <row r="1096">
      <c r="A1096" t="inlineStr">
        <is>
          <t>ENC115205</t>
        </is>
      </c>
      <c r="B1096" t="inlineStr">
        <is>
          <t>PT13800</t>
        </is>
      </c>
      <c r="C1096" t="inlineStr">
        <is>
          <t>Inpatient</t>
        </is>
      </c>
      <c r="D1096" t="inlineStr">
        <is>
          <t>Bluestone Memorial Hospital</t>
        </is>
      </c>
      <c r="E1096" t="inlineStr">
        <is>
          <t>Orthopedics &amp; Spine</t>
        </is>
      </c>
      <c r="F1096" t="inlineStr">
        <is>
          <t>Orthopedics</t>
        </is>
      </c>
      <c r="G1096" s="29" t="n">
        <v>45796</v>
      </c>
      <c r="H1096" s="29" t="n">
        <v>45799</v>
      </c>
      <c r="I1096" s="30" t="n">
        <v>3</v>
      </c>
      <c r="J1096" t="inlineStr">
        <is>
          <t>S72.001A</t>
        </is>
      </c>
      <c r="K1096" t="inlineStr">
        <is>
          <t>Fracture of unspecified part of neck of right femur, initial encounter</t>
        </is>
      </c>
      <c r="L1096" t="inlineStr">
        <is>
          <t>Injury</t>
        </is>
      </c>
      <c r="M1096" t="inlineStr">
        <is>
          <t>Home/Self-Care</t>
        </is>
      </c>
      <c r="N1096" t="inlineStr">
        <is>
          <t>Silverline Medicare Advantage</t>
        </is>
      </c>
      <c r="O1096" s="31" t="n">
        <v>65910.86</v>
      </c>
      <c r="P1096" t="inlineStr">
        <is>
          <t>N</t>
        </is>
      </c>
    </row>
    <row r="1097">
      <c r="A1097" t="inlineStr">
        <is>
          <t>ENC115206</t>
        </is>
      </c>
      <c r="B1097" t="inlineStr">
        <is>
          <t>PT11780</t>
        </is>
      </c>
      <c r="C1097" t="inlineStr">
        <is>
          <t>Emergency</t>
        </is>
      </c>
      <c r="D1097" t="inlineStr">
        <is>
          <t>Cedar Ridge Medical Center</t>
        </is>
      </c>
      <c r="E1097" t="inlineStr">
        <is>
          <t>Emergency Department</t>
        </is>
      </c>
      <c r="F1097" t="inlineStr">
        <is>
          <t>Emergency</t>
        </is>
      </c>
      <c r="G1097" s="29" t="n">
        <v>45796</v>
      </c>
      <c r="H1097" s="29" t="n">
        <v>45796</v>
      </c>
      <c r="I1097" s="30" t="n"/>
      <c r="J1097" t="inlineStr">
        <is>
          <t>M54.50</t>
        </is>
      </c>
      <c r="K1097" t="inlineStr">
        <is>
          <t>Low back pain, unspecified</t>
        </is>
      </c>
      <c r="L1097" t="inlineStr">
        <is>
          <t>Musculoskeletal</t>
        </is>
      </c>
      <c r="M1097" t="inlineStr">
        <is>
          <t>Home/Self-Care</t>
        </is>
      </c>
      <c r="N1097" t="inlineStr">
        <is>
          <t>Summit Choice PPO</t>
        </is>
      </c>
      <c r="O1097" s="31" t="n">
        <v>1233.33</v>
      </c>
    </row>
    <row r="1098">
      <c r="A1098" t="inlineStr">
        <is>
          <t>ENC115216</t>
        </is>
      </c>
      <c r="B1098" t="inlineStr">
        <is>
          <t>PT13268</t>
        </is>
      </c>
      <c r="C1098" t="inlineStr">
        <is>
          <t>Outpatient</t>
        </is>
      </c>
      <c r="D1098" t="inlineStr">
        <is>
          <t>Bluestone Outpatient Pavilion</t>
        </is>
      </c>
      <c r="E1098" t="inlineStr">
        <is>
          <t>Primary Care Clinic</t>
        </is>
      </c>
      <c r="F1098" t="inlineStr">
        <is>
          <t>Ambulatory</t>
        </is>
      </c>
      <c r="G1098" s="29" t="n">
        <v>45797</v>
      </c>
      <c r="H1098" s="29" t="n">
        <v>45797</v>
      </c>
      <c r="I1098" s="30" t="n"/>
      <c r="J1098" t="inlineStr">
        <is>
          <t>E78.5</t>
        </is>
      </c>
      <c r="K1098" t="inlineStr">
        <is>
          <t>Hyperlipidemia, unspecified</t>
        </is>
      </c>
      <c r="L1098" t="inlineStr">
        <is>
          <t>Endocrine</t>
        </is>
      </c>
      <c r="M1098" t="inlineStr">
        <is>
          <t>Home/Self-Care</t>
        </is>
      </c>
      <c r="N1098" t="inlineStr">
        <is>
          <t>Keystone Health Partners</t>
        </is>
      </c>
      <c r="O1098" s="31" t="n">
        <v>437.57</v>
      </c>
    </row>
    <row r="1099">
      <c r="A1099" t="inlineStr">
        <is>
          <t>ENC115217</t>
        </is>
      </c>
      <c r="B1099" t="inlineStr">
        <is>
          <t>PT13872</t>
        </is>
      </c>
      <c r="C1099" t="inlineStr">
        <is>
          <t>Outpatient</t>
        </is>
      </c>
      <c r="D1099" t="inlineStr">
        <is>
          <t>Bluestone Outpatient Pavilion</t>
        </is>
      </c>
      <c r="E1099" t="inlineStr">
        <is>
          <t>Infusion &amp; Oncology Clinic</t>
        </is>
      </c>
      <c r="F1099" t="inlineStr">
        <is>
          <t>Oncology</t>
        </is>
      </c>
      <c r="G1099" s="29" t="n">
        <v>45797</v>
      </c>
      <c r="H1099" s="29" t="n">
        <v>45797</v>
      </c>
      <c r="I1099" s="30" t="n"/>
      <c r="J1099" t="inlineStr">
        <is>
          <t>Z51.11</t>
        </is>
      </c>
      <c r="K1099" t="inlineStr">
        <is>
          <t>Encounter for antineoplastic chemotherapy</t>
        </is>
      </c>
      <c r="L1099" t="inlineStr">
        <is>
          <t>Factors Influencing Health</t>
        </is>
      </c>
      <c r="M1099" t="inlineStr">
        <is>
          <t>Home/Self-Care</t>
        </is>
      </c>
      <c r="N1099" t="inlineStr">
        <is>
          <t>Silverline Medicare Advantage</t>
        </is>
      </c>
      <c r="O1099" s="31" t="n">
        <v>14219.13</v>
      </c>
    </row>
    <row r="1100">
      <c r="A1100" t="inlineStr">
        <is>
          <t>ENC115219</t>
        </is>
      </c>
      <c r="B1100" t="inlineStr">
        <is>
          <t>PT12816</t>
        </is>
      </c>
      <c r="C1100" t="inlineStr">
        <is>
          <t>Outpatient</t>
        </is>
      </c>
      <c r="D1100" t="inlineStr">
        <is>
          <t>Bluestone Outpatient Pavilion</t>
        </is>
      </c>
      <c r="E1100" t="inlineStr">
        <is>
          <t>Primary Care Clinic</t>
        </is>
      </c>
      <c r="F1100" t="inlineStr">
        <is>
          <t>Ambulatory</t>
        </is>
      </c>
      <c r="G1100" s="29" t="n">
        <v>45797</v>
      </c>
      <c r="H1100" s="29" t="n">
        <v>45797</v>
      </c>
      <c r="I1100" s="30" t="n"/>
      <c r="J1100" t="inlineStr">
        <is>
          <t>F41.9</t>
        </is>
      </c>
      <c r="K1100" t="inlineStr">
        <is>
          <t>Anxiety disorder, unspecified</t>
        </is>
      </c>
      <c r="L1100" t="inlineStr">
        <is>
          <t>Mental &amp; Behavioral</t>
        </is>
      </c>
      <c r="M1100" t="inlineStr">
        <is>
          <t>Home/Self-Care</t>
        </is>
      </c>
      <c r="N1100" t="inlineStr">
        <is>
          <t>State Medicaid</t>
        </is>
      </c>
      <c r="O1100" s="31" t="n">
        <v>422.01</v>
      </c>
    </row>
    <row r="1101">
      <c r="A1101" t="inlineStr">
        <is>
          <t>ENC115222</t>
        </is>
      </c>
      <c r="B1101" t="inlineStr">
        <is>
          <t>PT11084</t>
        </is>
      </c>
      <c r="C1101" t="inlineStr">
        <is>
          <t>Inpatient</t>
        </is>
      </c>
      <c r="D1101" t="inlineStr">
        <is>
          <t>Bluestone Memorial Hospital</t>
        </is>
      </c>
      <c r="E1101" t="inlineStr">
        <is>
          <t>Behavioral Health</t>
        </is>
      </c>
      <c r="F1101" t="inlineStr">
        <is>
          <t>Behavioral Health</t>
        </is>
      </c>
      <c r="G1101" s="29" t="n">
        <v>45797</v>
      </c>
      <c r="H1101" s="29" t="n">
        <v>45801</v>
      </c>
      <c r="I1101" s="30" t="n">
        <v>4</v>
      </c>
      <c r="J1101" t="inlineStr">
        <is>
          <t>F32.9</t>
        </is>
      </c>
      <c r="K1101" t="inlineStr">
        <is>
          <t>Major depressive disorder, single episode, unspecified</t>
        </is>
      </c>
      <c r="L1101" t="inlineStr">
        <is>
          <t>Mental &amp; Behavioral</t>
        </is>
      </c>
      <c r="M1101" t="inlineStr">
        <is>
          <t>Home/Self-Care</t>
        </is>
      </c>
      <c r="N1101" t="inlineStr">
        <is>
          <t>Silverline Medicare Advantage</t>
        </is>
      </c>
      <c r="O1101" s="31" t="n">
        <v>12645.44</v>
      </c>
      <c r="P1101" t="inlineStr">
        <is>
          <t>N</t>
        </is>
      </c>
    </row>
    <row r="1102">
      <c r="A1102" t="inlineStr">
        <is>
          <t>ENC115229</t>
        </is>
      </c>
      <c r="B1102" t="inlineStr">
        <is>
          <t>PT11832</t>
        </is>
      </c>
      <c r="C1102" t="inlineStr">
        <is>
          <t>Outpatient</t>
        </is>
      </c>
      <c r="D1102" t="inlineStr">
        <is>
          <t>Bluestone Outpatient Pavilion</t>
        </is>
      </c>
      <c r="E1102" t="inlineStr">
        <is>
          <t>Primary Care Clinic</t>
        </is>
      </c>
      <c r="F1102" t="inlineStr">
        <is>
          <t>Ambulatory</t>
        </is>
      </c>
      <c r="G1102" s="29" t="n">
        <v>45797</v>
      </c>
      <c r="H1102" s="29" t="n">
        <v>45797</v>
      </c>
      <c r="I1102" s="30" t="n"/>
      <c r="J1102" t="inlineStr">
        <is>
          <t>E78.5</t>
        </is>
      </c>
      <c r="K1102" t="inlineStr">
        <is>
          <t>Hyperlipidemia, unspecified</t>
        </is>
      </c>
      <c r="L1102" t="inlineStr">
        <is>
          <t>Endocrine</t>
        </is>
      </c>
      <c r="M1102" t="inlineStr">
        <is>
          <t>Home/Self-Care</t>
        </is>
      </c>
      <c r="N1102" t="inlineStr">
        <is>
          <t>State Medicaid</t>
        </is>
      </c>
      <c r="O1102" s="31" t="n">
        <v>250.94</v>
      </c>
    </row>
    <row r="1103">
      <c r="A1103" t="inlineStr">
        <is>
          <t>ENC115230</t>
        </is>
      </c>
      <c r="B1103" t="inlineStr">
        <is>
          <t>PT13120</t>
        </is>
      </c>
      <c r="C1103" t="inlineStr">
        <is>
          <t>Emergency</t>
        </is>
      </c>
      <c r="D1103" t="inlineStr">
        <is>
          <t>Bluestone Memorial Hospital</t>
        </is>
      </c>
      <c r="E1103" t="inlineStr">
        <is>
          <t>Emergency Department</t>
        </is>
      </c>
      <c r="F1103" t="inlineStr">
        <is>
          <t>Emergency</t>
        </is>
      </c>
      <c r="G1103" s="29" t="n">
        <v>45797</v>
      </c>
      <c r="H1103" s="29" t="n">
        <v>45797</v>
      </c>
      <c r="I1103" s="30" t="n"/>
      <c r="J1103" t="inlineStr">
        <is>
          <t>S06.0X0A</t>
        </is>
      </c>
      <c r="K1103" t="inlineStr">
        <is>
          <t>Concussion without loss of consciousness, initial encounter</t>
        </is>
      </c>
      <c r="L1103" t="inlineStr">
        <is>
          <t>Injury</t>
        </is>
      </c>
      <c r="M1103" t="inlineStr">
        <is>
          <t>Home/Self-Care</t>
        </is>
      </c>
      <c r="N1103" t="inlineStr">
        <is>
          <t>Medicare</t>
        </is>
      </c>
      <c r="O1103" s="31" t="n">
        <v>2724.33</v>
      </c>
    </row>
    <row r="1104">
      <c r="A1104" t="inlineStr">
        <is>
          <t>ENC115234</t>
        </is>
      </c>
      <c r="B1104" t="inlineStr">
        <is>
          <t>PT10772</t>
        </is>
      </c>
      <c r="C1104" t="inlineStr">
        <is>
          <t>Emergency</t>
        </is>
      </c>
      <c r="D1104" t="inlineStr">
        <is>
          <t>Bluestone Memorial Hospital</t>
        </is>
      </c>
      <c r="E1104" t="inlineStr">
        <is>
          <t>Emergency Department</t>
        </is>
      </c>
      <c r="F1104" t="inlineStr">
        <is>
          <t>Emergency</t>
        </is>
      </c>
      <c r="G1104" s="29" t="n">
        <v>45797</v>
      </c>
      <c r="H1104" s="29" t="n">
        <v>45797</v>
      </c>
      <c r="I1104" s="30" t="n"/>
      <c r="J1104" t="inlineStr">
        <is>
          <t>E86.0</t>
        </is>
      </c>
      <c r="K1104" t="inlineStr">
        <is>
          <t>Dehydration</t>
        </is>
      </c>
      <c r="L1104" t="inlineStr">
        <is>
          <t>Endocrine</t>
        </is>
      </c>
      <c r="M1104" t="inlineStr">
        <is>
          <t>Home/Self-Care</t>
        </is>
      </c>
      <c r="N1104" t="inlineStr">
        <is>
          <t>Silverline Medicare Advantage</t>
        </is>
      </c>
      <c r="O1104" s="31" t="n">
        <v>1806.6</v>
      </c>
    </row>
    <row r="1105">
      <c r="A1105" t="inlineStr">
        <is>
          <t>ENC115235</t>
        </is>
      </c>
      <c r="B1105" t="inlineStr">
        <is>
          <t>PT11496</t>
        </is>
      </c>
      <c r="C1105" t="inlineStr">
        <is>
          <t>Emergency</t>
        </is>
      </c>
      <c r="D1105" t="inlineStr">
        <is>
          <t>Cedar Ridge Medical Center</t>
        </is>
      </c>
      <c r="E1105" t="inlineStr">
        <is>
          <t>Emergency Department</t>
        </is>
      </c>
      <c r="F1105" t="inlineStr">
        <is>
          <t>Emergency</t>
        </is>
      </c>
      <c r="G1105" s="29" t="n">
        <v>45797</v>
      </c>
      <c r="H1105" s="29" t="n">
        <v>45797</v>
      </c>
      <c r="I1105" s="30" t="n"/>
      <c r="J1105" t="inlineStr">
        <is>
          <t>S06.0X0A</t>
        </is>
      </c>
      <c r="K1105" t="inlineStr">
        <is>
          <t>Concussion without loss of consciousness, initial encounter</t>
        </is>
      </c>
      <c r="L1105" t="inlineStr">
        <is>
          <t>Injury</t>
        </is>
      </c>
      <c r="M1105" t="inlineStr">
        <is>
          <t>Home/Self-Care</t>
        </is>
      </c>
      <c r="N1105" t="inlineStr">
        <is>
          <t>Medicare</t>
        </is>
      </c>
      <c r="O1105" s="31" t="n">
        <v>1397.77</v>
      </c>
    </row>
    <row r="1106">
      <c r="A1106" t="inlineStr">
        <is>
          <t>ENC115242</t>
        </is>
      </c>
      <c r="B1106" t="inlineStr">
        <is>
          <t>PT10528</t>
        </is>
      </c>
      <c r="C1106" t="inlineStr">
        <is>
          <t>Outpatient</t>
        </is>
      </c>
      <c r="D1106" t="inlineStr">
        <is>
          <t>Bluestone Outpatient Pavilion</t>
        </is>
      </c>
      <c r="E1106" t="inlineStr">
        <is>
          <t>Endocrinology &amp; Diabetes Clinic</t>
        </is>
      </c>
      <c r="F1106" t="inlineStr">
        <is>
          <t>Ambulatory</t>
        </is>
      </c>
      <c r="G1106" s="29" t="n">
        <v>45797</v>
      </c>
      <c r="H1106" s="29" t="n">
        <v>45797</v>
      </c>
      <c r="I1106" s="30" t="n"/>
      <c r="J1106" t="inlineStr">
        <is>
          <t>E11.9</t>
        </is>
      </c>
      <c r="K1106" t="inlineStr">
        <is>
          <t>Type 2 diabetes mellitus without complications</t>
        </is>
      </c>
      <c r="L1106" t="inlineStr">
        <is>
          <t>Endocrine</t>
        </is>
      </c>
      <c r="M1106" t="inlineStr">
        <is>
          <t>Home/Self-Care</t>
        </is>
      </c>
      <c r="N1106" t="inlineStr">
        <is>
          <t>Medicare</t>
        </is>
      </c>
      <c r="O1106" s="31" t="n">
        <v>200.12</v>
      </c>
    </row>
    <row r="1107">
      <c r="A1107" t="inlineStr">
        <is>
          <t>ENC115245</t>
        </is>
      </c>
      <c r="B1107" t="inlineStr">
        <is>
          <t>PT13324</t>
        </is>
      </c>
      <c r="C1107" t="inlineStr">
        <is>
          <t>Observation</t>
        </is>
      </c>
      <c r="D1107" t="inlineStr">
        <is>
          <t>Cedar Ridge Medical Center</t>
        </is>
      </c>
      <c r="E1107" t="inlineStr">
        <is>
          <t>Medical-Surgical</t>
        </is>
      </c>
      <c r="F1107" t="inlineStr">
        <is>
          <t>Medicine</t>
        </is>
      </c>
      <c r="G1107" s="29" t="n">
        <v>45797</v>
      </c>
      <c r="H1107" s="29" t="n">
        <v>45798</v>
      </c>
      <c r="I1107" s="30" t="n">
        <v>1</v>
      </c>
      <c r="J1107" t="inlineStr">
        <is>
          <t>M54.50</t>
        </is>
      </c>
      <c r="K1107" t="inlineStr">
        <is>
          <t>Low back pain, unspecified</t>
        </is>
      </c>
      <c r="L1107" t="inlineStr">
        <is>
          <t>Musculoskeletal</t>
        </is>
      </c>
      <c r="M1107" t="inlineStr">
        <is>
          <t>Home/Self-Care</t>
        </is>
      </c>
      <c r="N1107" t="inlineStr">
        <is>
          <t>Evergreen Mutual Insurance</t>
        </is>
      </c>
      <c r="O1107" s="31" t="n">
        <v>8019.71</v>
      </c>
    </row>
    <row r="1108">
      <c r="A1108" t="inlineStr">
        <is>
          <t>ENC115246</t>
        </is>
      </c>
      <c r="B1108" t="inlineStr">
        <is>
          <t>PT11096</t>
        </is>
      </c>
      <c r="C1108" t="inlineStr">
        <is>
          <t>Emergency</t>
        </is>
      </c>
      <c r="D1108" t="inlineStr">
        <is>
          <t>Bluestone Memorial Hospital</t>
        </is>
      </c>
      <c r="E1108" t="inlineStr">
        <is>
          <t>Emergency Department</t>
        </is>
      </c>
      <c r="F1108" t="inlineStr">
        <is>
          <t>Emergency</t>
        </is>
      </c>
      <c r="G1108" s="29" t="n">
        <v>45797</v>
      </c>
      <c r="H1108" s="29" t="n">
        <v>45797</v>
      </c>
      <c r="I1108" s="30" t="n"/>
      <c r="J1108" t="inlineStr">
        <is>
          <t>R55</t>
        </is>
      </c>
      <c r="K1108" t="inlineStr">
        <is>
          <t>Syncope and collapse</t>
        </is>
      </c>
      <c r="L1108" t="inlineStr">
        <is>
          <t>Symptoms &amp; Signs</t>
        </is>
      </c>
      <c r="M1108" t="inlineStr">
        <is>
          <t>Home/Self-Care</t>
        </is>
      </c>
      <c r="N1108" t="inlineStr">
        <is>
          <t>Medicare</t>
        </is>
      </c>
      <c r="O1108" s="31" t="n">
        <v>1261.79</v>
      </c>
    </row>
    <row r="1109">
      <c r="A1109" t="inlineStr">
        <is>
          <t>ENC115251</t>
        </is>
      </c>
      <c r="B1109" t="inlineStr">
        <is>
          <t>PT12420</t>
        </is>
      </c>
      <c r="C1109" t="inlineStr">
        <is>
          <t>Inpatient</t>
        </is>
      </c>
      <c r="D1109" t="inlineStr">
        <is>
          <t>Cedar Ridge Medical Center</t>
        </is>
      </c>
      <c r="E1109" t="inlineStr">
        <is>
          <t>Medical-Surgical</t>
        </is>
      </c>
      <c r="F1109" t="inlineStr">
        <is>
          <t>Medicine</t>
        </is>
      </c>
      <c r="G1109" s="29" t="n">
        <v>45798</v>
      </c>
      <c r="H1109" s="29" t="n">
        <v>45800</v>
      </c>
      <c r="I1109" s="30" t="n">
        <v>2</v>
      </c>
      <c r="J1109" t="inlineStr">
        <is>
          <t>E11.65</t>
        </is>
      </c>
      <c r="K1109" t="inlineStr">
        <is>
          <t>Type 2 diabetes mellitus with hyperglycemia</t>
        </is>
      </c>
      <c r="L1109" t="inlineStr">
        <is>
          <t>Endocrine</t>
        </is>
      </c>
      <c r="M1109" t="inlineStr">
        <is>
          <t>Home/Self-Care</t>
        </is>
      </c>
      <c r="N1109" t="inlineStr">
        <is>
          <t>Evergreen Mutual Insurance</t>
        </is>
      </c>
      <c r="O1109" s="31" t="n">
        <v>14965.47</v>
      </c>
      <c r="P1109" t="inlineStr">
        <is>
          <t>N</t>
        </is>
      </c>
    </row>
    <row r="1110">
      <c r="A1110" t="inlineStr">
        <is>
          <t>ENC115269</t>
        </is>
      </c>
      <c r="B1110" t="inlineStr">
        <is>
          <t>PT10668</t>
        </is>
      </c>
      <c r="C1110" t="inlineStr">
        <is>
          <t>Outpatient</t>
        </is>
      </c>
      <c r="D1110" t="inlineStr">
        <is>
          <t>Bluestone Outpatient Pavilion</t>
        </is>
      </c>
      <c r="E1110" t="inlineStr">
        <is>
          <t>Primary Care Clinic</t>
        </is>
      </c>
      <c r="F1110" t="inlineStr">
        <is>
          <t>Ambulatory</t>
        </is>
      </c>
      <c r="G1110" s="29" t="n">
        <v>45798</v>
      </c>
      <c r="H1110" s="29" t="n">
        <v>45798</v>
      </c>
      <c r="I1110" s="30" t="n"/>
      <c r="J1110" t="inlineStr">
        <is>
          <t>M54.50</t>
        </is>
      </c>
      <c r="K1110" t="inlineStr">
        <is>
          <t>Low back pain, unspecified</t>
        </is>
      </c>
      <c r="L1110" t="inlineStr">
        <is>
          <t>Musculoskeletal</t>
        </is>
      </c>
      <c r="M1110" t="inlineStr">
        <is>
          <t>Home/Self-Care</t>
        </is>
      </c>
      <c r="N1110" t="inlineStr">
        <is>
          <t>Silverline Medicare Advantage</t>
        </is>
      </c>
      <c r="O1110" s="31" t="n">
        <v>334.47</v>
      </c>
    </row>
    <row r="1111">
      <c r="A1111" t="inlineStr">
        <is>
          <t>ENC115271</t>
        </is>
      </c>
      <c r="B1111" t="inlineStr">
        <is>
          <t>PT11880</t>
        </is>
      </c>
      <c r="C1111" t="inlineStr">
        <is>
          <t>Inpatient</t>
        </is>
      </c>
      <c r="D1111" t="inlineStr">
        <is>
          <t>Bluestone Memorial Hospital</t>
        </is>
      </c>
      <c r="E1111" t="inlineStr">
        <is>
          <t>Orthopedics &amp; Spine</t>
        </is>
      </c>
      <c r="F1111" t="inlineStr">
        <is>
          <t>Orthopedics</t>
        </is>
      </c>
      <c r="G1111" s="29" t="n">
        <v>45798</v>
      </c>
      <c r="H1111" s="29" t="n">
        <v>45804</v>
      </c>
      <c r="I1111" s="30" t="n">
        <v>6</v>
      </c>
      <c r="J1111" t="inlineStr">
        <is>
          <t>S72.001A</t>
        </is>
      </c>
      <c r="K1111" t="inlineStr">
        <is>
          <t>Fracture of unspecified part of neck of right femur, initial encounter</t>
        </is>
      </c>
      <c r="L1111" t="inlineStr">
        <is>
          <t>Injury</t>
        </is>
      </c>
      <c r="M1111" t="inlineStr">
        <is>
          <t>Home Health</t>
        </is>
      </c>
      <c r="N1111" t="inlineStr">
        <is>
          <t>Medicare</t>
        </is>
      </c>
      <c r="O1111" s="31" t="n">
        <v>52715.75</v>
      </c>
      <c r="P1111" t="inlineStr">
        <is>
          <t>Y</t>
        </is>
      </c>
    </row>
    <row r="1112">
      <c r="A1112" t="inlineStr">
        <is>
          <t>ENC115273</t>
        </is>
      </c>
      <c r="B1112" t="inlineStr">
        <is>
          <t>PT10392</t>
        </is>
      </c>
      <c r="C1112" t="inlineStr">
        <is>
          <t>Inpatient</t>
        </is>
      </c>
      <c r="D1112" t="inlineStr">
        <is>
          <t>Bluestone Memorial Hospital</t>
        </is>
      </c>
      <c r="E1112" t="inlineStr">
        <is>
          <t>Labor &amp; Delivery</t>
        </is>
      </c>
      <c r="F1112" t="inlineStr">
        <is>
          <t>Women &amp; Children</t>
        </is>
      </c>
      <c r="G1112" s="29" t="n">
        <v>45798</v>
      </c>
      <c r="H1112" s="29" t="n">
        <v>45801</v>
      </c>
      <c r="I1112" s="30" t="n">
        <v>3</v>
      </c>
      <c r="J1112" t="inlineStr">
        <is>
          <t>O80</t>
        </is>
      </c>
      <c r="K1112" t="inlineStr">
        <is>
          <t>Encounter for full-term uncomplicated delivery</t>
        </is>
      </c>
      <c r="L1112" t="inlineStr">
        <is>
          <t>Pregnancy</t>
        </is>
      </c>
      <c r="M1112" t="inlineStr">
        <is>
          <t>Home/Self-Care</t>
        </is>
      </c>
      <c r="N1112" t="inlineStr">
        <is>
          <t>State Medicaid</t>
        </is>
      </c>
      <c r="O1112" s="31" t="n">
        <v>23090.03</v>
      </c>
      <c r="P1112" t="inlineStr">
        <is>
          <t>N</t>
        </is>
      </c>
    </row>
    <row r="1113">
      <c r="A1113" t="inlineStr">
        <is>
          <t>ENC115280</t>
        </is>
      </c>
      <c r="B1113" t="inlineStr">
        <is>
          <t>PT11792</t>
        </is>
      </c>
      <c r="C1113" t="inlineStr">
        <is>
          <t>Outpatient</t>
        </is>
      </c>
      <c r="D1113" t="inlineStr">
        <is>
          <t>Bluestone Outpatient Pavilion</t>
        </is>
      </c>
      <c r="E1113" t="inlineStr">
        <is>
          <t>Primary Care Clinic</t>
        </is>
      </c>
      <c r="F1113" t="inlineStr">
        <is>
          <t>Ambulatory</t>
        </is>
      </c>
      <c r="G1113" s="29" t="n">
        <v>45799</v>
      </c>
      <c r="H1113" s="29" t="n">
        <v>45799</v>
      </c>
      <c r="I1113" s="30" t="n"/>
      <c r="J1113" t="inlineStr">
        <is>
          <t>Z00.00</t>
        </is>
      </c>
      <c r="K1113" t="inlineStr">
        <is>
          <t>Encounter for general adult medical examination without abnormal findings</t>
        </is>
      </c>
      <c r="L1113" t="inlineStr">
        <is>
          <t>Factors Influencing Health</t>
        </is>
      </c>
      <c r="M1113" t="inlineStr">
        <is>
          <t>Home/Self-Care</t>
        </is>
      </c>
      <c r="N1113" t="inlineStr">
        <is>
          <t>Silverline Medicare Advantage</t>
        </is>
      </c>
      <c r="O1113" s="31" t="n">
        <v>215.08</v>
      </c>
    </row>
    <row r="1114">
      <c r="A1114" t="inlineStr">
        <is>
          <t>ENC115298</t>
        </is>
      </c>
      <c r="B1114" t="inlineStr">
        <is>
          <t>PT12124</t>
        </is>
      </c>
      <c r="C1114" t="inlineStr">
        <is>
          <t>Outpatient</t>
        </is>
      </c>
      <c r="D1114" t="inlineStr">
        <is>
          <t>Bluestone Outpatient Pavilion</t>
        </is>
      </c>
      <c r="E1114" t="inlineStr">
        <is>
          <t>Infusion &amp; Oncology Clinic</t>
        </is>
      </c>
      <c r="F1114" t="inlineStr">
        <is>
          <t>Oncology</t>
        </is>
      </c>
      <c r="G1114" s="29" t="n">
        <v>45799</v>
      </c>
      <c r="H1114" s="29" t="n">
        <v>45799</v>
      </c>
      <c r="I1114" s="30" t="n"/>
      <c r="J1114" t="inlineStr">
        <is>
          <t>C34.90</t>
        </is>
      </c>
      <c r="K1114" t="inlineStr">
        <is>
          <t>Malignant neoplasm of unspecified part of unspecified bronchus or lung</t>
        </is>
      </c>
      <c r="L1114" t="inlineStr">
        <is>
          <t>Neoplasms</t>
        </is>
      </c>
      <c r="M1114" t="inlineStr">
        <is>
          <t>Home/Self-Care</t>
        </is>
      </c>
      <c r="N1114" t="inlineStr">
        <is>
          <t>Keystone Health Partners</t>
        </is>
      </c>
      <c r="O1114" s="31" t="n">
        <v>379.07</v>
      </c>
    </row>
    <row r="1115">
      <c r="A1115" t="inlineStr">
        <is>
          <t>ENC115305</t>
        </is>
      </c>
      <c r="B1115" t="inlineStr">
        <is>
          <t>PT11696</t>
        </is>
      </c>
      <c r="C1115" t="inlineStr">
        <is>
          <t>Inpatient</t>
        </is>
      </c>
      <c r="D1115" t="inlineStr">
        <is>
          <t>Bluestone Memorial Hospital</t>
        </is>
      </c>
      <c r="E1115" t="inlineStr">
        <is>
          <t>Medical-Surgical 4 West</t>
        </is>
      </c>
      <c r="F1115" t="inlineStr">
        <is>
          <t>Medicine</t>
        </is>
      </c>
      <c r="G1115" s="29" t="n">
        <v>45800</v>
      </c>
      <c r="H1115" s="29" t="n">
        <v>45806</v>
      </c>
      <c r="I1115" s="30" t="n">
        <v>6</v>
      </c>
      <c r="J1115" t="inlineStr">
        <is>
          <t>E87.1</t>
        </is>
      </c>
      <c r="K1115" t="inlineStr">
        <is>
          <t>Hypo-osmolality and hyponatremia</t>
        </is>
      </c>
      <c r="L1115" t="inlineStr">
        <is>
          <t>Endocrine</t>
        </is>
      </c>
      <c r="M1115" t="inlineStr">
        <is>
          <t>Home/Self-Care</t>
        </is>
      </c>
      <c r="N1115" t="inlineStr">
        <is>
          <t>Medicare</t>
        </is>
      </c>
      <c r="O1115" s="31" t="n">
        <v>32111.85</v>
      </c>
      <c r="P1115" t="inlineStr">
        <is>
          <t>N</t>
        </is>
      </c>
    </row>
    <row r="1116">
      <c r="A1116" t="inlineStr">
        <is>
          <t>ENC115307</t>
        </is>
      </c>
      <c r="B1116" t="inlineStr">
        <is>
          <t>PT11320</t>
        </is>
      </c>
      <c r="C1116" t="inlineStr">
        <is>
          <t>Inpatient</t>
        </is>
      </c>
      <c r="D1116" t="inlineStr">
        <is>
          <t>Bluestone Memorial Hospital</t>
        </is>
      </c>
      <c r="E1116" t="inlineStr">
        <is>
          <t>Medical-Surgical 4 West</t>
        </is>
      </c>
      <c r="F1116" t="inlineStr">
        <is>
          <t>Medicine</t>
        </is>
      </c>
      <c r="G1116" s="29" t="n">
        <v>45800</v>
      </c>
      <c r="H1116" s="29" t="n">
        <v>45805</v>
      </c>
      <c r="I1116" s="30" t="n">
        <v>5</v>
      </c>
      <c r="J1116" t="inlineStr">
        <is>
          <t>F10.239</t>
        </is>
      </c>
      <c r="K1116" t="inlineStr">
        <is>
          <t>Alcohol dependence with withdrawal, unspecified</t>
        </is>
      </c>
      <c r="L1116" t="inlineStr">
        <is>
          <t>Mental &amp; Behavioral</t>
        </is>
      </c>
      <c r="M1116" t="inlineStr">
        <is>
          <t>Transfer to Another Hospital</t>
        </is>
      </c>
      <c r="N1116" t="inlineStr">
        <is>
          <t>Medicare</t>
        </is>
      </c>
      <c r="O1116" s="31" t="n">
        <v>16605.55</v>
      </c>
      <c r="P1116" t="inlineStr">
        <is>
          <t>N</t>
        </is>
      </c>
    </row>
    <row r="1117">
      <c r="A1117" t="inlineStr">
        <is>
          <t>ENC115316</t>
        </is>
      </c>
      <c r="B1117" t="inlineStr">
        <is>
          <t>PT11188</t>
        </is>
      </c>
      <c r="C1117" t="inlineStr">
        <is>
          <t>Emergency</t>
        </is>
      </c>
      <c r="D1117" t="inlineStr">
        <is>
          <t>Cedar Ridge Medical Center</t>
        </is>
      </c>
      <c r="E1117" t="inlineStr">
        <is>
          <t>Emergency Department</t>
        </is>
      </c>
      <c r="F1117" t="inlineStr">
        <is>
          <t>Emergency</t>
        </is>
      </c>
      <c r="G1117" s="29" t="n">
        <v>45800</v>
      </c>
      <c r="H1117" s="29" t="n">
        <v>45800</v>
      </c>
      <c r="I1117" s="30" t="n"/>
      <c r="J1117" t="inlineStr">
        <is>
          <t>R55</t>
        </is>
      </c>
      <c r="K1117" t="inlineStr">
        <is>
          <t>Syncope and collapse</t>
        </is>
      </c>
      <c r="L1117" t="inlineStr">
        <is>
          <t>Symptoms &amp; Signs</t>
        </is>
      </c>
      <c r="M1117" t="inlineStr">
        <is>
          <t>Home/Self-Care</t>
        </is>
      </c>
      <c r="N1117" t="inlineStr">
        <is>
          <t>Medicare</t>
        </is>
      </c>
      <c r="O1117" s="31" t="n">
        <v>3418.06</v>
      </c>
    </row>
    <row r="1118">
      <c r="A1118" t="inlineStr">
        <is>
          <t>ENC115324</t>
        </is>
      </c>
      <c r="B1118" t="inlineStr">
        <is>
          <t>PT13540</t>
        </is>
      </c>
      <c r="C1118" t="inlineStr">
        <is>
          <t>Inpatient</t>
        </is>
      </c>
      <c r="D1118" t="inlineStr">
        <is>
          <t>Bluestone Memorial Hospital</t>
        </is>
      </c>
      <c r="E1118" t="inlineStr">
        <is>
          <t>Medical-Surgical 5 East</t>
        </is>
      </c>
      <c r="F1118" t="inlineStr">
        <is>
          <t>Medicine</t>
        </is>
      </c>
      <c r="G1118" s="29" t="n">
        <v>45800</v>
      </c>
      <c r="H1118" s="29" t="n">
        <v>45802</v>
      </c>
      <c r="I1118" s="30" t="n">
        <v>2</v>
      </c>
      <c r="J1118" t="inlineStr">
        <is>
          <t>J44.1</t>
        </is>
      </c>
      <c r="K1118" t="inlineStr">
        <is>
          <t>Chronic obstructive pulmonary disease with (acute) exacerbation</t>
        </is>
      </c>
      <c r="L1118" t="inlineStr">
        <is>
          <t>Respiratory</t>
        </is>
      </c>
      <c r="M1118" t="inlineStr">
        <is>
          <t>Home/Self-Care</t>
        </is>
      </c>
      <c r="N1118" t="inlineStr">
        <is>
          <t>Silverline Medicare Advantage</t>
        </is>
      </c>
      <c r="O1118" s="31" t="n">
        <v>7873.32</v>
      </c>
      <c r="P1118" t="inlineStr">
        <is>
          <t>N</t>
        </is>
      </c>
    </row>
    <row r="1119">
      <c r="A1119" t="inlineStr">
        <is>
          <t>ENC115325</t>
        </is>
      </c>
      <c r="B1119" t="inlineStr">
        <is>
          <t>PT10180</t>
        </is>
      </c>
      <c r="C1119" t="inlineStr">
        <is>
          <t>Outpatient</t>
        </is>
      </c>
      <c r="D1119" t="inlineStr">
        <is>
          <t>Bluestone Outpatient Pavilion</t>
        </is>
      </c>
      <c r="E1119" t="inlineStr">
        <is>
          <t>Primary Care Clinic</t>
        </is>
      </c>
      <c r="F1119" t="inlineStr">
        <is>
          <t>Ambulatory</t>
        </is>
      </c>
      <c r="G1119" s="29" t="n">
        <v>45800</v>
      </c>
      <c r="H1119" s="29" t="n">
        <v>45800</v>
      </c>
      <c r="I1119" s="30" t="n"/>
      <c r="J1119" t="inlineStr">
        <is>
          <t>I10</t>
        </is>
      </c>
      <c r="K1119" t="inlineStr">
        <is>
          <t>Essential (primary) hypertension</t>
        </is>
      </c>
      <c r="L1119" t="inlineStr">
        <is>
          <t>Circulatory</t>
        </is>
      </c>
      <c r="M1119" t="inlineStr">
        <is>
          <t>Home/Self-Care</t>
        </is>
      </c>
      <c r="N1119" t="inlineStr">
        <is>
          <t>Silverline Medicare Advantage</t>
        </is>
      </c>
      <c r="O1119" s="31" t="n">
        <v>455.19</v>
      </c>
    </row>
    <row r="1120">
      <c r="A1120" t="inlineStr">
        <is>
          <t>ENC115337</t>
        </is>
      </c>
      <c r="B1120" t="inlineStr">
        <is>
          <t>PT10988</t>
        </is>
      </c>
      <c r="C1120" t="inlineStr">
        <is>
          <t>Emergency</t>
        </is>
      </c>
      <c r="D1120" t="inlineStr">
        <is>
          <t>Bluestone Memorial Hospital</t>
        </is>
      </c>
      <c r="E1120" t="inlineStr">
        <is>
          <t>Emergency Department</t>
        </is>
      </c>
      <c r="F1120" t="inlineStr">
        <is>
          <t>Emergency</t>
        </is>
      </c>
      <c r="G1120" s="29" t="n">
        <v>45801</v>
      </c>
      <c r="H1120" s="29" t="n">
        <v>45801</v>
      </c>
      <c r="I1120" s="30" t="n"/>
      <c r="J1120" t="inlineStr">
        <is>
          <t>N39.0</t>
        </is>
      </c>
      <c r="K1120" t="inlineStr">
        <is>
          <t>Urinary tract infection, site not specified</t>
        </is>
      </c>
      <c r="L1120" t="inlineStr">
        <is>
          <t>Genitourinary</t>
        </is>
      </c>
      <c r="M1120" t="inlineStr">
        <is>
          <t>Home/Self-Care</t>
        </is>
      </c>
      <c r="N1120" t="inlineStr">
        <is>
          <t>Medicare</t>
        </is>
      </c>
      <c r="O1120" s="31" t="n">
        <v>3291.88</v>
      </c>
    </row>
    <row r="1121">
      <c r="A1121" t="inlineStr">
        <is>
          <t>ENC115341</t>
        </is>
      </c>
      <c r="B1121" t="inlineStr">
        <is>
          <t>PT12968</t>
        </is>
      </c>
      <c r="C1121" t="inlineStr">
        <is>
          <t>Inpatient</t>
        </is>
      </c>
      <c r="D1121" t="inlineStr">
        <is>
          <t>Bluestone Memorial Hospital</t>
        </is>
      </c>
      <c r="E1121" t="inlineStr">
        <is>
          <t>Orthopedics &amp; Spine</t>
        </is>
      </c>
      <c r="F1121" t="inlineStr">
        <is>
          <t>Orthopedics</t>
        </is>
      </c>
      <c r="G1121" s="29" t="n">
        <v>45801</v>
      </c>
      <c r="H1121" s="29" t="n">
        <v>45811</v>
      </c>
      <c r="I1121" s="30" t="n">
        <v>10</v>
      </c>
      <c r="J1121" t="inlineStr">
        <is>
          <t>S72.001A</t>
        </is>
      </c>
      <c r="K1121" t="inlineStr">
        <is>
          <t>Fracture of unspecified part of neck of right femur, initial encounter</t>
        </is>
      </c>
      <c r="L1121" t="inlineStr">
        <is>
          <t>Injury</t>
        </is>
      </c>
      <c r="M1121" t="inlineStr">
        <is>
          <t>Home Health</t>
        </is>
      </c>
      <c r="N1121" t="inlineStr">
        <is>
          <t>Silverline Medicare Advantage</t>
        </is>
      </c>
      <c r="O1121" s="31" t="n">
        <v>78525.23</v>
      </c>
      <c r="P1121" t="inlineStr">
        <is>
          <t>N</t>
        </is>
      </c>
    </row>
    <row r="1122">
      <c r="A1122" t="inlineStr">
        <is>
          <t>ENC115348</t>
        </is>
      </c>
      <c r="B1122" t="inlineStr">
        <is>
          <t>PT11744</t>
        </is>
      </c>
      <c r="C1122" t="inlineStr">
        <is>
          <t>Inpatient</t>
        </is>
      </c>
      <c r="D1122" t="inlineStr">
        <is>
          <t>Bluestone Memorial Hospital</t>
        </is>
      </c>
      <c r="E1122" t="inlineStr">
        <is>
          <t>Labor &amp; Delivery</t>
        </is>
      </c>
      <c r="F1122" t="inlineStr">
        <is>
          <t>Women &amp; Children</t>
        </is>
      </c>
      <c r="G1122" s="29" t="n">
        <v>45801</v>
      </c>
      <c r="H1122" s="29" t="n">
        <v>45803</v>
      </c>
      <c r="I1122" s="30" t="n">
        <v>2</v>
      </c>
      <c r="J1122" t="inlineStr">
        <is>
          <t>O82</t>
        </is>
      </c>
      <c r="K1122" t="inlineStr">
        <is>
          <t>Encounter for cesarean delivery without indication</t>
        </is>
      </c>
      <c r="L1122" t="inlineStr">
        <is>
          <t>Pregnancy</t>
        </is>
      </c>
      <c r="M1122" t="inlineStr">
        <is>
          <t>Home/Self-Care</t>
        </is>
      </c>
      <c r="N1122" t="inlineStr">
        <is>
          <t>State Medicaid</t>
        </is>
      </c>
      <c r="O1122" s="31" t="n">
        <v>21474.19</v>
      </c>
      <c r="P1122" t="inlineStr">
        <is>
          <t>N</t>
        </is>
      </c>
    </row>
    <row r="1123">
      <c r="A1123" t="inlineStr">
        <is>
          <t>ENC115354</t>
        </is>
      </c>
      <c r="B1123" t="inlineStr">
        <is>
          <t>PT11548</t>
        </is>
      </c>
      <c r="C1123" t="inlineStr">
        <is>
          <t>Inpatient</t>
        </is>
      </c>
      <c r="D1123" t="inlineStr">
        <is>
          <t>Cedar Ridge Medical Center</t>
        </is>
      </c>
      <c r="E1123" t="inlineStr">
        <is>
          <t>Medical-Surgical</t>
        </is>
      </c>
      <c r="F1123" t="inlineStr">
        <is>
          <t>Medicine</t>
        </is>
      </c>
      <c r="G1123" s="29" t="n">
        <v>45802</v>
      </c>
      <c r="H1123" s="29" t="n">
        <v>45807</v>
      </c>
      <c r="I1123" s="30" t="n">
        <v>5</v>
      </c>
      <c r="J1123" t="inlineStr">
        <is>
          <t>A41.9</t>
        </is>
      </c>
      <c r="K1123" t="inlineStr">
        <is>
          <t>Sepsis, unspecified organism</t>
        </is>
      </c>
      <c r="L1123" t="inlineStr">
        <is>
          <t>Infectious</t>
        </is>
      </c>
      <c r="M1123" t="inlineStr">
        <is>
          <t>Home/Self-Care</t>
        </is>
      </c>
      <c r="N1123" t="inlineStr">
        <is>
          <t>Evergreen Mutual Insurance</t>
        </is>
      </c>
      <c r="O1123" s="31" t="n">
        <v>68783.67</v>
      </c>
      <c r="P1123" t="inlineStr">
        <is>
          <t>Y</t>
        </is>
      </c>
    </row>
    <row r="1124">
      <c r="A1124" t="inlineStr">
        <is>
          <t>ENC115355</t>
        </is>
      </c>
      <c r="B1124" t="inlineStr">
        <is>
          <t>PT10480</t>
        </is>
      </c>
      <c r="C1124" t="inlineStr">
        <is>
          <t>Inpatient</t>
        </is>
      </c>
      <c r="D1124" t="inlineStr">
        <is>
          <t>Bluestone Memorial Hospital</t>
        </is>
      </c>
      <c r="E1124" t="inlineStr">
        <is>
          <t>Pediatrics</t>
        </is>
      </c>
      <c r="F1124" t="inlineStr">
        <is>
          <t>Women &amp; Children</t>
        </is>
      </c>
      <c r="G1124" s="29" t="n">
        <v>45802</v>
      </c>
      <c r="H1124" s="29" t="n">
        <v>45805</v>
      </c>
      <c r="I1124" s="30" t="n">
        <v>3</v>
      </c>
      <c r="J1124" t="inlineStr">
        <is>
          <t>J21.9</t>
        </is>
      </c>
      <c r="K1124" t="inlineStr">
        <is>
          <t>Acute bronchiolitis, unspecified</t>
        </is>
      </c>
      <c r="L1124" t="inlineStr">
        <is>
          <t>Respiratory</t>
        </is>
      </c>
      <c r="M1124" t="inlineStr">
        <is>
          <t>Home/Self-Care</t>
        </is>
      </c>
      <c r="N1124" t="inlineStr">
        <is>
          <t>State Medicaid</t>
        </is>
      </c>
      <c r="O1124" s="31" t="n">
        <v>13358.37</v>
      </c>
      <c r="P1124" t="inlineStr">
        <is>
          <t>N</t>
        </is>
      </c>
    </row>
    <row r="1125">
      <c r="A1125" t="inlineStr">
        <is>
          <t>ENC115363</t>
        </is>
      </c>
      <c r="B1125" t="inlineStr">
        <is>
          <t>PT10364</t>
        </is>
      </c>
      <c r="C1125" t="inlineStr">
        <is>
          <t>Observation</t>
        </is>
      </c>
      <c r="D1125" t="inlineStr">
        <is>
          <t>Bluestone Memorial Hospital</t>
        </is>
      </c>
      <c r="E1125" t="inlineStr">
        <is>
          <t>Observation Unit</t>
        </is>
      </c>
      <c r="F1125" t="inlineStr">
        <is>
          <t>Medicine</t>
        </is>
      </c>
      <c r="G1125" s="29" t="n">
        <v>45802</v>
      </c>
      <c r="H1125" s="29" t="n">
        <v>45803</v>
      </c>
      <c r="I1125" s="30" t="n">
        <v>1</v>
      </c>
      <c r="J1125" t="inlineStr">
        <is>
          <t>I63.9</t>
        </is>
      </c>
      <c r="K1125" t="inlineStr">
        <is>
          <t>Cerebral infarction, unspecified</t>
        </is>
      </c>
      <c r="L1125" t="inlineStr">
        <is>
          <t>Circulatory</t>
        </is>
      </c>
      <c r="M1125" t="inlineStr">
        <is>
          <t>Home/Self-Care</t>
        </is>
      </c>
      <c r="N1125" t="inlineStr">
        <is>
          <t>Medicare</t>
        </is>
      </c>
      <c r="O1125" s="31" t="n">
        <v>9949.48</v>
      </c>
    </row>
    <row r="1126">
      <c r="A1126" t="inlineStr">
        <is>
          <t>ENC115376</t>
        </is>
      </c>
      <c r="B1126" t="inlineStr">
        <is>
          <t>PT10644</t>
        </is>
      </c>
      <c r="C1126" t="inlineStr">
        <is>
          <t>Outpatient</t>
        </is>
      </c>
      <c r="D1126" t="inlineStr">
        <is>
          <t>Bluestone Outpatient Pavilion</t>
        </is>
      </c>
      <c r="E1126" t="inlineStr">
        <is>
          <t>Infusion &amp; Oncology Clinic</t>
        </is>
      </c>
      <c r="F1126" t="inlineStr">
        <is>
          <t>Oncology</t>
        </is>
      </c>
      <c r="G1126" s="29" t="n">
        <v>45803</v>
      </c>
      <c r="H1126" s="29" t="n">
        <v>45803</v>
      </c>
      <c r="I1126" s="30" t="n"/>
      <c r="J1126" t="inlineStr">
        <is>
          <t>C34.90</t>
        </is>
      </c>
      <c r="K1126" t="inlineStr">
        <is>
          <t>Malignant neoplasm of unspecified part of unspecified bronchus or lung</t>
        </is>
      </c>
      <c r="L1126" t="inlineStr">
        <is>
          <t>Neoplasms</t>
        </is>
      </c>
      <c r="M1126" t="inlineStr">
        <is>
          <t>Home/Self-Care</t>
        </is>
      </c>
      <c r="N1126" t="inlineStr">
        <is>
          <t>Medicare</t>
        </is>
      </c>
      <c r="O1126" s="31" t="n">
        <v>853.3</v>
      </c>
    </row>
    <row r="1127">
      <c r="A1127" t="inlineStr">
        <is>
          <t>ENC115378</t>
        </is>
      </c>
      <c r="B1127" t="inlineStr">
        <is>
          <t>PT12220</t>
        </is>
      </c>
      <c r="C1127" t="inlineStr">
        <is>
          <t>Inpatient</t>
        </is>
      </c>
      <c r="D1127" t="inlineStr">
        <is>
          <t>Bluestone Memorial Hospital</t>
        </is>
      </c>
      <c r="E1127" t="inlineStr">
        <is>
          <t>Oncology</t>
        </is>
      </c>
      <c r="F1127" t="inlineStr">
        <is>
          <t>Oncology</t>
        </is>
      </c>
      <c r="G1127" s="29" t="n">
        <v>45803</v>
      </c>
      <c r="H1127" s="29" t="n">
        <v>45806</v>
      </c>
      <c r="I1127" s="30" t="n">
        <v>3</v>
      </c>
      <c r="J1127" t="inlineStr">
        <is>
          <t>C50.911</t>
        </is>
      </c>
      <c r="K1127" t="inlineStr">
        <is>
          <t>Malignant neoplasm of unspecified site of right female breast</t>
        </is>
      </c>
      <c r="L1127" t="inlineStr">
        <is>
          <t>Neoplasms</t>
        </is>
      </c>
      <c r="M1127" t="inlineStr">
        <is>
          <t>Home Health</t>
        </is>
      </c>
      <c r="N1127" t="inlineStr">
        <is>
          <t>Keystone Health Partners</t>
        </is>
      </c>
      <c r="O1127" s="31" t="n">
        <v>28821.57</v>
      </c>
      <c r="P1127" t="inlineStr">
        <is>
          <t>N</t>
        </is>
      </c>
    </row>
    <row r="1128">
      <c r="A1128" t="inlineStr">
        <is>
          <t>ENC115381</t>
        </is>
      </c>
      <c r="B1128" t="inlineStr">
        <is>
          <t>PT12280</t>
        </is>
      </c>
      <c r="C1128" t="inlineStr">
        <is>
          <t>Outpatient</t>
        </is>
      </c>
      <c r="D1128" t="inlineStr">
        <is>
          <t>Bluestone Outpatient Pavilion</t>
        </is>
      </c>
      <c r="E1128" t="inlineStr">
        <is>
          <t>Primary Care Clinic</t>
        </is>
      </c>
      <c r="F1128" t="inlineStr">
        <is>
          <t>Ambulatory</t>
        </is>
      </c>
      <c r="G1128" s="29" t="n">
        <v>45803</v>
      </c>
      <c r="H1128" s="29" t="n">
        <v>45803</v>
      </c>
      <c r="I1128" s="30" t="n"/>
      <c r="J1128" t="inlineStr">
        <is>
          <t>F41.9</t>
        </is>
      </c>
      <c r="K1128" t="inlineStr">
        <is>
          <t>Anxiety disorder, unspecified</t>
        </is>
      </c>
      <c r="L1128" t="inlineStr">
        <is>
          <t>Mental &amp; Behavioral</t>
        </is>
      </c>
      <c r="M1128" t="inlineStr">
        <is>
          <t>Home/Self-Care</t>
        </is>
      </c>
      <c r="N1128" t="inlineStr">
        <is>
          <t>Self-Pay</t>
        </is>
      </c>
      <c r="O1128" s="31" t="n">
        <v>364.64</v>
      </c>
    </row>
    <row r="1129">
      <c r="A1129" t="inlineStr">
        <is>
          <t>ENC115383</t>
        </is>
      </c>
      <c r="B1129" t="inlineStr">
        <is>
          <t>PT11068</t>
        </is>
      </c>
      <c r="C1129" t="inlineStr">
        <is>
          <t>Inpatient</t>
        </is>
      </c>
      <c r="D1129" t="inlineStr">
        <is>
          <t>Bluestone Memorial Hospital</t>
        </is>
      </c>
      <c r="E1129" t="inlineStr">
        <is>
          <t>Behavioral Health</t>
        </is>
      </c>
      <c r="F1129" t="inlineStr">
        <is>
          <t>Behavioral Health</t>
        </is>
      </c>
      <c r="G1129" s="29" t="n">
        <v>45803</v>
      </c>
      <c r="H1129" s="29" t="n">
        <v>45811</v>
      </c>
      <c r="I1129" s="30" t="n">
        <v>8</v>
      </c>
      <c r="J1129" t="inlineStr">
        <is>
          <t>F32.9</t>
        </is>
      </c>
      <c r="K1129" t="inlineStr">
        <is>
          <t>Major depressive disorder, single episode, unspecified</t>
        </is>
      </c>
      <c r="L1129" t="inlineStr">
        <is>
          <t>Mental &amp; Behavioral</t>
        </is>
      </c>
      <c r="M1129" t="inlineStr">
        <is>
          <t>Home/Self-Care</t>
        </is>
      </c>
      <c r="N1129" t="inlineStr">
        <is>
          <t>Keystone Health Partners</t>
        </is>
      </c>
      <c r="O1129" s="31" t="n">
        <v>20893.5</v>
      </c>
      <c r="P1129" t="inlineStr">
        <is>
          <t>N</t>
        </is>
      </c>
    </row>
    <row r="1130">
      <c r="A1130" t="inlineStr">
        <is>
          <t>ENC115384</t>
        </is>
      </c>
      <c r="B1130" t="inlineStr">
        <is>
          <t>PT13180</t>
        </is>
      </c>
      <c r="C1130" t="inlineStr">
        <is>
          <t>Emergency</t>
        </is>
      </c>
      <c r="D1130" t="inlineStr">
        <is>
          <t>Bluestone Memorial Hospital</t>
        </is>
      </c>
      <c r="E1130" t="inlineStr">
        <is>
          <t>Emergency Department</t>
        </is>
      </c>
      <c r="F1130" t="inlineStr">
        <is>
          <t>Emergency</t>
        </is>
      </c>
      <c r="G1130" s="29" t="n">
        <v>45803</v>
      </c>
      <c r="H1130" s="29" t="n">
        <v>45803</v>
      </c>
      <c r="I1130" s="30" t="n"/>
      <c r="J1130" t="inlineStr">
        <is>
          <t>S93.401A</t>
        </is>
      </c>
      <c r="K1130" t="inlineStr">
        <is>
          <t>Sprain of unspecified ligament of right ankle, initial encounter</t>
        </is>
      </c>
      <c r="L1130" t="inlineStr">
        <is>
          <t>Injury</t>
        </is>
      </c>
      <c r="M1130" t="inlineStr">
        <is>
          <t>Home/Self-Care</t>
        </is>
      </c>
      <c r="N1130" t="inlineStr">
        <is>
          <t>State Medicaid</t>
        </is>
      </c>
      <c r="O1130" s="31" t="n">
        <v>643.17</v>
      </c>
    </row>
    <row r="1131">
      <c r="A1131" t="inlineStr">
        <is>
          <t>ENC115387</t>
        </is>
      </c>
      <c r="B1131" t="inlineStr">
        <is>
          <t>PT12040</t>
        </is>
      </c>
      <c r="C1131" t="inlineStr">
        <is>
          <t>Outpatient</t>
        </is>
      </c>
      <c r="D1131" t="inlineStr">
        <is>
          <t>Bluestone Outpatient Pavilion</t>
        </is>
      </c>
      <c r="E1131" t="inlineStr">
        <is>
          <t>Primary Care Clinic</t>
        </is>
      </c>
      <c r="F1131" t="inlineStr">
        <is>
          <t>Ambulatory</t>
        </is>
      </c>
      <c r="G1131" s="29" t="n">
        <v>45803</v>
      </c>
      <c r="H1131" s="29" t="n">
        <v>45803</v>
      </c>
      <c r="I1131" s="30" t="n"/>
      <c r="J1131" t="inlineStr">
        <is>
          <t>I10</t>
        </is>
      </c>
      <c r="K1131" t="inlineStr">
        <is>
          <t>Essential (primary) hypertension</t>
        </is>
      </c>
      <c r="L1131" t="inlineStr">
        <is>
          <t>Circulatory</t>
        </is>
      </c>
      <c r="M1131" t="inlineStr">
        <is>
          <t>Home/Self-Care</t>
        </is>
      </c>
      <c r="N1131" t="inlineStr">
        <is>
          <t>Medicare</t>
        </is>
      </c>
      <c r="O1131" s="31" t="n">
        <v>284.71</v>
      </c>
    </row>
    <row r="1132">
      <c r="A1132" t="inlineStr">
        <is>
          <t>ENC115391</t>
        </is>
      </c>
      <c r="B1132" t="inlineStr">
        <is>
          <t>PT12124</t>
        </is>
      </c>
      <c r="C1132" t="inlineStr">
        <is>
          <t>Outpatient</t>
        </is>
      </c>
      <c r="D1132" t="inlineStr">
        <is>
          <t>Bluestone Outpatient Pavilion</t>
        </is>
      </c>
      <c r="E1132" t="inlineStr">
        <is>
          <t>Orthopedic Clinic</t>
        </is>
      </c>
      <c r="F1132" t="inlineStr">
        <is>
          <t>Orthopedics</t>
        </is>
      </c>
      <c r="G1132" s="29" t="n">
        <v>45803</v>
      </c>
      <c r="H1132" s="29" t="n">
        <v>45803</v>
      </c>
      <c r="I1132" s="30" t="n"/>
      <c r="J1132" t="inlineStr">
        <is>
          <t>M17.11</t>
        </is>
      </c>
      <c r="K1132" t="inlineStr">
        <is>
          <t>Unilateral primary osteoarthritis, right knee</t>
        </is>
      </c>
      <c r="L1132" t="inlineStr">
        <is>
          <t>Musculoskeletal</t>
        </is>
      </c>
      <c r="M1132" t="inlineStr">
        <is>
          <t>Home/Self-Care</t>
        </is>
      </c>
      <c r="N1132" t="inlineStr">
        <is>
          <t>Keystone Health Partners</t>
        </is>
      </c>
      <c r="O1132" s="31" t="n">
        <v>377.15</v>
      </c>
    </row>
    <row r="1133">
      <c r="A1133" t="inlineStr">
        <is>
          <t>ENC115394</t>
        </is>
      </c>
      <c r="B1133" t="inlineStr">
        <is>
          <t>PT11640</t>
        </is>
      </c>
      <c r="C1133" t="inlineStr">
        <is>
          <t>Emergency</t>
        </is>
      </c>
      <c r="D1133" t="inlineStr">
        <is>
          <t>Bluestone Memorial Hospital</t>
        </is>
      </c>
      <c r="E1133" t="inlineStr">
        <is>
          <t>Emergency Department</t>
        </is>
      </c>
      <c r="F1133" t="inlineStr">
        <is>
          <t>Emergency</t>
        </is>
      </c>
      <c r="G1133" s="29" t="n">
        <v>45803</v>
      </c>
      <c r="H1133" s="29" t="n">
        <v>45803</v>
      </c>
      <c r="I1133" s="30" t="n"/>
      <c r="J1133" t="inlineStr">
        <is>
          <t>H66.90</t>
        </is>
      </c>
      <c r="K1133" t="inlineStr">
        <is>
          <t>Otitis media, unspecified, unspecified ear</t>
        </is>
      </c>
      <c r="L1133" t="inlineStr">
        <is>
          <t>Ear</t>
        </is>
      </c>
      <c r="M1133" t="inlineStr">
        <is>
          <t>Home/Self-Care</t>
        </is>
      </c>
      <c r="N1133" t="inlineStr">
        <is>
          <t>State Medicaid</t>
        </is>
      </c>
      <c r="O1133" s="31" t="n">
        <v>1188.83</v>
      </c>
    </row>
    <row r="1134">
      <c r="A1134" t="inlineStr">
        <is>
          <t>ENC115397</t>
        </is>
      </c>
      <c r="B1134" t="inlineStr">
        <is>
          <t>PT10780</t>
        </is>
      </c>
      <c r="C1134" t="inlineStr">
        <is>
          <t>Inpatient</t>
        </is>
      </c>
      <c r="D1134" t="inlineStr">
        <is>
          <t>Bluestone Memorial Hospital</t>
        </is>
      </c>
      <c r="E1134" t="inlineStr">
        <is>
          <t>Medical-Surgical 4 West</t>
        </is>
      </c>
      <c r="F1134" t="inlineStr">
        <is>
          <t>Medicine</t>
        </is>
      </c>
      <c r="G1134" s="29" t="n">
        <v>45803</v>
      </c>
      <c r="H1134" s="29" t="n">
        <v>45806</v>
      </c>
      <c r="I1134" s="30" t="n">
        <v>3</v>
      </c>
      <c r="J1134" t="inlineStr">
        <is>
          <t>E11.65</t>
        </is>
      </c>
      <c r="K1134" t="inlineStr">
        <is>
          <t>Type 2 diabetes mellitus with hyperglycemia</t>
        </is>
      </c>
      <c r="L1134" t="inlineStr">
        <is>
          <t>Endocrine</t>
        </is>
      </c>
      <c r="M1134" t="inlineStr">
        <is>
          <t>Home/Self-Care</t>
        </is>
      </c>
      <c r="N1134" t="inlineStr">
        <is>
          <t>Silverline Medicare Advantage</t>
        </is>
      </c>
      <c r="O1134" s="31" t="n">
        <v>11005.35</v>
      </c>
      <c r="P1134" t="inlineStr">
        <is>
          <t>N</t>
        </is>
      </c>
    </row>
    <row r="1135">
      <c r="A1135" t="inlineStr">
        <is>
          <t>ENC115400</t>
        </is>
      </c>
      <c r="B1135" t="inlineStr">
        <is>
          <t>PT12688</t>
        </is>
      </c>
      <c r="C1135" t="inlineStr">
        <is>
          <t>Emergency</t>
        </is>
      </c>
      <c r="D1135" t="inlineStr">
        <is>
          <t>Bluestone Memorial Hospital</t>
        </is>
      </c>
      <c r="E1135" t="inlineStr">
        <is>
          <t>Emergency Department</t>
        </is>
      </c>
      <c r="F1135" t="inlineStr">
        <is>
          <t>Emergency</t>
        </is>
      </c>
      <c r="G1135" s="29" t="n">
        <v>45803</v>
      </c>
      <c r="H1135" s="29" t="n">
        <v>45804</v>
      </c>
      <c r="I1135" s="30" t="n"/>
      <c r="J1135" t="inlineStr">
        <is>
          <t>J45.909</t>
        </is>
      </c>
      <c r="K1135" t="inlineStr">
        <is>
          <t>Unspecified asthma, uncomplicated</t>
        </is>
      </c>
      <c r="L1135" t="inlineStr">
        <is>
          <t>Respiratory</t>
        </is>
      </c>
      <c r="M1135" t="inlineStr">
        <is>
          <t>Home/Self-Care</t>
        </is>
      </c>
      <c r="N1135" t="inlineStr">
        <is>
          <t>State Medicaid</t>
        </is>
      </c>
      <c r="O1135" s="31" t="n">
        <v>3271.82</v>
      </c>
    </row>
    <row r="1136">
      <c r="A1136" t="inlineStr">
        <is>
          <t>ENC115408</t>
        </is>
      </c>
      <c r="B1136" t="inlineStr">
        <is>
          <t>PT12672</t>
        </is>
      </c>
      <c r="C1136" t="inlineStr">
        <is>
          <t>Emergency</t>
        </is>
      </c>
      <c r="D1136" t="inlineStr">
        <is>
          <t>Bluestone Memorial Hospital</t>
        </is>
      </c>
      <c r="E1136" t="inlineStr">
        <is>
          <t>Emergency Department</t>
        </is>
      </c>
      <c r="F1136" t="inlineStr">
        <is>
          <t>Emergency</t>
        </is>
      </c>
      <c r="G1136" s="29" t="n">
        <v>45804</v>
      </c>
      <c r="H1136" s="29" t="n">
        <v>45804</v>
      </c>
      <c r="I1136" s="30" t="n"/>
      <c r="J1136" t="inlineStr">
        <is>
          <t>G40.909</t>
        </is>
      </c>
      <c r="K1136" t="inlineStr">
        <is>
          <t>Epilepsy, unspecified, not intractable, without status epilepticus</t>
        </is>
      </c>
      <c r="L1136" t="inlineStr">
        <is>
          <t>Nervous System</t>
        </is>
      </c>
      <c r="M1136" t="inlineStr">
        <is>
          <t>Home/Self-Care</t>
        </is>
      </c>
      <c r="N1136" t="inlineStr">
        <is>
          <t>Medicare</t>
        </is>
      </c>
      <c r="O1136" s="31" t="n">
        <v>1622.8</v>
      </c>
    </row>
    <row r="1137">
      <c r="A1137" t="inlineStr">
        <is>
          <t>ENC115411</t>
        </is>
      </c>
      <c r="B1137" t="inlineStr">
        <is>
          <t>PT11944</t>
        </is>
      </c>
      <c r="C1137" t="inlineStr">
        <is>
          <t>Observation</t>
        </is>
      </c>
      <c r="D1137" t="inlineStr">
        <is>
          <t>Bluestone Memorial Hospital</t>
        </is>
      </c>
      <c r="E1137" t="inlineStr">
        <is>
          <t>Observation Unit</t>
        </is>
      </c>
      <c r="F1137" t="inlineStr">
        <is>
          <t>Medicine</t>
        </is>
      </c>
      <c r="G1137" s="29" t="n">
        <v>45804</v>
      </c>
      <c r="H1137" s="29" t="n">
        <v>45805</v>
      </c>
      <c r="I1137" s="30" t="n">
        <v>1</v>
      </c>
      <c r="J1137" t="inlineStr">
        <is>
          <t>I48.91</t>
        </is>
      </c>
      <c r="K1137" t="inlineStr">
        <is>
          <t>Unspecified atrial fibrillation</t>
        </is>
      </c>
      <c r="L1137" t="inlineStr">
        <is>
          <t>Circulatory</t>
        </is>
      </c>
      <c r="M1137" t="inlineStr">
        <is>
          <t>Home/Self-Care</t>
        </is>
      </c>
      <c r="N1137" t="inlineStr">
        <is>
          <t>Silverline Medicare Advantage</t>
        </is>
      </c>
      <c r="O1137" s="31" t="n">
        <v>7753.32</v>
      </c>
    </row>
    <row r="1138">
      <c r="A1138" t="inlineStr">
        <is>
          <t>ENC115412</t>
        </is>
      </c>
      <c r="B1138" t="inlineStr">
        <is>
          <t>PT13724</t>
        </is>
      </c>
      <c r="C1138" t="inlineStr">
        <is>
          <t>Emergency</t>
        </is>
      </c>
      <c r="D1138" t="inlineStr">
        <is>
          <t>Cedar Ridge Medical Center</t>
        </is>
      </c>
      <c r="E1138" t="inlineStr">
        <is>
          <t>Emergency Department</t>
        </is>
      </c>
      <c r="F1138" t="inlineStr">
        <is>
          <t>Emergency</t>
        </is>
      </c>
      <c r="G1138" s="29" t="n">
        <v>45804</v>
      </c>
      <c r="H1138" s="29" t="n">
        <v>45804</v>
      </c>
      <c r="I1138" s="30" t="n"/>
      <c r="J1138" t="inlineStr">
        <is>
          <t>U07.1</t>
        </is>
      </c>
      <c r="K1138" t="inlineStr">
        <is>
          <t>COVID-19</t>
        </is>
      </c>
      <c r="L1138" t="inlineStr">
        <is>
          <t>Respiratory</t>
        </is>
      </c>
      <c r="M1138" t="inlineStr">
        <is>
          <t>Home/Self-Care</t>
        </is>
      </c>
      <c r="N1138" t="inlineStr">
        <is>
          <t>State Medicaid</t>
        </is>
      </c>
      <c r="O1138" s="31" t="n">
        <v>3312.38</v>
      </c>
    </row>
    <row r="1139">
      <c r="A1139" t="inlineStr">
        <is>
          <t>ENC115414</t>
        </is>
      </c>
      <c r="B1139" t="inlineStr">
        <is>
          <t>PT12400</t>
        </is>
      </c>
      <c r="C1139" t="inlineStr">
        <is>
          <t>Outpatient</t>
        </is>
      </c>
      <c r="D1139" t="inlineStr">
        <is>
          <t>Bluestone Outpatient Pavilion</t>
        </is>
      </c>
      <c r="E1139" t="inlineStr">
        <is>
          <t>Infusion &amp; Oncology Clinic</t>
        </is>
      </c>
      <c r="F1139" t="inlineStr">
        <is>
          <t>Oncology</t>
        </is>
      </c>
      <c r="G1139" s="29" t="n">
        <v>45804</v>
      </c>
      <c r="H1139" s="29" t="n">
        <v>45804</v>
      </c>
      <c r="I1139" s="30" t="n"/>
      <c r="J1139" t="inlineStr">
        <is>
          <t>Z51.11</t>
        </is>
      </c>
      <c r="K1139" t="inlineStr">
        <is>
          <t>Encounter for antineoplastic chemotherapy</t>
        </is>
      </c>
      <c r="L1139" t="inlineStr">
        <is>
          <t>Factors Influencing Health</t>
        </is>
      </c>
      <c r="M1139" t="inlineStr">
        <is>
          <t>Home/Self-Care</t>
        </is>
      </c>
      <c r="N1139" t="inlineStr">
        <is>
          <t>Self-Pay</t>
        </is>
      </c>
      <c r="O1139" s="31" t="n">
        <v>14143.43</v>
      </c>
    </row>
    <row r="1140">
      <c r="A1140" t="inlineStr">
        <is>
          <t>ENC115415</t>
        </is>
      </c>
      <c r="B1140" t="inlineStr">
        <is>
          <t>PT13172</t>
        </is>
      </c>
      <c r="C1140" t="inlineStr">
        <is>
          <t>Outpatient</t>
        </is>
      </c>
      <c r="D1140" t="inlineStr">
        <is>
          <t>Bluestone Outpatient Pavilion</t>
        </is>
      </c>
      <c r="E1140" t="inlineStr">
        <is>
          <t>Primary Care Clinic</t>
        </is>
      </c>
      <c r="F1140" t="inlineStr">
        <is>
          <t>Ambulatory</t>
        </is>
      </c>
      <c r="G1140" s="29" t="n">
        <v>45804</v>
      </c>
      <c r="H1140" s="29" t="n">
        <v>45804</v>
      </c>
      <c r="I1140" s="30" t="n"/>
      <c r="J1140" t="inlineStr">
        <is>
          <t>Z00.00</t>
        </is>
      </c>
      <c r="K1140" t="inlineStr">
        <is>
          <t>Encounter for general adult medical examination without abnormal findings</t>
        </is>
      </c>
      <c r="L1140" t="inlineStr">
        <is>
          <t>Factors Influencing Health</t>
        </is>
      </c>
      <c r="M1140" t="inlineStr">
        <is>
          <t>Home/Self-Care</t>
        </is>
      </c>
      <c r="N1140" t="inlineStr">
        <is>
          <t>Self-Pay</t>
        </is>
      </c>
      <c r="O1140" s="31" t="n">
        <v>331.51</v>
      </c>
    </row>
    <row r="1141">
      <c r="A1141" t="inlineStr">
        <is>
          <t>ENC115418</t>
        </is>
      </c>
      <c r="B1141" t="inlineStr">
        <is>
          <t>PT11568</t>
        </is>
      </c>
      <c r="C1141" t="inlineStr">
        <is>
          <t>Inpatient</t>
        </is>
      </c>
      <c r="D1141" t="inlineStr">
        <is>
          <t>Bluestone Memorial Hospital</t>
        </is>
      </c>
      <c r="E1141" t="inlineStr">
        <is>
          <t>Cardiac Step-Down</t>
        </is>
      </c>
      <c r="F1141" t="inlineStr">
        <is>
          <t>Cardiovascular</t>
        </is>
      </c>
      <c r="G1141" s="29" t="n">
        <v>45804</v>
      </c>
      <c r="H1141" s="29" t="n">
        <v>45809</v>
      </c>
      <c r="I1141" s="30" t="n">
        <v>5</v>
      </c>
      <c r="J1141" t="inlineStr">
        <is>
          <t>I48.91</t>
        </is>
      </c>
      <c r="K1141" t="inlineStr">
        <is>
          <t>Unspecified atrial fibrillation</t>
        </is>
      </c>
      <c r="L1141" t="inlineStr">
        <is>
          <t>Circulatory</t>
        </is>
      </c>
      <c r="M1141" t="inlineStr">
        <is>
          <t>Home/Self-Care</t>
        </is>
      </c>
      <c r="N1141" t="inlineStr">
        <is>
          <t>Self-Pay</t>
        </is>
      </c>
      <c r="O1141" s="31" t="n">
        <v>15969.93</v>
      </c>
      <c r="P1141" t="inlineStr">
        <is>
          <t>N</t>
        </is>
      </c>
    </row>
    <row r="1142">
      <c r="A1142" t="inlineStr">
        <is>
          <t>ENC115421</t>
        </is>
      </c>
      <c r="B1142" t="inlineStr">
        <is>
          <t>PT10364</t>
        </is>
      </c>
      <c r="C1142" t="inlineStr">
        <is>
          <t>Outpatient</t>
        </is>
      </c>
      <c r="D1142" t="inlineStr">
        <is>
          <t>Bluestone Outpatient Pavilion</t>
        </is>
      </c>
      <c r="E1142" t="inlineStr">
        <is>
          <t>Endocrinology &amp; Diabetes Clinic</t>
        </is>
      </c>
      <c r="F1142" t="inlineStr">
        <is>
          <t>Ambulatory</t>
        </is>
      </c>
      <c r="G1142" s="29" t="n">
        <v>45804</v>
      </c>
      <c r="H1142" s="29" t="n">
        <v>45804</v>
      </c>
      <c r="I1142" s="30" t="n"/>
      <c r="J1142" t="inlineStr">
        <is>
          <t>E11.9</t>
        </is>
      </c>
      <c r="K1142" t="inlineStr">
        <is>
          <t>Type 2 diabetes mellitus without complications</t>
        </is>
      </c>
      <c r="L1142" t="inlineStr">
        <is>
          <t>Endocrine</t>
        </is>
      </c>
      <c r="M1142" t="inlineStr">
        <is>
          <t>Home/Self-Care</t>
        </is>
      </c>
      <c r="N1142" t="inlineStr">
        <is>
          <t>Medicare</t>
        </is>
      </c>
      <c r="O1142" s="31" t="n">
        <v>217.6</v>
      </c>
    </row>
    <row r="1143">
      <c r="A1143" t="inlineStr">
        <is>
          <t>ENC115430</t>
        </is>
      </c>
      <c r="B1143" t="inlineStr">
        <is>
          <t>PT13636</t>
        </is>
      </c>
      <c r="C1143" t="inlineStr">
        <is>
          <t>Emergency</t>
        </is>
      </c>
      <c r="D1143" t="inlineStr">
        <is>
          <t>Bluestone Memorial Hospital</t>
        </is>
      </c>
      <c r="E1143" t="inlineStr">
        <is>
          <t>Emergency Department</t>
        </is>
      </c>
      <c r="F1143" t="inlineStr">
        <is>
          <t>Emergency</t>
        </is>
      </c>
      <c r="G1143" s="29" t="n">
        <v>45804</v>
      </c>
      <c r="H1143" s="29" t="n">
        <v>45804</v>
      </c>
      <c r="I1143" s="30" t="n"/>
      <c r="J1143" t="inlineStr">
        <is>
          <t>J06.9</t>
        </is>
      </c>
      <c r="K1143" t="inlineStr">
        <is>
          <t>Acute upper respiratory infection, unspecified</t>
        </is>
      </c>
      <c r="L1143" t="inlineStr">
        <is>
          <t>Respiratory</t>
        </is>
      </c>
      <c r="M1143" t="inlineStr">
        <is>
          <t>Home/Self-Care</t>
        </is>
      </c>
      <c r="N1143" t="inlineStr">
        <is>
          <t>Keystone Health Partners</t>
        </is>
      </c>
      <c r="O1143" s="31" t="n">
        <v>1237.01</v>
      </c>
    </row>
    <row r="1144">
      <c r="A1144" t="inlineStr">
        <is>
          <t>ENC115435</t>
        </is>
      </c>
      <c r="B1144" t="inlineStr">
        <is>
          <t>PT12860</t>
        </is>
      </c>
      <c r="C1144" t="inlineStr">
        <is>
          <t>Inpatient</t>
        </is>
      </c>
      <c r="D1144" t="inlineStr">
        <is>
          <t>Cedar Ridge Medical Center</t>
        </is>
      </c>
      <c r="E1144" t="inlineStr">
        <is>
          <t>Medical-Surgical</t>
        </is>
      </c>
      <c r="F1144" t="inlineStr">
        <is>
          <t>Medicine</t>
        </is>
      </c>
      <c r="G1144" s="29" t="n">
        <v>45805</v>
      </c>
      <c r="H1144" s="29" t="n">
        <v>45813</v>
      </c>
      <c r="I1144" s="30" t="n">
        <v>8</v>
      </c>
      <c r="J1144" t="inlineStr">
        <is>
          <t>A41.9</t>
        </is>
      </c>
      <c r="K1144" t="inlineStr">
        <is>
          <t>Sepsis, unspecified organism</t>
        </is>
      </c>
      <c r="L1144" t="inlineStr">
        <is>
          <t>Infectious</t>
        </is>
      </c>
      <c r="M1144" t="inlineStr">
        <is>
          <t>Home/Self-Care</t>
        </is>
      </c>
      <c r="N1144" t="inlineStr">
        <is>
          <t>Self-Pay</t>
        </is>
      </c>
      <c r="O1144" s="31" t="n">
        <v>98218.00999999999</v>
      </c>
      <c r="P1144" t="inlineStr">
        <is>
          <t>N</t>
        </is>
      </c>
    </row>
    <row r="1145">
      <c r="A1145" t="inlineStr">
        <is>
          <t>ENC115436</t>
        </is>
      </c>
      <c r="B1145" t="inlineStr">
        <is>
          <t>PT11468</t>
        </is>
      </c>
      <c r="C1145" t="inlineStr">
        <is>
          <t>Inpatient</t>
        </is>
      </c>
      <c r="D1145" t="inlineStr">
        <is>
          <t>Ashby Falls Community Hospital</t>
        </is>
      </c>
      <c r="E1145" t="inlineStr">
        <is>
          <t>Medical-Surgical</t>
        </is>
      </c>
      <c r="F1145" t="inlineStr">
        <is>
          <t>Medicine</t>
        </is>
      </c>
      <c r="G1145" s="29" t="n">
        <v>45805</v>
      </c>
      <c r="H1145" s="29" t="n">
        <v>45807</v>
      </c>
      <c r="I1145" s="30" t="n">
        <v>2</v>
      </c>
      <c r="J1145" t="inlineStr">
        <is>
          <t>I21.4</t>
        </is>
      </c>
      <c r="K1145" t="inlineStr">
        <is>
          <t>Non-ST elevation (NSTEMI) myocardial infarction</t>
        </is>
      </c>
      <c r="L1145" t="inlineStr">
        <is>
          <t>Circulatory</t>
        </is>
      </c>
      <c r="M1145" t="inlineStr">
        <is>
          <t>Home/Self-Care</t>
        </is>
      </c>
      <c r="N1145" t="inlineStr">
        <is>
          <t>Self-Pay</t>
        </is>
      </c>
      <c r="O1145" s="31" t="n">
        <v>47849.54</v>
      </c>
      <c r="P1145" t="inlineStr">
        <is>
          <t>N</t>
        </is>
      </c>
    </row>
    <row r="1146">
      <c r="A1146" t="inlineStr">
        <is>
          <t>ENC115437</t>
        </is>
      </c>
      <c r="B1146" t="inlineStr">
        <is>
          <t>PT13088</t>
        </is>
      </c>
      <c r="C1146" t="inlineStr">
        <is>
          <t>Inpatient</t>
        </is>
      </c>
      <c r="D1146" t="inlineStr">
        <is>
          <t>Bluestone Memorial Hospital</t>
        </is>
      </c>
      <c r="E1146" t="inlineStr">
        <is>
          <t>Medical-Surgical 4 West</t>
        </is>
      </c>
      <c r="F1146" t="inlineStr">
        <is>
          <t>Medicine</t>
        </is>
      </c>
      <c r="G1146" s="29" t="n">
        <v>45805</v>
      </c>
      <c r="H1146" s="29" t="n">
        <v>45810</v>
      </c>
      <c r="I1146" s="30" t="n">
        <v>5</v>
      </c>
      <c r="J1146" t="inlineStr">
        <is>
          <t>E11.65</t>
        </is>
      </c>
      <c r="K1146" t="inlineStr">
        <is>
          <t>Type 2 diabetes mellitus with hyperglycemia</t>
        </is>
      </c>
      <c r="L1146" t="inlineStr">
        <is>
          <t>Endocrine</t>
        </is>
      </c>
      <c r="M1146" t="inlineStr">
        <is>
          <t>Left AMA</t>
        </is>
      </c>
      <c r="N1146" t="inlineStr">
        <is>
          <t>State Medicaid</t>
        </is>
      </c>
      <c r="O1146" s="31" t="n">
        <v>19230.74</v>
      </c>
      <c r="P1146" t="inlineStr">
        <is>
          <t>N</t>
        </is>
      </c>
    </row>
    <row r="1147">
      <c r="A1147" t="inlineStr">
        <is>
          <t>ENC115438</t>
        </is>
      </c>
      <c r="B1147" t="inlineStr">
        <is>
          <t>PT11484</t>
        </is>
      </c>
      <c r="C1147" t="inlineStr">
        <is>
          <t>Emergency</t>
        </is>
      </c>
      <c r="D1147" t="inlineStr">
        <is>
          <t>Ashby Falls Community Hospital</t>
        </is>
      </c>
      <c r="E1147" t="inlineStr">
        <is>
          <t>Emergency Department</t>
        </is>
      </c>
      <c r="F1147" t="inlineStr">
        <is>
          <t>Emergency</t>
        </is>
      </c>
      <c r="G1147" s="29" t="n">
        <v>45805</v>
      </c>
      <c r="H1147" s="29" t="n">
        <v>45805</v>
      </c>
      <c r="I1147" s="30" t="n"/>
      <c r="J1147" t="inlineStr">
        <is>
          <t>K80.20</t>
        </is>
      </c>
      <c r="K1147" t="inlineStr">
        <is>
          <t>Calculus of gallbladder without cholecystitis without obstruction</t>
        </is>
      </c>
      <c r="L1147" t="inlineStr">
        <is>
          <t>Digestive</t>
        </is>
      </c>
      <c r="M1147" t="inlineStr">
        <is>
          <t>Home/Self-Care</t>
        </is>
      </c>
      <c r="N1147" t="inlineStr">
        <is>
          <t>State Medicaid</t>
        </is>
      </c>
      <c r="O1147" s="31" t="n">
        <v>842.5700000000001</v>
      </c>
    </row>
    <row r="1148">
      <c r="A1148" t="inlineStr">
        <is>
          <t>ENC115440</t>
        </is>
      </c>
      <c r="B1148" t="inlineStr">
        <is>
          <t>PT13808</t>
        </is>
      </c>
      <c r="C1148" t="inlineStr">
        <is>
          <t>Inpatient</t>
        </is>
      </c>
      <c r="D1148" t="inlineStr">
        <is>
          <t>Bluestone Memorial Hospital</t>
        </is>
      </c>
      <c r="E1148" t="inlineStr">
        <is>
          <t>Medical-Surgical 4 West</t>
        </is>
      </c>
      <c r="F1148" t="inlineStr">
        <is>
          <t>Medicine</t>
        </is>
      </c>
      <c r="G1148" s="29" t="n">
        <v>45805</v>
      </c>
      <c r="H1148" s="29" t="n">
        <v>45807</v>
      </c>
      <c r="I1148" s="30" t="n">
        <v>2</v>
      </c>
      <c r="J1148" t="inlineStr">
        <is>
          <t>E86.0</t>
        </is>
      </c>
      <c r="K1148" t="inlineStr">
        <is>
          <t>Dehydration</t>
        </is>
      </c>
      <c r="L1148" t="inlineStr">
        <is>
          <t>Endocrine</t>
        </is>
      </c>
      <c r="M1148" t="inlineStr">
        <is>
          <t>Home/Self-Care</t>
        </is>
      </c>
      <c r="N1148" t="inlineStr">
        <is>
          <t>Medicare</t>
        </is>
      </c>
      <c r="O1148" s="31" t="n">
        <v>8126.74</v>
      </c>
      <c r="P1148" t="inlineStr">
        <is>
          <t>N</t>
        </is>
      </c>
    </row>
    <row r="1149">
      <c r="A1149" t="inlineStr">
        <is>
          <t>ENC115447</t>
        </is>
      </c>
      <c r="B1149" t="inlineStr">
        <is>
          <t>PT12720</t>
        </is>
      </c>
      <c r="C1149" t="inlineStr">
        <is>
          <t>Outpatient</t>
        </is>
      </c>
      <c r="D1149" t="inlineStr">
        <is>
          <t>Bluestone Outpatient Pavilion</t>
        </is>
      </c>
      <c r="E1149" t="inlineStr">
        <is>
          <t>Primary Care Clinic</t>
        </is>
      </c>
      <c r="F1149" t="inlineStr">
        <is>
          <t>Ambulatory</t>
        </is>
      </c>
      <c r="G1149" s="29" t="n">
        <v>45805</v>
      </c>
      <c r="H1149" s="29" t="n">
        <v>45805</v>
      </c>
      <c r="I1149" s="30" t="n"/>
      <c r="J1149" t="inlineStr">
        <is>
          <t>Z00.00</t>
        </is>
      </c>
      <c r="K1149" t="inlineStr">
        <is>
          <t>Encounter for general adult medical examination without abnormal findings</t>
        </is>
      </c>
      <c r="L1149" t="inlineStr">
        <is>
          <t>Factors Influencing Health</t>
        </is>
      </c>
      <c r="M1149" t="inlineStr">
        <is>
          <t>Home/Self-Care</t>
        </is>
      </c>
      <c r="N1149" t="inlineStr">
        <is>
          <t>Keystone Health Partners</t>
        </is>
      </c>
      <c r="O1149" s="31" t="n">
        <v>365.64</v>
      </c>
    </row>
    <row r="1150">
      <c r="A1150" t="inlineStr">
        <is>
          <t>ENC115454</t>
        </is>
      </c>
      <c r="B1150" t="inlineStr">
        <is>
          <t>PT10784</t>
        </is>
      </c>
      <c r="C1150" t="inlineStr">
        <is>
          <t>Outpatient</t>
        </is>
      </c>
      <c r="D1150" t="inlineStr">
        <is>
          <t>Bluestone Outpatient Pavilion</t>
        </is>
      </c>
      <c r="E1150" t="inlineStr">
        <is>
          <t>Primary Care Clinic</t>
        </is>
      </c>
      <c r="F1150" t="inlineStr">
        <is>
          <t>Ambulatory</t>
        </is>
      </c>
      <c r="G1150" s="29" t="n">
        <v>45805</v>
      </c>
      <c r="H1150" s="29" t="n">
        <v>45805</v>
      </c>
      <c r="I1150" s="30" t="n"/>
      <c r="J1150" t="inlineStr">
        <is>
          <t>Z00.00</t>
        </is>
      </c>
      <c r="K1150" t="inlineStr">
        <is>
          <t>Encounter for general adult medical examination without abnormal findings</t>
        </is>
      </c>
      <c r="L1150" t="inlineStr">
        <is>
          <t>Factors Influencing Health</t>
        </is>
      </c>
      <c r="M1150" t="inlineStr">
        <is>
          <t>Home/Self-Care</t>
        </is>
      </c>
      <c r="N1150" t="inlineStr">
        <is>
          <t>Silverline Medicare Advantage</t>
        </is>
      </c>
      <c r="O1150" s="31" t="n">
        <v>229.49</v>
      </c>
    </row>
    <row r="1151">
      <c r="A1151" t="inlineStr">
        <is>
          <t>ENC115459</t>
        </is>
      </c>
      <c r="B1151" t="inlineStr">
        <is>
          <t>PT10572</t>
        </is>
      </c>
      <c r="C1151" t="inlineStr">
        <is>
          <t>Inpatient</t>
        </is>
      </c>
      <c r="D1151" t="inlineStr">
        <is>
          <t>Ashby Falls Community Hospital</t>
        </is>
      </c>
      <c r="E1151" t="inlineStr">
        <is>
          <t>Medical-Surgical</t>
        </is>
      </c>
      <c r="F1151" t="inlineStr">
        <is>
          <t>Medicine</t>
        </is>
      </c>
      <c r="G1151" s="29" t="n">
        <v>45805</v>
      </c>
      <c r="H1151" s="29" t="n">
        <v>45811</v>
      </c>
      <c r="I1151" s="30" t="n">
        <v>6</v>
      </c>
      <c r="J1151" t="inlineStr">
        <is>
          <t>J18.9</t>
        </is>
      </c>
      <c r="K1151" t="inlineStr">
        <is>
          <t>Pneumonia, unspecified organism</t>
        </is>
      </c>
      <c r="L1151" t="inlineStr">
        <is>
          <t>Respiratory</t>
        </is>
      </c>
      <c r="M1151" t="inlineStr">
        <is>
          <t>Home/Self-Care</t>
        </is>
      </c>
      <c r="N1151" t="inlineStr">
        <is>
          <t>Evergreen Mutual Insurance</t>
        </is>
      </c>
      <c r="O1151" s="31" t="n">
        <v>19714.92</v>
      </c>
      <c r="P1151" t="inlineStr">
        <is>
          <t>N</t>
        </is>
      </c>
    </row>
    <row r="1152">
      <c r="A1152" t="inlineStr">
        <is>
          <t>ENC115479</t>
        </is>
      </c>
      <c r="B1152" t="inlineStr">
        <is>
          <t>PT10900</t>
        </is>
      </c>
      <c r="C1152" t="inlineStr">
        <is>
          <t>Emergency</t>
        </is>
      </c>
      <c r="D1152" t="inlineStr">
        <is>
          <t>Ashby Falls Community Hospital</t>
        </is>
      </c>
      <c r="E1152" t="inlineStr">
        <is>
          <t>Emergency Department</t>
        </is>
      </c>
      <c r="F1152" t="inlineStr">
        <is>
          <t>Emergency</t>
        </is>
      </c>
      <c r="G1152" s="29" t="n">
        <v>45806</v>
      </c>
      <c r="H1152" s="29" t="n">
        <v>45806</v>
      </c>
      <c r="I1152" s="30" t="n"/>
      <c r="J1152" t="inlineStr">
        <is>
          <t>R55</t>
        </is>
      </c>
      <c r="K1152" t="inlineStr">
        <is>
          <t>Syncope and collapse</t>
        </is>
      </c>
      <c r="L1152" t="inlineStr">
        <is>
          <t>Symptoms &amp; Signs</t>
        </is>
      </c>
      <c r="M1152" t="inlineStr">
        <is>
          <t>Home/Self-Care</t>
        </is>
      </c>
      <c r="N1152" t="inlineStr">
        <is>
          <t>Silverline Medicare Advantage</t>
        </is>
      </c>
      <c r="O1152" s="31" t="n">
        <v>4240.97</v>
      </c>
    </row>
    <row r="1153">
      <c r="A1153" t="inlineStr">
        <is>
          <t>ENC115481</t>
        </is>
      </c>
      <c r="B1153" t="inlineStr">
        <is>
          <t>PT11400</t>
        </is>
      </c>
      <c r="C1153" t="inlineStr">
        <is>
          <t>Emergency</t>
        </is>
      </c>
      <c r="D1153" t="inlineStr">
        <is>
          <t>Bluestone Memorial Hospital</t>
        </is>
      </c>
      <c r="E1153" t="inlineStr">
        <is>
          <t>Emergency Department</t>
        </is>
      </c>
      <c r="F1153" t="inlineStr">
        <is>
          <t>Emergency</t>
        </is>
      </c>
      <c r="G1153" s="29" t="n">
        <v>45806</v>
      </c>
      <c r="H1153" s="29" t="n">
        <v>45806</v>
      </c>
      <c r="I1153" s="30" t="n"/>
      <c r="J1153" t="inlineStr">
        <is>
          <t>J45.909</t>
        </is>
      </c>
      <c r="K1153" t="inlineStr">
        <is>
          <t>Unspecified asthma, uncomplicated</t>
        </is>
      </c>
      <c r="L1153" t="inlineStr">
        <is>
          <t>Respiratory</t>
        </is>
      </c>
      <c r="M1153" t="inlineStr">
        <is>
          <t>Home/Self-Care</t>
        </is>
      </c>
      <c r="N1153" t="inlineStr">
        <is>
          <t>State Medicaid</t>
        </is>
      </c>
      <c r="O1153" s="31" t="n">
        <v>3536.36</v>
      </c>
    </row>
    <row r="1154">
      <c r="A1154" t="inlineStr">
        <is>
          <t>ENC115482</t>
        </is>
      </c>
      <c r="B1154" t="inlineStr">
        <is>
          <t>PT12340</t>
        </is>
      </c>
      <c r="C1154" t="inlineStr">
        <is>
          <t>Outpatient</t>
        </is>
      </c>
      <c r="D1154" t="inlineStr">
        <is>
          <t>Bluestone Outpatient Pavilion</t>
        </is>
      </c>
      <c r="E1154" t="inlineStr">
        <is>
          <t>Primary Care Clinic</t>
        </is>
      </c>
      <c r="F1154" t="inlineStr">
        <is>
          <t>Ambulatory</t>
        </is>
      </c>
      <c r="G1154" s="29" t="n">
        <v>45806</v>
      </c>
      <c r="H1154" s="29" t="n">
        <v>45806</v>
      </c>
      <c r="I1154" s="30" t="n"/>
      <c r="J1154" t="inlineStr">
        <is>
          <t>Z00.00</t>
        </is>
      </c>
      <c r="K1154" t="inlineStr">
        <is>
          <t>Encounter for general adult medical examination without abnormal findings</t>
        </is>
      </c>
      <c r="L1154" t="inlineStr">
        <is>
          <t>Factors Influencing Health</t>
        </is>
      </c>
      <c r="M1154" t="inlineStr">
        <is>
          <t>Home/Self-Care</t>
        </is>
      </c>
      <c r="N1154" t="inlineStr">
        <is>
          <t>Summit Choice PPO</t>
        </is>
      </c>
      <c r="O1154" s="31" t="n">
        <v>382.5</v>
      </c>
    </row>
    <row r="1155">
      <c r="A1155" t="inlineStr">
        <is>
          <t>ENC115485</t>
        </is>
      </c>
      <c r="B1155" t="inlineStr">
        <is>
          <t>PT11668</t>
        </is>
      </c>
      <c r="C1155" t="inlineStr">
        <is>
          <t>Outpatient</t>
        </is>
      </c>
      <c r="D1155" t="inlineStr">
        <is>
          <t>Bluestone Outpatient Pavilion</t>
        </is>
      </c>
      <c r="E1155" t="inlineStr">
        <is>
          <t>Primary Care Clinic</t>
        </is>
      </c>
      <c r="F1155" t="inlineStr">
        <is>
          <t>Ambulatory</t>
        </is>
      </c>
      <c r="G1155" s="29" t="n">
        <v>45806</v>
      </c>
      <c r="H1155" s="29" t="n">
        <v>45806</v>
      </c>
      <c r="I1155" s="30" t="n"/>
      <c r="J1155" t="inlineStr">
        <is>
          <t>F32.9</t>
        </is>
      </c>
      <c r="K1155" t="inlineStr">
        <is>
          <t>Major depressive disorder, single episode, unspecified</t>
        </is>
      </c>
      <c r="L1155" t="inlineStr">
        <is>
          <t>Mental &amp; Behavioral</t>
        </is>
      </c>
      <c r="M1155" t="inlineStr">
        <is>
          <t>Home/Self-Care</t>
        </is>
      </c>
      <c r="N1155" t="inlineStr">
        <is>
          <t>Keystone Health Partners</t>
        </is>
      </c>
      <c r="O1155" s="31" t="n">
        <v>197.1</v>
      </c>
    </row>
    <row r="1156">
      <c r="A1156" t="inlineStr">
        <is>
          <t>ENC115489</t>
        </is>
      </c>
      <c r="B1156" t="inlineStr">
        <is>
          <t>PT12804</t>
        </is>
      </c>
      <c r="C1156" t="inlineStr">
        <is>
          <t>Outpatient</t>
        </is>
      </c>
      <c r="D1156" t="inlineStr">
        <is>
          <t>Bluestone Outpatient Pavilion</t>
        </is>
      </c>
      <c r="E1156" t="inlineStr">
        <is>
          <t>Infusion &amp; Oncology Clinic</t>
        </is>
      </c>
      <c r="F1156" t="inlineStr">
        <is>
          <t>Oncology</t>
        </is>
      </c>
      <c r="G1156" s="29" t="n">
        <v>45806</v>
      </c>
      <c r="H1156" s="29" t="n">
        <v>45806</v>
      </c>
      <c r="I1156" s="30" t="n"/>
      <c r="J1156" t="inlineStr">
        <is>
          <t>C34.90</t>
        </is>
      </c>
      <c r="K1156" t="inlineStr">
        <is>
          <t>Malignant neoplasm of unspecified part of unspecified bronchus or lung</t>
        </is>
      </c>
      <c r="L1156" t="inlineStr">
        <is>
          <t>Neoplasms</t>
        </is>
      </c>
      <c r="M1156" t="inlineStr">
        <is>
          <t>Home/Self-Care</t>
        </is>
      </c>
      <c r="N1156" t="inlineStr">
        <is>
          <t>State Medicaid</t>
        </is>
      </c>
      <c r="O1156" s="31" t="n">
        <v>1195.44</v>
      </c>
    </row>
    <row r="1157">
      <c r="A1157" t="inlineStr">
        <is>
          <t>ENC115493</t>
        </is>
      </c>
      <c r="B1157" t="inlineStr">
        <is>
          <t>PT11164</t>
        </is>
      </c>
      <c r="C1157" t="inlineStr">
        <is>
          <t>Emergency</t>
        </is>
      </c>
      <c r="D1157" t="inlineStr">
        <is>
          <t>Bluestone Memorial Hospital</t>
        </is>
      </c>
      <c r="E1157" t="inlineStr">
        <is>
          <t>Emergency Department</t>
        </is>
      </c>
      <c r="F1157" t="inlineStr">
        <is>
          <t>Emergency</t>
        </is>
      </c>
      <c r="G1157" s="29" t="n">
        <v>45806</v>
      </c>
      <c r="H1157" s="29" t="n">
        <v>45806</v>
      </c>
      <c r="I1157" s="30" t="n"/>
      <c r="J1157" t="inlineStr">
        <is>
          <t>J06.9</t>
        </is>
      </c>
      <c r="K1157" t="inlineStr">
        <is>
          <t>Acute upper respiratory infection, unspecified</t>
        </is>
      </c>
      <c r="L1157" t="inlineStr">
        <is>
          <t>Respiratory</t>
        </is>
      </c>
      <c r="M1157" t="inlineStr">
        <is>
          <t>Home/Self-Care</t>
        </is>
      </c>
      <c r="N1157" t="inlineStr">
        <is>
          <t>State Medicaid</t>
        </is>
      </c>
      <c r="O1157" s="31" t="n">
        <v>1374.19</v>
      </c>
    </row>
    <row r="1158">
      <c r="A1158" t="inlineStr">
        <is>
          <t>ENC115497</t>
        </is>
      </c>
      <c r="B1158" t="inlineStr">
        <is>
          <t>PT13744</t>
        </is>
      </c>
      <c r="C1158" t="inlineStr">
        <is>
          <t>Inpatient</t>
        </is>
      </c>
      <c r="D1158" t="inlineStr">
        <is>
          <t>Bluestone Memorial Hospital</t>
        </is>
      </c>
      <c r="E1158" t="inlineStr">
        <is>
          <t>Medical-Surgical 5 East</t>
        </is>
      </c>
      <c r="F1158" t="inlineStr">
        <is>
          <t>Medicine</t>
        </is>
      </c>
      <c r="G1158" s="29" t="n">
        <v>45807</v>
      </c>
      <c r="H1158" s="29" t="n">
        <v>45809</v>
      </c>
      <c r="I1158" s="30" t="n">
        <v>2</v>
      </c>
      <c r="J1158" t="inlineStr">
        <is>
          <t>E11.65</t>
        </is>
      </c>
      <c r="K1158" t="inlineStr">
        <is>
          <t>Type 2 diabetes mellitus with hyperglycemia</t>
        </is>
      </c>
      <c r="L1158" t="inlineStr">
        <is>
          <t>Endocrine</t>
        </is>
      </c>
      <c r="M1158" t="inlineStr">
        <is>
          <t>Home/Self-Care</t>
        </is>
      </c>
      <c r="N1158" t="inlineStr">
        <is>
          <t>Medicare</t>
        </is>
      </c>
      <c r="O1158" s="31" t="n">
        <v>5195.41</v>
      </c>
      <c r="P1158" t="inlineStr">
        <is>
          <t>N</t>
        </is>
      </c>
    </row>
    <row r="1159">
      <c r="A1159" t="inlineStr">
        <is>
          <t>ENC115499</t>
        </is>
      </c>
      <c r="B1159" t="inlineStr">
        <is>
          <t>PT13544</t>
        </is>
      </c>
      <c r="C1159" t="inlineStr">
        <is>
          <t>Inpatient</t>
        </is>
      </c>
      <c r="D1159" t="inlineStr">
        <is>
          <t>Bluestone Memorial Hospital</t>
        </is>
      </c>
      <c r="E1159" t="inlineStr">
        <is>
          <t>Labor &amp; Delivery</t>
        </is>
      </c>
      <c r="F1159" t="inlineStr">
        <is>
          <t>Women &amp; Children</t>
        </is>
      </c>
      <c r="G1159" s="29" t="n">
        <v>45807</v>
      </c>
      <c r="H1159" s="29" t="n">
        <v>45808</v>
      </c>
      <c r="I1159" s="30" t="n">
        <v>1</v>
      </c>
      <c r="J1159" t="inlineStr">
        <is>
          <t>O80</t>
        </is>
      </c>
      <c r="K1159" t="inlineStr">
        <is>
          <t>Encounter for full-term uncomplicated delivery</t>
        </is>
      </c>
      <c r="L1159" t="inlineStr">
        <is>
          <t>Pregnancy</t>
        </is>
      </c>
      <c r="M1159" t="inlineStr">
        <is>
          <t>Home/Self-Care</t>
        </is>
      </c>
      <c r="N1159" t="inlineStr">
        <is>
          <t>Keystone Health Partners</t>
        </is>
      </c>
      <c r="O1159" s="31" t="n">
        <v>12007.04</v>
      </c>
      <c r="P1159" t="inlineStr">
        <is>
          <t>N</t>
        </is>
      </c>
    </row>
    <row r="1160">
      <c r="A1160" t="inlineStr">
        <is>
          <t>ENC115501</t>
        </is>
      </c>
      <c r="B1160" t="inlineStr">
        <is>
          <t>PT11632</t>
        </is>
      </c>
      <c r="C1160" t="inlineStr">
        <is>
          <t>Inpatient</t>
        </is>
      </c>
      <c r="D1160" t="inlineStr">
        <is>
          <t>Bluestone Memorial Hospital</t>
        </is>
      </c>
      <c r="E1160" t="inlineStr">
        <is>
          <t>Medical-Surgical 4 West</t>
        </is>
      </c>
      <c r="F1160" t="inlineStr">
        <is>
          <t>Medicine</t>
        </is>
      </c>
      <c r="G1160" s="29" t="n">
        <v>45807</v>
      </c>
      <c r="H1160" s="29" t="n">
        <v>45808</v>
      </c>
      <c r="I1160" s="30" t="n">
        <v>1</v>
      </c>
      <c r="J1160" t="inlineStr">
        <is>
          <t>J18.9</t>
        </is>
      </c>
      <c r="K1160" t="inlineStr">
        <is>
          <t>Pneumonia, unspecified organism</t>
        </is>
      </c>
      <c r="L1160" t="inlineStr">
        <is>
          <t>Respiratory</t>
        </is>
      </c>
      <c r="M1160" t="inlineStr">
        <is>
          <t>Skilled Nursing Facility</t>
        </is>
      </c>
      <c r="N1160" t="inlineStr">
        <is>
          <t>State Medicaid</t>
        </is>
      </c>
      <c r="O1160" s="31" t="n">
        <v>6234.09</v>
      </c>
      <c r="P1160" t="inlineStr">
        <is>
          <t>N</t>
        </is>
      </c>
    </row>
    <row r="1161">
      <c r="A1161" t="inlineStr">
        <is>
          <t>ENC115505</t>
        </is>
      </c>
      <c r="B1161" t="inlineStr">
        <is>
          <t>PT11508</t>
        </is>
      </c>
      <c r="C1161" t="inlineStr">
        <is>
          <t>Outpatient</t>
        </is>
      </c>
      <c r="D1161" t="inlineStr">
        <is>
          <t>Bluestone Outpatient Pavilion</t>
        </is>
      </c>
      <c r="E1161" t="inlineStr">
        <is>
          <t>Orthopedic Clinic</t>
        </is>
      </c>
      <c r="F1161" t="inlineStr">
        <is>
          <t>Orthopedics</t>
        </is>
      </c>
      <c r="G1161" s="29" t="n">
        <v>45807</v>
      </c>
      <c r="H1161" s="29" t="n">
        <v>45807</v>
      </c>
      <c r="I1161" s="30" t="n"/>
      <c r="J1161" t="inlineStr">
        <is>
          <t>M16.11</t>
        </is>
      </c>
      <c r="K1161" t="inlineStr">
        <is>
          <t>Unilateral primary osteoarthritis, right hip</t>
        </is>
      </c>
      <c r="L1161" t="inlineStr">
        <is>
          <t>Musculoskeletal</t>
        </is>
      </c>
      <c r="M1161" t="inlineStr">
        <is>
          <t>Home/Self-Care</t>
        </is>
      </c>
      <c r="N1161" t="inlineStr">
        <is>
          <t>Evergreen Mutual Insurance</t>
        </is>
      </c>
      <c r="O1161" s="31" t="n">
        <v>335.09</v>
      </c>
    </row>
    <row r="1162">
      <c r="A1162" t="inlineStr">
        <is>
          <t>ENC115510</t>
        </is>
      </c>
      <c r="B1162" t="inlineStr">
        <is>
          <t>PT10048</t>
        </is>
      </c>
      <c r="C1162" t="inlineStr">
        <is>
          <t>Outpatient</t>
        </is>
      </c>
      <c r="D1162" t="inlineStr">
        <is>
          <t>Bluestone Outpatient Pavilion</t>
        </is>
      </c>
      <c r="E1162" t="inlineStr">
        <is>
          <t>Pediatric Clinic</t>
        </is>
      </c>
      <c r="F1162" t="inlineStr">
        <is>
          <t>Women &amp; Children</t>
        </is>
      </c>
      <c r="G1162" s="29" t="n">
        <v>45807</v>
      </c>
      <c r="H1162" s="29" t="n">
        <v>45807</v>
      </c>
      <c r="I1162" s="30" t="n"/>
      <c r="J1162" t="inlineStr">
        <is>
          <t>H66.90</t>
        </is>
      </c>
      <c r="K1162" t="inlineStr">
        <is>
          <t>Otitis media, unspecified, unspecified ear</t>
        </is>
      </c>
      <c r="L1162" t="inlineStr">
        <is>
          <t>Ear</t>
        </is>
      </c>
      <c r="M1162" t="inlineStr">
        <is>
          <t>Home/Self-Care</t>
        </is>
      </c>
      <c r="N1162" t="inlineStr">
        <is>
          <t>State Medicaid</t>
        </is>
      </c>
      <c r="O1162" s="31" t="n">
        <v>132.16</v>
      </c>
    </row>
    <row r="1163">
      <c r="A1163" t="inlineStr">
        <is>
          <t>ENC115512</t>
        </is>
      </c>
      <c r="B1163" t="inlineStr">
        <is>
          <t>PT12884</t>
        </is>
      </c>
      <c r="C1163" t="inlineStr">
        <is>
          <t>Outpatient</t>
        </is>
      </c>
      <c r="D1163" t="inlineStr">
        <is>
          <t>Bluestone Outpatient Pavilion</t>
        </is>
      </c>
      <c r="E1163" t="inlineStr">
        <is>
          <t>Primary Care Clinic</t>
        </is>
      </c>
      <c r="F1163" t="inlineStr">
        <is>
          <t>Ambulatory</t>
        </is>
      </c>
      <c r="G1163" s="29" t="n">
        <v>45807</v>
      </c>
      <c r="H1163" s="29" t="n">
        <v>45807</v>
      </c>
      <c r="I1163" s="30" t="n"/>
      <c r="J1163" t="inlineStr">
        <is>
          <t>Z00.00</t>
        </is>
      </c>
      <c r="K1163" t="inlineStr">
        <is>
          <t>Encounter for general adult medical examination without abnormal findings</t>
        </is>
      </c>
      <c r="L1163" t="inlineStr">
        <is>
          <t>Factors Influencing Health</t>
        </is>
      </c>
      <c r="M1163" t="inlineStr">
        <is>
          <t>Home/Self-Care</t>
        </is>
      </c>
      <c r="N1163" t="inlineStr">
        <is>
          <t>Silverline Medicare Advantage</t>
        </is>
      </c>
      <c r="O1163" s="31" t="n">
        <v>430.09</v>
      </c>
    </row>
    <row r="1164">
      <c r="A1164" t="inlineStr">
        <is>
          <t>ENC115514</t>
        </is>
      </c>
      <c r="B1164" t="inlineStr">
        <is>
          <t>PT13376</t>
        </is>
      </c>
      <c r="C1164" t="inlineStr">
        <is>
          <t>Inpatient</t>
        </is>
      </c>
      <c r="D1164" t="inlineStr">
        <is>
          <t>Bluestone Memorial Hospital</t>
        </is>
      </c>
      <c r="E1164" t="inlineStr">
        <is>
          <t>Medical-Surgical 5 East</t>
        </is>
      </c>
      <c r="F1164" t="inlineStr">
        <is>
          <t>Medicine</t>
        </is>
      </c>
      <c r="G1164" s="29" t="n">
        <v>45807</v>
      </c>
      <c r="H1164" s="29" t="n">
        <v>45810</v>
      </c>
      <c r="I1164" s="30" t="n">
        <v>3</v>
      </c>
      <c r="J1164" t="inlineStr">
        <is>
          <t>J44.1</t>
        </is>
      </c>
      <c r="K1164" t="inlineStr">
        <is>
          <t>Chronic obstructive pulmonary disease with (acute) exacerbation</t>
        </is>
      </c>
      <c r="L1164" t="inlineStr">
        <is>
          <t>Respiratory</t>
        </is>
      </c>
      <c r="M1164" t="inlineStr">
        <is>
          <t>Home/Self-Care</t>
        </is>
      </c>
      <c r="N1164" t="inlineStr">
        <is>
          <t>State Medicaid</t>
        </is>
      </c>
      <c r="O1164" s="31" t="n">
        <v>20833.87</v>
      </c>
      <c r="P1164" t="inlineStr">
        <is>
          <t>Y</t>
        </is>
      </c>
    </row>
    <row r="1165">
      <c r="A1165" t="inlineStr">
        <is>
          <t>ENC115517</t>
        </is>
      </c>
      <c r="B1165" t="inlineStr">
        <is>
          <t>PT12684</t>
        </is>
      </c>
      <c r="C1165" t="inlineStr">
        <is>
          <t>Outpatient</t>
        </is>
      </c>
      <c r="D1165" t="inlineStr">
        <is>
          <t>Bluestone Outpatient Pavilion</t>
        </is>
      </c>
      <c r="E1165" t="inlineStr">
        <is>
          <t>Primary Care Clinic</t>
        </is>
      </c>
      <c r="F1165" t="inlineStr">
        <is>
          <t>Ambulatory</t>
        </is>
      </c>
      <c r="G1165" s="29" t="n">
        <v>45807</v>
      </c>
      <c r="H1165" s="29" t="n">
        <v>45807</v>
      </c>
      <c r="I1165" s="30" t="n"/>
      <c r="J1165" t="inlineStr">
        <is>
          <t>E78.5</t>
        </is>
      </c>
      <c r="K1165" t="inlineStr">
        <is>
          <t>Hyperlipidemia, unspecified</t>
        </is>
      </c>
      <c r="L1165" t="inlineStr">
        <is>
          <t>Endocrine</t>
        </is>
      </c>
      <c r="M1165" t="inlineStr">
        <is>
          <t>Home/Self-Care</t>
        </is>
      </c>
      <c r="N1165" t="inlineStr">
        <is>
          <t>Summit Choice PPO</t>
        </is>
      </c>
      <c r="O1165" s="31" t="n">
        <v>256.63</v>
      </c>
    </row>
    <row r="1166">
      <c r="A1166" t="inlineStr">
        <is>
          <t>ENC115520</t>
        </is>
      </c>
      <c r="B1166" t="inlineStr">
        <is>
          <t>PT11020</t>
        </is>
      </c>
      <c r="C1166" t="inlineStr">
        <is>
          <t>Outpatient</t>
        </is>
      </c>
      <c r="D1166" t="inlineStr">
        <is>
          <t>Bluestone Outpatient Pavilion</t>
        </is>
      </c>
      <c r="E1166" t="inlineStr">
        <is>
          <t>Pediatric Clinic</t>
        </is>
      </c>
      <c r="F1166" t="inlineStr">
        <is>
          <t>Women &amp; Children</t>
        </is>
      </c>
      <c r="G1166" s="29" t="n">
        <v>45807</v>
      </c>
      <c r="H1166" s="29" t="n">
        <v>45807</v>
      </c>
      <c r="I1166" s="30" t="n"/>
      <c r="J1166" t="inlineStr">
        <is>
          <t>Z00.129</t>
        </is>
      </c>
      <c r="K1166" t="inlineStr">
        <is>
          <t>Encounter for routine child health examination without abnormal findings</t>
        </is>
      </c>
      <c r="L1166" t="inlineStr">
        <is>
          <t>Factors Influencing Health</t>
        </is>
      </c>
      <c r="M1166" t="inlineStr">
        <is>
          <t>Home/Self-Care</t>
        </is>
      </c>
      <c r="N1166" t="inlineStr">
        <is>
          <t>State Medicaid</t>
        </is>
      </c>
      <c r="O1166" s="31" t="n">
        <v>400.17</v>
      </c>
    </row>
    <row r="1167">
      <c r="A1167" t="inlineStr">
        <is>
          <t>ENC115537</t>
        </is>
      </c>
      <c r="B1167" t="inlineStr">
        <is>
          <t>PT13928</t>
        </is>
      </c>
      <c r="C1167" t="inlineStr">
        <is>
          <t>Emergency</t>
        </is>
      </c>
      <c r="D1167" t="inlineStr">
        <is>
          <t>Ashby Falls Community Hospital</t>
        </is>
      </c>
      <c r="E1167" t="inlineStr">
        <is>
          <t>Emergency Department</t>
        </is>
      </c>
      <c r="F1167" t="inlineStr">
        <is>
          <t>Emergency</t>
        </is>
      </c>
      <c r="G1167" s="29" t="n">
        <v>45808</v>
      </c>
      <c r="H1167" s="29" t="n">
        <v>45808</v>
      </c>
      <c r="I1167" s="30" t="n"/>
      <c r="J1167" t="inlineStr">
        <is>
          <t>F10.239</t>
        </is>
      </c>
      <c r="K1167" t="inlineStr">
        <is>
          <t>Alcohol dependence with withdrawal, unspecified</t>
        </is>
      </c>
      <c r="L1167" t="inlineStr">
        <is>
          <t>Mental &amp; Behavioral</t>
        </is>
      </c>
      <c r="M1167" t="inlineStr">
        <is>
          <t>Home/Self-Care</t>
        </is>
      </c>
      <c r="N1167" t="inlineStr">
        <is>
          <t>Medicare</t>
        </is>
      </c>
      <c r="O1167" s="31" t="n">
        <v>5358.68</v>
      </c>
    </row>
    <row r="1168">
      <c r="A1168" t="inlineStr">
        <is>
          <t>ENC115539</t>
        </is>
      </c>
      <c r="B1168" t="inlineStr">
        <is>
          <t>PT11592</t>
        </is>
      </c>
      <c r="C1168" t="inlineStr">
        <is>
          <t>Emergency</t>
        </is>
      </c>
      <c r="D1168" t="inlineStr">
        <is>
          <t>Ashby Falls Community Hospital</t>
        </is>
      </c>
      <c r="E1168" t="inlineStr">
        <is>
          <t>Emergency Department</t>
        </is>
      </c>
      <c r="F1168" t="inlineStr">
        <is>
          <t>Emergency</t>
        </is>
      </c>
      <c r="G1168" s="29" t="n">
        <v>45808</v>
      </c>
      <c r="H1168" s="29" t="n">
        <v>45808</v>
      </c>
      <c r="I1168" s="30" t="n"/>
      <c r="J1168" t="inlineStr">
        <is>
          <t>N39.0</t>
        </is>
      </c>
      <c r="K1168" t="inlineStr">
        <is>
          <t>Urinary tract infection, site not specified</t>
        </is>
      </c>
      <c r="L1168" t="inlineStr">
        <is>
          <t>Genitourinary</t>
        </is>
      </c>
      <c r="M1168" t="inlineStr">
        <is>
          <t>Home/Self-Care</t>
        </is>
      </c>
      <c r="N1168" t="inlineStr">
        <is>
          <t>Medicare</t>
        </is>
      </c>
      <c r="O1168" s="31" t="n">
        <v>751.46</v>
      </c>
    </row>
    <row r="1169">
      <c r="A1169" t="inlineStr">
        <is>
          <t>ENC115542</t>
        </is>
      </c>
      <c r="B1169" t="inlineStr">
        <is>
          <t>PT12488</t>
        </is>
      </c>
      <c r="C1169" t="inlineStr">
        <is>
          <t>Inpatient</t>
        </is>
      </c>
      <c r="D1169" t="inlineStr">
        <is>
          <t>Bluestone Memorial Hospital</t>
        </is>
      </c>
      <c r="E1169" t="inlineStr">
        <is>
          <t>Labor &amp; Delivery</t>
        </is>
      </c>
      <c r="F1169" t="inlineStr">
        <is>
          <t>Women &amp; Children</t>
        </is>
      </c>
      <c r="G1169" s="29" t="n">
        <v>45809</v>
      </c>
      <c r="H1169" s="29" t="n">
        <v>45810</v>
      </c>
      <c r="I1169" s="30" t="n">
        <v>1</v>
      </c>
      <c r="J1169" t="inlineStr">
        <is>
          <t>O80</t>
        </is>
      </c>
      <c r="K1169" t="inlineStr">
        <is>
          <t>Encounter for full-term uncomplicated delivery</t>
        </is>
      </c>
      <c r="L1169" t="inlineStr">
        <is>
          <t>Pregnancy</t>
        </is>
      </c>
      <c r="M1169" t="inlineStr">
        <is>
          <t>Home/Self-Care</t>
        </is>
      </c>
      <c r="N1169" t="inlineStr">
        <is>
          <t>Summit Choice PPO</t>
        </is>
      </c>
      <c r="O1169" s="31" t="n">
        <v>14896.64</v>
      </c>
      <c r="P1169" t="inlineStr">
        <is>
          <t>N</t>
        </is>
      </c>
    </row>
    <row r="1170">
      <c r="A1170" t="inlineStr">
        <is>
          <t>ENC115544</t>
        </is>
      </c>
      <c r="B1170" t="inlineStr">
        <is>
          <t>PT12208</t>
        </is>
      </c>
      <c r="C1170" t="inlineStr">
        <is>
          <t>Inpatient</t>
        </is>
      </c>
      <c r="D1170" t="inlineStr">
        <is>
          <t>Bluestone Memorial Hospital</t>
        </is>
      </c>
      <c r="E1170" t="inlineStr">
        <is>
          <t>Labor &amp; Delivery</t>
        </is>
      </c>
      <c r="F1170" t="inlineStr">
        <is>
          <t>Women &amp; Children</t>
        </is>
      </c>
      <c r="G1170" s="29" t="n">
        <v>45809</v>
      </c>
      <c r="H1170" s="29" t="n">
        <v>45810</v>
      </c>
      <c r="I1170" s="30" t="n">
        <v>1</v>
      </c>
      <c r="J1170" t="inlineStr">
        <is>
          <t>O80</t>
        </is>
      </c>
      <c r="K1170" t="inlineStr">
        <is>
          <t>Encounter for full-term uncomplicated delivery</t>
        </is>
      </c>
      <c r="L1170" t="inlineStr">
        <is>
          <t>Pregnancy</t>
        </is>
      </c>
      <c r="M1170" t="inlineStr">
        <is>
          <t>Home/Self-Care</t>
        </is>
      </c>
      <c r="N1170" t="inlineStr">
        <is>
          <t>Evergreen Mutual Insurance</t>
        </is>
      </c>
      <c r="O1170" s="31" t="n">
        <v>13529.06</v>
      </c>
      <c r="P1170" t="inlineStr">
        <is>
          <t>N</t>
        </is>
      </c>
    </row>
    <row r="1171">
      <c r="A1171" t="inlineStr">
        <is>
          <t>ENC115546</t>
        </is>
      </c>
      <c r="B1171" t="inlineStr">
        <is>
          <t>PT13056</t>
        </is>
      </c>
      <c r="C1171" t="inlineStr">
        <is>
          <t>Observation</t>
        </is>
      </c>
      <c r="D1171" t="inlineStr">
        <is>
          <t>Bluestone Memorial Hospital</t>
        </is>
      </c>
      <c r="E1171" t="inlineStr">
        <is>
          <t>Observation Unit</t>
        </is>
      </c>
      <c r="F1171" t="inlineStr">
        <is>
          <t>Medicine</t>
        </is>
      </c>
      <c r="G1171" s="29" t="n">
        <v>45809</v>
      </c>
      <c r="H1171" s="29" t="n">
        <v>45810</v>
      </c>
      <c r="I1171" s="30" t="n">
        <v>1</v>
      </c>
      <c r="J1171" t="inlineStr">
        <is>
          <t>R07.9</t>
        </is>
      </c>
      <c r="K1171" t="inlineStr">
        <is>
          <t>Chest pain, unspecified</t>
        </is>
      </c>
      <c r="L1171" t="inlineStr">
        <is>
          <t>Symptoms &amp; Signs</t>
        </is>
      </c>
      <c r="M1171" t="inlineStr">
        <is>
          <t>Home/Self-Care</t>
        </is>
      </c>
      <c r="N1171" t="inlineStr">
        <is>
          <t>Silverline Medicare Advantage</t>
        </is>
      </c>
      <c r="O1171" s="31" t="n">
        <v>7125.44</v>
      </c>
    </row>
    <row r="1172">
      <c r="A1172" t="inlineStr">
        <is>
          <t>ENC115556</t>
        </is>
      </c>
      <c r="B1172" t="inlineStr">
        <is>
          <t>PT11196</t>
        </is>
      </c>
      <c r="C1172" t="inlineStr">
        <is>
          <t>Emergency</t>
        </is>
      </c>
      <c r="D1172" t="inlineStr">
        <is>
          <t>Bluestone Memorial Hospital</t>
        </is>
      </c>
      <c r="E1172" t="inlineStr">
        <is>
          <t>Emergency Department</t>
        </is>
      </c>
      <c r="F1172" t="inlineStr">
        <is>
          <t>Emergency</t>
        </is>
      </c>
      <c r="G1172" s="29" t="n">
        <v>45809</v>
      </c>
      <c r="H1172" s="29" t="n">
        <v>45809</v>
      </c>
      <c r="I1172" s="30" t="n"/>
      <c r="J1172" t="inlineStr">
        <is>
          <t>N39.0</t>
        </is>
      </c>
      <c r="K1172" t="inlineStr">
        <is>
          <t>Urinary tract infection, site not specified</t>
        </is>
      </c>
      <c r="L1172" t="inlineStr">
        <is>
          <t>Genitourinary</t>
        </is>
      </c>
      <c r="M1172" t="inlineStr">
        <is>
          <t>Home/Self-Care</t>
        </is>
      </c>
      <c r="N1172" t="inlineStr">
        <is>
          <t>Evergreen Mutual Insurance</t>
        </is>
      </c>
      <c r="O1172" s="31" t="n">
        <v>3052.23</v>
      </c>
    </row>
    <row r="1173">
      <c r="A1173" t="inlineStr">
        <is>
          <t>ENC115561</t>
        </is>
      </c>
      <c r="B1173" t="inlineStr">
        <is>
          <t>PT12916</t>
        </is>
      </c>
      <c r="C1173" t="inlineStr">
        <is>
          <t>Emergency</t>
        </is>
      </c>
      <c r="D1173" t="inlineStr">
        <is>
          <t>Bluestone Memorial Hospital</t>
        </is>
      </c>
      <c r="E1173" t="inlineStr">
        <is>
          <t>Emergency Department</t>
        </is>
      </c>
      <c r="F1173" t="inlineStr">
        <is>
          <t>Emergency</t>
        </is>
      </c>
      <c r="G1173" s="29" t="n">
        <v>45809</v>
      </c>
      <c r="H1173" s="29" t="n">
        <v>45810</v>
      </c>
      <c r="I1173" s="30" t="n"/>
      <c r="J1173" t="inlineStr">
        <is>
          <t>E11.65</t>
        </is>
      </c>
      <c r="K1173" t="inlineStr">
        <is>
          <t>Type 2 diabetes mellitus with hyperglycemia</t>
        </is>
      </c>
      <c r="L1173" t="inlineStr">
        <is>
          <t>Endocrine</t>
        </is>
      </c>
      <c r="M1173" t="inlineStr">
        <is>
          <t>Home/Self-Care</t>
        </is>
      </c>
      <c r="N1173" t="inlineStr">
        <is>
          <t>State Medicaid</t>
        </is>
      </c>
      <c r="O1173" s="31" t="n">
        <v>2607.61</v>
      </c>
    </row>
    <row r="1174">
      <c r="A1174" t="inlineStr">
        <is>
          <t>ENC115562</t>
        </is>
      </c>
      <c r="B1174" t="inlineStr">
        <is>
          <t>PT12376</t>
        </is>
      </c>
      <c r="C1174" t="inlineStr">
        <is>
          <t>Emergency</t>
        </is>
      </c>
      <c r="D1174" t="inlineStr">
        <is>
          <t>Bluestone Memorial Hospital</t>
        </is>
      </c>
      <c r="E1174" t="inlineStr">
        <is>
          <t>Emergency Department</t>
        </is>
      </c>
      <c r="F1174" t="inlineStr">
        <is>
          <t>Emergency</t>
        </is>
      </c>
      <c r="G1174" s="29" t="n">
        <v>45810</v>
      </c>
      <c r="H1174" s="29" t="n">
        <v>45810</v>
      </c>
      <c r="I1174" s="30" t="n"/>
      <c r="J1174" t="inlineStr">
        <is>
          <t>E86.0</t>
        </is>
      </c>
      <c r="K1174" t="inlineStr">
        <is>
          <t>Dehydration</t>
        </is>
      </c>
      <c r="L1174" t="inlineStr">
        <is>
          <t>Endocrine</t>
        </is>
      </c>
      <c r="M1174" t="inlineStr">
        <is>
          <t>Home/Self-Care</t>
        </is>
      </c>
      <c r="N1174" t="inlineStr">
        <is>
          <t>Keystone Health Partners</t>
        </is>
      </c>
      <c r="O1174" s="31" t="n">
        <v>1004.53</v>
      </c>
    </row>
    <row r="1175">
      <c r="A1175" t="inlineStr">
        <is>
          <t>ENC115567</t>
        </is>
      </c>
      <c r="B1175" t="inlineStr">
        <is>
          <t>PT13212</t>
        </is>
      </c>
      <c r="C1175" t="inlineStr">
        <is>
          <t>Outpatient</t>
        </is>
      </c>
      <c r="D1175" t="inlineStr">
        <is>
          <t>Bluestone Outpatient Pavilion</t>
        </is>
      </c>
      <c r="E1175" t="inlineStr">
        <is>
          <t>Infusion &amp; Oncology Clinic</t>
        </is>
      </c>
      <c r="F1175" t="inlineStr">
        <is>
          <t>Oncology</t>
        </is>
      </c>
      <c r="G1175" s="29" t="n">
        <v>45810</v>
      </c>
      <c r="H1175" s="29" t="n">
        <v>45810</v>
      </c>
      <c r="I1175" s="30" t="n"/>
      <c r="J1175" t="inlineStr">
        <is>
          <t>Z51.11</t>
        </is>
      </c>
      <c r="K1175" t="inlineStr">
        <is>
          <t>Encounter for antineoplastic chemotherapy</t>
        </is>
      </c>
      <c r="L1175" t="inlineStr">
        <is>
          <t>Factors Influencing Health</t>
        </is>
      </c>
      <c r="M1175" t="inlineStr">
        <is>
          <t>Home/Self-Care</t>
        </is>
      </c>
      <c r="N1175" t="inlineStr">
        <is>
          <t>Summit Choice PPO</t>
        </is>
      </c>
      <c r="O1175" s="31" t="n">
        <v>11603.25</v>
      </c>
    </row>
    <row r="1176">
      <c r="A1176" t="inlineStr">
        <is>
          <t>ENC115577</t>
        </is>
      </c>
      <c r="B1176" t="inlineStr">
        <is>
          <t>PT13908</t>
        </is>
      </c>
      <c r="C1176" t="inlineStr">
        <is>
          <t>Inpatient</t>
        </is>
      </c>
      <c r="D1176" t="inlineStr">
        <is>
          <t>Bluestone Memorial Hospital</t>
        </is>
      </c>
      <c r="E1176" t="inlineStr">
        <is>
          <t>Medical-Surgical 5 East</t>
        </is>
      </c>
      <c r="F1176" t="inlineStr">
        <is>
          <t>Medicine</t>
        </is>
      </c>
      <c r="G1176" s="29" t="n">
        <v>45810</v>
      </c>
      <c r="H1176" s="29" t="n">
        <v>45813</v>
      </c>
      <c r="I1176" s="30" t="n">
        <v>3</v>
      </c>
      <c r="J1176" t="inlineStr">
        <is>
          <t>F10.239</t>
        </is>
      </c>
      <c r="K1176" t="inlineStr">
        <is>
          <t>Alcohol dependence with withdrawal, unspecified</t>
        </is>
      </c>
      <c r="L1176" t="inlineStr">
        <is>
          <t>Mental &amp; Behavioral</t>
        </is>
      </c>
      <c r="M1176" t="inlineStr">
        <is>
          <t>Home/Self-Care</t>
        </is>
      </c>
      <c r="N1176" t="inlineStr">
        <is>
          <t>Summit Choice PPO</t>
        </is>
      </c>
      <c r="O1176" s="31" t="n">
        <v>24978.28</v>
      </c>
      <c r="P1176" t="inlineStr">
        <is>
          <t>Y</t>
        </is>
      </c>
    </row>
    <row r="1177">
      <c r="A1177" t="inlineStr">
        <is>
          <t>ENC115584</t>
        </is>
      </c>
      <c r="B1177" t="inlineStr">
        <is>
          <t>PT11508</t>
        </is>
      </c>
      <c r="C1177" t="inlineStr">
        <is>
          <t>Inpatient</t>
        </is>
      </c>
      <c r="D1177" t="inlineStr">
        <is>
          <t>Bluestone Memorial Hospital</t>
        </is>
      </c>
      <c r="E1177" t="inlineStr">
        <is>
          <t>Neuroscience &amp; Stroke</t>
        </is>
      </c>
      <c r="F1177" t="inlineStr">
        <is>
          <t>Neuroscience</t>
        </is>
      </c>
      <c r="G1177" s="29" t="n">
        <v>45810</v>
      </c>
      <c r="H1177" s="29" t="n">
        <v>45815</v>
      </c>
      <c r="I1177" s="30" t="n">
        <v>5</v>
      </c>
      <c r="J1177" t="inlineStr">
        <is>
          <t>I63.9</t>
        </is>
      </c>
      <c r="K1177" t="inlineStr">
        <is>
          <t>Cerebral infarction, unspecified</t>
        </is>
      </c>
      <c r="L1177" t="inlineStr">
        <is>
          <t>Circulatory</t>
        </is>
      </c>
      <c r="M1177" t="inlineStr">
        <is>
          <t>Skilled Nursing Facility</t>
        </is>
      </c>
      <c r="N1177" t="inlineStr">
        <is>
          <t>Evergreen Mutual Insurance</t>
        </is>
      </c>
      <c r="O1177" s="31" t="n">
        <v>27385.87</v>
      </c>
      <c r="P1177" t="inlineStr">
        <is>
          <t>Y</t>
        </is>
      </c>
    </row>
    <row r="1178">
      <c r="A1178" t="inlineStr">
        <is>
          <t>ENC115585</t>
        </is>
      </c>
      <c r="B1178" t="inlineStr">
        <is>
          <t>PT13492</t>
        </is>
      </c>
      <c r="C1178" t="inlineStr">
        <is>
          <t>Emergency</t>
        </is>
      </c>
      <c r="D1178" t="inlineStr">
        <is>
          <t>Ashby Falls Community Hospital</t>
        </is>
      </c>
      <c r="E1178" t="inlineStr">
        <is>
          <t>Emergency Department</t>
        </is>
      </c>
      <c r="F1178" t="inlineStr">
        <is>
          <t>Emergency</t>
        </is>
      </c>
      <c r="G1178" s="29" t="n">
        <v>45810</v>
      </c>
      <c r="H1178" s="29" t="n">
        <v>45810</v>
      </c>
      <c r="I1178" s="30" t="n"/>
      <c r="J1178" t="inlineStr">
        <is>
          <t>G43.909</t>
        </is>
      </c>
      <c r="K1178" t="inlineStr">
        <is>
          <t>Migraine, unspecified, not intractable, without status migrainosus</t>
        </is>
      </c>
      <c r="L1178" t="inlineStr">
        <is>
          <t>Nervous System</t>
        </is>
      </c>
      <c r="M1178" t="inlineStr">
        <is>
          <t>Home/Self-Care</t>
        </is>
      </c>
      <c r="N1178" t="inlineStr">
        <is>
          <t>Self-Pay</t>
        </is>
      </c>
      <c r="O1178" s="31" t="n">
        <v>603.9400000000001</v>
      </c>
    </row>
    <row r="1179">
      <c r="A1179" t="inlineStr">
        <is>
          <t>ENC115590</t>
        </is>
      </c>
      <c r="B1179" t="inlineStr">
        <is>
          <t>PT11736</t>
        </is>
      </c>
      <c r="C1179" t="inlineStr">
        <is>
          <t>Inpatient</t>
        </is>
      </c>
      <c r="D1179" t="inlineStr">
        <is>
          <t>Bluestone Memorial Hospital</t>
        </is>
      </c>
      <c r="E1179" t="inlineStr">
        <is>
          <t>Medical-Surgical 5 East</t>
        </is>
      </c>
      <c r="F1179" t="inlineStr">
        <is>
          <t>Medicine</t>
        </is>
      </c>
      <c r="G1179" s="29" t="n">
        <v>45810</v>
      </c>
      <c r="H1179" s="29" t="n">
        <v>45813</v>
      </c>
      <c r="I1179" s="30" t="n">
        <v>3</v>
      </c>
      <c r="J1179" t="inlineStr">
        <is>
          <t>K92.2</t>
        </is>
      </c>
      <c r="K1179" t="inlineStr">
        <is>
          <t>Gastrointestinal hemorrhage, unspecified</t>
        </is>
      </c>
      <c r="L1179" t="inlineStr">
        <is>
          <t>Digestive</t>
        </is>
      </c>
      <c r="M1179" t="inlineStr">
        <is>
          <t>Home/Self-Care</t>
        </is>
      </c>
      <c r="N1179" t="inlineStr">
        <is>
          <t>Keystone Health Partners</t>
        </is>
      </c>
      <c r="O1179" s="31" t="n">
        <v>17750.37</v>
      </c>
      <c r="P1179" t="inlineStr">
        <is>
          <t>Y</t>
        </is>
      </c>
    </row>
    <row r="1180">
      <c r="A1180" t="inlineStr">
        <is>
          <t>ENC115591</t>
        </is>
      </c>
      <c r="B1180" t="inlineStr">
        <is>
          <t>PT12844</t>
        </is>
      </c>
      <c r="C1180" t="inlineStr">
        <is>
          <t>Inpatient</t>
        </is>
      </c>
      <c r="D1180" t="inlineStr">
        <is>
          <t>Bluestone Memorial Hospital</t>
        </is>
      </c>
      <c r="E1180" t="inlineStr">
        <is>
          <t>Behavioral Health</t>
        </is>
      </c>
      <c r="F1180" t="inlineStr">
        <is>
          <t>Behavioral Health</t>
        </is>
      </c>
      <c r="G1180" s="29" t="n">
        <v>45810</v>
      </c>
      <c r="H1180" s="29" t="n">
        <v>45818</v>
      </c>
      <c r="I1180" s="30" t="n">
        <v>8</v>
      </c>
      <c r="J1180" t="inlineStr">
        <is>
          <t>F32.9</t>
        </is>
      </c>
      <c r="K1180" t="inlineStr">
        <is>
          <t>Major depressive disorder, single episode, unspecified</t>
        </is>
      </c>
      <c r="L1180" t="inlineStr">
        <is>
          <t>Mental &amp; Behavioral</t>
        </is>
      </c>
      <c r="M1180" t="inlineStr">
        <is>
          <t>Home/Self-Care</t>
        </is>
      </c>
      <c r="N1180" t="inlineStr">
        <is>
          <t>State Medicaid</t>
        </is>
      </c>
      <c r="O1180" s="31" t="n">
        <v>22353.66</v>
      </c>
      <c r="P1180" t="inlineStr">
        <is>
          <t>N</t>
        </is>
      </c>
    </row>
    <row r="1181">
      <c r="A1181" t="inlineStr">
        <is>
          <t>ENC115593</t>
        </is>
      </c>
      <c r="B1181" t="inlineStr">
        <is>
          <t>PT10584</t>
        </is>
      </c>
      <c r="C1181" t="inlineStr">
        <is>
          <t>Emergency</t>
        </is>
      </c>
      <c r="D1181" t="inlineStr">
        <is>
          <t>Bluestone Memorial Hospital</t>
        </is>
      </c>
      <c r="E1181" t="inlineStr">
        <is>
          <t>Emergency Department</t>
        </is>
      </c>
      <c r="F1181" t="inlineStr">
        <is>
          <t>Emergency</t>
        </is>
      </c>
      <c r="G1181" s="29" t="n">
        <v>45810</v>
      </c>
      <c r="H1181" s="29" t="n">
        <v>45811</v>
      </c>
      <c r="I1181" s="30" t="n"/>
      <c r="J1181" t="inlineStr">
        <is>
          <t>J06.9</t>
        </is>
      </c>
      <c r="K1181" t="inlineStr">
        <is>
          <t>Acute upper respiratory infection, unspecified</t>
        </is>
      </c>
      <c r="L1181" t="inlineStr">
        <is>
          <t>Respiratory</t>
        </is>
      </c>
      <c r="M1181" t="inlineStr">
        <is>
          <t>Home/Self-Care</t>
        </is>
      </c>
      <c r="N1181" t="inlineStr">
        <is>
          <t>Keystone Health Partners</t>
        </is>
      </c>
      <c r="O1181" s="31" t="n">
        <v>1380.01</v>
      </c>
    </row>
    <row r="1182">
      <c r="A1182" t="inlineStr">
        <is>
          <t>ENC115596</t>
        </is>
      </c>
      <c r="B1182" t="inlineStr">
        <is>
          <t>PT12316</t>
        </is>
      </c>
      <c r="C1182" t="inlineStr">
        <is>
          <t>Inpatient</t>
        </is>
      </c>
      <c r="D1182" t="inlineStr">
        <is>
          <t>Bluestone Memorial Hospital</t>
        </is>
      </c>
      <c r="E1182" t="inlineStr">
        <is>
          <t>Orthopedics &amp; Spine</t>
        </is>
      </c>
      <c r="F1182" t="inlineStr">
        <is>
          <t>Orthopedics</t>
        </is>
      </c>
      <c r="G1182" s="29" t="n">
        <v>45811</v>
      </c>
      <c r="H1182" s="29" t="n">
        <v>45813</v>
      </c>
      <c r="I1182" s="30" t="n">
        <v>2</v>
      </c>
      <c r="J1182" t="inlineStr">
        <is>
          <t>M17.11</t>
        </is>
      </c>
      <c r="K1182" t="inlineStr">
        <is>
          <t>Unilateral primary osteoarthritis, right knee</t>
        </is>
      </c>
      <c r="L1182" t="inlineStr">
        <is>
          <t>Musculoskeletal</t>
        </is>
      </c>
      <c r="M1182" t="inlineStr">
        <is>
          <t>Home Health</t>
        </is>
      </c>
      <c r="N1182" t="inlineStr">
        <is>
          <t>Silverline Medicare Advantage</t>
        </is>
      </c>
      <c r="O1182" s="31" t="n">
        <v>47868.74</v>
      </c>
      <c r="P1182" t="inlineStr">
        <is>
          <t>N</t>
        </is>
      </c>
    </row>
    <row r="1183">
      <c r="A1183" t="inlineStr">
        <is>
          <t>ENC115597</t>
        </is>
      </c>
      <c r="B1183" t="inlineStr">
        <is>
          <t>PT12120</t>
        </is>
      </c>
      <c r="C1183" t="inlineStr">
        <is>
          <t>Outpatient</t>
        </is>
      </c>
      <c r="D1183" t="inlineStr">
        <is>
          <t>Bluestone Outpatient Pavilion</t>
        </is>
      </c>
      <c r="E1183" t="inlineStr">
        <is>
          <t>Cardiology Clinic</t>
        </is>
      </c>
      <c r="F1183" t="inlineStr">
        <is>
          <t>Cardiovascular</t>
        </is>
      </c>
      <c r="G1183" s="29" t="n">
        <v>45811</v>
      </c>
      <c r="H1183" s="29" t="n">
        <v>45811</v>
      </c>
      <c r="I1183" s="30" t="n"/>
      <c r="J1183" t="inlineStr">
        <is>
          <t>I50.9</t>
        </is>
      </c>
      <c r="K1183" t="inlineStr">
        <is>
          <t>Heart failure, unspecified</t>
        </is>
      </c>
      <c r="L1183" t="inlineStr">
        <is>
          <t>Circulatory</t>
        </is>
      </c>
      <c r="M1183" t="inlineStr">
        <is>
          <t>Home/Self-Care</t>
        </is>
      </c>
      <c r="N1183" t="inlineStr">
        <is>
          <t>State Medicaid</t>
        </is>
      </c>
      <c r="O1183" s="31" t="n">
        <v>279.72</v>
      </c>
    </row>
    <row r="1184">
      <c r="A1184" t="inlineStr">
        <is>
          <t>ENC115601</t>
        </is>
      </c>
      <c r="B1184" t="inlineStr">
        <is>
          <t>PT10448</t>
        </is>
      </c>
      <c r="C1184" t="inlineStr">
        <is>
          <t>Outpatient</t>
        </is>
      </c>
      <c r="D1184" t="inlineStr">
        <is>
          <t>Bluestone Outpatient Pavilion</t>
        </is>
      </c>
      <c r="E1184" t="inlineStr">
        <is>
          <t>Primary Care Clinic</t>
        </is>
      </c>
      <c r="F1184" t="inlineStr">
        <is>
          <t>Ambulatory</t>
        </is>
      </c>
      <c r="G1184" s="29" t="n">
        <v>45811</v>
      </c>
      <c r="H1184" s="29" t="n">
        <v>45811</v>
      </c>
      <c r="I1184" s="30" t="n"/>
      <c r="J1184" t="inlineStr">
        <is>
          <t>M54.50</t>
        </is>
      </c>
      <c r="K1184" t="inlineStr">
        <is>
          <t>Low back pain, unspecified</t>
        </is>
      </c>
      <c r="L1184" t="inlineStr">
        <is>
          <t>Musculoskeletal</t>
        </is>
      </c>
      <c r="M1184" t="inlineStr">
        <is>
          <t>Home/Self-Care</t>
        </is>
      </c>
      <c r="N1184" t="inlineStr">
        <is>
          <t>Summit Choice PPO</t>
        </is>
      </c>
      <c r="O1184" s="31" t="n">
        <v>352.59</v>
      </c>
    </row>
    <row r="1185">
      <c r="A1185" t="inlineStr">
        <is>
          <t>ENC115616</t>
        </is>
      </c>
      <c r="B1185" t="inlineStr">
        <is>
          <t>PT13004</t>
        </is>
      </c>
      <c r="C1185" t="inlineStr">
        <is>
          <t>Outpatient</t>
        </is>
      </c>
      <c r="D1185" t="inlineStr">
        <is>
          <t>Bluestone Outpatient Pavilion</t>
        </is>
      </c>
      <c r="E1185" t="inlineStr">
        <is>
          <t>Infusion &amp; Oncology Clinic</t>
        </is>
      </c>
      <c r="F1185" t="inlineStr">
        <is>
          <t>Oncology</t>
        </is>
      </c>
      <c r="G1185" s="29" t="n">
        <v>45811</v>
      </c>
      <c r="H1185" s="29" t="n">
        <v>45811</v>
      </c>
      <c r="I1185" s="30" t="n"/>
      <c r="J1185" t="inlineStr">
        <is>
          <t>C34.90</t>
        </is>
      </c>
      <c r="K1185" t="inlineStr">
        <is>
          <t>Malignant neoplasm of unspecified part of unspecified bronchus or lung</t>
        </is>
      </c>
      <c r="L1185" t="inlineStr">
        <is>
          <t>Neoplasms</t>
        </is>
      </c>
      <c r="M1185" t="inlineStr">
        <is>
          <t>Home/Self-Care</t>
        </is>
      </c>
      <c r="N1185" t="inlineStr">
        <is>
          <t>Medicare</t>
        </is>
      </c>
      <c r="O1185" s="31" t="n">
        <v>802.29</v>
      </c>
    </row>
    <row r="1186">
      <c r="A1186" t="inlineStr">
        <is>
          <t>ENC115618</t>
        </is>
      </c>
      <c r="B1186" t="inlineStr">
        <is>
          <t>PT12292</t>
        </is>
      </c>
      <c r="C1186" t="inlineStr">
        <is>
          <t>Outpatient</t>
        </is>
      </c>
      <c r="D1186" t="inlineStr">
        <is>
          <t>Bluestone Outpatient Pavilion</t>
        </is>
      </c>
      <c r="E1186" t="inlineStr">
        <is>
          <t>Cardiology Clinic</t>
        </is>
      </c>
      <c r="F1186" t="inlineStr">
        <is>
          <t>Cardiovascular</t>
        </is>
      </c>
      <c r="G1186" s="29" t="n">
        <v>45811</v>
      </c>
      <c r="H1186" s="29" t="n">
        <v>45811</v>
      </c>
      <c r="I1186" s="30" t="n"/>
      <c r="J1186" t="inlineStr">
        <is>
          <t>I50.9</t>
        </is>
      </c>
      <c r="K1186" t="inlineStr">
        <is>
          <t>Heart failure, unspecified</t>
        </is>
      </c>
      <c r="L1186" t="inlineStr">
        <is>
          <t>Circulatory</t>
        </is>
      </c>
      <c r="M1186" t="inlineStr">
        <is>
          <t>Home/Self-Care</t>
        </is>
      </c>
      <c r="N1186" t="inlineStr">
        <is>
          <t>Silverline Medicare Advantage</t>
        </is>
      </c>
      <c r="O1186" s="31" t="n">
        <v>294.31</v>
      </c>
    </row>
    <row r="1187">
      <c r="A1187" t="inlineStr">
        <is>
          <t>ENC115625</t>
        </is>
      </c>
      <c r="B1187" t="inlineStr">
        <is>
          <t>PT11028</t>
        </is>
      </c>
      <c r="C1187" t="inlineStr">
        <is>
          <t>Emergency</t>
        </is>
      </c>
      <c r="D1187" t="inlineStr">
        <is>
          <t>Bluestone Memorial Hospital</t>
        </is>
      </c>
      <c r="E1187" t="inlineStr">
        <is>
          <t>Emergency Department</t>
        </is>
      </c>
      <c r="F1187" t="inlineStr">
        <is>
          <t>Emergency</t>
        </is>
      </c>
      <c r="G1187" s="29" t="n">
        <v>45812</v>
      </c>
      <c r="H1187" s="29" t="n">
        <v>45812</v>
      </c>
      <c r="I1187" s="30" t="n"/>
      <c r="J1187" t="inlineStr">
        <is>
          <t>R07.9</t>
        </is>
      </c>
      <c r="K1187" t="inlineStr">
        <is>
          <t>Chest pain, unspecified</t>
        </is>
      </c>
      <c r="L1187" t="inlineStr">
        <is>
          <t>Symptoms &amp; Signs</t>
        </is>
      </c>
      <c r="M1187" t="inlineStr">
        <is>
          <t>Home/Self-Care</t>
        </is>
      </c>
      <c r="N1187" t="inlineStr">
        <is>
          <t>Self-Pay</t>
        </is>
      </c>
      <c r="O1187" s="31" t="n">
        <v>2858.93</v>
      </c>
    </row>
    <row r="1188">
      <c r="A1188" t="inlineStr">
        <is>
          <t>ENC115626</t>
        </is>
      </c>
      <c r="B1188" t="inlineStr">
        <is>
          <t>PT12888</t>
        </is>
      </c>
      <c r="C1188" t="inlineStr">
        <is>
          <t>Outpatient</t>
        </is>
      </c>
      <c r="D1188" t="inlineStr">
        <is>
          <t>Bluestone Outpatient Pavilion</t>
        </is>
      </c>
      <c r="E1188" t="inlineStr">
        <is>
          <t>Primary Care Clinic</t>
        </is>
      </c>
      <c r="F1188" t="inlineStr">
        <is>
          <t>Ambulatory</t>
        </is>
      </c>
      <c r="G1188" s="29" t="n">
        <v>45812</v>
      </c>
      <c r="H1188" s="29" t="n">
        <v>45812</v>
      </c>
      <c r="I1188" s="30" t="n"/>
      <c r="J1188" t="inlineStr">
        <is>
          <t>J45.909</t>
        </is>
      </c>
      <c r="K1188" t="inlineStr">
        <is>
          <t>Unspecified asthma, uncomplicated</t>
        </is>
      </c>
      <c r="L1188" t="inlineStr">
        <is>
          <t>Respiratory</t>
        </is>
      </c>
      <c r="M1188" t="inlineStr">
        <is>
          <t>Home/Self-Care</t>
        </is>
      </c>
      <c r="N1188" t="inlineStr">
        <is>
          <t>Evergreen Mutual Insurance</t>
        </is>
      </c>
      <c r="O1188" s="31" t="n">
        <v>374.55</v>
      </c>
    </row>
    <row r="1189">
      <c r="A1189" t="inlineStr">
        <is>
          <t>ENC115628</t>
        </is>
      </c>
      <c r="B1189" t="inlineStr">
        <is>
          <t>PT11628</t>
        </is>
      </c>
      <c r="C1189" t="inlineStr">
        <is>
          <t>Inpatient</t>
        </is>
      </c>
      <c r="D1189" t="inlineStr">
        <is>
          <t>Bluestone Memorial Hospital</t>
        </is>
      </c>
      <c r="E1189" t="inlineStr">
        <is>
          <t>Medical-Surgical 4 West</t>
        </is>
      </c>
      <c r="F1189" t="inlineStr">
        <is>
          <t>Medicine</t>
        </is>
      </c>
      <c r="G1189" s="29" t="n">
        <v>45812</v>
      </c>
      <c r="H1189" s="29" t="n">
        <v>45821</v>
      </c>
      <c r="I1189" s="30" t="n">
        <v>9</v>
      </c>
      <c r="J1189" t="inlineStr">
        <is>
          <t>N17.9</t>
        </is>
      </c>
      <c r="K1189" t="inlineStr">
        <is>
          <t>Acute kidney failure, unspecified</t>
        </is>
      </c>
      <c r="L1189" t="inlineStr">
        <is>
          <t>Genitourinary</t>
        </is>
      </c>
      <c r="M1189" t="inlineStr">
        <is>
          <t>Home Health</t>
        </is>
      </c>
      <c r="N1189" t="inlineStr">
        <is>
          <t>Silverline Medicare Advantage</t>
        </is>
      </c>
      <c r="O1189" s="31" t="n">
        <v>24418.11</v>
      </c>
      <c r="P1189" t="inlineStr">
        <is>
          <t>N</t>
        </is>
      </c>
    </row>
    <row r="1190">
      <c r="A1190" t="inlineStr">
        <is>
          <t>ENC115629</t>
        </is>
      </c>
      <c r="B1190" t="inlineStr">
        <is>
          <t>PT10504</t>
        </is>
      </c>
      <c r="C1190" t="inlineStr">
        <is>
          <t>Outpatient</t>
        </is>
      </c>
      <c r="D1190" t="inlineStr">
        <is>
          <t>Bluestone Outpatient Pavilion</t>
        </is>
      </c>
      <c r="E1190" t="inlineStr">
        <is>
          <t>Cardiology Clinic</t>
        </is>
      </c>
      <c r="F1190" t="inlineStr">
        <is>
          <t>Cardiovascular</t>
        </is>
      </c>
      <c r="G1190" s="29" t="n">
        <v>45812</v>
      </c>
      <c r="H1190" s="29" t="n">
        <v>45812</v>
      </c>
      <c r="I1190" s="30" t="n"/>
      <c r="J1190" t="inlineStr">
        <is>
          <t>I48.91</t>
        </is>
      </c>
      <c r="K1190" t="inlineStr">
        <is>
          <t>Unspecified atrial fibrillation</t>
        </is>
      </c>
      <c r="L1190" t="inlineStr">
        <is>
          <t>Circulatory</t>
        </is>
      </c>
      <c r="M1190" t="inlineStr">
        <is>
          <t>Home/Self-Care</t>
        </is>
      </c>
      <c r="N1190" t="inlineStr">
        <is>
          <t>Medicare</t>
        </is>
      </c>
      <c r="O1190" s="31" t="n">
        <v>316.23</v>
      </c>
    </row>
    <row r="1191">
      <c r="A1191" t="inlineStr">
        <is>
          <t>ENC115633</t>
        </is>
      </c>
      <c r="B1191" t="inlineStr">
        <is>
          <t>PT10260</t>
        </is>
      </c>
      <c r="C1191" t="inlineStr">
        <is>
          <t>Emergency</t>
        </is>
      </c>
      <c r="D1191" t="inlineStr">
        <is>
          <t>Bluestone Memorial Hospital</t>
        </is>
      </c>
      <c r="E1191" t="inlineStr">
        <is>
          <t>Emergency Department</t>
        </is>
      </c>
      <c r="F1191" t="inlineStr">
        <is>
          <t>Emergency</t>
        </is>
      </c>
      <c r="G1191" s="29" t="n">
        <v>45812</v>
      </c>
      <c r="H1191" s="29" t="n">
        <v>45812</v>
      </c>
      <c r="I1191" s="30" t="n"/>
      <c r="J1191" t="inlineStr">
        <is>
          <t>S06.0X0A</t>
        </is>
      </c>
      <c r="K1191" t="inlineStr">
        <is>
          <t>Concussion without loss of consciousness, initial encounter</t>
        </is>
      </c>
      <c r="L1191" t="inlineStr">
        <is>
          <t>Injury</t>
        </is>
      </c>
      <c r="M1191" t="inlineStr">
        <is>
          <t>Home/Self-Care</t>
        </is>
      </c>
      <c r="N1191" t="inlineStr">
        <is>
          <t>Summit Choice PPO</t>
        </is>
      </c>
      <c r="O1191" s="31" t="n">
        <v>4116.42</v>
      </c>
    </row>
    <row r="1192">
      <c r="A1192" t="inlineStr">
        <is>
          <t>ENC115638</t>
        </is>
      </c>
      <c r="B1192" t="inlineStr">
        <is>
          <t>PT12744</t>
        </is>
      </c>
      <c r="C1192" t="inlineStr">
        <is>
          <t>Outpatient</t>
        </is>
      </c>
      <c r="D1192" t="inlineStr">
        <is>
          <t>Bluestone Outpatient Pavilion</t>
        </is>
      </c>
      <c r="E1192" t="inlineStr">
        <is>
          <t>Primary Care Clinic</t>
        </is>
      </c>
      <c r="F1192" t="inlineStr">
        <is>
          <t>Ambulatory</t>
        </is>
      </c>
      <c r="G1192" s="29" t="n">
        <v>45812</v>
      </c>
      <c r="H1192" s="29" t="n">
        <v>45812</v>
      </c>
      <c r="I1192" s="30" t="n"/>
      <c r="J1192" t="inlineStr">
        <is>
          <t>M54.50</t>
        </is>
      </c>
      <c r="K1192" t="inlineStr">
        <is>
          <t>Low back pain, unspecified</t>
        </is>
      </c>
      <c r="L1192" t="inlineStr">
        <is>
          <t>Musculoskeletal</t>
        </is>
      </c>
      <c r="M1192" t="inlineStr">
        <is>
          <t>Home/Self-Care</t>
        </is>
      </c>
      <c r="N1192" t="inlineStr">
        <is>
          <t>State Medicaid</t>
        </is>
      </c>
      <c r="O1192" s="31" t="n">
        <v>200.05</v>
      </c>
    </row>
    <row r="1193">
      <c r="A1193" t="inlineStr">
        <is>
          <t>ENC115641</t>
        </is>
      </c>
      <c r="B1193" t="inlineStr">
        <is>
          <t>PT12012</t>
        </is>
      </c>
      <c r="C1193" t="inlineStr">
        <is>
          <t>Outpatient</t>
        </is>
      </c>
      <c r="D1193" t="inlineStr">
        <is>
          <t>Bluestone Outpatient Pavilion</t>
        </is>
      </c>
      <c r="E1193" t="inlineStr">
        <is>
          <t>Endocrinology &amp; Diabetes Clinic</t>
        </is>
      </c>
      <c r="F1193" t="inlineStr">
        <is>
          <t>Ambulatory</t>
        </is>
      </c>
      <c r="G1193" s="29" t="n">
        <v>45812</v>
      </c>
      <c r="H1193" s="29" t="n">
        <v>45812</v>
      </c>
      <c r="I1193" s="30" t="n"/>
      <c r="J1193" t="inlineStr">
        <is>
          <t>E11.9</t>
        </is>
      </c>
      <c r="K1193" t="inlineStr">
        <is>
          <t>Type 2 diabetes mellitus without complications</t>
        </is>
      </c>
      <c r="L1193" t="inlineStr">
        <is>
          <t>Endocrine</t>
        </is>
      </c>
      <c r="M1193" t="inlineStr">
        <is>
          <t>Home/Self-Care</t>
        </is>
      </c>
      <c r="N1193" t="inlineStr">
        <is>
          <t>Evergreen Mutual Insurance</t>
        </is>
      </c>
      <c r="O1193" s="31" t="n">
        <v>237.75</v>
      </c>
    </row>
    <row r="1194">
      <c r="A1194" t="inlineStr">
        <is>
          <t>ENC115642</t>
        </is>
      </c>
      <c r="B1194" t="inlineStr">
        <is>
          <t>PT12144</t>
        </is>
      </c>
      <c r="C1194" t="inlineStr">
        <is>
          <t>Emergency</t>
        </is>
      </c>
      <c r="D1194" t="inlineStr">
        <is>
          <t>Bluestone Memorial Hospital</t>
        </is>
      </c>
      <c r="E1194" t="inlineStr">
        <is>
          <t>Emergency Department</t>
        </is>
      </c>
      <c r="F1194" t="inlineStr">
        <is>
          <t>Emergency</t>
        </is>
      </c>
      <c r="G1194" s="29" t="n">
        <v>45812</v>
      </c>
      <c r="H1194" s="29" t="n">
        <v>45812</v>
      </c>
      <c r="I1194" s="30" t="n"/>
      <c r="J1194" t="inlineStr">
        <is>
          <t>K80.20</t>
        </is>
      </c>
      <c r="K1194" t="inlineStr">
        <is>
          <t>Calculus of gallbladder without cholecystitis without obstruction</t>
        </is>
      </c>
      <c r="L1194" t="inlineStr">
        <is>
          <t>Digestive</t>
        </is>
      </c>
      <c r="M1194" t="inlineStr">
        <is>
          <t>Home/Self-Care</t>
        </is>
      </c>
      <c r="N1194" t="inlineStr">
        <is>
          <t>Medicare</t>
        </is>
      </c>
      <c r="O1194" s="31" t="n">
        <v>1332.25</v>
      </c>
    </row>
    <row r="1195">
      <c r="A1195" t="inlineStr">
        <is>
          <t>ENC115644</t>
        </is>
      </c>
      <c r="B1195" t="inlineStr">
        <is>
          <t>PT12464</t>
        </is>
      </c>
      <c r="C1195" t="inlineStr">
        <is>
          <t>Outpatient</t>
        </is>
      </c>
      <c r="D1195" t="inlineStr">
        <is>
          <t>Bluestone Outpatient Pavilion</t>
        </is>
      </c>
      <c r="E1195" t="inlineStr">
        <is>
          <t>Primary Care Clinic</t>
        </is>
      </c>
      <c r="F1195" t="inlineStr">
        <is>
          <t>Ambulatory</t>
        </is>
      </c>
      <c r="G1195" s="29" t="n">
        <v>45812</v>
      </c>
      <c r="H1195" s="29" t="n">
        <v>45812</v>
      </c>
      <c r="I1195" s="30" t="n"/>
      <c r="J1195" t="inlineStr">
        <is>
          <t>K80.20</t>
        </is>
      </c>
      <c r="K1195" t="inlineStr">
        <is>
          <t>Calculus of gallbladder without cholecystitis without obstruction</t>
        </is>
      </c>
      <c r="L1195" t="inlineStr">
        <is>
          <t>Digestive</t>
        </is>
      </c>
      <c r="M1195" t="inlineStr">
        <is>
          <t>Home/Self-Care</t>
        </is>
      </c>
      <c r="N1195" t="inlineStr">
        <is>
          <t>Self-Pay</t>
        </is>
      </c>
      <c r="O1195" s="31" t="n">
        <v>326.92</v>
      </c>
    </row>
    <row r="1196">
      <c r="A1196" t="inlineStr">
        <is>
          <t>ENC115648</t>
        </is>
      </c>
      <c r="B1196" t="inlineStr">
        <is>
          <t>PT11232</t>
        </is>
      </c>
      <c r="C1196" t="inlineStr">
        <is>
          <t>Outpatient</t>
        </is>
      </c>
      <c r="D1196" t="inlineStr">
        <is>
          <t>Bluestone Outpatient Pavilion</t>
        </is>
      </c>
      <c r="E1196" t="inlineStr">
        <is>
          <t>Primary Care Clinic</t>
        </is>
      </c>
      <c r="F1196" t="inlineStr">
        <is>
          <t>Ambulatory</t>
        </is>
      </c>
      <c r="G1196" s="29" t="n">
        <v>45812</v>
      </c>
      <c r="H1196" s="29" t="n">
        <v>45812</v>
      </c>
      <c r="I1196" s="30" t="n"/>
      <c r="J1196" t="inlineStr">
        <is>
          <t>Z00.00</t>
        </is>
      </c>
      <c r="K1196" t="inlineStr">
        <is>
          <t>Encounter for general adult medical examination without abnormal findings</t>
        </is>
      </c>
      <c r="L1196" t="inlineStr">
        <is>
          <t>Factors Influencing Health</t>
        </is>
      </c>
      <c r="M1196" t="inlineStr">
        <is>
          <t>Home/Self-Care</t>
        </is>
      </c>
      <c r="N1196" t="inlineStr">
        <is>
          <t>State Medicaid</t>
        </is>
      </c>
      <c r="O1196" s="31" t="n">
        <v>558.59</v>
      </c>
    </row>
    <row r="1197">
      <c r="A1197" t="inlineStr">
        <is>
          <t>ENC115649</t>
        </is>
      </c>
      <c r="B1197" t="inlineStr">
        <is>
          <t>PT12484</t>
        </is>
      </c>
      <c r="C1197" t="inlineStr">
        <is>
          <t>Emergency</t>
        </is>
      </c>
      <c r="D1197" t="inlineStr">
        <is>
          <t>Bluestone Memorial Hospital</t>
        </is>
      </c>
      <c r="E1197" t="inlineStr">
        <is>
          <t>Emergency Department</t>
        </is>
      </c>
      <c r="F1197" t="inlineStr">
        <is>
          <t>Emergency</t>
        </is>
      </c>
      <c r="G1197" s="29" t="n">
        <v>45812</v>
      </c>
      <c r="H1197" s="29" t="n">
        <v>45812</v>
      </c>
      <c r="I1197" s="30" t="n"/>
      <c r="J1197" t="inlineStr">
        <is>
          <t>R07.9</t>
        </is>
      </c>
      <c r="K1197" t="inlineStr">
        <is>
          <t>Chest pain, unspecified</t>
        </is>
      </c>
      <c r="L1197" t="inlineStr">
        <is>
          <t>Symptoms &amp; Signs</t>
        </is>
      </c>
      <c r="M1197" t="inlineStr">
        <is>
          <t>Home/Self-Care</t>
        </is>
      </c>
      <c r="N1197" t="inlineStr">
        <is>
          <t>Medicare</t>
        </is>
      </c>
      <c r="O1197" s="31" t="n">
        <v>1382.06</v>
      </c>
    </row>
    <row r="1198">
      <c r="A1198" t="inlineStr">
        <is>
          <t>ENC115652</t>
        </is>
      </c>
      <c r="B1198" t="inlineStr">
        <is>
          <t>PT11948</t>
        </is>
      </c>
      <c r="C1198" t="inlineStr">
        <is>
          <t>Outpatient</t>
        </is>
      </c>
      <c r="D1198" t="inlineStr">
        <is>
          <t>Bluestone Outpatient Pavilion</t>
        </is>
      </c>
      <c r="E1198" t="inlineStr">
        <is>
          <t>Endocrinology &amp; Diabetes Clinic</t>
        </is>
      </c>
      <c r="F1198" t="inlineStr">
        <is>
          <t>Ambulatory</t>
        </is>
      </c>
      <c r="G1198" s="29" t="n">
        <v>45812</v>
      </c>
      <c r="H1198" s="29" t="n">
        <v>45812</v>
      </c>
      <c r="I1198" s="30" t="n"/>
      <c r="J1198" t="inlineStr">
        <is>
          <t>E11.9</t>
        </is>
      </c>
      <c r="K1198" t="inlineStr">
        <is>
          <t>Type 2 diabetes mellitus without complications</t>
        </is>
      </c>
      <c r="L1198" t="inlineStr">
        <is>
          <t>Endocrine</t>
        </is>
      </c>
      <c r="M1198" t="inlineStr">
        <is>
          <t>Home/Self-Care</t>
        </is>
      </c>
      <c r="N1198" t="inlineStr">
        <is>
          <t>Medicare</t>
        </is>
      </c>
      <c r="O1198" s="31" t="n">
        <v>456.02</v>
      </c>
    </row>
    <row r="1199">
      <c r="A1199" t="inlineStr">
        <is>
          <t>ENC115658</t>
        </is>
      </c>
      <c r="B1199" t="inlineStr">
        <is>
          <t>PT11716</t>
        </is>
      </c>
      <c r="C1199" t="inlineStr">
        <is>
          <t>Inpatient</t>
        </is>
      </c>
      <c r="D1199" t="inlineStr">
        <is>
          <t>Cedar Ridge Medical Center</t>
        </is>
      </c>
      <c r="E1199" t="inlineStr">
        <is>
          <t>Cardiac Step-Down</t>
        </is>
      </c>
      <c r="F1199" t="inlineStr">
        <is>
          <t>Cardiovascular</t>
        </is>
      </c>
      <c r="G1199" s="29" t="n">
        <v>45812</v>
      </c>
      <c r="H1199" s="29" t="n">
        <v>45817</v>
      </c>
      <c r="I1199" s="30" t="n">
        <v>5</v>
      </c>
      <c r="J1199" t="inlineStr">
        <is>
          <t>I48.91</t>
        </is>
      </c>
      <c r="K1199" t="inlineStr">
        <is>
          <t>Unspecified atrial fibrillation</t>
        </is>
      </c>
      <c r="L1199" t="inlineStr">
        <is>
          <t>Circulatory</t>
        </is>
      </c>
      <c r="M1199" t="inlineStr">
        <is>
          <t>Home/Self-Care</t>
        </is>
      </c>
      <c r="N1199" t="inlineStr">
        <is>
          <t>Silverline Medicare Advantage</t>
        </is>
      </c>
      <c r="O1199" s="31" t="n">
        <v>23375.25</v>
      </c>
      <c r="P1199" t="inlineStr">
        <is>
          <t>Y</t>
        </is>
      </c>
    </row>
    <row r="1200">
      <c r="A1200" t="inlineStr">
        <is>
          <t>ENC115664</t>
        </is>
      </c>
      <c r="B1200" t="inlineStr">
        <is>
          <t>PT13604</t>
        </is>
      </c>
      <c r="C1200" t="inlineStr">
        <is>
          <t>Emergency</t>
        </is>
      </c>
      <c r="D1200" t="inlineStr">
        <is>
          <t>Bluestone Memorial Hospital</t>
        </is>
      </c>
      <c r="E1200" t="inlineStr">
        <is>
          <t>Emergency Department</t>
        </is>
      </c>
      <c r="F1200" t="inlineStr">
        <is>
          <t>Emergency</t>
        </is>
      </c>
      <c r="G1200" s="29" t="n">
        <v>45813</v>
      </c>
      <c r="H1200" s="29" t="n">
        <v>45813</v>
      </c>
      <c r="I1200" s="30" t="n"/>
      <c r="J1200" t="inlineStr">
        <is>
          <t>S93.401A</t>
        </is>
      </c>
      <c r="K1200" t="inlineStr">
        <is>
          <t>Sprain of unspecified ligament of right ankle, initial encounter</t>
        </is>
      </c>
      <c r="L1200" t="inlineStr">
        <is>
          <t>Injury</t>
        </is>
      </c>
      <c r="M1200" t="inlineStr">
        <is>
          <t>Home/Self-Care</t>
        </is>
      </c>
      <c r="N1200" t="inlineStr">
        <is>
          <t>Summit Choice PPO</t>
        </is>
      </c>
      <c r="O1200" s="31" t="n">
        <v>1314.26</v>
      </c>
    </row>
    <row r="1201">
      <c r="A1201" t="inlineStr">
        <is>
          <t>ENC115666</t>
        </is>
      </c>
      <c r="B1201" t="inlineStr">
        <is>
          <t>PT11724</t>
        </is>
      </c>
      <c r="C1201" t="inlineStr">
        <is>
          <t>Inpatient</t>
        </is>
      </c>
      <c r="D1201" t="inlineStr">
        <is>
          <t>Bluestone Memorial Hospital</t>
        </is>
      </c>
      <c r="E1201" t="inlineStr">
        <is>
          <t>Behavioral Health</t>
        </is>
      </c>
      <c r="F1201" t="inlineStr">
        <is>
          <t>Behavioral Health</t>
        </is>
      </c>
      <c r="G1201" s="29" t="n">
        <v>45813</v>
      </c>
      <c r="H1201" s="29" t="n">
        <v>45826</v>
      </c>
      <c r="I1201" s="30" t="n">
        <v>13</v>
      </c>
      <c r="J1201" t="inlineStr">
        <is>
          <t>F20.9</t>
        </is>
      </c>
      <c r="K1201" t="inlineStr">
        <is>
          <t>Schizophrenia, unspecified</t>
        </is>
      </c>
      <c r="L1201" t="inlineStr">
        <is>
          <t>Mental &amp; Behavioral</t>
        </is>
      </c>
      <c r="M1201" t="inlineStr">
        <is>
          <t>Home/Self-Care</t>
        </is>
      </c>
      <c r="N1201" t="inlineStr">
        <is>
          <t>Medicare</t>
        </is>
      </c>
      <c r="O1201" s="31" t="n">
        <v>52054.98</v>
      </c>
      <c r="P1201" t="inlineStr">
        <is>
          <t>N</t>
        </is>
      </c>
    </row>
    <row r="1202">
      <c r="A1202" t="inlineStr">
        <is>
          <t>ENC115669</t>
        </is>
      </c>
      <c r="B1202" t="inlineStr">
        <is>
          <t>PT10772</t>
        </is>
      </c>
      <c r="C1202" t="inlineStr">
        <is>
          <t>Observation</t>
        </is>
      </c>
      <c r="D1202" t="inlineStr">
        <is>
          <t>Ashby Falls Community Hospital</t>
        </is>
      </c>
      <c r="E1202" t="inlineStr">
        <is>
          <t>Medical-Surgical</t>
        </is>
      </c>
      <c r="F1202" t="inlineStr">
        <is>
          <t>Medicine</t>
        </is>
      </c>
      <c r="G1202" s="29" t="n">
        <v>45813</v>
      </c>
      <c r="H1202" s="29" t="n">
        <v>45813</v>
      </c>
      <c r="I1202" s="30" t="n">
        <v>0</v>
      </c>
      <c r="J1202" t="inlineStr">
        <is>
          <t>N17.9</t>
        </is>
      </c>
      <c r="K1202" t="inlineStr">
        <is>
          <t>Acute kidney failure, unspecified</t>
        </is>
      </c>
      <c r="L1202" t="inlineStr">
        <is>
          <t>Genitourinary</t>
        </is>
      </c>
      <c r="M1202" t="inlineStr">
        <is>
          <t>Home/Self-Care</t>
        </is>
      </c>
      <c r="N1202" t="inlineStr">
        <is>
          <t>Silverline Medicare Advantage</t>
        </is>
      </c>
      <c r="O1202" s="31" t="n">
        <v>7294.64</v>
      </c>
    </row>
    <row r="1203">
      <c r="A1203" t="inlineStr">
        <is>
          <t>ENC115672</t>
        </is>
      </c>
      <c r="B1203" t="inlineStr">
        <is>
          <t>PT13488</t>
        </is>
      </c>
      <c r="C1203" t="inlineStr">
        <is>
          <t>Outpatient</t>
        </is>
      </c>
      <c r="D1203" t="inlineStr">
        <is>
          <t>Bluestone Outpatient Pavilion</t>
        </is>
      </c>
      <c r="E1203" t="inlineStr">
        <is>
          <t>Primary Care Clinic</t>
        </is>
      </c>
      <c r="F1203" t="inlineStr">
        <is>
          <t>Ambulatory</t>
        </is>
      </c>
      <c r="G1203" s="29" t="n">
        <v>45813</v>
      </c>
      <c r="H1203" s="29" t="n">
        <v>45813</v>
      </c>
      <c r="I1203" s="30" t="n"/>
      <c r="J1203" t="inlineStr">
        <is>
          <t>M54.50</t>
        </is>
      </c>
      <c r="K1203" t="inlineStr">
        <is>
          <t>Low back pain, unspecified</t>
        </is>
      </c>
      <c r="L1203" t="inlineStr">
        <is>
          <t>Musculoskeletal</t>
        </is>
      </c>
      <c r="M1203" t="inlineStr">
        <is>
          <t>Home/Self-Care</t>
        </is>
      </c>
      <c r="N1203" t="inlineStr">
        <is>
          <t>Summit Choice PPO</t>
        </is>
      </c>
      <c r="O1203" s="31" t="n">
        <v>417.46</v>
      </c>
    </row>
    <row r="1204">
      <c r="A1204" t="inlineStr">
        <is>
          <t>ENC115674</t>
        </is>
      </c>
      <c r="B1204" t="inlineStr">
        <is>
          <t>PT13860</t>
        </is>
      </c>
      <c r="C1204" t="inlineStr">
        <is>
          <t>Outpatient</t>
        </is>
      </c>
      <c r="D1204" t="inlineStr">
        <is>
          <t>Bluestone Outpatient Pavilion</t>
        </is>
      </c>
      <c r="E1204" t="inlineStr">
        <is>
          <t>Primary Care Clinic</t>
        </is>
      </c>
      <c r="F1204" t="inlineStr">
        <is>
          <t>Ambulatory</t>
        </is>
      </c>
      <c r="G1204" s="29" t="n">
        <v>45813</v>
      </c>
      <c r="H1204" s="29" t="n">
        <v>45813</v>
      </c>
      <c r="I1204" s="30" t="n"/>
      <c r="J1204" t="inlineStr">
        <is>
          <t>Z00.00</t>
        </is>
      </c>
      <c r="K1204" t="inlineStr">
        <is>
          <t>Encounter for general adult medical examination without abnormal findings</t>
        </is>
      </c>
      <c r="L1204" t="inlineStr">
        <is>
          <t>Factors Influencing Health</t>
        </is>
      </c>
      <c r="M1204" t="inlineStr">
        <is>
          <t>Home/Self-Care</t>
        </is>
      </c>
      <c r="N1204" t="inlineStr">
        <is>
          <t>Self-Pay</t>
        </is>
      </c>
      <c r="O1204" s="31" t="n">
        <v>237.22</v>
      </c>
    </row>
    <row r="1205">
      <c r="A1205" t="inlineStr">
        <is>
          <t>ENC115678</t>
        </is>
      </c>
      <c r="B1205" t="inlineStr">
        <is>
          <t>PT12540</t>
        </is>
      </c>
      <c r="C1205" t="inlineStr">
        <is>
          <t>Inpatient</t>
        </is>
      </c>
      <c r="D1205" t="inlineStr">
        <is>
          <t>Bluestone Memorial Hospital</t>
        </is>
      </c>
      <c r="E1205" t="inlineStr">
        <is>
          <t>Behavioral Health</t>
        </is>
      </c>
      <c r="F1205" t="inlineStr">
        <is>
          <t>Behavioral Health</t>
        </is>
      </c>
      <c r="G1205" s="29" t="n">
        <v>45813</v>
      </c>
      <c r="H1205" s="29" t="n">
        <v>45824</v>
      </c>
      <c r="I1205" s="30" t="n">
        <v>11</v>
      </c>
      <c r="J1205" t="inlineStr">
        <is>
          <t>F32.9</t>
        </is>
      </c>
      <c r="K1205" t="inlineStr">
        <is>
          <t>Major depressive disorder, single episode, unspecified</t>
        </is>
      </c>
      <c r="L1205" t="inlineStr">
        <is>
          <t>Mental &amp; Behavioral</t>
        </is>
      </c>
      <c r="M1205" t="inlineStr">
        <is>
          <t>Home/Self-Care</t>
        </is>
      </c>
      <c r="N1205" t="inlineStr">
        <is>
          <t>Evergreen Mutual Insurance</t>
        </is>
      </c>
      <c r="O1205" s="31" t="n">
        <v>35404.73</v>
      </c>
      <c r="P1205" t="inlineStr">
        <is>
          <t>N</t>
        </is>
      </c>
    </row>
    <row r="1206">
      <c r="A1206" t="inlineStr">
        <is>
          <t>ENC115682</t>
        </is>
      </c>
      <c r="B1206" t="inlineStr">
        <is>
          <t>PT13564</t>
        </is>
      </c>
      <c r="C1206" t="inlineStr">
        <is>
          <t>Outpatient</t>
        </is>
      </c>
      <c r="D1206" t="inlineStr">
        <is>
          <t>Bluestone Outpatient Pavilion</t>
        </is>
      </c>
      <c r="E1206" t="inlineStr">
        <is>
          <t>Pediatric Clinic</t>
        </is>
      </c>
      <c r="F1206" t="inlineStr">
        <is>
          <t>Women &amp; Children</t>
        </is>
      </c>
      <c r="G1206" s="29" t="n">
        <v>45813</v>
      </c>
      <c r="H1206" s="29" t="n">
        <v>45813</v>
      </c>
      <c r="I1206" s="30" t="n"/>
      <c r="J1206" t="inlineStr">
        <is>
          <t>Z00.129</t>
        </is>
      </c>
      <c r="K1206" t="inlineStr">
        <is>
          <t>Encounter for routine child health examination without abnormal findings</t>
        </is>
      </c>
      <c r="L1206" t="inlineStr">
        <is>
          <t>Factors Influencing Health</t>
        </is>
      </c>
      <c r="M1206" t="inlineStr">
        <is>
          <t>Home/Self-Care</t>
        </is>
      </c>
      <c r="N1206" t="inlineStr">
        <is>
          <t>Evergreen Mutual Insurance</t>
        </is>
      </c>
      <c r="O1206" s="31" t="n">
        <v>356.85</v>
      </c>
    </row>
    <row r="1207">
      <c r="A1207" t="inlineStr">
        <is>
          <t>ENC115691</t>
        </is>
      </c>
      <c r="B1207" t="inlineStr">
        <is>
          <t>PT13492</t>
        </is>
      </c>
      <c r="C1207" t="inlineStr">
        <is>
          <t>Inpatient</t>
        </is>
      </c>
      <c r="D1207" t="inlineStr">
        <is>
          <t>Cedar Ridge Medical Center</t>
        </is>
      </c>
      <c r="E1207" t="inlineStr">
        <is>
          <t>Medical-Surgical</t>
        </is>
      </c>
      <c r="F1207" t="inlineStr">
        <is>
          <t>Medicine</t>
        </is>
      </c>
      <c r="G1207" s="29" t="n">
        <v>45814</v>
      </c>
      <c r="H1207" s="29" t="n">
        <v>45818</v>
      </c>
      <c r="I1207" s="30" t="n">
        <v>4</v>
      </c>
      <c r="J1207" t="inlineStr">
        <is>
          <t>A41.9</t>
        </is>
      </c>
      <c r="K1207" t="inlineStr">
        <is>
          <t>Sepsis, unspecified organism</t>
        </is>
      </c>
      <c r="L1207" t="inlineStr">
        <is>
          <t>Infectious</t>
        </is>
      </c>
      <c r="M1207" t="inlineStr">
        <is>
          <t>Home/Self-Care</t>
        </is>
      </c>
      <c r="N1207" t="inlineStr">
        <is>
          <t>Self-Pay</t>
        </is>
      </c>
      <c r="O1207" s="31" t="n">
        <v>57649.11</v>
      </c>
      <c r="P1207" t="inlineStr">
        <is>
          <t>N</t>
        </is>
      </c>
    </row>
    <row r="1208">
      <c r="A1208" t="inlineStr">
        <is>
          <t>ENC115692</t>
        </is>
      </c>
      <c r="B1208" t="inlineStr">
        <is>
          <t>PT13908</t>
        </is>
      </c>
      <c r="C1208" t="inlineStr">
        <is>
          <t>Inpatient</t>
        </is>
      </c>
      <c r="D1208" t="inlineStr">
        <is>
          <t>Bluestone Memorial Hospital</t>
        </is>
      </c>
      <c r="E1208" t="inlineStr">
        <is>
          <t>Medical-Surgical 5 East</t>
        </is>
      </c>
      <c r="F1208" t="inlineStr">
        <is>
          <t>Medicine</t>
        </is>
      </c>
      <c r="G1208" s="29" t="n">
        <v>45814</v>
      </c>
      <c r="H1208" s="29" t="n">
        <v>45816</v>
      </c>
      <c r="I1208" s="30" t="n">
        <v>2</v>
      </c>
      <c r="J1208" t="inlineStr">
        <is>
          <t>J18.9</t>
        </is>
      </c>
      <c r="K1208" t="inlineStr">
        <is>
          <t>Pneumonia, unspecified organism</t>
        </is>
      </c>
      <c r="L1208" t="inlineStr">
        <is>
          <t>Respiratory</t>
        </is>
      </c>
      <c r="M1208" t="inlineStr">
        <is>
          <t>Home/Self-Care</t>
        </is>
      </c>
      <c r="N1208" t="inlineStr">
        <is>
          <t>Summit Choice PPO</t>
        </is>
      </c>
      <c r="O1208" s="31" t="n">
        <v>14425.93</v>
      </c>
      <c r="P1208" t="inlineStr">
        <is>
          <t>N</t>
        </is>
      </c>
    </row>
    <row r="1209">
      <c r="A1209" t="inlineStr">
        <is>
          <t>ENC115693</t>
        </is>
      </c>
      <c r="B1209" t="inlineStr">
        <is>
          <t>PT10044</t>
        </is>
      </c>
      <c r="C1209" t="inlineStr">
        <is>
          <t>Inpatient</t>
        </is>
      </c>
      <c r="D1209" t="inlineStr">
        <is>
          <t>Cedar Ridge Medical Center</t>
        </is>
      </c>
      <c r="E1209" t="inlineStr">
        <is>
          <t>Medical-Surgical</t>
        </is>
      </c>
      <c r="F1209" t="inlineStr">
        <is>
          <t>Medicine</t>
        </is>
      </c>
      <c r="G1209" s="29" t="n">
        <v>45814</v>
      </c>
      <c r="H1209" s="29" t="n">
        <v>45818</v>
      </c>
      <c r="I1209" s="30" t="n">
        <v>4</v>
      </c>
      <c r="J1209" t="inlineStr">
        <is>
          <t>E87.1</t>
        </is>
      </c>
      <c r="K1209" t="inlineStr">
        <is>
          <t>Hypo-osmolality and hyponatremia</t>
        </is>
      </c>
      <c r="L1209" t="inlineStr">
        <is>
          <t>Endocrine</t>
        </is>
      </c>
      <c r="M1209" t="inlineStr">
        <is>
          <t>Home/Self-Care</t>
        </is>
      </c>
      <c r="N1209" t="inlineStr">
        <is>
          <t>Keystone Health Partners</t>
        </is>
      </c>
      <c r="O1209" s="31" t="n">
        <v>20438.37</v>
      </c>
      <c r="P1209" t="inlineStr">
        <is>
          <t>N</t>
        </is>
      </c>
    </row>
    <row r="1210">
      <c r="A1210" t="inlineStr">
        <is>
          <t>ENC115694</t>
        </is>
      </c>
      <c r="B1210" t="inlineStr">
        <is>
          <t>PT12360</t>
        </is>
      </c>
      <c r="C1210" t="inlineStr">
        <is>
          <t>Outpatient</t>
        </is>
      </c>
      <c r="D1210" t="inlineStr">
        <is>
          <t>Bluestone Outpatient Pavilion</t>
        </is>
      </c>
      <c r="E1210" t="inlineStr">
        <is>
          <t>Endocrinology &amp; Diabetes Clinic</t>
        </is>
      </c>
      <c r="F1210" t="inlineStr">
        <is>
          <t>Ambulatory</t>
        </is>
      </c>
      <c r="G1210" s="29" t="n">
        <v>45814</v>
      </c>
      <c r="H1210" s="29" t="n">
        <v>45814</v>
      </c>
      <c r="I1210" s="30" t="n"/>
      <c r="J1210" t="inlineStr">
        <is>
          <t>E11.65</t>
        </is>
      </c>
      <c r="K1210" t="inlineStr">
        <is>
          <t>Type 2 diabetes mellitus with hyperglycemia</t>
        </is>
      </c>
      <c r="L1210" t="inlineStr">
        <is>
          <t>Endocrine</t>
        </is>
      </c>
      <c r="M1210" t="inlineStr">
        <is>
          <t>Home/Self-Care</t>
        </is>
      </c>
      <c r="N1210" t="inlineStr">
        <is>
          <t>Evergreen Mutual Insurance</t>
        </is>
      </c>
      <c r="O1210" s="31" t="n">
        <v>452.16</v>
      </c>
    </row>
    <row r="1211">
      <c r="A1211" t="inlineStr">
        <is>
          <t>ENC115710</t>
        </is>
      </c>
      <c r="B1211" t="inlineStr">
        <is>
          <t>PT13816</t>
        </is>
      </c>
      <c r="C1211" t="inlineStr">
        <is>
          <t>Outpatient</t>
        </is>
      </c>
      <c r="D1211" t="inlineStr">
        <is>
          <t>Bluestone Outpatient Pavilion</t>
        </is>
      </c>
      <c r="E1211" t="inlineStr">
        <is>
          <t>Infusion &amp; Oncology Clinic</t>
        </is>
      </c>
      <c r="F1211" t="inlineStr">
        <is>
          <t>Oncology</t>
        </is>
      </c>
      <c r="G1211" s="29" t="n">
        <v>45814</v>
      </c>
      <c r="H1211" s="29" t="n">
        <v>45814</v>
      </c>
      <c r="I1211" s="30" t="n"/>
      <c r="J1211" t="inlineStr">
        <is>
          <t>Z51.11</t>
        </is>
      </c>
      <c r="K1211" t="inlineStr">
        <is>
          <t>Encounter for antineoplastic chemotherapy</t>
        </is>
      </c>
      <c r="L1211" t="inlineStr">
        <is>
          <t>Factors Influencing Health</t>
        </is>
      </c>
      <c r="M1211" t="inlineStr">
        <is>
          <t>Home/Self-Care</t>
        </is>
      </c>
      <c r="N1211" t="inlineStr">
        <is>
          <t>Silverline Medicare Advantage</t>
        </is>
      </c>
      <c r="O1211" s="31" t="n">
        <v>11016.26</v>
      </c>
    </row>
    <row r="1212">
      <c r="A1212" t="inlineStr">
        <is>
          <t>ENC115711</t>
        </is>
      </c>
      <c r="B1212" t="inlineStr">
        <is>
          <t>PT12596</t>
        </is>
      </c>
      <c r="C1212" t="inlineStr">
        <is>
          <t>Outpatient</t>
        </is>
      </c>
      <c r="D1212" t="inlineStr">
        <is>
          <t>Bluestone Outpatient Pavilion</t>
        </is>
      </c>
      <c r="E1212" t="inlineStr">
        <is>
          <t>Endocrinology &amp; Diabetes Clinic</t>
        </is>
      </c>
      <c r="F1212" t="inlineStr">
        <is>
          <t>Ambulatory</t>
        </is>
      </c>
      <c r="G1212" s="29" t="n">
        <v>45814</v>
      </c>
      <c r="H1212" s="29" t="n">
        <v>45814</v>
      </c>
      <c r="I1212" s="30" t="n"/>
      <c r="J1212" t="inlineStr">
        <is>
          <t>E11.9</t>
        </is>
      </c>
      <c r="K1212" t="inlineStr">
        <is>
          <t>Type 2 diabetes mellitus without complications</t>
        </is>
      </c>
      <c r="L1212" t="inlineStr">
        <is>
          <t>Endocrine</t>
        </is>
      </c>
      <c r="M1212" t="inlineStr">
        <is>
          <t>Home/Self-Care</t>
        </is>
      </c>
      <c r="N1212" t="inlineStr">
        <is>
          <t>State Medicaid</t>
        </is>
      </c>
      <c r="O1212" s="31" t="n">
        <v>473.06</v>
      </c>
    </row>
    <row r="1213">
      <c r="A1213" t="inlineStr">
        <is>
          <t>ENC115715</t>
        </is>
      </c>
      <c r="B1213" t="inlineStr">
        <is>
          <t>PT11676</t>
        </is>
      </c>
      <c r="C1213" t="inlineStr">
        <is>
          <t>Emergency</t>
        </is>
      </c>
      <c r="D1213" t="inlineStr">
        <is>
          <t>Bluestone Memorial Hospital</t>
        </is>
      </c>
      <c r="E1213" t="inlineStr">
        <is>
          <t>Emergency Department</t>
        </is>
      </c>
      <c r="F1213" t="inlineStr">
        <is>
          <t>Emergency</t>
        </is>
      </c>
      <c r="G1213" s="29" t="n">
        <v>45814</v>
      </c>
      <c r="H1213" s="29" t="n">
        <v>45814</v>
      </c>
      <c r="I1213" s="30" t="n"/>
      <c r="J1213" t="inlineStr">
        <is>
          <t>N39.0</t>
        </is>
      </c>
      <c r="K1213" t="inlineStr">
        <is>
          <t>Urinary tract infection, site not specified</t>
        </is>
      </c>
      <c r="L1213" t="inlineStr">
        <is>
          <t>Genitourinary</t>
        </is>
      </c>
      <c r="M1213" t="inlineStr">
        <is>
          <t>Home/Self-Care</t>
        </is>
      </c>
      <c r="N1213" t="inlineStr">
        <is>
          <t>State Medicaid</t>
        </is>
      </c>
      <c r="O1213" s="31" t="n">
        <v>3235.24</v>
      </c>
    </row>
    <row r="1214">
      <c r="A1214" t="inlineStr">
        <is>
          <t>ENC115718</t>
        </is>
      </c>
      <c r="B1214" t="inlineStr">
        <is>
          <t>PT11348</t>
        </is>
      </c>
      <c r="C1214" t="inlineStr">
        <is>
          <t>Observation</t>
        </is>
      </c>
      <c r="D1214" t="inlineStr">
        <is>
          <t>Cedar Ridge Medical Center</t>
        </is>
      </c>
      <c r="E1214" t="inlineStr">
        <is>
          <t>Medical-Surgical</t>
        </is>
      </c>
      <c r="F1214" t="inlineStr">
        <is>
          <t>Medicine</t>
        </is>
      </c>
      <c r="G1214" s="29" t="n">
        <v>45814</v>
      </c>
      <c r="H1214" s="29" t="n">
        <v>45815</v>
      </c>
      <c r="I1214" s="30" t="n">
        <v>1</v>
      </c>
      <c r="J1214" t="inlineStr">
        <is>
          <t>M54.50</t>
        </is>
      </c>
      <c r="K1214" t="inlineStr">
        <is>
          <t>Low back pain, unspecified</t>
        </is>
      </c>
      <c r="L1214" t="inlineStr">
        <is>
          <t>Musculoskeletal</t>
        </is>
      </c>
      <c r="M1214" t="inlineStr">
        <is>
          <t>Home/Self-Care</t>
        </is>
      </c>
      <c r="N1214" t="inlineStr">
        <is>
          <t>Evergreen Mutual Insurance</t>
        </is>
      </c>
      <c r="O1214" s="31" t="n">
        <v>8703.92</v>
      </c>
    </row>
    <row r="1215">
      <c r="A1215" t="inlineStr">
        <is>
          <t>ENC115720</t>
        </is>
      </c>
      <c r="B1215" t="inlineStr">
        <is>
          <t>PT12524</t>
        </is>
      </c>
      <c r="C1215" t="inlineStr">
        <is>
          <t>Emergency</t>
        </is>
      </c>
      <c r="D1215" t="inlineStr">
        <is>
          <t>Bluestone Memorial Hospital</t>
        </is>
      </c>
      <c r="E1215" t="inlineStr">
        <is>
          <t>Emergency Department</t>
        </is>
      </c>
      <c r="F1215" t="inlineStr">
        <is>
          <t>Emergency</t>
        </is>
      </c>
      <c r="G1215" s="29" t="n">
        <v>45814</v>
      </c>
      <c r="H1215" s="29" t="n">
        <v>45814</v>
      </c>
      <c r="I1215" s="30" t="n"/>
      <c r="J1215" t="inlineStr">
        <is>
          <t>E11.65</t>
        </is>
      </c>
      <c r="K1215" t="inlineStr">
        <is>
          <t>Type 2 diabetes mellitus with hyperglycemia</t>
        </is>
      </c>
      <c r="L1215" t="inlineStr">
        <is>
          <t>Endocrine</t>
        </is>
      </c>
      <c r="M1215" t="inlineStr">
        <is>
          <t>Home/Self-Care</t>
        </is>
      </c>
      <c r="N1215" t="inlineStr">
        <is>
          <t>Medicare</t>
        </is>
      </c>
      <c r="O1215" s="31" t="n">
        <v>2983.99</v>
      </c>
    </row>
    <row r="1216">
      <c r="A1216" t="inlineStr">
        <is>
          <t>ENC115723</t>
        </is>
      </c>
      <c r="B1216" t="inlineStr">
        <is>
          <t>PT10428</t>
        </is>
      </c>
      <c r="C1216" t="inlineStr">
        <is>
          <t>Observation</t>
        </is>
      </c>
      <c r="D1216" t="inlineStr">
        <is>
          <t>Bluestone Memorial Hospital</t>
        </is>
      </c>
      <c r="E1216" t="inlineStr">
        <is>
          <t>Observation Unit</t>
        </is>
      </c>
      <c r="F1216" t="inlineStr">
        <is>
          <t>Medicine</t>
        </is>
      </c>
      <c r="G1216" s="29" t="n">
        <v>45815</v>
      </c>
      <c r="H1216" s="29" t="n">
        <v>45816</v>
      </c>
      <c r="I1216" s="30" t="n">
        <v>1</v>
      </c>
      <c r="J1216" t="inlineStr">
        <is>
          <t>R55</t>
        </is>
      </c>
      <c r="K1216" t="inlineStr">
        <is>
          <t>Syncope and collapse</t>
        </is>
      </c>
      <c r="L1216" t="inlineStr">
        <is>
          <t>Symptoms &amp; Signs</t>
        </is>
      </c>
      <c r="M1216" t="inlineStr">
        <is>
          <t>Home/Self-Care</t>
        </is>
      </c>
      <c r="N1216" t="inlineStr">
        <is>
          <t>Medicare</t>
        </is>
      </c>
      <c r="O1216" s="31" t="n">
        <v>3380.88</v>
      </c>
    </row>
    <row r="1217">
      <c r="A1217" t="inlineStr">
        <is>
          <t>ENC115729</t>
        </is>
      </c>
      <c r="B1217" t="inlineStr">
        <is>
          <t>PT12636</t>
        </is>
      </c>
      <c r="C1217" t="inlineStr">
        <is>
          <t>Inpatient</t>
        </is>
      </c>
      <c r="D1217" t="inlineStr">
        <is>
          <t>Cedar Ridge Medical Center</t>
        </is>
      </c>
      <c r="E1217" t="inlineStr">
        <is>
          <t>Medical-Surgical</t>
        </is>
      </c>
      <c r="F1217" t="inlineStr">
        <is>
          <t>Medicine</t>
        </is>
      </c>
      <c r="G1217" s="29" t="n">
        <v>45815</v>
      </c>
      <c r="H1217" s="29" t="n">
        <v>45817</v>
      </c>
      <c r="I1217" s="30" t="n">
        <v>2</v>
      </c>
      <c r="J1217" t="inlineStr">
        <is>
          <t>L03.115</t>
        </is>
      </c>
      <c r="K1217" t="inlineStr">
        <is>
          <t>Cellulitis of right lower limb</t>
        </is>
      </c>
      <c r="L1217" t="inlineStr">
        <is>
          <t>Skin</t>
        </is>
      </c>
      <c r="M1217" t="inlineStr">
        <is>
          <t>Home/Self-Care</t>
        </is>
      </c>
      <c r="N1217" t="inlineStr">
        <is>
          <t>Medicare</t>
        </is>
      </c>
      <c r="O1217" s="31" t="n">
        <v>14950.97</v>
      </c>
      <c r="P1217" t="inlineStr">
        <is>
          <t>Y</t>
        </is>
      </c>
    </row>
    <row r="1218">
      <c r="A1218" t="inlineStr">
        <is>
          <t>ENC115731</t>
        </is>
      </c>
      <c r="B1218" t="inlineStr">
        <is>
          <t>PT12076</t>
        </is>
      </c>
      <c r="C1218" t="inlineStr">
        <is>
          <t>Emergency</t>
        </is>
      </c>
      <c r="D1218" t="inlineStr">
        <is>
          <t>Cedar Ridge Medical Center</t>
        </is>
      </c>
      <c r="E1218" t="inlineStr">
        <is>
          <t>Emergency Department</t>
        </is>
      </c>
      <c r="F1218" t="inlineStr">
        <is>
          <t>Emergency</t>
        </is>
      </c>
      <c r="G1218" s="29" t="n">
        <v>45815</v>
      </c>
      <c r="H1218" s="29" t="n">
        <v>45815</v>
      </c>
      <c r="I1218" s="30" t="n"/>
      <c r="J1218" t="inlineStr">
        <is>
          <t>U07.1</t>
        </is>
      </c>
      <c r="K1218" t="inlineStr">
        <is>
          <t>COVID-19</t>
        </is>
      </c>
      <c r="L1218" t="inlineStr">
        <is>
          <t>Respiratory</t>
        </is>
      </c>
      <c r="M1218" t="inlineStr">
        <is>
          <t>Home/Self-Care</t>
        </is>
      </c>
      <c r="N1218" t="inlineStr">
        <is>
          <t>Summit Choice PPO</t>
        </is>
      </c>
      <c r="O1218" s="31" t="n">
        <v>3469.59</v>
      </c>
    </row>
    <row r="1219">
      <c r="A1219" t="inlineStr">
        <is>
          <t>ENC115737</t>
        </is>
      </c>
      <c r="B1219" t="inlineStr">
        <is>
          <t>PT12984</t>
        </is>
      </c>
      <c r="C1219" t="inlineStr">
        <is>
          <t>Emergency</t>
        </is>
      </c>
      <c r="D1219" t="inlineStr">
        <is>
          <t>Bluestone Memorial Hospital</t>
        </is>
      </c>
      <c r="E1219" t="inlineStr">
        <is>
          <t>Emergency Department</t>
        </is>
      </c>
      <c r="F1219" t="inlineStr">
        <is>
          <t>Emergency</t>
        </is>
      </c>
      <c r="G1219" s="29" t="n">
        <v>45816</v>
      </c>
      <c r="H1219" s="29" t="n">
        <v>45816</v>
      </c>
      <c r="I1219" s="30" t="n"/>
      <c r="J1219" t="inlineStr">
        <is>
          <t>F20.9</t>
        </is>
      </c>
      <c r="K1219" t="inlineStr">
        <is>
          <t>Schizophrenia, unspecified</t>
        </is>
      </c>
      <c r="L1219" t="inlineStr">
        <is>
          <t>Mental &amp; Behavioral</t>
        </is>
      </c>
      <c r="M1219" t="inlineStr">
        <is>
          <t>Transfer to Another Hospital</t>
        </is>
      </c>
      <c r="N1219" t="inlineStr">
        <is>
          <t>Self-Pay</t>
        </is>
      </c>
      <c r="O1219" s="31" t="n">
        <v>7311.14</v>
      </c>
    </row>
    <row r="1220">
      <c r="A1220" t="inlineStr">
        <is>
          <t>ENC115739</t>
        </is>
      </c>
      <c r="B1220" t="inlineStr">
        <is>
          <t>PT10520</t>
        </is>
      </c>
      <c r="C1220" t="inlineStr">
        <is>
          <t>Emergency</t>
        </is>
      </c>
      <c r="D1220" t="inlineStr">
        <is>
          <t>Bluestone Memorial Hospital</t>
        </is>
      </c>
      <c r="E1220" t="inlineStr">
        <is>
          <t>Emergency Department</t>
        </is>
      </c>
      <c r="F1220" t="inlineStr">
        <is>
          <t>Emergency</t>
        </is>
      </c>
      <c r="G1220" s="29" t="n">
        <v>45816</v>
      </c>
      <c r="H1220" s="29" t="n">
        <v>45816</v>
      </c>
      <c r="I1220" s="30" t="n"/>
      <c r="J1220" t="inlineStr">
        <is>
          <t>M54.50</t>
        </is>
      </c>
      <c r="K1220" t="inlineStr">
        <is>
          <t>Low back pain, unspecified</t>
        </is>
      </c>
      <c r="L1220" t="inlineStr">
        <is>
          <t>Musculoskeletal</t>
        </is>
      </c>
      <c r="M1220" t="inlineStr">
        <is>
          <t>Home/Self-Care</t>
        </is>
      </c>
      <c r="N1220" t="inlineStr">
        <is>
          <t>Silverline Medicare Advantage</t>
        </is>
      </c>
      <c r="O1220" s="31" t="n">
        <v>645</v>
      </c>
    </row>
    <row r="1221">
      <c r="A1221" t="inlineStr">
        <is>
          <t>ENC115741</t>
        </is>
      </c>
      <c r="B1221" t="inlineStr">
        <is>
          <t>PT11920</t>
        </is>
      </c>
      <c r="C1221" t="inlineStr">
        <is>
          <t>Emergency</t>
        </is>
      </c>
      <c r="D1221" t="inlineStr">
        <is>
          <t>Cedar Ridge Medical Center</t>
        </is>
      </c>
      <c r="E1221" t="inlineStr">
        <is>
          <t>Emergency Department</t>
        </is>
      </c>
      <c r="F1221" t="inlineStr">
        <is>
          <t>Emergency</t>
        </is>
      </c>
      <c r="G1221" s="29" t="n">
        <v>45816</v>
      </c>
      <c r="H1221" s="29" t="n">
        <v>45816</v>
      </c>
      <c r="I1221" s="30" t="n"/>
      <c r="J1221" t="inlineStr">
        <is>
          <t>U07.1</t>
        </is>
      </c>
      <c r="K1221" t="inlineStr">
        <is>
          <t>COVID-19</t>
        </is>
      </c>
      <c r="L1221" t="inlineStr">
        <is>
          <t>Respiratory</t>
        </is>
      </c>
      <c r="M1221" t="inlineStr">
        <is>
          <t>Home/Self-Care</t>
        </is>
      </c>
      <c r="N1221" t="inlineStr">
        <is>
          <t>State Medicaid</t>
        </is>
      </c>
      <c r="O1221" s="31" t="n">
        <v>1208.42</v>
      </c>
    </row>
    <row r="1222">
      <c r="A1222" t="inlineStr">
        <is>
          <t>ENC115745</t>
        </is>
      </c>
      <c r="B1222" t="inlineStr">
        <is>
          <t>PT10432</t>
        </is>
      </c>
      <c r="C1222" t="inlineStr">
        <is>
          <t>Observation</t>
        </is>
      </c>
      <c r="D1222" t="inlineStr">
        <is>
          <t>Bluestone Memorial Hospital</t>
        </is>
      </c>
      <c r="E1222" t="inlineStr">
        <is>
          <t>Observation Unit</t>
        </is>
      </c>
      <c r="F1222" t="inlineStr">
        <is>
          <t>Medicine</t>
        </is>
      </c>
      <c r="G1222" s="29" t="n">
        <v>45816</v>
      </c>
      <c r="H1222" s="29" t="n">
        <v>45818</v>
      </c>
      <c r="I1222" s="30" t="n">
        <v>2</v>
      </c>
      <c r="J1222" t="inlineStr">
        <is>
          <t>R07.9</t>
        </is>
      </c>
      <c r="K1222" t="inlineStr">
        <is>
          <t>Chest pain, unspecified</t>
        </is>
      </c>
      <c r="L1222" t="inlineStr">
        <is>
          <t>Symptoms &amp; Signs</t>
        </is>
      </c>
      <c r="M1222" t="inlineStr">
        <is>
          <t>Home/Self-Care</t>
        </is>
      </c>
      <c r="N1222" t="inlineStr">
        <is>
          <t>Medicare</t>
        </is>
      </c>
      <c r="O1222" s="31" t="n">
        <v>7064.93</v>
      </c>
    </row>
    <row r="1223">
      <c r="A1223" t="inlineStr">
        <is>
          <t>ENC115751</t>
        </is>
      </c>
      <c r="B1223" t="inlineStr">
        <is>
          <t>PT12156</t>
        </is>
      </c>
      <c r="C1223" t="inlineStr">
        <is>
          <t>Observation</t>
        </is>
      </c>
      <c r="D1223" t="inlineStr">
        <is>
          <t>Bluestone Memorial Hospital</t>
        </is>
      </c>
      <c r="E1223" t="inlineStr">
        <is>
          <t>Observation Unit</t>
        </is>
      </c>
      <c r="F1223" t="inlineStr">
        <is>
          <t>Medicine</t>
        </is>
      </c>
      <c r="G1223" s="29" t="n">
        <v>45816</v>
      </c>
      <c r="H1223" s="29" t="n">
        <v>45817</v>
      </c>
      <c r="I1223" s="30" t="n">
        <v>1</v>
      </c>
      <c r="J1223" t="inlineStr">
        <is>
          <t>K80.20</t>
        </is>
      </c>
      <c r="K1223" t="inlineStr">
        <is>
          <t>Calculus of gallbladder without cholecystitis without obstruction</t>
        </is>
      </c>
      <c r="L1223" t="inlineStr">
        <is>
          <t>Digestive</t>
        </is>
      </c>
      <c r="M1223" t="inlineStr">
        <is>
          <t>Home/Self-Care</t>
        </is>
      </c>
      <c r="N1223" t="inlineStr">
        <is>
          <t>State Medicaid</t>
        </is>
      </c>
      <c r="O1223" s="31" t="n">
        <v>10217.49</v>
      </c>
    </row>
    <row r="1224">
      <c r="A1224" t="inlineStr">
        <is>
          <t>ENC115765</t>
        </is>
      </c>
      <c r="B1224" t="inlineStr">
        <is>
          <t>PT11276</t>
        </is>
      </c>
      <c r="C1224" t="inlineStr">
        <is>
          <t>Outpatient</t>
        </is>
      </c>
      <c r="D1224" t="inlineStr">
        <is>
          <t>Bluestone Outpatient Pavilion</t>
        </is>
      </c>
      <c r="E1224" t="inlineStr">
        <is>
          <t>Cardiology Clinic</t>
        </is>
      </c>
      <c r="F1224" t="inlineStr">
        <is>
          <t>Cardiovascular</t>
        </is>
      </c>
      <c r="G1224" s="29" t="n">
        <v>45817</v>
      </c>
      <c r="H1224" s="29" t="n">
        <v>45817</v>
      </c>
      <c r="I1224" s="30" t="n"/>
      <c r="J1224" t="inlineStr">
        <is>
          <t>I50.9</t>
        </is>
      </c>
      <c r="K1224" t="inlineStr">
        <is>
          <t>Heart failure, unspecified</t>
        </is>
      </c>
      <c r="L1224" t="inlineStr">
        <is>
          <t>Circulatory</t>
        </is>
      </c>
      <c r="M1224" t="inlineStr">
        <is>
          <t>Home/Self-Care</t>
        </is>
      </c>
      <c r="N1224" t="inlineStr">
        <is>
          <t>Medicare</t>
        </is>
      </c>
      <c r="O1224" s="31" t="n">
        <v>332.15</v>
      </c>
    </row>
    <row r="1225">
      <c r="A1225" t="inlineStr">
        <is>
          <t>ENC115766</t>
        </is>
      </c>
      <c r="B1225" t="inlineStr">
        <is>
          <t>PT10368</t>
        </is>
      </c>
      <c r="C1225" t="inlineStr">
        <is>
          <t>Outpatient</t>
        </is>
      </c>
      <c r="D1225" t="inlineStr">
        <is>
          <t>Bluestone Outpatient Pavilion</t>
        </is>
      </c>
      <c r="E1225" t="inlineStr">
        <is>
          <t>Primary Care Clinic</t>
        </is>
      </c>
      <c r="F1225" t="inlineStr">
        <is>
          <t>Ambulatory</t>
        </is>
      </c>
      <c r="G1225" s="29" t="n">
        <v>45817</v>
      </c>
      <c r="H1225" s="29" t="n">
        <v>45817</v>
      </c>
      <c r="I1225" s="30" t="n"/>
      <c r="J1225" t="inlineStr">
        <is>
          <t>I10</t>
        </is>
      </c>
      <c r="K1225" t="inlineStr">
        <is>
          <t>Essential (primary) hypertension</t>
        </is>
      </c>
      <c r="L1225" t="inlineStr">
        <is>
          <t>Circulatory</t>
        </is>
      </c>
      <c r="M1225" t="inlineStr">
        <is>
          <t>Home/Self-Care</t>
        </is>
      </c>
      <c r="N1225" t="inlineStr">
        <is>
          <t>Silverline Medicare Advantage</t>
        </is>
      </c>
      <c r="O1225" s="31" t="n">
        <v>311.17</v>
      </c>
    </row>
    <row r="1226">
      <c r="A1226" t="inlineStr">
        <is>
          <t>ENC115770</t>
        </is>
      </c>
      <c r="B1226" t="inlineStr">
        <is>
          <t>PT12748</t>
        </is>
      </c>
      <c r="C1226" t="inlineStr">
        <is>
          <t>Inpatient</t>
        </is>
      </c>
      <c r="D1226" t="inlineStr">
        <is>
          <t>Bluestone Memorial Hospital</t>
        </is>
      </c>
      <c r="E1226" t="inlineStr">
        <is>
          <t>Labor &amp; Delivery</t>
        </is>
      </c>
      <c r="F1226" t="inlineStr">
        <is>
          <t>Women &amp; Children</t>
        </is>
      </c>
      <c r="G1226" s="29" t="n">
        <v>45817</v>
      </c>
      <c r="H1226" s="29" t="n">
        <v>45820</v>
      </c>
      <c r="I1226" s="30" t="n">
        <v>3</v>
      </c>
      <c r="J1226" t="inlineStr">
        <is>
          <t>O82</t>
        </is>
      </c>
      <c r="K1226" t="inlineStr">
        <is>
          <t>Encounter for cesarean delivery without indication</t>
        </is>
      </c>
      <c r="L1226" t="inlineStr">
        <is>
          <t>Pregnancy</t>
        </is>
      </c>
      <c r="M1226" t="inlineStr">
        <is>
          <t>Home/Self-Care</t>
        </is>
      </c>
      <c r="N1226" t="inlineStr">
        <is>
          <t>Summit Choice PPO</t>
        </is>
      </c>
      <c r="O1226" s="31" t="n">
        <v>17896.71</v>
      </c>
      <c r="P1226" t="inlineStr">
        <is>
          <t>N</t>
        </is>
      </c>
    </row>
    <row r="1227">
      <c r="A1227" t="inlineStr">
        <is>
          <t>ENC115771</t>
        </is>
      </c>
      <c r="B1227" t="inlineStr">
        <is>
          <t>PT11784</t>
        </is>
      </c>
      <c r="C1227" t="inlineStr">
        <is>
          <t>Outpatient</t>
        </is>
      </c>
      <c r="D1227" t="inlineStr">
        <is>
          <t>Bluestone Outpatient Pavilion</t>
        </is>
      </c>
      <c r="E1227" t="inlineStr">
        <is>
          <t>Orthopedic Clinic</t>
        </is>
      </c>
      <c r="F1227" t="inlineStr">
        <is>
          <t>Orthopedics</t>
        </is>
      </c>
      <c r="G1227" s="29" t="n">
        <v>45817</v>
      </c>
      <c r="H1227" s="29" t="n">
        <v>45817</v>
      </c>
      <c r="I1227" s="30" t="n"/>
      <c r="J1227" t="inlineStr">
        <is>
          <t>S93.401A</t>
        </is>
      </c>
      <c r="K1227" t="inlineStr">
        <is>
          <t>Sprain of unspecified ligament of right ankle, initial encounter</t>
        </is>
      </c>
      <c r="L1227" t="inlineStr">
        <is>
          <t>Injury</t>
        </is>
      </c>
      <c r="M1227" t="inlineStr">
        <is>
          <t>Home/Self-Care</t>
        </is>
      </c>
      <c r="N1227" t="inlineStr">
        <is>
          <t>Evergreen Mutual Insurance</t>
        </is>
      </c>
      <c r="O1227" s="31" t="n">
        <v>237.39</v>
      </c>
    </row>
    <row r="1228">
      <c r="A1228" t="inlineStr">
        <is>
          <t>ENC115776</t>
        </is>
      </c>
      <c r="B1228" t="inlineStr">
        <is>
          <t>PT11548</t>
        </is>
      </c>
      <c r="C1228" t="inlineStr">
        <is>
          <t>Outpatient</t>
        </is>
      </c>
      <c r="D1228" t="inlineStr">
        <is>
          <t>Bluestone Outpatient Pavilion</t>
        </is>
      </c>
      <c r="E1228" t="inlineStr">
        <is>
          <t>Primary Care Clinic</t>
        </is>
      </c>
      <c r="F1228" t="inlineStr">
        <is>
          <t>Ambulatory</t>
        </is>
      </c>
      <c r="G1228" s="29" t="n">
        <v>45817</v>
      </c>
      <c r="H1228" s="29" t="n">
        <v>45817</v>
      </c>
      <c r="I1228" s="30" t="n"/>
      <c r="J1228" t="inlineStr">
        <is>
          <t>Z00.00</t>
        </is>
      </c>
      <c r="K1228" t="inlineStr">
        <is>
          <t>Encounter for general adult medical examination without abnormal findings</t>
        </is>
      </c>
      <c r="L1228" t="inlineStr">
        <is>
          <t>Factors Influencing Health</t>
        </is>
      </c>
      <c r="M1228" t="inlineStr">
        <is>
          <t>Home/Self-Care</t>
        </is>
      </c>
      <c r="N1228" t="inlineStr">
        <is>
          <t>Evergreen Mutual Insurance</t>
        </is>
      </c>
      <c r="O1228" s="31" t="n">
        <v>421.92</v>
      </c>
    </row>
    <row r="1229">
      <c r="A1229" t="inlineStr">
        <is>
          <t>ENC115777</t>
        </is>
      </c>
      <c r="B1229" t="inlineStr">
        <is>
          <t>PT11208</t>
        </is>
      </c>
      <c r="C1229" t="inlineStr">
        <is>
          <t>Outpatient</t>
        </is>
      </c>
      <c r="D1229" t="inlineStr">
        <is>
          <t>Bluestone Outpatient Pavilion</t>
        </is>
      </c>
      <c r="E1229" t="inlineStr">
        <is>
          <t>Infusion &amp; Oncology Clinic</t>
        </is>
      </c>
      <c r="F1229" t="inlineStr">
        <is>
          <t>Oncology</t>
        </is>
      </c>
      <c r="G1229" s="29" t="n">
        <v>45817</v>
      </c>
      <c r="H1229" s="29" t="n">
        <v>45817</v>
      </c>
      <c r="I1229" s="30" t="n"/>
      <c r="J1229" t="inlineStr">
        <is>
          <t>Z51.11</t>
        </is>
      </c>
      <c r="K1229" t="inlineStr">
        <is>
          <t>Encounter for antineoplastic chemotherapy</t>
        </is>
      </c>
      <c r="L1229" t="inlineStr">
        <is>
          <t>Factors Influencing Health</t>
        </is>
      </c>
      <c r="M1229" t="inlineStr">
        <is>
          <t>Home/Self-Care</t>
        </is>
      </c>
      <c r="N1229" t="inlineStr">
        <is>
          <t>State Medicaid</t>
        </is>
      </c>
      <c r="O1229" s="31" t="n">
        <v>12942.2</v>
      </c>
    </row>
    <row r="1230">
      <c r="A1230" t="inlineStr">
        <is>
          <t>ENC115778</t>
        </is>
      </c>
      <c r="B1230" t="inlineStr">
        <is>
          <t>PT11356</t>
        </is>
      </c>
      <c r="C1230" t="inlineStr">
        <is>
          <t>Inpatient</t>
        </is>
      </c>
      <c r="D1230" t="inlineStr">
        <is>
          <t>Bluestone Memorial Hospital</t>
        </is>
      </c>
      <c r="E1230" t="inlineStr">
        <is>
          <t>Medical-Surgical 5 East</t>
        </is>
      </c>
      <c r="F1230" t="inlineStr">
        <is>
          <t>Medicine</t>
        </is>
      </c>
      <c r="G1230" s="29" t="n">
        <v>45817</v>
      </c>
      <c r="H1230" s="29" t="n">
        <v>45819</v>
      </c>
      <c r="I1230" s="30" t="n">
        <v>2</v>
      </c>
      <c r="J1230" t="inlineStr">
        <is>
          <t>E86.0</t>
        </is>
      </c>
      <c r="K1230" t="inlineStr">
        <is>
          <t>Dehydration</t>
        </is>
      </c>
      <c r="L1230" t="inlineStr">
        <is>
          <t>Endocrine</t>
        </is>
      </c>
      <c r="M1230" t="inlineStr">
        <is>
          <t>Home/Self-Care</t>
        </is>
      </c>
      <c r="N1230" t="inlineStr">
        <is>
          <t>Evergreen Mutual Insurance</t>
        </is>
      </c>
      <c r="O1230" s="31" t="n">
        <v>18839.98</v>
      </c>
      <c r="P1230" t="inlineStr">
        <is>
          <t>N</t>
        </is>
      </c>
    </row>
    <row r="1231">
      <c r="A1231" t="inlineStr">
        <is>
          <t>ENC115779</t>
        </is>
      </c>
      <c r="B1231" t="inlineStr">
        <is>
          <t>PT11960</t>
        </is>
      </c>
      <c r="C1231" t="inlineStr">
        <is>
          <t>Inpatient</t>
        </is>
      </c>
      <c r="D1231" t="inlineStr">
        <is>
          <t>Bluestone Memorial Hospital</t>
        </is>
      </c>
      <c r="E1231" t="inlineStr">
        <is>
          <t>Cardiac Step-Down</t>
        </is>
      </c>
      <c r="F1231" t="inlineStr">
        <is>
          <t>Cardiovascular</t>
        </is>
      </c>
      <c r="G1231" s="29" t="n">
        <v>45817</v>
      </c>
      <c r="H1231" s="29" t="n">
        <v>45822</v>
      </c>
      <c r="I1231" s="30" t="n">
        <v>5</v>
      </c>
      <c r="J1231" t="inlineStr">
        <is>
          <t>I21.4</t>
        </is>
      </c>
      <c r="K1231" t="inlineStr">
        <is>
          <t>Non-ST elevation (NSTEMI) myocardial infarction</t>
        </is>
      </c>
      <c r="L1231" t="inlineStr">
        <is>
          <t>Circulatory</t>
        </is>
      </c>
      <c r="M1231" t="inlineStr">
        <is>
          <t>Home/Self-Care</t>
        </is>
      </c>
      <c r="N1231" t="inlineStr">
        <is>
          <t>Medicare</t>
        </is>
      </c>
      <c r="O1231" s="31" t="n">
        <v>66754.42</v>
      </c>
      <c r="P1231" t="inlineStr">
        <is>
          <t>Y</t>
        </is>
      </c>
    </row>
    <row r="1232">
      <c r="A1232" t="inlineStr">
        <is>
          <t>ENC115780</t>
        </is>
      </c>
      <c r="B1232" t="inlineStr">
        <is>
          <t>PT11080</t>
        </is>
      </c>
      <c r="C1232" t="inlineStr">
        <is>
          <t>Outpatient</t>
        </is>
      </c>
      <c r="D1232" t="inlineStr">
        <is>
          <t>Bluestone Outpatient Pavilion</t>
        </is>
      </c>
      <c r="E1232" t="inlineStr">
        <is>
          <t>Primary Care Clinic</t>
        </is>
      </c>
      <c r="F1232" t="inlineStr">
        <is>
          <t>Ambulatory</t>
        </is>
      </c>
      <c r="G1232" s="29" t="n">
        <v>45817</v>
      </c>
      <c r="H1232" s="29" t="n">
        <v>45817</v>
      </c>
      <c r="I1232" s="30" t="n"/>
      <c r="J1232" t="inlineStr">
        <is>
          <t>I10</t>
        </is>
      </c>
      <c r="K1232" t="inlineStr">
        <is>
          <t>Essential (primary) hypertension</t>
        </is>
      </c>
      <c r="L1232" t="inlineStr">
        <is>
          <t>Circulatory</t>
        </is>
      </c>
      <c r="M1232" t="inlineStr">
        <is>
          <t>Home/Self-Care</t>
        </is>
      </c>
      <c r="N1232" t="inlineStr">
        <is>
          <t>Medicare</t>
        </is>
      </c>
      <c r="O1232" s="31" t="n">
        <v>266.26</v>
      </c>
    </row>
    <row r="1233">
      <c r="A1233" t="inlineStr">
        <is>
          <t>ENC115782</t>
        </is>
      </c>
      <c r="B1233" t="inlineStr">
        <is>
          <t>PT12040</t>
        </is>
      </c>
      <c r="C1233" t="inlineStr">
        <is>
          <t>Outpatient</t>
        </is>
      </c>
      <c r="D1233" t="inlineStr">
        <is>
          <t>Bluestone Outpatient Pavilion</t>
        </is>
      </c>
      <c r="E1233" t="inlineStr">
        <is>
          <t>Primary Care Clinic</t>
        </is>
      </c>
      <c r="F1233" t="inlineStr">
        <is>
          <t>Ambulatory</t>
        </is>
      </c>
      <c r="G1233" s="29" t="n">
        <v>45817</v>
      </c>
      <c r="H1233" s="29" t="n">
        <v>45817</v>
      </c>
      <c r="I1233" s="30" t="n"/>
      <c r="J1233" t="inlineStr">
        <is>
          <t>I10</t>
        </is>
      </c>
      <c r="K1233" t="inlineStr">
        <is>
          <t>Essential (primary) hypertension</t>
        </is>
      </c>
      <c r="L1233" t="inlineStr">
        <is>
          <t>Circulatory</t>
        </is>
      </c>
      <c r="M1233" t="inlineStr">
        <is>
          <t>Home/Self-Care</t>
        </is>
      </c>
      <c r="N1233" t="inlineStr">
        <is>
          <t>Medicare</t>
        </is>
      </c>
      <c r="O1233" s="31" t="n">
        <v>325.9</v>
      </c>
    </row>
    <row r="1234">
      <c r="A1234" t="inlineStr">
        <is>
          <t>ENC115785</t>
        </is>
      </c>
      <c r="B1234" t="inlineStr">
        <is>
          <t>PT11656</t>
        </is>
      </c>
      <c r="C1234" t="inlineStr">
        <is>
          <t>Inpatient</t>
        </is>
      </c>
      <c r="D1234" t="inlineStr">
        <is>
          <t>Bluestone Memorial Hospital</t>
        </is>
      </c>
      <c r="E1234" t="inlineStr">
        <is>
          <t>Medical-Surgical 4 West</t>
        </is>
      </c>
      <c r="F1234" t="inlineStr">
        <is>
          <t>Medicine</t>
        </is>
      </c>
      <c r="G1234" s="29" t="n">
        <v>45817</v>
      </c>
      <c r="H1234" s="29" t="n">
        <v>45827</v>
      </c>
      <c r="I1234" s="30" t="n">
        <v>10</v>
      </c>
      <c r="J1234" t="inlineStr">
        <is>
          <t>A41.9</t>
        </is>
      </c>
      <c r="K1234" t="inlineStr">
        <is>
          <t>Sepsis, unspecified organism</t>
        </is>
      </c>
      <c r="L1234" t="inlineStr">
        <is>
          <t>Infectious</t>
        </is>
      </c>
      <c r="M1234" t="inlineStr">
        <is>
          <t>Home/Self-Care</t>
        </is>
      </c>
      <c r="N1234" t="inlineStr">
        <is>
          <t>Self-Pay</t>
        </is>
      </c>
      <c r="O1234" s="31" t="n">
        <v>81062.64999999999</v>
      </c>
      <c r="P1234" t="inlineStr">
        <is>
          <t>N</t>
        </is>
      </c>
    </row>
    <row r="1235">
      <c r="A1235" t="inlineStr">
        <is>
          <t>ENC115789</t>
        </is>
      </c>
      <c r="B1235" t="inlineStr">
        <is>
          <t>PT11508</t>
        </is>
      </c>
      <c r="C1235" t="inlineStr">
        <is>
          <t>Inpatient</t>
        </is>
      </c>
      <c r="D1235" t="inlineStr">
        <is>
          <t>Bluestone Memorial Hospital</t>
        </is>
      </c>
      <c r="E1235" t="inlineStr">
        <is>
          <t>Neuroscience &amp; Stroke</t>
        </is>
      </c>
      <c r="F1235" t="inlineStr">
        <is>
          <t>Neuroscience</t>
        </is>
      </c>
      <c r="G1235" s="29" t="n">
        <v>45818</v>
      </c>
      <c r="H1235" s="29" t="n">
        <v>45821</v>
      </c>
      <c r="I1235" s="30" t="n">
        <v>3</v>
      </c>
      <c r="J1235" t="inlineStr">
        <is>
          <t>I63.9</t>
        </is>
      </c>
      <c r="K1235" t="inlineStr">
        <is>
          <t>Cerebral infarction, unspecified</t>
        </is>
      </c>
      <c r="L1235" t="inlineStr">
        <is>
          <t>Circulatory</t>
        </is>
      </c>
      <c r="M1235" t="inlineStr">
        <is>
          <t>Home/Self-Care</t>
        </is>
      </c>
      <c r="N1235" t="inlineStr">
        <is>
          <t>Evergreen Mutual Insurance</t>
        </is>
      </c>
      <c r="O1235" s="31" t="n">
        <v>17099.58</v>
      </c>
      <c r="P1235" t="inlineStr">
        <is>
          <t>N</t>
        </is>
      </c>
    </row>
    <row r="1236">
      <c r="A1236" t="inlineStr">
        <is>
          <t>ENC115818</t>
        </is>
      </c>
      <c r="B1236" t="inlineStr">
        <is>
          <t>PT13480</t>
        </is>
      </c>
      <c r="C1236" t="inlineStr">
        <is>
          <t>Emergency</t>
        </is>
      </c>
      <c r="D1236" t="inlineStr">
        <is>
          <t>Bluestone Memorial Hospital</t>
        </is>
      </c>
      <c r="E1236" t="inlineStr">
        <is>
          <t>Emergency Department</t>
        </is>
      </c>
      <c r="F1236" t="inlineStr">
        <is>
          <t>Emergency</t>
        </is>
      </c>
      <c r="G1236" s="29" t="n">
        <v>45818</v>
      </c>
      <c r="H1236" s="29" t="n">
        <v>45818</v>
      </c>
      <c r="I1236" s="30" t="n"/>
      <c r="J1236" t="inlineStr">
        <is>
          <t>S93.401A</t>
        </is>
      </c>
      <c r="K1236" t="inlineStr">
        <is>
          <t>Sprain of unspecified ligament of right ankle, initial encounter</t>
        </is>
      </c>
      <c r="L1236" t="inlineStr">
        <is>
          <t>Injury</t>
        </is>
      </c>
      <c r="M1236" t="inlineStr">
        <is>
          <t>Home/Self-Care</t>
        </is>
      </c>
      <c r="N1236" t="inlineStr">
        <is>
          <t>Summit Choice PPO</t>
        </is>
      </c>
      <c r="O1236" s="31" t="n">
        <v>1112.2</v>
      </c>
    </row>
    <row r="1237">
      <c r="A1237" t="inlineStr">
        <is>
          <t>ENC115819</t>
        </is>
      </c>
      <c r="B1237" t="inlineStr">
        <is>
          <t>PT11328</t>
        </is>
      </c>
      <c r="C1237" t="inlineStr">
        <is>
          <t>Emergency</t>
        </is>
      </c>
      <c r="D1237" t="inlineStr">
        <is>
          <t>Bluestone Memorial Hospital</t>
        </is>
      </c>
      <c r="E1237" t="inlineStr">
        <is>
          <t>Emergency Department</t>
        </is>
      </c>
      <c r="F1237" t="inlineStr">
        <is>
          <t>Emergency</t>
        </is>
      </c>
      <c r="G1237" s="29" t="n">
        <v>45818</v>
      </c>
      <c r="H1237" s="29" t="n">
        <v>45818</v>
      </c>
      <c r="I1237" s="30" t="n"/>
      <c r="J1237" t="inlineStr">
        <is>
          <t>J45.909</t>
        </is>
      </c>
      <c r="K1237" t="inlineStr">
        <is>
          <t>Unspecified asthma, uncomplicated</t>
        </is>
      </c>
      <c r="L1237" t="inlineStr">
        <is>
          <t>Respiratory</t>
        </is>
      </c>
      <c r="M1237" t="inlineStr">
        <is>
          <t>Home/Self-Care</t>
        </is>
      </c>
      <c r="N1237" t="inlineStr">
        <is>
          <t>Medicare</t>
        </is>
      </c>
      <c r="O1237" s="31" t="n">
        <v>3534.58</v>
      </c>
    </row>
    <row r="1238">
      <c r="A1238" t="inlineStr">
        <is>
          <t>ENC115824</t>
        </is>
      </c>
      <c r="B1238" t="inlineStr">
        <is>
          <t>PT10232</t>
        </is>
      </c>
      <c r="C1238" t="inlineStr">
        <is>
          <t>Emergency</t>
        </is>
      </c>
      <c r="D1238" t="inlineStr">
        <is>
          <t>Bluestone Memorial Hospital</t>
        </is>
      </c>
      <c r="E1238" t="inlineStr">
        <is>
          <t>Emergency Department</t>
        </is>
      </c>
      <c r="F1238" t="inlineStr">
        <is>
          <t>Emergency</t>
        </is>
      </c>
      <c r="G1238" s="29" t="n">
        <v>45819</v>
      </c>
      <c r="H1238" s="29" t="n">
        <v>45819</v>
      </c>
      <c r="I1238" s="30" t="n"/>
      <c r="J1238" t="inlineStr">
        <is>
          <t>R10.9</t>
        </is>
      </c>
      <c r="K1238" t="inlineStr">
        <is>
          <t>Unspecified abdominal pain</t>
        </is>
      </c>
      <c r="L1238" t="inlineStr">
        <is>
          <t>Symptoms &amp; Signs</t>
        </is>
      </c>
      <c r="M1238" t="inlineStr">
        <is>
          <t>Home/Self-Care</t>
        </is>
      </c>
      <c r="N1238" t="inlineStr">
        <is>
          <t>Summit Choice PPO</t>
        </is>
      </c>
      <c r="O1238" s="31" t="n">
        <v>2940.39</v>
      </c>
    </row>
    <row r="1239">
      <c r="A1239" t="inlineStr">
        <is>
          <t>ENC115829</t>
        </is>
      </c>
      <c r="B1239" t="inlineStr">
        <is>
          <t>PT10496</t>
        </is>
      </c>
      <c r="C1239" t="inlineStr">
        <is>
          <t>Outpatient</t>
        </is>
      </c>
      <c r="D1239" t="inlineStr">
        <is>
          <t>Bluestone Outpatient Pavilion</t>
        </is>
      </c>
      <c r="E1239" t="inlineStr">
        <is>
          <t>Infusion &amp; Oncology Clinic</t>
        </is>
      </c>
      <c r="F1239" t="inlineStr">
        <is>
          <t>Oncology</t>
        </is>
      </c>
      <c r="G1239" s="29" t="n">
        <v>45819</v>
      </c>
      <c r="H1239" s="29" t="n">
        <v>45819</v>
      </c>
      <c r="I1239" s="30" t="n"/>
      <c r="J1239" t="inlineStr">
        <is>
          <t>Z51.11</t>
        </is>
      </c>
      <c r="K1239" t="inlineStr">
        <is>
          <t>Encounter for antineoplastic chemotherapy</t>
        </is>
      </c>
      <c r="L1239" t="inlineStr">
        <is>
          <t>Factors Influencing Health</t>
        </is>
      </c>
      <c r="M1239" t="inlineStr">
        <is>
          <t>Home/Self-Care</t>
        </is>
      </c>
      <c r="N1239" t="inlineStr">
        <is>
          <t>Silverline Medicare Advantage</t>
        </is>
      </c>
      <c r="O1239" s="31" t="n">
        <v>16293.37</v>
      </c>
    </row>
    <row r="1240">
      <c r="A1240" t="inlineStr">
        <is>
          <t>ENC115839</t>
        </is>
      </c>
      <c r="B1240" t="inlineStr">
        <is>
          <t>PT11492</t>
        </is>
      </c>
      <c r="C1240" t="inlineStr">
        <is>
          <t>Inpatient</t>
        </is>
      </c>
      <c r="D1240" t="inlineStr">
        <is>
          <t>Cedar Ridge Medical Center</t>
        </is>
      </c>
      <c r="E1240" t="inlineStr">
        <is>
          <t>Intensive Care Unit</t>
        </is>
      </c>
      <c r="F1240" t="inlineStr">
        <is>
          <t>Critical Care</t>
        </is>
      </c>
      <c r="G1240" s="29" t="n">
        <v>45819</v>
      </c>
      <c r="H1240" s="29" t="n">
        <v>45824</v>
      </c>
      <c r="I1240" s="30" t="n">
        <v>5</v>
      </c>
      <c r="J1240" t="inlineStr">
        <is>
          <t>J96.01</t>
        </is>
      </c>
      <c r="K1240" t="inlineStr">
        <is>
          <t>Acute respiratory failure with hypoxia</t>
        </is>
      </c>
      <c r="L1240" t="inlineStr">
        <is>
          <t>Respiratory</t>
        </is>
      </c>
      <c r="M1240" t="inlineStr">
        <is>
          <t>Home/Self-Care</t>
        </is>
      </c>
      <c r="N1240" t="inlineStr">
        <is>
          <t>Silverline Medicare Advantage</t>
        </is>
      </c>
      <c r="O1240" s="31" t="n">
        <v>72484.13</v>
      </c>
      <c r="P1240" t="inlineStr">
        <is>
          <t>N</t>
        </is>
      </c>
    </row>
    <row r="1241">
      <c r="A1241" t="inlineStr">
        <is>
          <t>ENC115842</t>
        </is>
      </c>
      <c r="B1241" t="inlineStr">
        <is>
          <t>PT13500</t>
        </is>
      </c>
      <c r="C1241" t="inlineStr">
        <is>
          <t>Outpatient</t>
        </is>
      </c>
      <c r="D1241" t="inlineStr">
        <is>
          <t>Bluestone Outpatient Pavilion</t>
        </is>
      </c>
      <c r="E1241" t="inlineStr">
        <is>
          <t>Primary Care Clinic</t>
        </is>
      </c>
      <c r="F1241" t="inlineStr">
        <is>
          <t>Ambulatory</t>
        </is>
      </c>
      <c r="G1241" s="29" t="n">
        <v>45819</v>
      </c>
      <c r="H1241" s="29" t="n">
        <v>45819</v>
      </c>
      <c r="I1241" s="30" t="n"/>
      <c r="J1241" t="inlineStr">
        <is>
          <t>F41.9</t>
        </is>
      </c>
      <c r="K1241" t="inlineStr">
        <is>
          <t>Anxiety disorder, unspecified</t>
        </is>
      </c>
      <c r="L1241" t="inlineStr">
        <is>
          <t>Mental &amp; Behavioral</t>
        </is>
      </c>
      <c r="M1241" t="inlineStr">
        <is>
          <t>Home/Self-Care</t>
        </is>
      </c>
      <c r="N1241" t="inlineStr">
        <is>
          <t>Medicare</t>
        </is>
      </c>
      <c r="O1241" s="31" t="n">
        <v>439.9</v>
      </c>
    </row>
    <row r="1242">
      <c r="A1242" t="inlineStr">
        <is>
          <t>ENC115849</t>
        </is>
      </c>
      <c r="B1242" t="inlineStr">
        <is>
          <t>PT10576</t>
        </is>
      </c>
      <c r="C1242" t="inlineStr">
        <is>
          <t>Inpatient</t>
        </is>
      </c>
      <c r="D1242" t="inlineStr">
        <is>
          <t>Bluestone Memorial Hospital</t>
        </is>
      </c>
      <c r="E1242" t="inlineStr">
        <is>
          <t>Medical-Surgical 4 West</t>
        </is>
      </c>
      <c r="F1242" t="inlineStr">
        <is>
          <t>Medicine</t>
        </is>
      </c>
      <c r="G1242" s="29" t="n">
        <v>45819</v>
      </c>
      <c r="H1242" s="29" t="n">
        <v>45823</v>
      </c>
      <c r="I1242" s="30" t="n">
        <v>4</v>
      </c>
      <c r="J1242" t="inlineStr">
        <is>
          <t>U07.1</t>
        </is>
      </c>
      <c r="K1242" t="inlineStr">
        <is>
          <t>COVID-19</t>
        </is>
      </c>
      <c r="L1242" t="inlineStr">
        <is>
          <t>Respiratory</t>
        </is>
      </c>
      <c r="M1242" t="inlineStr">
        <is>
          <t>Home/Self-Care</t>
        </is>
      </c>
      <c r="N1242" t="inlineStr">
        <is>
          <t>Summit Choice PPO</t>
        </is>
      </c>
      <c r="O1242" s="31" t="n">
        <v>19092.37</v>
      </c>
      <c r="P1242" t="inlineStr">
        <is>
          <t>N</t>
        </is>
      </c>
    </row>
    <row r="1243">
      <c r="A1243" t="inlineStr">
        <is>
          <t>ENC115850</t>
        </is>
      </c>
      <c r="B1243" t="inlineStr">
        <is>
          <t>PT13844</t>
        </is>
      </c>
      <c r="C1243" t="inlineStr">
        <is>
          <t>Emergency</t>
        </is>
      </c>
      <c r="D1243" t="inlineStr">
        <is>
          <t>Bluestone Memorial Hospital</t>
        </is>
      </c>
      <c r="E1243" t="inlineStr">
        <is>
          <t>Emergency Department</t>
        </is>
      </c>
      <c r="F1243" t="inlineStr">
        <is>
          <t>Emergency</t>
        </is>
      </c>
      <c r="G1243" s="29" t="n">
        <v>45819</v>
      </c>
      <c r="H1243" s="29" t="n">
        <v>45820</v>
      </c>
      <c r="I1243" s="30" t="n"/>
      <c r="J1243" t="inlineStr">
        <is>
          <t>E86.0</t>
        </is>
      </c>
      <c r="K1243" t="inlineStr">
        <is>
          <t>Dehydration</t>
        </is>
      </c>
      <c r="L1243" t="inlineStr">
        <is>
          <t>Endocrine</t>
        </is>
      </c>
      <c r="M1243" t="inlineStr">
        <is>
          <t>Home/Self-Care</t>
        </is>
      </c>
      <c r="N1243" t="inlineStr">
        <is>
          <t>State Medicaid</t>
        </is>
      </c>
      <c r="O1243" s="31" t="n">
        <v>3133.08</v>
      </c>
    </row>
    <row r="1244">
      <c r="A1244" t="inlineStr">
        <is>
          <t>ENC115854</t>
        </is>
      </c>
      <c r="B1244" t="inlineStr">
        <is>
          <t>PT10488</t>
        </is>
      </c>
      <c r="C1244" t="inlineStr">
        <is>
          <t>Emergency</t>
        </is>
      </c>
      <c r="D1244" t="inlineStr">
        <is>
          <t>Bluestone Memorial Hospital</t>
        </is>
      </c>
      <c r="E1244" t="inlineStr">
        <is>
          <t>Emergency Department</t>
        </is>
      </c>
      <c r="F1244" t="inlineStr">
        <is>
          <t>Emergency</t>
        </is>
      </c>
      <c r="G1244" s="29" t="n">
        <v>45820</v>
      </c>
      <c r="H1244" s="29" t="n">
        <v>45820</v>
      </c>
      <c r="I1244" s="30" t="n"/>
      <c r="J1244" t="inlineStr">
        <is>
          <t>F10.239</t>
        </is>
      </c>
      <c r="K1244" t="inlineStr">
        <is>
          <t>Alcohol dependence with withdrawal, unspecified</t>
        </is>
      </c>
      <c r="L1244" t="inlineStr">
        <is>
          <t>Mental &amp; Behavioral</t>
        </is>
      </c>
      <c r="M1244" t="inlineStr">
        <is>
          <t>Home/Self-Care</t>
        </is>
      </c>
      <c r="N1244" t="inlineStr">
        <is>
          <t>Medicare</t>
        </is>
      </c>
      <c r="O1244" s="31" t="n">
        <v>2981.31</v>
      </c>
    </row>
    <row r="1245">
      <c r="A1245" t="inlineStr">
        <is>
          <t>ENC115858</t>
        </is>
      </c>
      <c r="B1245" t="inlineStr">
        <is>
          <t>PT12784</t>
        </is>
      </c>
      <c r="C1245" t="inlineStr">
        <is>
          <t>Outpatient</t>
        </is>
      </c>
      <c r="D1245" t="inlineStr">
        <is>
          <t>Bluestone Outpatient Pavilion</t>
        </is>
      </c>
      <c r="E1245" t="inlineStr">
        <is>
          <t>Orthopedic Clinic</t>
        </is>
      </c>
      <c r="F1245" t="inlineStr">
        <is>
          <t>Orthopedics</t>
        </is>
      </c>
      <c r="G1245" s="29" t="n">
        <v>45820</v>
      </c>
      <c r="H1245" s="29" t="n">
        <v>45820</v>
      </c>
      <c r="I1245" s="30" t="n"/>
      <c r="J1245" t="inlineStr">
        <is>
          <t>M16.11</t>
        </is>
      </c>
      <c r="K1245" t="inlineStr">
        <is>
          <t>Unilateral primary osteoarthritis, right hip</t>
        </is>
      </c>
      <c r="L1245" t="inlineStr">
        <is>
          <t>Musculoskeletal</t>
        </is>
      </c>
      <c r="M1245" t="inlineStr">
        <is>
          <t>Home/Self-Care</t>
        </is>
      </c>
      <c r="N1245" t="inlineStr">
        <is>
          <t>State Medicaid</t>
        </is>
      </c>
      <c r="O1245" s="31" t="n">
        <v>270.7</v>
      </c>
    </row>
    <row r="1246">
      <c r="A1246" t="inlineStr">
        <is>
          <t>ENC115860</t>
        </is>
      </c>
      <c r="B1246" t="inlineStr">
        <is>
          <t>PT13196</t>
        </is>
      </c>
      <c r="C1246" t="inlineStr">
        <is>
          <t>Outpatient</t>
        </is>
      </c>
      <c r="D1246" t="inlineStr">
        <is>
          <t>Bluestone Outpatient Pavilion</t>
        </is>
      </c>
      <c r="E1246" t="inlineStr">
        <is>
          <t>Endocrinology &amp; Diabetes Clinic</t>
        </is>
      </c>
      <c r="F1246" t="inlineStr">
        <is>
          <t>Ambulatory</t>
        </is>
      </c>
      <c r="G1246" s="29" t="n">
        <v>45820</v>
      </c>
      <c r="H1246" s="29" t="n">
        <v>45820</v>
      </c>
      <c r="I1246" s="30" t="n"/>
      <c r="J1246" t="inlineStr">
        <is>
          <t>E11.9</t>
        </is>
      </c>
      <c r="K1246" t="inlineStr">
        <is>
          <t>Type 2 diabetes mellitus without complications</t>
        </is>
      </c>
      <c r="L1246" t="inlineStr">
        <is>
          <t>Endocrine</t>
        </is>
      </c>
      <c r="M1246" t="inlineStr">
        <is>
          <t>Home/Self-Care</t>
        </is>
      </c>
      <c r="N1246" t="inlineStr">
        <is>
          <t>Silverline Medicare Advantage</t>
        </is>
      </c>
      <c r="O1246" s="31" t="n">
        <v>317.12</v>
      </c>
    </row>
    <row r="1247">
      <c r="A1247" t="inlineStr">
        <is>
          <t>ENC115862</t>
        </is>
      </c>
      <c r="B1247" t="inlineStr">
        <is>
          <t>PT11880</t>
        </is>
      </c>
      <c r="C1247" t="inlineStr">
        <is>
          <t>Inpatient</t>
        </is>
      </c>
      <c r="D1247" t="inlineStr">
        <is>
          <t>Bluestone Memorial Hospital</t>
        </is>
      </c>
      <c r="E1247" t="inlineStr">
        <is>
          <t>Neuroscience &amp; Stroke</t>
        </is>
      </c>
      <c r="F1247" t="inlineStr">
        <is>
          <t>Neuroscience</t>
        </is>
      </c>
      <c r="G1247" s="29" t="n">
        <v>45820</v>
      </c>
      <c r="H1247" s="29" t="n">
        <v>45823</v>
      </c>
      <c r="I1247" s="30" t="n">
        <v>3</v>
      </c>
      <c r="J1247" t="inlineStr">
        <is>
          <t>I63.9</t>
        </is>
      </c>
      <c r="K1247" t="inlineStr">
        <is>
          <t>Cerebral infarction, unspecified</t>
        </is>
      </c>
      <c r="L1247" t="inlineStr">
        <is>
          <t>Circulatory</t>
        </is>
      </c>
      <c r="M1247" t="inlineStr">
        <is>
          <t>Inpatient Rehab</t>
        </is>
      </c>
      <c r="N1247" t="inlineStr">
        <is>
          <t>Medicare</t>
        </is>
      </c>
      <c r="O1247" s="31" t="n">
        <v>20714.57</v>
      </c>
      <c r="P1247" t="inlineStr">
        <is>
          <t>N</t>
        </is>
      </c>
    </row>
    <row r="1248">
      <c r="A1248" t="inlineStr">
        <is>
          <t>ENC115865</t>
        </is>
      </c>
      <c r="B1248" t="inlineStr">
        <is>
          <t>PT11060</t>
        </is>
      </c>
      <c r="C1248" t="inlineStr">
        <is>
          <t>Outpatient</t>
        </is>
      </c>
      <c r="D1248" t="inlineStr">
        <is>
          <t>Bluestone Outpatient Pavilion</t>
        </is>
      </c>
      <c r="E1248" t="inlineStr">
        <is>
          <t>Pediatric Clinic</t>
        </is>
      </c>
      <c r="F1248" t="inlineStr">
        <is>
          <t>Women &amp; Children</t>
        </is>
      </c>
      <c r="G1248" s="29" t="n">
        <v>45820</v>
      </c>
      <c r="H1248" s="29" t="n">
        <v>45820</v>
      </c>
      <c r="I1248" s="30" t="n"/>
      <c r="J1248" t="inlineStr">
        <is>
          <t>G43.909</t>
        </is>
      </c>
      <c r="K1248" t="inlineStr">
        <is>
          <t>Migraine, unspecified, not intractable, without status migrainosus</t>
        </is>
      </c>
      <c r="L1248" t="inlineStr">
        <is>
          <t>Nervous System</t>
        </is>
      </c>
      <c r="M1248" t="inlineStr">
        <is>
          <t>Home/Self-Care</t>
        </is>
      </c>
      <c r="N1248" t="inlineStr">
        <is>
          <t>Evergreen Mutual Insurance</t>
        </is>
      </c>
      <c r="O1248" s="31" t="n">
        <v>365.54</v>
      </c>
    </row>
    <row r="1249">
      <c r="A1249" t="inlineStr">
        <is>
          <t>ENC115871</t>
        </is>
      </c>
      <c r="B1249" t="inlineStr">
        <is>
          <t>PT13460</t>
        </is>
      </c>
      <c r="C1249" t="inlineStr">
        <is>
          <t>Emergency</t>
        </is>
      </c>
      <c r="D1249" t="inlineStr">
        <is>
          <t>Bluestone Memorial Hospital</t>
        </is>
      </c>
      <c r="E1249" t="inlineStr">
        <is>
          <t>Emergency Department</t>
        </is>
      </c>
      <c r="F1249" t="inlineStr">
        <is>
          <t>Emergency</t>
        </is>
      </c>
      <c r="G1249" s="29" t="n">
        <v>45820</v>
      </c>
      <c r="H1249" s="29" t="n">
        <v>45820</v>
      </c>
      <c r="I1249" s="30" t="n"/>
      <c r="J1249" t="inlineStr">
        <is>
          <t>J18.9</t>
        </is>
      </c>
      <c r="K1249" t="inlineStr">
        <is>
          <t>Pneumonia, unspecified organism</t>
        </is>
      </c>
      <c r="L1249" t="inlineStr">
        <is>
          <t>Respiratory</t>
        </is>
      </c>
      <c r="M1249" t="inlineStr">
        <is>
          <t>Home/Self-Care</t>
        </is>
      </c>
      <c r="N1249" t="inlineStr">
        <is>
          <t>Evergreen Mutual Insurance</t>
        </is>
      </c>
      <c r="O1249" s="31" t="n">
        <v>2966.2</v>
      </c>
    </row>
    <row r="1250">
      <c r="A1250" t="inlineStr">
        <is>
          <t>ENC115881</t>
        </is>
      </c>
      <c r="B1250" t="inlineStr">
        <is>
          <t>PT11300</t>
        </is>
      </c>
      <c r="C1250" t="inlineStr">
        <is>
          <t>Observation</t>
        </is>
      </c>
      <c r="D1250" t="inlineStr">
        <is>
          <t>Bluestone Memorial Hospital</t>
        </is>
      </c>
      <c r="E1250" t="inlineStr">
        <is>
          <t>Observation Unit</t>
        </is>
      </c>
      <c r="F1250" t="inlineStr">
        <is>
          <t>Medicine</t>
        </is>
      </c>
      <c r="G1250" s="29" t="n">
        <v>45820</v>
      </c>
      <c r="H1250" s="29" t="n">
        <v>45821</v>
      </c>
      <c r="I1250" s="30" t="n">
        <v>1</v>
      </c>
      <c r="J1250" t="inlineStr">
        <is>
          <t>J18.9</t>
        </is>
      </c>
      <c r="K1250" t="inlineStr">
        <is>
          <t>Pneumonia, unspecified organism</t>
        </is>
      </c>
      <c r="L1250" t="inlineStr">
        <is>
          <t>Respiratory</t>
        </is>
      </c>
      <c r="M1250" t="inlineStr">
        <is>
          <t>Home/Self-Care</t>
        </is>
      </c>
      <c r="N1250" t="inlineStr">
        <is>
          <t>Keystone Health Partners</t>
        </is>
      </c>
      <c r="O1250" s="31" t="n">
        <v>4371.44</v>
      </c>
    </row>
    <row r="1251">
      <c r="A1251" t="inlineStr">
        <is>
          <t>ENC115883</t>
        </is>
      </c>
      <c r="B1251" t="inlineStr">
        <is>
          <t>PT10692</t>
        </is>
      </c>
      <c r="C1251" t="inlineStr">
        <is>
          <t>Inpatient</t>
        </is>
      </c>
      <c r="D1251" t="inlineStr">
        <is>
          <t>Bluestone Memorial Hospital</t>
        </is>
      </c>
      <c r="E1251" t="inlineStr">
        <is>
          <t>Neuroscience &amp; Stroke</t>
        </is>
      </c>
      <c r="F1251" t="inlineStr">
        <is>
          <t>Neuroscience</t>
        </is>
      </c>
      <c r="G1251" s="29" t="n">
        <v>45820</v>
      </c>
      <c r="H1251" s="29" t="n">
        <v>45822</v>
      </c>
      <c r="I1251" s="30" t="n">
        <v>2</v>
      </c>
      <c r="J1251" t="inlineStr">
        <is>
          <t>G40.909</t>
        </is>
      </c>
      <c r="K1251" t="inlineStr">
        <is>
          <t>Epilepsy, unspecified, not intractable, without status epilepticus</t>
        </is>
      </c>
      <c r="L1251" t="inlineStr">
        <is>
          <t>Nervous System</t>
        </is>
      </c>
      <c r="M1251" t="inlineStr">
        <is>
          <t>Home/Self-Care</t>
        </is>
      </c>
      <c r="N1251" t="inlineStr">
        <is>
          <t>Keystone Health Partners</t>
        </is>
      </c>
      <c r="O1251" s="31" t="n">
        <v>13766.79</v>
      </c>
      <c r="P1251" t="inlineStr">
        <is>
          <t>N</t>
        </is>
      </c>
    </row>
    <row r="1252">
      <c r="A1252" t="inlineStr">
        <is>
          <t>ENC115884</t>
        </is>
      </c>
      <c r="B1252" t="inlineStr">
        <is>
          <t>PT10532</t>
        </is>
      </c>
      <c r="C1252" t="inlineStr">
        <is>
          <t>Emergency</t>
        </is>
      </c>
      <c r="D1252" t="inlineStr">
        <is>
          <t>Cedar Ridge Medical Center</t>
        </is>
      </c>
      <c r="E1252" t="inlineStr">
        <is>
          <t>Emergency Department</t>
        </is>
      </c>
      <c r="F1252" t="inlineStr">
        <is>
          <t>Emergency</t>
        </is>
      </c>
      <c r="G1252" s="29" t="n">
        <v>45820</v>
      </c>
      <c r="H1252" s="29" t="n">
        <v>45820</v>
      </c>
      <c r="I1252" s="30" t="n"/>
      <c r="J1252" t="inlineStr">
        <is>
          <t>M54.50</t>
        </is>
      </c>
      <c r="K1252" t="inlineStr">
        <is>
          <t>Low back pain, unspecified</t>
        </is>
      </c>
      <c r="L1252" t="inlineStr">
        <is>
          <t>Musculoskeletal</t>
        </is>
      </c>
      <c r="M1252" t="inlineStr">
        <is>
          <t>Home/Self-Care</t>
        </is>
      </c>
      <c r="N1252" t="inlineStr">
        <is>
          <t>Keystone Health Partners</t>
        </is>
      </c>
      <c r="O1252" s="31" t="n">
        <v>1402.12</v>
      </c>
    </row>
    <row r="1253">
      <c r="A1253" t="inlineStr">
        <is>
          <t>ENC115891</t>
        </is>
      </c>
      <c r="B1253" t="inlineStr">
        <is>
          <t>PT12996</t>
        </is>
      </c>
      <c r="C1253" t="inlineStr">
        <is>
          <t>Emergency</t>
        </is>
      </c>
      <c r="D1253" t="inlineStr">
        <is>
          <t>Bluestone Memorial Hospital</t>
        </is>
      </c>
      <c r="E1253" t="inlineStr">
        <is>
          <t>Emergency Department</t>
        </is>
      </c>
      <c r="F1253" t="inlineStr">
        <is>
          <t>Emergency</t>
        </is>
      </c>
      <c r="G1253" s="29" t="n">
        <v>45821</v>
      </c>
      <c r="H1253" s="29" t="n">
        <v>45821</v>
      </c>
      <c r="I1253" s="30" t="n"/>
      <c r="J1253" t="inlineStr">
        <is>
          <t>J06.9</t>
        </is>
      </c>
      <c r="K1253" t="inlineStr">
        <is>
          <t>Acute upper respiratory infection, unspecified</t>
        </is>
      </c>
      <c r="L1253" t="inlineStr">
        <is>
          <t>Respiratory</t>
        </is>
      </c>
      <c r="M1253" t="inlineStr">
        <is>
          <t>Home/Self-Care</t>
        </is>
      </c>
      <c r="N1253" t="inlineStr">
        <is>
          <t>Medicare</t>
        </is>
      </c>
      <c r="O1253" s="31" t="n">
        <v>621.25</v>
      </c>
    </row>
    <row r="1254">
      <c r="A1254" t="inlineStr">
        <is>
          <t>ENC115893</t>
        </is>
      </c>
      <c r="B1254" t="inlineStr">
        <is>
          <t>PT13216</t>
        </is>
      </c>
      <c r="C1254" t="inlineStr">
        <is>
          <t>Inpatient</t>
        </is>
      </c>
      <c r="D1254" t="inlineStr">
        <is>
          <t>Bluestone Memorial Hospital</t>
        </is>
      </c>
      <c r="E1254" t="inlineStr">
        <is>
          <t>Medical-Surgical 4 West</t>
        </is>
      </c>
      <c r="F1254" t="inlineStr">
        <is>
          <t>Medicine</t>
        </is>
      </c>
      <c r="G1254" s="29" t="n">
        <v>45821</v>
      </c>
      <c r="H1254" s="29" t="n">
        <v>45826</v>
      </c>
      <c r="I1254" s="30" t="n">
        <v>5</v>
      </c>
      <c r="J1254" t="inlineStr">
        <is>
          <t>L03.115</t>
        </is>
      </c>
      <c r="K1254" t="inlineStr">
        <is>
          <t>Cellulitis of right lower limb</t>
        </is>
      </c>
      <c r="L1254" t="inlineStr">
        <is>
          <t>Skin</t>
        </is>
      </c>
      <c r="M1254" t="inlineStr">
        <is>
          <t>Home Health</t>
        </is>
      </c>
      <c r="N1254" t="inlineStr">
        <is>
          <t>Medicare</t>
        </is>
      </c>
      <c r="O1254" s="31" t="n">
        <v>17906.37</v>
      </c>
      <c r="P1254" t="inlineStr">
        <is>
          <t>N</t>
        </is>
      </c>
    </row>
    <row r="1255">
      <c r="A1255" t="inlineStr">
        <is>
          <t>ENC115896</t>
        </is>
      </c>
      <c r="B1255" t="inlineStr">
        <is>
          <t>PT12244</t>
        </is>
      </c>
      <c r="C1255" t="inlineStr">
        <is>
          <t>Outpatient</t>
        </is>
      </c>
      <c r="D1255" t="inlineStr">
        <is>
          <t>Bluestone Outpatient Pavilion</t>
        </is>
      </c>
      <c r="E1255" t="inlineStr">
        <is>
          <t>Primary Care Clinic</t>
        </is>
      </c>
      <c r="F1255" t="inlineStr">
        <is>
          <t>Ambulatory</t>
        </is>
      </c>
      <c r="G1255" s="29" t="n">
        <v>45821</v>
      </c>
      <c r="H1255" s="29" t="n">
        <v>45821</v>
      </c>
      <c r="I1255" s="30" t="n"/>
      <c r="J1255" t="inlineStr">
        <is>
          <t>I10</t>
        </is>
      </c>
      <c r="K1255" t="inlineStr">
        <is>
          <t>Essential (primary) hypertension</t>
        </is>
      </c>
      <c r="L1255" t="inlineStr">
        <is>
          <t>Circulatory</t>
        </is>
      </c>
      <c r="M1255" t="inlineStr">
        <is>
          <t>Home/Self-Care</t>
        </is>
      </c>
      <c r="N1255" t="inlineStr">
        <is>
          <t>Silverline Medicare Advantage</t>
        </is>
      </c>
      <c r="O1255" s="31" t="n">
        <v>407.86</v>
      </c>
    </row>
    <row r="1256">
      <c r="A1256" t="inlineStr">
        <is>
          <t>ENC115900</t>
        </is>
      </c>
      <c r="B1256" t="inlineStr">
        <is>
          <t>PT10820</t>
        </is>
      </c>
      <c r="C1256" t="inlineStr">
        <is>
          <t>Outpatient</t>
        </is>
      </c>
      <c r="D1256" t="inlineStr">
        <is>
          <t>Bluestone Outpatient Pavilion</t>
        </is>
      </c>
      <c r="E1256" t="inlineStr">
        <is>
          <t>Primary Care Clinic</t>
        </is>
      </c>
      <c r="F1256" t="inlineStr">
        <is>
          <t>Ambulatory</t>
        </is>
      </c>
      <c r="G1256" s="29" t="n">
        <v>45821</v>
      </c>
      <c r="H1256" s="29" t="n">
        <v>45821</v>
      </c>
      <c r="I1256" s="30" t="n"/>
      <c r="J1256" t="inlineStr">
        <is>
          <t>G43.909</t>
        </is>
      </c>
      <c r="K1256" t="inlineStr">
        <is>
          <t>Migraine, unspecified, not intractable, without status migrainosus</t>
        </is>
      </c>
      <c r="L1256" t="inlineStr">
        <is>
          <t>Nervous System</t>
        </is>
      </c>
      <c r="M1256" t="inlineStr">
        <is>
          <t>Home/Self-Care</t>
        </is>
      </c>
      <c r="N1256" t="inlineStr">
        <is>
          <t>Silverline Medicare Advantage</t>
        </is>
      </c>
      <c r="O1256" s="31" t="n">
        <v>229.76</v>
      </c>
    </row>
    <row r="1257">
      <c r="A1257" t="inlineStr">
        <is>
          <t>ENC115905</t>
        </is>
      </c>
      <c r="B1257" t="inlineStr">
        <is>
          <t>PT11260</t>
        </is>
      </c>
      <c r="C1257" t="inlineStr">
        <is>
          <t>Emergency</t>
        </is>
      </c>
      <c r="D1257" t="inlineStr">
        <is>
          <t>Cedar Ridge Medical Center</t>
        </is>
      </c>
      <c r="E1257" t="inlineStr">
        <is>
          <t>Emergency Department</t>
        </is>
      </c>
      <c r="F1257" t="inlineStr">
        <is>
          <t>Emergency</t>
        </is>
      </c>
      <c r="G1257" s="29" t="n">
        <v>45821</v>
      </c>
      <c r="H1257" s="29" t="n">
        <v>45821</v>
      </c>
      <c r="I1257" s="30" t="n"/>
      <c r="J1257" t="inlineStr">
        <is>
          <t>M54.50</t>
        </is>
      </c>
      <c r="K1257" t="inlineStr">
        <is>
          <t>Low back pain, unspecified</t>
        </is>
      </c>
      <c r="L1257" t="inlineStr">
        <is>
          <t>Musculoskeletal</t>
        </is>
      </c>
      <c r="M1257" t="inlineStr">
        <is>
          <t>Home/Self-Care</t>
        </is>
      </c>
      <c r="N1257" t="inlineStr">
        <is>
          <t>State Medicaid</t>
        </is>
      </c>
      <c r="O1257" s="31" t="n">
        <v>1412.22</v>
      </c>
    </row>
    <row r="1258">
      <c r="A1258" t="inlineStr">
        <is>
          <t>ENC115908</t>
        </is>
      </c>
      <c r="B1258" t="inlineStr">
        <is>
          <t>PT10148</t>
        </is>
      </c>
      <c r="C1258" t="inlineStr">
        <is>
          <t>Inpatient</t>
        </is>
      </c>
      <c r="D1258" t="inlineStr">
        <is>
          <t>Ashby Falls Community Hospital</t>
        </is>
      </c>
      <c r="E1258" t="inlineStr">
        <is>
          <t>Medical-Surgical</t>
        </is>
      </c>
      <c r="F1258" t="inlineStr">
        <is>
          <t>Medicine</t>
        </is>
      </c>
      <c r="G1258" s="29" t="n">
        <v>45821</v>
      </c>
      <c r="H1258" s="29" t="n">
        <v>45824</v>
      </c>
      <c r="I1258" s="30" t="n">
        <v>3</v>
      </c>
      <c r="J1258" t="inlineStr">
        <is>
          <t>E11.65</t>
        </is>
      </c>
      <c r="K1258" t="inlineStr">
        <is>
          <t>Type 2 diabetes mellitus with hyperglycemia</t>
        </is>
      </c>
      <c r="L1258" t="inlineStr">
        <is>
          <t>Endocrine</t>
        </is>
      </c>
      <c r="M1258" t="inlineStr">
        <is>
          <t>Home/Self-Care</t>
        </is>
      </c>
      <c r="N1258" t="inlineStr">
        <is>
          <t>Silverline Medicare Advantage</t>
        </is>
      </c>
      <c r="O1258" s="31" t="n">
        <v>14567.12</v>
      </c>
      <c r="P1258" t="inlineStr">
        <is>
          <t>N</t>
        </is>
      </c>
    </row>
    <row r="1259">
      <c r="A1259" t="inlineStr">
        <is>
          <t>ENC115910</t>
        </is>
      </c>
      <c r="B1259" t="inlineStr">
        <is>
          <t>PT12880</t>
        </is>
      </c>
      <c r="C1259" t="inlineStr">
        <is>
          <t>Inpatient</t>
        </is>
      </c>
      <c r="D1259" t="inlineStr">
        <is>
          <t>Bluestone Memorial Hospital</t>
        </is>
      </c>
      <c r="E1259" t="inlineStr">
        <is>
          <t>Neuroscience &amp; Stroke</t>
        </is>
      </c>
      <c r="F1259" t="inlineStr">
        <is>
          <t>Neuroscience</t>
        </is>
      </c>
      <c r="G1259" s="29" t="n">
        <v>45821</v>
      </c>
      <c r="H1259" s="29" t="n">
        <v>45825</v>
      </c>
      <c r="I1259" s="30" t="n">
        <v>4</v>
      </c>
      <c r="J1259" t="inlineStr">
        <is>
          <t>I63.9</t>
        </is>
      </c>
      <c r="K1259" t="inlineStr">
        <is>
          <t>Cerebral infarction, unspecified</t>
        </is>
      </c>
      <c r="L1259" t="inlineStr">
        <is>
          <t>Circulatory</t>
        </is>
      </c>
      <c r="M1259" t="inlineStr">
        <is>
          <t>Skilled Nursing Facility</t>
        </is>
      </c>
      <c r="N1259" t="inlineStr">
        <is>
          <t>State Medicaid</t>
        </is>
      </c>
      <c r="O1259" s="31" t="n">
        <v>19765.04</v>
      </c>
      <c r="P1259" t="inlineStr">
        <is>
          <t>N</t>
        </is>
      </c>
    </row>
    <row r="1260">
      <c r="A1260" t="inlineStr">
        <is>
          <t>ENC115912</t>
        </is>
      </c>
      <c r="B1260" t="inlineStr">
        <is>
          <t>PT11444</t>
        </is>
      </c>
      <c r="C1260" t="inlineStr">
        <is>
          <t>Observation</t>
        </is>
      </c>
      <c r="D1260" t="inlineStr">
        <is>
          <t>Bluestone Memorial Hospital</t>
        </is>
      </c>
      <c r="E1260" t="inlineStr">
        <is>
          <t>Observation Unit</t>
        </is>
      </c>
      <c r="F1260" t="inlineStr">
        <is>
          <t>Medicine</t>
        </is>
      </c>
      <c r="G1260" s="29" t="n">
        <v>45822</v>
      </c>
      <c r="H1260" s="29" t="n">
        <v>45823</v>
      </c>
      <c r="I1260" s="30" t="n">
        <v>1</v>
      </c>
      <c r="J1260" t="inlineStr">
        <is>
          <t>I48.91</t>
        </is>
      </c>
      <c r="K1260" t="inlineStr">
        <is>
          <t>Unspecified atrial fibrillation</t>
        </is>
      </c>
      <c r="L1260" t="inlineStr">
        <is>
          <t>Circulatory</t>
        </is>
      </c>
      <c r="M1260" t="inlineStr">
        <is>
          <t>Home/Self-Care</t>
        </is>
      </c>
      <c r="N1260" t="inlineStr">
        <is>
          <t>State Medicaid</t>
        </is>
      </c>
      <c r="O1260" s="31" t="n">
        <v>5382.93</v>
      </c>
    </row>
    <row r="1261">
      <c r="A1261" t="inlineStr">
        <is>
          <t>ENC115913</t>
        </is>
      </c>
      <c r="B1261" t="inlineStr">
        <is>
          <t>PT13652</t>
        </is>
      </c>
      <c r="C1261" t="inlineStr">
        <is>
          <t>Inpatient</t>
        </is>
      </c>
      <c r="D1261" t="inlineStr">
        <is>
          <t>Cedar Ridge Medical Center</t>
        </is>
      </c>
      <c r="E1261" t="inlineStr">
        <is>
          <t>Medical-Surgical</t>
        </is>
      </c>
      <c r="F1261" t="inlineStr">
        <is>
          <t>Medicine</t>
        </is>
      </c>
      <c r="G1261" s="29" t="n">
        <v>45821</v>
      </c>
      <c r="H1261" s="29" t="n">
        <v>45823</v>
      </c>
      <c r="I1261" s="30" t="n">
        <v>2</v>
      </c>
      <c r="J1261" t="inlineStr">
        <is>
          <t>N39.0</t>
        </is>
      </c>
      <c r="K1261" t="inlineStr">
        <is>
          <t>Urinary tract infection, site not specified</t>
        </is>
      </c>
      <c r="L1261" t="inlineStr">
        <is>
          <t>Genitourinary</t>
        </is>
      </c>
      <c r="M1261" t="inlineStr">
        <is>
          <t>Home/Self-Care</t>
        </is>
      </c>
      <c r="N1261" t="inlineStr">
        <is>
          <t>State Medicaid</t>
        </is>
      </c>
      <c r="O1261" s="31" t="n">
        <v>15056.17</v>
      </c>
      <c r="P1261" t="inlineStr">
        <is>
          <t>N</t>
        </is>
      </c>
    </row>
    <row r="1262">
      <c r="A1262" t="inlineStr">
        <is>
          <t>ENC115916</t>
        </is>
      </c>
      <c r="B1262" t="inlineStr">
        <is>
          <t>PT12072</t>
        </is>
      </c>
      <c r="C1262" t="inlineStr">
        <is>
          <t>Emergency</t>
        </is>
      </c>
      <c r="D1262" t="inlineStr">
        <is>
          <t>Bluestone Memorial Hospital</t>
        </is>
      </c>
      <c r="E1262" t="inlineStr">
        <is>
          <t>Emergency Department</t>
        </is>
      </c>
      <c r="F1262" t="inlineStr">
        <is>
          <t>Emergency</t>
        </is>
      </c>
      <c r="G1262" s="29" t="n">
        <v>45821</v>
      </c>
      <c r="H1262" s="29" t="n">
        <v>45822</v>
      </c>
      <c r="I1262" s="30" t="n"/>
      <c r="J1262" t="inlineStr">
        <is>
          <t>R07.9</t>
        </is>
      </c>
      <c r="K1262" t="inlineStr">
        <is>
          <t>Chest pain, unspecified</t>
        </is>
      </c>
      <c r="L1262" t="inlineStr">
        <is>
          <t>Symptoms &amp; Signs</t>
        </is>
      </c>
      <c r="M1262" t="inlineStr">
        <is>
          <t>Home/Self-Care</t>
        </is>
      </c>
      <c r="N1262" t="inlineStr">
        <is>
          <t>Medicare</t>
        </is>
      </c>
      <c r="O1262" s="31" t="n">
        <v>8059.74</v>
      </c>
    </row>
    <row r="1263">
      <c r="A1263" t="inlineStr">
        <is>
          <t>ENC115920</t>
        </is>
      </c>
      <c r="B1263" t="inlineStr">
        <is>
          <t>PT12240</t>
        </is>
      </c>
      <c r="C1263" t="inlineStr">
        <is>
          <t>Emergency</t>
        </is>
      </c>
      <c r="D1263" t="inlineStr">
        <is>
          <t>Ashby Falls Community Hospital</t>
        </is>
      </c>
      <c r="E1263" t="inlineStr">
        <is>
          <t>Emergency Department</t>
        </is>
      </c>
      <c r="F1263" t="inlineStr">
        <is>
          <t>Emergency</t>
        </is>
      </c>
      <c r="G1263" s="29" t="n">
        <v>45822</v>
      </c>
      <c r="H1263" s="29" t="n">
        <v>45822</v>
      </c>
      <c r="I1263" s="30" t="n"/>
      <c r="J1263" t="inlineStr">
        <is>
          <t>R07.9</t>
        </is>
      </c>
      <c r="K1263" t="inlineStr">
        <is>
          <t>Chest pain, unspecified</t>
        </is>
      </c>
      <c r="L1263" t="inlineStr">
        <is>
          <t>Symptoms &amp; Signs</t>
        </is>
      </c>
      <c r="M1263" t="inlineStr">
        <is>
          <t>Home/Self-Care</t>
        </is>
      </c>
      <c r="N1263" t="inlineStr">
        <is>
          <t>Evergreen Mutual Insurance</t>
        </is>
      </c>
      <c r="O1263" s="31" t="n">
        <v>4167.97</v>
      </c>
    </row>
    <row r="1264">
      <c r="A1264" t="inlineStr">
        <is>
          <t>ENC115923</t>
        </is>
      </c>
      <c r="B1264" t="inlineStr">
        <is>
          <t>PT12604</t>
        </is>
      </c>
      <c r="C1264" t="inlineStr">
        <is>
          <t>Emergency</t>
        </is>
      </c>
      <c r="D1264" t="inlineStr">
        <is>
          <t>Bluestone Memorial Hospital</t>
        </is>
      </c>
      <c r="E1264" t="inlineStr">
        <is>
          <t>Emergency Department</t>
        </is>
      </c>
      <c r="F1264" t="inlineStr">
        <is>
          <t>Emergency</t>
        </is>
      </c>
      <c r="G1264" s="29" t="n">
        <v>45822</v>
      </c>
      <c r="H1264" s="29" t="n">
        <v>45822</v>
      </c>
      <c r="I1264" s="30" t="n"/>
      <c r="J1264" t="inlineStr">
        <is>
          <t>J06.9</t>
        </is>
      </c>
      <c r="K1264" t="inlineStr">
        <is>
          <t>Acute upper respiratory infection, unspecified</t>
        </is>
      </c>
      <c r="L1264" t="inlineStr">
        <is>
          <t>Respiratory</t>
        </is>
      </c>
      <c r="M1264" t="inlineStr">
        <is>
          <t>Home/Self-Care</t>
        </is>
      </c>
      <c r="N1264" t="inlineStr">
        <is>
          <t>Keystone Health Partners</t>
        </is>
      </c>
      <c r="O1264" s="31" t="n">
        <v>566.72</v>
      </c>
    </row>
    <row r="1265">
      <c r="A1265" t="inlineStr">
        <is>
          <t>ENC115931</t>
        </is>
      </c>
      <c r="B1265" t="inlineStr">
        <is>
          <t>PT10104</t>
        </is>
      </c>
      <c r="C1265" t="inlineStr">
        <is>
          <t>Emergency</t>
        </is>
      </c>
      <c r="D1265" t="inlineStr">
        <is>
          <t>Cedar Ridge Medical Center</t>
        </is>
      </c>
      <c r="E1265" t="inlineStr">
        <is>
          <t>Emergency Department</t>
        </is>
      </c>
      <c r="F1265" t="inlineStr">
        <is>
          <t>Emergency</t>
        </is>
      </c>
      <c r="G1265" s="29" t="n">
        <v>45822</v>
      </c>
      <c r="H1265" s="29" t="n">
        <v>45822</v>
      </c>
      <c r="I1265" s="30" t="n"/>
      <c r="J1265" t="inlineStr">
        <is>
          <t>U07.1</t>
        </is>
      </c>
      <c r="K1265" t="inlineStr">
        <is>
          <t>COVID-19</t>
        </is>
      </c>
      <c r="L1265" t="inlineStr">
        <is>
          <t>Respiratory</t>
        </is>
      </c>
      <c r="M1265" t="inlineStr">
        <is>
          <t>Transfer to Another Hospital</t>
        </is>
      </c>
      <c r="N1265" t="inlineStr">
        <is>
          <t>State Medicaid</t>
        </is>
      </c>
      <c r="O1265" s="31" t="n">
        <v>5551.63</v>
      </c>
    </row>
    <row r="1266">
      <c r="A1266" t="inlineStr">
        <is>
          <t>ENC115934</t>
        </is>
      </c>
      <c r="B1266" t="inlineStr">
        <is>
          <t>PT11036</t>
        </is>
      </c>
      <c r="C1266" t="inlineStr">
        <is>
          <t>Observation</t>
        </is>
      </c>
      <c r="D1266" t="inlineStr">
        <is>
          <t>Bluestone Memorial Hospital</t>
        </is>
      </c>
      <c r="E1266" t="inlineStr">
        <is>
          <t>Observation Unit</t>
        </is>
      </c>
      <c r="F1266" t="inlineStr">
        <is>
          <t>Medicine</t>
        </is>
      </c>
      <c r="G1266" s="29" t="n">
        <v>45822</v>
      </c>
      <c r="H1266" s="29" t="n">
        <v>45823</v>
      </c>
      <c r="I1266" s="30" t="n">
        <v>1</v>
      </c>
      <c r="J1266" t="inlineStr">
        <is>
          <t>R10.9</t>
        </is>
      </c>
      <c r="K1266" t="inlineStr">
        <is>
          <t>Unspecified abdominal pain</t>
        </is>
      </c>
      <c r="L1266" t="inlineStr">
        <is>
          <t>Symptoms &amp; Signs</t>
        </is>
      </c>
      <c r="M1266" t="inlineStr">
        <is>
          <t>Home/Self-Care</t>
        </is>
      </c>
      <c r="N1266" t="inlineStr">
        <is>
          <t>Summit Choice PPO</t>
        </is>
      </c>
      <c r="O1266" s="31" t="n">
        <v>7731.88</v>
      </c>
    </row>
    <row r="1267">
      <c r="A1267" t="inlineStr">
        <is>
          <t>ENC115937</t>
        </is>
      </c>
      <c r="B1267" t="inlineStr">
        <is>
          <t>PT11548</t>
        </is>
      </c>
      <c r="C1267" t="inlineStr">
        <is>
          <t>Inpatient</t>
        </is>
      </c>
      <c r="D1267" t="inlineStr">
        <is>
          <t>Cedar Ridge Medical Center</t>
        </is>
      </c>
      <c r="E1267" t="inlineStr">
        <is>
          <t>Medical-Surgical</t>
        </is>
      </c>
      <c r="F1267" t="inlineStr">
        <is>
          <t>Medicine</t>
        </is>
      </c>
      <c r="G1267" s="29" t="n">
        <v>45822</v>
      </c>
      <c r="H1267" s="29" t="n">
        <v>45826</v>
      </c>
      <c r="I1267" s="30" t="n">
        <v>4</v>
      </c>
      <c r="J1267" t="inlineStr">
        <is>
          <t>J18.9</t>
        </is>
      </c>
      <c r="K1267" t="inlineStr">
        <is>
          <t>Pneumonia, unspecified organism</t>
        </is>
      </c>
      <c r="L1267" t="inlineStr">
        <is>
          <t>Respiratory</t>
        </is>
      </c>
      <c r="M1267" t="inlineStr">
        <is>
          <t>Home/Self-Care</t>
        </is>
      </c>
      <c r="N1267" t="inlineStr">
        <is>
          <t>Evergreen Mutual Insurance</t>
        </is>
      </c>
      <c r="O1267" s="31" t="n">
        <v>17471.2</v>
      </c>
      <c r="P1267" t="inlineStr">
        <is>
          <t>N</t>
        </is>
      </c>
    </row>
    <row r="1268">
      <c r="A1268" t="inlineStr">
        <is>
          <t>ENC115941</t>
        </is>
      </c>
      <c r="B1268" t="inlineStr">
        <is>
          <t>PT11948</t>
        </is>
      </c>
      <c r="C1268" t="inlineStr">
        <is>
          <t>Emergency</t>
        </is>
      </c>
      <c r="D1268" t="inlineStr">
        <is>
          <t>Ashby Falls Community Hospital</t>
        </is>
      </c>
      <c r="E1268" t="inlineStr">
        <is>
          <t>Emergency Department</t>
        </is>
      </c>
      <c r="F1268" t="inlineStr">
        <is>
          <t>Emergency</t>
        </is>
      </c>
      <c r="G1268" s="29" t="n">
        <v>45823</v>
      </c>
      <c r="H1268" s="29" t="n">
        <v>45823</v>
      </c>
      <c r="I1268" s="30" t="n"/>
      <c r="J1268" t="inlineStr">
        <is>
          <t>E86.0</t>
        </is>
      </c>
      <c r="K1268" t="inlineStr">
        <is>
          <t>Dehydration</t>
        </is>
      </c>
      <c r="L1268" t="inlineStr">
        <is>
          <t>Endocrine</t>
        </is>
      </c>
      <c r="M1268" t="inlineStr">
        <is>
          <t>Home/Self-Care</t>
        </is>
      </c>
      <c r="N1268" t="inlineStr">
        <is>
          <t>Medicare</t>
        </is>
      </c>
      <c r="O1268" s="31" t="n">
        <v>1771.3</v>
      </c>
    </row>
    <row r="1269">
      <c r="A1269" t="inlineStr">
        <is>
          <t>ENC115942</t>
        </is>
      </c>
      <c r="B1269" t="inlineStr">
        <is>
          <t>PT12292</t>
        </is>
      </c>
      <c r="C1269" t="inlineStr">
        <is>
          <t>Emergency</t>
        </is>
      </c>
      <c r="D1269" t="inlineStr">
        <is>
          <t>Bluestone Memorial Hospital</t>
        </is>
      </c>
      <c r="E1269" t="inlineStr">
        <is>
          <t>Emergency Department</t>
        </is>
      </c>
      <c r="F1269" t="inlineStr">
        <is>
          <t>Emergency</t>
        </is>
      </c>
      <c r="G1269" s="29" t="n">
        <v>45823</v>
      </c>
      <c r="H1269" s="29" t="n">
        <v>45823</v>
      </c>
      <c r="I1269" s="30" t="n"/>
      <c r="J1269" t="inlineStr">
        <is>
          <t>J06.9</t>
        </is>
      </c>
      <c r="K1269" t="inlineStr">
        <is>
          <t>Acute upper respiratory infection, unspecified</t>
        </is>
      </c>
      <c r="L1269" t="inlineStr">
        <is>
          <t>Respiratory</t>
        </is>
      </c>
      <c r="M1269" t="inlineStr">
        <is>
          <t>Home/Self-Care</t>
        </is>
      </c>
      <c r="N1269" t="inlineStr">
        <is>
          <t>Silverline Medicare Advantage</t>
        </is>
      </c>
      <c r="O1269" s="31" t="n">
        <v>583.33</v>
      </c>
    </row>
    <row r="1270">
      <c r="A1270" t="inlineStr">
        <is>
          <t>ENC115948</t>
        </is>
      </c>
      <c r="B1270" t="inlineStr">
        <is>
          <t>PT13312</t>
        </is>
      </c>
      <c r="C1270" t="inlineStr">
        <is>
          <t>Observation</t>
        </is>
      </c>
      <c r="D1270" t="inlineStr">
        <is>
          <t>Bluestone Memorial Hospital</t>
        </is>
      </c>
      <c r="E1270" t="inlineStr">
        <is>
          <t>Observation Unit</t>
        </is>
      </c>
      <c r="F1270" t="inlineStr">
        <is>
          <t>Medicine</t>
        </is>
      </c>
      <c r="G1270" s="29" t="n">
        <v>45823</v>
      </c>
      <c r="H1270" s="29" t="n">
        <v>45825</v>
      </c>
      <c r="I1270" s="30" t="n">
        <v>2</v>
      </c>
      <c r="J1270" t="inlineStr">
        <is>
          <t>J45.909</t>
        </is>
      </c>
      <c r="K1270" t="inlineStr">
        <is>
          <t>Unspecified asthma, uncomplicated</t>
        </is>
      </c>
      <c r="L1270" t="inlineStr">
        <is>
          <t>Respiratory</t>
        </is>
      </c>
      <c r="M1270" t="inlineStr">
        <is>
          <t>Home/Self-Care</t>
        </is>
      </c>
      <c r="N1270" t="inlineStr">
        <is>
          <t>Summit Choice PPO</t>
        </is>
      </c>
      <c r="O1270" s="31" t="n">
        <v>8555.219999999999</v>
      </c>
    </row>
    <row r="1271">
      <c r="A1271" t="inlineStr">
        <is>
          <t>ENC115950</t>
        </is>
      </c>
      <c r="B1271" t="inlineStr">
        <is>
          <t>PT12720</t>
        </is>
      </c>
      <c r="C1271" t="inlineStr">
        <is>
          <t>Emergency</t>
        </is>
      </c>
      <c r="D1271" t="inlineStr">
        <is>
          <t>Bluestone Memorial Hospital</t>
        </is>
      </c>
      <c r="E1271" t="inlineStr">
        <is>
          <t>Emergency Department</t>
        </is>
      </c>
      <c r="F1271" t="inlineStr">
        <is>
          <t>Emergency</t>
        </is>
      </c>
      <c r="G1271" s="29" t="n">
        <v>45823</v>
      </c>
      <c r="H1271" s="29" t="n">
        <v>45823</v>
      </c>
      <c r="I1271" s="30" t="n"/>
      <c r="J1271" t="inlineStr">
        <is>
          <t>R07.9</t>
        </is>
      </c>
      <c r="K1271" t="inlineStr">
        <is>
          <t>Chest pain, unspecified</t>
        </is>
      </c>
      <c r="L1271" t="inlineStr">
        <is>
          <t>Symptoms &amp; Signs</t>
        </is>
      </c>
      <c r="M1271" t="inlineStr">
        <is>
          <t>Home/Self-Care</t>
        </is>
      </c>
      <c r="N1271" t="inlineStr">
        <is>
          <t>Keystone Health Partners</t>
        </is>
      </c>
      <c r="O1271" s="31" t="n">
        <v>4761.98</v>
      </c>
    </row>
    <row r="1272">
      <c r="A1272" t="inlineStr">
        <is>
          <t>ENC115953</t>
        </is>
      </c>
      <c r="B1272" t="inlineStr">
        <is>
          <t>PT10244</t>
        </is>
      </c>
      <c r="C1272" t="inlineStr">
        <is>
          <t>Emergency</t>
        </is>
      </c>
      <c r="D1272" t="inlineStr">
        <is>
          <t>Ashby Falls Community Hospital</t>
        </is>
      </c>
      <c r="E1272" t="inlineStr">
        <is>
          <t>Emergency Department</t>
        </is>
      </c>
      <c r="F1272" t="inlineStr">
        <is>
          <t>Emergency</t>
        </is>
      </c>
      <c r="G1272" s="29" t="n">
        <v>45823</v>
      </c>
      <c r="H1272" s="29" t="n">
        <v>45824</v>
      </c>
      <c r="I1272" s="30" t="n"/>
      <c r="J1272" t="inlineStr">
        <is>
          <t>U07.1</t>
        </is>
      </c>
      <c r="K1272" t="inlineStr">
        <is>
          <t>COVID-19</t>
        </is>
      </c>
      <c r="L1272" t="inlineStr">
        <is>
          <t>Respiratory</t>
        </is>
      </c>
      <c r="M1272" t="inlineStr">
        <is>
          <t>Home/Self-Care</t>
        </is>
      </c>
      <c r="N1272" t="inlineStr">
        <is>
          <t>Self-Pay</t>
        </is>
      </c>
      <c r="O1272" s="31" t="n">
        <v>8892.200000000001</v>
      </c>
    </row>
    <row r="1273">
      <c r="A1273" t="inlineStr">
        <is>
          <t>ENC115963</t>
        </is>
      </c>
      <c r="B1273" t="inlineStr">
        <is>
          <t>PT13196</t>
        </is>
      </c>
      <c r="C1273" t="inlineStr">
        <is>
          <t>Outpatient</t>
        </is>
      </c>
      <c r="D1273" t="inlineStr">
        <is>
          <t>Bluestone Outpatient Pavilion</t>
        </is>
      </c>
      <c r="E1273" t="inlineStr">
        <is>
          <t>Primary Care Clinic</t>
        </is>
      </c>
      <c r="F1273" t="inlineStr">
        <is>
          <t>Ambulatory</t>
        </is>
      </c>
      <c r="G1273" s="29" t="n">
        <v>45824</v>
      </c>
      <c r="H1273" s="29" t="n">
        <v>45824</v>
      </c>
      <c r="I1273" s="30" t="n"/>
      <c r="J1273" t="inlineStr">
        <is>
          <t>I10</t>
        </is>
      </c>
      <c r="K1273" t="inlineStr">
        <is>
          <t>Essential (primary) hypertension</t>
        </is>
      </c>
      <c r="L1273" t="inlineStr">
        <is>
          <t>Circulatory</t>
        </is>
      </c>
      <c r="M1273" t="inlineStr">
        <is>
          <t>Home/Self-Care</t>
        </is>
      </c>
      <c r="N1273" t="inlineStr">
        <is>
          <t>Silverline Medicare Advantage</t>
        </is>
      </c>
      <c r="O1273" s="31" t="n">
        <v>232.62</v>
      </c>
    </row>
    <row r="1274">
      <c r="A1274" t="inlineStr">
        <is>
          <t>ENC115965</t>
        </is>
      </c>
      <c r="B1274" t="inlineStr">
        <is>
          <t>PT13860</t>
        </is>
      </c>
      <c r="C1274" t="inlineStr">
        <is>
          <t>Outpatient</t>
        </is>
      </c>
      <c r="D1274" t="inlineStr">
        <is>
          <t>Bluestone Outpatient Pavilion</t>
        </is>
      </c>
      <c r="E1274" t="inlineStr">
        <is>
          <t>Primary Care Clinic</t>
        </is>
      </c>
      <c r="F1274" t="inlineStr">
        <is>
          <t>Ambulatory</t>
        </is>
      </c>
      <c r="G1274" s="29" t="n">
        <v>45824</v>
      </c>
      <c r="H1274" s="29" t="n">
        <v>45824</v>
      </c>
      <c r="I1274" s="30" t="n"/>
      <c r="J1274" t="inlineStr">
        <is>
          <t>E78.5</t>
        </is>
      </c>
      <c r="K1274" t="inlineStr">
        <is>
          <t>Hyperlipidemia, unspecified</t>
        </is>
      </c>
      <c r="L1274" t="inlineStr">
        <is>
          <t>Endocrine</t>
        </is>
      </c>
      <c r="M1274" t="inlineStr">
        <is>
          <t>Home/Self-Care</t>
        </is>
      </c>
      <c r="N1274" t="inlineStr">
        <is>
          <t>Self-Pay</t>
        </is>
      </c>
      <c r="O1274" s="31" t="n">
        <v>205.05</v>
      </c>
    </row>
    <row r="1275">
      <c r="A1275" t="inlineStr">
        <is>
          <t>ENC115971</t>
        </is>
      </c>
      <c r="B1275" t="inlineStr">
        <is>
          <t>PT11524</t>
        </is>
      </c>
      <c r="C1275" t="inlineStr">
        <is>
          <t>Emergency</t>
        </is>
      </c>
      <c r="D1275" t="inlineStr">
        <is>
          <t>Cedar Ridge Medical Center</t>
        </is>
      </c>
      <c r="E1275" t="inlineStr">
        <is>
          <t>Emergency Department</t>
        </is>
      </c>
      <c r="F1275" t="inlineStr">
        <is>
          <t>Emergency</t>
        </is>
      </c>
      <c r="G1275" s="29" t="n">
        <v>45824</v>
      </c>
      <c r="H1275" s="29" t="n">
        <v>45824</v>
      </c>
      <c r="I1275" s="30" t="n"/>
      <c r="J1275" t="inlineStr">
        <is>
          <t>S06.0X0A</t>
        </is>
      </c>
      <c r="K1275" t="inlineStr">
        <is>
          <t>Concussion without loss of consciousness, initial encounter</t>
        </is>
      </c>
      <c r="L1275" t="inlineStr">
        <is>
          <t>Injury</t>
        </is>
      </c>
      <c r="M1275" t="inlineStr">
        <is>
          <t>Home/Self-Care</t>
        </is>
      </c>
      <c r="N1275" t="inlineStr">
        <is>
          <t>Workers' Compensation</t>
        </is>
      </c>
      <c r="O1275" s="31" t="n">
        <v>4824.81</v>
      </c>
    </row>
    <row r="1276">
      <c r="A1276" t="inlineStr">
        <is>
          <t>ENC115984</t>
        </is>
      </c>
      <c r="B1276" t="inlineStr">
        <is>
          <t>PT10388</t>
        </is>
      </c>
      <c r="C1276" t="inlineStr">
        <is>
          <t>Outpatient</t>
        </is>
      </c>
      <c r="D1276" t="inlineStr">
        <is>
          <t>Bluestone Outpatient Pavilion</t>
        </is>
      </c>
      <c r="E1276" t="inlineStr">
        <is>
          <t>Primary Care Clinic</t>
        </is>
      </c>
      <c r="F1276" t="inlineStr">
        <is>
          <t>Ambulatory</t>
        </is>
      </c>
      <c r="G1276" s="29" t="n">
        <v>45824</v>
      </c>
      <c r="H1276" s="29" t="n">
        <v>45824</v>
      </c>
      <c r="I1276" s="30" t="n"/>
      <c r="J1276" t="inlineStr">
        <is>
          <t>N39.0</t>
        </is>
      </c>
      <c r="K1276" t="inlineStr">
        <is>
          <t>Urinary tract infection, site not specified</t>
        </is>
      </c>
      <c r="L1276" t="inlineStr">
        <is>
          <t>Genitourinary</t>
        </is>
      </c>
      <c r="M1276" t="inlineStr">
        <is>
          <t>Home/Self-Care</t>
        </is>
      </c>
      <c r="N1276" t="inlineStr">
        <is>
          <t>Medicare</t>
        </is>
      </c>
      <c r="O1276" s="31" t="n">
        <v>589.22</v>
      </c>
    </row>
    <row r="1277">
      <c r="A1277" t="inlineStr">
        <is>
          <t>ENC115985</t>
        </is>
      </c>
      <c r="B1277" t="inlineStr">
        <is>
          <t>PT11716</t>
        </is>
      </c>
      <c r="C1277" t="inlineStr">
        <is>
          <t>Inpatient</t>
        </is>
      </c>
      <c r="D1277" t="inlineStr">
        <is>
          <t>Cedar Ridge Medical Center</t>
        </is>
      </c>
      <c r="E1277" t="inlineStr">
        <is>
          <t>Cardiac Step-Down</t>
        </is>
      </c>
      <c r="F1277" t="inlineStr">
        <is>
          <t>Cardiovascular</t>
        </is>
      </c>
      <c r="G1277" s="29" t="n">
        <v>45824</v>
      </c>
      <c r="H1277" s="29" t="n">
        <v>45827</v>
      </c>
      <c r="I1277" s="30" t="n">
        <v>3</v>
      </c>
      <c r="J1277" t="inlineStr">
        <is>
          <t>I48.91</t>
        </is>
      </c>
      <c r="K1277" t="inlineStr">
        <is>
          <t>Unspecified atrial fibrillation</t>
        </is>
      </c>
      <c r="L1277" t="inlineStr">
        <is>
          <t>Circulatory</t>
        </is>
      </c>
      <c r="M1277" t="inlineStr">
        <is>
          <t>Home/Self-Care</t>
        </is>
      </c>
      <c r="N1277" t="inlineStr">
        <is>
          <t>Silverline Medicare Advantage</t>
        </is>
      </c>
      <c r="O1277" s="31" t="n">
        <v>20912.24</v>
      </c>
      <c r="P1277" t="inlineStr">
        <is>
          <t>N</t>
        </is>
      </c>
    </row>
    <row r="1278">
      <c r="A1278" t="inlineStr">
        <is>
          <t>ENC115988</t>
        </is>
      </c>
      <c r="B1278" t="inlineStr">
        <is>
          <t>PT13008</t>
        </is>
      </c>
      <c r="C1278" t="inlineStr">
        <is>
          <t>Inpatient</t>
        </is>
      </c>
      <c r="D1278" t="inlineStr">
        <is>
          <t>Cedar Ridge Medical Center</t>
        </is>
      </c>
      <c r="E1278" t="inlineStr">
        <is>
          <t>Medical-Surgical</t>
        </is>
      </c>
      <c r="F1278" t="inlineStr">
        <is>
          <t>Medicine</t>
        </is>
      </c>
      <c r="G1278" s="29" t="n">
        <v>45825</v>
      </c>
      <c r="H1278" s="29" t="n">
        <v>45827</v>
      </c>
      <c r="I1278" s="30" t="n">
        <v>2</v>
      </c>
      <c r="J1278" t="inlineStr">
        <is>
          <t>J44.1</t>
        </is>
      </c>
      <c r="K1278" t="inlineStr">
        <is>
          <t>Chronic obstructive pulmonary disease with (acute) exacerbation</t>
        </is>
      </c>
      <c r="L1278" t="inlineStr">
        <is>
          <t>Respiratory</t>
        </is>
      </c>
      <c r="M1278" t="inlineStr">
        <is>
          <t>Home Health</t>
        </is>
      </c>
      <c r="N1278" t="inlineStr">
        <is>
          <t>Self-Pay</t>
        </is>
      </c>
      <c r="O1278" s="31" t="n">
        <v>13568.23</v>
      </c>
      <c r="P1278" t="inlineStr">
        <is>
          <t>N</t>
        </is>
      </c>
    </row>
    <row r="1279">
      <c r="A1279" t="inlineStr">
        <is>
          <t>ENC115990</t>
        </is>
      </c>
      <c r="B1279" t="inlineStr">
        <is>
          <t>PT12444</t>
        </is>
      </c>
      <c r="C1279" t="inlineStr">
        <is>
          <t>Emergency</t>
        </is>
      </c>
      <c r="D1279" t="inlineStr">
        <is>
          <t>Cedar Ridge Medical Center</t>
        </is>
      </c>
      <c r="E1279" t="inlineStr">
        <is>
          <t>Emergency Department</t>
        </is>
      </c>
      <c r="F1279" t="inlineStr">
        <is>
          <t>Emergency</t>
        </is>
      </c>
      <c r="G1279" s="29" t="n">
        <v>45825</v>
      </c>
      <c r="H1279" s="29" t="n">
        <v>45825</v>
      </c>
      <c r="I1279" s="30" t="n"/>
      <c r="J1279" t="inlineStr">
        <is>
          <t>E86.0</t>
        </is>
      </c>
      <c r="K1279" t="inlineStr">
        <is>
          <t>Dehydration</t>
        </is>
      </c>
      <c r="L1279" t="inlineStr">
        <is>
          <t>Endocrine</t>
        </is>
      </c>
      <c r="M1279" t="inlineStr">
        <is>
          <t>Home/Self-Care</t>
        </is>
      </c>
      <c r="N1279" t="inlineStr">
        <is>
          <t>Keystone Health Partners</t>
        </is>
      </c>
      <c r="O1279" s="31" t="n">
        <v>2828.39</v>
      </c>
    </row>
    <row r="1280">
      <c r="A1280" t="inlineStr">
        <is>
          <t>ENC116010</t>
        </is>
      </c>
      <c r="B1280" t="inlineStr">
        <is>
          <t>PT11468</t>
        </is>
      </c>
      <c r="C1280" t="inlineStr">
        <is>
          <t>Outpatient</t>
        </is>
      </c>
      <c r="D1280" t="inlineStr">
        <is>
          <t>Bluestone Outpatient Pavilion</t>
        </is>
      </c>
      <c r="E1280" t="inlineStr">
        <is>
          <t>Primary Care Clinic</t>
        </is>
      </c>
      <c r="F1280" t="inlineStr">
        <is>
          <t>Ambulatory</t>
        </is>
      </c>
      <c r="G1280" s="29" t="n">
        <v>45825</v>
      </c>
      <c r="H1280" s="29" t="n">
        <v>45825</v>
      </c>
      <c r="I1280" s="30" t="n"/>
      <c r="J1280" t="inlineStr">
        <is>
          <t>Z00.00</t>
        </is>
      </c>
      <c r="K1280" t="inlineStr">
        <is>
          <t>Encounter for general adult medical examination without abnormal findings</t>
        </is>
      </c>
      <c r="L1280" t="inlineStr">
        <is>
          <t>Factors Influencing Health</t>
        </is>
      </c>
      <c r="M1280" t="inlineStr">
        <is>
          <t>Home/Self-Care</t>
        </is>
      </c>
      <c r="N1280" t="inlineStr">
        <is>
          <t>Self-Pay</t>
        </is>
      </c>
      <c r="O1280" s="31" t="n">
        <v>317.87</v>
      </c>
    </row>
    <row r="1281">
      <c r="A1281" t="inlineStr">
        <is>
          <t>ENC116015</t>
        </is>
      </c>
      <c r="B1281" t="inlineStr">
        <is>
          <t>PT10388</t>
        </is>
      </c>
      <c r="C1281" t="inlineStr">
        <is>
          <t>Observation</t>
        </is>
      </c>
      <c r="D1281" t="inlineStr">
        <is>
          <t>Bluestone Memorial Hospital</t>
        </is>
      </c>
      <c r="E1281" t="inlineStr">
        <is>
          <t>Observation Unit</t>
        </is>
      </c>
      <c r="F1281" t="inlineStr">
        <is>
          <t>Medicine</t>
        </is>
      </c>
      <c r="G1281" s="29" t="n">
        <v>45825</v>
      </c>
      <c r="H1281" s="29" t="n">
        <v>45827</v>
      </c>
      <c r="I1281" s="30" t="n">
        <v>2</v>
      </c>
      <c r="J1281" t="inlineStr">
        <is>
          <t>R07.9</t>
        </is>
      </c>
      <c r="K1281" t="inlineStr">
        <is>
          <t>Chest pain, unspecified</t>
        </is>
      </c>
      <c r="L1281" t="inlineStr">
        <is>
          <t>Symptoms &amp; Signs</t>
        </is>
      </c>
      <c r="M1281" t="inlineStr">
        <is>
          <t>Home/Self-Care</t>
        </is>
      </c>
      <c r="N1281" t="inlineStr">
        <is>
          <t>Medicare</t>
        </is>
      </c>
      <c r="O1281" s="31" t="n">
        <v>10173.93</v>
      </c>
    </row>
    <row r="1282">
      <c r="A1282" t="inlineStr">
        <is>
          <t>ENC116031</t>
        </is>
      </c>
      <c r="B1282" t="inlineStr">
        <is>
          <t>PT11076</t>
        </is>
      </c>
      <c r="C1282" t="inlineStr">
        <is>
          <t>Emergency</t>
        </is>
      </c>
      <c r="D1282" t="inlineStr">
        <is>
          <t>Bluestone Memorial Hospital</t>
        </is>
      </c>
      <c r="E1282" t="inlineStr">
        <is>
          <t>Emergency Department</t>
        </is>
      </c>
      <c r="F1282" t="inlineStr">
        <is>
          <t>Emergency</t>
        </is>
      </c>
      <c r="G1282" s="29" t="n">
        <v>45826</v>
      </c>
      <c r="H1282" s="29" t="n">
        <v>45826</v>
      </c>
      <c r="I1282" s="30" t="n"/>
      <c r="J1282" t="inlineStr">
        <is>
          <t>G40.909</t>
        </is>
      </c>
      <c r="K1282" t="inlineStr">
        <is>
          <t>Epilepsy, unspecified, not intractable, without status epilepticus</t>
        </is>
      </c>
      <c r="L1282" t="inlineStr">
        <is>
          <t>Nervous System</t>
        </is>
      </c>
      <c r="M1282" t="inlineStr">
        <is>
          <t>Home/Self-Care</t>
        </is>
      </c>
      <c r="N1282" t="inlineStr">
        <is>
          <t>Summit Choice PPO</t>
        </is>
      </c>
      <c r="O1282" s="31" t="n">
        <v>4638.05</v>
      </c>
    </row>
    <row r="1283">
      <c r="A1283" t="inlineStr">
        <is>
          <t>ENC116032</t>
        </is>
      </c>
      <c r="B1283" t="inlineStr">
        <is>
          <t>PT10596</t>
        </is>
      </c>
      <c r="C1283" t="inlineStr">
        <is>
          <t>Emergency</t>
        </is>
      </c>
      <c r="D1283" t="inlineStr">
        <is>
          <t>Bluestone Memorial Hospital</t>
        </is>
      </c>
      <c r="E1283" t="inlineStr">
        <is>
          <t>Emergency Department</t>
        </is>
      </c>
      <c r="F1283" t="inlineStr">
        <is>
          <t>Emergency</t>
        </is>
      </c>
      <c r="G1283" s="29" t="n">
        <v>45826</v>
      </c>
      <c r="H1283" s="29" t="n">
        <v>45826</v>
      </c>
      <c r="I1283" s="30" t="n"/>
      <c r="J1283" t="inlineStr">
        <is>
          <t>F10.239</t>
        </is>
      </c>
      <c r="K1283" t="inlineStr">
        <is>
          <t>Alcohol dependence with withdrawal, unspecified</t>
        </is>
      </c>
      <c r="L1283" t="inlineStr">
        <is>
          <t>Mental &amp; Behavioral</t>
        </is>
      </c>
      <c r="M1283" t="inlineStr">
        <is>
          <t>Home/Self-Care</t>
        </is>
      </c>
      <c r="N1283" t="inlineStr">
        <is>
          <t>Keystone Health Partners</t>
        </is>
      </c>
      <c r="O1283" s="31" t="n">
        <v>2756.44</v>
      </c>
    </row>
    <row r="1284">
      <c r="A1284" t="inlineStr">
        <is>
          <t>ENC116038</t>
        </is>
      </c>
      <c r="B1284" t="inlineStr">
        <is>
          <t>PT11388</t>
        </is>
      </c>
      <c r="C1284" t="inlineStr">
        <is>
          <t>Outpatient</t>
        </is>
      </c>
      <c r="D1284" t="inlineStr">
        <is>
          <t>Bluestone Outpatient Pavilion</t>
        </is>
      </c>
      <c r="E1284" t="inlineStr">
        <is>
          <t>Primary Care Clinic</t>
        </is>
      </c>
      <c r="F1284" t="inlineStr">
        <is>
          <t>Ambulatory</t>
        </is>
      </c>
      <c r="G1284" s="29" t="n">
        <v>45826</v>
      </c>
      <c r="H1284" s="29" t="n">
        <v>45826</v>
      </c>
      <c r="I1284" s="30" t="n"/>
      <c r="J1284" t="inlineStr">
        <is>
          <t>F32.9</t>
        </is>
      </c>
      <c r="K1284" t="inlineStr">
        <is>
          <t>Major depressive disorder, single episode, unspecified</t>
        </is>
      </c>
      <c r="L1284" t="inlineStr">
        <is>
          <t>Mental &amp; Behavioral</t>
        </is>
      </c>
      <c r="M1284" t="inlineStr">
        <is>
          <t>Home/Self-Care</t>
        </is>
      </c>
      <c r="N1284" t="inlineStr">
        <is>
          <t>Keystone Health Partners</t>
        </is>
      </c>
      <c r="O1284" s="31" t="n">
        <v>328.46</v>
      </c>
    </row>
    <row r="1285">
      <c r="A1285" t="inlineStr">
        <is>
          <t>ENC116041</t>
        </is>
      </c>
      <c r="B1285" t="inlineStr">
        <is>
          <t>PT13460</t>
        </is>
      </c>
      <c r="C1285" t="inlineStr">
        <is>
          <t>Inpatient</t>
        </is>
      </c>
      <c r="D1285" t="inlineStr">
        <is>
          <t>Bluestone Memorial Hospital</t>
        </is>
      </c>
      <c r="E1285" t="inlineStr">
        <is>
          <t>Cardiac Step-Down</t>
        </is>
      </c>
      <c r="F1285" t="inlineStr">
        <is>
          <t>Cardiovascular</t>
        </is>
      </c>
      <c r="G1285" s="29" t="n">
        <v>45826</v>
      </c>
      <c r="H1285" s="29" t="n">
        <v>45834</v>
      </c>
      <c r="I1285" s="30" t="n">
        <v>8</v>
      </c>
      <c r="J1285" t="inlineStr">
        <is>
          <t>I50.9</t>
        </is>
      </c>
      <c r="K1285" t="inlineStr">
        <is>
          <t>Heart failure, unspecified</t>
        </is>
      </c>
      <c r="L1285" t="inlineStr">
        <is>
          <t>Circulatory</t>
        </is>
      </c>
      <c r="M1285" t="inlineStr">
        <is>
          <t>Home Health</t>
        </is>
      </c>
      <c r="N1285" t="inlineStr">
        <is>
          <t>Evergreen Mutual Insurance</t>
        </is>
      </c>
      <c r="O1285" s="31" t="n">
        <v>46920.87</v>
      </c>
      <c r="P1285" t="inlineStr">
        <is>
          <t>N</t>
        </is>
      </c>
    </row>
    <row r="1286">
      <c r="A1286" t="inlineStr">
        <is>
          <t>ENC116048</t>
        </is>
      </c>
      <c r="B1286" t="inlineStr">
        <is>
          <t>PT11228</t>
        </is>
      </c>
      <c r="C1286" t="inlineStr">
        <is>
          <t>Outpatient</t>
        </is>
      </c>
      <c r="D1286" t="inlineStr">
        <is>
          <t>Bluestone Outpatient Pavilion</t>
        </is>
      </c>
      <c r="E1286" t="inlineStr">
        <is>
          <t>Primary Care Clinic</t>
        </is>
      </c>
      <c r="F1286" t="inlineStr">
        <is>
          <t>Ambulatory</t>
        </is>
      </c>
      <c r="G1286" s="29" t="n">
        <v>45826</v>
      </c>
      <c r="H1286" s="29" t="n">
        <v>45826</v>
      </c>
      <c r="I1286" s="30" t="n"/>
      <c r="J1286" t="inlineStr">
        <is>
          <t>J45.909</t>
        </is>
      </c>
      <c r="K1286" t="inlineStr">
        <is>
          <t>Unspecified asthma, uncomplicated</t>
        </is>
      </c>
      <c r="L1286" t="inlineStr">
        <is>
          <t>Respiratory</t>
        </is>
      </c>
      <c r="M1286" t="inlineStr">
        <is>
          <t>Home/Self-Care</t>
        </is>
      </c>
      <c r="N1286" t="inlineStr">
        <is>
          <t>Silverline Medicare Advantage</t>
        </is>
      </c>
      <c r="O1286" s="31" t="n">
        <v>243.24</v>
      </c>
    </row>
    <row r="1287">
      <c r="A1287" t="inlineStr">
        <is>
          <t>ENC116052</t>
        </is>
      </c>
      <c r="B1287" t="inlineStr">
        <is>
          <t>PT13360</t>
        </is>
      </c>
      <c r="C1287" t="inlineStr">
        <is>
          <t>Emergency</t>
        </is>
      </c>
      <c r="D1287" t="inlineStr">
        <is>
          <t>Bluestone Memorial Hospital</t>
        </is>
      </c>
      <c r="E1287" t="inlineStr">
        <is>
          <t>Emergency Department</t>
        </is>
      </c>
      <c r="F1287" t="inlineStr">
        <is>
          <t>Emergency</t>
        </is>
      </c>
      <c r="G1287" s="29" t="n">
        <v>45826</v>
      </c>
      <c r="H1287" s="29" t="n">
        <v>45826</v>
      </c>
      <c r="I1287" s="30" t="n"/>
      <c r="J1287" t="inlineStr">
        <is>
          <t>F32.9</t>
        </is>
      </c>
      <c r="K1287" t="inlineStr">
        <is>
          <t>Major depressive disorder, single episode, unspecified</t>
        </is>
      </c>
      <c r="L1287" t="inlineStr">
        <is>
          <t>Mental &amp; Behavioral</t>
        </is>
      </c>
      <c r="M1287" t="inlineStr">
        <is>
          <t>Home/Self-Care</t>
        </is>
      </c>
      <c r="N1287" t="inlineStr">
        <is>
          <t>Keystone Health Partners</t>
        </is>
      </c>
      <c r="O1287" s="31" t="n">
        <v>3367.4</v>
      </c>
    </row>
    <row r="1288">
      <c r="A1288" t="inlineStr">
        <is>
          <t>ENC116056</t>
        </is>
      </c>
      <c r="B1288" t="inlineStr">
        <is>
          <t>PT13168</t>
        </is>
      </c>
      <c r="C1288" t="inlineStr">
        <is>
          <t>Inpatient</t>
        </is>
      </c>
      <c r="D1288" t="inlineStr">
        <is>
          <t>Bluestone Memorial Hospital</t>
        </is>
      </c>
      <c r="E1288" t="inlineStr">
        <is>
          <t>Medical-Surgical 5 East</t>
        </is>
      </c>
      <c r="F1288" t="inlineStr">
        <is>
          <t>Medicine</t>
        </is>
      </c>
      <c r="G1288" s="29" t="n">
        <v>45826</v>
      </c>
      <c r="H1288" s="29" t="n">
        <v>45830</v>
      </c>
      <c r="I1288" s="30" t="n">
        <v>4</v>
      </c>
      <c r="J1288" t="inlineStr">
        <is>
          <t>L03.115</t>
        </is>
      </c>
      <c r="K1288" t="inlineStr">
        <is>
          <t>Cellulitis of right lower limb</t>
        </is>
      </c>
      <c r="L1288" t="inlineStr">
        <is>
          <t>Skin</t>
        </is>
      </c>
      <c r="M1288" t="inlineStr">
        <is>
          <t>Home/Self-Care</t>
        </is>
      </c>
      <c r="N1288" t="inlineStr">
        <is>
          <t>Keystone Health Partners</t>
        </is>
      </c>
      <c r="O1288" s="31" t="n">
        <v>15805.26</v>
      </c>
      <c r="P1288" t="inlineStr">
        <is>
          <t>Y</t>
        </is>
      </c>
    </row>
    <row r="1289">
      <c r="A1289" t="inlineStr">
        <is>
          <t>ENC116059</t>
        </is>
      </c>
      <c r="B1289" t="inlineStr">
        <is>
          <t>PT11452</t>
        </is>
      </c>
      <c r="C1289" t="inlineStr">
        <is>
          <t>Inpatient</t>
        </is>
      </c>
      <c r="D1289" t="inlineStr">
        <is>
          <t>Bluestone Memorial Hospital</t>
        </is>
      </c>
      <c r="E1289" t="inlineStr">
        <is>
          <t>Labor &amp; Delivery</t>
        </is>
      </c>
      <c r="F1289" t="inlineStr">
        <is>
          <t>Women &amp; Children</t>
        </is>
      </c>
      <c r="G1289" s="29" t="n">
        <v>45827</v>
      </c>
      <c r="H1289" s="29" t="n">
        <v>45828</v>
      </c>
      <c r="I1289" s="30" t="n">
        <v>1</v>
      </c>
      <c r="J1289" t="inlineStr">
        <is>
          <t>O80</t>
        </is>
      </c>
      <c r="K1289" t="inlineStr">
        <is>
          <t>Encounter for full-term uncomplicated delivery</t>
        </is>
      </c>
      <c r="L1289" t="inlineStr">
        <is>
          <t>Pregnancy</t>
        </is>
      </c>
      <c r="M1289" t="inlineStr">
        <is>
          <t>Home/Self-Care</t>
        </is>
      </c>
      <c r="N1289" t="inlineStr">
        <is>
          <t>Keystone Health Partners</t>
        </is>
      </c>
      <c r="O1289" s="31" t="n">
        <v>17720</v>
      </c>
      <c r="P1289" t="inlineStr">
        <is>
          <t>N</t>
        </is>
      </c>
    </row>
    <row r="1290">
      <c r="A1290" t="inlineStr">
        <is>
          <t>ENC116064</t>
        </is>
      </c>
      <c r="B1290" t="inlineStr">
        <is>
          <t>PT12996</t>
        </is>
      </c>
      <c r="C1290" t="inlineStr">
        <is>
          <t>Emergency</t>
        </is>
      </c>
      <c r="D1290" t="inlineStr">
        <is>
          <t>Bluestone Memorial Hospital</t>
        </is>
      </c>
      <c r="E1290" t="inlineStr">
        <is>
          <t>Emergency Department</t>
        </is>
      </c>
      <c r="F1290" t="inlineStr">
        <is>
          <t>Emergency</t>
        </is>
      </c>
      <c r="G1290" s="29" t="n">
        <v>45827</v>
      </c>
      <c r="H1290" s="29" t="n">
        <v>45827</v>
      </c>
      <c r="I1290" s="30" t="n"/>
      <c r="J1290" t="inlineStr">
        <is>
          <t>R10.9</t>
        </is>
      </c>
      <c r="K1290" t="inlineStr">
        <is>
          <t>Unspecified abdominal pain</t>
        </is>
      </c>
      <c r="L1290" t="inlineStr">
        <is>
          <t>Symptoms &amp; Signs</t>
        </is>
      </c>
      <c r="M1290" t="inlineStr">
        <is>
          <t>Home/Self-Care</t>
        </is>
      </c>
      <c r="N1290" t="inlineStr">
        <is>
          <t>Medicare</t>
        </is>
      </c>
      <c r="O1290" s="31" t="n">
        <v>1867.86</v>
      </c>
    </row>
    <row r="1291">
      <c r="A1291" t="inlineStr">
        <is>
          <t>ENC116068</t>
        </is>
      </c>
      <c r="B1291" t="inlineStr">
        <is>
          <t>PT10472</t>
        </is>
      </c>
      <c r="C1291" t="inlineStr">
        <is>
          <t>Observation</t>
        </is>
      </c>
      <c r="D1291" t="inlineStr">
        <is>
          <t>Bluestone Memorial Hospital</t>
        </is>
      </c>
      <c r="E1291" t="inlineStr">
        <is>
          <t>Observation Unit</t>
        </is>
      </c>
      <c r="F1291" t="inlineStr">
        <is>
          <t>Medicine</t>
        </is>
      </c>
      <c r="G1291" s="29" t="n">
        <v>45827</v>
      </c>
      <c r="H1291" s="29" t="n">
        <v>45828</v>
      </c>
      <c r="I1291" s="30" t="n">
        <v>1</v>
      </c>
      <c r="J1291" t="inlineStr">
        <is>
          <t>R07.9</t>
        </is>
      </c>
      <c r="K1291" t="inlineStr">
        <is>
          <t>Chest pain, unspecified</t>
        </is>
      </c>
      <c r="L1291" t="inlineStr">
        <is>
          <t>Symptoms &amp; Signs</t>
        </is>
      </c>
      <c r="M1291" t="inlineStr">
        <is>
          <t>Home/Self-Care</t>
        </is>
      </c>
      <c r="N1291" t="inlineStr">
        <is>
          <t>Medicare</t>
        </is>
      </c>
      <c r="O1291" s="31" t="n">
        <v>10737.49</v>
      </c>
    </row>
    <row r="1292">
      <c r="A1292" t="inlineStr">
        <is>
          <t>ENC116077</t>
        </is>
      </c>
      <c r="B1292" t="inlineStr">
        <is>
          <t>PT12400</t>
        </is>
      </c>
      <c r="C1292" t="inlineStr">
        <is>
          <t>Outpatient</t>
        </is>
      </c>
      <c r="D1292" t="inlineStr">
        <is>
          <t>Bluestone Outpatient Pavilion</t>
        </is>
      </c>
      <c r="E1292" t="inlineStr">
        <is>
          <t>Infusion &amp; Oncology Clinic</t>
        </is>
      </c>
      <c r="F1292" t="inlineStr">
        <is>
          <t>Oncology</t>
        </is>
      </c>
      <c r="G1292" s="29" t="n">
        <v>45827</v>
      </c>
      <c r="H1292" s="29" t="n">
        <v>45827</v>
      </c>
      <c r="I1292" s="30" t="n"/>
      <c r="J1292" t="inlineStr">
        <is>
          <t>Z51.11</t>
        </is>
      </c>
      <c r="K1292" t="inlineStr">
        <is>
          <t>Encounter for antineoplastic chemotherapy</t>
        </is>
      </c>
      <c r="L1292" t="inlineStr">
        <is>
          <t>Factors Influencing Health</t>
        </is>
      </c>
      <c r="M1292" t="inlineStr">
        <is>
          <t>Home/Self-Care</t>
        </is>
      </c>
      <c r="N1292" t="inlineStr">
        <is>
          <t>Self-Pay</t>
        </is>
      </c>
      <c r="O1292" s="31" t="n">
        <v>6657.72</v>
      </c>
    </row>
    <row r="1293">
      <c r="A1293" t="inlineStr">
        <is>
          <t>ENC116084</t>
        </is>
      </c>
      <c r="B1293" t="inlineStr">
        <is>
          <t>PT12212</t>
        </is>
      </c>
      <c r="C1293" t="inlineStr">
        <is>
          <t>Outpatient</t>
        </is>
      </c>
      <c r="D1293" t="inlineStr">
        <is>
          <t>Bluestone Outpatient Pavilion</t>
        </is>
      </c>
      <c r="E1293" t="inlineStr">
        <is>
          <t>Pediatric Clinic</t>
        </is>
      </c>
      <c r="F1293" t="inlineStr">
        <is>
          <t>Women &amp; Children</t>
        </is>
      </c>
      <c r="G1293" s="29" t="n">
        <v>45827</v>
      </c>
      <c r="H1293" s="29" t="n">
        <v>45827</v>
      </c>
      <c r="I1293" s="30" t="n"/>
      <c r="J1293" t="inlineStr">
        <is>
          <t>Z00.129</t>
        </is>
      </c>
      <c r="K1293" t="inlineStr">
        <is>
          <t>Encounter for routine child health examination without abnormal findings</t>
        </is>
      </c>
      <c r="L1293" t="inlineStr">
        <is>
          <t>Factors Influencing Health</t>
        </is>
      </c>
      <c r="M1293" t="inlineStr">
        <is>
          <t>Home/Self-Care</t>
        </is>
      </c>
      <c r="N1293" t="inlineStr">
        <is>
          <t>State Medicaid</t>
        </is>
      </c>
      <c r="O1293" s="31" t="n">
        <v>260.82</v>
      </c>
    </row>
    <row r="1294">
      <c r="A1294" t="inlineStr">
        <is>
          <t>ENC116085</t>
        </is>
      </c>
      <c r="B1294" t="inlineStr">
        <is>
          <t>PT12916</t>
        </is>
      </c>
      <c r="C1294" t="inlineStr">
        <is>
          <t>Observation</t>
        </is>
      </c>
      <c r="D1294" t="inlineStr">
        <is>
          <t>Ashby Falls Community Hospital</t>
        </is>
      </c>
      <c r="E1294" t="inlineStr">
        <is>
          <t>Medical-Surgical</t>
        </is>
      </c>
      <c r="F1294" t="inlineStr">
        <is>
          <t>Medicine</t>
        </is>
      </c>
      <c r="G1294" s="29" t="n">
        <v>45827</v>
      </c>
      <c r="H1294" s="29" t="n">
        <v>45828</v>
      </c>
      <c r="I1294" s="30" t="n">
        <v>1</v>
      </c>
      <c r="J1294" t="inlineStr">
        <is>
          <t>F41.9</t>
        </is>
      </c>
      <c r="K1294" t="inlineStr">
        <is>
          <t>Anxiety disorder, unspecified</t>
        </is>
      </c>
      <c r="L1294" t="inlineStr">
        <is>
          <t>Mental &amp; Behavioral</t>
        </is>
      </c>
      <c r="M1294" t="inlineStr">
        <is>
          <t>Home/Self-Care</t>
        </is>
      </c>
      <c r="N1294" t="inlineStr">
        <is>
          <t>State Medicaid</t>
        </is>
      </c>
      <c r="O1294" s="31" t="n">
        <v>8968.9</v>
      </c>
    </row>
    <row r="1295">
      <c r="A1295" t="inlineStr">
        <is>
          <t>ENC116097</t>
        </is>
      </c>
      <c r="B1295" t="inlineStr">
        <is>
          <t>PT10308</t>
        </is>
      </c>
      <c r="C1295" t="inlineStr">
        <is>
          <t>Emergency</t>
        </is>
      </c>
      <c r="D1295" t="inlineStr">
        <is>
          <t>Bluestone Memorial Hospital</t>
        </is>
      </c>
      <c r="E1295" t="inlineStr">
        <is>
          <t>Emergency Department</t>
        </is>
      </c>
      <c r="F1295" t="inlineStr">
        <is>
          <t>Emergency</t>
        </is>
      </c>
      <c r="G1295" s="29" t="n">
        <v>45828</v>
      </c>
      <c r="H1295" s="29" t="n">
        <v>45828</v>
      </c>
      <c r="I1295" s="30" t="n"/>
      <c r="J1295" t="inlineStr">
        <is>
          <t>F41.9</t>
        </is>
      </c>
      <c r="K1295" t="inlineStr">
        <is>
          <t>Anxiety disorder, unspecified</t>
        </is>
      </c>
      <c r="L1295" t="inlineStr">
        <is>
          <t>Mental &amp; Behavioral</t>
        </is>
      </c>
      <c r="M1295" t="inlineStr">
        <is>
          <t>Home/Self-Care</t>
        </is>
      </c>
      <c r="N1295" t="inlineStr">
        <is>
          <t>State Medicaid</t>
        </is>
      </c>
      <c r="O1295" s="31" t="n">
        <v>3945.28</v>
      </c>
    </row>
    <row r="1296">
      <c r="A1296" t="inlineStr">
        <is>
          <t>ENC116114</t>
        </is>
      </c>
      <c r="B1296" t="inlineStr">
        <is>
          <t>PT11208</t>
        </is>
      </c>
      <c r="C1296" t="inlineStr">
        <is>
          <t>Inpatient</t>
        </is>
      </c>
      <c r="D1296" t="inlineStr">
        <is>
          <t>Bluestone Memorial Hospital</t>
        </is>
      </c>
      <c r="E1296" t="inlineStr">
        <is>
          <t>Cardiac Step-Down</t>
        </is>
      </c>
      <c r="F1296" t="inlineStr">
        <is>
          <t>Cardiovascular</t>
        </is>
      </c>
      <c r="G1296" s="29" t="n">
        <v>45828</v>
      </c>
      <c r="H1296" s="29" t="n">
        <v>45834</v>
      </c>
      <c r="I1296" s="30" t="n">
        <v>6</v>
      </c>
      <c r="J1296" t="inlineStr">
        <is>
          <t>I21.4</t>
        </is>
      </c>
      <c r="K1296" t="inlineStr">
        <is>
          <t>Non-ST elevation (NSTEMI) myocardial infarction</t>
        </is>
      </c>
      <c r="L1296" t="inlineStr">
        <is>
          <t>Circulatory</t>
        </is>
      </c>
      <c r="M1296" t="inlineStr">
        <is>
          <t>Home/Self-Care</t>
        </is>
      </c>
      <c r="N1296" t="inlineStr">
        <is>
          <t>State Medicaid</t>
        </is>
      </c>
      <c r="O1296" s="31" t="n">
        <v>74155.89999999999</v>
      </c>
      <c r="P1296" t="inlineStr">
        <is>
          <t>N</t>
        </is>
      </c>
    </row>
    <row r="1297">
      <c r="A1297" t="inlineStr">
        <is>
          <t>ENC116117</t>
        </is>
      </c>
      <c r="B1297" t="inlineStr">
        <is>
          <t>PT11204</t>
        </is>
      </c>
      <c r="C1297" t="inlineStr">
        <is>
          <t>Outpatient</t>
        </is>
      </c>
      <c r="D1297" t="inlineStr">
        <is>
          <t>Bluestone Outpatient Pavilion</t>
        </is>
      </c>
      <c r="E1297" t="inlineStr">
        <is>
          <t>Primary Care Clinic</t>
        </is>
      </c>
      <c r="F1297" t="inlineStr">
        <is>
          <t>Ambulatory</t>
        </is>
      </c>
      <c r="G1297" s="29" t="n">
        <v>45828</v>
      </c>
      <c r="H1297" s="29" t="n">
        <v>45828</v>
      </c>
      <c r="I1297" s="30" t="n"/>
      <c r="J1297" t="inlineStr">
        <is>
          <t>E78.5</t>
        </is>
      </c>
      <c r="K1297" t="inlineStr">
        <is>
          <t>Hyperlipidemia, unspecified</t>
        </is>
      </c>
      <c r="L1297" t="inlineStr">
        <is>
          <t>Endocrine</t>
        </is>
      </c>
      <c r="M1297" t="inlineStr">
        <is>
          <t>Home/Self-Care</t>
        </is>
      </c>
      <c r="N1297" t="inlineStr">
        <is>
          <t>Silverline Medicare Advantage</t>
        </is>
      </c>
      <c r="O1297" s="31" t="n">
        <v>434.47</v>
      </c>
    </row>
    <row r="1298">
      <c r="A1298" t="inlineStr">
        <is>
          <t>ENC116118</t>
        </is>
      </c>
      <c r="B1298" t="inlineStr">
        <is>
          <t>PT12016</t>
        </is>
      </c>
      <c r="C1298" t="inlineStr">
        <is>
          <t>Outpatient</t>
        </is>
      </c>
      <c r="D1298" t="inlineStr">
        <is>
          <t>Bluestone Outpatient Pavilion</t>
        </is>
      </c>
      <c r="E1298" t="inlineStr">
        <is>
          <t>Primary Care Clinic</t>
        </is>
      </c>
      <c r="F1298" t="inlineStr">
        <is>
          <t>Ambulatory</t>
        </is>
      </c>
      <c r="G1298" s="29" t="n">
        <v>45828</v>
      </c>
      <c r="H1298" s="29" t="n">
        <v>45828</v>
      </c>
      <c r="I1298" s="30" t="n"/>
      <c r="J1298" t="inlineStr">
        <is>
          <t>N39.0</t>
        </is>
      </c>
      <c r="K1298" t="inlineStr">
        <is>
          <t>Urinary tract infection, site not specified</t>
        </is>
      </c>
      <c r="L1298" t="inlineStr">
        <is>
          <t>Genitourinary</t>
        </is>
      </c>
      <c r="M1298" t="inlineStr">
        <is>
          <t>Home/Self-Care</t>
        </is>
      </c>
      <c r="N1298" t="inlineStr">
        <is>
          <t>State Medicaid</t>
        </is>
      </c>
      <c r="O1298" s="31" t="n">
        <v>262.47</v>
      </c>
    </row>
    <row r="1299">
      <c r="A1299" t="inlineStr">
        <is>
          <t>ENC116122</t>
        </is>
      </c>
      <c r="B1299" t="inlineStr">
        <is>
          <t>PT13928</t>
        </is>
      </c>
      <c r="C1299" t="inlineStr">
        <is>
          <t>Emergency</t>
        </is>
      </c>
      <c r="D1299" t="inlineStr">
        <is>
          <t>Bluestone Memorial Hospital</t>
        </is>
      </c>
      <c r="E1299" t="inlineStr">
        <is>
          <t>Emergency Department</t>
        </is>
      </c>
      <c r="F1299" t="inlineStr">
        <is>
          <t>Emergency</t>
        </is>
      </c>
      <c r="G1299" s="29" t="n">
        <v>45828</v>
      </c>
      <c r="H1299" s="29" t="n">
        <v>45828</v>
      </c>
      <c r="I1299" s="30" t="n"/>
      <c r="J1299" t="inlineStr">
        <is>
          <t>M54.50</t>
        </is>
      </c>
      <c r="K1299" t="inlineStr">
        <is>
          <t>Low back pain, unspecified</t>
        </is>
      </c>
      <c r="L1299" t="inlineStr">
        <is>
          <t>Musculoskeletal</t>
        </is>
      </c>
      <c r="M1299" t="inlineStr">
        <is>
          <t>Home/Self-Care</t>
        </is>
      </c>
      <c r="N1299" t="inlineStr">
        <is>
          <t>Medicare</t>
        </is>
      </c>
      <c r="O1299" s="31" t="n">
        <v>791.87</v>
      </c>
    </row>
    <row r="1300">
      <c r="A1300" t="inlineStr">
        <is>
          <t>ENC116127</t>
        </is>
      </c>
      <c r="B1300" t="inlineStr">
        <is>
          <t>PT11544</t>
        </is>
      </c>
      <c r="C1300" t="inlineStr">
        <is>
          <t>Emergency</t>
        </is>
      </c>
      <c r="D1300" t="inlineStr">
        <is>
          <t>Bluestone Memorial Hospital</t>
        </is>
      </c>
      <c r="E1300" t="inlineStr">
        <is>
          <t>Emergency Department</t>
        </is>
      </c>
      <c r="F1300" t="inlineStr">
        <is>
          <t>Emergency</t>
        </is>
      </c>
      <c r="G1300" s="29" t="n">
        <v>45829</v>
      </c>
      <c r="H1300" s="29" t="n">
        <v>45829</v>
      </c>
      <c r="I1300" s="30" t="n"/>
      <c r="J1300" t="inlineStr">
        <is>
          <t>J21.9</t>
        </is>
      </c>
      <c r="K1300" t="inlineStr">
        <is>
          <t>Acute bronchiolitis, unspecified</t>
        </is>
      </c>
      <c r="L1300" t="inlineStr">
        <is>
          <t>Respiratory</t>
        </is>
      </c>
      <c r="M1300" t="inlineStr">
        <is>
          <t>Home/Self-Care</t>
        </is>
      </c>
      <c r="N1300" t="inlineStr">
        <is>
          <t>Evergreen Mutual Insurance</t>
        </is>
      </c>
      <c r="O1300" s="31" t="n">
        <v>6033.69</v>
      </c>
    </row>
    <row r="1301">
      <c r="A1301" t="inlineStr">
        <is>
          <t>ENC116130</t>
        </is>
      </c>
      <c r="B1301" t="inlineStr">
        <is>
          <t>PT11220</t>
        </is>
      </c>
      <c r="C1301" t="inlineStr">
        <is>
          <t>Emergency</t>
        </is>
      </c>
      <c r="D1301" t="inlineStr">
        <is>
          <t>Ashby Falls Community Hospital</t>
        </is>
      </c>
      <c r="E1301" t="inlineStr">
        <is>
          <t>Emergency Department</t>
        </is>
      </c>
      <c r="F1301" t="inlineStr">
        <is>
          <t>Emergency</t>
        </is>
      </c>
      <c r="G1301" s="29" t="n">
        <v>45829</v>
      </c>
      <c r="H1301" s="29" t="n">
        <v>45829</v>
      </c>
      <c r="I1301" s="30" t="n"/>
      <c r="J1301" t="inlineStr">
        <is>
          <t>S06.0X0A</t>
        </is>
      </c>
      <c r="K1301" t="inlineStr">
        <is>
          <t>Concussion without loss of consciousness, initial encounter</t>
        </is>
      </c>
      <c r="L1301" t="inlineStr">
        <is>
          <t>Injury</t>
        </is>
      </c>
      <c r="M1301" t="inlineStr">
        <is>
          <t>Home/Self-Care</t>
        </is>
      </c>
      <c r="N1301" t="inlineStr">
        <is>
          <t>Evergreen Mutual Insurance</t>
        </is>
      </c>
      <c r="O1301" s="31" t="n">
        <v>3459.96</v>
      </c>
    </row>
    <row r="1302">
      <c r="A1302" t="inlineStr">
        <is>
          <t>ENC116138</t>
        </is>
      </c>
      <c r="B1302" t="inlineStr">
        <is>
          <t>PT10912</t>
        </is>
      </c>
      <c r="C1302" t="inlineStr">
        <is>
          <t>Inpatient</t>
        </is>
      </c>
      <c r="D1302" t="inlineStr">
        <is>
          <t>Bluestone Memorial Hospital</t>
        </is>
      </c>
      <c r="E1302" t="inlineStr">
        <is>
          <t>Cardiac Step-Down</t>
        </is>
      </c>
      <c r="F1302" t="inlineStr">
        <is>
          <t>Cardiovascular</t>
        </is>
      </c>
      <c r="G1302" s="29" t="n">
        <v>45829</v>
      </c>
      <c r="H1302" s="29" t="n">
        <v>45833</v>
      </c>
      <c r="I1302" s="30" t="n">
        <v>4</v>
      </c>
      <c r="J1302" t="inlineStr">
        <is>
          <t>I50.9</t>
        </is>
      </c>
      <c r="K1302" t="inlineStr">
        <is>
          <t>Heart failure, unspecified</t>
        </is>
      </c>
      <c r="L1302" t="inlineStr">
        <is>
          <t>Circulatory</t>
        </is>
      </c>
      <c r="M1302" t="inlineStr">
        <is>
          <t>Home/Self-Care</t>
        </is>
      </c>
      <c r="N1302" t="inlineStr">
        <is>
          <t>Keystone Health Partners</t>
        </is>
      </c>
      <c r="O1302" s="31" t="n">
        <v>35474.16</v>
      </c>
      <c r="P1302" t="inlineStr">
        <is>
          <t>N</t>
        </is>
      </c>
    </row>
    <row r="1303">
      <c r="A1303" t="inlineStr">
        <is>
          <t>ENC116139</t>
        </is>
      </c>
      <c r="B1303" t="inlineStr">
        <is>
          <t>PT11480</t>
        </is>
      </c>
      <c r="C1303" t="inlineStr">
        <is>
          <t>Inpatient</t>
        </is>
      </c>
      <c r="D1303" t="inlineStr">
        <is>
          <t>Bluestone Memorial Hospital</t>
        </is>
      </c>
      <c r="E1303" t="inlineStr">
        <is>
          <t>Behavioral Health</t>
        </is>
      </c>
      <c r="F1303" t="inlineStr">
        <is>
          <t>Behavioral Health</t>
        </is>
      </c>
      <c r="G1303" s="29" t="n">
        <v>45829</v>
      </c>
      <c r="H1303" s="29" t="n">
        <v>45840</v>
      </c>
      <c r="I1303" s="30" t="n">
        <v>11</v>
      </c>
      <c r="J1303" t="inlineStr">
        <is>
          <t>F20.9</t>
        </is>
      </c>
      <c r="K1303" t="inlineStr">
        <is>
          <t>Schizophrenia, unspecified</t>
        </is>
      </c>
      <c r="L1303" t="inlineStr">
        <is>
          <t>Mental &amp; Behavioral</t>
        </is>
      </c>
      <c r="M1303" t="inlineStr">
        <is>
          <t>Home/Self-Care</t>
        </is>
      </c>
      <c r="N1303" t="inlineStr">
        <is>
          <t>Keystone Health Partners</t>
        </is>
      </c>
      <c r="O1303" s="31" t="n">
        <v>43369.45</v>
      </c>
      <c r="P1303" t="inlineStr">
        <is>
          <t>N</t>
        </is>
      </c>
    </row>
    <row r="1304">
      <c r="A1304" t="inlineStr">
        <is>
          <t>ENC116141</t>
        </is>
      </c>
      <c r="B1304" t="inlineStr">
        <is>
          <t>PT10168</t>
        </is>
      </c>
      <c r="C1304" t="inlineStr">
        <is>
          <t>Emergency</t>
        </is>
      </c>
      <c r="D1304" t="inlineStr">
        <is>
          <t>Bluestone Memorial Hospital</t>
        </is>
      </c>
      <c r="E1304" t="inlineStr">
        <is>
          <t>Emergency Department</t>
        </is>
      </c>
      <c r="F1304" t="inlineStr">
        <is>
          <t>Emergency</t>
        </is>
      </c>
      <c r="G1304" s="29" t="n">
        <v>45829</v>
      </c>
      <c r="H1304" s="29" t="n">
        <v>45829</v>
      </c>
      <c r="I1304" s="30" t="n"/>
      <c r="J1304" t="inlineStr">
        <is>
          <t>J06.9</t>
        </is>
      </c>
      <c r="K1304" t="inlineStr">
        <is>
          <t>Acute upper respiratory infection, unspecified</t>
        </is>
      </c>
      <c r="L1304" t="inlineStr">
        <is>
          <t>Respiratory</t>
        </is>
      </c>
      <c r="M1304" t="inlineStr">
        <is>
          <t>Home/Self-Care</t>
        </is>
      </c>
      <c r="N1304" t="inlineStr">
        <is>
          <t>Evergreen Mutual Insurance</t>
        </is>
      </c>
      <c r="O1304" s="31" t="n">
        <v>1162.83</v>
      </c>
    </row>
    <row r="1305">
      <c r="A1305" t="inlineStr">
        <is>
          <t>ENC116142</t>
        </is>
      </c>
      <c r="B1305" t="inlineStr">
        <is>
          <t>PT13616</t>
        </is>
      </c>
      <c r="C1305" t="inlineStr">
        <is>
          <t>Emergency</t>
        </is>
      </c>
      <c r="D1305" t="inlineStr">
        <is>
          <t>Bluestone Memorial Hospital</t>
        </is>
      </c>
      <c r="E1305" t="inlineStr">
        <is>
          <t>Emergency Department</t>
        </is>
      </c>
      <c r="F1305" t="inlineStr">
        <is>
          <t>Emergency</t>
        </is>
      </c>
      <c r="G1305" s="29" t="n">
        <v>45829</v>
      </c>
      <c r="H1305" s="29" t="n">
        <v>45830</v>
      </c>
      <c r="I1305" s="30" t="n"/>
      <c r="J1305" t="inlineStr">
        <is>
          <t>E86.0</t>
        </is>
      </c>
      <c r="K1305" t="inlineStr">
        <is>
          <t>Dehydration</t>
        </is>
      </c>
      <c r="L1305" t="inlineStr">
        <is>
          <t>Endocrine</t>
        </is>
      </c>
      <c r="M1305" t="inlineStr">
        <is>
          <t>Home/Self-Care</t>
        </is>
      </c>
      <c r="N1305" t="inlineStr">
        <is>
          <t>State Medicaid</t>
        </is>
      </c>
      <c r="O1305" s="31" t="n">
        <v>1580.47</v>
      </c>
    </row>
    <row r="1306">
      <c r="A1306" t="inlineStr">
        <is>
          <t>ENC116143</t>
        </is>
      </c>
      <c r="B1306" t="inlineStr">
        <is>
          <t>PT12796</t>
        </is>
      </c>
      <c r="C1306" t="inlineStr">
        <is>
          <t>Emergency</t>
        </is>
      </c>
      <c r="D1306" t="inlineStr">
        <is>
          <t>Bluestone Memorial Hospital</t>
        </is>
      </c>
      <c r="E1306" t="inlineStr">
        <is>
          <t>Emergency Department</t>
        </is>
      </c>
      <c r="F1306" t="inlineStr">
        <is>
          <t>Emergency</t>
        </is>
      </c>
      <c r="G1306" s="29" t="n">
        <v>45830</v>
      </c>
      <c r="H1306" s="29" t="n">
        <v>45830</v>
      </c>
      <c r="I1306" s="30" t="n"/>
      <c r="J1306" t="inlineStr">
        <is>
          <t>A08.4</t>
        </is>
      </c>
      <c r="K1306" t="inlineStr">
        <is>
          <t>Viral intestinal infection, unspecified</t>
        </is>
      </c>
      <c r="L1306" t="inlineStr">
        <is>
          <t>Infectious</t>
        </is>
      </c>
      <c r="M1306" t="inlineStr">
        <is>
          <t>Home/Self-Care</t>
        </is>
      </c>
      <c r="N1306" t="inlineStr">
        <is>
          <t>State Medicaid</t>
        </is>
      </c>
      <c r="O1306" s="31" t="n">
        <v>1490.74</v>
      </c>
    </row>
    <row r="1307">
      <c r="A1307" t="inlineStr">
        <is>
          <t>ENC116144</t>
        </is>
      </c>
      <c r="B1307" t="inlineStr">
        <is>
          <t>PT11252</t>
        </is>
      </c>
      <c r="C1307" t="inlineStr">
        <is>
          <t>Emergency</t>
        </is>
      </c>
      <c r="D1307" t="inlineStr">
        <is>
          <t>Cedar Ridge Medical Center</t>
        </is>
      </c>
      <c r="E1307" t="inlineStr">
        <is>
          <t>Emergency Department</t>
        </is>
      </c>
      <c r="F1307" t="inlineStr">
        <is>
          <t>Emergency</t>
        </is>
      </c>
      <c r="G1307" s="29" t="n">
        <v>45830</v>
      </c>
      <c r="H1307" s="29" t="n">
        <v>45830</v>
      </c>
      <c r="I1307" s="30" t="n"/>
      <c r="J1307" t="inlineStr">
        <is>
          <t>A08.4</t>
        </is>
      </c>
      <c r="K1307" t="inlineStr">
        <is>
          <t>Viral intestinal infection, unspecified</t>
        </is>
      </c>
      <c r="L1307" t="inlineStr">
        <is>
          <t>Infectious</t>
        </is>
      </c>
      <c r="M1307" t="inlineStr">
        <is>
          <t>Home/Self-Care</t>
        </is>
      </c>
      <c r="N1307" t="inlineStr">
        <is>
          <t>Medicare</t>
        </is>
      </c>
      <c r="O1307" s="31" t="n">
        <v>522.4299999999999</v>
      </c>
    </row>
    <row r="1308">
      <c r="A1308" t="inlineStr">
        <is>
          <t>ENC116148</t>
        </is>
      </c>
      <c r="B1308" t="inlineStr">
        <is>
          <t>PT10420</t>
        </is>
      </c>
      <c r="C1308" t="inlineStr">
        <is>
          <t>Emergency</t>
        </is>
      </c>
      <c r="D1308" t="inlineStr">
        <is>
          <t>Bluestone Memorial Hospital</t>
        </is>
      </c>
      <c r="E1308" t="inlineStr">
        <is>
          <t>Emergency Department</t>
        </is>
      </c>
      <c r="F1308" t="inlineStr">
        <is>
          <t>Emergency</t>
        </is>
      </c>
      <c r="G1308" s="29" t="n">
        <v>45830</v>
      </c>
      <c r="H1308" s="29" t="n">
        <v>45830</v>
      </c>
      <c r="I1308" s="30" t="n"/>
      <c r="J1308" t="inlineStr">
        <is>
          <t>J06.9</t>
        </is>
      </c>
      <c r="K1308" t="inlineStr">
        <is>
          <t>Acute upper respiratory infection, unspecified</t>
        </is>
      </c>
      <c r="L1308" t="inlineStr">
        <is>
          <t>Respiratory</t>
        </is>
      </c>
      <c r="M1308" t="inlineStr">
        <is>
          <t>Home/Self-Care</t>
        </is>
      </c>
      <c r="N1308" t="inlineStr">
        <is>
          <t>Evergreen Mutual Insurance</t>
        </is>
      </c>
      <c r="O1308" s="31" t="n">
        <v>1271.17</v>
      </c>
    </row>
    <row r="1309">
      <c r="A1309" t="inlineStr">
        <is>
          <t>ENC116159</t>
        </is>
      </c>
      <c r="B1309" t="inlineStr">
        <is>
          <t>PT13868</t>
        </is>
      </c>
      <c r="C1309" t="inlineStr">
        <is>
          <t>Emergency</t>
        </is>
      </c>
      <c r="D1309" t="inlineStr">
        <is>
          <t>Bluestone Memorial Hospital</t>
        </is>
      </c>
      <c r="E1309" t="inlineStr">
        <is>
          <t>Emergency Department</t>
        </is>
      </c>
      <c r="F1309" t="inlineStr">
        <is>
          <t>Emergency</t>
        </is>
      </c>
      <c r="G1309" s="29" t="n">
        <v>45830</v>
      </c>
      <c r="H1309" s="29" t="n">
        <v>45830</v>
      </c>
      <c r="I1309" s="30" t="n"/>
      <c r="J1309" t="inlineStr">
        <is>
          <t>S93.401A</t>
        </is>
      </c>
      <c r="K1309" t="inlineStr">
        <is>
          <t>Sprain of unspecified ligament of right ankle, initial encounter</t>
        </is>
      </c>
      <c r="L1309" t="inlineStr">
        <is>
          <t>Injury</t>
        </is>
      </c>
      <c r="M1309" t="inlineStr">
        <is>
          <t>Home/Self-Care</t>
        </is>
      </c>
      <c r="N1309" t="inlineStr">
        <is>
          <t>Medicare</t>
        </is>
      </c>
      <c r="O1309" s="31" t="n">
        <v>845.79</v>
      </c>
    </row>
    <row r="1310">
      <c r="A1310" t="inlineStr">
        <is>
          <t>ENC116164</t>
        </is>
      </c>
      <c r="B1310" t="inlineStr">
        <is>
          <t>PT11960</t>
        </is>
      </c>
      <c r="C1310" t="inlineStr">
        <is>
          <t>Inpatient</t>
        </is>
      </c>
      <c r="D1310" t="inlineStr">
        <is>
          <t>Bluestone Memorial Hospital</t>
        </is>
      </c>
      <c r="E1310" t="inlineStr">
        <is>
          <t>Cardiac Step-Down</t>
        </is>
      </c>
      <c r="F1310" t="inlineStr">
        <is>
          <t>Cardiovascular</t>
        </is>
      </c>
      <c r="G1310" s="29" t="n">
        <v>45831</v>
      </c>
      <c r="H1310" s="29" t="n">
        <v>45835</v>
      </c>
      <c r="I1310" s="30" t="n">
        <v>4</v>
      </c>
      <c r="J1310" t="inlineStr">
        <is>
          <t>I21.4</t>
        </is>
      </c>
      <c r="K1310" t="inlineStr">
        <is>
          <t>Non-ST elevation (NSTEMI) myocardial infarction</t>
        </is>
      </c>
      <c r="L1310" t="inlineStr">
        <is>
          <t>Circulatory</t>
        </is>
      </c>
      <c r="M1310" t="inlineStr">
        <is>
          <t>Home/Self-Care</t>
        </is>
      </c>
      <c r="N1310" t="inlineStr">
        <is>
          <t>Medicare</t>
        </is>
      </c>
      <c r="O1310" s="31" t="n">
        <v>71167.49000000001</v>
      </c>
      <c r="P1310" t="inlineStr">
        <is>
          <t>N</t>
        </is>
      </c>
    </row>
    <row r="1311">
      <c r="A1311" t="inlineStr">
        <is>
          <t>ENC116166</t>
        </is>
      </c>
      <c r="B1311" t="inlineStr">
        <is>
          <t>PT13132</t>
        </is>
      </c>
      <c r="C1311" t="inlineStr">
        <is>
          <t>Observation</t>
        </is>
      </c>
      <c r="D1311" t="inlineStr">
        <is>
          <t>Bluestone Memorial Hospital</t>
        </is>
      </c>
      <c r="E1311" t="inlineStr">
        <is>
          <t>Observation Unit</t>
        </is>
      </c>
      <c r="F1311" t="inlineStr">
        <is>
          <t>Medicine</t>
        </is>
      </c>
      <c r="G1311" s="29" t="n">
        <v>45831</v>
      </c>
      <c r="H1311" s="29" t="n">
        <v>45832</v>
      </c>
      <c r="I1311" s="30" t="n">
        <v>1</v>
      </c>
      <c r="J1311" t="inlineStr">
        <is>
          <t>R07.9</t>
        </is>
      </c>
      <c r="K1311" t="inlineStr">
        <is>
          <t>Chest pain, unspecified</t>
        </is>
      </c>
      <c r="L1311" t="inlineStr">
        <is>
          <t>Symptoms &amp; Signs</t>
        </is>
      </c>
      <c r="M1311" t="inlineStr">
        <is>
          <t>Home/Self-Care</t>
        </is>
      </c>
      <c r="N1311" t="inlineStr">
        <is>
          <t>Keystone Health Partners</t>
        </is>
      </c>
      <c r="O1311" s="31" t="n">
        <v>7179.61</v>
      </c>
    </row>
    <row r="1312">
      <c r="A1312" t="inlineStr">
        <is>
          <t>ENC116168</t>
        </is>
      </c>
      <c r="B1312" t="inlineStr">
        <is>
          <t>PT13916</t>
        </is>
      </c>
      <c r="C1312" t="inlineStr">
        <is>
          <t>Emergency</t>
        </is>
      </c>
      <c r="D1312" t="inlineStr">
        <is>
          <t>Ashby Falls Community Hospital</t>
        </is>
      </c>
      <c r="E1312" t="inlineStr">
        <is>
          <t>Emergency Department</t>
        </is>
      </c>
      <c r="F1312" t="inlineStr">
        <is>
          <t>Emergency</t>
        </is>
      </c>
      <c r="G1312" s="29" t="n">
        <v>45831</v>
      </c>
      <c r="H1312" s="29" t="n">
        <v>45831</v>
      </c>
      <c r="I1312" s="30" t="n"/>
      <c r="J1312" t="inlineStr">
        <is>
          <t>E86.0</t>
        </is>
      </c>
      <c r="K1312" t="inlineStr">
        <is>
          <t>Dehydration</t>
        </is>
      </c>
      <c r="L1312" t="inlineStr">
        <is>
          <t>Endocrine</t>
        </is>
      </c>
      <c r="M1312" t="inlineStr">
        <is>
          <t>Home/Self-Care</t>
        </is>
      </c>
      <c r="N1312" t="inlineStr">
        <is>
          <t>Evergreen Mutual Insurance</t>
        </is>
      </c>
      <c r="O1312" s="31" t="n">
        <v>1649.57</v>
      </c>
    </row>
    <row r="1313">
      <c r="A1313" t="inlineStr">
        <is>
          <t>ENC116171</t>
        </is>
      </c>
      <c r="B1313" t="inlineStr">
        <is>
          <t>PT11296</t>
        </is>
      </c>
      <c r="C1313" t="inlineStr">
        <is>
          <t>Outpatient</t>
        </is>
      </c>
      <c r="D1313" t="inlineStr">
        <is>
          <t>Bluestone Outpatient Pavilion</t>
        </is>
      </c>
      <c r="E1313" t="inlineStr">
        <is>
          <t>Pediatric Clinic</t>
        </is>
      </c>
      <c r="F1313" t="inlineStr">
        <is>
          <t>Women &amp; Children</t>
        </is>
      </c>
      <c r="G1313" s="29" t="n">
        <v>45831</v>
      </c>
      <c r="H1313" s="29" t="n">
        <v>45831</v>
      </c>
      <c r="I1313" s="30" t="n"/>
      <c r="J1313" t="inlineStr">
        <is>
          <t>Z00.129</t>
        </is>
      </c>
      <c r="K1313" t="inlineStr">
        <is>
          <t>Encounter for routine child health examination without abnormal findings</t>
        </is>
      </c>
      <c r="L1313" t="inlineStr">
        <is>
          <t>Factors Influencing Health</t>
        </is>
      </c>
      <c r="M1313" t="inlineStr">
        <is>
          <t>Home/Self-Care</t>
        </is>
      </c>
      <c r="N1313" t="inlineStr">
        <is>
          <t>Evergreen Mutual Insurance</t>
        </is>
      </c>
      <c r="O1313" s="31" t="n">
        <v>338.29</v>
      </c>
    </row>
    <row r="1314">
      <c r="A1314" t="inlineStr">
        <is>
          <t>ENC116173</t>
        </is>
      </c>
      <c r="B1314" t="inlineStr">
        <is>
          <t>PT11136</t>
        </is>
      </c>
      <c r="C1314" t="inlineStr">
        <is>
          <t>Emergency</t>
        </is>
      </c>
      <c r="D1314" t="inlineStr">
        <is>
          <t>Bluestone Memorial Hospital</t>
        </is>
      </c>
      <c r="E1314" t="inlineStr">
        <is>
          <t>Emergency Department</t>
        </is>
      </c>
      <c r="F1314" t="inlineStr">
        <is>
          <t>Emergency</t>
        </is>
      </c>
      <c r="G1314" s="29" t="n">
        <v>45831</v>
      </c>
      <c r="H1314" s="29" t="n">
        <v>45831</v>
      </c>
      <c r="I1314" s="30" t="n"/>
      <c r="J1314" t="inlineStr">
        <is>
          <t>L03.115</t>
        </is>
      </c>
      <c r="K1314" t="inlineStr">
        <is>
          <t>Cellulitis of right lower limb</t>
        </is>
      </c>
      <c r="L1314" t="inlineStr">
        <is>
          <t>Skin</t>
        </is>
      </c>
      <c r="M1314" t="inlineStr">
        <is>
          <t>Home/Self-Care</t>
        </is>
      </c>
      <c r="N1314" t="inlineStr">
        <is>
          <t>State Medicaid</t>
        </is>
      </c>
      <c r="O1314" s="31" t="n">
        <v>976.2</v>
      </c>
    </row>
    <row r="1315">
      <c r="A1315" t="inlineStr">
        <is>
          <t>ENC116174</t>
        </is>
      </c>
      <c r="B1315" t="inlineStr">
        <is>
          <t>PT13400</t>
        </is>
      </c>
      <c r="C1315" t="inlineStr">
        <is>
          <t>Emergency</t>
        </is>
      </c>
      <c r="D1315" t="inlineStr">
        <is>
          <t>Bluestone Memorial Hospital</t>
        </is>
      </c>
      <c r="E1315" t="inlineStr">
        <is>
          <t>Emergency Department</t>
        </is>
      </c>
      <c r="F1315" t="inlineStr">
        <is>
          <t>Emergency</t>
        </is>
      </c>
      <c r="G1315" s="29" t="n">
        <v>45831</v>
      </c>
      <c r="H1315" s="29" t="n">
        <v>45831</v>
      </c>
      <c r="I1315" s="30" t="n"/>
      <c r="J1315" t="inlineStr">
        <is>
          <t>K80.20</t>
        </is>
      </c>
      <c r="K1315" t="inlineStr">
        <is>
          <t>Calculus of gallbladder without cholecystitis without obstruction</t>
        </is>
      </c>
      <c r="L1315" t="inlineStr">
        <is>
          <t>Digestive</t>
        </is>
      </c>
      <c r="M1315" t="inlineStr">
        <is>
          <t>Home/Self-Care</t>
        </is>
      </c>
      <c r="N1315" t="inlineStr">
        <is>
          <t>Keystone Health Partners</t>
        </is>
      </c>
      <c r="O1315" s="31" t="n">
        <v>3632.64</v>
      </c>
    </row>
    <row r="1316">
      <c r="A1316" t="inlineStr">
        <is>
          <t>ENC116180</t>
        </is>
      </c>
      <c r="B1316" t="inlineStr">
        <is>
          <t>PT12096</t>
        </is>
      </c>
      <c r="C1316" t="inlineStr">
        <is>
          <t>Outpatient</t>
        </is>
      </c>
      <c r="D1316" t="inlineStr">
        <is>
          <t>Bluestone Outpatient Pavilion</t>
        </is>
      </c>
      <c r="E1316" t="inlineStr">
        <is>
          <t>Pediatric Clinic</t>
        </is>
      </c>
      <c r="F1316" t="inlineStr">
        <is>
          <t>Women &amp; Children</t>
        </is>
      </c>
      <c r="G1316" s="29" t="n">
        <v>45831</v>
      </c>
      <c r="H1316" s="29" t="n">
        <v>45831</v>
      </c>
      <c r="I1316" s="30" t="n"/>
      <c r="J1316" t="inlineStr">
        <is>
          <t>Z00.129</t>
        </is>
      </c>
      <c r="K1316" t="inlineStr">
        <is>
          <t>Encounter for routine child health examination without abnormal findings</t>
        </is>
      </c>
      <c r="L1316" t="inlineStr">
        <is>
          <t>Factors Influencing Health</t>
        </is>
      </c>
      <c r="M1316" t="inlineStr">
        <is>
          <t>Home/Self-Care</t>
        </is>
      </c>
      <c r="N1316" t="inlineStr">
        <is>
          <t>Keystone Health Partners</t>
        </is>
      </c>
      <c r="O1316" s="31" t="n">
        <v>376.18</v>
      </c>
    </row>
    <row r="1317">
      <c r="A1317" t="inlineStr">
        <is>
          <t>ENC116181</t>
        </is>
      </c>
      <c r="B1317" t="inlineStr">
        <is>
          <t>PT12956</t>
        </is>
      </c>
      <c r="C1317" t="inlineStr">
        <is>
          <t>Emergency</t>
        </is>
      </c>
      <c r="D1317" t="inlineStr">
        <is>
          <t>Bluestone Memorial Hospital</t>
        </is>
      </c>
      <c r="E1317" t="inlineStr">
        <is>
          <t>Emergency Department</t>
        </is>
      </c>
      <c r="F1317" t="inlineStr">
        <is>
          <t>Emergency</t>
        </is>
      </c>
      <c r="G1317" s="29" t="n">
        <v>45831</v>
      </c>
      <c r="H1317" s="29" t="n">
        <v>45831</v>
      </c>
      <c r="I1317" s="30" t="n"/>
      <c r="J1317" t="inlineStr">
        <is>
          <t>S93.401A</t>
        </is>
      </c>
      <c r="K1317" t="inlineStr">
        <is>
          <t>Sprain of unspecified ligament of right ankle, initial encounter</t>
        </is>
      </c>
      <c r="L1317" t="inlineStr">
        <is>
          <t>Injury</t>
        </is>
      </c>
      <c r="M1317" t="inlineStr">
        <is>
          <t>Home/Self-Care</t>
        </is>
      </c>
      <c r="N1317" t="inlineStr">
        <is>
          <t>Keystone Health Partners</t>
        </is>
      </c>
      <c r="O1317" s="31" t="n">
        <v>624.85</v>
      </c>
    </row>
    <row r="1318">
      <c r="A1318" t="inlineStr">
        <is>
          <t>ENC116182</t>
        </is>
      </c>
      <c r="B1318" t="inlineStr">
        <is>
          <t>PT12772</t>
        </is>
      </c>
      <c r="C1318" t="inlineStr">
        <is>
          <t>Emergency</t>
        </is>
      </c>
      <c r="D1318" t="inlineStr">
        <is>
          <t>Bluestone Memorial Hospital</t>
        </is>
      </c>
      <c r="E1318" t="inlineStr">
        <is>
          <t>Emergency Department</t>
        </is>
      </c>
      <c r="F1318" t="inlineStr">
        <is>
          <t>Emergency</t>
        </is>
      </c>
      <c r="G1318" s="29" t="n">
        <v>45831</v>
      </c>
      <c r="H1318" s="29" t="n">
        <v>45831</v>
      </c>
      <c r="I1318" s="30" t="n"/>
      <c r="J1318" t="inlineStr">
        <is>
          <t>N39.0</t>
        </is>
      </c>
      <c r="K1318" t="inlineStr">
        <is>
          <t>Urinary tract infection, site not specified</t>
        </is>
      </c>
      <c r="L1318" t="inlineStr">
        <is>
          <t>Genitourinary</t>
        </is>
      </c>
      <c r="M1318" t="inlineStr">
        <is>
          <t>Home/Self-Care</t>
        </is>
      </c>
      <c r="N1318" t="inlineStr">
        <is>
          <t>Self-Pay</t>
        </is>
      </c>
      <c r="O1318" s="31" t="n">
        <v>846.95</v>
      </c>
    </row>
    <row r="1319">
      <c r="A1319" t="inlineStr">
        <is>
          <t>ENC116185</t>
        </is>
      </c>
      <c r="B1319" t="inlineStr">
        <is>
          <t>PT12888</t>
        </is>
      </c>
      <c r="C1319" t="inlineStr">
        <is>
          <t>Outpatient</t>
        </is>
      </c>
      <c r="D1319" t="inlineStr">
        <is>
          <t>Bluestone Outpatient Pavilion</t>
        </is>
      </c>
      <c r="E1319" t="inlineStr">
        <is>
          <t>Primary Care Clinic</t>
        </is>
      </c>
      <c r="F1319" t="inlineStr">
        <is>
          <t>Ambulatory</t>
        </is>
      </c>
      <c r="G1319" s="29" t="n">
        <v>45831</v>
      </c>
      <c r="H1319" s="29" t="n">
        <v>45831</v>
      </c>
      <c r="I1319" s="30" t="n"/>
      <c r="J1319" t="inlineStr">
        <is>
          <t>I10</t>
        </is>
      </c>
      <c r="K1319" t="inlineStr">
        <is>
          <t>Essential (primary) hypertension</t>
        </is>
      </c>
      <c r="L1319" t="inlineStr">
        <is>
          <t>Circulatory</t>
        </is>
      </c>
      <c r="M1319" t="inlineStr">
        <is>
          <t>Home/Self-Care</t>
        </is>
      </c>
      <c r="N1319" t="inlineStr">
        <is>
          <t>Evergreen Mutual Insurance</t>
        </is>
      </c>
      <c r="O1319" s="31" t="n">
        <v>356.61</v>
      </c>
    </row>
    <row r="1320">
      <c r="A1320" t="inlineStr">
        <is>
          <t>ENC116188</t>
        </is>
      </c>
      <c r="B1320" t="inlineStr">
        <is>
          <t>PT11944</t>
        </is>
      </c>
      <c r="C1320" t="inlineStr">
        <is>
          <t>Emergency</t>
        </is>
      </c>
      <c r="D1320" t="inlineStr">
        <is>
          <t>Bluestone Memorial Hospital</t>
        </is>
      </c>
      <c r="E1320" t="inlineStr">
        <is>
          <t>Emergency Department</t>
        </is>
      </c>
      <c r="F1320" t="inlineStr">
        <is>
          <t>Emergency</t>
        </is>
      </c>
      <c r="G1320" s="29" t="n">
        <v>45831</v>
      </c>
      <c r="H1320" s="29" t="n">
        <v>45831</v>
      </c>
      <c r="I1320" s="30" t="n"/>
      <c r="J1320" t="inlineStr">
        <is>
          <t>R10.9</t>
        </is>
      </c>
      <c r="K1320" t="inlineStr">
        <is>
          <t>Unspecified abdominal pain</t>
        </is>
      </c>
      <c r="L1320" t="inlineStr">
        <is>
          <t>Symptoms &amp; Signs</t>
        </is>
      </c>
      <c r="M1320" t="inlineStr">
        <is>
          <t>Home/Self-Care</t>
        </is>
      </c>
      <c r="N1320" t="inlineStr">
        <is>
          <t>Silverline Medicare Advantage</t>
        </is>
      </c>
      <c r="O1320" s="31" t="n">
        <v>5187.15</v>
      </c>
    </row>
    <row r="1321">
      <c r="A1321" t="inlineStr">
        <is>
          <t>ENC116203</t>
        </is>
      </c>
      <c r="B1321" t="inlineStr">
        <is>
          <t>PT11400</t>
        </is>
      </c>
      <c r="C1321" t="inlineStr">
        <is>
          <t>Outpatient</t>
        </is>
      </c>
      <c r="D1321" t="inlineStr">
        <is>
          <t>Bluestone Outpatient Pavilion</t>
        </is>
      </c>
      <c r="E1321" t="inlineStr">
        <is>
          <t>Endocrinology &amp; Diabetes Clinic</t>
        </is>
      </c>
      <c r="F1321" t="inlineStr">
        <is>
          <t>Ambulatory</t>
        </is>
      </c>
      <c r="G1321" s="29" t="n">
        <v>45832</v>
      </c>
      <c r="H1321" s="29" t="n">
        <v>45832</v>
      </c>
      <c r="I1321" s="30" t="n"/>
      <c r="J1321" t="inlineStr">
        <is>
          <t>E11.9</t>
        </is>
      </c>
      <c r="K1321" t="inlineStr">
        <is>
          <t>Type 2 diabetes mellitus without complications</t>
        </is>
      </c>
      <c r="L1321" t="inlineStr">
        <is>
          <t>Endocrine</t>
        </is>
      </c>
      <c r="M1321" t="inlineStr">
        <is>
          <t>Home/Self-Care</t>
        </is>
      </c>
      <c r="N1321" t="inlineStr">
        <is>
          <t>State Medicaid</t>
        </is>
      </c>
      <c r="O1321" s="31" t="n">
        <v>425.82</v>
      </c>
    </row>
    <row r="1322">
      <c r="A1322" t="inlineStr">
        <is>
          <t>ENC116215</t>
        </is>
      </c>
      <c r="B1322" t="inlineStr">
        <is>
          <t>PT10408</t>
        </is>
      </c>
      <c r="C1322" t="inlineStr">
        <is>
          <t>Outpatient</t>
        </is>
      </c>
      <c r="D1322" t="inlineStr">
        <is>
          <t>Bluestone Outpatient Pavilion</t>
        </is>
      </c>
      <c r="E1322" t="inlineStr">
        <is>
          <t>Primary Care Clinic</t>
        </is>
      </c>
      <c r="F1322" t="inlineStr">
        <is>
          <t>Ambulatory</t>
        </is>
      </c>
      <c r="G1322" s="29" t="n">
        <v>45832</v>
      </c>
      <c r="H1322" s="29" t="n">
        <v>45832</v>
      </c>
      <c r="I1322" s="30" t="n"/>
      <c r="J1322" t="inlineStr">
        <is>
          <t>G40.909</t>
        </is>
      </c>
      <c r="K1322" t="inlineStr">
        <is>
          <t>Epilepsy, unspecified, not intractable, without status epilepticus</t>
        </is>
      </c>
      <c r="L1322" t="inlineStr">
        <is>
          <t>Nervous System</t>
        </is>
      </c>
      <c r="M1322" t="inlineStr">
        <is>
          <t>Home/Self-Care</t>
        </is>
      </c>
      <c r="N1322" t="inlineStr">
        <is>
          <t>State Medicaid</t>
        </is>
      </c>
      <c r="O1322" s="31" t="n">
        <v>311.56</v>
      </c>
    </row>
    <row r="1323">
      <c r="A1323" t="inlineStr">
        <is>
          <t>ENC116224</t>
        </is>
      </c>
      <c r="B1323" t="inlineStr">
        <is>
          <t>PT11928</t>
        </is>
      </c>
      <c r="C1323" t="inlineStr">
        <is>
          <t>Outpatient</t>
        </is>
      </c>
      <c r="D1323" t="inlineStr">
        <is>
          <t>Bluestone Outpatient Pavilion</t>
        </is>
      </c>
      <c r="E1323" t="inlineStr">
        <is>
          <t>Endocrinology &amp; Diabetes Clinic</t>
        </is>
      </c>
      <c r="F1323" t="inlineStr">
        <is>
          <t>Ambulatory</t>
        </is>
      </c>
      <c r="G1323" s="29" t="n">
        <v>45832</v>
      </c>
      <c r="H1323" s="29" t="n">
        <v>45832</v>
      </c>
      <c r="I1323" s="30" t="n"/>
      <c r="J1323" t="inlineStr">
        <is>
          <t>E11.9</t>
        </is>
      </c>
      <c r="K1323" t="inlineStr">
        <is>
          <t>Type 2 diabetes mellitus without complications</t>
        </is>
      </c>
      <c r="L1323" t="inlineStr">
        <is>
          <t>Endocrine</t>
        </is>
      </c>
      <c r="M1323" t="inlineStr">
        <is>
          <t>Home/Self-Care</t>
        </is>
      </c>
      <c r="N1323" t="inlineStr">
        <is>
          <t>Medicare</t>
        </is>
      </c>
      <c r="O1323" s="31" t="n">
        <v>821.47</v>
      </c>
    </row>
    <row r="1324">
      <c r="A1324" t="inlineStr">
        <is>
          <t>ENC116232</t>
        </is>
      </c>
      <c r="B1324" t="inlineStr">
        <is>
          <t>PT12264</t>
        </is>
      </c>
      <c r="C1324" t="inlineStr">
        <is>
          <t>Emergency</t>
        </is>
      </c>
      <c r="D1324" t="inlineStr">
        <is>
          <t>Cedar Ridge Medical Center</t>
        </is>
      </c>
      <c r="E1324" t="inlineStr">
        <is>
          <t>Emergency Department</t>
        </is>
      </c>
      <c r="F1324" t="inlineStr">
        <is>
          <t>Emergency</t>
        </is>
      </c>
      <c r="G1324" s="29" t="n">
        <v>45832</v>
      </c>
      <c r="H1324" s="29" t="n">
        <v>45832</v>
      </c>
      <c r="I1324" s="30" t="n"/>
      <c r="J1324" t="inlineStr">
        <is>
          <t>F10.239</t>
        </is>
      </c>
      <c r="K1324" t="inlineStr">
        <is>
          <t>Alcohol dependence with withdrawal, unspecified</t>
        </is>
      </c>
      <c r="L1324" t="inlineStr">
        <is>
          <t>Mental &amp; Behavioral</t>
        </is>
      </c>
      <c r="M1324" t="inlineStr">
        <is>
          <t>Home/Self-Care</t>
        </is>
      </c>
      <c r="N1324" t="inlineStr">
        <is>
          <t>Medicare</t>
        </is>
      </c>
      <c r="O1324" s="31" t="n">
        <v>6384.9</v>
      </c>
    </row>
    <row r="1325">
      <c r="A1325" t="inlineStr">
        <is>
          <t>ENC116234</t>
        </is>
      </c>
      <c r="B1325" t="inlineStr">
        <is>
          <t>PT11668</t>
        </is>
      </c>
      <c r="C1325" t="inlineStr">
        <is>
          <t>Inpatient</t>
        </is>
      </c>
      <c r="D1325" t="inlineStr">
        <is>
          <t>Bluestone Memorial Hospital</t>
        </is>
      </c>
      <c r="E1325" t="inlineStr">
        <is>
          <t>Intensive Care Unit</t>
        </is>
      </c>
      <c r="F1325" t="inlineStr">
        <is>
          <t>Critical Care</t>
        </is>
      </c>
      <c r="G1325" s="29" t="n">
        <v>45833</v>
      </c>
      <c r="H1325" s="29" t="n">
        <v>45839</v>
      </c>
      <c r="I1325" s="30" t="n">
        <v>6</v>
      </c>
      <c r="J1325" t="inlineStr">
        <is>
          <t>K92.2</t>
        </is>
      </c>
      <c r="K1325" t="inlineStr">
        <is>
          <t>Gastrointestinal hemorrhage, unspecified</t>
        </is>
      </c>
      <c r="L1325" t="inlineStr">
        <is>
          <t>Digestive</t>
        </is>
      </c>
      <c r="M1325" t="inlineStr">
        <is>
          <t>Home/Self-Care</t>
        </is>
      </c>
      <c r="N1325" t="inlineStr">
        <is>
          <t>Keystone Health Partners</t>
        </is>
      </c>
      <c r="O1325" s="31" t="n">
        <v>73881.97</v>
      </c>
      <c r="P1325" t="inlineStr">
        <is>
          <t>N</t>
        </is>
      </c>
    </row>
    <row r="1326">
      <c r="A1326" t="inlineStr">
        <is>
          <t>ENC116238</t>
        </is>
      </c>
      <c r="B1326" t="inlineStr">
        <is>
          <t>PT13568</t>
        </is>
      </c>
      <c r="C1326" t="inlineStr">
        <is>
          <t>Emergency</t>
        </is>
      </c>
      <c r="D1326" t="inlineStr">
        <is>
          <t>Bluestone Memorial Hospital</t>
        </is>
      </c>
      <c r="E1326" t="inlineStr">
        <is>
          <t>Emergency Department</t>
        </is>
      </c>
      <c r="F1326" t="inlineStr">
        <is>
          <t>Emergency</t>
        </is>
      </c>
      <c r="G1326" s="29" t="n">
        <v>45833</v>
      </c>
      <c r="H1326" s="29" t="n">
        <v>45833</v>
      </c>
      <c r="I1326" s="30" t="n"/>
      <c r="J1326" t="inlineStr">
        <is>
          <t>G40.909</t>
        </is>
      </c>
      <c r="K1326" t="inlineStr">
        <is>
          <t>Epilepsy, unspecified, not intractable, without status epilepticus</t>
        </is>
      </c>
      <c r="L1326" t="inlineStr">
        <is>
          <t>Nervous System</t>
        </is>
      </c>
      <c r="M1326" t="inlineStr">
        <is>
          <t>Home/Self-Care</t>
        </is>
      </c>
      <c r="N1326" t="inlineStr">
        <is>
          <t>Self-Pay</t>
        </is>
      </c>
      <c r="O1326" s="31" t="n">
        <v>4216.25</v>
      </c>
    </row>
    <row r="1327">
      <c r="A1327" t="inlineStr">
        <is>
          <t>ENC116239</t>
        </is>
      </c>
      <c r="B1327" t="inlineStr">
        <is>
          <t>PT10828</t>
        </is>
      </c>
      <c r="C1327" t="inlineStr">
        <is>
          <t>Inpatient</t>
        </is>
      </c>
      <c r="D1327" t="inlineStr">
        <is>
          <t>Ashby Falls Community Hospital</t>
        </is>
      </c>
      <c r="E1327" t="inlineStr">
        <is>
          <t>Medical-Surgical</t>
        </is>
      </c>
      <c r="F1327" t="inlineStr">
        <is>
          <t>Medicine</t>
        </is>
      </c>
      <c r="G1327" s="29" t="n">
        <v>45833</v>
      </c>
      <c r="H1327" s="29" t="n">
        <v>45834</v>
      </c>
      <c r="I1327" s="30" t="n">
        <v>1</v>
      </c>
      <c r="J1327" t="inlineStr">
        <is>
          <t>K80.20</t>
        </is>
      </c>
      <c r="K1327" t="inlineStr">
        <is>
          <t>Calculus of gallbladder without cholecystitis without obstruction</t>
        </is>
      </c>
      <c r="L1327" t="inlineStr">
        <is>
          <t>Digestive</t>
        </is>
      </c>
      <c r="M1327" t="inlineStr">
        <is>
          <t>Home/Self-Care</t>
        </is>
      </c>
      <c r="N1327" t="inlineStr">
        <is>
          <t>Evergreen Mutual Insurance</t>
        </is>
      </c>
      <c r="O1327" s="31" t="n">
        <v>22731.92</v>
      </c>
      <c r="P1327" t="inlineStr">
        <is>
          <t>N</t>
        </is>
      </c>
    </row>
    <row r="1328">
      <c r="A1328" t="inlineStr">
        <is>
          <t>ENC116240</t>
        </is>
      </c>
      <c r="B1328" t="inlineStr">
        <is>
          <t>PT11300</t>
        </is>
      </c>
      <c r="C1328" t="inlineStr">
        <is>
          <t>Outpatient</t>
        </is>
      </c>
      <c r="D1328" t="inlineStr">
        <is>
          <t>Bluestone Outpatient Pavilion</t>
        </is>
      </c>
      <c r="E1328" t="inlineStr">
        <is>
          <t>Endocrinology &amp; Diabetes Clinic</t>
        </is>
      </c>
      <c r="F1328" t="inlineStr">
        <is>
          <t>Ambulatory</t>
        </is>
      </c>
      <c r="G1328" s="29" t="n">
        <v>45833</v>
      </c>
      <c r="H1328" s="29" t="n">
        <v>45833</v>
      </c>
      <c r="I1328" s="30" t="n"/>
      <c r="J1328" t="inlineStr">
        <is>
          <t>E11.9</t>
        </is>
      </c>
      <c r="K1328" t="inlineStr">
        <is>
          <t>Type 2 diabetes mellitus without complications</t>
        </is>
      </c>
      <c r="L1328" t="inlineStr">
        <is>
          <t>Endocrine</t>
        </is>
      </c>
      <c r="M1328" t="inlineStr">
        <is>
          <t>Home/Self-Care</t>
        </is>
      </c>
      <c r="N1328" t="inlineStr">
        <is>
          <t>Keystone Health Partners</t>
        </is>
      </c>
      <c r="O1328" s="31" t="n">
        <v>205.57</v>
      </c>
    </row>
    <row r="1329">
      <c r="A1329" t="inlineStr">
        <is>
          <t>ENC116241</t>
        </is>
      </c>
      <c r="B1329" t="inlineStr">
        <is>
          <t>PT12684</t>
        </is>
      </c>
      <c r="C1329" t="inlineStr">
        <is>
          <t>Outpatient</t>
        </is>
      </c>
      <c r="D1329" t="inlineStr">
        <is>
          <t>Bluestone Outpatient Pavilion</t>
        </is>
      </c>
      <c r="E1329" t="inlineStr">
        <is>
          <t>Primary Care Clinic</t>
        </is>
      </c>
      <c r="F1329" t="inlineStr">
        <is>
          <t>Ambulatory</t>
        </is>
      </c>
      <c r="G1329" s="29" t="n">
        <v>45833</v>
      </c>
      <c r="H1329" s="29" t="n">
        <v>45833</v>
      </c>
      <c r="I1329" s="30" t="n"/>
      <c r="J1329" t="inlineStr">
        <is>
          <t>J45.909</t>
        </is>
      </c>
      <c r="K1329" t="inlineStr">
        <is>
          <t>Unspecified asthma, uncomplicated</t>
        </is>
      </c>
      <c r="L1329" t="inlineStr">
        <is>
          <t>Respiratory</t>
        </is>
      </c>
      <c r="M1329" t="inlineStr">
        <is>
          <t>Home/Self-Care</t>
        </is>
      </c>
      <c r="N1329" t="inlineStr">
        <is>
          <t>Summit Choice PPO</t>
        </is>
      </c>
      <c r="O1329" s="31" t="n">
        <v>230.99</v>
      </c>
    </row>
    <row r="1330">
      <c r="A1330" t="inlineStr">
        <is>
          <t>ENC116250</t>
        </is>
      </c>
      <c r="B1330" t="inlineStr">
        <is>
          <t>PT13788</t>
        </is>
      </c>
      <c r="C1330" t="inlineStr">
        <is>
          <t>Outpatient</t>
        </is>
      </c>
      <c r="D1330" t="inlineStr">
        <is>
          <t>Bluestone Outpatient Pavilion</t>
        </is>
      </c>
      <c r="E1330" t="inlineStr">
        <is>
          <t>Orthopedic Clinic</t>
        </is>
      </c>
      <c r="F1330" t="inlineStr">
        <is>
          <t>Orthopedics</t>
        </is>
      </c>
      <c r="G1330" s="29" t="n">
        <v>45833</v>
      </c>
      <c r="H1330" s="29" t="n">
        <v>45833</v>
      </c>
      <c r="I1330" s="30" t="n"/>
      <c r="J1330" t="inlineStr">
        <is>
          <t>M16.11</t>
        </is>
      </c>
      <c r="K1330" t="inlineStr">
        <is>
          <t>Unilateral primary osteoarthritis, right hip</t>
        </is>
      </c>
      <c r="L1330" t="inlineStr">
        <is>
          <t>Musculoskeletal</t>
        </is>
      </c>
      <c r="M1330" t="inlineStr">
        <is>
          <t>Home/Self-Care</t>
        </is>
      </c>
      <c r="N1330" t="inlineStr">
        <is>
          <t>Silverline Medicare Advantage</t>
        </is>
      </c>
      <c r="O1330" s="31" t="n">
        <v>254.41</v>
      </c>
    </row>
    <row r="1331">
      <c r="A1331" t="inlineStr">
        <is>
          <t>ENC116251</t>
        </is>
      </c>
      <c r="B1331" t="inlineStr">
        <is>
          <t>PT13900</t>
        </is>
      </c>
      <c r="C1331" t="inlineStr">
        <is>
          <t>Outpatient</t>
        </is>
      </c>
      <c r="D1331" t="inlineStr">
        <is>
          <t>Bluestone Outpatient Pavilion</t>
        </is>
      </c>
      <c r="E1331" t="inlineStr">
        <is>
          <t>Primary Care Clinic</t>
        </is>
      </c>
      <c r="F1331" t="inlineStr">
        <is>
          <t>Ambulatory</t>
        </is>
      </c>
      <c r="G1331" s="29" t="n">
        <v>45833</v>
      </c>
      <c r="H1331" s="29" t="n">
        <v>45833</v>
      </c>
      <c r="I1331" s="30" t="n"/>
      <c r="J1331" t="inlineStr">
        <is>
          <t>Z00.00</t>
        </is>
      </c>
      <c r="K1331" t="inlineStr">
        <is>
          <t>Encounter for general adult medical examination without abnormal findings</t>
        </is>
      </c>
      <c r="L1331" t="inlineStr">
        <is>
          <t>Factors Influencing Health</t>
        </is>
      </c>
      <c r="M1331" t="inlineStr">
        <is>
          <t>Home/Self-Care</t>
        </is>
      </c>
      <c r="N1331" t="inlineStr">
        <is>
          <t>Medicare</t>
        </is>
      </c>
      <c r="O1331" s="31" t="n">
        <v>288.9</v>
      </c>
    </row>
    <row r="1332">
      <c r="A1332" t="inlineStr">
        <is>
          <t>ENC116252</t>
        </is>
      </c>
      <c r="B1332" t="inlineStr">
        <is>
          <t>PT13352</t>
        </is>
      </c>
      <c r="C1332" t="inlineStr">
        <is>
          <t>Emergency</t>
        </is>
      </c>
      <c r="D1332" t="inlineStr">
        <is>
          <t>Bluestone Memorial Hospital</t>
        </is>
      </c>
      <c r="E1332" t="inlineStr">
        <is>
          <t>Emergency Department</t>
        </is>
      </c>
      <c r="F1332" t="inlineStr">
        <is>
          <t>Emergency</t>
        </is>
      </c>
      <c r="G1332" s="29" t="n">
        <v>45833</v>
      </c>
      <c r="H1332" s="29" t="n">
        <v>45833</v>
      </c>
      <c r="I1332" s="30" t="n"/>
      <c r="J1332" t="inlineStr">
        <is>
          <t>M54.50</t>
        </is>
      </c>
      <c r="K1332" t="inlineStr">
        <is>
          <t>Low back pain, unspecified</t>
        </is>
      </c>
      <c r="L1332" t="inlineStr">
        <is>
          <t>Musculoskeletal</t>
        </is>
      </c>
      <c r="M1332" t="inlineStr">
        <is>
          <t>Home/Self-Care</t>
        </is>
      </c>
      <c r="N1332" t="inlineStr">
        <is>
          <t>Medicare</t>
        </is>
      </c>
      <c r="O1332" s="31" t="n">
        <v>1061.53</v>
      </c>
    </row>
    <row r="1333">
      <c r="A1333" t="inlineStr">
        <is>
          <t>ENC116254</t>
        </is>
      </c>
      <c r="B1333" t="inlineStr">
        <is>
          <t>PT12768</t>
        </is>
      </c>
      <c r="C1333" t="inlineStr">
        <is>
          <t>Outpatient</t>
        </is>
      </c>
      <c r="D1333" t="inlineStr">
        <is>
          <t>Bluestone Outpatient Pavilion</t>
        </is>
      </c>
      <c r="E1333" t="inlineStr">
        <is>
          <t>Primary Care Clinic</t>
        </is>
      </c>
      <c r="F1333" t="inlineStr">
        <is>
          <t>Ambulatory</t>
        </is>
      </c>
      <c r="G1333" s="29" t="n">
        <v>45833</v>
      </c>
      <c r="H1333" s="29" t="n">
        <v>45833</v>
      </c>
      <c r="I1333" s="30" t="n"/>
      <c r="J1333" t="inlineStr">
        <is>
          <t>M54.50</t>
        </is>
      </c>
      <c r="K1333" t="inlineStr">
        <is>
          <t>Low back pain, unspecified</t>
        </is>
      </c>
      <c r="L1333" t="inlineStr">
        <is>
          <t>Musculoskeletal</t>
        </is>
      </c>
      <c r="M1333" t="inlineStr">
        <is>
          <t>Home/Self-Care</t>
        </is>
      </c>
      <c r="N1333" t="inlineStr">
        <is>
          <t>State Medicaid</t>
        </is>
      </c>
      <c r="O1333" s="31" t="n">
        <v>360.19</v>
      </c>
    </row>
    <row r="1334">
      <c r="A1334" t="inlineStr">
        <is>
          <t>ENC116259</t>
        </is>
      </c>
      <c r="B1334" t="inlineStr">
        <is>
          <t>PT12232</t>
        </is>
      </c>
      <c r="C1334" t="inlineStr">
        <is>
          <t>Emergency</t>
        </is>
      </c>
      <c r="D1334" t="inlineStr">
        <is>
          <t>Bluestone Memorial Hospital</t>
        </is>
      </c>
      <c r="E1334" t="inlineStr">
        <is>
          <t>Emergency Department</t>
        </is>
      </c>
      <c r="F1334" t="inlineStr">
        <is>
          <t>Emergency</t>
        </is>
      </c>
      <c r="G1334" s="29" t="n">
        <v>45833</v>
      </c>
      <c r="H1334" s="29" t="n">
        <v>45833</v>
      </c>
      <c r="I1334" s="30" t="n"/>
      <c r="J1334" t="inlineStr">
        <is>
          <t>S06.0X0A</t>
        </is>
      </c>
      <c r="K1334" t="inlineStr">
        <is>
          <t>Concussion without loss of consciousness, initial encounter</t>
        </is>
      </c>
      <c r="L1334" t="inlineStr">
        <is>
          <t>Injury</t>
        </is>
      </c>
      <c r="M1334" t="inlineStr">
        <is>
          <t>Home/Self-Care</t>
        </is>
      </c>
      <c r="N1334" t="inlineStr">
        <is>
          <t>Summit Choice PPO</t>
        </is>
      </c>
      <c r="O1334" s="31" t="n">
        <v>3358.4</v>
      </c>
    </row>
    <row r="1335">
      <c r="A1335" t="inlineStr">
        <is>
          <t>ENC116260</t>
        </is>
      </c>
      <c r="B1335" t="inlineStr">
        <is>
          <t>PT12032</t>
        </is>
      </c>
      <c r="C1335" t="inlineStr">
        <is>
          <t>Inpatient</t>
        </is>
      </c>
      <c r="D1335" t="inlineStr">
        <is>
          <t>Bluestone Memorial Hospital</t>
        </is>
      </c>
      <c r="E1335" t="inlineStr">
        <is>
          <t>Medical-Surgical 5 East</t>
        </is>
      </c>
      <c r="F1335" t="inlineStr">
        <is>
          <t>Medicine</t>
        </is>
      </c>
      <c r="G1335" s="29" t="n">
        <v>45833</v>
      </c>
      <c r="H1335" s="29" t="n">
        <v>45838</v>
      </c>
      <c r="I1335" s="30" t="n">
        <v>5</v>
      </c>
      <c r="J1335" t="inlineStr">
        <is>
          <t>K56.609</t>
        </is>
      </c>
      <c r="K1335" t="inlineStr">
        <is>
          <t>Unspecified intestinal obstruction</t>
        </is>
      </c>
      <c r="L1335" t="inlineStr">
        <is>
          <t>Digestive</t>
        </is>
      </c>
      <c r="M1335" t="inlineStr">
        <is>
          <t>Home/Self-Care</t>
        </is>
      </c>
      <c r="N1335" t="inlineStr">
        <is>
          <t>State Medicaid</t>
        </is>
      </c>
      <c r="O1335" s="31" t="n">
        <v>35510.6</v>
      </c>
      <c r="P1335" t="inlineStr">
        <is>
          <t>Y</t>
        </is>
      </c>
    </row>
    <row r="1336">
      <c r="A1336" t="inlineStr">
        <is>
          <t>ENC116261</t>
        </is>
      </c>
      <c r="B1336" t="inlineStr">
        <is>
          <t>PT11224</t>
        </is>
      </c>
      <c r="C1336" t="inlineStr">
        <is>
          <t>Emergency</t>
        </is>
      </c>
      <c r="D1336" t="inlineStr">
        <is>
          <t>Bluestone Memorial Hospital</t>
        </is>
      </c>
      <c r="E1336" t="inlineStr">
        <is>
          <t>Emergency Department</t>
        </is>
      </c>
      <c r="F1336" t="inlineStr">
        <is>
          <t>Emergency</t>
        </is>
      </c>
      <c r="G1336" s="29" t="n">
        <v>45833</v>
      </c>
      <c r="H1336" s="29" t="n">
        <v>45834</v>
      </c>
      <c r="I1336" s="30" t="n"/>
      <c r="J1336" t="inlineStr">
        <is>
          <t>R07.9</t>
        </is>
      </c>
      <c r="K1336" t="inlineStr">
        <is>
          <t>Chest pain, unspecified</t>
        </is>
      </c>
      <c r="L1336" t="inlineStr">
        <is>
          <t>Symptoms &amp; Signs</t>
        </is>
      </c>
      <c r="M1336" t="inlineStr">
        <is>
          <t>Home/Self-Care</t>
        </is>
      </c>
      <c r="N1336" t="inlineStr">
        <is>
          <t>Medicare</t>
        </is>
      </c>
      <c r="O1336" s="31" t="n">
        <v>3468.08</v>
      </c>
    </row>
    <row r="1337">
      <c r="A1337" t="inlineStr">
        <is>
          <t>ENC116264</t>
        </is>
      </c>
      <c r="B1337" t="inlineStr">
        <is>
          <t>PT11736</t>
        </is>
      </c>
      <c r="C1337" t="inlineStr">
        <is>
          <t>Inpatient</t>
        </is>
      </c>
      <c r="D1337" t="inlineStr">
        <is>
          <t>Bluestone Memorial Hospital</t>
        </is>
      </c>
      <c r="E1337" t="inlineStr">
        <is>
          <t>Labor &amp; Delivery</t>
        </is>
      </c>
      <c r="F1337" t="inlineStr">
        <is>
          <t>Women &amp; Children</t>
        </is>
      </c>
      <c r="G1337" s="29" t="n">
        <v>45834</v>
      </c>
      <c r="H1337" s="29" t="n">
        <v>45835</v>
      </c>
      <c r="I1337" s="30" t="n">
        <v>1</v>
      </c>
      <c r="J1337" t="inlineStr">
        <is>
          <t>O82</t>
        </is>
      </c>
      <c r="K1337" t="inlineStr">
        <is>
          <t>Encounter for cesarean delivery without indication</t>
        </is>
      </c>
      <c r="L1337" t="inlineStr">
        <is>
          <t>Pregnancy</t>
        </is>
      </c>
      <c r="M1337" t="inlineStr">
        <is>
          <t>Home/Self-Care</t>
        </is>
      </c>
      <c r="N1337" t="inlineStr">
        <is>
          <t>Keystone Health Partners</t>
        </is>
      </c>
      <c r="O1337" s="31" t="n">
        <v>19480.14</v>
      </c>
      <c r="P1337" t="inlineStr">
        <is>
          <t>N</t>
        </is>
      </c>
    </row>
    <row r="1338">
      <c r="A1338" t="inlineStr">
        <is>
          <t>ENC116268</t>
        </is>
      </c>
      <c r="B1338" t="inlineStr">
        <is>
          <t>PT11352</t>
        </is>
      </c>
      <c r="C1338" t="inlineStr">
        <is>
          <t>Outpatient</t>
        </is>
      </c>
      <c r="D1338" t="inlineStr">
        <is>
          <t>Bluestone Outpatient Pavilion</t>
        </is>
      </c>
      <c r="E1338" t="inlineStr">
        <is>
          <t>Endocrinology &amp; Diabetes Clinic</t>
        </is>
      </c>
      <c r="F1338" t="inlineStr">
        <is>
          <t>Ambulatory</t>
        </is>
      </c>
      <c r="G1338" s="29" t="n">
        <v>45834</v>
      </c>
      <c r="H1338" s="29" t="n">
        <v>45834</v>
      </c>
      <c r="I1338" s="30" t="n"/>
      <c r="J1338" t="inlineStr">
        <is>
          <t>E11.9</t>
        </is>
      </c>
      <c r="K1338" t="inlineStr">
        <is>
          <t>Type 2 diabetes mellitus without complications</t>
        </is>
      </c>
      <c r="L1338" t="inlineStr">
        <is>
          <t>Endocrine</t>
        </is>
      </c>
      <c r="M1338" t="inlineStr">
        <is>
          <t>Home/Self-Care</t>
        </is>
      </c>
      <c r="N1338" t="inlineStr">
        <is>
          <t>Evergreen Mutual Insurance</t>
        </is>
      </c>
      <c r="O1338" s="31" t="n">
        <v>551.4299999999999</v>
      </c>
    </row>
    <row r="1339">
      <c r="A1339" t="inlineStr">
        <is>
          <t>ENC116269</t>
        </is>
      </c>
      <c r="B1339" t="inlineStr">
        <is>
          <t>PT13524</t>
        </is>
      </c>
      <c r="C1339" t="inlineStr">
        <is>
          <t>Outpatient</t>
        </is>
      </c>
      <c r="D1339" t="inlineStr">
        <is>
          <t>Bluestone Outpatient Pavilion</t>
        </is>
      </c>
      <c r="E1339" t="inlineStr">
        <is>
          <t>Primary Care Clinic</t>
        </is>
      </c>
      <c r="F1339" t="inlineStr">
        <is>
          <t>Ambulatory</t>
        </is>
      </c>
      <c r="G1339" s="29" t="n">
        <v>45834</v>
      </c>
      <c r="H1339" s="29" t="n">
        <v>45834</v>
      </c>
      <c r="I1339" s="30" t="n"/>
      <c r="J1339" t="inlineStr">
        <is>
          <t>J06.9</t>
        </is>
      </c>
      <c r="K1339" t="inlineStr">
        <is>
          <t>Acute upper respiratory infection, unspecified</t>
        </is>
      </c>
      <c r="L1339" t="inlineStr">
        <is>
          <t>Respiratory</t>
        </is>
      </c>
      <c r="M1339" t="inlineStr">
        <is>
          <t>Home/Self-Care</t>
        </is>
      </c>
      <c r="N1339" t="inlineStr">
        <is>
          <t>Evergreen Mutual Insurance</t>
        </is>
      </c>
      <c r="O1339" s="31" t="n">
        <v>548.4</v>
      </c>
    </row>
    <row r="1340">
      <c r="A1340" t="inlineStr">
        <is>
          <t>ENC116270</t>
        </is>
      </c>
      <c r="B1340" t="inlineStr">
        <is>
          <t>PT12960</t>
        </is>
      </c>
      <c r="C1340" t="inlineStr">
        <is>
          <t>Outpatient</t>
        </is>
      </c>
      <c r="D1340" t="inlineStr">
        <is>
          <t>Bluestone Outpatient Pavilion</t>
        </is>
      </c>
      <c r="E1340" t="inlineStr">
        <is>
          <t>Pediatric Clinic</t>
        </is>
      </c>
      <c r="F1340" t="inlineStr">
        <is>
          <t>Women &amp; Children</t>
        </is>
      </c>
      <c r="G1340" s="29" t="n">
        <v>45834</v>
      </c>
      <c r="H1340" s="29" t="n">
        <v>45834</v>
      </c>
      <c r="I1340" s="30" t="n"/>
      <c r="J1340" t="inlineStr">
        <is>
          <t>Z00.129</t>
        </is>
      </c>
      <c r="K1340" t="inlineStr">
        <is>
          <t>Encounter for routine child health examination without abnormal findings</t>
        </is>
      </c>
      <c r="L1340" t="inlineStr">
        <is>
          <t>Factors Influencing Health</t>
        </is>
      </c>
      <c r="M1340" t="inlineStr">
        <is>
          <t>Home/Self-Care</t>
        </is>
      </c>
      <c r="N1340" t="inlineStr">
        <is>
          <t>Evergreen Mutual Insurance</t>
        </is>
      </c>
      <c r="O1340" s="31" t="n">
        <v>339.51</v>
      </c>
    </row>
    <row r="1341">
      <c r="A1341" t="inlineStr">
        <is>
          <t>ENC116271</t>
        </is>
      </c>
      <c r="B1341" t="inlineStr">
        <is>
          <t>PT13976</t>
        </is>
      </c>
      <c r="C1341" t="inlineStr">
        <is>
          <t>Outpatient</t>
        </is>
      </c>
      <c r="D1341" t="inlineStr">
        <is>
          <t>Bluestone Outpatient Pavilion</t>
        </is>
      </c>
      <c r="E1341" t="inlineStr">
        <is>
          <t>Infusion &amp; Oncology Clinic</t>
        </is>
      </c>
      <c r="F1341" t="inlineStr">
        <is>
          <t>Oncology</t>
        </is>
      </c>
      <c r="G1341" s="29" t="n">
        <v>45834</v>
      </c>
      <c r="H1341" s="29" t="n">
        <v>45834</v>
      </c>
      <c r="I1341" s="30" t="n"/>
      <c r="J1341" t="inlineStr">
        <is>
          <t>Z51.11</t>
        </is>
      </c>
      <c r="K1341" t="inlineStr">
        <is>
          <t>Encounter for antineoplastic chemotherapy</t>
        </is>
      </c>
      <c r="L1341" t="inlineStr">
        <is>
          <t>Factors Influencing Health</t>
        </is>
      </c>
      <c r="M1341" t="inlineStr">
        <is>
          <t>Home/Self-Care</t>
        </is>
      </c>
      <c r="N1341" t="inlineStr">
        <is>
          <t>Medicare</t>
        </is>
      </c>
      <c r="O1341" s="31" t="n">
        <v>10741.85</v>
      </c>
    </row>
    <row r="1342">
      <c r="A1342" t="inlineStr">
        <is>
          <t>ENC116272</t>
        </is>
      </c>
      <c r="B1342" t="inlineStr">
        <is>
          <t>PT12500</t>
        </is>
      </c>
      <c r="C1342" t="inlineStr">
        <is>
          <t>Outpatient</t>
        </is>
      </c>
      <c r="D1342" t="inlineStr">
        <is>
          <t>Bluestone Outpatient Pavilion</t>
        </is>
      </c>
      <c r="E1342" t="inlineStr">
        <is>
          <t>Infusion &amp; Oncology Clinic</t>
        </is>
      </c>
      <c r="F1342" t="inlineStr">
        <is>
          <t>Oncology</t>
        </is>
      </c>
      <c r="G1342" s="29" t="n">
        <v>45834</v>
      </c>
      <c r="H1342" s="29" t="n">
        <v>45834</v>
      </c>
      <c r="I1342" s="30" t="n"/>
      <c r="J1342" t="inlineStr">
        <is>
          <t>Z51.11</t>
        </is>
      </c>
      <c r="K1342" t="inlineStr">
        <is>
          <t>Encounter for antineoplastic chemotherapy</t>
        </is>
      </c>
      <c r="L1342" t="inlineStr">
        <is>
          <t>Factors Influencing Health</t>
        </is>
      </c>
      <c r="M1342" t="inlineStr">
        <is>
          <t>Home/Self-Care</t>
        </is>
      </c>
      <c r="N1342" t="inlineStr">
        <is>
          <t>Summit Choice PPO</t>
        </is>
      </c>
      <c r="O1342" s="31" t="n">
        <v>18169.06</v>
      </c>
    </row>
    <row r="1343">
      <c r="A1343" t="inlineStr">
        <is>
          <t>ENC116278</t>
        </is>
      </c>
      <c r="B1343" t="inlineStr">
        <is>
          <t>PT13832</t>
        </is>
      </c>
      <c r="C1343" t="inlineStr">
        <is>
          <t>Emergency</t>
        </is>
      </c>
      <c r="D1343" t="inlineStr">
        <is>
          <t>Bluestone Memorial Hospital</t>
        </is>
      </c>
      <c r="E1343" t="inlineStr">
        <is>
          <t>Emergency Department</t>
        </is>
      </c>
      <c r="F1343" t="inlineStr">
        <is>
          <t>Emergency</t>
        </is>
      </c>
      <c r="G1343" s="29" t="n">
        <v>45834</v>
      </c>
      <c r="H1343" s="29" t="n">
        <v>45834</v>
      </c>
      <c r="I1343" s="30" t="n"/>
      <c r="J1343" t="inlineStr">
        <is>
          <t>R10.9</t>
        </is>
      </c>
      <c r="K1343" t="inlineStr">
        <is>
          <t>Unspecified abdominal pain</t>
        </is>
      </c>
      <c r="L1343" t="inlineStr">
        <is>
          <t>Symptoms &amp; Signs</t>
        </is>
      </c>
      <c r="M1343" t="inlineStr">
        <is>
          <t>Home/Self-Care</t>
        </is>
      </c>
      <c r="N1343" t="inlineStr">
        <is>
          <t>Medicare</t>
        </is>
      </c>
      <c r="O1343" s="31" t="n">
        <v>4252.72</v>
      </c>
    </row>
    <row r="1344">
      <c r="A1344" t="inlineStr">
        <is>
          <t>ENC116280</t>
        </is>
      </c>
      <c r="B1344" t="inlineStr">
        <is>
          <t>PT12604</t>
        </is>
      </c>
      <c r="C1344" t="inlineStr">
        <is>
          <t>Outpatient</t>
        </is>
      </c>
      <c r="D1344" t="inlineStr">
        <is>
          <t>Bluestone Outpatient Pavilion</t>
        </is>
      </c>
      <c r="E1344" t="inlineStr">
        <is>
          <t>Primary Care Clinic</t>
        </is>
      </c>
      <c r="F1344" t="inlineStr">
        <is>
          <t>Ambulatory</t>
        </is>
      </c>
      <c r="G1344" s="29" t="n">
        <v>45834</v>
      </c>
      <c r="H1344" s="29" t="n">
        <v>45834</v>
      </c>
      <c r="I1344" s="30" t="n"/>
      <c r="J1344" t="inlineStr">
        <is>
          <t>I10</t>
        </is>
      </c>
      <c r="K1344" t="inlineStr">
        <is>
          <t>Essential (primary) hypertension</t>
        </is>
      </c>
      <c r="L1344" t="inlineStr">
        <is>
          <t>Circulatory</t>
        </is>
      </c>
      <c r="M1344" t="inlineStr">
        <is>
          <t>Home/Self-Care</t>
        </is>
      </c>
      <c r="N1344" t="inlineStr">
        <is>
          <t>Keystone Health Partners</t>
        </is>
      </c>
      <c r="O1344" s="31" t="n">
        <v>208.47</v>
      </c>
    </row>
    <row r="1345">
      <c r="A1345" t="inlineStr">
        <is>
          <t>ENC116283</t>
        </is>
      </c>
      <c r="B1345" t="inlineStr">
        <is>
          <t>PT12160</t>
        </is>
      </c>
      <c r="C1345" t="inlineStr">
        <is>
          <t>Outpatient</t>
        </is>
      </c>
      <c r="D1345" t="inlineStr">
        <is>
          <t>Bluestone Outpatient Pavilion</t>
        </is>
      </c>
      <c r="E1345" t="inlineStr">
        <is>
          <t>Endocrinology &amp; Diabetes Clinic</t>
        </is>
      </c>
      <c r="F1345" t="inlineStr">
        <is>
          <t>Ambulatory</t>
        </is>
      </c>
      <c r="G1345" s="29" t="n">
        <v>45834</v>
      </c>
      <c r="H1345" s="29" t="n">
        <v>45834</v>
      </c>
      <c r="I1345" s="30" t="n"/>
      <c r="J1345" t="inlineStr">
        <is>
          <t>E11.9</t>
        </is>
      </c>
      <c r="K1345" t="inlineStr">
        <is>
          <t>Type 2 diabetes mellitus without complications</t>
        </is>
      </c>
      <c r="L1345" t="inlineStr">
        <is>
          <t>Endocrine</t>
        </is>
      </c>
      <c r="M1345" t="inlineStr">
        <is>
          <t>Home/Self-Care</t>
        </is>
      </c>
      <c r="N1345" t="inlineStr">
        <is>
          <t>State Medicaid</t>
        </is>
      </c>
      <c r="O1345" s="31" t="n">
        <v>657.17</v>
      </c>
    </row>
    <row r="1346">
      <c r="A1346" t="inlineStr">
        <is>
          <t>ENC116285</t>
        </is>
      </c>
      <c r="B1346" t="inlineStr">
        <is>
          <t>PT12220</t>
        </is>
      </c>
      <c r="C1346" t="inlineStr">
        <is>
          <t>Outpatient</t>
        </is>
      </c>
      <c r="D1346" t="inlineStr">
        <is>
          <t>Bluestone Outpatient Pavilion</t>
        </is>
      </c>
      <c r="E1346" t="inlineStr">
        <is>
          <t>Orthopedic Clinic</t>
        </is>
      </c>
      <c r="F1346" t="inlineStr">
        <is>
          <t>Orthopedics</t>
        </is>
      </c>
      <c r="G1346" s="29" t="n">
        <v>45834</v>
      </c>
      <c r="H1346" s="29" t="n">
        <v>45834</v>
      </c>
      <c r="I1346" s="30" t="n"/>
      <c r="J1346" t="inlineStr">
        <is>
          <t>S93.401A</t>
        </is>
      </c>
      <c r="K1346" t="inlineStr">
        <is>
          <t>Sprain of unspecified ligament of right ankle, initial encounter</t>
        </is>
      </c>
      <c r="L1346" t="inlineStr">
        <is>
          <t>Injury</t>
        </is>
      </c>
      <c r="M1346" t="inlineStr">
        <is>
          <t>Home/Self-Care</t>
        </is>
      </c>
      <c r="N1346" t="inlineStr">
        <is>
          <t>Keystone Health Partners</t>
        </is>
      </c>
      <c r="O1346" s="31" t="n">
        <v>245.9</v>
      </c>
    </row>
    <row r="1347">
      <c r="A1347" t="inlineStr">
        <is>
          <t>ENC116294</t>
        </is>
      </c>
      <c r="B1347" t="inlineStr">
        <is>
          <t>PT12532</t>
        </is>
      </c>
      <c r="C1347" t="inlineStr">
        <is>
          <t>Inpatient</t>
        </is>
      </c>
      <c r="D1347" t="inlineStr">
        <is>
          <t>Bluestone Memorial Hospital</t>
        </is>
      </c>
      <c r="E1347" t="inlineStr">
        <is>
          <t>Medical-Surgical 4 West</t>
        </is>
      </c>
      <c r="F1347" t="inlineStr">
        <is>
          <t>Medicine</t>
        </is>
      </c>
      <c r="G1347" s="29" t="n">
        <v>45834</v>
      </c>
      <c r="H1347" s="29" t="n">
        <v>45838</v>
      </c>
      <c r="I1347" s="30" t="n">
        <v>4</v>
      </c>
      <c r="J1347" t="inlineStr">
        <is>
          <t>N39.0</t>
        </is>
      </c>
      <c r="K1347" t="inlineStr">
        <is>
          <t>Urinary tract infection, site not specified</t>
        </is>
      </c>
      <c r="L1347" t="inlineStr">
        <is>
          <t>Genitourinary</t>
        </is>
      </c>
      <c r="M1347" t="inlineStr">
        <is>
          <t>Transfer to Another Hospital</t>
        </is>
      </c>
      <c r="N1347" t="inlineStr">
        <is>
          <t>Keystone Health Partners</t>
        </is>
      </c>
      <c r="O1347" s="31" t="n">
        <v>23945.87</v>
      </c>
      <c r="P1347" t="inlineStr">
        <is>
          <t>Y</t>
        </is>
      </c>
    </row>
    <row r="1348">
      <c r="A1348" t="inlineStr">
        <is>
          <t>ENC116295</t>
        </is>
      </c>
      <c r="B1348" t="inlineStr">
        <is>
          <t>PT12380</t>
        </is>
      </c>
      <c r="C1348" t="inlineStr">
        <is>
          <t>Emergency</t>
        </is>
      </c>
      <c r="D1348" t="inlineStr">
        <is>
          <t>Bluestone Memorial Hospital</t>
        </is>
      </c>
      <c r="E1348" t="inlineStr">
        <is>
          <t>Emergency Department</t>
        </is>
      </c>
      <c r="F1348" t="inlineStr">
        <is>
          <t>Emergency</t>
        </is>
      </c>
      <c r="G1348" s="29" t="n">
        <v>45834</v>
      </c>
      <c r="H1348" s="29" t="n">
        <v>45834</v>
      </c>
      <c r="I1348" s="30" t="n"/>
      <c r="J1348" t="inlineStr">
        <is>
          <t>I10</t>
        </is>
      </c>
      <c r="K1348" t="inlineStr">
        <is>
          <t>Essential (primary) hypertension</t>
        </is>
      </c>
      <c r="L1348" t="inlineStr">
        <is>
          <t>Circulatory</t>
        </is>
      </c>
      <c r="M1348" t="inlineStr">
        <is>
          <t>Home/Self-Care</t>
        </is>
      </c>
      <c r="N1348" t="inlineStr">
        <is>
          <t>Keystone Health Partners</t>
        </is>
      </c>
      <c r="O1348" s="31" t="n">
        <v>2616.26</v>
      </c>
    </row>
    <row r="1349">
      <c r="A1349" t="inlineStr">
        <is>
          <t>ENC116298</t>
        </is>
      </c>
      <c r="B1349" t="inlineStr">
        <is>
          <t>PT11300</t>
        </is>
      </c>
      <c r="C1349" t="inlineStr">
        <is>
          <t>Inpatient</t>
        </is>
      </c>
      <c r="D1349" t="inlineStr">
        <is>
          <t>Bluestone Memorial Hospital</t>
        </is>
      </c>
      <c r="E1349" t="inlineStr">
        <is>
          <t>Cardiac Step-Down</t>
        </is>
      </c>
      <c r="F1349" t="inlineStr">
        <is>
          <t>Cardiovascular</t>
        </is>
      </c>
      <c r="G1349" s="29" t="n">
        <v>45834</v>
      </c>
      <c r="H1349" s="29" t="n">
        <v>45842</v>
      </c>
      <c r="I1349" s="30" t="n">
        <v>8</v>
      </c>
      <c r="J1349" t="inlineStr">
        <is>
          <t>I21.4</t>
        </is>
      </c>
      <c r="K1349" t="inlineStr">
        <is>
          <t>Non-ST elevation (NSTEMI) myocardial infarction</t>
        </is>
      </c>
      <c r="L1349" t="inlineStr">
        <is>
          <t>Circulatory</t>
        </is>
      </c>
      <c r="M1349" t="inlineStr">
        <is>
          <t>Skilled Nursing Facility</t>
        </is>
      </c>
      <c r="N1349" t="inlineStr">
        <is>
          <t>Keystone Health Partners</t>
        </is>
      </c>
      <c r="O1349" s="31" t="n">
        <v>64752.24</v>
      </c>
      <c r="P1349" t="inlineStr">
        <is>
          <t>N</t>
        </is>
      </c>
    </row>
    <row r="1350">
      <c r="A1350" t="inlineStr">
        <is>
          <t>ENC116300</t>
        </is>
      </c>
      <c r="B1350" t="inlineStr">
        <is>
          <t>PT12612</t>
        </is>
      </c>
      <c r="C1350" t="inlineStr">
        <is>
          <t>Emergency</t>
        </is>
      </c>
      <c r="D1350" t="inlineStr">
        <is>
          <t>Ashby Falls Community Hospital</t>
        </is>
      </c>
      <c r="E1350" t="inlineStr">
        <is>
          <t>Emergency Department</t>
        </is>
      </c>
      <c r="F1350" t="inlineStr">
        <is>
          <t>Emergency</t>
        </is>
      </c>
      <c r="G1350" s="29" t="n">
        <v>45834</v>
      </c>
      <c r="H1350" s="29" t="n">
        <v>45835</v>
      </c>
      <c r="I1350" s="30" t="n"/>
      <c r="J1350" t="inlineStr">
        <is>
          <t>R07.9</t>
        </is>
      </c>
      <c r="K1350" t="inlineStr">
        <is>
          <t>Chest pain, unspecified</t>
        </is>
      </c>
      <c r="L1350" t="inlineStr">
        <is>
          <t>Symptoms &amp; Signs</t>
        </is>
      </c>
      <c r="M1350" t="inlineStr">
        <is>
          <t>Home/Self-Care</t>
        </is>
      </c>
      <c r="N1350" t="inlineStr">
        <is>
          <t>Evergreen Mutual Insurance</t>
        </is>
      </c>
      <c r="O1350" s="31" t="n">
        <v>2607.63</v>
      </c>
    </row>
    <row r="1351">
      <c r="A1351" t="inlineStr">
        <is>
          <t>ENC116301</t>
        </is>
      </c>
      <c r="B1351" t="inlineStr">
        <is>
          <t>PT13348</t>
        </is>
      </c>
      <c r="C1351" t="inlineStr">
        <is>
          <t>Inpatient</t>
        </is>
      </c>
      <c r="D1351" t="inlineStr">
        <is>
          <t>Bluestone Memorial Hospital</t>
        </is>
      </c>
      <c r="E1351" t="inlineStr">
        <is>
          <t>Cardiac Step-Down</t>
        </is>
      </c>
      <c r="F1351" t="inlineStr">
        <is>
          <t>Cardiovascular</t>
        </is>
      </c>
      <c r="G1351" s="29" t="n">
        <v>45835</v>
      </c>
      <c r="H1351" s="29" t="n">
        <v>45836</v>
      </c>
      <c r="I1351" s="30" t="n">
        <v>1</v>
      </c>
      <c r="J1351" t="inlineStr">
        <is>
          <t>I21.4</t>
        </is>
      </c>
      <c r="K1351" t="inlineStr">
        <is>
          <t>Non-ST elevation (NSTEMI) myocardial infarction</t>
        </is>
      </c>
      <c r="L1351" t="inlineStr">
        <is>
          <t>Circulatory</t>
        </is>
      </c>
      <c r="M1351" t="inlineStr">
        <is>
          <t>Home/Self-Care</t>
        </is>
      </c>
      <c r="N1351" t="inlineStr">
        <is>
          <t>Self-Pay</t>
        </is>
      </c>
      <c r="O1351" s="31" t="n">
        <v>50210.49</v>
      </c>
      <c r="P1351" t="inlineStr">
        <is>
          <t>N</t>
        </is>
      </c>
    </row>
    <row r="1352">
      <c r="A1352" t="inlineStr">
        <is>
          <t>ENC116304</t>
        </is>
      </c>
      <c r="B1352" t="inlineStr">
        <is>
          <t>PT12236</t>
        </is>
      </c>
      <c r="C1352" t="inlineStr">
        <is>
          <t>Emergency</t>
        </is>
      </c>
      <c r="D1352" t="inlineStr">
        <is>
          <t>Bluestone Memorial Hospital</t>
        </is>
      </c>
      <c r="E1352" t="inlineStr">
        <is>
          <t>Emergency Department</t>
        </is>
      </c>
      <c r="F1352" t="inlineStr">
        <is>
          <t>Emergency</t>
        </is>
      </c>
      <c r="G1352" s="29" t="n">
        <v>45834</v>
      </c>
      <c r="H1352" s="29" t="n">
        <v>45835</v>
      </c>
      <c r="I1352" s="30" t="n"/>
      <c r="J1352" t="inlineStr">
        <is>
          <t>J45.909</t>
        </is>
      </c>
      <c r="K1352" t="inlineStr">
        <is>
          <t>Unspecified asthma, uncomplicated</t>
        </is>
      </c>
      <c r="L1352" t="inlineStr">
        <is>
          <t>Respiratory</t>
        </is>
      </c>
      <c r="M1352" t="inlineStr">
        <is>
          <t>Home/Self-Care</t>
        </is>
      </c>
      <c r="N1352" t="inlineStr">
        <is>
          <t>Keystone Health Partners</t>
        </is>
      </c>
      <c r="O1352" s="31" t="n">
        <v>3288.6</v>
      </c>
    </row>
    <row r="1353">
      <c r="A1353" t="inlineStr">
        <is>
          <t>ENC116305</t>
        </is>
      </c>
      <c r="B1353" t="inlineStr">
        <is>
          <t>PT13340</t>
        </is>
      </c>
      <c r="C1353" t="inlineStr">
        <is>
          <t>Inpatient</t>
        </is>
      </c>
      <c r="D1353" t="inlineStr">
        <is>
          <t>Bluestone Memorial Hospital</t>
        </is>
      </c>
      <c r="E1353" t="inlineStr">
        <is>
          <t>Medical-Surgical 4 West</t>
        </is>
      </c>
      <c r="F1353" t="inlineStr">
        <is>
          <t>Medicine</t>
        </is>
      </c>
      <c r="G1353" s="29" t="n">
        <v>45835</v>
      </c>
      <c r="H1353" s="29" t="n">
        <v>45840</v>
      </c>
      <c r="I1353" s="30" t="n">
        <v>5</v>
      </c>
      <c r="J1353" t="inlineStr">
        <is>
          <t>A41.9</t>
        </is>
      </c>
      <c r="K1353" t="inlineStr">
        <is>
          <t>Sepsis, unspecified organism</t>
        </is>
      </c>
      <c r="L1353" t="inlineStr">
        <is>
          <t>Infectious</t>
        </is>
      </c>
      <c r="M1353" t="inlineStr">
        <is>
          <t>Home Health</t>
        </is>
      </c>
      <c r="N1353" t="inlineStr">
        <is>
          <t>Evergreen Mutual Insurance</t>
        </is>
      </c>
      <c r="O1353" s="31" t="n">
        <v>57174.83</v>
      </c>
      <c r="P1353" t="inlineStr">
        <is>
          <t>N</t>
        </is>
      </c>
    </row>
    <row r="1354">
      <c r="A1354" t="inlineStr">
        <is>
          <t>ENC116307</t>
        </is>
      </c>
      <c r="B1354" t="inlineStr">
        <is>
          <t>PT11532</t>
        </is>
      </c>
      <c r="C1354" t="inlineStr">
        <is>
          <t>Inpatient</t>
        </is>
      </c>
      <c r="D1354" t="inlineStr">
        <is>
          <t>Bluestone Memorial Hospital</t>
        </is>
      </c>
      <c r="E1354" t="inlineStr">
        <is>
          <t>Cardiac Step-Down</t>
        </is>
      </c>
      <c r="F1354" t="inlineStr">
        <is>
          <t>Cardiovascular</t>
        </is>
      </c>
      <c r="G1354" s="29" t="n">
        <v>45835</v>
      </c>
      <c r="H1354" s="29" t="n">
        <v>45844</v>
      </c>
      <c r="I1354" s="30" t="n">
        <v>9</v>
      </c>
      <c r="J1354" t="inlineStr">
        <is>
          <t>I50.9</t>
        </is>
      </c>
      <c r="K1354" t="inlineStr">
        <is>
          <t>Heart failure, unspecified</t>
        </is>
      </c>
      <c r="L1354" t="inlineStr">
        <is>
          <t>Circulatory</t>
        </is>
      </c>
      <c r="M1354" t="inlineStr">
        <is>
          <t>Home/Self-Care</t>
        </is>
      </c>
      <c r="N1354" t="inlineStr">
        <is>
          <t>Medicare</t>
        </is>
      </c>
      <c r="O1354" s="31" t="n">
        <v>57822.18</v>
      </c>
      <c r="P1354" t="inlineStr">
        <is>
          <t>N</t>
        </is>
      </c>
    </row>
    <row r="1355">
      <c r="A1355" t="inlineStr">
        <is>
          <t>ENC116315</t>
        </is>
      </c>
      <c r="B1355" t="inlineStr">
        <is>
          <t>PT11948</t>
        </is>
      </c>
      <c r="C1355" t="inlineStr">
        <is>
          <t>Outpatient</t>
        </is>
      </c>
      <c r="D1355" t="inlineStr">
        <is>
          <t>Bluestone Outpatient Pavilion</t>
        </is>
      </c>
      <c r="E1355" t="inlineStr">
        <is>
          <t>Primary Care Clinic</t>
        </is>
      </c>
      <c r="F1355" t="inlineStr">
        <is>
          <t>Ambulatory</t>
        </is>
      </c>
      <c r="G1355" s="29" t="n">
        <v>45835</v>
      </c>
      <c r="H1355" s="29" t="n">
        <v>45835</v>
      </c>
      <c r="I1355" s="30" t="n"/>
      <c r="J1355" t="inlineStr">
        <is>
          <t>J06.9</t>
        </is>
      </c>
      <c r="K1355" t="inlineStr">
        <is>
          <t>Acute upper respiratory infection, unspecified</t>
        </is>
      </c>
      <c r="L1355" t="inlineStr">
        <is>
          <t>Respiratory</t>
        </is>
      </c>
      <c r="M1355" t="inlineStr">
        <is>
          <t>Home/Self-Care</t>
        </is>
      </c>
      <c r="N1355" t="inlineStr">
        <is>
          <t>Medicare</t>
        </is>
      </c>
      <c r="O1355" s="31" t="n">
        <v>176.72</v>
      </c>
    </row>
    <row r="1356">
      <c r="A1356" t="inlineStr">
        <is>
          <t>ENC116319</t>
        </is>
      </c>
      <c r="B1356" t="inlineStr">
        <is>
          <t>PT12788</t>
        </is>
      </c>
      <c r="C1356" t="inlineStr">
        <is>
          <t>Outpatient</t>
        </is>
      </c>
      <c r="D1356" t="inlineStr">
        <is>
          <t>Bluestone Outpatient Pavilion</t>
        </is>
      </c>
      <c r="E1356" t="inlineStr">
        <is>
          <t>Primary Care Clinic</t>
        </is>
      </c>
      <c r="F1356" t="inlineStr">
        <is>
          <t>Ambulatory</t>
        </is>
      </c>
      <c r="G1356" s="29" t="n">
        <v>45835</v>
      </c>
      <c r="H1356" s="29" t="n">
        <v>45835</v>
      </c>
      <c r="I1356" s="30" t="n"/>
      <c r="J1356" t="inlineStr">
        <is>
          <t>I10</t>
        </is>
      </c>
      <c r="K1356" t="inlineStr">
        <is>
          <t>Essential (primary) hypertension</t>
        </is>
      </c>
      <c r="L1356" t="inlineStr">
        <is>
          <t>Circulatory</t>
        </is>
      </c>
      <c r="M1356" t="inlineStr">
        <is>
          <t>Home/Self-Care</t>
        </is>
      </c>
      <c r="N1356" t="inlineStr">
        <is>
          <t>Silverline Medicare Advantage</t>
        </is>
      </c>
      <c r="O1356" s="31" t="n">
        <v>458.96</v>
      </c>
    </row>
    <row r="1357">
      <c r="A1357" t="inlineStr">
        <is>
          <t>ENC116321</t>
        </is>
      </c>
      <c r="B1357" t="inlineStr">
        <is>
          <t>PT11348</t>
        </is>
      </c>
      <c r="C1357" t="inlineStr">
        <is>
          <t>Inpatient</t>
        </is>
      </c>
      <c r="D1357" t="inlineStr">
        <is>
          <t>Cedar Ridge Medical Center</t>
        </is>
      </c>
      <c r="E1357" t="inlineStr">
        <is>
          <t>Intensive Care Unit</t>
        </is>
      </c>
      <c r="F1357" t="inlineStr">
        <is>
          <t>Critical Care</t>
        </is>
      </c>
      <c r="G1357" s="29" t="n">
        <v>45835</v>
      </c>
      <c r="H1357" s="29" t="n">
        <v>45849</v>
      </c>
      <c r="I1357" s="30" t="n">
        <v>14</v>
      </c>
      <c r="J1357" t="inlineStr">
        <is>
          <t>A41.9</t>
        </is>
      </c>
      <c r="K1357" t="inlineStr">
        <is>
          <t>Sepsis, unspecified organism</t>
        </is>
      </c>
      <c r="L1357" t="inlineStr">
        <is>
          <t>Infectious</t>
        </is>
      </c>
      <c r="M1357" t="inlineStr">
        <is>
          <t>Home/Self-Care</t>
        </is>
      </c>
      <c r="N1357" t="inlineStr">
        <is>
          <t>Evergreen Mutual Insurance</t>
        </is>
      </c>
      <c r="O1357" s="31" t="n">
        <v>118752.41</v>
      </c>
      <c r="P1357" t="inlineStr">
        <is>
          <t>N</t>
        </is>
      </c>
    </row>
    <row r="1358">
      <c r="A1358" t="inlineStr">
        <is>
          <t>ENC116326</t>
        </is>
      </c>
      <c r="B1358" t="inlineStr">
        <is>
          <t>PT11356</t>
        </is>
      </c>
      <c r="C1358" t="inlineStr">
        <is>
          <t>Emergency</t>
        </is>
      </c>
      <c r="D1358" t="inlineStr">
        <is>
          <t>Bluestone Memorial Hospital</t>
        </is>
      </c>
      <c r="E1358" t="inlineStr">
        <is>
          <t>Emergency Department</t>
        </is>
      </c>
      <c r="F1358" t="inlineStr">
        <is>
          <t>Emergency</t>
        </is>
      </c>
      <c r="G1358" s="29" t="n">
        <v>45835</v>
      </c>
      <c r="H1358" s="29" t="n">
        <v>45835</v>
      </c>
      <c r="I1358" s="30" t="n"/>
      <c r="J1358" t="inlineStr">
        <is>
          <t>L03.115</t>
        </is>
      </c>
      <c r="K1358" t="inlineStr">
        <is>
          <t>Cellulitis of right lower limb</t>
        </is>
      </c>
      <c r="L1358" t="inlineStr">
        <is>
          <t>Skin</t>
        </is>
      </c>
      <c r="M1358" t="inlineStr">
        <is>
          <t>Home/Self-Care</t>
        </is>
      </c>
      <c r="N1358" t="inlineStr">
        <is>
          <t>Evergreen Mutual Insurance</t>
        </is>
      </c>
      <c r="O1358" s="31" t="n">
        <v>2412.83</v>
      </c>
    </row>
    <row r="1359">
      <c r="A1359" t="inlineStr">
        <is>
          <t>ENC116336</t>
        </is>
      </c>
      <c r="B1359" t="inlineStr">
        <is>
          <t>PT12788</t>
        </is>
      </c>
      <c r="C1359" t="inlineStr">
        <is>
          <t>Inpatient</t>
        </is>
      </c>
      <c r="D1359" t="inlineStr">
        <is>
          <t>Ashby Falls Community Hospital</t>
        </is>
      </c>
      <c r="E1359" t="inlineStr">
        <is>
          <t>Medical-Surgical</t>
        </is>
      </c>
      <c r="F1359" t="inlineStr">
        <is>
          <t>Medicine</t>
        </is>
      </c>
      <c r="G1359" s="29" t="n">
        <v>45836</v>
      </c>
      <c r="H1359" s="29" t="n">
        <v>45844</v>
      </c>
      <c r="I1359" s="30" t="n">
        <v>8</v>
      </c>
      <c r="J1359" t="inlineStr">
        <is>
          <t>U07.1</t>
        </is>
      </c>
      <c r="K1359" t="inlineStr">
        <is>
          <t>COVID-19</t>
        </is>
      </c>
      <c r="L1359" t="inlineStr">
        <is>
          <t>Respiratory</t>
        </is>
      </c>
      <c r="M1359" t="inlineStr">
        <is>
          <t>Home/Self-Care</t>
        </is>
      </c>
      <c r="N1359" t="inlineStr">
        <is>
          <t>Silverline Medicare Advantage</t>
        </is>
      </c>
      <c r="O1359" s="31" t="n">
        <v>34003.83</v>
      </c>
      <c r="P1359" t="inlineStr">
        <is>
          <t>N</t>
        </is>
      </c>
    </row>
    <row r="1360">
      <c r="A1360" t="inlineStr">
        <is>
          <t>ENC116338</t>
        </is>
      </c>
      <c r="B1360" t="inlineStr">
        <is>
          <t>PT11320</t>
        </is>
      </c>
      <c r="C1360" t="inlineStr">
        <is>
          <t>Emergency</t>
        </is>
      </c>
      <c r="D1360" t="inlineStr">
        <is>
          <t>Bluestone Memorial Hospital</t>
        </is>
      </c>
      <c r="E1360" t="inlineStr">
        <is>
          <t>Emergency Department</t>
        </is>
      </c>
      <c r="F1360" t="inlineStr">
        <is>
          <t>Emergency</t>
        </is>
      </c>
      <c r="G1360" s="29" t="n">
        <v>45836</v>
      </c>
      <c r="H1360" s="29" t="n">
        <v>45836</v>
      </c>
      <c r="I1360" s="30" t="n"/>
      <c r="J1360" t="inlineStr">
        <is>
          <t>J44.1</t>
        </is>
      </c>
      <c r="K1360" t="inlineStr">
        <is>
          <t>Chronic obstructive pulmonary disease with (acute) exacerbation</t>
        </is>
      </c>
      <c r="L1360" t="inlineStr">
        <is>
          <t>Respiratory</t>
        </is>
      </c>
      <c r="M1360" t="inlineStr">
        <is>
          <t>Home/Self-Care</t>
        </is>
      </c>
      <c r="N1360" t="inlineStr">
        <is>
          <t>Medicare</t>
        </is>
      </c>
      <c r="O1360" s="31" t="n">
        <v>3079.56</v>
      </c>
    </row>
    <row r="1361">
      <c r="A1361" t="inlineStr">
        <is>
          <t>ENC116349</t>
        </is>
      </c>
      <c r="B1361" t="inlineStr">
        <is>
          <t>PT13780</t>
        </is>
      </c>
      <c r="C1361" t="inlineStr">
        <is>
          <t>Emergency</t>
        </is>
      </c>
      <c r="D1361" t="inlineStr">
        <is>
          <t>Bluestone Memorial Hospital</t>
        </is>
      </c>
      <c r="E1361" t="inlineStr">
        <is>
          <t>Emergency Department</t>
        </is>
      </c>
      <c r="F1361" t="inlineStr">
        <is>
          <t>Emergency</t>
        </is>
      </c>
      <c r="G1361" s="29" t="n">
        <v>45836</v>
      </c>
      <c r="H1361" s="29" t="n">
        <v>45836</v>
      </c>
      <c r="I1361" s="30" t="n"/>
      <c r="J1361" t="inlineStr">
        <is>
          <t>G43.909</t>
        </is>
      </c>
      <c r="K1361" t="inlineStr">
        <is>
          <t>Migraine, unspecified, not intractable, without status migrainosus</t>
        </is>
      </c>
      <c r="L1361" t="inlineStr">
        <is>
          <t>Nervous System</t>
        </is>
      </c>
      <c r="M1361" t="inlineStr">
        <is>
          <t>Home/Self-Care</t>
        </is>
      </c>
      <c r="N1361" t="inlineStr">
        <is>
          <t>Summit Choice PPO</t>
        </is>
      </c>
      <c r="O1361" s="31" t="n">
        <v>1293.79</v>
      </c>
    </row>
    <row r="1362">
      <c r="A1362" t="inlineStr">
        <is>
          <t>ENC116352</t>
        </is>
      </c>
      <c r="B1362" t="inlineStr">
        <is>
          <t>PT12260</t>
        </is>
      </c>
      <c r="C1362" t="inlineStr">
        <is>
          <t>Emergency</t>
        </is>
      </c>
      <c r="D1362" t="inlineStr">
        <is>
          <t>Ashby Falls Community Hospital</t>
        </is>
      </c>
      <c r="E1362" t="inlineStr">
        <is>
          <t>Emergency Department</t>
        </is>
      </c>
      <c r="F1362" t="inlineStr">
        <is>
          <t>Emergency</t>
        </is>
      </c>
      <c r="G1362" s="29" t="n">
        <v>45836</v>
      </c>
      <c r="H1362" s="29" t="n">
        <v>45836</v>
      </c>
      <c r="I1362" s="30" t="n"/>
      <c r="J1362" t="inlineStr">
        <is>
          <t>S06.0X0A</t>
        </is>
      </c>
      <c r="K1362" t="inlineStr">
        <is>
          <t>Concussion without loss of consciousness, initial encounter</t>
        </is>
      </c>
      <c r="L1362" t="inlineStr">
        <is>
          <t>Injury</t>
        </is>
      </c>
      <c r="M1362" t="inlineStr">
        <is>
          <t>Home/Self-Care</t>
        </is>
      </c>
      <c r="N1362" t="inlineStr">
        <is>
          <t>Silverline Medicare Advantage</t>
        </is>
      </c>
      <c r="O1362" s="31" t="n">
        <v>1116.75</v>
      </c>
    </row>
    <row r="1363">
      <c r="A1363" t="inlineStr">
        <is>
          <t>ENC116365</t>
        </is>
      </c>
      <c r="B1363" t="inlineStr">
        <is>
          <t>PT12320</t>
        </is>
      </c>
      <c r="C1363" t="inlineStr">
        <is>
          <t>Observation</t>
        </is>
      </c>
      <c r="D1363" t="inlineStr">
        <is>
          <t>Bluestone Memorial Hospital</t>
        </is>
      </c>
      <c r="E1363" t="inlineStr">
        <is>
          <t>Observation Unit</t>
        </is>
      </c>
      <c r="F1363" t="inlineStr">
        <is>
          <t>Medicine</t>
        </is>
      </c>
      <c r="G1363" s="29" t="n">
        <v>45837</v>
      </c>
      <c r="H1363" s="29" t="n">
        <v>45838</v>
      </c>
      <c r="I1363" s="30" t="n">
        <v>1</v>
      </c>
      <c r="J1363" t="inlineStr">
        <is>
          <t>A08.4</t>
        </is>
      </c>
      <c r="K1363" t="inlineStr">
        <is>
          <t>Viral intestinal infection, unspecified</t>
        </is>
      </c>
      <c r="L1363" t="inlineStr">
        <is>
          <t>Infectious</t>
        </is>
      </c>
      <c r="M1363" t="inlineStr">
        <is>
          <t>Home/Self-Care</t>
        </is>
      </c>
      <c r="N1363" t="inlineStr">
        <is>
          <t>Medicare</t>
        </is>
      </c>
      <c r="O1363" s="31" t="n">
        <v>3763.43</v>
      </c>
    </row>
    <row r="1364">
      <c r="A1364" t="inlineStr">
        <is>
          <t>ENC116375</t>
        </is>
      </c>
      <c r="B1364" t="inlineStr">
        <is>
          <t>PT12512</t>
        </is>
      </c>
      <c r="C1364" t="inlineStr">
        <is>
          <t>Outpatient</t>
        </is>
      </c>
      <c r="D1364" t="inlineStr">
        <is>
          <t>Bluestone Outpatient Pavilion</t>
        </is>
      </c>
      <c r="E1364" t="inlineStr">
        <is>
          <t>Primary Care Clinic</t>
        </is>
      </c>
      <c r="F1364" t="inlineStr">
        <is>
          <t>Ambulatory</t>
        </is>
      </c>
      <c r="G1364" s="29" t="n">
        <v>45838</v>
      </c>
      <c r="H1364" s="29" t="n">
        <v>45838</v>
      </c>
      <c r="I1364" s="30" t="n"/>
      <c r="J1364" t="inlineStr">
        <is>
          <t>G43.909</t>
        </is>
      </c>
      <c r="K1364" t="inlineStr">
        <is>
          <t>Migraine, unspecified, not intractable, without status migrainosus</t>
        </is>
      </c>
      <c r="L1364" t="inlineStr">
        <is>
          <t>Nervous System</t>
        </is>
      </c>
      <c r="M1364" t="inlineStr">
        <is>
          <t>Home/Self-Care</t>
        </is>
      </c>
      <c r="N1364" t="inlineStr">
        <is>
          <t>Keystone Health Partners</t>
        </is>
      </c>
      <c r="O1364" s="31" t="n">
        <v>219.42</v>
      </c>
    </row>
    <row r="1365">
      <c r="A1365" t="inlineStr">
        <is>
          <t>ENC116376</t>
        </is>
      </c>
      <c r="B1365" t="inlineStr">
        <is>
          <t>PT10572</t>
        </is>
      </c>
      <c r="C1365" t="inlineStr">
        <is>
          <t>Outpatient</t>
        </is>
      </c>
      <c r="D1365" t="inlineStr">
        <is>
          <t>Bluestone Outpatient Pavilion</t>
        </is>
      </c>
      <c r="E1365" t="inlineStr">
        <is>
          <t>Primary Care Clinic</t>
        </is>
      </c>
      <c r="F1365" t="inlineStr">
        <is>
          <t>Ambulatory</t>
        </is>
      </c>
      <c r="G1365" s="29" t="n">
        <v>45838</v>
      </c>
      <c r="H1365" s="29" t="n">
        <v>45838</v>
      </c>
      <c r="I1365" s="30" t="n"/>
      <c r="J1365" t="inlineStr">
        <is>
          <t>J45.909</t>
        </is>
      </c>
      <c r="K1365" t="inlineStr">
        <is>
          <t>Unspecified asthma, uncomplicated</t>
        </is>
      </c>
      <c r="L1365" t="inlineStr">
        <is>
          <t>Respiratory</t>
        </is>
      </c>
      <c r="M1365" t="inlineStr">
        <is>
          <t>Home/Self-Care</t>
        </is>
      </c>
      <c r="N1365" t="inlineStr">
        <is>
          <t>Evergreen Mutual Insurance</t>
        </is>
      </c>
      <c r="O1365" s="31" t="n">
        <v>367.14</v>
      </c>
    </row>
    <row r="1366">
      <c r="A1366" t="inlineStr">
        <is>
          <t>ENC116382</t>
        </is>
      </c>
      <c r="B1366" t="inlineStr">
        <is>
          <t>PT13624</t>
        </is>
      </c>
      <c r="C1366" t="inlineStr">
        <is>
          <t>Outpatient</t>
        </is>
      </c>
      <c r="D1366" t="inlineStr">
        <is>
          <t>Bluestone Outpatient Pavilion</t>
        </is>
      </c>
      <c r="E1366" t="inlineStr">
        <is>
          <t>Infusion &amp; Oncology Clinic</t>
        </is>
      </c>
      <c r="F1366" t="inlineStr">
        <is>
          <t>Oncology</t>
        </is>
      </c>
      <c r="G1366" s="29" t="n">
        <v>45838</v>
      </c>
      <c r="H1366" s="29" t="n">
        <v>45838</v>
      </c>
      <c r="I1366" s="30" t="n"/>
      <c r="J1366" t="inlineStr">
        <is>
          <t>Z51.11</t>
        </is>
      </c>
      <c r="K1366" t="inlineStr">
        <is>
          <t>Encounter for antineoplastic chemotherapy</t>
        </is>
      </c>
      <c r="L1366" t="inlineStr">
        <is>
          <t>Factors Influencing Health</t>
        </is>
      </c>
      <c r="M1366" t="inlineStr">
        <is>
          <t>Home/Self-Care</t>
        </is>
      </c>
      <c r="N1366" t="inlineStr">
        <is>
          <t>Keystone Health Partners</t>
        </is>
      </c>
      <c r="O1366" s="31" t="n">
        <v>9675.719999999999</v>
      </c>
    </row>
    <row r="1367">
      <c r="A1367" t="inlineStr">
        <is>
          <t>ENC116387</t>
        </is>
      </c>
      <c r="B1367" t="inlineStr">
        <is>
          <t>PT13492</t>
        </is>
      </c>
      <c r="C1367" t="inlineStr">
        <is>
          <t>Emergency</t>
        </is>
      </c>
      <c r="D1367" t="inlineStr">
        <is>
          <t>Ashby Falls Community Hospital</t>
        </is>
      </c>
      <c r="E1367" t="inlineStr">
        <is>
          <t>Emergency Department</t>
        </is>
      </c>
      <c r="F1367" t="inlineStr">
        <is>
          <t>Emergency</t>
        </is>
      </c>
      <c r="G1367" s="29" t="n">
        <v>45838</v>
      </c>
      <c r="H1367" s="29" t="n">
        <v>45838</v>
      </c>
      <c r="I1367" s="30" t="n"/>
      <c r="J1367" t="inlineStr">
        <is>
          <t>R07.9</t>
        </is>
      </c>
      <c r="K1367" t="inlineStr">
        <is>
          <t>Chest pain, unspecified</t>
        </is>
      </c>
      <c r="L1367" t="inlineStr">
        <is>
          <t>Symptoms &amp; Signs</t>
        </is>
      </c>
      <c r="M1367" t="inlineStr">
        <is>
          <t>Home/Self-Care</t>
        </is>
      </c>
      <c r="N1367" t="inlineStr">
        <is>
          <t>Self-Pay</t>
        </is>
      </c>
      <c r="O1367" s="31" t="n">
        <v>4032.03</v>
      </c>
    </row>
    <row r="1368">
      <c r="A1368" t="inlineStr">
        <is>
          <t>ENC116389</t>
        </is>
      </c>
      <c r="B1368" t="inlineStr">
        <is>
          <t>PT12216</t>
        </is>
      </c>
      <c r="C1368" t="inlineStr">
        <is>
          <t>Outpatient</t>
        </is>
      </c>
      <c r="D1368" t="inlineStr">
        <is>
          <t>Bluestone Outpatient Pavilion</t>
        </is>
      </c>
      <c r="E1368" t="inlineStr">
        <is>
          <t>Infusion &amp; Oncology Clinic</t>
        </is>
      </c>
      <c r="F1368" t="inlineStr">
        <is>
          <t>Oncology</t>
        </is>
      </c>
      <c r="G1368" s="29" t="n">
        <v>45838</v>
      </c>
      <c r="H1368" s="29" t="n">
        <v>45838</v>
      </c>
      <c r="I1368" s="30" t="n"/>
      <c r="J1368" t="inlineStr">
        <is>
          <t>C50.911</t>
        </is>
      </c>
      <c r="K1368" t="inlineStr">
        <is>
          <t>Malignant neoplasm of unspecified site of right female breast</t>
        </is>
      </c>
      <c r="L1368" t="inlineStr">
        <is>
          <t>Neoplasms</t>
        </is>
      </c>
      <c r="M1368" t="inlineStr">
        <is>
          <t>Home/Self-Care</t>
        </is>
      </c>
      <c r="N1368" t="inlineStr">
        <is>
          <t>State Medicaid</t>
        </is>
      </c>
      <c r="O1368" s="31" t="n">
        <v>661.37</v>
      </c>
    </row>
    <row r="1369">
      <c r="A1369" t="inlineStr">
        <is>
          <t>ENC116392</t>
        </is>
      </c>
      <c r="B1369" t="inlineStr">
        <is>
          <t>PT10604</t>
        </is>
      </c>
      <c r="C1369" t="inlineStr">
        <is>
          <t>Outpatient</t>
        </is>
      </c>
      <c r="D1369" t="inlineStr">
        <is>
          <t>Bluestone Outpatient Pavilion</t>
        </is>
      </c>
      <c r="E1369" t="inlineStr">
        <is>
          <t>Endocrinology &amp; Diabetes Clinic</t>
        </is>
      </c>
      <c r="F1369" t="inlineStr">
        <is>
          <t>Ambulatory</t>
        </is>
      </c>
      <c r="G1369" s="29" t="n">
        <v>45838</v>
      </c>
      <c r="H1369" s="29" t="n">
        <v>45838</v>
      </c>
      <c r="I1369" s="30" t="n"/>
      <c r="J1369" t="inlineStr">
        <is>
          <t>E11.9</t>
        </is>
      </c>
      <c r="K1369" t="inlineStr">
        <is>
          <t>Type 2 diabetes mellitus without complications</t>
        </is>
      </c>
      <c r="L1369" t="inlineStr">
        <is>
          <t>Endocrine</t>
        </is>
      </c>
      <c r="M1369" t="inlineStr">
        <is>
          <t>Home/Self-Care</t>
        </is>
      </c>
      <c r="N1369" t="inlineStr">
        <is>
          <t>Keystone Health Partners</t>
        </is>
      </c>
      <c r="O1369" s="31" t="n">
        <v>186.45</v>
      </c>
    </row>
    <row r="1370">
      <c r="A1370" t="inlineStr">
        <is>
          <t>ENC116399</t>
        </is>
      </c>
      <c r="B1370" t="inlineStr">
        <is>
          <t>PT11388</t>
        </is>
      </c>
      <c r="C1370" t="inlineStr">
        <is>
          <t>Inpatient</t>
        </is>
      </c>
      <c r="D1370" t="inlineStr">
        <is>
          <t>Bluestone Memorial Hospital</t>
        </is>
      </c>
      <c r="E1370" t="inlineStr">
        <is>
          <t>Behavioral Health</t>
        </is>
      </c>
      <c r="F1370" t="inlineStr">
        <is>
          <t>Behavioral Health</t>
        </is>
      </c>
      <c r="G1370" s="29" t="n">
        <v>45838</v>
      </c>
      <c r="H1370" s="29" t="n">
        <v>45847</v>
      </c>
      <c r="I1370" s="30" t="n">
        <v>9</v>
      </c>
      <c r="J1370" t="inlineStr">
        <is>
          <t>F32.9</t>
        </is>
      </c>
      <c r="K1370" t="inlineStr">
        <is>
          <t>Major depressive disorder, single episode, unspecified</t>
        </is>
      </c>
      <c r="L1370" t="inlineStr">
        <is>
          <t>Mental &amp; Behavioral</t>
        </is>
      </c>
      <c r="M1370" t="inlineStr">
        <is>
          <t>Home/Self-Care</t>
        </is>
      </c>
      <c r="N1370" t="inlineStr">
        <is>
          <t>Keystone Health Partners</t>
        </is>
      </c>
      <c r="O1370" s="31" t="n">
        <v>27266.35</v>
      </c>
      <c r="P1370" t="inlineStr">
        <is>
          <t>N</t>
        </is>
      </c>
    </row>
    <row r="1371">
      <c r="A1371" t="inlineStr">
        <is>
          <t>ENC116402</t>
        </is>
      </c>
      <c r="B1371" t="inlineStr">
        <is>
          <t>PT10556</t>
        </is>
      </c>
      <c r="C1371" t="inlineStr">
        <is>
          <t>Emergency</t>
        </is>
      </c>
      <c r="D1371" t="inlineStr">
        <is>
          <t>Bluestone Memorial Hospital</t>
        </is>
      </c>
      <c r="E1371" t="inlineStr">
        <is>
          <t>Emergency Department</t>
        </is>
      </c>
      <c r="F1371" t="inlineStr">
        <is>
          <t>Emergency</t>
        </is>
      </c>
      <c r="G1371" s="29" t="n">
        <v>45838</v>
      </c>
      <c r="H1371" s="29" t="n">
        <v>45839</v>
      </c>
      <c r="I1371" s="30" t="n"/>
      <c r="J1371" t="inlineStr">
        <is>
          <t>S06.0X0A</t>
        </is>
      </c>
      <c r="K1371" t="inlineStr">
        <is>
          <t>Concussion without loss of consciousness, initial encounter</t>
        </is>
      </c>
      <c r="L1371" t="inlineStr">
        <is>
          <t>Injury</t>
        </is>
      </c>
      <c r="M1371" t="inlineStr">
        <is>
          <t>Home/Self-Care</t>
        </is>
      </c>
      <c r="N1371" t="inlineStr">
        <is>
          <t>State Medicaid</t>
        </is>
      </c>
      <c r="O1371" s="31" t="n">
        <v>3342.78</v>
      </c>
    </row>
    <row r="1372">
      <c r="A1372" t="inlineStr">
        <is>
          <t>ENC116403</t>
        </is>
      </c>
      <c r="B1372" t="inlineStr">
        <is>
          <t>PT13420</t>
        </is>
      </c>
      <c r="C1372" t="inlineStr">
        <is>
          <t>Emergency</t>
        </is>
      </c>
      <c r="D1372" t="inlineStr">
        <is>
          <t>Bluestone Memorial Hospital</t>
        </is>
      </c>
      <c r="E1372" t="inlineStr">
        <is>
          <t>Emergency Department</t>
        </is>
      </c>
      <c r="F1372" t="inlineStr">
        <is>
          <t>Emergency</t>
        </is>
      </c>
      <c r="G1372" s="29" t="n">
        <v>45838</v>
      </c>
      <c r="H1372" s="29" t="n">
        <v>45839</v>
      </c>
      <c r="I1372" s="30" t="n"/>
      <c r="J1372" t="inlineStr">
        <is>
          <t>R10.9</t>
        </is>
      </c>
      <c r="K1372" t="inlineStr">
        <is>
          <t>Unspecified abdominal pain</t>
        </is>
      </c>
      <c r="L1372" t="inlineStr">
        <is>
          <t>Symptoms &amp; Signs</t>
        </is>
      </c>
      <c r="M1372" t="inlineStr">
        <is>
          <t>Home/Self-Care</t>
        </is>
      </c>
      <c r="N1372" t="inlineStr">
        <is>
          <t>Keystone Health Partners</t>
        </is>
      </c>
      <c r="O1372" s="31" t="n">
        <v>5643.66</v>
      </c>
    </row>
    <row r="1373">
      <c r="A1373" t="inlineStr">
        <is>
          <t>ENC116404</t>
        </is>
      </c>
      <c r="B1373" t="inlineStr">
        <is>
          <t>PT13376</t>
        </is>
      </c>
      <c r="C1373" t="inlineStr">
        <is>
          <t>Inpatient</t>
        </is>
      </c>
      <c r="D1373" t="inlineStr">
        <is>
          <t>Bluestone Memorial Hospital</t>
        </is>
      </c>
      <c r="E1373" t="inlineStr">
        <is>
          <t>Behavioral Health</t>
        </is>
      </c>
      <c r="F1373" t="inlineStr">
        <is>
          <t>Behavioral Health</t>
        </is>
      </c>
      <c r="G1373" s="29" t="n">
        <v>45838</v>
      </c>
      <c r="H1373" s="29" t="n">
        <v>45841</v>
      </c>
      <c r="I1373" s="30" t="n">
        <v>3</v>
      </c>
      <c r="J1373" t="inlineStr">
        <is>
          <t>F32.9</t>
        </is>
      </c>
      <c r="K1373" t="inlineStr">
        <is>
          <t>Major depressive disorder, single episode, unspecified</t>
        </is>
      </c>
      <c r="L1373" t="inlineStr">
        <is>
          <t>Mental &amp; Behavioral</t>
        </is>
      </c>
      <c r="M1373" t="inlineStr">
        <is>
          <t>Home/Self-Care</t>
        </is>
      </c>
      <c r="N1373" t="inlineStr">
        <is>
          <t>State Medicaid</t>
        </is>
      </c>
      <c r="O1373" s="31" t="n">
        <v>14573.07</v>
      </c>
      <c r="P1373" t="inlineStr">
        <is>
          <t>N</t>
        </is>
      </c>
    </row>
    <row r="1374">
      <c r="A1374" t="inlineStr">
        <is>
          <t>ENC116405</t>
        </is>
      </c>
      <c r="B1374" t="inlineStr">
        <is>
          <t>PT11428</t>
        </is>
      </c>
      <c r="C1374" t="inlineStr">
        <is>
          <t>Outpatient</t>
        </is>
      </c>
      <c r="D1374" t="inlineStr">
        <is>
          <t>Bluestone Outpatient Pavilion</t>
        </is>
      </c>
      <c r="E1374" t="inlineStr">
        <is>
          <t>Primary Care Clinic</t>
        </is>
      </c>
      <c r="F1374" t="inlineStr">
        <is>
          <t>Ambulatory</t>
        </is>
      </c>
      <c r="G1374" s="29" t="n">
        <v>45839</v>
      </c>
      <c r="H1374" s="29" t="n">
        <v>45839</v>
      </c>
      <c r="I1374" s="30" t="n"/>
      <c r="J1374" t="inlineStr">
        <is>
          <t>F41.9</t>
        </is>
      </c>
      <c r="K1374" t="inlineStr">
        <is>
          <t>Anxiety disorder, unspecified</t>
        </is>
      </c>
      <c r="L1374" t="inlineStr">
        <is>
          <t>Mental &amp; Behavioral</t>
        </is>
      </c>
      <c r="M1374" t="inlineStr">
        <is>
          <t>Home/Self-Care</t>
        </is>
      </c>
      <c r="N1374" t="inlineStr">
        <is>
          <t>Medicare</t>
        </is>
      </c>
      <c r="O1374" s="31" t="n">
        <v>246.54</v>
      </c>
    </row>
    <row r="1375">
      <c r="A1375" t="inlineStr">
        <is>
          <t>ENC116412</t>
        </is>
      </c>
      <c r="B1375" t="inlineStr">
        <is>
          <t>PT13540</t>
        </is>
      </c>
      <c r="C1375" t="inlineStr">
        <is>
          <t>Outpatient</t>
        </is>
      </c>
      <c r="D1375" t="inlineStr">
        <is>
          <t>Bluestone Outpatient Pavilion</t>
        </is>
      </c>
      <c r="E1375" t="inlineStr">
        <is>
          <t>Primary Care Clinic</t>
        </is>
      </c>
      <c r="F1375" t="inlineStr">
        <is>
          <t>Ambulatory</t>
        </is>
      </c>
      <c r="G1375" s="29" t="n">
        <v>45839</v>
      </c>
      <c r="H1375" s="29" t="n">
        <v>45839</v>
      </c>
      <c r="I1375" s="30" t="n"/>
      <c r="J1375" t="inlineStr">
        <is>
          <t>Z00.00</t>
        </is>
      </c>
      <c r="K1375" t="inlineStr">
        <is>
          <t>Encounter for general adult medical examination without abnormal findings</t>
        </is>
      </c>
      <c r="L1375" t="inlineStr">
        <is>
          <t>Factors Influencing Health</t>
        </is>
      </c>
      <c r="M1375" t="inlineStr">
        <is>
          <t>Home/Self-Care</t>
        </is>
      </c>
      <c r="N1375" t="inlineStr">
        <is>
          <t>Silverline Medicare Advantage</t>
        </is>
      </c>
      <c r="O1375" s="31" t="n">
        <v>367.36</v>
      </c>
    </row>
    <row r="1376">
      <c r="A1376" t="inlineStr">
        <is>
          <t>ENC116420</t>
        </is>
      </c>
      <c r="B1376" t="inlineStr">
        <is>
          <t>PT10600</t>
        </is>
      </c>
      <c r="C1376" t="inlineStr">
        <is>
          <t>Outpatient</t>
        </is>
      </c>
      <c r="D1376" t="inlineStr">
        <is>
          <t>Bluestone Outpatient Pavilion</t>
        </is>
      </c>
      <c r="E1376" t="inlineStr">
        <is>
          <t>Primary Care Clinic</t>
        </is>
      </c>
      <c r="F1376" t="inlineStr">
        <is>
          <t>Ambulatory</t>
        </is>
      </c>
      <c r="G1376" s="29" t="n">
        <v>45839</v>
      </c>
      <c r="H1376" s="29" t="n">
        <v>45839</v>
      </c>
      <c r="I1376" s="30" t="n"/>
      <c r="J1376" t="inlineStr">
        <is>
          <t>E78.5</t>
        </is>
      </c>
      <c r="K1376" t="inlineStr">
        <is>
          <t>Hyperlipidemia, unspecified</t>
        </is>
      </c>
      <c r="L1376" t="inlineStr">
        <is>
          <t>Endocrine</t>
        </is>
      </c>
      <c r="M1376" t="inlineStr">
        <is>
          <t>Home/Self-Care</t>
        </is>
      </c>
      <c r="N1376" t="inlineStr">
        <is>
          <t>Summit Choice PPO</t>
        </is>
      </c>
      <c r="O1376" s="31" t="n">
        <v>332.82</v>
      </c>
    </row>
    <row r="1377">
      <c r="A1377" t="inlineStr">
        <is>
          <t>ENC116423</t>
        </is>
      </c>
      <c r="B1377" t="inlineStr">
        <is>
          <t>PT12348</t>
        </is>
      </c>
      <c r="C1377" t="inlineStr">
        <is>
          <t>Inpatient</t>
        </is>
      </c>
      <c r="D1377" t="inlineStr">
        <is>
          <t>Bluestone Memorial Hospital</t>
        </is>
      </c>
      <c r="E1377" t="inlineStr">
        <is>
          <t>Cardiac Step-Down</t>
        </is>
      </c>
      <c r="F1377" t="inlineStr">
        <is>
          <t>Cardiovascular</t>
        </is>
      </c>
      <c r="G1377" s="29" t="n">
        <v>45839</v>
      </c>
      <c r="H1377" s="29" t="n">
        <v>45841</v>
      </c>
      <c r="I1377" s="30" t="n">
        <v>2</v>
      </c>
      <c r="J1377" t="inlineStr">
        <is>
          <t>I50.9</t>
        </is>
      </c>
      <c r="K1377" t="inlineStr">
        <is>
          <t>Heart failure, unspecified</t>
        </is>
      </c>
      <c r="L1377" t="inlineStr">
        <is>
          <t>Circulatory</t>
        </is>
      </c>
      <c r="M1377" t="inlineStr">
        <is>
          <t>Home Health</t>
        </is>
      </c>
      <c r="N1377" t="inlineStr">
        <is>
          <t>Medicare</t>
        </is>
      </c>
      <c r="O1377" s="31" t="n">
        <v>16722.57</v>
      </c>
      <c r="P1377" t="inlineStr">
        <is>
          <t>Y</t>
        </is>
      </c>
    </row>
    <row r="1378">
      <c r="A1378" t="inlineStr">
        <is>
          <t>ENC116425</t>
        </is>
      </c>
      <c r="B1378" t="inlineStr">
        <is>
          <t>PT13360</t>
        </is>
      </c>
      <c r="C1378" t="inlineStr">
        <is>
          <t>Emergency</t>
        </is>
      </c>
      <c r="D1378" t="inlineStr">
        <is>
          <t>Bluestone Memorial Hospital</t>
        </is>
      </c>
      <c r="E1378" t="inlineStr">
        <is>
          <t>Emergency Department</t>
        </is>
      </c>
      <c r="F1378" t="inlineStr">
        <is>
          <t>Emergency</t>
        </is>
      </c>
      <c r="G1378" s="29" t="n">
        <v>45839</v>
      </c>
      <c r="H1378" s="29" t="n">
        <v>45839</v>
      </c>
      <c r="I1378" s="30" t="n"/>
      <c r="J1378" t="inlineStr">
        <is>
          <t>S06.0X0A</t>
        </is>
      </c>
      <c r="K1378" t="inlineStr">
        <is>
          <t>Concussion without loss of consciousness, initial encounter</t>
        </is>
      </c>
      <c r="L1378" t="inlineStr">
        <is>
          <t>Injury</t>
        </is>
      </c>
      <c r="M1378" t="inlineStr">
        <is>
          <t>Home/Self-Care</t>
        </is>
      </c>
      <c r="N1378" t="inlineStr">
        <is>
          <t>Keystone Health Partners</t>
        </is>
      </c>
      <c r="O1378" s="31" t="n">
        <v>2896.1</v>
      </c>
    </row>
    <row r="1379">
      <c r="A1379" t="inlineStr">
        <is>
          <t>ENC116432</t>
        </is>
      </c>
      <c r="B1379" t="inlineStr">
        <is>
          <t>PT12732</t>
        </is>
      </c>
      <c r="C1379" t="inlineStr">
        <is>
          <t>Emergency</t>
        </is>
      </c>
      <c r="D1379" t="inlineStr">
        <is>
          <t>Cedar Ridge Medical Center</t>
        </is>
      </c>
      <c r="E1379" t="inlineStr">
        <is>
          <t>Emergency Department</t>
        </is>
      </c>
      <c r="F1379" t="inlineStr">
        <is>
          <t>Emergency</t>
        </is>
      </c>
      <c r="G1379" s="29" t="n">
        <v>45839</v>
      </c>
      <c r="H1379" s="29" t="n">
        <v>45839</v>
      </c>
      <c r="I1379" s="30" t="n"/>
      <c r="J1379" t="inlineStr">
        <is>
          <t>R07.9</t>
        </is>
      </c>
      <c r="K1379" t="inlineStr">
        <is>
          <t>Chest pain, unspecified</t>
        </is>
      </c>
      <c r="L1379" t="inlineStr">
        <is>
          <t>Symptoms &amp; Signs</t>
        </is>
      </c>
      <c r="M1379" t="inlineStr">
        <is>
          <t>Home/Self-Care</t>
        </is>
      </c>
      <c r="N1379" t="inlineStr">
        <is>
          <t>Silverline Medicare Advantage</t>
        </is>
      </c>
      <c r="O1379" s="31" t="n">
        <v>3245.57</v>
      </c>
    </row>
    <row r="1380">
      <c r="A1380" t="inlineStr">
        <is>
          <t>ENC116434</t>
        </is>
      </c>
      <c r="B1380" t="inlineStr">
        <is>
          <t>PT12712</t>
        </is>
      </c>
      <c r="C1380" t="inlineStr">
        <is>
          <t>Emergency</t>
        </is>
      </c>
      <c r="D1380" t="inlineStr">
        <is>
          <t>Bluestone Memorial Hospital</t>
        </is>
      </c>
      <c r="E1380" t="inlineStr">
        <is>
          <t>Emergency Department</t>
        </is>
      </c>
      <c r="F1380" t="inlineStr">
        <is>
          <t>Emergency</t>
        </is>
      </c>
      <c r="G1380" s="29" t="n">
        <v>45839</v>
      </c>
      <c r="H1380" s="29" t="n">
        <v>45839</v>
      </c>
      <c r="I1380" s="30" t="n"/>
      <c r="J1380" t="inlineStr">
        <is>
          <t>F10.239</t>
        </is>
      </c>
      <c r="K1380" t="inlineStr">
        <is>
          <t>Alcohol dependence with withdrawal, unspecified</t>
        </is>
      </c>
      <c r="L1380" t="inlineStr">
        <is>
          <t>Mental &amp; Behavioral</t>
        </is>
      </c>
      <c r="M1380" t="inlineStr">
        <is>
          <t>Home/Self-Care</t>
        </is>
      </c>
      <c r="N1380" t="inlineStr">
        <is>
          <t>Silverline Medicare Advantage</t>
        </is>
      </c>
      <c r="O1380" s="31" t="n">
        <v>1381.61</v>
      </c>
    </row>
    <row r="1381">
      <c r="A1381" t="inlineStr">
        <is>
          <t>ENC116441</t>
        </is>
      </c>
      <c r="B1381" t="inlineStr">
        <is>
          <t>PT12012</t>
        </is>
      </c>
      <c r="C1381" t="inlineStr">
        <is>
          <t>Emergency</t>
        </is>
      </c>
      <c r="D1381" t="inlineStr">
        <is>
          <t>Bluestone Memorial Hospital</t>
        </is>
      </c>
      <c r="E1381" t="inlineStr">
        <is>
          <t>Emergency Department</t>
        </is>
      </c>
      <c r="F1381" t="inlineStr">
        <is>
          <t>Emergency</t>
        </is>
      </c>
      <c r="G1381" s="29" t="n">
        <v>45840</v>
      </c>
      <c r="H1381" s="29" t="n">
        <v>45840</v>
      </c>
      <c r="I1381" s="30" t="n"/>
      <c r="J1381" t="inlineStr">
        <is>
          <t>M54.50</t>
        </is>
      </c>
      <c r="K1381" t="inlineStr">
        <is>
          <t>Low back pain, unspecified</t>
        </is>
      </c>
      <c r="L1381" t="inlineStr">
        <is>
          <t>Musculoskeletal</t>
        </is>
      </c>
      <c r="M1381" t="inlineStr">
        <is>
          <t>Home/Self-Care</t>
        </is>
      </c>
      <c r="N1381" t="inlineStr">
        <is>
          <t>Workers' Compensation</t>
        </is>
      </c>
      <c r="O1381" s="31" t="n">
        <v>2794.43</v>
      </c>
    </row>
    <row r="1382">
      <c r="A1382" t="inlineStr">
        <is>
          <t>ENC116442</t>
        </is>
      </c>
      <c r="B1382" t="inlineStr">
        <is>
          <t>PT13116</t>
        </is>
      </c>
      <c r="C1382" t="inlineStr">
        <is>
          <t>Inpatient</t>
        </is>
      </c>
      <c r="D1382" t="inlineStr">
        <is>
          <t>Cedar Ridge Medical Center</t>
        </is>
      </c>
      <c r="E1382" t="inlineStr">
        <is>
          <t>Cardiac Step-Down</t>
        </is>
      </c>
      <c r="F1382" t="inlineStr">
        <is>
          <t>Cardiovascular</t>
        </is>
      </c>
      <c r="G1382" s="29" t="n">
        <v>45840</v>
      </c>
      <c r="H1382" s="29" t="n">
        <v>45845</v>
      </c>
      <c r="I1382" s="30" t="n">
        <v>5</v>
      </c>
      <c r="J1382" t="inlineStr">
        <is>
          <t>I21.4</t>
        </is>
      </c>
      <c r="K1382" t="inlineStr">
        <is>
          <t>Non-ST elevation (NSTEMI) myocardial infarction</t>
        </is>
      </c>
      <c r="L1382" t="inlineStr">
        <is>
          <t>Circulatory</t>
        </is>
      </c>
      <c r="M1382" t="inlineStr">
        <is>
          <t>Home/Self-Care</t>
        </is>
      </c>
      <c r="N1382" t="inlineStr">
        <is>
          <t>Medicare</t>
        </is>
      </c>
      <c r="O1382" s="31" t="n">
        <v>94705.94</v>
      </c>
      <c r="P1382" t="inlineStr">
        <is>
          <t>N</t>
        </is>
      </c>
    </row>
    <row r="1383">
      <c r="A1383" t="inlineStr">
        <is>
          <t>ENC116446</t>
        </is>
      </c>
      <c r="B1383" t="inlineStr">
        <is>
          <t>PT12944</t>
        </is>
      </c>
      <c r="C1383" t="inlineStr">
        <is>
          <t>Emergency</t>
        </is>
      </c>
      <c r="D1383" t="inlineStr">
        <is>
          <t>Ashby Falls Community Hospital</t>
        </is>
      </c>
      <c r="E1383" t="inlineStr">
        <is>
          <t>Emergency Department</t>
        </is>
      </c>
      <c r="F1383" t="inlineStr">
        <is>
          <t>Emergency</t>
        </is>
      </c>
      <c r="G1383" s="29" t="n">
        <v>45840</v>
      </c>
      <c r="H1383" s="29" t="n">
        <v>45840</v>
      </c>
      <c r="I1383" s="30" t="n"/>
      <c r="J1383" t="inlineStr">
        <is>
          <t>S06.0X0A</t>
        </is>
      </c>
      <c r="K1383" t="inlineStr">
        <is>
          <t>Concussion without loss of consciousness, initial encounter</t>
        </is>
      </c>
      <c r="L1383" t="inlineStr">
        <is>
          <t>Injury</t>
        </is>
      </c>
      <c r="M1383" t="inlineStr">
        <is>
          <t>Home/Self-Care</t>
        </is>
      </c>
      <c r="N1383" t="inlineStr">
        <is>
          <t>Summit Choice PPO</t>
        </is>
      </c>
      <c r="O1383" s="31" t="n">
        <v>3495.3</v>
      </c>
    </row>
    <row r="1384">
      <c r="A1384" t="inlineStr">
        <is>
          <t>ENC116454</t>
        </is>
      </c>
      <c r="B1384" t="inlineStr">
        <is>
          <t>PT12280</t>
        </is>
      </c>
      <c r="C1384" t="inlineStr">
        <is>
          <t>Outpatient</t>
        </is>
      </c>
      <c r="D1384" t="inlineStr">
        <is>
          <t>Bluestone Outpatient Pavilion</t>
        </is>
      </c>
      <c r="E1384" t="inlineStr">
        <is>
          <t>Primary Care Clinic</t>
        </is>
      </c>
      <c r="F1384" t="inlineStr">
        <is>
          <t>Ambulatory</t>
        </is>
      </c>
      <c r="G1384" s="29" t="n">
        <v>45840</v>
      </c>
      <c r="H1384" s="29" t="n">
        <v>45840</v>
      </c>
      <c r="I1384" s="30" t="n"/>
      <c r="J1384" t="inlineStr">
        <is>
          <t>F41.9</t>
        </is>
      </c>
      <c r="K1384" t="inlineStr">
        <is>
          <t>Anxiety disorder, unspecified</t>
        </is>
      </c>
      <c r="L1384" t="inlineStr">
        <is>
          <t>Mental &amp; Behavioral</t>
        </is>
      </c>
      <c r="M1384" t="inlineStr">
        <is>
          <t>Home/Self-Care</t>
        </is>
      </c>
      <c r="N1384" t="inlineStr">
        <is>
          <t>Self-Pay</t>
        </is>
      </c>
      <c r="O1384" s="31" t="n">
        <v>681.51</v>
      </c>
    </row>
    <row r="1385">
      <c r="A1385" t="inlineStr">
        <is>
          <t>ENC116458</t>
        </is>
      </c>
      <c r="B1385" t="inlineStr">
        <is>
          <t>PT12124</t>
        </is>
      </c>
      <c r="C1385" t="inlineStr">
        <is>
          <t>Outpatient</t>
        </is>
      </c>
      <c r="D1385" t="inlineStr">
        <is>
          <t>Bluestone Outpatient Pavilion</t>
        </is>
      </c>
      <c r="E1385" t="inlineStr">
        <is>
          <t>Primary Care Clinic</t>
        </is>
      </c>
      <c r="F1385" t="inlineStr">
        <is>
          <t>Ambulatory</t>
        </is>
      </c>
      <c r="G1385" s="29" t="n">
        <v>45840</v>
      </c>
      <c r="H1385" s="29" t="n">
        <v>45840</v>
      </c>
      <c r="I1385" s="30" t="n"/>
      <c r="J1385" t="inlineStr">
        <is>
          <t>Z00.00</t>
        </is>
      </c>
      <c r="K1385" t="inlineStr">
        <is>
          <t>Encounter for general adult medical examination without abnormal findings</t>
        </is>
      </c>
      <c r="L1385" t="inlineStr">
        <is>
          <t>Factors Influencing Health</t>
        </is>
      </c>
      <c r="M1385" t="inlineStr">
        <is>
          <t>Home/Self-Care</t>
        </is>
      </c>
      <c r="N1385" t="inlineStr">
        <is>
          <t>Keystone Health Partners</t>
        </is>
      </c>
      <c r="O1385" s="31" t="n">
        <v>561.53</v>
      </c>
    </row>
    <row r="1386">
      <c r="A1386" t="inlineStr">
        <is>
          <t>ENC116463</t>
        </is>
      </c>
      <c r="B1386" t="inlineStr">
        <is>
          <t>PT12032</t>
        </is>
      </c>
      <c r="C1386" t="inlineStr">
        <is>
          <t>Inpatient</t>
        </is>
      </c>
      <c r="D1386" t="inlineStr">
        <is>
          <t>Bluestone Memorial Hospital</t>
        </is>
      </c>
      <c r="E1386" t="inlineStr">
        <is>
          <t>Medical-Surgical 4 West</t>
        </is>
      </c>
      <c r="F1386" t="inlineStr">
        <is>
          <t>Medicine</t>
        </is>
      </c>
      <c r="G1386" s="29" t="n">
        <v>45841</v>
      </c>
      <c r="H1386" s="29" t="n">
        <v>45844</v>
      </c>
      <c r="I1386" s="30" t="n">
        <v>3</v>
      </c>
      <c r="J1386" t="inlineStr">
        <is>
          <t>N39.0</t>
        </is>
      </c>
      <c r="K1386" t="inlineStr">
        <is>
          <t>Urinary tract infection, site not specified</t>
        </is>
      </c>
      <c r="L1386" t="inlineStr">
        <is>
          <t>Genitourinary</t>
        </is>
      </c>
      <c r="M1386" t="inlineStr">
        <is>
          <t>Home/Self-Care</t>
        </is>
      </c>
      <c r="N1386" t="inlineStr">
        <is>
          <t>State Medicaid</t>
        </is>
      </c>
      <c r="O1386" s="31" t="n">
        <v>18263.93</v>
      </c>
      <c r="P1386" t="inlineStr">
        <is>
          <t>N</t>
        </is>
      </c>
    </row>
    <row r="1387">
      <c r="A1387" t="inlineStr">
        <is>
          <t>ENC116470</t>
        </is>
      </c>
      <c r="B1387" t="inlineStr">
        <is>
          <t>PT12444</t>
        </is>
      </c>
      <c r="C1387" t="inlineStr">
        <is>
          <t>Emergency</t>
        </is>
      </c>
      <c r="D1387" t="inlineStr">
        <is>
          <t>Cedar Ridge Medical Center</t>
        </is>
      </c>
      <c r="E1387" t="inlineStr">
        <is>
          <t>Emergency Department</t>
        </is>
      </c>
      <c r="F1387" t="inlineStr">
        <is>
          <t>Emergency</t>
        </is>
      </c>
      <c r="G1387" s="29" t="n">
        <v>45841</v>
      </c>
      <c r="H1387" s="29" t="n">
        <v>45841</v>
      </c>
      <c r="I1387" s="30" t="n"/>
      <c r="J1387" t="inlineStr">
        <is>
          <t>J45.909</t>
        </is>
      </c>
      <c r="K1387" t="inlineStr">
        <is>
          <t>Unspecified asthma, uncomplicated</t>
        </is>
      </c>
      <c r="L1387" t="inlineStr">
        <is>
          <t>Respiratory</t>
        </is>
      </c>
      <c r="M1387" t="inlineStr">
        <is>
          <t>Home/Self-Care</t>
        </is>
      </c>
      <c r="N1387" t="inlineStr">
        <is>
          <t>Keystone Health Partners</t>
        </is>
      </c>
      <c r="O1387" s="31" t="n">
        <v>3569.57</v>
      </c>
    </row>
    <row r="1388">
      <c r="A1388" t="inlineStr">
        <is>
          <t>ENC116476</t>
        </is>
      </c>
      <c r="B1388" t="inlineStr">
        <is>
          <t>PT12420</t>
        </is>
      </c>
      <c r="C1388" t="inlineStr">
        <is>
          <t>Outpatient</t>
        </is>
      </c>
      <c r="D1388" t="inlineStr">
        <is>
          <t>Bluestone Outpatient Pavilion</t>
        </is>
      </c>
      <c r="E1388" t="inlineStr">
        <is>
          <t>Endocrinology &amp; Diabetes Clinic</t>
        </is>
      </c>
      <c r="F1388" t="inlineStr">
        <is>
          <t>Ambulatory</t>
        </is>
      </c>
      <c r="G1388" s="29" t="n">
        <v>45841</v>
      </c>
      <c r="H1388" s="29" t="n">
        <v>45841</v>
      </c>
      <c r="I1388" s="30" t="n"/>
      <c r="J1388" t="inlineStr">
        <is>
          <t>E11.9</t>
        </is>
      </c>
      <c r="K1388" t="inlineStr">
        <is>
          <t>Type 2 diabetes mellitus without complications</t>
        </is>
      </c>
      <c r="L1388" t="inlineStr">
        <is>
          <t>Endocrine</t>
        </is>
      </c>
      <c r="M1388" t="inlineStr">
        <is>
          <t>Home/Self-Care</t>
        </is>
      </c>
      <c r="N1388" t="inlineStr">
        <is>
          <t>Evergreen Mutual Insurance</t>
        </is>
      </c>
      <c r="O1388" s="31" t="n">
        <v>287.98</v>
      </c>
    </row>
    <row r="1389">
      <c r="A1389" t="inlineStr">
        <is>
          <t>ENC116477</t>
        </is>
      </c>
      <c r="B1389" t="inlineStr">
        <is>
          <t>PT13004</t>
        </is>
      </c>
      <c r="C1389" t="inlineStr">
        <is>
          <t>Inpatient</t>
        </is>
      </c>
      <c r="D1389" t="inlineStr">
        <is>
          <t>Bluestone Memorial Hospital</t>
        </is>
      </c>
      <c r="E1389" t="inlineStr">
        <is>
          <t>Medical-Surgical 5 East</t>
        </is>
      </c>
      <c r="F1389" t="inlineStr">
        <is>
          <t>Medicine</t>
        </is>
      </c>
      <c r="G1389" s="29" t="n">
        <v>45841</v>
      </c>
      <c r="H1389" s="29" t="n">
        <v>45843</v>
      </c>
      <c r="I1389" s="30" t="n">
        <v>2</v>
      </c>
      <c r="J1389" t="inlineStr">
        <is>
          <t>E86.0</t>
        </is>
      </c>
      <c r="K1389" t="inlineStr">
        <is>
          <t>Dehydration</t>
        </is>
      </c>
      <c r="L1389" t="inlineStr">
        <is>
          <t>Endocrine</t>
        </is>
      </c>
      <c r="M1389" t="inlineStr">
        <is>
          <t>Home/Self-Care</t>
        </is>
      </c>
      <c r="N1389" t="inlineStr">
        <is>
          <t>Medicare</t>
        </is>
      </c>
      <c r="O1389" s="31" t="n">
        <v>9614.33</v>
      </c>
      <c r="P1389" t="inlineStr">
        <is>
          <t>N</t>
        </is>
      </c>
    </row>
    <row r="1390">
      <c r="A1390" t="inlineStr">
        <is>
          <t>ENC116483</t>
        </is>
      </c>
      <c r="B1390" t="inlineStr">
        <is>
          <t>PT11124</t>
        </is>
      </c>
      <c r="C1390" t="inlineStr">
        <is>
          <t>Outpatient</t>
        </is>
      </c>
      <c r="D1390" t="inlineStr">
        <is>
          <t>Bluestone Outpatient Pavilion</t>
        </is>
      </c>
      <c r="E1390" t="inlineStr">
        <is>
          <t>Orthopedic Clinic</t>
        </is>
      </c>
      <c r="F1390" t="inlineStr">
        <is>
          <t>Orthopedics</t>
        </is>
      </c>
      <c r="G1390" s="29" t="n">
        <v>45841</v>
      </c>
      <c r="H1390" s="29" t="n">
        <v>45841</v>
      </c>
      <c r="I1390" s="30" t="n"/>
      <c r="J1390" t="inlineStr">
        <is>
          <t>S93.401A</t>
        </is>
      </c>
      <c r="K1390" t="inlineStr">
        <is>
          <t>Sprain of unspecified ligament of right ankle, initial encounter</t>
        </is>
      </c>
      <c r="L1390" t="inlineStr">
        <is>
          <t>Injury</t>
        </is>
      </c>
      <c r="M1390" t="inlineStr">
        <is>
          <t>Home/Self-Care</t>
        </is>
      </c>
      <c r="N1390" t="inlineStr">
        <is>
          <t>Workers' Compensation</t>
        </is>
      </c>
      <c r="O1390" s="31" t="n">
        <v>140.9</v>
      </c>
    </row>
    <row r="1391">
      <c r="A1391" t="inlineStr">
        <is>
          <t>ENC116484</t>
        </is>
      </c>
      <c r="B1391" t="inlineStr">
        <is>
          <t>PT11776</t>
        </is>
      </c>
      <c r="C1391" t="inlineStr">
        <is>
          <t>Outpatient</t>
        </is>
      </c>
      <c r="D1391" t="inlineStr">
        <is>
          <t>Bluestone Outpatient Pavilion</t>
        </is>
      </c>
      <c r="E1391" t="inlineStr">
        <is>
          <t>Primary Care Clinic</t>
        </is>
      </c>
      <c r="F1391" t="inlineStr">
        <is>
          <t>Ambulatory</t>
        </is>
      </c>
      <c r="G1391" s="29" t="n">
        <v>45841</v>
      </c>
      <c r="H1391" s="29" t="n">
        <v>45841</v>
      </c>
      <c r="I1391" s="30" t="n"/>
      <c r="J1391" t="inlineStr">
        <is>
          <t>E78.5</t>
        </is>
      </c>
      <c r="K1391" t="inlineStr">
        <is>
          <t>Hyperlipidemia, unspecified</t>
        </is>
      </c>
      <c r="L1391" t="inlineStr">
        <is>
          <t>Endocrine</t>
        </is>
      </c>
      <c r="M1391" t="inlineStr">
        <is>
          <t>Home/Self-Care</t>
        </is>
      </c>
      <c r="N1391" t="inlineStr">
        <is>
          <t>Medicare</t>
        </is>
      </c>
      <c r="O1391" s="31" t="n">
        <v>174.8</v>
      </c>
    </row>
    <row r="1392">
      <c r="A1392" t="inlineStr">
        <is>
          <t>ENC116485</t>
        </is>
      </c>
      <c r="B1392" t="inlineStr">
        <is>
          <t>PT12744</t>
        </is>
      </c>
      <c r="C1392" t="inlineStr">
        <is>
          <t>Outpatient</t>
        </is>
      </c>
      <c r="D1392" t="inlineStr">
        <is>
          <t>Bluestone Outpatient Pavilion</t>
        </is>
      </c>
      <c r="E1392" t="inlineStr">
        <is>
          <t>Primary Care Clinic</t>
        </is>
      </c>
      <c r="F1392" t="inlineStr">
        <is>
          <t>Ambulatory</t>
        </is>
      </c>
      <c r="G1392" s="29" t="n">
        <v>45841</v>
      </c>
      <c r="H1392" s="29" t="n">
        <v>45841</v>
      </c>
      <c r="I1392" s="30" t="n"/>
      <c r="J1392" t="inlineStr">
        <is>
          <t>E78.5</t>
        </is>
      </c>
      <c r="K1392" t="inlineStr">
        <is>
          <t>Hyperlipidemia, unspecified</t>
        </is>
      </c>
      <c r="L1392" t="inlineStr">
        <is>
          <t>Endocrine</t>
        </is>
      </c>
      <c r="M1392" t="inlineStr">
        <is>
          <t>Home/Self-Care</t>
        </is>
      </c>
      <c r="N1392" t="inlineStr">
        <is>
          <t>State Medicaid</t>
        </is>
      </c>
      <c r="O1392" s="31" t="n">
        <v>148.47</v>
      </c>
    </row>
    <row r="1393">
      <c r="A1393" t="inlineStr">
        <is>
          <t>ENC116488</t>
        </is>
      </c>
      <c r="B1393" t="inlineStr">
        <is>
          <t>PT12372</t>
        </is>
      </c>
      <c r="C1393" t="inlineStr">
        <is>
          <t>Outpatient</t>
        </is>
      </c>
      <c r="D1393" t="inlineStr">
        <is>
          <t>Bluestone Outpatient Pavilion</t>
        </is>
      </c>
      <c r="E1393" t="inlineStr">
        <is>
          <t>Endocrinology &amp; Diabetes Clinic</t>
        </is>
      </c>
      <c r="F1393" t="inlineStr">
        <is>
          <t>Ambulatory</t>
        </is>
      </c>
      <c r="G1393" s="29" t="n">
        <v>45841</v>
      </c>
      <c r="H1393" s="29" t="n">
        <v>45841</v>
      </c>
      <c r="I1393" s="30" t="n"/>
      <c r="J1393" t="inlineStr">
        <is>
          <t>E11.9</t>
        </is>
      </c>
      <c r="K1393" t="inlineStr">
        <is>
          <t>Type 2 diabetes mellitus without complications</t>
        </is>
      </c>
      <c r="L1393" t="inlineStr">
        <is>
          <t>Endocrine</t>
        </is>
      </c>
      <c r="M1393" t="inlineStr">
        <is>
          <t>Home/Self-Care</t>
        </is>
      </c>
      <c r="N1393" t="inlineStr">
        <is>
          <t>Evergreen Mutual Insurance</t>
        </is>
      </c>
      <c r="O1393" s="31" t="n">
        <v>277.38</v>
      </c>
    </row>
    <row r="1394">
      <c r="A1394" t="inlineStr">
        <is>
          <t>ENC116489</t>
        </is>
      </c>
      <c r="B1394" t="inlineStr">
        <is>
          <t>PT11616</t>
        </is>
      </c>
      <c r="C1394" t="inlineStr">
        <is>
          <t>Inpatient</t>
        </is>
      </c>
      <c r="D1394" t="inlineStr">
        <is>
          <t>Bluestone Memorial Hospital</t>
        </is>
      </c>
      <c r="E1394" t="inlineStr">
        <is>
          <t>Medical-Surgical 5 East</t>
        </is>
      </c>
      <c r="F1394" t="inlineStr">
        <is>
          <t>Medicine</t>
        </is>
      </c>
      <c r="G1394" s="29" t="n">
        <v>45841</v>
      </c>
      <c r="H1394" s="29" t="n">
        <v>45847</v>
      </c>
      <c r="I1394" s="30" t="n">
        <v>6</v>
      </c>
      <c r="J1394" t="inlineStr">
        <is>
          <t>E87.1</t>
        </is>
      </c>
      <c r="K1394" t="inlineStr">
        <is>
          <t>Hypo-osmolality and hyponatremia</t>
        </is>
      </c>
      <c r="L1394" t="inlineStr">
        <is>
          <t>Endocrine</t>
        </is>
      </c>
      <c r="M1394" t="inlineStr">
        <is>
          <t>Home/Self-Care</t>
        </is>
      </c>
      <c r="N1394" t="inlineStr">
        <is>
          <t>State Medicaid</t>
        </is>
      </c>
      <c r="O1394" s="31" t="n">
        <v>21295.02</v>
      </c>
      <c r="P1394" t="inlineStr">
        <is>
          <t>N</t>
        </is>
      </c>
    </row>
    <row r="1395">
      <c r="A1395" t="inlineStr">
        <is>
          <t>ENC116491</t>
        </is>
      </c>
      <c r="B1395" t="inlineStr">
        <is>
          <t>PT11944</t>
        </is>
      </c>
      <c r="C1395" t="inlineStr">
        <is>
          <t>Inpatient</t>
        </is>
      </c>
      <c r="D1395" t="inlineStr">
        <is>
          <t>Bluestone Memorial Hospital</t>
        </is>
      </c>
      <c r="E1395" t="inlineStr">
        <is>
          <t>Medical-Surgical 4 West</t>
        </is>
      </c>
      <c r="F1395" t="inlineStr">
        <is>
          <t>Medicine</t>
        </is>
      </c>
      <c r="G1395" s="29" t="n">
        <v>45841</v>
      </c>
      <c r="H1395" s="29" t="n">
        <v>45849</v>
      </c>
      <c r="I1395" s="30" t="n">
        <v>8</v>
      </c>
      <c r="J1395" t="inlineStr">
        <is>
          <t>J96.01</t>
        </is>
      </c>
      <c r="K1395" t="inlineStr">
        <is>
          <t>Acute respiratory failure with hypoxia</t>
        </is>
      </c>
      <c r="L1395" t="inlineStr">
        <is>
          <t>Respiratory</t>
        </is>
      </c>
      <c r="M1395" t="inlineStr">
        <is>
          <t>Skilled Nursing Facility</t>
        </is>
      </c>
      <c r="N1395" t="inlineStr">
        <is>
          <t>Silverline Medicare Advantage</t>
        </is>
      </c>
      <c r="O1395" s="31" t="n">
        <v>61754.48</v>
      </c>
      <c r="P1395" t="inlineStr">
        <is>
          <t>Y</t>
        </is>
      </c>
    </row>
    <row r="1396">
      <c r="A1396" t="inlineStr">
        <is>
          <t>ENC116510</t>
        </is>
      </c>
      <c r="B1396" t="inlineStr">
        <is>
          <t>PT13168</t>
        </is>
      </c>
      <c r="C1396" t="inlineStr">
        <is>
          <t>Inpatient</t>
        </is>
      </c>
      <c r="D1396" t="inlineStr">
        <is>
          <t>Cedar Ridge Medical Center</t>
        </is>
      </c>
      <c r="E1396" t="inlineStr">
        <is>
          <t>Medical-Surgical</t>
        </is>
      </c>
      <c r="F1396" t="inlineStr">
        <is>
          <t>Medicine</t>
        </is>
      </c>
      <c r="G1396" s="29" t="n">
        <v>45842</v>
      </c>
      <c r="H1396" s="29" t="n">
        <v>45845</v>
      </c>
      <c r="I1396" s="30" t="n">
        <v>3</v>
      </c>
      <c r="J1396" t="inlineStr">
        <is>
          <t>E11.65</t>
        </is>
      </c>
      <c r="K1396" t="inlineStr">
        <is>
          <t>Type 2 diabetes mellitus with hyperglycemia</t>
        </is>
      </c>
      <c r="L1396" t="inlineStr">
        <is>
          <t>Endocrine</t>
        </is>
      </c>
      <c r="M1396" t="inlineStr">
        <is>
          <t>Home/Self-Care</t>
        </is>
      </c>
      <c r="N1396" t="inlineStr">
        <is>
          <t>Keystone Health Partners</t>
        </is>
      </c>
      <c r="O1396" s="31" t="n">
        <v>13743.64</v>
      </c>
      <c r="P1396" t="inlineStr">
        <is>
          <t>N</t>
        </is>
      </c>
    </row>
    <row r="1397">
      <c r="A1397" t="inlineStr">
        <is>
          <t>ENC116512</t>
        </is>
      </c>
      <c r="B1397" t="inlineStr">
        <is>
          <t>PT11780</t>
        </is>
      </c>
      <c r="C1397" t="inlineStr">
        <is>
          <t>Emergency</t>
        </is>
      </c>
      <c r="D1397" t="inlineStr">
        <is>
          <t>Bluestone Memorial Hospital</t>
        </is>
      </c>
      <c r="E1397" t="inlineStr">
        <is>
          <t>Emergency Department</t>
        </is>
      </c>
      <c r="F1397" t="inlineStr">
        <is>
          <t>Emergency</t>
        </is>
      </c>
      <c r="G1397" s="29" t="n">
        <v>45842</v>
      </c>
      <c r="H1397" s="29" t="n">
        <v>45842</v>
      </c>
      <c r="I1397" s="30" t="n"/>
      <c r="J1397" t="inlineStr">
        <is>
          <t>R10.9</t>
        </is>
      </c>
      <c r="K1397" t="inlineStr">
        <is>
          <t>Unspecified abdominal pain</t>
        </is>
      </c>
      <c r="L1397" t="inlineStr">
        <is>
          <t>Symptoms &amp; Signs</t>
        </is>
      </c>
      <c r="M1397" t="inlineStr">
        <is>
          <t>Home/Self-Care</t>
        </is>
      </c>
      <c r="N1397" t="inlineStr">
        <is>
          <t>Summit Choice PPO</t>
        </is>
      </c>
      <c r="O1397" s="31" t="n">
        <v>6071.76</v>
      </c>
    </row>
    <row r="1398">
      <c r="A1398" t="inlineStr">
        <is>
          <t>ENC116531</t>
        </is>
      </c>
      <c r="B1398" t="inlineStr">
        <is>
          <t>PT11200</t>
        </is>
      </c>
      <c r="C1398" t="inlineStr">
        <is>
          <t>Emergency</t>
        </is>
      </c>
      <c r="D1398" t="inlineStr">
        <is>
          <t>Cedar Ridge Medical Center</t>
        </is>
      </c>
      <c r="E1398" t="inlineStr">
        <is>
          <t>Emergency Department</t>
        </is>
      </c>
      <c r="F1398" t="inlineStr">
        <is>
          <t>Emergency</t>
        </is>
      </c>
      <c r="G1398" s="29" t="n">
        <v>45843</v>
      </c>
      <c r="H1398" s="29" t="n">
        <v>45843</v>
      </c>
      <c r="I1398" s="30" t="n"/>
      <c r="J1398" t="inlineStr">
        <is>
          <t>M54.50</t>
        </is>
      </c>
      <c r="K1398" t="inlineStr">
        <is>
          <t>Low back pain, unspecified</t>
        </is>
      </c>
      <c r="L1398" t="inlineStr">
        <is>
          <t>Musculoskeletal</t>
        </is>
      </c>
      <c r="M1398" t="inlineStr">
        <is>
          <t>Home/Self-Care</t>
        </is>
      </c>
      <c r="N1398" t="inlineStr">
        <is>
          <t>State Medicaid</t>
        </is>
      </c>
      <c r="O1398" s="31" t="n">
        <v>638.03</v>
      </c>
    </row>
    <row r="1399">
      <c r="A1399" t="inlineStr">
        <is>
          <t>ENC116543</t>
        </is>
      </c>
      <c r="B1399" t="inlineStr">
        <is>
          <t>PT12976</t>
        </is>
      </c>
      <c r="C1399" t="inlineStr">
        <is>
          <t>Inpatient</t>
        </is>
      </c>
      <c r="D1399" t="inlineStr">
        <is>
          <t>Cedar Ridge Medical Center</t>
        </is>
      </c>
      <c r="E1399" t="inlineStr">
        <is>
          <t>Medical-Surgical</t>
        </is>
      </c>
      <c r="F1399" t="inlineStr">
        <is>
          <t>Medicine</t>
        </is>
      </c>
      <c r="G1399" s="29" t="n">
        <v>45843</v>
      </c>
      <c r="H1399" s="29" t="n">
        <v>45849</v>
      </c>
      <c r="I1399" s="30" t="n">
        <v>6</v>
      </c>
      <c r="J1399" t="inlineStr">
        <is>
          <t>J18.9</t>
        </is>
      </c>
      <c r="K1399" t="inlineStr">
        <is>
          <t>Pneumonia, unspecified organism</t>
        </is>
      </c>
      <c r="L1399" t="inlineStr">
        <is>
          <t>Respiratory</t>
        </is>
      </c>
      <c r="M1399" t="inlineStr">
        <is>
          <t>Home/Self-Care</t>
        </is>
      </c>
      <c r="N1399" t="inlineStr">
        <is>
          <t>Medicare</t>
        </is>
      </c>
      <c r="O1399" s="31" t="n">
        <v>22195.32</v>
      </c>
      <c r="P1399" t="inlineStr">
        <is>
          <t>N</t>
        </is>
      </c>
    </row>
    <row r="1400">
      <c r="A1400" t="inlineStr">
        <is>
          <t>ENC116549</t>
        </is>
      </c>
      <c r="B1400" t="inlineStr">
        <is>
          <t>PT12636</t>
        </is>
      </c>
      <c r="C1400" t="inlineStr">
        <is>
          <t>Inpatient</t>
        </is>
      </c>
      <c r="D1400" t="inlineStr">
        <is>
          <t>Cedar Ridge Medical Center</t>
        </is>
      </c>
      <c r="E1400" t="inlineStr">
        <is>
          <t>Cardiac Step-Down</t>
        </is>
      </c>
      <c r="F1400" t="inlineStr">
        <is>
          <t>Cardiovascular</t>
        </is>
      </c>
      <c r="G1400" s="29" t="n">
        <v>45844</v>
      </c>
      <c r="H1400" s="29" t="n">
        <v>45846</v>
      </c>
      <c r="I1400" s="30" t="n">
        <v>2</v>
      </c>
      <c r="J1400" t="inlineStr">
        <is>
          <t>I48.91</t>
        </is>
      </c>
      <c r="K1400" t="inlineStr">
        <is>
          <t>Unspecified atrial fibrillation</t>
        </is>
      </c>
      <c r="L1400" t="inlineStr">
        <is>
          <t>Circulatory</t>
        </is>
      </c>
      <c r="M1400" t="inlineStr">
        <is>
          <t>Home/Self-Care</t>
        </is>
      </c>
      <c r="N1400" t="inlineStr">
        <is>
          <t>Medicare</t>
        </is>
      </c>
      <c r="O1400" s="31" t="n">
        <v>25466.96</v>
      </c>
      <c r="P1400" t="inlineStr">
        <is>
          <t>N</t>
        </is>
      </c>
    </row>
    <row r="1401">
      <c r="A1401" t="inlineStr">
        <is>
          <t>ENC116551</t>
        </is>
      </c>
      <c r="B1401" t="inlineStr">
        <is>
          <t>PT10576</t>
        </is>
      </c>
      <c r="C1401" t="inlineStr">
        <is>
          <t>Emergency</t>
        </is>
      </c>
      <c r="D1401" t="inlineStr">
        <is>
          <t>Bluestone Memorial Hospital</t>
        </is>
      </c>
      <c r="E1401" t="inlineStr">
        <is>
          <t>Emergency Department</t>
        </is>
      </c>
      <c r="F1401" t="inlineStr">
        <is>
          <t>Emergency</t>
        </is>
      </c>
      <c r="G1401" s="29" t="n">
        <v>45844</v>
      </c>
      <c r="H1401" s="29" t="n">
        <v>45844</v>
      </c>
      <c r="I1401" s="30" t="n"/>
      <c r="J1401" t="inlineStr">
        <is>
          <t>G43.909</t>
        </is>
      </c>
      <c r="K1401" t="inlineStr">
        <is>
          <t>Migraine, unspecified, not intractable, without status migrainosus</t>
        </is>
      </c>
      <c r="L1401" t="inlineStr">
        <is>
          <t>Nervous System</t>
        </is>
      </c>
      <c r="M1401" t="inlineStr">
        <is>
          <t>Home/Self-Care</t>
        </is>
      </c>
      <c r="N1401" t="inlineStr">
        <is>
          <t>Summit Choice PPO</t>
        </is>
      </c>
      <c r="O1401" s="31" t="n">
        <v>1766.41</v>
      </c>
    </row>
    <row r="1402">
      <c r="A1402" t="inlineStr">
        <is>
          <t>ENC116560</t>
        </is>
      </c>
      <c r="B1402" t="inlineStr">
        <is>
          <t>PT11300</t>
        </is>
      </c>
      <c r="C1402" t="inlineStr">
        <is>
          <t>Emergency</t>
        </is>
      </c>
      <c r="D1402" t="inlineStr">
        <is>
          <t>Bluestone Memorial Hospital</t>
        </is>
      </c>
      <c r="E1402" t="inlineStr">
        <is>
          <t>Emergency Department</t>
        </is>
      </c>
      <c r="F1402" t="inlineStr">
        <is>
          <t>Emergency</t>
        </is>
      </c>
      <c r="G1402" s="29" t="n">
        <v>45845</v>
      </c>
      <c r="H1402" s="29" t="n">
        <v>45845</v>
      </c>
      <c r="I1402" s="30" t="n"/>
      <c r="J1402" t="inlineStr">
        <is>
          <t>R55</t>
        </is>
      </c>
      <c r="K1402" t="inlineStr">
        <is>
          <t>Syncope and collapse</t>
        </is>
      </c>
      <c r="L1402" t="inlineStr">
        <is>
          <t>Symptoms &amp; Signs</t>
        </is>
      </c>
      <c r="M1402" t="inlineStr">
        <is>
          <t>Home/Self-Care</t>
        </is>
      </c>
      <c r="N1402" t="inlineStr">
        <is>
          <t>Keystone Health Partners</t>
        </is>
      </c>
      <c r="O1402" s="31" t="n">
        <v>1327.2</v>
      </c>
    </row>
    <row r="1403">
      <c r="A1403" t="inlineStr">
        <is>
          <t>ENC116564</t>
        </is>
      </c>
      <c r="B1403" t="inlineStr">
        <is>
          <t>PT11784</t>
        </is>
      </c>
      <c r="C1403" t="inlineStr">
        <is>
          <t>Inpatient</t>
        </is>
      </c>
      <c r="D1403" t="inlineStr">
        <is>
          <t>Bluestone Memorial Hospital</t>
        </is>
      </c>
      <c r="E1403" t="inlineStr">
        <is>
          <t>Medical-Surgical 4 West</t>
        </is>
      </c>
      <c r="F1403" t="inlineStr">
        <is>
          <t>Medicine</t>
        </is>
      </c>
      <c r="G1403" s="29" t="n">
        <v>45845</v>
      </c>
      <c r="H1403" s="29" t="n">
        <v>45846</v>
      </c>
      <c r="I1403" s="30" t="n">
        <v>1</v>
      </c>
      <c r="J1403" t="inlineStr">
        <is>
          <t>J18.9</t>
        </is>
      </c>
      <c r="K1403" t="inlineStr">
        <is>
          <t>Pneumonia, unspecified organism</t>
        </is>
      </c>
      <c r="L1403" t="inlineStr">
        <is>
          <t>Respiratory</t>
        </is>
      </c>
      <c r="M1403" t="inlineStr">
        <is>
          <t>Home/Self-Care</t>
        </is>
      </c>
      <c r="N1403" t="inlineStr">
        <is>
          <t>Evergreen Mutual Insurance</t>
        </is>
      </c>
      <c r="O1403" s="31" t="n">
        <v>5449.93</v>
      </c>
      <c r="P1403" t="inlineStr">
        <is>
          <t>N</t>
        </is>
      </c>
    </row>
    <row r="1404">
      <c r="A1404" t="inlineStr">
        <is>
          <t>ENC116565</t>
        </is>
      </c>
      <c r="B1404" t="inlineStr">
        <is>
          <t>PT10716</t>
        </is>
      </c>
      <c r="C1404" t="inlineStr">
        <is>
          <t>Outpatient</t>
        </is>
      </c>
      <c r="D1404" t="inlineStr">
        <is>
          <t>Bluestone Outpatient Pavilion</t>
        </is>
      </c>
      <c r="E1404" t="inlineStr">
        <is>
          <t>Primary Care Clinic</t>
        </is>
      </c>
      <c r="F1404" t="inlineStr">
        <is>
          <t>Ambulatory</t>
        </is>
      </c>
      <c r="G1404" s="29" t="n">
        <v>45845</v>
      </c>
      <c r="H1404" s="29" t="n">
        <v>45845</v>
      </c>
      <c r="I1404" s="30" t="n"/>
      <c r="J1404" t="inlineStr">
        <is>
          <t>Z00.00</t>
        </is>
      </c>
      <c r="K1404" t="inlineStr">
        <is>
          <t>Encounter for general adult medical examination without abnormal findings</t>
        </is>
      </c>
      <c r="L1404" t="inlineStr">
        <is>
          <t>Factors Influencing Health</t>
        </is>
      </c>
      <c r="M1404" t="inlineStr">
        <is>
          <t>Home/Self-Care</t>
        </is>
      </c>
      <c r="N1404" t="inlineStr">
        <is>
          <t>Medicare</t>
        </is>
      </c>
      <c r="O1404" s="31" t="n">
        <v>369.78</v>
      </c>
    </row>
    <row r="1405">
      <c r="A1405" t="inlineStr">
        <is>
          <t>ENC116568</t>
        </is>
      </c>
      <c r="B1405" t="inlineStr">
        <is>
          <t>PT10516</t>
        </is>
      </c>
      <c r="C1405" t="inlineStr">
        <is>
          <t>Outpatient</t>
        </is>
      </c>
      <c r="D1405" t="inlineStr">
        <is>
          <t>Bluestone Outpatient Pavilion</t>
        </is>
      </c>
      <c r="E1405" t="inlineStr">
        <is>
          <t>Infusion &amp; Oncology Clinic</t>
        </is>
      </c>
      <c r="F1405" t="inlineStr">
        <is>
          <t>Oncology</t>
        </is>
      </c>
      <c r="G1405" s="29" t="n">
        <v>45845</v>
      </c>
      <c r="H1405" s="29" t="n">
        <v>45845</v>
      </c>
      <c r="I1405" s="30" t="n"/>
      <c r="J1405" t="inlineStr">
        <is>
          <t>Z51.11</t>
        </is>
      </c>
      <c r="K1405" t="inlineStr">
        <is>
          <t>Encounter for antineoplastic chemotherapy</t>
        </is>
      </c>
      <c r="L1405" t="inlineStr">
        <is>
          <t>Factors Influencing Health</t>
        </is>
      </c>
      <c r="M1405" t="inlineStr">
        <is>
          <t>Home/Self-Care</t>
        </is>
      </c>
      <c r="N1405" t="inlineStr">
        <is>
          <t>Evergreen Mutual Insurance</t>
        </is>
      </c>
      <c r="O1405" s="31" t="n">
        <v>9942.940000000001</v>
      </c>
    </row>
    <row r="1406">
      <c r="A1406" t="inlineStr">
        <is>
          <t>ENC116572</t>
        </is>
      </c>
      <c r="B1406" t="inlineStr">
        <is>
          <t>PT13896</t>
        </is>
      </c>
      <c r="C1406" t="inlineStr">
        <is>
          <t>Outpatient</t>
        </is>
      </c>
      <c r="D1406" t="inlineStr">
        <is>
          <t>Bluestone Outpatient Pavilion</t>
        </is>
      </c>
      <c r="E1406" t="inlineStr">
        <is>
          <t>Primary Care Clinic</t>
        </is>
      </c>
      <c r="F1406" t="inlineStr">
        <is>
          <t>Ambulatory</t>
        </is>
      </c>
      <c r="G1406" s="29" t="n">
        <v>45845</v>
      </c>
      <c r="H1406" s="29" t="n">
        <v>45845</v>
      </c>
      <c r="I1406" s="30" t="n"/>
      <c r="J1406" t="inlineStr">
        <is>
          <t>G43.909</t>
        </is>
      </c>
      <c r="K1406" t="inlineStr">
        <is>
          <t>Migraine, unspecified, not intractable, without status migrainosus</t>
        </is>
      </c>
      <c r="L1406" t="inlineStr">
        <is>
          <t>Nervous System</t>
        </is>
      </c>
      <c r="M1406" t="inlineStr">
        <is>
          <t>Home/Self-Care</t>
        </is>
      </c>
      <c r="N1406" t="inlineStr">
        <is>
          <t>Evergreen Mutual Insurance</t>
        </is>
      </c>
      <c r="O1406" s="31" t="n">
        <v>291.11</v>
      </c>
    </row>
    <row r="1407">
      <c r="A1407" t="inlineStr">
        <is>
          <t>ENC116573</t>
        </is>
      </c>
      <c r="B1407" t="inlineStr">
        <is>
          <t>PT12340</t>
        </is>
      </c>
      <c r="C1407" t="inlineStr">
        <is>
          <t>Outpatient</t>
        </is>
      </c>
      <c r="D1407" t="inlineStr">
        <is>
          <t>Bluestone Outpatient Pavilion</t>
        </is>
      </c>
      <c r="E1407" t="inlineStr">
        <is>
          <t>Primary Care Clinic</t>
        </is>
      </c>
      <c r="F1407" t="inlineStr">
        <is>
          <t>Ambulatory</t>
        </is>
      </c>
      <c r="G1407" s="29" t="n">
        <v>45845</v>
      </c>
      <c r="H1407" s="29" t="n">
        <v>45845</v>
      </c>
      <c r="I1407" s="30" t="n"/>
      <c r="J1407" t="inlineStr">
        <is>
          <t>Z00.00</t>
        </is>
      </c>
      <c r="K1407" t="inlineStr">
        <is>
          <t>Encounter for general adult medical examination without abnormal findings</t>
        </is>
      </c>
      <c r="L1407" t="inlineStr">
        <is>
          <t>Factors Influencing Health</t>
        </is>
      </c>
      <c r="M1407" t="inlineStr">
        <is>
          <t>Home/Self-Care</t>
        </is>
      </c>
      <c r="N1407" t="inlineStr">
        <is>
          <t>Summit Choice PPO</t>
        </is>
      </c>
      <c r="O1407" s="31" t="n">
        <v>218.68</v>
      </c>
    </row>
    <row r="1408">
      <c r="A1408" t="inlineStr">
        <is>
          <t>ENC116575</t>
        </is>
      </c>
      <c r="B1408" t="inlineStr">
        <is>
          <t>PT12180</t>
        </is>
      </c>
      <c r="C1408" t="inlineStr">
        <is>
          <t>Observation</t>
        </is>
      </c>
      <c r="D1408" t="inlineStr">
        <is>
          <t>Bluestone Memorial Hospital</t>
        </is>
      </c>
      <c r="E1408" t="inlineStr">
        <is>
          <t>Observation Unit</t>
        </is>
      </c>
      <c r="F1408" t="inlineStr">
        <is>
          <t>Medicine</t>
        </is>
      </c>
      <c r="G1408" s="29" t="n">
        <v>45845</v>
      </c>
      <c r="H1408" s="29" t="n">
        <v>45846</v>
      </c>
      <c r="I1408" s="30" t="n">
        <v>1</v>
      </c>
      <c r="J1408" t="inlineStr">
        <is>
          <t>S06.0X0A</t>
        </is>
      </c>
      <c r="K1408" t="inlineStr">
        <is>
          <t>Concussion without loss of consciousness, initial encounter</t>
        </is>
      </c>
      <c r="L1408" t="inlineStr">
        <is>
          <t>Injury</t>
        </is>
      </c>
      <c r="M1408" t="inlineStr">
        <is>
          <t>Home/Self-Care</t>
        </is>
      </c>
      <c r="N1408" t="inlineStr">
        <is>
          <t>Silverline Medicare Advantage</t>
        </is>
      </c>
      <c r="O1408" s="31" t="n">
        <v>6101.85</v>
      </c>
    </row>
    <row r="1409">
      <c r="A1409" t="inlineStr">
        <is>
          <t>ENC116580</t>
        </is>
      </c>
      <c r="B1409" t="inlineStr">
        <is>
          <t>PT12244</t>
        </is>
      </c>
      <c r="C1409" t="inlineStr">
        <is>
          <t>Outpatient</t>
        </is>
      </c>
      <c r="D1409" t="inlineStr">
        <is>
          <t>Bluestone Outpatient Pavilion</t>
        </is>
      </c>
      <c r="E1409" t="inlineStr">
        <is>
          <t>Primary Care Clinic</t>
        </is>
      </c>
      <c r="F1409" t="inlineStr">
        <is>
          <t>Ambulatory</t>
        </is>
      </c>
      <c r="G1409" s="29" t="n">
        <v>45845</v>
      </c>
      <c r="H1409" s="29" t="n">
        <v>45845</v>
      </c>
      <c r="I1409" s="30" t="n"/>
      <c r="J1409" t="inlineStr">
        <is>
          <t>I10</t>
        </is>
      </c>
      <c r="K1409" t="inlineStr">
        <is>
          <t>Essential (primary) hypertension</t>
        </is>
      </c>
      <c r="L1409" t="inlineStr">
        <is>
          <t>Circulatory</t>
        </is>
      </c>
      <c r="M1409" t="inlineStr">
        <is>
          <t>Home/Self-Care</t>
        </is>
      </c>
      <c r="N1409" t="inlineStr">
        <is>
          <t>Silverline Medicare Advantage</t>
        </is>
      </c>
      <c r="O1409" s="31" t="n">
        <v>492.96</v>
      </c>
    </row>
    <row r="1410">
      <c r="A1410" t="inlineStr">
        <is>
          <t>ENC116593</t>
        </is>
      </c>
      <c r="B1410" t="inlineStr">
        <is>
          <t>PT12372</t>
        </is>
      </c>
      <c r="C1410" t="inlineStr">
        <is>
          <t>Emergency</t>
        </is>
      </c>
      <c r="D1410" t="inlineStr">
        <is>
          <t>Bluestone Memorial Hospital</t>
        </is>
      </c>
      <c r="E1410" t="inlineStr">
        <is>
          <t>Emergency Department</t>
        </is>
      </c>
      <c r="F1410" t="inlineStr">
        <is>
          <t>Emergency</t>
        </is>
      </c>
      <c r="G1410" s="29" t="n">
        <v>45845</v>
      </c>
      <c r="H1410" s="29" t="n">
        <v>45846</v>
      </c>
      <c r="I1410" s="30" t="n"/>
      <c r="J1410" t="inlineStr">
        <is>
          <t>F32.9</t>
        </is>
      </c>
      <c r="K1410" t="inlineStr">
        <is>
          <t>Major depressive disorder, single episode, unspecified</t>
        </is>
      </c>
      <c r="L1410" t="inlineStr">
        <is>
          <t>Mental &amp; Behavioral</t>
        </is>
      </c>
      <c r="M1410" t="inlineStr">
        <is>
          <t>Home/Self-Care</t>
        </is>
      </c>
      <c r="N1410" t="inlineStr">
        <is>
          <t>Evergreen Mutual Insurance</t>
        </is>
      </c>
      <c r="O1410" s="31" t="n">
        <v>5468.25</v>
      </c>
    </row>
    <row r="1411">
      <c r="A1411" t="inlineStr">
        <is>
          <t>ENC116596</t>
        </is>
      </c>
      <c r="B1411" t="inlineStr">
        <is>
          <t>PT13276</t>
        </is>
      </c>
      <c r="C1411" t="inlineStr">
        <is>
          <t>Emergency</t>
        </is>
      </c>
      <c r="D1411" t="inlineStr">
        <is>
          <t>Bluestone Memorial Hospital</t>
        </is>
      </c>
      <c r="E1411" t="inlineStr">
        <is>
          <t>Emergency Department</t>
        </is>
      </c>
      <c r="F1411" t="inlineStr">
        <is>
          <t>Emergency</t>
        </is>
      </c>
      <c r="G1411" s="29" t="n">
        <v>45845</v>
      </c>
      <c r="H1411" s="29" t="n">
        <v>45846</v>
      </c>
      <c r="I1411" s="30" t="n"/>
      <c r="J1411" t="inlineStr">
        <is>
          <t>H66.90</t>
        </is>
      </c>
      <c r="K1411" t="inlineStr">
        <is>
          <t>Otitis media, unspecified, unspecified ear</t>
        </is>
      </c>
      <c r="L1411" t="inlineStr">
        <is>
          <t>Ear</t>
        </is>
      </c>
      <c r="M1411" t="inlineStr">
        <is>
          <t>Home/Self-Care</t>
        </is>
      </c>
      <c r="N1411" t="inlineStr">
        <is>
          <t>Keystone Health Partners</t>
        </is>
      </c>
      <c r="O1411" s="31" t="n">
        <v>2693.72</v>
      </c>
    </row>
    <row r="1412">
      <c r="A1412" t="inlineStr">
        <is>
          <t>ENC116597</t>
        </is>
      </c>
      <c r="B1412" t="inlineStr">
        <is>
          <t>PT10804</t>
        </is>
      </c>
      <c r="C1412" t="inlineStr">
        <is>
          <t>Emergency</t>
        </is>
      </c>
      <c r="D1412" t="inlineStr">
        <is>
          <t>Cedar Ridge Medical Center</t>
        </is>
      </c>
      <c r="E1412" t="inlineStr">
        <is>
          <t>Emergency Department</t>
        </is>
      </c>
      <c r="F1412" t="inlineStr">
        <is>
          <t>Emergency</t>
        </is>
      </c>
      <c r="G1412" s="29" t="n">
        <v>45846</v>
      </c>
      <c r="H1412" s="29" t="n">
        <v>45846</v>
      </c>
      <c r="I1412" s="30" t="n"/>
      <c r="J1412" t="inlineStr">
        <is>
          <t>J06.9</t>
        </is>
      </c>
      <c r="K1412" t="inlineStr">
        <is>
          <t>Acute upper respiratory infection, unspecified</t>
        </is>
      </c>
      <c r="L1412" t="inlineStr">
        <is>
          <t>Respiratory</t>
        </is>
      </c>
      <c r="M1412" t="inlineStr">
        <is>
          <t>Home/Self-Care</t>
        </is>
      </c>
      <c r="N1412" t="inlineStr">
        <is>
          <t>Keystone Health Partners</t>
        </is>
      </c>
      <c r="O1412" s="31" t="n">
        <v>1467.54</v>
      </c>
    </row>
    <row r="1413">
      <c r="A1413" t="inlineStr">
        <is>
          <t>ENC116598</t>
        </is>
      </c>
      <c r="B1413" t="inlineStr">
        <is>
          <t>PT12232</t>
        </is>
      </c>
      <c r="C1413" t="inlineStr">
        <is>
          <t>Inpatient</t>
        </is>
      </c>
      <c r="D1413" t="inlineStr">
        <is>
          <t>Bluestone Memorial Hospital</t>
        </is>
      </c>
      <c r="E1413" t="inlineStr">
        <is>
          <t>Labor &amp; Delivery</t>
        </is>
      </c>
      <c r="F1413" t="inlineStr">
        <is>
          <t>Women &amp; Children</t>
        </is>
      </c>
      <c r="G1413" s="29" t="n">
        <v>45846</v>
      </c>
      <c r="H1413" s="29" t="n">
        <v>45848</v>
      </c>
      <c r="I1413" s="30" t="n">
        <v>2</v>
      </c>
      <c r="J1413" t="inlineStr">
        <is>
          <t>O80</t>
        </is>
      </c>
      <c r="K1413" t="inlineStr">
        <is>
          <t>Encounter for full-term uncomplicated delivery</t>
        </is>
      </c>
      <c r="L1413" t="inlineStr">
        <is>
          <t>Pregnancy</t>
        </is>
      </c>
      <c r="M1413" t="inlineStr">
        <is>
          <t>Home/Self-Care</t>
        </is>
      </c>
      <c r="N1413" t="inlineStr">
        <is>
          <t>Summit Choice PPO</t>
        </is>
      </c>
      <c r="O1413" s="31" t="n">
        <v>15661.47</v>
      </c>
      <c r="P1413" t="inlineStr">
        <is>
          <t>N</t>
        </is>
      </c>
    </row>
    <row r="1414">
      <c r="A1414" t="inlineStr">
        <is>
          <t>ENC116601</t>
        </is>
      </c>
      <c r="B1414" t="inlineStr">
        <is>
          <t>PT10036</t>
        </is>
      </c>
      <c r="C1414" t="inlineStr">
        <is>
          <t>Emergency</t>
        </is>
      </c>
      <c r="D1414" t="inlineStr">
        <is>
          <t>Bluestone Memorial Hospital</t>
        </is>
      </c>
      <c r="E1414" t="inlineStr">
        <is>
          <t>Emergency Department</t>
        </is>
      </c>
      <c r="F1414" t="inlineStr">
        <is>
          <t>Emergency</t>
        </is>
      </c>
      <c r="G1414" s="29" t="n">
        <v>45846</v>
      </c>
      <c r="H1414" s="29" t="n">
        <v>45846</v>
      </c>
      <c r="I1414" s="30" t="n"/>
      <c r="J1414" t="inlineStr">
        <is>
          <t>R10.9</t>
        </is>
      </c>
      <c r="K1414" t="inlineStr">
        <is>
          <t>Unspecified abdominal pain</t>
        </is>
      </c>
      <c r="L1414" t="inlineStr">
        <is>
          <t>Symptoms &amp; Signs</t>
        </is>
      </c>
      <c r="M1414" t="inlineStr">
        <is>
          <t>Left AMA</t>
        </is>
      </c>
      <c r="N1414" t="inlineStr">
        <is>
          <t>Summit Choice PPO</t>
        </is>
      </c>
      <c r="O1414" s="31" t="n">
        <v>2018.34</v>
      </c>
    </row>
    <row r="1415">
      <c r="A1415" t="inlineStr">
        <is>
          <t>ENC116603</t>
        </is>
      </c>
      <c r="B1415" t="inlineStr">
        <is>
          <t>PT13980</t>
        </is>
      </c>
      <c r="C1415" t="inlineStr">
        <is>
          <t>Outpatient</t>
        </is>
      </c>
      <c r="D1415" t="inlineStr">
        <is>
          <t>Bluestone Outpatient Pavilion</t>
        </is>
      </c>
      <c r="E1415" t="inlineStr">
        <is>
          <t>Primary Care Clinic</t>
        </is>
      </c>
      <c r="F1415" t="inlineStr">
        <is>
          <t>Ambulatory</t>
        </is>
      </c>
      <c r="G1415" s="29" t="n">
        <v>45846</v>
      </c>
      <c r="H1415" s="29" t="n">
        <v>45846</v>
      </c>
      <c r="I1415" s="30" t="n"/>
      <c r="J1415" t="inlineStr">
        <is>
          <t>Z00.00</t>
        </is>
      </c>
      <c r="K1415" t="inlineStr">
        <is>
          <t>Encounter for general adult medical examination without abnormal findings</t>
        </is>
      </c>
      <c r="L1415" t="inlineStr">
        <is>
          <t>Factors Influencing Health</t>
        </is>
      </c>
      <c r="M1415" t="inlineStr">
        <is>
          <t>Home/Self-Care</t>
        </is>
      </c>
      <c r="N1415" t="inlineStr">
        <is>
          <t>Medicare</t>
        </is>
      </c>
      <c r="O1415" s="31" t="n">
        <v>260.2</v>
      </c>
    </row>
    <row r="1416">
      <c r="A1416" t="inlineStr">
        <is>
          <t>ENC116605</t>
        </is>
      </c>
      <c r="B1416" t="inlineStr">
        <is>
          <t>PT11604</t>
        </is>
      </c>
      <c r="C1416" t="inlineStr">
        <is>
          <t>Outpatient</t>
        </is>
      </c>
      <c r="D1416" t="inlineStr">
        <is>
          <t>Bluestone Outpatient Pavilion</t>
        </is>
      </c>
      <c r="E1416" t="inlineStr">
        <is>
          <t>Endocrinology &amp; Diabetes Clinic</t>
        </is>
      </c>
      <c r="F1416" t="inlineStr">
        <is>
          <t>Ambulatory</t>
        </is>
      </c>
      <c r="G1416" s="29" t="n">
        <v>45846</v>
      </c>
      <c r="H1416" s="29" t="n">
        <v>45846</v>
      </c>
      <c r="I1416" s="30" t="n"/>
      <c r="J1416" t="inlineStr">
        <is>
          <t>E11.9</t>
        </is>
      </c>
      <c r="K1416" t="inlineStr">
        <is>
          <t>Type 2 diabetes mellitus without complications</t>
        </is>
      </c>
      <c r="L1416" t="inlineStr">
        <is>
          <t>Endocrine</t>
        </is>
      </c>
      <c r="M1416" t="inlineStr">
        <is>
          <t>Home/Self-Care</t>
        </is>
      </c>
      <c r="N1416" t="inlineStr">
        <is>
          <t>Summit Choice PPO</t>
        </is>
      </c>
      <c r="O1416" s="31" t="n">
        <v>348.97</v>
      </c>
    </row>
    <row r="1417">
      <c r="A1417" t="inlineStr">
        <is>
          <t>ENC116607</t>
        </is>
      </c>
      <c r="B1417" t="inlineStr">
        <is>
          <t>PT10772</t>
        </is>
      </c>
      <c r="C1417" t="inlineStr">
        <is>
          <t>Outpatient</t>
        </is>
      </c>
      <c r="D1417" t="inlineStr">
        <is>
          <t>Bluestone Outpatient Pavilion</t>
        </is>
      </c>
      <c r="E1417" t="inlineStr">
        <is>
          <t>Endocrinology &amp; Diabetes Clinic</t>
        </is>
      </c>
      <c r="F1417" t="inlineStr">
        <is>
          <t>Ambulatory</t>
        </is>
      </c>
      <c r="G1417" s="29" t="n">
        <v>45846</v>
      </c>
      <c r="H1417" s="29" t="n">
        <v>45846</v>
      </c>
      <c r="I1417" s="30" t="n"/>
      <c r="J1417" t="inlineStr">
        <is>
          <t>E11.9</t>
        </is>
      </c>
      <c r="K1417" t="inlineStr">
        <is>
          <t>Type 2 diabetes mellitus without complications</t>
        </is>
      </c>
      <c r="L1417" t="inlineStr">
        <is>
          <t>Endocrine</t>
        </is>
      </c>
      <c r="M1417" t="inlineStr">
        <is>
          <t>Home/Self-Care</t>
        </is>
      </c>
      <c r="N1417" t="inlineStr">
        <is>
          <t>Silverline Medicare Advantage</t>
        </is>
      </c>
      <c r="O1417" s="31" t="n">
        <v>311.32</v>
      </c>
    </row>
    <row r="1418">
      <c r="A1418" t="inlineStr">
        <is>
          <t>ENC116615</t>
        </is>
      </c>
      <c r="B1418" t="inlineStr">
        <is>
          <t>PT13996</t>
        </is>
      </c>
      <c r="C1418" t="inlineStr">
        <is>
          <t>Inpatient</t>
        </is>
      </c>
      <c r="D1418" t="inlineStr">
        <is>
          <t>Bluestone Memorial Hospital</t>
        </is>
      </c>
      <c r="E1418" t="inlineStr">
        <is>
          <t>Neuroscience &amp; Stroke</t>
        </is>
      </c>
      <c r="F1418" t="inlineStr">
        <is>
          <t>Neuroscience</t>
        </is>
      </c>
      <c r="G1418" s="29" t="n">
        <v>45846</v>
      </c>
      <c r="H1418" s="29" t="n">
        <v>45851</v>
      </c>
      <c r="I1418" s="30" t="n">
        <v>5</v>
      </c>
      <c r="J1418" t="inlineStr">
        <is>
          <t>I63.9</t>
        </is>
      </c>
      <c r="K1418" t="inlineStr">
        <is>
          <t>Cerebral infarction, unspecified</t>
        </is>
      </c>
      <c r="L1418" t="inlineStr">
        <is>
          <t>Circulatory</t>
        </is>
      </c>
      <c r="M1418" t="inlineStr">
        <is>
          <t>Home/Self-Care</t>
        </is>
      </c>
      <c r="N1418" t="inlineStr">
        <is>
          <t>Medicare</t>
        </is>
      </c>
      <c r="O1418" s="31" t="n">
        <v>25125.83</v>
      </c>
      <c r="P1418" t="inlineStr">
        <is>
          <t>N</t>
        </is>
      </c>
    </row>
    <row r="1419">
      <c r="A1419" t="inlineStr">
        <is>
          <t>ENC116627</t>
        </is>
      </c>
      <c r="B1419" t="inlineStr">
        <is>
          <t>PT11112</t>
        </is>
      </c>
      <c r="C1419" t="inlineStr">
        <is>
          <t>Emergency</t>
        </is>
      </c>
      <c r="D1419" t="inlineStr">
        <is>
          <t>Bluestone Memorial Hospital</t>
        </is>
      </c>
      <c r="E1419" t="inlineStr">
        <is>
          <t>Emergency Department</t>
        </is>
      </c>
      <c r="F1419" t="inlineStr">
        <is>
          <t>Emergency</t>
        </is>
      </c>
      <c r="G1419" s="29" t="n">
        <v>45846</v>
      </c>
      <c r="H1419" s="29" t="n">
        <v>45846</v>
      </c>
      <c r="I1419" s="30" t="n"/>
      <c r="J1419" t="inlineStr">
        <is>
          <t>E86.0</t>
        </is>
      </c>
      <c r="K1419" t="inlineStr">
        <is>
          <t>Dehydration</t>
        </is>
      </c>
      <c r="L1419" t="inlineStr">
        <is>
          <t>Endocrine</t>
        </is>
      </c>
      <c r="M1419" t="inlineStr">
        <is>
          <t>Home/Self-Care</t>
        </is>
      </c>
      <c r="N1419" t="inlineStr">
        <is>
          <t>Summit Choice PPO</t>
        </is>
      </c>
      <c r="O1419" s="31" t="n">
        <v>4118.92</v>
      </c>
    </row>
    <row r="1420">
      <c r="A1420" t="inlineStr">
        <is>
          <t>ENC116632</t>
        </is>
      </c>
      <c r="B1420" t="inlineStr">
        <is>
          <t>PT11004</t>
        </is>
      </c>
      <c r="C1420" t="inlineStr">
        <is>
          <t>Outpatient</t>
        </is>
      </c>
      <c r="D1420" t="inlineStr">
        <is>
          <t>Bluestone Outpatient Pavilion</t>
        </is>
      </c>
      <c r="E1420" t="inlineStr">
        <is>
          <t>Orthopedic Clinic</t>
        </is>
      </c>
      <c r="F1420" t="inlineStr">
        <is>
          <t>Orthopedics</t>
        </is>
      </c>
      <c r="G1420" s="29" t="n">
        <v>45847</v>
      </c>
      <c r="H1420" s="29" t="n">
        <v>45847</v>
      </c>
      <c r="I1420" s="30" t="n"/>
      <c r="J1420" t="inlineStr">
        <is>
          <t>M16.11</t>
        </is>
      </c>
      <c r="K1420" t="inlineStr">
        <is>
          <t>Unilateral primary osteoarthritis, right hip</t>
        </is>
      </c>
      <c r="L1420" t="inlineStr">
        <is>
          <t>Musculoskeletal</t>
        </is>
      </c>
      <c r="M1420" t="inlineStr">
        <is>
          <t>Home/Self-Care</t>
        </is>
      </c>
      <c r="N1420" t="inlineStr">
        <is>
          <t>Silverline Medicare Advantage</t>
        </is>
      </c>
      <c r="O1420" s="31" t="n">
        <v>240</v>
      </c>
    </row>
    <row r="1421">
      <c r="A1421" t="inlineStr">
        <is>
          <t>ENC116636</t>
        </is>
      </c>
      <c r="B1421" t="inlineStr">
        <is>
          <t>PT13672</t>
        </is>
      </c>
      <c r="C1421" t="inlineStr">
        <is>
          <t>Inpatient</t>
        </is>
      </c>
      <c r="D1421" t="inlineStr">
        <is>
          <t>Cedar Ridge Medical Center</t>
        </is>
      </c>
      <c r="E1421" t="inlineStr">
        <is>
          <t>Medical-Surgical</t>
        </is>
      </c>
      <c r="F1421" t="inlineStr">
        <is>
          <t>Medicine</t>
        </is>
      </c>
      <c r="G1421" s="29" t="n">
        <v>45847</v>
      </c>
      <c r="H1421" s="29" t="n">
        <v>45850</v>
      </c>
      <c r="I1421" s="30" t="n">
        <v>3</v>
      </c>
      <c r="J1421" t="inlineStr">
        <is>
          <t>J18.9</t>
        </is>
      </c>
      <c r="K1421" t="inlineStr">
        <is>
          <t>Pneumonia, unspecified organism</t>
        </is>
      </c>
      <c r="L1421" t="inlineStr">
        <is>
          <t>Respiratory</t>
        </is>
      </c>
      <c r="M1421" t="inlineStr">
        <is>
          <t>Home/Self-Care</t>
        </is>
      </c>
      <c r="N1421" t="inlineStr">
        <is>
          <t>Silverline Medicare Advantage</t>
        </is>
      </c>
      <c r="O1421" s="31" t="n">
        <v>15946.42</v>
      </c>
      <c r="P1421" t="inlineStr">
        <is>
          <t>N</t>
        </is>
      </c>
    </row>
    <row r="1422">
      <c r="A1422" t="inlineStr">
        <is>
          <t>ENC116641</t>
        </is>
      </c>
      <c r="B1422" t="inlineStr">
        <is>
          <t>PT10584</t>
        </is>
      </c>
      <c r="C1422" t="inlineStr">
        <is>
          <t>Outpatient</t>
        </is>
      </c>
      <c r="D1422" t="inlineStr">
        <is>
          <t>Bluestone Outpatient Pavilion</t>
        </is>
      </c>
      <c r="E1422" t="inlineStr">
        <is>
          <t>Primary Care Clinic</t>
        </is>
      </c>
      <c r="F1422" t="inlineStr">
        <is>
          <t>Ambulatory</t>
        </is>
      </c>
      <c r="G1422" s="29" t="n">
        <v>45847</v>
      </c>
      <c r="H1422" s="29" t="n">
        <v>45847</v>
      </c>
      <c r="I1422" s="30" t="n"/>
      <c r="J1422" t="inlineStr">
        <is>
          <t>J45.909</t>
        </is>
      </c>
      <c r="K1422" t="inlineStr">
        <is>
          <t>Unspecified asthma, uncomplicated</t>
        </is>
      </c>
      <c r="L1422" t="inlineStr">
        <is>
          <t>Respiratory</t>
        </is>
      </c>
      <c r="M1422" t="inlineStr">
        <is>
          <t>Home/Self-Care</t>
        </is>
      </c>
      <c r="N1422" t="inlineStr">
        <is>
          <t>Keystone Health Partners</t>
        </is>
      </c>
      <c r="O1422" s="31" t="n">
        <v>308.88</v>
      </c>
    </row>
    <row r="1423">
      <c r="A1423" t="inlineStr">
        <is>
          <t>ENC116642</t>
        </is>
      </c>
      <c r="B1423" t="inlineStr">
        <is>
          <t>PT10064</t>
        </is>
      </c>
      <c r="C1423" t="inlineStr">
        <is>
          <t>Inpatient</t>
        </is>
      </c>
      <c r="D1423" t="inlineStr">
        <is>
          <t>Bluestone Memorial Hospital</t>
        </is>
      </c>
      <c r="E1423" t="inlineStr">
        <is>
          <t>Cardiac Step-Down</t>
        </is>
      </c>
      <c r="F1423" t="inlineStr">
        <is>
          <t>Cardiovascular</t>
        </is>
      </c>
      <c r="G1423" s="29" t="n">
        <v>45847</v>
      </c>
      <c r="H1423" s="29" t="n">
        <v>45851</v>
      </c>
      <c r="I1423" s="30" t="n">
        <v>4</v>
      </c>
      <c r="J1423" t="inlineStr">
        <is>
          <t>I21.4</t>
        </is>
      </c>
      <c r="K1423" t="inlineStr">
        <is>
          <t>Non-ST elevation (NSTEMI) myocardial infarction</t>
        </is>
      </c>
      <c r="L1423" t="inlineStr">
        <is>
          <t>Circulatory</t>
        </is>
      </c>
      <c r="M1423" t="inlineStr">
        <is>
          <t>Home/Self-Care</t>
        </is>
      </c>
      <c r="N1423" t="inlineStr">
        <is>
          <t>Summit Choice PPO</t>
        </is>
      </c>
      <c r="O1423" s="31" t="n">
        <v>63426.39</v>
      </c>
      <c r="P1423" t="inlineStr">
        <is>
          <t>N</t>
        </is>
      </c>
    </row>
    <row r="1424">
      <c r="A1424" t="inlineStr">
        <is>
          <t>ENC116643</t>
        </is>
      </c>
      <c r="B1424" t="inlineStr">
        <is>
          <t>PT12264</t>
        </is>
      </c>
      <c r="C1424" t="inlineStr">
        <is>
          <t>Outpatient</t>
        </is>
      </c>
      <c r="D1424" t="inlineStr">
        <is>
          <t>Bluestone Outpatient Pavilion</t>
        </is>
      </c>
      <c r="E1424" t="inlineStr">
        <is>
          <t>Endocrinology &amp; Diabetes Clinic</t>
        </is>
      </c>
      <c r="F1424" t="inlineStr">
        <is>
          <t>Ambulatory</t>
        </is>
      </c>
      <c r="G1424" s="29" t="n">
        <v>45847</v>
      </c>
      <c r="H1424" s="29" t="n">
        <v>45847</v>
      </c>
      <c r="I1424" s="30" t="n"/>
      <c r="J1424" t="inlineStr">
        <is>
          <t>E11.9</t>
        </is>
      </c>
      <c r="K1424" t="inlineStr">
        <is>
          <t>Type 2 diabetes mellitus without complications</t>
        </is>
      </c>
      <c r="L1424" t="inlineStr">
        <is>
          <t>Endocrine</t>
        </is>
      </c>
      <c r="M1424" t="inlineStr">
        <is>
          <t>Home/Self-Care</t>
        </is>
      </c>
      <c r="N1424" t="inlineStr">
        <is>
          <t>Medicare</t>
        </is>
      </c>
      <c r="O1424" s="31" t="n">
        <v>454.56</v>
      </c>
    </row>
    <row r="1425">
      <c r="A1425" t="inlineStr">
        <is>
          <t>ENC116646</t>
        </is>
      </c>
      <c r="B1425" t="inlineStr">
        <is>
          <t>PT10740</t>
        </is>
      </c>
      <c r="C1425" t="inlineStr">
        <is>
          <t>Inpatient</t>
        </is>
      </c>
      <c r="D1425" t="inlineStr">
        <is>
          <t>Bluestone Memorial Hospital</t>
        </is>
      </c>
      <c r="E1425" t="inlineStr">
        <is>
          <t>Cardiac Step-Down</t>
        </is>
      </c>
      <c r="F1425" t="inlineStr">
        <is>
          <t>Cardiovascular</t>
        </is>
      </c>
      <c r="G1425" s="29" t="n">
        <v>45847</v>
      </c>
      <c r="H1425" s="29" t="n">
        <v>45850</v>
      </c>
      <c r="I1425" s="30" t="n">
        <v>3</v>
      </c>
      <c r="J1425" t="inlineStr">
        <is>
          <t>I50.9</t>
        </is>
      </c>
      <c r="K1425" t="inlineStr">
        <is>
          <t>Heart failure, unspecified</t>
        </is>
      </c>
      <c r="L1425" t="inlineStr">
        <is>
          <t>Circulatory</t>
        </is>
      </c>
      <c r="M1425" t="inlineStr">
        <is>
          <t>Home/Self-Care</t>
        </is>
      </c>
      <c r="N1425" t="inlineStr">
        <is>
          <t>Keystone Health Partners</t>
        </is>
      </c>
      <c r="O1425" s="31" t="n">
        <v>18036.8</v>
      </c>
      <c r="P1425" t="inlineStr">
        <is>
          <t>N</t>
        </is>
      </c>
    </row>
    <row r="1426">
      <c r="A1426" t="inlineStr">
        <is>
          <t>ENC116647</t>
        </is>
      </c>
      <c r="B1426" t="inlineStr">
        <is>
          <t>PT13932</t>
        </is>
      </c>
      <c r="C1426" t="inlineStr">
        <is>
          <t>Emergency</t>
        </is>
      </c>
      <c r="D1426" t="inlineStr">
        <is>
          <t>Bluestone Memorial Hospital</t>
        </is>
      </c>
      <c r="E1426" t="inlineStr">
        <is>
          <t>Emergency Department</t>
        </is>
      </c>
      <c r="F1426" t="inlineStr">
        <is>
          <t>Emergency</t>
        </is>
      </c>
      <c r="G1426" s="29" t="n">
        <v>45847</v>
      </c>
      <c r="H1426" s="29" t="n">
        <v>45847</v>
      </c>
      <c r="I1426" s="30" t="n"/>
      <c r="J1426" t="inlineStr">
        <is>
          <t>F32.9</t>
        </is>
      </c>
      <c r="K1426" t="inlineStr">
        <is>
          <t>Major depressive disorder, single episode, unspecified</t>
        </is>
      </c>
      <c r="L1426" t="inlineStr">
        <is>
          <t>Mental &amp; Behavioral</t>
        </is>
      </c>
      <c r="M1426" t="inlineStr">
        <is>
          <t>Home/Self-Care</t>
        </is>
      </c>
      <c r="N1426" t="inlineStr">
        <is>
          <t>State Medicaid</t>
        </is>
      </c>
      <c r="O1426" s="31" t="n">
        <v>2806.39</v>
      </c>
    </row>
    <row r="1427">
      <c r="A1427" t="inlineStr">
        <is>
          <t>ENC116649</t>
        </is>
      </c>
      <c r="B1427" t="inlineStr">
        <is>
          <t>PT12784</t>
        </is>
      </c>
      <c r="C1427" t="inlineStr">
        <is>
          <t>Outpatient</t>
        </is>
      </c>
      <c r="D1427" t="inlineStr">
        <is>
          <t>Bluestone Outpatient Pavilion</t>
        </is>
      </c>
      <c r="E1427" t="inlineStr">
        <is>
          <t>Orthopedic Clinic</t>
        </is>
      </c>
      <c r="F1427" t="inlineStr">
        <is>
          <t>Orthopedics</t>
        </is>
      </c>
      <c r="G1427" s="29" t="n">
        <v>45847</v>
      </c>
      <c r="H1427" s="29" t="n">
        <v>45847</v>
      </c>
      <c r="I1427" s="30" t="n"/>
      <c r="J1427" t="inlineStr">
        <is>
          <t>S93.401A</t>
        </is>
      </c>
      <c r="K1427" t="inlineStr">
        <is>
          <t>Sprain of unspecified ligament of right ankle, initial encounter</t>
        </is>
      </c>
      <c r="L1427" t="inlineStr">
        <is>
          <t>Injury</t>
        </is>
      </c>
      <c r="M1427" t="inlineStr">
        <is>
          <t>Home/Self-Care</t>
        </is>
      </c>
      <c r="N1427" t="inlineStr">
        <is>
          <t>State Medicaid</t>
        </is>
      </c>
      <c r="O1427" s="31" t="n">
        <v>290.82</v>
      </c>
    </row>
    <row r="1428">
      <c r="A1428" t="inlineStr">
        <is>
          <t>ENC116650</t>
        </is>
      </c>
      <c r="B1428" t="inlineStr">
        <is>
          <t>PT13452</t>
        </is>
      </c>
      <c r="C1428" t="inlineStr">
        <is>
          <t>Inpatient</t>
        </is>
      </c>
      <c r="D1428" t="inlineStr">
        <is>
          <t>Bluestone Memorial Hospital</t>
        </is>
      </c>
      <c r="E1428" t="inlineStr">
        <is>
          <t>Medical-Surgical 5 East</t>
        </is>
      </c>
      <c r="F1428" t="inlineStr">
        <is>
          <t>Medicine</t>
        </is>
      </c>
      <c r="G1428" s="29" t="n">
        <v>45847</v>
      </c>
      <c r="H1428" s="29" t="n">
        <v>45852</v>
      </c>
      <c r="I1428" s="30" t="n">
        <v>5</v>
      </c>
      <c r="J1428" t="inlineStr">
        <is>
          <t>J18.9</t>
        </is>
      </c>
      <c r="K1428" t="inlineStr">
        <is>
          <t>Pneumonia, unspecified organism</t>
        </is>
      </c>
      <c r="L1428" t="inlineStr">
        <is>
          <t>Respiratory</t>
        </is>
      </c>
      <c r="M1428" t="inlineStr">
        <is>
          <t>Home/Self-Care</t>
        </is>
      </c>
      <c r="N1428" t="inlineStr">
        <is>
          <t>State Medicaid</t>
        </is>
      </c>
      <c r="O1428" s="31" t="n">
        <v>14378.49</v>
      </c>
      <c r="P1428" t="inlineStr">
        <is>
          <t>Y</t>
        </is>
      </c>
    </row>
    <row r="1429">
      <c r="A1429" t="inlineStr">
        <is>
          <t>ENC116652</t>
        </is>
      </c>
      <c r="B1429" t="inlineStr">
        <is>
          <t>PT13316</t>
        </is>
      </c>
      <c r="C1429" t="inlineStr">
        <is>
          <t>Outpatient</t>
        </is>
      </c>
      <c r="D1429" t="inlineStr">
        <is>
          <t>Bluestone Outpatient Pavilion</t>
        </is>
      </c>
      <c r="E1429" t="inlineStr">
        <is>
          <t>Pediatric Clinic</t>
        </is>
      </c>
      <c r="F1429" t="inlineStr">
        <is>
          <t>Women &amp; Children</t>
        </is>
      </c>
      <c r="G1429" s="29" t="n">
        <v>45847</v>
      </c>
      <c r="H1429" s="29" t="n">
        <v>45847</v>
      </c>
      <c r="I1429" s="30" t="n"/>
      <c r="J1429" t="inlineStr">
        <is>
          <t>J45.909</t>
        </is>
      </c>
      <c r="K1429" t="inlineStr">
        <is>
          <t>Unspecified asthma, uncomplicated</t>
        </is>
      </c>
      <c r="L1429" t="inlineStr">
        <is>
          <t>Respiratory</t>
        </is>
      </c>
      <c r="M1429" t="inlineStr">
        <is>
          <t>Home/Self-Care</t>
        </is>
      </c>
      <c r="N1429" t="inlineStr">
        <is>
          <t>Keystone Health Partners</t>
        </is>
      </c>
      <c r="O1429" s="31" t="n">
        <v>393.48</v>
      </c>
    </row>
    <row r="1430">
      <c r="A1430" t="inlineStr">
        <is>
          <t>ENC116653</t>
        </is>
      </c>
      <c r="B1430" t="inlineStr">
        <is>
          <t>PT10872</t>
        </is>
      </c>
      <c r="C1430" t="inlineStr">
        <is>
          <t>Inpatient</t>
        </is>
      </c>
      <c r="D1430" t="inlineStr">
        <is>
          <t>Bluestone Memorial Hospital</t>
        </is>
      </c>
      <c r="E1430" t="inlineStr">
        <is>
          <t>Cardiac Step-Down</t>
        </is>
      </c>
      <c r="F1430" t="inlineStr">
        <is>
          <t>Cardiovascular</t>
        </is>
      </c>
      <c r="G1430" s="29" t="n">
        <v>45847</v>
      </c>
      <c r="H1430" s="29" t="n">
        <v>45851</v>
      </c>
      <c r="I1430" s="30" t="n">
        <v>4</v>
      </c>
      <c r="J1430" t="inlineStr">
        <is>
          <t>I21.4</t>
        </is>
      </c>
      <c r="K1430" t="inlineStr">
        <is>
          <t>Non-ST elevation (NSTEMI) myocardial infarction</t>
        </is>
      </c>
      <c r="L1430" t="inlineStr">
        <is>
          <t>Circulatory</t>
        </is>
      </c>
      <c r="M1430" t="inlineStr">
        <is>
          <t>Home/Self-Care</t>
        </is>
      </c>
      <c r="N1430" t="inlineStr">
        <is>
          <t>Keystone Health Partners</t>
        </is>
      </c>
      <c r="O1430" s="31" t="n">
        <v>80686.25999999999</v>
      </c>
      <c r="P1430" t="inlineStr">
        <is>
          <t>N</t>
        </is>
      </c>
    </row>
    <row r="1431">
      <c r="A1431" t="inlineStr">
        <is>
          <t>ENC116655</t>
        </is>
      </c>
      <c r="B1431" t="inlineStr">
        <is>
          <t>PT10840</t>
        </is>
      </c>
      <c r="C1431" t="inlineStr">
        <is>
          <t>Emergency</t>
        </is>
      </c>
      <c r="D1431" t="inlineStr">
        <is>
          <t>Cedar Ridge Medical Center</t>
        </is>
      </c>
      <c r="E1431" t="inlineStr">
        <is>
          <t>Emergency Department</t>
        </is>
      </c>
      <c r="F1431" t="inlineStr">
        <is>
          <t>Emergency</t>
        </is>
      </c>
      <c r="G1431" s="29" t="n">
        <v>45847</v>
      </c>
      <c r="H1431" s="29" t="n">
        <v>45847</v>
      </c>
      <c r="I1431" s="30" t="n"/>
      <c r="J1431" t="inlineStr">
        <is>
          <t>F41.9</t>
        </is>
      </c>
      <c r="K1431" t="inlineStr">
        <is>
          <t>Anxiety disorder, unspecified</t>
        </is>
      </c>
      <c r="L1431" t="inlineStr">
        <is>
          <t>Mental &amp; Behavioral</t>
        </is>
      </c>
      <c r="M1431" t="inlineStr">
        <is>
          <t>Home/Self-Care</t>
        </is>
      </c>
      <c r="N1431" t="inlineStr">
        <is>
          <t>Medicare</t>
        </is>
      </c>
      <c r="O1431" s="31" t="n">
        <v>832.1</v>
      </c>
    </row>
    <row r="1432">
      <c r="A1432" t="inlineStr">
        <is>
          <t>ENC116667</t>
        </is>
      </c>
      <c r="B1432" t="inlineStr">
        <is>
          <t>PT11516</t>
        </is>
      </c>
      <c r="C1432" t="inlineStr">
        <is>
          <t>Inpatient</t>
        </is>
      </c>
      <c r="D1432" t="inlineStr">
        <is>
          <t>Bluestone Memorial Hospital</t>
        </is>
      </c>
      <c r="E1432" t="inlineStr">
        <is>
          <t>Labor &amp; Delivery</t>
        </is>
      </c>
      <c r="F1432" t="inlineStr">
        <is>
          <t>Women &amp; Children</t>
        </is>
      </c>
      <c r="G1432" s="29" t="n">
        <v>45848</v>
      </c>
      <c r="H1432" s="29" t="n">
        <v>45850</v>
      </c>
      <c r="I1432" s="30" t="n">
        <v>2</v>
      </c>
      <c r="J1432" t="inlineStr">
        <is>
          <t>O80</t>
        </is>
      </c>
      <c r="K1432" t="inlineStr">
        <is>
          <t>Encounter for full-term uncomplicated delivery</t>
        </is>
      </c>
      <c r="L1432" t="inlineStr">
        <is>
          <t>Pregnancy</t>
        </is>
      </c>
      <c r="M1432" t="inlineStr">
        <is>
          <t>Home/Self-Care</t>
        </is>
      </c>
      <c r="N1432" t="inlineStr">
        <is>
          <t>Keystone Health Partners</t>
        </is>
      </c>
      <c r="O1432" s="31" t="n">
        <v>17074.74</v>
      </c>
      <c r="P1432" t="inlineStr">
        <is>
          <t>N</t>
        </is>
      </c>
    </row>
    <row r="1433">
      <c r="A1433" t="inlineStr">
        <is>
          <t>ENC116673</t>
        </is>
      </c>
      <c r="B1433" t="inlineStr">
        <is>
          <t>PT12896</t>
        </is>
      </c>
      <c r="C1433" t="inlineStr">
        <is>
          <t>Emergency</t>
        </is>
      </c>
      <c r="D1433" t="inlineStr">
        <is>
          <t>Bluestone Memorial Hospital</t>
        </is>
      </c>
      <c r="E1433" t="inlineStr">
        <is>
          <t>Emergency Department</t>
        </is>
      </c>
      <c r="F1433" t="inlineStr">
        <is>
          <t>Emergency</t>
        </is>
      </c>
      <c r="G1433" s="29" t="n">
        <v>45848</v>
      </c>
      <c r="H1433" s="29" t="n">
        <v>45848</v>
      </c>
      <c r="I1433" s="30" t="n"/>
      <c r="J1433" t="inlineStr">
        <is>
          <t>J44.1</t>
        </is>
      </c>
      <c r="K1433" t="inlineStr">
        <is>
          <t>Chronic obstructive pulmonary disease with (acute) exacerbation</t>
        </is>
      </c>
      <c r="L1433" t="inlineStr">
        <is>
          <t>Respiratory</t>
        </is>
      </c>
      <c r="M1433" t="inlineStr">
        <is>
          <t>Home/Self-Care</t>
        </is>
      </c>
      <c r="N1433" t="inlineStr">
        <is>
          <t>Silverline Medicare Advantage</t>
        </is>
      </c>
      <c r="O1433" s="31" t="n">
        <v>2354.23</v>
      </c>
    </row>
    <row r="1434">
      <c r="A1434" t="inlineStr">
        <is>
          <t>ENC116674</t>
        </is>
      </c>
      <c r="B1434" t="inlineStr">
        <is>
          <t>PT11660</t>
        </is>
      </c>
      <c r="C1434" t="inlineStr">
        <is>
          <t>Outpatient</t>
        </is>
      </c>
      <c r="D1434" t="inlineStr">
        <is>
          <t>Bluestone Outpatient Pavilion</t>
        </is>
      </c>
      <c r="E1434" t="inlineStr">
        <is>
          <t>Primary Care Clinic</t>
        </is>
      </c>
      <c r="F1434" t="inlineStr">
        <is>
          <t>Ambulatory</t>
        </is>
      </c>
      <c r="G1434" s="29" t="n">
        <v>45848</v>
      </c>
      <c r="H1434" s="29" t="n">
        <v>45848</v>
      </c>
      <c r="I1434" s="30" t="n"/>
      <c r="J1434" t="inlineStr">
        <is>
          <t>I10</t>
        </is>
      </c>
      <c r="K1434" t="inlineStr">
        <is>
          <t>Essential (primary) hypertension</t>
        </is>
      </c>
      <c r="L1434" t="inlineStr">
        <is>
          <t>Circulatory</t>
        </is>
      </c>
      <c r="M1434" t="inlineStr">
        <is>
          <t>Home/Self-Care</t>
        </is>
      </c>
      <c r="N1434" t="inlineStr">
        <is>
          <t>Medicare</t>
        </is>
      </c>
      <c r="O1434" s="31" t="n">
        <v>476.84</v>
      </c>
    </row>
    <row r="1435">
      <c r="A1435" t="inlineStr">
        <is>
          <t>ENC116675</t>
        </is>
      </c>
      <c r="B1435" t="inlineStr">
        <is>
          <t>PT11476</t>
        </is>
      </c>
      <c r="C1435" t="inlineStr">
        <is>
          <t>Outpatient</t>
        </is>
      </c>
      <c r="D1435" t="inlineStr">
        <is>
          <t>Bluestone Outpatient Pavilion</t>
        </is>
      </c>
      <c r="E1435" t="inlineStr">
        <is>
          <t>Orthopedic Clinic</t>
        </is>
      </c>
      <c r="F1435" t="inlineStr">
        <is>
          <t>Orthopedics</t>
        </is>
      </c>
      <c r="G1435" s="29" t="n">
        <v>45848</v>
      </c>
      <c r="H1435" s="29" t="n">
        <v>45848</v>
      </c>
      <c r="I1435" s="30" t="n"/>
      <c r="J1435" t="inlineStr">
        <is>
          <t>M17.11</t>
        </is>
      </c>
      <c r="K1435" t="inlineStr">
        <is>
          <t>Unilateral primary osteoarthritis, right knee</t>
        </is>
      </c>
      <c r="L1435" t="inlineStr">
        <is>
          <t>Musculoskeletal</t>
        </is>
      </c>
      <c r="M1435" t="inlineStr">
        <is>
          <t>Home/Self-Care</t>
        </is>
      </c>
      <c r="N1435" t="inlineStr">
        <is>
          <t>Self-Pay</t>
        </is>
      </c>
      <c r="O1435" s="31" t="n">
        <v>157.64</v>
      </c>
    </row>
    <row r="1436">
      <c r="A1436" t="inlineStr">
        <is>
          <t>ENC116676</t>
        </is>
      </c>
      <c r="B1436" t="inlineStr">
        <is>
          <t>PT11680</t>
        </is>
      </c>
      <c r="C1436" t="inlineStr">
        <is>
          <t>Outpatient</t>
        </is>
      </c>
      <c r="D1436" t="inlineStr">
        <is>
          <t>Bluestone Outpatient Pavilion</t>
        </is>
      </c>
      <c r="E1436" t="inlineStr">
        <is>
          <t>Primary Care Clinic</t>
        </is>
      </c>
      <c r="F1436" t="inlineStr">
        <is>
          <t>Ambulatory</t>
        </is>
      </c>
      <c r="G1436" s="29" t="n">
        <v>45848</v>
      </c>
      <c r="H1436" s="29" t="n">
        <v>45848</v>
      </c>
      <c r="I1436" s="30" t="n"/>
      <c r="J1436" t="inlineStr">
        <is>
          <t>Z00.00</t>
        </is>
      </c>
      <c r="K1436" t="inlineStr">
        <is>
          <t>Encounter for general adult medical examination without abnormal findings</t>
        </is>
      </c>
      <c r="L1436" t="inlineStr">
        <is>
          <t>Factors Influencing Health</t>
        </is>
      </c>
      <c r="M1436" t="inlineStr">
        <is>
          <t>Home/Self-Care</t>
        </is>
      </c>
      <c r="N1436" t="inlineStr">
        <is>
          <t>Medicare</t>
        </is>
      </c>
      <c r="O1436" s="31" t="n">
        <v>402.68</v>
      </c>
    </row>
    <row r="1437">
      <c r="A1437" t="inlineStr">
        <is>
          <t>ENC116682</t>
        </is>
      </c>
      <c r="B1437" t="inlineStr">
        <is>
          <t>PT11908</t>
        </is>
      </c>
      <c r="C1437" t="inlineStr">
        <is>
          <t>Inpatient</t>
        </is>
      </c>
      <c r="D1437" t="inlineStr">
        <is>
          <t>Bluestone Memorial Hospital</t>
        </is>
      </c>
      <c r="E1437" t="inlineStr">
        <is>
          <t>Medical-Surgical 5 East</t>
        </is>
      </c>
      <c r="F1437" t="inlineStr">
        <is>
          <t>Medicine</t>
        </is>
      </c>
      <c r="G1437" s="29" t="n">
        <v>45848</v>
      </c>
      <c r="H1437" s="29" t="n">
        <v>45850</v>
      </c>
      <c r="I1437" s="30" t="n">
        <v>2</v>
      </c>
      <c r="J1437" t="inlineStr">
        <is>
          <t>E11.65</t>
        </is>
      </c>
      <c r="K1437" t="inlineStr">
        <is>
          <t>Type 2 diabetes mellitus with hyperglycemia</t>
        </is>
      </c>
      <c r="L1437" t="inlineStr">
        <is>
          <t>Endocrine</t>
        </is>
      </c>
      <c r="M1437" t="inlineStr">
        <is>
          <t>Home/Self-Care</t>
        </is>
      </c>
      <c r="N1437" t="inlineStr">
        <is>
          <t>Keystone Health Partners</t>
        </is>
      </c>
      <c r="O1437" s="31" t="n">
        <v>8262.200000000001</v>
      </c>
      <c r="P1437" t="inlineStr">
        <is>
          <t>N</t>
        </is>
      </c>
    </row>
    <row r="1438">
      <c r="A1438" t="inlineStr">
        <is>
          <t>ENC116688</t>
        </is>
      </c>
      <c r="B1438" t="inlineStr">
        <is>
          <t>PT11000</t>
        </is>
      </c>
      <c r="C1438" t="inlineStr">
        <is>
          <t>Emergency</t>
        </is>
      </c>
      <c r="D1438" t="inlineStr">
        <is>
          <t>Bluestone Memorial Hospital</t>
        </is>
      </c>
      <c r="E1438" t="inlineStr">
        <is>
          <t>Emergency Department</t>
        </is>
      </c>
      <c r="F1438" t="inlineStr">
        <is>
          <t>Emergency</t>
        </is>
      </c>
      <c r="G1438" s="29" t="n">
        <v>45848</v>
      </c>
      <c r="H1438" s="29" t="n">
        <v>45848</v>
      </c>
      <c r="I1438" s="30" t="n"/>
      <c r="J1438" t="inlineStr">
        <is>
          <t>R07.9</t>
        </is>
      </c>
      <c r="K1438" t="inlineStr">
        <is>
          <t>Chest pain, unspecified</t>
        </is>
      </c>
      <c r="L1438" t="inlineStr">
        <is>
          <t>Symptoms &amp; Signs</t>
        </is>
      </c>
      <c r="M1438" t="inlineStr">
        <is>
          <t>Home/Self-Care</t>
        </is>
      </c>
      <c r="N1438" t="inlineStr">
        <is>
          <t>Evergreen Mutual Insurance</t>
        </is>
      </c>
      <c r="O1438" s="31" t="n">
        <v>3569.33</v>
      </c>
    </row>
    <row r="1439">
      <c r="A1439" t="inlineStr">
        <is>
          <t>ENC116692</t>
        </is>
      </c>
      <c r="B1439" t="inlineStr">
        <is>
          <t>PT10004</t>
        </is>
      </c>
      <c r="C1439" t="inlineStr">
        <is>
          <t>Emergency</t>
        </is>
      </c>
      <c r="D1439" t="inlineStr">
        <is>
          <t>Bluestone Memorial Hospital</t>
        </is>
      </c>
      <c r="E1439" t="inlineStr">
        <is>
          <t>Emergency Department</t>
        </is>
      </c>
      <c r="F1439" t="inlineStr">
        <is>
          <t>Emergency</t>
        </is>
      </c>
      <c r="G1439" s="29" t="n">
        <v>45848</v>
      </c>
      <c r="H1439" s="29" t="n">
        <v>45848</v>
      </c>
      <c r="I1439" s="30" t="n"/>
      <c r="J1439" t="inlineStr">
        <is>
          <t>K80.20</t>
        </is>
      </c>
      <c r="K1439" t="inlineStr">
        <is>
          <t>Calculus of gallbladder without cholecystitis without obstruction</t>
        </is>
      </c>
      <c r="L1439" t="inlineStr">
        <is>
          <t>Digestive</t>
        </is>
      </c>
      <c r="M1439" t="inlineStr">
        <is>
          <t>Home/Self-Care</t>
        </is>
      </c>
      <c r="N1439" t="inlineStr">
        <is>
          <t>Keystone Health Partners</t>
        </is>
      </c>
      <c r="O1439" s="31" t="n">
        <v>3927.37</v>
      </c>
    </row>
    <row r="1440">
      <c r="A1440" t="inlineStr">
        <is>
          <t>ENC116693</t>
        </is>
      </c>
      <c r="B1440" t="inlineStr">
        <is>
          <t>PT12312</t>
        </is>
      </c>
      <c r="C1440" t="inlineStr">
        <is>
          <t>Outpatient</t>
        </is>
      </c>
      <c r="D1440" t="inlineStr">
        <is>
          <t>Bluestone Outpatient Pavilion</t>
        </is>
      </c>
      <c r="E1440" t="inlineStr">
        <is>
          <t>Endocrinology &amp; Diabetes Clinic</t>
        </is>
      </c>
      <c r="F1440" t="inlineStr">
        <is>
          <t>Ambulatory</t>
        </is>
      </c>
      <c r="G1440" s="29" t="n">
        <v>45848</v>
      </c>
      <c r="H1440" s="29" t="n">
        <v>45848</v>
      </c>
      <c r="I1440" s="30" t="n"/>
      <c r="J1440" t="inlineStr">
        <is>
          <t>E11.9</t>
        </is>
      </c>
      <c r="K1440" t="inlineStr">
        <is>
          <t>Type 2 diabetes mellitus without complications</t>
        </is>
      </c>
      <c r="L1440" t="inlineStr">
        <is>
          <t>Endocrine</t>
        </is>
      </c>
      <c r="M1440" t="inlineStr">
        <is>
          <t>Home/Self-Care</t>
        </is>
      </c>
      <c r="N1440" t="inlineStr">
        <is>
          <t>Medicare</t>
        </is>
      </c>
      <c r="O1440" s="31" t="n">
        <v>343.43</v>
      </c>
    </row>
    <row r="1441">
      <c r="A1441" t="inlineStr">
        <is>
          <t>ENC116694</t>
        </is>
      </c>
      <c r="B1441" t="inlineStr">
        <is>
          <t>PT13892</t>
        </is>
      </c>
      <c r="C1441" t="inlineStr">
        <is>
          <t>Outpatient</t>
        </is>
      </c>
      <c r="D1441" t="inlineStr">
        <is>
          <t>Bluestone Outpatient Pavilion</t>
        </is>
      </c>
      <c r="E1441" t="inlineStr">
        <is>
          <t>Orthopedic Clinic</t>
        </is>
      </c>
      <c r="F1441" t="inlineStr">
        <is>
          <t>Orthopedics</t>
        </is>
      </c>
      <c r="G1441" s="29" t="n">
        <v>45848</v>
      </c>
      <c r="H1441" s="29" t="n">
        <v>45848</v>
      </c>
      <c r="I1441" s="30" t="n"/>
      <c r="J1441" t="inlineStr">
        <is>
          <t>S93.401A</t>
        </is>
      </c>
      <c r="K1441" t="inlineStr">
        <is>
          <t>Sprain of unspecified ligament of right ankle, initial encounter</t>
        </is>
      </c>
      <c r="L1441" t="inlineStr">
        <is>
          <t>Injury</t>
        </is>
      </c>
      <c r="M1441" t="inlineStr">
        <is>
          <t>Home/Self-Care</t>
        </is>
      </c>
      <c r="N1441" t="inlineStr">
        <is>
          <t>Keystone Health Partners</t>
        </is>
      </c>
      <c r="O1441" s="31" t="n">
        <v>204.7</v>
      </c>
    </row>
    <row r="1442">
      <c r="A1442" t="inlineStr">
        <is>
          <t>ENC116696</t>
        </is>
      </c>
      <c r="B1442" t="inlineStr">
        <is>
          <t>PT12676</t>
        </is>
      </c>
      <c r="C1442" t="inlineStr">
        <is>
          <t>Emergency</t>
        </is>
      </c>
      <c r="D1442" t="inlineStr">
        <is>
          <t>Bluestone Memorial Hospital</t>
        </is>
      </c>
      <c r="E1442" t="inlineStr">
        <is>
          <t>Emergency Department</t>
        </is>
      </c>
      <c r="F1442" t="inlineStr">
        <is>
          <t>Emergency</t>
        </is>
      </c>
      <c r="G1442" s="29" t="n">
        <v>45848</v>
      </c>
      <c r="H1442" s="29" t="n">
        <v>45848</v>
      </c>
      <c r="I1442" s="30" t="n"/>
      <c r="J1442" t="inlineStr">
        <is>
          <t>R07.9</t>
        </is>
      </c>
      <c r="K1442" t="inlineStr">
        <is>
          <t>Chest pain, unspecified</t>
        </is>
      </c>
      <c r="L1442" t="inlineStr">
        <is>
          <t>Symptoms &amp; Signs</t>
        </is>
      </c>
      <c r="M1442" t="inlineStr">
        <is>
          <t>Home/Self-Care</t>
        </is>
      </c>
      <c r="N1442" t="inlineStr">
        <is>
          <t>Medicare</t>
        </is>
      </c>
      <c r="O1442" s="31" t="n">
        <v>3249.97</v>
      </c>
    </row>
    <row r="1443">
      <c r="A1443" t="inlineStr">
        <is>
          <t>ENC116700</t>
        </is>
      </c>
      <c r="B1443" t="inlineStr">
        <is>
          <t>PT11388</t>
        </is>
      </c>
      <c r="C1443" t="inlineStr">
        <is>
          <t>Emergency</t>
        </is>
      </c>
      <c r="D1443" t="inlineStr">
        <is>
          <t>Bluestone Memorial Hospital</t>
        </is>
      </c>
      <c r="E1443" t="inlineStr">
        <is>
          <t>Emergency Department</t>
        </is>
      </c>
      <c r="F1443" t="inlineStr">
        <is>
          <t>Emergency</t>
        </is>
      </c>
      <c r="G1443" s="29" t="n">
        <v>45848</v>
      </c>
      <c r="H1443" s="29" t="n">
        <v>45848</v>
      </c>
      <c r="I1443" s="30" t="n"/>
      <c r="J1443" t="inlineStr">
        <is>
          <t>E86.0</t>
        </is>
      </c>
      <c r="K1443" t="inlineStr">
        <is>
          <t>Dehydration</t>
        </is>
      </c>
      <c r="L1443" t="inlineStr">
        <is>
          <t>Endocrine</t>
        </is>
      </c>
      <c r="M1443" t="inlineStr">
        <is>
          <t>Home/Self-Care</t>
        </is>
      </c>
      <c r="N1443" t="inlineStr">
        <is>
          <t>Keystone Health Partners</t>
        </is>
      </c>
      <c r="O1443" s="31" t="n">
        <v>1496.11</v>
      </c>
    </row>
    <row r="1444">
      <c r="A1444" t="inlineStr">
        <is>
          <t>ENC116702</t>
        </is>
      </c>
      <c r="B1444" t="inlineStr">
        <is>
          <t>PT11632</t>
        </is>
      </c>
      <c r="C1444" t="inlineStr">
        <is>
          <t>Inpatient</t>
        </is>
      </c>
      <c r="D1444" t="inlineStr">
        <is>
          <t>Bluestone Memorial Hospital</t>
        </is>
      </c>
      <c r="E1444" t="inlineStr">
        <is>
          <t>Medical-Surgical 4 West</t>
        </is>
      </c>
      <c r="F1444" t="inlineStr">
        <is>
          <t>Medicine</t>
        </is>
      </c>
      <c r="G1444" s="29" t="n">
        <v>45849</v>
      </c>
      <c r="H1444" s="29" t="n">
        <v>45860</v>
      </c>
      <c r="I1444" s="30" t="n">
        <v>11</v>
      </c>
      <c r="J1444" t="inlineStr">
        <is>
          <t>K56.609</t>
        </is>
      </c>
      <c r="K1444" t="inlineStr">
        <is>
          <t>Unspecified intestinal obstruction</t>
        </is>
      </c>
      <c r="L1444" t="inlineStr">
        <is>
          <t>Digestive</t>
        </is>
      </c>
      <c r="M1444" t="inlineStr">
        <is>
          <t>Home/Self-Care</t>
        </is>
      </c>
      <c r="N1444" t="inlineStr">
        <is>
          <t>State Medicaid</t>
        </is>
      </c>
      <c r="O1444" s="31" t="n">
        <v>34930.53</v>
      </c>
      <c r="P1444" t="inlineStr">
        <is>
          <t>N</t>
        </is>
      </c>
    </row>
    <row r="1445">
      <c r="A1445" t="inlineStr">
        <is>
          <t>ENC116705</t>
        </is>
      </c>
      <c r="B1445" t="inlineStr">
        <is>
          <t>PT12352</t>
        </is>
      </c>
      <c r="C1445" t="inlineStr">
        <is>
          <t>Emergency</t>
        </is>
      </c>
      <c r="D1445" t="inlineStr">
        <is>
          <t>Ashby Falls Community Hospital</t>
        </is>
      </c>
      <c r="E1445" t="inlineStr">
        <is>
          <t>Emergency Department</t>
        </is>
      </c>
      <c r="F1445" t="inlineStr">
        <is>
          <t>Emergency</t>
        </is>
      </c>
      <c r="G1445" s="29" t="n">
        <v>45849</v>
      </c>
      <c r="H1445" s="29" t="n">
        <v>45849</v>
      </c>
      <c r="I1445" s="30" t="n"/>
      <c r="J1445" t="inlineStr">
        <is>
          <t>M54.50</t>
        </is>
      </c>
      <c r="K1445" t="inlineStr">
        <is>
          <t>Low back pain, unspecified</t>
        </is>
      </c>
      <c r="L1445" t="inlineStr">
        <is>
          <t>Musculoskeletal</t>
        </is>
      </c>
      <c r="M1445" t="inlineStr">
        <is>
          <t>Home/Self-Care</t>
        </is>
      </c>
      <c r="N1445" t="inlineStr">
        <is>
          <t>Evergreen Mutual Insurance</t>
        </is>
      </c>
      <c r="O1445" s="31" t="n">
        <v>910.66</v>
      </c>
    </row>
    <row r="1446">
      <c r="A1446" t="inlineStr">
        <is>
          <t>ENC116707</t>
        </is>
      </c>
      <c r="B1446" t="inlineStr">
        <is>
          <t>PT10736</t>
        </is>
      </c>
      <c r="C1446" t="inlineStr">
        <is>
          <t>Emergency</t>
        </is>
      </c>
      <c r="D1446" t="inlineStr">
        <is>
          <t>Cedar Ridge Medical Center</t>
        </is>
      </c>
      <c r="E1446" t="inlineStr">
        <is>
          <t>Emergency Department</t>
        </is>
      </c>
      <c r="F1446" t="inlineStr">
        <is>
          <t>Emergency</t>
        </is>
      </c>
      <c r="G1446" s="29" t="n">
        <v>45849</v>
      </c>
      <c r="H1446" s="29" t="n">
        <v>45849</v>
      </c>
      <c r="I1446" s="30" t="n"/>
      <c r="J1446" t="inlineStr">
        <is>
          <t>M54.50</t>
        </is>
      </c>
      <c r="K1446" t="inlineStr">
        <is>
          <t>Low back pain, unspecified</t>
        </is>
      </c>
      <c r="L1446" t="inlineStr">
        <is>
          <t>Musculoskeletal</t>
        </is>
      </c>
      <c r="M1446" t="inlineStr">
        <is>
          <t>Home/Self-Care</t>
        </is>
      </c>
      <c r="N1446" t="inlineStr">
        <is>
          <t>Keystone Health Partners</t>
        </is>
      </c>
      <c r="O1446" s="31" t="n">
        <v>1653.8</v>
      </c>
    </row>
    <row r="1447">
      <c r="A1447" t="inlineStr">
        <is>
          <t>ENC116718</t>
        </is>
      </c>
      <c r="B1447" t="inlineStr">
        <is>
          <t>PT11668</t>
        </is>
      </c>
      <c r="C1447" t="inlineStr">
        <is>
          <t>Outpatient</t>
        </is>
      </c>
      <c r="D1447" t="inlineStr">
        <is>
          <t>Bluestone Outpatient Pavilion</t>
        </is>
      </c>
      <c r="E1447" t="inlineStr">
        <is>
          <t>Primary Care Clinic</t>
        </is>
      </c>
      <c r="F1447" t="inlineStr">
        <is>
          <t>Ambulatory</t>
        </is>
      </c>
      <c r="G1447" s="29" t="n">
        <v>45849</v>
      </c>
      <c r="H1447" s="29" t="n">
        <v>45849</v>
      </c>
      <c r="I1447" s="30" t="n"/>
      <c r="J1447" t="inlineStr">
        <is>
          <t>I10</t>
        </is>
      </c>
      <c r="K1447" t="inlineStr">
        <is>
          <t>Essential (primary) hypertension</t>
        </is>
      </c>
      <c r="L1447" t="inlineStr">
        <is>
          <t>Circulatory</t>
        </is>
      </c>
      <c r="M1447" t="inlineStr">
        <is>
          <t>Home/Self-Care</t>
        </is>
      </c>
      <c r="N1447" t="inlineStr">
        <is>
          <t>Keystone Health Partners</t>
        </is>
      </c>
      <c r="O1447" s="31" t="n">
        <v>188.25</v>
      </c>
    </row>
    <row r="1448">
      <c r="A1448" t="inlineStr">
        <is>
          <t>ENC116720</t>
        </is>
      </c>
      <c r="B1448" t="inlineStr">
        <is>
          <t>PT12840</t>
        </is>
      </c>
      <c r="C1448" t="inlineStr">
        <is>
          <t>Outpatient</t>
        </is>
      </c>
      <c r="D1448" t="inlineStr">
        <is>
          <t>Bluestone Outpatient Pavilion</t>
        </is>
      </c>
      <c r="E1448" t="inlineStr">
        <is>
          <t>Pediatric Clinic</t>
        </is>
      </c>
      <c r="F1448" t="inlineStr">
        <is>
          <t>Women &amp; Children</t>
        </is>
      </c>
      <c r="G1448" s="29" t="n">
        <v>45849</v>
      </c>
      <c r="H1448" s="29" t="n">
        <v>45849</v>
      </c>
      <c r="I1448" s="30" t="n"/>
      <c r="J1448" t="inlineStr">
        <is>
          <t>Z00.129</t>
        </is>
      </c>
      <c r="K1448" t="inlineStr">
        <is>
          <t>Encounter for routine child health examination without abnormal findings</t>
        </is>
      </c>
      <c r="L1448" t="inlineStr">
        <is>
          <t>Factors Influencing Health</t>
        </is>
      </c>
      <c r="M1448" t="inlineStr">
        <is>
          <t>Home/Self-Care</t>
        </is>
      </c>
      <c r="N1448" t="inlineStr">
        <is>
          <t>Keystone Health Partners</t>
        </is>
      </c>
      <c r="O1448" s="31" t="n">
        <v>402.47</v>
      </c>
    </row>
    <row r="1449">
      <c r="A1449" t="inlineStr">
        <is>
          <t>ENC116721</t>
        </is>
      </c>
      <c r="B1449" t="inlineStr">
        <is>
          <t>PT13000</t>
        </is>
      </c>
      <c r="C1449" t="inlineStr">
        <is>
          <t>Emergency</t>
        </is>
      </c>
      <c r="D1449" t="inlineStr">
        <is>
          <t>Bluestone Memorial Hospital</t>
        </is>
      </c>
      <c r="E1449" t="inlineStr">
        <is>
          <t>Emergency Department</t>
        </is>
      </c>
      <c r="F1449" t="inlineStr">
        <is>
          <t>Emergency</t>
        </is>
      </c>
      <c r="G1449" s="29" t="n">
        <v>45849</v>
      </c>
      <c r="H1449" s="29" t="n">
        <v>45849</v>
      </c>
      <c r="I1449" s="30" t="n"/>
      <c r="J1449" t="inlineStr">
        <is>
          <t>M54.50</t>
        </is>
      </c>
      <c r="K1449" t="inlineStr">
        <is>
          <t>Low back pain, unspecified</t>
        </is>
      </c>
      <c r="L1449" t="inlineStr">
        <is>
          <t>Musculoskeletal</t>
        </is>
      </c>
      <c r="M1449" t="inlineStr">
        <is>
          <t>Home/Self-Care</t>
        </is>
      </c>
      <c r="N1449" t="inlineStr">
        <is>
          <t>Medicare</t>
        </is>
      </c>
      <c r="O1449" s="31" t="n">
        <v>1498.19</v>
      </c>
    </row>
    <row r="1450">
      <c r="A1450" t="inlineStr">
        <is>
          <t>ENC116724</t>
        </is>
      </c>
      <c r="B1450" t="inlineStr">
        <is>
          <t>PT11208</t>
        </is>
      </c>
      <c r="C1450" t="inlineStr">
        <is>
          <t>Emergency</t>
        </is>
      </c>
      <c r="D1450" t="inlineStr">
        <is>
          <t>Bluestone Memorial Hospital</t>
        </is>
      </c>
      <c r="E1450" t="inlineStr">
        <is>
          <t>Emergency Department</t>
        </is>
      </c>
      <c r="F1450" t="inlineStr">
        <is>
          <t>Emergency</t>
        </is>
      </c>
      <c r="G1450" s="29" t="n">
        <v>45849</v>
      </c>
      <c r="H1450" s="29" t="n">
        <v>45849</v>
      </c>
      <c r="I1450" s="30" t="n"/>
      <c r="J1450" t="inlineStr">
        <is>
          <t>L03.115</t>
        </is>
      </c>
      <c r="K1450" t="inlineStr">
        <is>
          <t>Cellulitis of right lower limb</t>
        </is>
      </c>
      <c r="L1450" t="inlineStr">
        <is>
          <t>Skin</t>
        </is>
      </c>
      <c r="M1450" t="inlineStr">
        <is>
          <t>Home/Self-Care</t>
        </is>
      </c>
      <c r="N1450" t="inlineStr">
        <is>
          <t>State Medicaid</t>
        </is>
      </c>
      <c r="O1450" s="31" t="n">
        <v>3713.91</v>
      </c>
    </row>
    <row r="1451">
      <c r="A1451" t="inlineStr">
        <is>
          <t>ENC116729</t>
        </is>
      </c>
      <c r="B1451" t="inlineStr">
        <is>
          <t>PT11220</t>
        </is>
      </c>
      <c r="C1451" t="inlineStr">
        <is>
          <t>Outpatient</t>
        </is>
      </c>
      <c r="D1451" t="inlineStr">
        <is>
          <t>Bluestone Outpatient Pavilion</t>
        </is>
      </c>
      <c r="E1451" t="inlineStr">
        <is>
          <t>Primary Care Clinic</t>
        </is>
      </c>
      <c r="F1451" t="inlineStr">
        <is>
          <t>Ambulatory</t>
        </is>
      </c>
      <c r="G1451" s="29" t="n">
        <v>45849</v>
      </c>
      <c r="H1451" s="29" t="n">
        <v>45849</v>
      </c>
      <c r="I1451" s="30" t="n"/>
      <c r="J1451" t="inlineStr">
        <is>
          <t>Z00.00</t>
        </is>
      </c>
      <c r="K1451" t="inlineStr">
        <is>
          <t>Encounter for general adult medical examination without abnormal findings</t>
        </is>
      </c>
      <c r="L1451" t="inlineStr">
        <is>
          <t>Factors Influencing Health</t>
        </is>
      </c>
      <c r="M1451" t="inlineStr">
        <is>
          <t>Home/Self-Care</t>
        </is>
      </c>
      <c r="N1451" t="inlineStr">
        <is>
          <t>Evergreen Mutual Insurance</t>
        </is>
      </c>
      <c r="O1451" s="31" t="n">
        <v>500.57</v>
      </c>
    </row>
    <row r="1452">
      <c r="A1452" t="inlineStr">
        <is>
          <t>ENC116730</t>
        </is>
      </c>
      <c r="B1452" t="inlineStr">
        <is>
          <t>PT12532</t>
        </is>
      </c>
      <c r="C1452" t="inlineStr">
        <is>
          <t>Inpatient</t>
        </is>
      </c>
      <c r="D1452" t="inlineStr">
        <is>
          <t>Bluestone Memorial Hospital</t>
        </is>
      </c>
      <c r="E1452" t="inlineStr">
        <is>
          <t>Intensive Care Unit</t>
        </is>
      </c>
      <c r="F1452" t="inlineStr">
        <is>
          <t>Critical Care</t>
        </is>
      </c>
      <c r="G1452" s="29" t="n">
        <v>45849</v>
      </c>
      <c r="H1452" s="29" t="n">
        <v>45867</v>
      </c>
      <c r="I1452" s="30" t="n">
        <v>18</v>
      </c>
      <c r="J1452" t="inlineStr">
        <is>
          <t>A41.9</t>
        </is>
      </c>
      <c r="K1452" t="inlineStr">
        <is>
          <t>Sepsis, unspecified organism</t>
        </is>
      </c>
      <c r="L1452" t="inlineStr">
        <is>
          <t>Infectious</t>
        </is>
      </c>
      <c r="M1452" t="inlineStr">
        <is>
          <t>Home/Self-Care</t>
        </is>
      </c>
      <c r="N1452" t="inlineStr">
        <is>
          <t>Keystone Health Partners</t>
        </is>
      </c>
      <c r="O1452" s="31" t="n">
        <v>123227.66</v>
      </c>
      <c r="P1452" t="inlineStr">
        <is>
          <t>N</t>
        </is>
      </c>
    </row>
    <row r="1453">
      <c r="A1453" t="inlineStr">
        <is>
          <t>ENC116749</t>
        </is>
      </c>
      <c r="B1453" t="inlineStr">
        <is>
          <t>PT13560</t>
        </is>
      </c>
      <c r="C1453" t="inlineStr">
        <is>
          <t>Emergency</t>
        </is>
      </c>
      <c r="D1453" t="inlineStr">
        <is>
          <t>Bluestone Memorial Hospital</t>
        </is>
      </c>
      <c r="E1453" t="inlineStr">
        <is>
          <t>Emergency Department</t>
        </is>
      </c>
      <c r="F1453" t="inlineStr">
        <is>
          <t>Emergency</t>
        </is>
      </c>
      <c r="G1453" s="29" t="n">
        <v>45850</v>
      </c>
      <c r="H1453" s="29" t="n">
        <v>45850</v>
      </c>
      <c r="I1453" s="30" t="n"/>
      <c r="J1453" t="inlineStr">
        <is>
          <t>R07.9</t>
        </is>
      </c>
      <c r="K1453" t="inlineStr">
        <is>
          <t>Chest pain, unspecified</t>
        </is>
      </c>
      <c r="L1453" t="inlineStr">
        <is>
          <t>Symptoms &amp; Signs</t>
        </is>
      </c>
      <c r="M1453" t="inlineStr">
        <is>
          <t>Home/Self-Care</t>
        </is>
      </c>
      <c r="N1453" t="inlineStr">
        <is>
          <t>Silverline Medicare Advantage</t>
        </is>
      </c>
      <c r="O1453" s="31" t="n">
        <v>3268.82</v>
      </c>
    </row>
    <row r="1454">
      <c r="A1454" t="inlineStr">
        <is>
          <t>ENC116755</t>
        </is>
      </c>
      <c r="B1454" t="inlineStr">
        <is>
          <t>PT12348</t>
        </is>
      </c>
      <c r="C1454" t="inlineStr">
        <is>
          <t>Inpatient</t>
        </is>
      </c>
      <c r="D1454" t="inlineStr">
        <is>
          <t>Bluestone Memorial Hospital</t>
        </is>
      </c>
      <c r="E1454" t="inlineStr">
        <is>
          <t>Cardiac Step-Down</t>
        </is>
      </c>
      <c r="F1454" t="inlineStr">
        <is>
          <t>Cardiovascular</t>
        </is>
      </c>
      <c r="G1454" s="29" t="n">
        <v>45851</v>
      </c>
      <c r="H1454" s="29" t="n">
        <v>45857</v>
      </c>
      <c r="I1454" s="30" t="n">
        <v>6</v>
      </c>
      <c r="J1454" t="inlineStr">
        <is>
          <t>I50.9</t>
        </is>
      </c>
      <c r="K1454" t="inlineStr">
        <is>
          <t>Heart failure, unspecified</t>
        </is>
      </c>
      <c r="L1454" t="inlineStr">
        <is>
          <t>Circulatory</t>
        </is>
      </c>
      <c r="M1454" t="inlineStr">
        <is>
          <t>Home/Self-Care</t>
        </is>
      </c>
      <c r="N1454" t="inlineStr">
        <is>
          <t>Medicare</t>
        </is>
      </c>
      <c r="O1454" s="31" t="n">
        <v>41446.08</v>
      </c>
      <c r="P1454" t="inlineStr">
        <is>
          <t>N</t>
        </is>
      </c>
    </row>
    <row r="1455">
      <c r="A1455" t="inlineStr">
        <is>
          <t>ENC116758</t>
        </is>
      </c>
      <c r="B1455" t="inlineStr">
        <is>
          <t>PT10328</t>
        </is>
      </c>
      <c r="C1455" t="inlineStr">
        <is>
          <t>Emergency</t>
        </is>
      </c>
      <c r="D1455" t="inlineStr">
        <is>
          <t>Cedar Ridge Medical Center</t>
        </is>
      </c>
      <c r="E1455" t="inlineStr">
        <is>
          <t>Emergency Department</t>
        </is>
      </c>
      <c r="F1455" t="inlineStr">
        <is>
          <t>Emergency</t>
        </is>
      </c>
      <c r="G1455" s="29" t="n">
        <v>45851</v>
      </c>
      <c r="H1455" s="29" t="n">
        <v>45851</v>
      </c>
      <c r="I1455" s="30" t="n"/>
      <c r="J1455" t="inlineStr">
        <is>
          <t>R55</t>
        </is>
      </c>
      <c r="K1455" t="inlineStr">
        <is>
          <t>Syncope and collapse</t>
        </is>
      </c>
      <c r="L1455" t="inlineStr">
        <is>
          <t>Symptoms &amp; Signs</t>
        </is>
      </c>
      <c r="M1455" t="inlineStr">
        <is>
          <t>Home/Self-Care</t>
        </is>
      </c>
      <c r="N1455" t="inlineStr">
        <is>
          <t>Keystone Health Partners</t>
        </is>
      </c>
      <c r="O1455" s="31" t="n">
        <v>1258.65</v>
      </c>
    </row>
    <row r="1456">
      <c r="A1456" t="inlineStr">
        <is>
          <t>ENC116773</t>
        </is>
      </c>
      <c r="B1456" t="inlineStr">
        <is>
          <t>PT12280</t>
        </is>
      </c>
      <c r="C1456" t="inlineStr">
        <is>
          <t>Inpatient</t>
        </is>
      </c>
      <c r="D1456" t="inlineStr">
        <is>
          <t>Bluestone Memorial Hospital</t>
        </is>
      </c>
      <c r="E1456" t="inlineStr">
        <is>
          <t>Behavioral Health</t>
        </is>
      </c>
      <c r="F1456" t="inlineStr">
        <is>
          <t>Behavioral Health</t>
        </is>
      </c>
      <c r="G1456" s="29" t="n">
        <v>45851</v>
      </c>
      <c r="H1456" s="29" t="n">
        <v>45868</v>
      </c>
      <c r="I1456" s="30" t="n">
        <v>17</v>
      </c>
      <c r="J1456" t="inlineStr">
        <is>
          <t>F32.9</t>
        </is>
      </c>
      <c r="K1456" t="inlineStr">
        <is>
          <t>Major depressive disorder, single episode, unspecified</t>
        </is>
      </c>
      <c r="L1456" t="inlineStr">
        <is>
          <t>Mental &amp; Behavioral</t>
        </is>
      </c>
      <c r="M1456" t="inlineStr">
        <is>
          <t>Home/Self-Care</t>
        </is>
      </c>
      <c r="N1456" t="inlineStr">
        <is>
          <t>Self-Pay</t>
        </is>
      </c>
      <c r="O1456" s="31" t="n">
        <v>39084.94</v>
      </c>
      <c r="P1456" t="inlineStr">
        <is>
          <t>N</t>
        </is>
      </c>
    </row>
    <row r="1457">
      <c r="A1457" t="inlineStr">
        <is>
          <t>ENC116780</t>
        </is>
      </c>
      <c r="B1457" t="inlineStr">
        <is>
          <t>PT10576</t>
        </is>
      </c>
      <c r="C1457" t="inlineStr">
        <is>
          <t>Emergency</t>
        </is>
      </c>
      <c r="D1457" t="inlineStr">
        <is>
          <t>Bluestone Memorial Hospital</t>
        </is>
      </c>
      <c r="E1457" t="inlineStr">
        <is>
          <t>Emergency Department</t>
        </is>
      </c>
      <c r="F1457" t="inlineStr">
        <is>
          <t>Emergency</t>
        </is>
      </c>
      <c r="G1457" s="29" t="n">
        <v>45852</v>
      </c>
      <c r="H1457" s="29" t="n">
        <v>45852</v>
      </c>
      <c r="I1457" s="30" t="n"/>
      <c r="J1457" t="inlineStr">
        <is>
          <t>J45.909</t>
        </is>
      </c>
      <c r="K1457" t="inlineStr">
        <is>
          <t>Unspecified asthma, uncomplicated</t>
        </is>
      </c>
      <c r="L1457" t="inlineStr">
        <is>
          <t>Respiratory</t>
        </is>
      </c>
      <c r="M1457" t="inlineStr">
        <is>
          <t>Home/Self-Care</t>
        </is>
      </c>
      <c r="N1457" t="inlineStr">
        <is>
          <t>Summit Choice PPO</t>
        </is>
      </c>
      <c r="O1457" s="31" t="n">
        <v>1769.33</v>
      </c>
    </row>
    <row r="1458">
      <c r="A1458" t="inlineStr">
        <is>
          <t>ENC116788</t>
        </is>
      </c>
      <c r="B1458" t="inlineStr">
        <is>
          <t>PT10104</t>
        </is>
      </c>
      <c r="C1458" t="inlineStr">
        <is>
          <t>Outpatient</t>
        </is>
      </c>
      <c r="D1458" t="inlineStr">
        <is>
          <t>Bluestone Outpatient Pavilion</t>
        </is>
      </c>
      <c r="E1458" t="inlineStr">
        <is>
          <t>Endocrinology &amp; Diabetes Clinic</t>
        </is>
      </c>
      <c r="F1458" t="inlineStr">
        <is>
          <t>Ambulatory</t>
        </is>
      </c>
      <c r="G1458" s="29" t="n">
        <v>45852</v>
      </c>
      <c r="H1458" s="29" t="n">
        <v>45852</v>
      </c>
      <c r="I1458" s="30" t="n"/>
      <c r="J1458" t="inlineStr">
        <is>
          <t>E11.9</t>
        </is>
      </c>
      <c r="K1458" t="inlineStr">
        <is>
          <t>Type 2 diabetes mellitus without complications</t>
        </is>
      </c>
      <c r="L1458" t="inlineStr">
        <is>
          <t>Endocrine</t>
        </is>
      </c>
      <c r="M1458" t="inlineStr">
        <is>
          <t>Home/Self-Care</t>
        </is>
      </c>
      <c r="N1458" t="inlineStr">
        <is>
          <t>State Medicaid</t>
        </is>
      </c>
      <c r="O1458" s="31" t="n">
        <v>315.63</v>
      </c>
    </row>
    <row r="1459">
      <c r="A1459" t="inlineStr">
        <is>
          <t>ENC116790</t>
        </is>
      </c>
      <c r="B1459" t="inlineStr">
        <is>
          <t>PT13728</t>
        </is>
      </c>
      <c r="C1459" t="inlineStr">
        <is>
          <t>Outpatient</t>
        </is>
      </c>
      <c r="D1459" t="inlineStr">
        <is>
          <t>Bluestone Outpatient Pavilion</t>
        </is>
      </c>
      <c r="E1459" t="inlineStr">
        <is>
          <t>Primary Care Clinic</t>
        </is>
      </c>
      <c r="F1459" t="inlineStr">
        <is>
          <t>Ambulatory</t>
        </is>
      </c>
      <c r="G1459" s="29" t="n">
        <v>45852</v>
      </c>
      <c r="H1459" s="29" t="n">
        <v>45852</v>
      </c>
      <c r="I1459" s="30" t="n"/>
      <c r="J1459" t="inlineStr">
        <is>
          <t>J06.9</t>
        </is>
      </c>
      <c r="K1459" t="inlineStr">
        <is>
          <t>Acute upper respiratory infection, unspecified</t>
        </is>
      </c>
      <c r="L1459" t="inlineStr">
        <is>
          <t>Respiratory</t>
        </is>
      </c>
      <c r="M1459" t="inlineStr">
        <is>
          <t>Home/Self-Care</t>
        </is>
      </c>
      <c r="N1459" t="inlineStr">
        <is>
          <t>Summit Choice PPO</t>
        </is>
      </c>
      <c r="O1459" s="31" t="n">
        <v>441.66</v>
      </c>
    </row>
    <row r="1460">
      <c r="A1460" t="inlineStr">
        <is>
          <t>ENC116795</t>
        </is>
      </c>
      <c r="B1460" t="inlineStr">
        <is>
          <t>PT12832</t>
        </is>
      </c>
      <c r="C1460" t="inlineStr">
        <is>
          <t>Outpatient</t>
        </is>
      </c>
      <c r="D1460" t="inlineStr">
        <is>
          <t>Bluestone Outpatient Pavilion</t>
        </is>
      </c>
      <c r="E1460" t="inlineStr">
        <is>
          <t>Cardiology Clinic</t>
        </is>
      </c>
      <c r="F1460" t="inlineStr">
        <is>
          <t>Cardiovascular</t>
        </is>
      </c>
      <c r="G1460" s="29" t="n">
        <v>45852</v>
      </c>
      <c r="H1460" s="29" t="n">
        <v>45852</v>
      </c>
      <c r="I1460" s="30" t="n"/>
      <c r="J1460" t="inlineStr">
        <is>
          <t>I50.9</t>
        </is>
      </c>
      <c r="K1460" t="inlineStr">
        <is>
          <t>Heart failure, unspecified</t>
        </is>
      </c>
      <c r="L1460" t="inlineStr">
        <is>
          <t>Circulatory</t>
        </is>
      </c>
      <c r="M1460" t="inlineStr">
        <is>
          <t>Home/Self-Care</t>
        </is>
      </c>
      <c r="N1460" t="inlineStr">
        <is>
          <t>Medicare</t>
        </is>
      </c>
      <c r="O1460" s="31" t="n">
        <v>380.92</v>
      </c>
    </row>
    <row r="1461">
      <c r="A1461" t="inlineStr">
        <is>
          <t>ENC116800</t>
        </is>
      </c>
      <c r="B1461" t="inlineStr">
        <is>
          <t>PT10204</t>
        </is>
      </c>
      <c r="C1461" t="inlineStr">
        <is>
          <t>Emergency</t>
        </is>
      </c>
      <c r="D1461" t="inlineStr">
        <is>
          <t>Bluestone Memorial Hospital</t>
        </is>
      </c>
      <c r="E1461" t="inlineStr">
        <is>
          <t>Emergency Department</t>
        </is>
      </c>
      <c r="F1461" t="inlineStr">
        <is>
          <t>Emergency</t>
        </is>
      </c>
      <c r="G1461" s="29" t="n">
        <v>45852</v>
      </c>
      <c r="H1461" s="29" t="n">
        <v>45852</v>
      </c>
      <c r="I1461" s="30" t="n"/>
      <c r="J1461" t="inlineStr">
        <is>
          <t>I10</t>
        </is>
      </c>
      <c r="K1461" t="inlineStr">
        <is>
          <t>Essential (primary) hypertension</t>
        </is>
      </c>
      <c r="L1461" t="inlineStr">
        <is>
          <t>Circulatory</t>
        </is>
      </c>
      <c r="M1461" t="inlineStr">
        <is>
          <t>Home/Self-Care</t>
        </is>
      </c>
      <c r="N1461" t="inlineStr">
        <is>
          <t>Keystone Health Partners</t>
        </is>
      </c>
      <c r="O1461" s="31" t="n">
        <v>1002.18</v>
      </c>
    </row>
    <row r="1462">
      <c r="A1462" t="inlineStr">
        <is>
          <t>ENC116806</t>
        </is>
      </c>
      <c r="B1462" t="inlineStr">
        <is>
          <t>PT12424</t>
        </is>
      </c>
      <c r="C1462" t="inlineStr">
        <is>
          <t>Observation</t>
        </is>
      </c>
      <c r="D1462" t="inlineStr">
        <is>
          <t>Bluestone Memorial Hospital</t>
        </is>
      </c>
      <c r="E1462" t="inlineStr">
        <is>
          <t>Observation Unit</t>
        </is>
      </c>
      <c r="F1462" t="inlineStr">
        <is>
          <t>Medicine</t>
        </is>
      </c>
      <c r="G1462" s="29" t="n">
        <v>45853</v>
      </c>
      <c r="H1462" s="29" t="n">
        <v>45854</v>
      </c>
      <c r="I1462" s="30" t="n">
        <v>1</v>
      </c>
      <c r="J1462" t="inlineStr">
        <is>
          <t>R10.9</t>
        </is>
      </c>
      <c r="K1462" t="inlineStr">
        <is>
          <t>Unspecified abdominal pain</t>
        </is>
      </c>
      <c r="L1462" t="inlineStr">
        <is>
          <t>Symptoms &amp; Signs</t>
        </is>
      </c>
      <c r="M1462" t="inlineStr">
        <is>
          <t>Home/Self-Care</t>
        </is>
      </c>
      <c r="N1462" t="inlineStr">
        <is>
          <t>Self-Pay</t>
        </is>
      </c>
      <c r="O1462" s="31" t="n">
        <v>12327.07</v>
      </c>
    </row>
    <row r="1463">
      <c r="A1463" t="inlineStr">
        <is>
          <t>ENC116812</t>
        </is>
      </c>
      <c r="B1463" t="inlineStr">
        <is>
          <t>PT12572</t>
        </is>
      </c>
      <c r="C1463" t="inlineStr">
        <is>
          <t>Outpatient</t>
        </is>
      </c>
      <c r="D1463" t="inlineStr">
        <is>
          <t>Bluestone Outpatient Pavilion</t>
        </is>
      </c>
      <c r="E1463" t="inlineStr">
        <is>
          <t>Primary Care Clinic</t>
        </is>
      </c>
      <c r="F1463" t="inlineStr">
        <is>
          <t>Ambulatory</t>
        </is>
      </c>
      <c r="G1463" s="29" t="n">
        <v>45853</v>
      </c>
      <c r="H1463" s="29" t="n">
        <v>45853</v>
      </c>
      <c r="I1463" s="30" t="n"/>
      <c r="J1463" t="inlineStr">
        <is>
          <t>M54.50</t>
        </is>
      </c>
      <c r="K1463" t="inlineStr">
        <is>
          <t>Low back pain, unspecified</t>
        </is>
      </c>
      <c r="L1463" t="inlineStr">
        <is>
          <t>Musculoskeletal</t>
        </is>
      </c>
      <c r="M1463" t="inlineStr">
        <is>
          <t>Home/Self-Care</t>
        </is>
      </c>
      <c r="N1463" t="inlineStr">
        <is>
          <t>Silverline Medicare Advantage</t>
        </is>
      </c>
      <c r="O1463" s="31" t="n">
        <v>146.49</v>
      </c>
    </row>
    <row r="1464">
      <c r="A1464" t="inlineStr">
        <is>
          <t>ENC116820</t>
        </is>
      </c>
      <c r="B1464" t="inlineStr">
        <is>
          <t>PT10928</t>
        </is>
      </c>
      <c r="C1464" t="inlineStr">
        <is>
          <t>Inpatient</t>
        </is>
      </c>
      <c r="D1464" t="inlineStr">
        <is>
          <t>Bluestone Memorial Hospital</t>
        </is>
      </c>
      <c r="E1464" t="inlineStr">
        <is>
          <t>Medical-Surgical 4 West</t>
        </is>
      </c>
      <c r="F1464" t="inlineStr">
        <is>
          <t>Medicine</t>
        </is>
      </c>
      <c r="G1464" s="29" t="n">
        <v>45853</v>
      </c>
      <c r="H1464" s="29" t="n">
        <v>45865</v>
      </c>
      <c r="I1464" s="30" t="n">
        <v>12</v>
      </c>
      <c r="J1464" t="inlineStr">
        <is>
          <t>A41.9</t>
        </is>
      </c>
      <c r="K1464" t="inlineStr">
        <is>
          <t>Sepsis, unspecified organism</t>
        </is>
      </c>
      <c r="L1464" t="inlineStr">
        <is>
          <t>Infectious</t>
        </is>
      </c>
      <c r="M1464" t="inlineStr">
        <is>
          <t>Home/Self-Care</t>
        </is>
      </c>
      <c r="N1464" t="inlineStr">
        <is>
          <t>Keystone Health Partners</t>
        </is>
      </c>
      <c r="O1464" s="31" t="n">
        <v>109763.59</v>
      </c>
      <c r="P1464" t="inlineStr">
        <is>
          <t>N</t>
        </is>
      </c>
    </row>
    <row r="1465">
      <c r="A1465" t="inlineStr">
        <is>
          <t>ENC116823</t>
        </is>
      </c>
      <c r="B1465" t="inlineStr">
        <is>
          <t>PT13476</t>
        </is>
      </c>
      <c r="C1465" t="inlineStr">
        <is>
          <t>Emergency</t>
        </is>
      </c>
      <c r="D1465" t="inlineStr">
        <is>
          <t>Ashby Falls Community Hospital</t>
        </is>
      </c>
      <c r="E1465" t="inlineStr">
        <is>
          <t>Emergency Department</t>
        </is>
      </c>
      <c r="F1465" t="inlineStr">
        <is>
          <t>Emergency</t>
        </is>
      </c>
      <c r="G1465" s="29" t="n">
        <v>45853</v>
      </c>
      <c r="H1465" s="29" t="n">
        <v>45853</v>
      </c>
      <c r="I1465" s="30" t="n"/>
      <c r="J1465" t="inlineStr">
        <is>
          <t>S93.401A</t>
        </is>
      </c>
      <c r="K1465" t="inlineStr">
        <is>
          <t>Sprain of unspecified ligament of right ankle, initial encounter</t>
        </is>
      </c>
      <c r="L1465" t="inlineStr">
        <is>
          <t>Injury</t>
        </is>
      </c>
      <c r="M1465" t="inlineStr">
        <is>
          <t>Home/Self-Care</t>
        </is>
      </c>
      <c r="N1465" t="inlineStr">
        <is>
          <t>Medicare</t>
        </is>
      </c>
      <c r="O1465" s="31" t="n">
        <v>1238.57</v>
      </c>
    </row>
    <row r="1466">
      <c r="A1466" t="inlineStr">
        <is>
          <t>ENC116830</t>
        </is>
      </c>
      <c r="B1466" t="inlineStr">
        <is>
          <t>PT11760</t>
        </is>
      </c>
      <c r="C1466" t="inlineStr">
        <is>
          <t>Emergency</t>
        </is>
      </c>
      <c r="D1466" t="inlineStr">
        <is>
          <t>Bluestone Memorial Hospital</t>
        </is>
      </c>
      <c r="E1466" t="inlineStr">
        <is>
          <t>Emergency Department</t>
        </is>
      </c>
      <c r="F1466" t="inlineStr">
        <is>
          <t>Emergency</t>
        </is>
      </c>
      <c r="G1466" s="29" t="n">
        <v>45853</v>
      </c>
      <c r="H1466" s="29" t="n">
        <v>45854</v>
      </c>
      <c r="I1466" s="30" t="n"/>
      <c r="J1466" t="inlineStr">
        <is>
          <t>L03.115</t>
        </is>
      </c>
      <c r="K1466" t="inlineStr">
        <is>
          <t>Cellulitis of right lower limb</t>
        </is>
      </c>
      <c r="L1466" t="inlineStr">
        <is>
          <t>Skin</t>
        </is>
      </c>
      <c r="M1466" t="inlineStr">
        <is>
          <t>Home/Self-Care</t>
        </is>
      </c>
      <c r="N1466" t="inlineStr">
        <is>
          <t>State Medicaid</t>
        </is>
      </c>
      <c r="O1466" s="31" t="n">
        <v>2013.95</v>
      </c>
    </row>
    <row r="1467">
      <c r="A1467" t="inlineStr">
        <is>
          <t>ENC116834</t>
        </is>
      </c>
      <c r="B1467" t="inlineStr">
        <is>
          <t>PT13916</t>
        </is>
      </c>
      <c r="C1467" t="inlineStr">
        <is>
          <t>Outpatient</t>
        </is>
      </c>
      <c r="D1467" t="inlineStr">
        <is>
          <t>Bluestone Outpatient Pavilion</t>
        </is>
      </c>
      <c r="E1467" t="inlineStr">
        <is>
          <t>Primary Care Clinic</t>
        </is>
      </c>
      <c r="F1467" t="inlineStr">
        <is>
          <t>Ambulatory</t>
        </is>
      </c>
      <c r="G1467" s="29" t="n">
        <v>45854</v>
      </c>
      <c r="H1467" s="29" t="n">
        <v>45854</v>
      </c>
      <c r="I1467" s="30" t="n"/>
      <c r="J1467" t="inlineStr">
        <is>
          <t>I10</t>
        </is>
      </c>
      <c r="K1467" t="inlineStr">
        <is>
          <t>Essential (primary) hypertension</t>
        </is>
      </c>
      <c r="L1467" t="inlineStr">
        <is>
          <t>Circulatory</t>
        </is>
      </c>
      <c r="M1467" t="inlineStr">
        <is>
          <t>Home/Self-Care</t>
        </is>
      </c>
      <c r="N1467" t="inlineStr">
        <is>
          <t>Evergreen Mutual Insurance</t>
        </is>
      </c>
      <c r="O1467" s="31" t="n">
        <v>348.26</v>
      </c>
    </row>
    <row r="1468">
      <c r="A1468" t="inlineStr">
        <is>
          <t>ENC116837</t>
        </is>
      </c>
      <c r="B1468" t="inlineStr">
        <is>
          <t>PT13868</t>
        </is>
      </c>
      <c r="C1468" t="inlineStr">
        <is>
          <t>Observation</t>
        </is>
      </c>
      <c r="D1468" t="inlineStr">
        <is>
          <t>Bluestone Memorial Hospital</t>
        </is>
      </c>
      <c r="E1468" t="inlineStr">
        <is>
          <t>Observation Unit</t>
        </is>
      </c>
      <c r="F1468" t="inlineStr">
        <is>
          <t>Medicine</t>
        </is>
      </c>
      <c r="G1468" s="29" t="n">
        <v>45854</v>
      </c>
      <c r="H1468" s="29" t="n">
        <v>45855</v>
      </c>
      <c r="I1468" s="30" t="n">
        <v>1</v>
      </c>
      <c r="J1468" t="inlineStr">
        <is>
          <t>N17.9</t>
        </is>
      </c>
      <c r="K1468" t="inlineStr">
        <is>
          <t>Acute kidney failure, unspecified</t>
        </is>
      </c>
      <c r="L1468" t="inlineStr">
        <is>
          <t>Genitourinary</t>
        </is>
      </c>
      <c r="M1468" t="inlineStr">
        <is>
          <t>Home Health</t>
        </is>
      </c>
      <c r="N1468" t="inlineStr">
        <is>
          <t>Medicare</t>
        </is>
      </c>
      <c r="O1468" s="31" t="n">
        <v>5169.5</v>
      </c>
    </row>
    <row r="1469">
      <c r="A1469" t="inlineStr">
        <is>
          <t>ENC116841</t>
        </is>
      </c>
      <c r="B1469" t="inlineStr">
        <is>
          <t>PT13588</t>
        </is>
      </c>
      <c r="C1469" t="inlineStr">
        <is>
          <t>Emergency</t>
        </is>
      </c>
      <c r="D1469" t="inlineStr">
        <is>
          <t>Bluestone Memorial Hospital</t>
        </is>
      </c>
      <c r="E1469" t="inlineStr">
        <is>
          <t>Emergency Department</t>
        </is>
      </c>
      <c r="F1469" t="inlineStr">
        <is>
          <t>Emergency</t>
        </is>
      </c>
      <c r="G1469" s="29" t="n">
        <v>45854</v>
      </c>
      <c r="H1469" s="29" t="n">
        <v>45854</v>
      </c>
      <c r="I1469" s="30" t="n"/>
      <c r="J1469" t="inlineStr">
        <is>
          <t>K80.20</t>
        </is>
      </c>
      <c r="K1469" t="inlineStr">
        <is>
          <t>Calculus of gallbladder without cholecystitis without obstruction</t>
        </is>
      </c>
      <c r="L1469" t="inlineStr">
        <is>
          <t>Digestive</t>
        </is>
      </c>
      <c r="M1469" t="inlineStr">
        <is>
          <t>Home/Self-Care</t>
        </is>
      </c>
      <c r="N1469" t="inlineStr">
        <is>
          <t>State Medicaid</t>
        </is>
      </c>
      <c r="O1469" s="31" t="n">
        <v>3315.59</v>
      </c>
    </row>
    <row r="1470">
      <c r="A1470" t="inlineStr">
        <is>
          <t>ENC116846</t>
        </is>
      </c>
      <c r="B1470" t="inlineStr">
        <is>
          <t>PT12612</t>
        </is>
      </c>
      <c r="C1470" t="inlineStr">
        <is>
          <t>Outpatient</t>
        </is>
      </c>
      <c r="D1470" t="inlineStr">
        <is>
          <t>Bluestone Outpatient Pavilion</t>
        </is>
      </c>
      <c r="E1470" t="inlineStr">
        <is>
          <t>Orthopedic Clinic</t>
        </is>
      </c>
      <c r="F1470" t="inlineStr">
        <is>
          <t>Orthopedics</t>
        </is>
      </c>
      <c r="G1470" s="29" t="n">
        <v>45854</v>
      </c>
      <c r="H1470" s="29" t="n">
        <v>45854</v>
      </c>
      <c r="I1470" s="30" t="n"/>
      <c r="J1470" t="inlineStr">
        <is>
          <t>S93.401A</t>
        </is>
      </c>
      <c r="K1470" t="inlineStr">
        <is>
          <t>Sprain of unspecified ligament of right ankle, initial encounter</t>
        </is>
      </c>
      <c r="L1470" t="inlineStr">
        <is>
          <t>Injury</t>
        </is>
      </c>
      <c r="M1470" t="inlineStr">
        <is>
          <t>Home/Self-Care</t>
        </is>
      </c>
      <c r="N1470" t="inlineStr">
        <is>
          <t>Evergreen Mutual Insurance</t>
        </is>
      </c>
      <c r="O1470" s="31" t="n">
        <v>301.15</v>
      </c>
    </row>
    <row r="1471">
      <c r="A1471" t="inlineStr">
        <is>
          <t>ENC116847</t>
        </is>
      </c>
      <c r="B1471" t="inlineStr">
        <is>
          <t>PT11556</t>
        </is>
      </c>
      <c r="C1471" t="inlineStr">
        <is>
          <t>Outpatient</t>
        </is>
      </c>
      <c r="D1471" t="inlineStr">
        <is>
          <t>Bluestone Outpatient Pavilion</t>
        </is>
      </c>
      <c r="E1471" t="inlineStr">
        <is>
          <t>Pediatric Clinic</t>
        </is>
      </c>
      <c r="F1471" t="inlineStr">
        <is>
          <t>Women &amp; Children</t>
        </is>
      </c>
      <c r="G1471" s="29" t="n">
        <v>45854</v>
      </c>
      <c r="H1471" s="29" t="n">
        <v>45854</v>
      </c>
      <c r="I1471" s="30" t="n"/>
      <c r="J1471" t="inlineStr">
        <is>
          <t>H66.90</t>
        </is>
      </c>
      <c r="K1471" t="inlineStr">
        <is>
          <t>Otitis media, unspecified, unspecified ear</t>
        </is>
      </c>
      <c r="L1471" t="inlineStr">
        <is>
          <t>Ear</t>
        </is>
      </c>
      <c r="M1471" t="inlineStr">
        <is>
          <t>Home/Self-Care</t>
        </is>
      </c>
      <c r="N1471" t="inlineStr">
        <is>
          <t>Keystone Health Partners</t>
        </is>
      </c>
      <c r="O1471" s="31" t="n">
        <v>199.04</v>
      </c>
    </row>
    <row r="1472">
      <c r="A1472" t="inlineStr">
        <is>
          <t>ENC116850</t>
        </is>
      </c>
      <c r="B1472" t="inlineStr">
        <is>
          <t>PT12932</t>
        </is>
      </c>
      <c r="C1472" t="inlineStr">
        <is>
          <t>Outpatient</t>
        </is>
      </c>
      <c r="D1472" t="inlineStr">
        <is>
          <t>Bluestone Outpatient Pavilion</t>
        </is>
      </c>
      <c r="E1472" t="inlineStr">
        <is>
          <t>Pediatric Clinic</t>
        </is>
      </c>
      <c r="F1472" t="inlineStr">
        <is>
          <t>Women &amp; Children</t>
        </is>
      </c>
      <c r="G1472" s="29" t="n">
        <v>45854</v>
      </c>
      <c r="H1472" s="29" t="n">
        <v>45854</v>
      </c>
      <c r="I1472" s="30" t="n"/>
      <c r="J1472" t="inlineStr">
        <is>
          <t>H66.90</t>
        </is>
      </c>
      <c r="K1472" t="inlineStr">
        <is>
          <t>Otitis media, unspecified, unspecified ear</t>
        </is>
      </c>
      <c r="L1472" t="inlineStr">
        <is>
          <t>Ear</t>
        </is>
      </c>
      <c r="M1472" t="inlineStr">
        <is>
          <t>Home/Self-Care</t>
        </is>
      </c>
      <c r="N1472" t="inlineStr">
        <is>
          <t>State Medicaid</t>
        </is>
      </c>
      <c r="O1472" s="31" t="n">
        <v>285.86</v>
      </c>
    </row>
    <row r="1473">
      <c r="A1473" t="inlineStr">
        <is>
          <t>ENC116851</t>
        </is>
      </c>
      <c r="B1473" t="inlineStr">
        <is>
          <t>PT11488</t>
        </is>
      </c>
      <c r="C1473" t="inlineStr">
        <is>
          <t>Emergency</t>
        </is>
      </c>
      <c r="D1473" t="inlineStr">
        <is>
          <t>Ashby Falls Community Hospital</t>
        </is>
      </c>
      <c r="E1473" t="inlineStr">
        <is>
          <t>Emergency Department</t>
        </is>
      </c>
      <c r="F1473" t="inlineStr">
        <is>
          <t>Emergency</t>
        </is>
      </c>
      <c r="G1473" s="29" t="n">
        <v>45854</v>
      </c>
      <c r="H1473" s="29" t="n">
        <v>45854</v>
      </c>
      <c r="I1473" s="30" t="n"/>
      <c r="J1473" t="inlineStr">
        <is>
          <t>G43.909</t>
        </is>
      </c>
      <c r="K1473" t="inlineStr">
        <is>
          <t>Migraine, unspecified, not intractable, without status migrainosus</t>
        </is>
      </c>
      <c r="L1473" t="inlineStr">
        <is>
          <t>Nervous System</t>
        </is>
      </c>
      <c r="M1473" t="inlineStr">
        <is>
          <t>Home/Self-Care</t>
        </is>
      </c>
      <c r="N1473" t="inlineStr">
        <is>
          <t>Self-Pay</t>
        </is>
      </c>
      <c r="O1473" s="31" t="n">
        <v>958.33</v>
      </c>
    </row>
    <row r="1474">
      <c r="A1474" t="inlineStr">
        <is>
          <t>ENC116852</t>
        </is>
      </c>
      <c r="B1474" t="inlineStr">
        <is>
          <t>PT13636</t>
        </is>
      </c>
      <c r="C1474" t="inlineStr">
        <is>
          <t>Inpatient</t>
        </is>
      </c>
      <c r="D1474" t="inlineStr">
        <is>
          <t>Bluestone Memorial Hospital</t>
        </is>
      </c>
      <c r="E1474" t="inlineStr">
        <is>
          <t>Oncology</t>
        </is>
      </c>
      <c r="F1474" t="inlineStr">
        <is>
          <t>Oncology</t>
        </is>
      </c>
      <c r="G1474" s="29" t="n">
        <v>45854</v>
      </c>
      <c r="H1474" s="29" t="n">
        <v>45860</v>
      </c>
      <c r="I1474" s="30" t="n">
        <v>6</v>
      </c>
      <c r="J1474" t="inlineStr">
        <is>
          <t>C34.90</t>
        </is>
      </c>
      <c r="K1474" t="inlineStr">
        <is>
          <t>Malignant neoplasm of unspecified part of unspecified bronchus or lung</t>
        </is>
      </c>
      <c r="L1474" t="inlineStr">
        <is>
          <t>Neoplasms</t>
        </is>
      </c>
      <c r="M1474" t="inlineStr">
        <is>
          <t>Home/Self-Care</t>
        </is>
      </c>
      <c r="N1474" t="inlineStr">
        <is>
          <t>Keystone Health Partners</t>
        </is>
      </c>
      <c r="O1474" s="31" t="n">
        <v>29040.77</v>
      </c>
      <c r="P1474" t="inlineStr">
        <is>
          <t>N</t>
        </is>
      </c>
    </row>
    <row r="1475">
      <c r="A1475" t="inlineStr">
        <is>
          <t>ENC116854</t>
        </is>
      </c>
      <c r="B1475" t="inlineStr">
        <is>
          <t>PT12032</t>
        </is>
      </c>
      <c r="C1475" t="inlineStr">
        <is>
          <t>Outpatient</t>
        </is>
      </c>
      <c r="D1475" t="inlineStr">
        <is>
          <t>Bluestone Outpatient Pavilion</t>
        </is>
      </c>
      <c r="E1475" t="inlineStr">
        <is>
          <t>Infusion &amp; Oncology Clinic</t>
        </is>
      </c>
      <c r="F1475" t="inlineStr">
        <is>
          <t>Oncology</t>
        </is>
      </c>
      <c r="G1475" s="29" t="n">
        <v>45854</v>
      </c>
      <c r="H1475" s="29" t="n">
        <v>45854</v>
      </c>
      <c r="I1475" s="30" t="n"/>
      <c r="J1475" t="inlineStr">
        <is>
          <t>Z51.11</t>
        </is>
      </c>
      <c r="K1475" t="inlineStr">
        <is>
          <t>Encounter for antineoplastic chemotherapy</t>
        </is>
      </c>
      <c r="L1475" t="inlineStr">
        <is>
          <t>Factors Influencing Health</t>
        </is>
      </c>
      <c r="M1475" t="inlineStr">
        <is>
          <t>Home/Self-Care</t>
        </is>
      </c>
      <c r="N1475" t="inlineStr">
        <is>
          <t>State Medicaid</t>
        </is>
      </c>
      <c r="O1475" s="31" t="n">
        <v>9126.040000000001</v>
      </c>
    </row>
    <row r="1476">
      <c r="A1476" t="inlineStr">
        <is>
          <t>ENC116858</t>
        </is>
      </c>
      <c r="B1476" t="inlineStr">
        <is>
          <t>PT12764</t>
        </is>
      </c>
      <c r="C1476" t="inlineStr">
        <is>
          <t>Observation</t>
        </is>
      </c>
      <c r="D1476" t="inlineStr">
        <is>
          <t>Bluestone Memorial Hospital</t>
        </is>
      </c>
      <c r="E1476" t="inlineStr">
        <is>
          <t>Observation Unit</t>
        </is>
      </c>
      <c r="F1476" t="inlineStr">
        <is>
          <t>Medicine</t>
        </is>
      </c>
      <c r="G1476" s="29" t="n">
        <v>45854</v>
      </c>
      <c r="H1476" s="29" t="n">
        <v>45855</v>
      </c>
      <c r="I1476" s="30" t="n">
        <v>1</v>
      </c>
      <c r="J1476" t="inlineStr">
        <is>
          <t>K80.20</t>
        </is>
      </c>
      <c r="K1476" t="inlineStr">
        <is>
          <t>Calculus of gallbladder without cholecystitis without obstruction</t>
        </is>
      </c>
      <c r="L1476" t="inlineStr">
        <is>
          <t>Digestive</t>
        </is>
      </c>
      <c r="M1476" t="inlineStr">
        <is>
          <t>Home/Self-Care</t>
        </is>
      </c>
      <c r="N1476" t="inlineStr">
        <is>
          <t>Keystone Health Partners</t>
        </is>
      </c>
      <c r="O1476" s="31" t="n">
        <v>10051.4</v>
      </c>
    </row>
    <row r="1477">
      <c r="A1477" t="inlineStr">
        <is>
          <t>ENC116859</t>
        </is>
      </c>
      <c r="B1477" t="inlineStr">
        <is>
          <t>PT11128</t>
        </is>
      </c>
      <c r="C1477" t="inlineStr">
        <is>
          <t>Emergency</t>
        </is>
      </c>
      <c r="D1477" t="inlineStr">
        <is>
          <t>Cedar Ridge Medical Center</t>
        </is>
      </c>
      <c r="E1477" t="inlineStr">
        <is>
          <t>Emergency Department</t>
        </is>
      </c>
      <c r="F1477" t="inlineStr">
        <is>
          <t>Emergency</t>
        </is>
      </c>
      <c r="G1477" s="29" t="n">
        <v>45854</v>
      </c>
      <c r="H1477" s="29" t="n">
        <v>45854</v>
      </c>
      <c r="I1477" s="30" t="n"/>
      <c r="J1477" t="inlineStr">
        <is>
          <t>N39.0</t>
        </is>
      </c>
      <c r="K1477" t="inlineStr">
        <is>
          <t>Urinary tract infection, site not specified</t>
        </is>
      </c>
      <c r="L1477" t="inlineStr">
        <is>
          <t>Genitourinary</t>
        </is>
      </c>
      <c r="M1477" t="inlineStr">
        <is>
          <t>Home/Self-Care</t>
        </is>
      </c>
      <c r="N1477" t="inlineStr">
        <is>
          <t>Keystone Health Partners</t>
        </is>
      </c>
      <c r="O1477" s="31" t="n">
        <v>3003.81</v>
      </c>
    </row>
    <row r="1478">
      <c r="A1478" t="inlineStr">
        <is>
          <t>ENC116861</t>
        </is>
      </c>
      <c r="B1478" t="inlineStr">
        <is>
          <t>PT10864</t>
        </is>
      </c>
      <c r="C1478" t="inlineStr">
        <is>
          <t>Observation</t>
        </is>
      </c>
      <c r="D1478" t="inlineStr">
        <is>
          <t>Cedar Ridge Medical Center</t>
        </is>
      </c>
      <c r="E1478" t="inlineStr">
        <is>
          <t>Medical-Surgical</t>
        </is>
      </c>
      <c r="F1478" t="inlineStr">
        <is>
          <t>Medicine</t>
        </is>
      </c>
      <c r="G1478" s="29" t="n">
        <v>45855</v>
      </c>
      <c r="H1478" s="29" t="n">
        <v>45855</v>
      </c>
      <c r="I1478" s="30" t="n">
        <v>0</v>
      </c>
      <c r="J1478" t="inlineStr">
        <is>
          <t>R07.9</t>
        </is>
      </c>
      <c r="K1478" t="inlineStr">
        <is>
          <t>Chest pain, unspecified</t>
        </is>
      </c>
      <c r="L1478" t="inlineStr">
        <is>
          <t>Symptoms &amp; Signs</t>
        </is>
      </c>
      <c r="M1478" t="inlineStr">
        <is>
          <t>Home/Self-Care</t>
        </is>
      </c>
      <c r="N1478" t="inlineStr">
        <is>
          <t>State Medicaid</t>
        </is>
      </c>
      <c r="O1478" s="31" t="n">
        <v>8318.879999999999</v>
      </c>
    </row>
    <row r="1479">
      <c r="A1479" t="inlineStr">
        <is>
          <t>ENC116862</t>
        </is>
      </c>
      <c r="B1479" t="inlineStr">
        <is>
          <t>PT12328</t>
        </is>
      </c>
      <c r="C1479" t="inlineStr">
        <is>
          <t>Emergency</t>
        </is>
      </c>
      <c r="D1479" t="inlineStr">
        <is>
          <t>Cedar Ridge Medical Center</t>
        </is>
      </c>
      <c r="E1479" t="inlineStr">
        <is>
          <t>Emergency Department</t>
        </is>
      </c>
      <c r="F1479" t="inlineStr">
        <is>
          <t>Emergency</t>
        </is>
      </c>
      <c r="G1479" s="29" t="n">
        <v>45855</v>
      </c>
      <c r="H1479" s="29" t="n">
        <v>45855</v>
      </c>
      <c r="I1479" s="30" t="n"/>
      <c r="J1479" t="inlineStr">
        <is>
          <t>F10.239</t>
        </is>
      </c>
      <c r="K1479" t="inlineStr">
        <is>
          <t>Alcohol dependence with withdrawal, unspecified</t>
        </is>
      </c>
      <c r="L1479" t="inlineStr">
        <is>
          <t>Mental &amp; Behavioral</t>
        </is>
      </c>
      <c r="M1479" t="inlineStr">
        <is>
          <t>Home/Self-Care</t>
        </is>
      </c>
      <c r="N1479" t="inlineStr">
        <is>
          <t>Keystone Health Partners</t>
        </is>
      </c>
      <c r="O1479" s="31" t="n">
        <v>7587.13</v>
      </c>
    </row>
    <row r="1480">
      <c r="A1480" t="inlineStr">
        <is>
          <t>ENC116863</t>
        </is>
      </c>
      <c r="B1480" t="inlineStr">
        <is>
          <t>PT10556</t>
        </is>
      </c>
      <c r="C1480" t="inlineStr">
        <is>
          <t>Inpatient</t>
        </is>
      </c>
      <c r="D1480" t="inlineStr">
        <is>
          <t>Bluestone Memorial Hospital</t>
        </is>
      </c>
      <c r="E1480" t="inlineStr">
        <is>
          <t>Medical-Surgical 5 East</t>
        </is>
      </c>
      <c r="F1480" t="inlineStr">
        <is>
          <t>Medicine</t>
        </is>
      </c>
      <c r="G1480" s="29" t="n">
        <v>45855</v>
      </c>
      <c r="H1480" s="29" t="n">
        <v>45858</v>
      </c>
      <c r="I1480" s="30" t="n">
        <v>3</v>
      </c>
      <c r="J1480" t="inlineStr">
        <is>
          <t>F10.239</t>
        </is>
      </c>
      <c r="K1480" t="inlineStr">
        <is>
          <t>Alcohol dependence with withdrawal, unspecified</t>
        </is>
      </c>
      <c r="L1480" t="inlineStr">
        <is>
          <t>Mental &amp; Behavioral</t>
        </is>
      </c>
      <c r="M1480" t="inlineStr">
        <is>
          <t>Home Health</t>
        </is>
      </c>
      <c r="N1480" t="inlineStr">
        <is>
          <t>State Medicaid</t>
        </is>
      </c>
      <c r="O1480" s="31" t="n">
        <v>12716.85</v>
      </c>
      <c r="P1480" t="inlineStr">
        <is>
          <t>N</t>
        </is>
      </c>
    </row>
    <row r="1481">
      <c r="A1481" t="inlineStr">
        <is>
          <t>ENC116866</t>
        </is>
      </c>
      <c r="B1481" t="inlineStr">
        <is>
          <t>PT11288</t>
        </is>
      </c>
      <c r="C1481" t="inlineStr">
        <is>
          <t>Outpatient</t>
        </is>
      </c>
      <c r="D1481" t="inlineStr">
        <is>
          <t>Bluestone Outpatient Pavilion</t>
        </is>
      </c>
      <c r="E1481" t="inlineStr">
        <is>
          <t>Pediatric Clinic</t>
        </is>
      </c>
      <c r="F1481" t="inlineStr">
        <is>
          <t>Women &amp; Children</t>
        </is>
      </c>
      <c r="G1481" s="29" t="n">
        <v>45855</v>
      </c>
      <c r="H1481" s="29" t="n">
        <v>45855</v>
      </c>
      <c r="I1481" s="30" t="n"/>
      <c r="J1481" t="inlineStr">
        <is>
          <t>Z00.129</t>
        </is>
      </c>
      <c r="K1481" t="inlineStr">
        <is>
          <t>Encounter for routine child health examination without abnormal findings</t>
        </is>
      </c>
      <c r="L1481" t="inlineStr">
        <is>
          <t>Factors Influencing Health</t>
        </is>
      </c>
      <c r="M1481" t="inlineStr">
        <is>
          <t>Home/Self-Care</t>
        </is>
      </c>
      <c r="N1481" t="inlineStr">
        <is>
          <t>State Medicaid</t>
        </is>
      </c>
      <c r="O1481" s="31" t="n">
        <v>432.51</v>
      </c>
    </row>
    <row r="1482">
      <c r="A1482" t="inlineStr">
        <is>
          <t>ENC116867</t>
        </is>
      </c>
      <c r="B1482" t="inlineStr">
        <is>
          <t>PT11084</t>
        </is>
      </c>
      <c r="C1482" t="inlineStr">
        <is>
          <t>Outpatient</t>
        </is>
      </c>
      <c r="D1482" t="inlineStr">
        <is>
          <t>Bluestone Outpatient Pavilion</t>
        </is>
      </c>
      <c r="E1482" t="inlineStr">
        <is>
          <t>Primary Care Clinic</t>
        </is>
      </c>
      <c r="F1482" t="inlineStr">
        <is>
          <t>Ambulatory</t>
        </is>
      </c>
      <c r="G1482" s="29" t="n">
        <v>45855</v>
      </c>
      <c r="H1482" s="29" t="n">
        <v>45855</v>
      </c>
      <c r="I1482" s="30" t="n"/>
      <c r="J1482" t="inlineStr">
        <is>
          <t>E78.5</t>
        </is>
      </c>
      <c r="K1482" t="inlineStr">
        <is>
          <t>Hyperlipidemia, unspecified</t>
        </is>
      </c>
      <c r="L1482" t="inlineStr">
        <is>
          <t>Endocrine</t>
        </is>
      </c>
      <c r="M1482" t="inlineStr">
        <is>
          <t>Home/Self-Care</t>
        </is>
      </c>
      <c r="N1482" t="inlineStr">
        <is>
          <t>Silverline Medicare Advantage</t>
        </is>
      </c>
      <c r="O1482" s="31" t="n">
        <v>370.56</v>
      </c>
    </row>
    <row r="1483">
      <c r="A1483" t="inlineStr">
        <is>
          <t>ENC116886</t>
        </is>
      </c>
      <c r="B1483" t="inlineStr">
        <is>
          <t>PT12312</t>
        </is>
      </c>
      <c r="C1483" t="inlineStr">
        <is>
          <t>Outpatient</t>
        </is>
      </c>
      <c r="D1483" t="inlineStr">
        <is>
          <t>Bluestone Outpatient Pavilion</t>
        </is>
      </c>
      <c r="E1483" t="inlineStr">
        <is>
          <t>Endocrinology &amp; Diabetes Clinic</t>
        </is>
      </c>
      <c r="F1483" t="inlineStr">
        <is>
          <t>Ambulatory</t>
        </is>
      </c>
      <c r="G1483" s="29" t="n">
        <v>45855</v>
      </c>
      <c r="H1483" s="29" t="n">
        <v>45855</v>
      </c>
      <c r="I1483" s="30" t="n"/>
      <c r="J1483" t="inlineStr">
        <is>
          <t>E11.9</t>
        </is>
      </c>
      <c r="K1483" t="inlineStr">
        <is>
          <t>Type 2 diabetes mellitus without complications</t>
        </is>
      </c>
      <c r="L1483" t="inlineStr">
        <is>
          <t>Endocrine</t>
        </is>
      </c>
      <c r="M1483" t="inlineStr">
        <is>
          <t>Home/Self-Care</t>
        </is>
      </c>
      <c r="N1483" t="inlineStr">
        <is>
          <t>Medicare</t>
        </is>
      </c>
      <c r="O1483" s="31" t="n">
        <v>219.62</v>
      </c>
    </row>
    <row r="1484">
      <c r="A1484" t="inlineStr">
        <is>
          <t>ENC116888</t>
        </is>
      </c>
      <c r="B1484" t="inlineStr">
        <is>
          <t>PT12900</t>
        </is>
      </c>
      <c r="C1484" t="inlineStr">
        <is>
          <t>Emergency</t>
        </is>
      </c>
      <c r="D1484" t="inlineStr">
        <is>
          <t>Bluestone Memorial Hospital</t>
        </is>
      </c>
      <c r="E1484" t="inlineStr">
        <is>
          <t>Emergency Department</t>
        </is>
      </c>
      <c r="F1484" t="inlineStr">
        <is>
          <t>Emergency</t>
        </is>
      </c>
      <c r="G1484" s="29" t="n">
        <v>45855</v>
      </c>
      <c r="H1484" s="29" t="n">
        <v>45856</v>
      </c>
      <c r="I1484" s="30" t="n"/>
      <c r="J1484" t="inlineStr">
        <is>
          <t>S93.401A</t>
        </is>
      </c>
      <c r="K1484" t="inlineStr">
        <is>
          <t>Sprain of unspecified ligament of right ankle, initial encounter</t>
        </is>
      </c>
      <c r="L1484" t="inlineStr">
        <is>
          <t>Injury</t>
        </is>
      </c>
      <c r="M1484" t="inlineStr">
        <is>
          <t>Home/Self-Care</t>
        </is>
      </c>
      <c r="N1484" t="inlineStr">
        <is>
          <t>State Medicaid</t>
        </is>
      </c>
      <c r="O1484" s="31" t="n">
        <v>1156.82</v>
      </c>
    </row>
    <row r="1485">
      <c r="A1485" t="inlineStr">
        <is>
          <t>ENC116895</t>
        </is>
      </c>
      <c r="B1485" t="inlineStr">
        <is>
          <t>PT12148</t>
        </is>
      </c>
      <c r="C1485" t="inlineStr">
        <is>
          <t>Outpatient</t>
        </is>
      </c>
      <c r="D1485" t="inlineStr">
        <is>
          <t>Bluestone Outpatient Pavilion</t>
        </is>
      </c>
      <c r="E1485" t="inlineStr">
        <is>
          <t>Primary Care Clinic</t>
        </is>
      </c>
      <c r="F1485" t="inlineStr">
        <is>
          <t>Ambulatory</t>
        </is>
      </c>
      <c r="G1485" s="29" t="n">
        <v>45856</v>
      </c>
      <c r="H1485" s="29" t="n">
        <v>45856</v>
      </c>
      <c r="I1485" s="30" t="n"/>
      <c r="J1485" t="inlineStr">
        <is>
          <t>E78.5</t>
        </is>
      </c>
      <c r="K1485" t="inlineStr">
        <is>
          <t>Hyperlipidemia, unspecified</t>
        </is>
      </c>
      <c r="L1485" t="inlineStr">
        <is>
          <t>Endocrine</t>
        </is>
      </c>
      <c r="M1485" t="inlineStr">
        <is>
          <t>Home/Self-Care</t>
        </is>
      </c>
      <c r="N1485" t="inlineStr">
        <is>
          <t>Medicare</t>
        </is>
      </c>
      <c r="O1485" s="31" t="n">
        <v>191.21</v>
      </c>
    </row>
    <row r="1486">
      <c r="A1486" t="inlineStr">
        <is>
          <t>ENC116896</t>
        </is>
      </c>
      <c r="B1486" t="inlineStr">
        <is>
          <t>PT11964</t>
        </is>
      </c>
      <c r="C1486" t="inlineStr">
        <is>
          <t>Outpatient</t>
        </is>
      </c>
      <c r="D1486" t="inlineStr">
        <is>
          <t>Bluestone Outpatient Pavilion</t>
        </is>
      </c>
      <c r="E1486" t="inlineStr">
        <is>
          <t>Cardiology Clinic</t>
        </is>
      </c>
      <c r="F1486" t="inlineStr">
        <is>
          <t>Cardiovascular</t>
        </is>
      </c>
      <c r="G1486" s="29" t="n">
        <v>45856</v>
      </c>
      <c r="H1486" s="29" t="n">
        <v>45856</v>
      </c>
      <c r="I1486" s="30" t="n"/>
      <c r="J1486" t="inlineStr">
        <is>
          <t>I48.91</t>
        </is>
      </c>
      <c r="K1486" t="inlineStr">
        <is>
          <t>Unspecified atrial fibrillation</t>
        </is>
      </c>
      <c r="L1486" t="inlineStr">
        <is>
          <t>Circulatory</t>
        </is>
      </c>
      <c r="M1486" t="inlineStr">
        <is>
          <t>Home/Self-Care</t>
        </is>
      </c>
      <c r="N1486" t="inlineStr">
        <is>
          <t>Silverline Medicare Advantage</t>
        </is>
      </c>
      <c r="O1486" s="31" t="n">
        <v>228.95</v>
      </c>
    </row>
    <row r="1487">
      <c r="A1487" t="inlineStr">
        <is>
          <t>ENC116897</t>
        </is>
      </c>
      <c r="B1487" t="inlineStr">
        <is>
          <t>PT11776</t>
        </is>
      </c>
      <c r="C1487" t="inlineStr">
        <is>
          <t>Emergency</t>
        </is>
      </c>
      <c r="D1487" t="inlineStr">
        <is>
          <t>Bluestone Memorial Hospital</t>
        </is>
      </c>
      <c r="E1487" t="inlineStr">
        <is>
          <t>Emergency Department</t>
        </is>
      </c>
      <c r="F1487" t="inlineStr">
        <is>
          <t>Emergency</t>
        </is>
      </c>
      <c r="G1487" s="29" t="n">
        <v>45856</v>
      </c>
      <c r="H1487" s="29" t="n">
        <v>45856</v>
      </c>
      <c r="I1487" s="30" t="n"/>
      <c r="J1487" t="inlineStr">
        <is>
          <t>R10.9</t>
        </is>
      </c>
      <c r="K1487" t="inlineStr">
        <is>
          <t>Unspecified abdominal pain</t>
        </is>
      </c>
      <c r="L1487" t="inlineStr">
        <is>
          <t>Symptoms &amp; Signs</t>
        </is>
      </c>
      <c r="M1487" t="inlineStr">
        <is>
          <t>Home/Self-Care</t>
        </is>
      </c>
      <c r="N1487" t="inlineStr">
        <is>
          <t>Medicare</t>
        </is>
      </c>
      <c r="O1487" s="31" t="n">
        <v>4455.06</v>
      </c>
    </row>
    <row r="1488">
      <c r="A1488" t="inlineStr">
        <is>
          <t>ENC116899</t>
        </is>
      </c>
      <c r="B1488" t="inlineStr">
        <is>
          <t>PT11840</t>
        </is>
      </c>
      <c r="C1488" t="inlineStr">
        <is>
          <t>Outpatient</t>
        </is>
      </c>
      <c r="D1488" t="inlineStr">
        <is>
          <t>Bluestone Outpatient Pavilion</t>
        </is>
      </c>
      <c r="E1488" t="inlineStr">
        <is>
          <t>Infusion &amp; Oncology Clinic</t>
        </is>
      </c>
      <c r="F1488" t="inlineStr">
        <is>
          <t>Oncology</t>
        </is>
      </c>
      <c r="G1488" s="29" t="n">
        <v>45856</v>
      </c>
      <c r="H1488" s="29" t="n">
        <v>45856</v>
      </c>
      <c r="I1488" s="30" t="n"/>
      <c r="J1488" t="inlineStr">
        <is>
          <t>C50.911</t>
        </is>
      </c>
      <c r="K1488" t="inlineStr">
        <is>
          <t>Malignant neoplasm of unspecified site of right female breast</t>
        </is>
      </c>
      <c r="L1488" t="inlineStr">
        <is>
          <t>Neoplasms</t>
        </is>
      </c>
      <c r="M1488" t="inlineStr">
        <is>
          <t>Home/Self-Care</t>
        </is>
      </c>
      <c r="N1488" t="inlineStr">
        <is>
          <t>Silverline Medicare Advantage</t>
        </is>
      </c>
      <c r="O1488" s="31" t="n">
        <v>569.8099999999999</v>
      </c>
    </row>
    <row r="1489">
      <c r="A1489" t="inlineStr">
        <is>
          <t>ENC116908</t>
        </is>
      </c>
      <c r="B1489" t="inlineStr">
        <is>
          <t>PT13788</t>
        </is>
      </c>
      <c r="C1489" t="inlineStr">
        <is>
          <t>Emergency</t>
        </is>
      </c>
      <c r="D1489" t="inlineStr">
        <is>
          <t>Bluestone Memorial Hospital</t>
        </is>
      </c>
      <c r="E1489" t="inlineStr">
        <is>
          <t>Emergency Department</t>
        </is>
      </c>
      <c r="F1489" t="inlineStr">
        <is>
          <t>Emergency</t>
        </is>
      </c>
      <c r="G1489" s="29" t="n">
        <v>45856</v>
      </c>
      <c r="H1489" s="29" t="n">
        <v>45856</v>
      </c>
      <c r="I1489" s="30" t="n"/>
      <c r="J1489" t="inlineStr">
        <is>
          <t>L03.115</t>
        </is>
      </c>
      <c r="K1489" t="inlineStr">
        <is>
          <t>Cellulitis of right lower limb</t>
        </is>
      </c>
      <c r="L1489" t="inlineStr">
        <is>
          <t>Skin</t>
        </is>
      </c>
      <c r="M1489" t="inlineStr">
        <is>
          <t>Home/Self-Care</t>
        </is>
      </c>
      <c r="N1489" t="inlineStr">
        <is>
          <t>Silverline Medicare Advantage</t>
        </is>
      </c>
      <c r="O1489" s="31" t="n">
        <v>3385.64</v>
      </c>
    </row>
    <row r="1490">
      <c r="A1490" t="inlineStr">
        <is>
          <t>ENC116911</t>
        </is>
      </c>
      <c r="B1490" t="inlineStr">
        <is>
          <t>PT13760</t>
        </is>
      </c>
      <c r="C1490" t="inlineStr">
        <is>
          <t>Emergency</t>
        </is>
      </c>
      <c r="D1490" t="inlineStr">
        <is>
          <t>Cedar Ridge Medical Center</t>
        </is>
      </c>
      <c r="E1490" t="inlineStr">
        <is>
          <t>Emergency Department</t>
        </is>
      </c>
      <c r="F1490" t="inlineStr">
        <is>
          <t>Emergency</t>
        </is>
      </c>
      <c r="G1490" s="29" t="n">
        <v>45856</v>
      </c>
      <c r="H1490" s="29" t="n">
        <v>45856</v>
      </c>
      <c r="I1490" s="30" t="n"/>
      <c r="J1490" t="inlineStr">
        <is>
          <t>N39.0</t>
        </is>
      </c>
      <c r="K1490" t="inlineStr">
        <is>
          <t>Urinary tract infection, site not specified</t>
        </is>
      </c>
      <c r="L1490" t="inlineStr">
        <is>
          <t>Genitourinary</t>
        </is>
      </c>
      <c r="M1490" t="inlineStr">
        <is>
          <t>Home/Self-Care</t>
        </is>
      </c>
      <c r="N1490" t="inlineStr">
        <is>
          <t>Evergreen Mutual Insurance</t>
        </is>
      </c>
      <c r="O1490" s="31" t="n">
        <v>3532.9</v>
      </c>
    </row>
    <row r="1491">
      <c r="A1491" t="inlineStr">
        <is>
          <t>ENC116913</t>
        </is>
      </c>
      <c r="B1491" t="inlineStr">
        <is>
          <t>PT13488</t>
        </is>
      </c>
      <c r="C1491" t="inlineStr">
        <is>
          <t>Emergency</t>
        </is>
      </c>
      <c r="D1491" t="inlineStr">
        <is>
          <t>Bluestone Memorial Hospital</t>
        </is>
      </c>
      <c r="E1491" t="inlineStr">
        <is>
          <t>Emergency Department</t>
        </is>
      </c>
      <c r="F1491" t="inlineStr">
        <is>
          <t>Emergency</t>
        </is>
      </c>
      <c r="G1491" s="29" t="n">
        <v>45856</v>
      </c>
      <c r="H1491" s="29" t="n">
        <v>45856</v>
      </c>
      <c r="I1491" s="30" t="n"/>
      <c r="J1491" t="inlineStr">
        <is>
          <t>E86.0</t>
        </is>
      </c>
      <c r="K1491" t="inlineStr">
        <is>
          <t>Dehydration</t>
        </is>
      </c>
      <c r="L1491" t="inlineStr">
        <is>
          <t>Endocrine</t>
        </is>
      </c>
      <c r="M1491" t="inlineStr">
        <is>
          <t>Home/Self-Care</t>
        </is>
      </c>
      <c r="N1491" t="inlineStr">
        <is>
          <t>Summit Choice PPO</t>
        </is>
      </c>
      <c r="O1491" s="31" t="n">
        <v>4614.15</v>
      </c>
    </row>
    <row r="1492">
      <c r="A1492" t="inlineStr">
        <is>
          <t>ENC116914</t>
        </is>
      </c>
      <c r="B1492" t="inlineStr">
        <is>
          <t>PT11528</t>
        </is>
      </c>
      <c r="C1492" t="inlineStr">
        <is>
          <t>Emergency</t>
        </is>
      </c>
      <c r="D1492" t="inlineStr">
        <is>
          <t>Bluestone Memorial Hospital</t>
        </is>
      </c>
      <c r="E1492" t="inlineStr">
        <is>
          <t>Emergency Department</t>
        </is>
      </c>
      <c r="F1492" t="inlineStr">
        <is>
          <t>Emergency</t>
        </is>
      </c>
      <c r="G1492" s="29" t="n">
        <v>45856</v>
      </c>
      <c r="H1492" s="29" t="n">
        <v>45856</v>
      </c>
      <c r="I1492" s="30" t="n"/>
      <c r="J1492" t="inlineStr">
        <is>
          <t>G43.909</t>
        </is>
      </c>
      <c r="K1492" t="inlineStr">
        <is>
          <t>Migraine, unspecified, not intractable, without status migrainosus</t>
        </is>
      </c>
      <c r="L1492" t="inlineStr">
        <is>
          <t>Nervous System</t>
        </is>
      </c>
      <c r="M1492" t="inlineStr">
        <is>
          <t>Home/Self-Care</t>
        </is>
      </c>
      <c r="N1492" t="inlineStr">
        <is>
          <t>Summit Choice PPO</t>
        </is>
      </c>
      <c r="O1492" s="31" t="n">
        <v>2077.08</v>
      </c>
    </row>
    <row r="1493">
      <c r="A1493" t="inlineStr">
        <is>
          <t>ENC116917</t>
        </is>
      </c>
      <c r="B1493" t="inlineStr">
        <is>
          <t>PT11564</t>
        </is>
      </c>
      <c r="C1493" t="inlineStr">
        <is>
          <t>Emergency</t>
        </is>
      </c>
      <c r="D1493" t="inlineStr">
        <is>
          <t>Bluestone Memorial Hospital</t>
        </is>
      </c>
      <c r="E1493" t="inlineStr">
        <is>
          <t>Emergency Department</t>
        </is>
      </c>
      <c r="F1493" t="inlineStr">
        <is>
          <t>Emergency</t>
        </is>
      </c>
      <c r="G1493" s="29" t="n">
        <v>45856</v>
      </c>
      <c r="H1493" s="29" t="n">
        <v>45857</v>
      </c>
      <c r="I1493" s="30" t="n"/>
      <c r="J1493" t="inlineStr">
        <is>
          <t>S06.0X0A</t>
        </is>
      </c>
      <c r="K1493" t="inlineStr">
        <is>
          <t>Concussion without loss of consciousness, initial encounter</t>
        </is>
      </c>
      <c r="L1493" t="inlineStr">
        <is>
          <t>Injury</t>
        </is>
      </c>
      <c r="M1493" t="inlineStr">
        <is>
          <t>Home/Self-Care</t>
        </is>
      </c>
      <c r="N1493" t="inlineStr">
        <is>
          <t>Medicare</t>
        </is>
      </c>
      <c r="O1493" s="31" t="n">
        <v>1545.82</v>
      </c>
    </row>
    <row r="1494">
      <c r="A1494" t="inlineStr">
        <is>
          <t>ENC116924</t>
        </is>
      </c>
      <c r="B1494" t="inlineStr">
        <is>
          <t>PT12552</t>
        </is>
      </c>
      <c r="C1494" t="inlineStr">
        <is>
          <t>Emergency</t>
        </is>
      </c>
      <c r="D1494" t="inlineStr">
        <is>
          <t>Bluestone Memorial Hospital</t>
        </is>
      </c>
      <c r="E1494" t="inlineStr">
        <is>
          <t>Emergency Department</t>
        </is>
      </c>
      <c r="F1494" t="inlineStr">
        <is>
          <t>Emergency</t>
        </is>
      </c>
      <c r="G1494" s="29" t="n">
        <v>45857</v>
      </c>
      <c r="H1494" s="29" t="n">
        <v>45857</v>
      </c>
      <c r="I1494" s="30" t="n"/>
      <c r="J1494" t="inlineStr">
        <is>
          <t>S06.0X0A</t>
        </is>
      </c>
      <c r="K1494" t="inlineStr">
        <is>
          <t>Concussion without loss of consciousness, initial encounter</t>
        </is>
      </c>
      <c r="L1494" t="inlineStr">
        <is>
          <t>Injury</t>
        </is>
      </c>
      <c r="M1494" t="inlineStr">
        <is>
          <t>Home/Self-Care</t>
        </is>
      </c>
      <c r="N1494" t="inlineStr">
        <is>
          <t>Summit Choice PPO</t>
        </is>
      </c>
      <c r="O1494" s="31" t="n">
        <v>1519.09</v>
      </c>
    </row>
    <row r="1495">
      <c r="A1495" t="inlineStr">
        <is>
          <t>ENC116926</t>
        </is>
      </c>
      <c r="B1495" t="inlineStr">
        <is>
          <t>PT13940</t>
        </is>
      </c>
      <c r="C1495" t="inlineStr">
        <is>
          <t>Emergency</t>
        </is>
      </c>
      <c r="D1495" t="inlineStr">
        <is>
          <t>Cedar Ridge Medical Center</t>
        </is>
      </c>
      <c r="E1495" t="inlineStr">
        <is>
          <t>Emergency Department</t>
        </is>
      </c>
      <c r="F1495" t="inlineStr">
        <is>
          <t>Emergency</t>
        </is>
      </c>
      <c r="G1495" s="29" t="n">
        <v>45857</v>
      </c>
      <c r="H1495" s="29" t="n">
        <v>45857</v>
      </c>
      <c r="I1495" s="30" t="n"/>
      <c r="J1495" t="inlineStr">
        <is>
          <t>E86.0</t>
        </is>
      </c>
      <c r="K1495" t="inlineStr">
        <is>
          <t>Dehydration</t>
        </is>
      </c>
      <c r="L1495" t="inlineStr">
        <is>
          <t>Endocrine</t>
        </is>
      </c>
      <c r="M1495" t="inlineStr">
        <is>
          <t>Left Without Being Seen</t>
        </is>
      </c>
      <c r="N1495" t="inlineStr">
        <is>
          <t>Evergreen Mutual Insurance</t>
        </is>
      </c>
      <c r="O1495" s="31" t="n">
        <v>4759.45</v>
      </c>
    </row>
    <row r="1496">
      <c r="A1496" t="inlineStr">
        <is>
          <t>ENC116928</t>
        </is>
      </c>
      <c r="B1496" t="inlineStr">
        <is>
          <t>PT12408</t>
        </is>
      </c>
      <c r="C1496" t="inlineStr">
        <is>
          <t>Inpatient</t>
        </is>
      </c>
      <c r="D1496" t="inlineStr">
        <is>
          <t>Bluestone Memorial Hospital</t>
        </is>
      </c>
      <c r="E1496" t="inlineStr">
        <is>
          <t>Behavioral Health</t>
        </is>
      </c>
      <c r="F1496" t="inlineStr">
        <is>
          <t>Behavioral Health</t>
        </is>
      </c>
      <c r="G1496" s="29" t="n">
        <v>45857</v>
      </c>
      <c r="H1496" s="29" t="n">
        <v>45877</v>
      </c>
      <c r="I1496" s="30" t="n">
        <v>20</v>
      </c>
      <c r="J1496" t="inlineStr">
        <is>
          <t>F32.9</t>
        </is>
      </c>
      <c r="K1496" t="inlineStr">
        <is>
          <t>Major depressive disorder, single episode, unspecified</t>
        </is>
      </c>
      <c r="L1496" t="inlineStr">
        <is>
          <t>Mental &amp; Behavioral</t>
        </is>
      </c>
      <c r="M1496" t="inlineStr">
        <is>
          <t>Home/Self-Care</t>
        </is>
      </c>
      <c r="N1496" t="inlineStr">
        <is>
          <t>State Medicaid</t>
        </is>
      </c>
      <c r="O1496" s="31" t="n">
        <v>44650.12</v>
      </c>
      <c r="P1496" t="inlineStr">
        <is>
          <t>N</t>
        </is>
      </c>
    </row>
    <row r="1497">
      <c r="A1497" t="inlineStr">
        <is>
          <t>ENC116932</t>
        </is>
      </c>
      <c r="B1497" t="inlineStr">
        <is>
          <t>PT11884</t>
        </is>
      </c>
      <c r="C1497" t="inlineStr">
        <is>
          <t>Emergency</t>
        </is>
      </c>
      <c r="D1497" t="inlineStr">
        <is>
          <t>Bluestone Memorial Hospital</t>
        </is>
      </c>
      <c r="E1497" t="inlineStr">
        <is>
          <t>Emergency Department</t>
        </is>
      </c>
      <c r="F1497" t="inlineStr">
        <is>
          <t>Emergency</t>
        </is>
      </c>
      <c r="G1497" s="29" t="n">
        <v>45857</v>
      </c>
      <c r="H1497" s="29" t="n">
        <v>45857</v>
      </c>
      <c r="I1497" s="30" t="n"/>
      <c r="J1497" t="inlineStr">
        <is>
          <t>G40.909</t>
        </is>
      </c>
      <c r="K1497" t="inlineStr">
        <is>
          <t>Epilepsy, unspecified, not intractable, without status epilepticus</t>
        </is>
      </c>
      <c r="L1497" t="inlineStr">
        <is>
          <t>Nervous System</t>
        </is>
      </c>
      <c r="M1497" t="inlineStr">
        <is>
          <t>Home/Self-Care</t>
        </is>
      </c>
      <c r="N1497" t="inlineStr">
        <is>
          <t>Silverline Medicare Advantage</t>
        </is>
      </c>
      <c r="O1497" s="31" t="n">
        <v>2655.62</v>
      </c>
    </row>
    <row r="1498">
      <c r="A1498" t="inlineStr">
        <is>
          <t>ENC116933</t>
        </is>
      </c>
      <c r="B1498" t="inlineStr">
        <is>
          <t>PT10876</t>
        </is>
      </c>
      <c r="C1498" t="inlineStr">
        <is>
          <t>Emergency</t>
        </is>
      </c>
      <c r="D1498" t="inlineStr">
        <is>
          <t>Ashby Falls Community Hospital</t>
        </is>
      </c>
      <c r="E1498" t="inlineStr">
        <is>
          <t>Emergency Department</t>
        </is>
      </c>
      <c r="F1498" t="inlineStr">
        <is>
          <t>Emergency</t>
        </is>
      </c>
      <c r="G1498" s="29" t="n">
        <v>45857</v>
      </c>
      <c r="H1498" s="29" t="n">
        <v>45857</v>
      </c>
      <c r="I1498" s="30" t="n"/>
      <c r="J1498" t="inlineStr">
        <is>
          <t>I50.9</t>
        </is>
      </c>
      <c r="K1498" t="inlineStr">
        <is>
          <t>Heart failure, unspecified</t>
        </is>
      </c>
      <c r="L1498" t="inlineStr">
        <is>
          <t>Circulatory</t>
        </is>
      </c>
      <c r="M1498" t="inlineStr">
        <is>
          <t>Home/Self-Care</t>
        </is>
      </c>
      <c r="N1498" t="inlineStr">
        <is>
          <t>State Medicaid</t>
        </is>
      </c>
      <c r="O1498" s="31" t="n">
        <v>4993.64</v>
      </c>
    </row>
    <row r="1499">
      <c r="A1499" t="inlineStr">
        <is>
          <t>ENC116934</t>
        </is>
      </c>
      <c r="B1499" t="inlineStr">
        <is>
          <t>PT12912</t>
        </is>
      </c>
      <c r="C1499" t="inlineStr">
        <is>
          <t>Inpatient</t>
        </is>
      </c>
      <c r="D1499" t="inlineStr">
        <is>
          <t>Bluestone Memorial Hospital</t>
        </is>
      </c>
      <c r="E1499" t="inlineStr">
        <is>
          <t>Cardiac Step-Down</t>
        </is>
      </c>
      <c r="F1499" t="inlineStr">
        <is>
          <t>Cardiovascular</t>
        </is>
      </c>
      <c r="G1499" s="29" t="n">
        <v>45857</v>
      </c>
      <c r="H1499" s="29" t="n">
        <v>45860</v>
      </c>
      <c r="I1499" s="30" t="n">
        <v>3</v>
      </c>
      <c r="J1499" t="inlineStr">
        <is>
          <t>I21.4</t>
        </is>
      </c>
      <c r="K1499" t="inlineStr">
        <is>
          <t>Non-ST elevation (NSTEMI) myocardial infarction</t>
        </is>
      </c>
      <c r="L1499" t="inlineStr">
        <is>
          <t>Circulatory</t>
        </is>
      </c>
      <c r="M1499" t="inlineStr">
        <is>
          <t>Home/Self-Care</t>
        </is>
      </c>
      <c r="N1499" t="inlineStr">
        <is>
          <t>Evergreen Mutual Insurance</t>
        </is>
      </c>
      <c r="O1499" s="31" t="n">
        <v>59545.38</v>
      </c>
      <c r="P1499" t="inlineStr">
        <is>
          <t>N</t>
        </is>
      </c>
    </row>
    <row r="1500">
      <c r="A1500" t="inlineStr">
        <is>
          <t>ENC116940</t>
        </is>
      </c>
      <c r="B1500" t="inlineStr">
        <is>
          <t>PT10088</t>
        </is>
      </c>
      <c r="C1500" t="inlineStr">
        <is>
          <t>Inpatient</t>
        </is>
      </c>
      <c r="D1500" t="inlineStr">
        <is>
          <t>Ashby Falls Community Hospital</t>
        </is>
      </c>
      <c r="E1500" t="inlineStr">
        <is>
          <t>Medical-Surgical</t>
        </is>
      </c>
      <c r="F1500" t="inlineStr">
        <is>
          <t>Medicine</t>
        </is>
      </c>
      <c r="G1500" s="29" t="n">
        <v>45857</v>
      </c>
      <c r="H1500" s="29" t="n">
        <v>45864</v>
      </c>
      <c r="I1500" s="30" t="n">
        <v>7</v>
      </c>
      <c r="J1500" t="inlineStr">
        <is>
          <t>I21.4</t>
        </is>
      </c>
      <c r="K1500" t="inlineStr">
        <is>
          <t>Non-ST elevation (NSTEMI) myocardial infarction</t>
        </is>
      </c>
      <c r="L1500" t="inlineStr">
        <is>
          <t>Circulatory</t>
        </is>
      </c>
      <c r="M1500" t="inlineStr">
        <is>
          <t>Home/Self-Care</t>
        </is>
      </c>
      <c r="N1500" t="inlineStr">
        <is>
          <t>Medicare</t>
        </is>
      </c>
      <c r="O1500" s="31" t="n">
        <v>97096.75999999999</v>
      </c>
      <c r="P1500" t="inlineStr">
        <is>
          <t>N</t>
        </is>
      </c>
    </row>
    <row r="1501">
      <c r="A1501" t="inlineStr">
        <is>
          <t>ENC116941</t>
        </is>
      </c>
      <c r="B1501" t="inlineStr">
        <is>
          <t>PT12716</t>
        </is>
      </c>
      <c r="C1501" t="inlineStr">
        <is>
          <t>Emergency</t>
        </is>
      </c>
      <c r="D1501" t="inlineStr">
        <is>
          <t>Bluestone Memorial Hospital</t>
        </is>
      </c>
      <c r="E1501" t="inlineStr">
        <is>
          <t>Emergency Department</t>
        </is>
      </c>
      <c r="F1501" t="inlineStr">
        <is>
          <t>Emergency</t>
        </is>
      </c>
      <c r="G1501" s="29" t="n">
        <v>45857</v>
      </c>
      <c r="H1501" s="29" t="n">
        <v>45858</v>
      </c>
      <c r="I1501" s="30" t="n"/>
      <c r="J1501" t="inlineStr">
        <is>
          <t>G40.909</t>
        </is>
      </c>
      <c r="K1501" t="inlineStr">
        <is>
          <t>Epilepsy, unspecified, not intractable, without status epilepticus</t>
        </is>
      </c>
      <c r="L1501" t="inlineStr">
        <is>
          <t>Nervous System</t>
        </is>
      </c>
      <c r="M1501" t="inlineStr">
        <is>
          <t>Home/Self-Care</t>
        </is>
      </c>
      <c r="N1501" t="inlineStr">
        <is>
          <t>Self-Pay</t>
        </is>
      </c>
      <c r="O1501" s="31" t="n">
        <v>5040.57</v>
      </c>
    </row>
    <row r="1502">
      <c r="A1502" t="inlineStr">
        <is>
          <t>ENC116942</t>
        </is>
      </c>
      <c r="B1502" t="inlineStr">
        <is>
          <t>PT10444</t>
        </is>
      </c>
      <c r="C1502" t="inlineStr">
        <is>
          <t>Emergency</t>
        </is>
      </c>
      <c r="D1502" t="inlineStr">
        <is>
          <t>Bluestone Memorial Hospital</t>
        </is>
      </c>
      <c r="E1502" t="inlineStr">
        <is>
          <t>Emergency Department</t>
        </is>
      </c>
      <c r="F1502" t="inlineStr">
        <is>
          <t>Emergency</t>
        </is>
      </c>
      <c r="G1502" s="29" t="n">
        <v>45857</v>
      </c>
      <c r="H1502" s="29" t="n">
        <v>45858</v>
      </c>
      <c r="I1502" s="30" t="n"/>
      <c r="J1502" t="inlineStr">
        <is>
          <t>R10.9</t>
        </is>
      </c>
      <c r="K1502" t="inlineStr">
        <is>
          <t>Unspecified abdominal pain</t>
        </is>
      </c>
      <c r="L1502" t="inlineStr">
        <is>
          <t>Symptoms &amp; Signs</t>
        </is>
      </c>
      <c r="M1502" t="inlineStr">
        <is>
          <t>Home/Self-Care</t>
        </is>
      </c>
      <c r="N1502" t="inlineStr">
        <is>
          <t>Medicare</t>
        </is>
      </c>
      <c r="O1502" s="31" t="n">
        <v>1760.45</v>
      </c>
    </row>
    <row r="1503">
      <c r="A1503" t="inlineStr">
        <is>
          <t>ENC116945</t>
        </is>
      </c>
      <c r="B1503" t="inlineStr">
        <is>
          <t>PT11048</t>
        </is>
      </c>
      <c r="C1503" t="inlineStr">
        <is>
          <t>Emergency</t>
        </is>
      </c>
      <c r="D1503" t="inlineStr">
        <is>
          <t>Bluestone Memorial Hospital</t>
        </is>
      </c>
      <c r="E1503" t="inlineStr">
        <is>
          <t>Emergency Department</t>
        </is>
      </c>
      <c r="F1503" t="inlineStr">
        <is>
          <t>Emergency</t>
        </is>
      </c>
      <c r="G1503" s="29" t="n">
        <v>45858</v>
      </c>
      <c r="H1503" s="29" t="n">
        <v>45858</v>
      </c>
      <c r="I1503" s="30" t="n"/>
      <c r="J1503" t="inlineStr">
        <is>
          <t>L03.115</t>
        </is>
      </c>
      <c r="K1503" t="inlineStr">
        <is>
          <t>Cellulitis of right lower limb</t>
        </is>
      </c>
      <c r="L1503" t="inlineStr">
        <is>
          <t>Skin</t>
        </is>
      </c>
      <c r="M1503" t="inlineStr">
        <is>
          <t>Home/Self-Care</t>
        </is>
      </c>
      <c r="N1503" t="inlineStr">
        <is>
          <t>Evergreen Mutual Insurance</t>
        </is>
      </c>
      <c r="O1503" s="31" t="n">
        <v>1393.85</v>
      </c>
    </row>
    <row r="1504">
      <c r="A1504" t="inlineStr">
        <is>
          <t>ENC116951</t>
        </is>
      </c>
      <c r="B1504" t="inlineStr">
        <is>
          <t>PT13020</t>
        </is>
      </c>
      <c r="C1504" t="inlineStr">
        <is>
          <t>Observation</t>
        </is>
      </c>
      <c r="D1504" t="inlineStr">
        <is>
          <t>Bluestone Memorial Hospital</t>
        </is>
      </c>
      <c r="E1504" t="inlineStr">
        <is>
          <t>Observation Unit</t>
        </is>
      </c>
      <c r="F1504" t="inlineStr">
        <is>
          <t>Medicine</t>
        </is>
      </c>
      <c r="G1504" s="29" t="n">
        <v>45858</v>
      </c>
      <c r="H1504" s="29" t="n">
        <v>45860</v>
      </c>
      <c r="I1504" s="30" t="n">
        <v>2</v>
      </c>
      <c r="J1504" t="inlineStr">
        <is>
          <t>J21.9</t>
        </is>
      </c>
      <c r="K1504" t="inlineStr">
        <is>
          <t>Acute bronchiolitis, unspecified</t>
        </is>
      </c>
      <c r="L1504" t="inlineStr">
        <is>
          <t>Respiratory</t>
        </is>
      </c>
      <c r="M1504" t="inlineStr">
        <is>
          <t>Home/Self-Care</t>
        </is>
      </c>
      <c r="N1504" t="inlineStr">
        <is>
          <t>State Medicaid</t>
        </is>
      </c>
      <c r="O1504" s="31" t="n">
        <v>9064.959999999999</v>
      </c>
    </row>
    <row r="1505">
      <c r="A1505" t="inlineStr">
        <is>
          <t>ENC116952</t>
        </is>
      </c>
      <c r="B1505" t="inlineStr">
        <is>
          <t>PT10720</t>
        </is>
      </c>
      <c r="C1505" t="inlineStr">
        <is>
          <t>Emergency</t>
        </is>
      </c>
      <c r="D1505" t="inlineStr">
        <is>
          <t>Bluestone Memorial Hospital</t>
        </is>
      </c>
      <c r="E1505" t="inlineStr">
        <is>
          <t>Emergency Department</t>
        </is>
      </c>
      <c r="F1505" t="inlineStr">
        <is>
          <t>Emergency</t>
        </is>
      </c>
      <c r="G1505" s="29" t="n">
        <v>45858</v>
      </c>
      <c r="H1505" s="29" t="n">
        <v>45858</v>
      </c>
      <c r="I1505" s="30" t="n"/>
      <c r="J1505" t="inlineStr">
        <is>
          <t>G43.909</t>
        </is>
      </c>
      <c r="K1505" t="inlineStr">
        <is>
          <t>Migraine, unspecified, not intractable, without status migrainosus</t>
        </is>
      </c>
      <c r="L1505" t="inlineStr">
        <is>
          <t>Nervous System</t>
        </is>
      </c>
      <c r="M1505" t="inlineStr">
        <is>
          <t>Home/Self-Care</t>
        </is>
      </c>
      <c r="N1505" t="inlineStr">
        <is>
          <t>Summit Choice PPO</t>
        </is>
      </c>
      <c r="O1505" s="31" t="n">
        <v>1394.96</v>
      </c>
    </row>
    <row r="1506">
      <c r="A1506" t="inlineStr">
        <is>
          <t>ENC116961</t>
        </is>
      </c>
      <c r="B1506" t="inlineStr">
        <is>
          <t>PT12784</t>
        </is>
      </c>
      <c r="C1506" t="inlineStr">
        <is>
          <t>Observation</t>
        </is>
      </c>
      <c r="D1506" t="inlineStr">
        <is>
          <t>Bluestone Memorial Hospital</t>
        </is>
      </c>
      <c r="E1506" t="inlineStr">
        <is>
          <t>Observation Unit</t>
        </is>
      </c>
      <c r="F1506" t="inlineStr">
        <is>
          <t>Medicine</t>
        </is>
      </c>
      <c r="G1506" s="29" t="n">
        <v>45859</v>
      </c>
      <c r="H1506" s="29" t="n">
        <v>45860</v>
      </c>
      <c r="I1506" s="30" t="n">
        <v>1</v>
      </c>
      <c r="J1506" t="inlineStr">
        <is>
          <t>N39.0</t>
        </is>
      </c>
      <c r="K1506" t="inlineStr">
        <is>
          <t>Urinary tract infection, site not specified</t>
        </is>
      </c>
      <c r="L1506" t="inlineStr">
        <is>
          <t>Genitourinary</t>
        </is>
      </c>
      <c r="M1506" t="inlineStr">
        <is>
          <t>Home/Self-Care</t>
        </is>
      </c>
      <c r="N1506" t="inlineStr">
        <is>
          <t>State Medicaid</t>
        </is>
      </c>
      <c r="O1506" s="31" t="n">
        <v>11211.18</v>
      </c>
    </row>
    <row r="1507">
      <c r="A1507" t="inlineStr">
        <is>
          <t>ENC116964</t>
        </is>
      </c>
      <c r="B1507" t="inlineStr">
        <is>
          <t>PT11896</t>
        </is>
      </c>
      <c r="C1507" t="inlineStr">
        <is>
          <t>Outpatient</t>
        </is>
      </c>
      <c r="D1507" t="inlineStr">
        <is>
          <t>Bluestone Outpatient Pavilion</t>
        </is>
      </c>
      <c r="E1507" t="inlineStr">
        <is>
          <t>Endocrinology &amp; Diabetes Clinic</t>
        </is>
      </c>
      <c r="F1507" t="inlineStr">
        <is>
          <t>Ambulatory</t>
        </is>
      </c>
      <c r="G1507" s="29" t="n">
        <v>45859</v>
      </c>
      <c r="H1507" s="29" t="n">
        <v>45859</v>
      </c>
      <c r="I1507" s="30" t="n"/>
      <c r="J1507" t="inlineStr">
        <is>
          <t>E11.9</t>
        </is>
      </c>
      <c r="K1507" t="inlineStr">
        <is>
          <t>Type 2 diabetes mellitus without complications</t>
        </is>
      </c>
      <c r="L1507" t="inlineStr">
        <is>
          <t>Endocrine</t>
        </is>
      </c>
      <c r="M1507" t="inlineStr">
        <is>
          <t>Home/Self-Care</t>
        </is>
      </c>
      <c r="N1507" t="inlineStr">
        <is>
          <t>State Medicaid</t>
        </is>
      </c>
      <c r="O1507" s="31" t="n">
        <v>356.39</v>
      </c>
    </row>
    <row r="1508">
      <c r="A1508" t="inlineStr">
        <is>
          <t>ENC116968</t>
        </is>
      </c>
      <c r="B1508" t="inlineStr">
        <is>
          <t>PT12508</t>
        </is>
      </c>
      <c r="C1508" t="inlineStr">
        <is>
          <t>Inpatient</t>
        </is>
      </c>
      <c r="D1508" t="inlineStr">
        <is>
          <t>Cedar Ridge Medical Center</t>
        </is>
      </c>
      <c r="E1508" t="inlineStr">
        <is>
          <t>Medical-Surgical</t>
        </is>
      </c>
      <c r="F1508" t="inlineStr">
        <is>
          <t>Medicine</t>
        </is>
      </c>
      <c r="G1508" s="29" t="n">
        <v>45859</v>
      </c>
      <c r="H1508" s="29" t="n">
        <v>45865</v>
      </c>
      <c r="I1508" s="30" t="n">
        <v>6</v>
      </c>
      <c r="J1508" t="inlineStr">
        <is>
          <t>F10.239</t>
        </is>
      </c>
      <c r="K1508" t="inlineStr">
        <is>
          <t>Alcohol dependence with withdrawal, unspecified</t>
        </is>
      </c>
      <c r="L1508" t="inlineStr">
        <is>
          <t>Mental &amp; Behavioral</t>
        </is>
      </c>
      <c r="M1508" t="inlineStr">
        <is>
          <t>Home Health</t>
        </is>
      </c>
      <c r="N1508" t="inlineStr">
        <is>
          <t>Keystone Health Partners</t>
        </is>
      </c>
      <c r="O1508" s="31" t="n">
        <v>39776.43</v>
      </c>
      <c r="P1508" t="inlineStr">
        <is>
          <t>N</t>
        </is>
      </c>
    </row>
    <row r="1509">
      <c r="A1509" t="inlineStr">
        <is>
          <t>ENC116972</t>
        </is>
      </c>
      <c r="B1509" t="inlineStr">
        <is>
          <t>PT12540</t>
        </is>
      </c>
      <c r="C1509" t="inlineStr">
        <is>
          <t>Emergency</t>
        </is>
      </c>
      <c r="D1509" t="inlineStr">
        <is>
          <t>Ashby Falls Community Hospital</t>
        </is>
      </c>
      <c r="E1509" t="inlineStr">
        <is>
          <t>Emergency Department</t>
        </is>
      </c>
      <c r="F1509" t="inlineStr">
        <is>
          <t>Emergency</t>
        </is>
      </c>
      <c r="G1509" s="29" t="n">
        <v>45859</v>
      </c>
      <c r="H1509" s="29" t="n">
        <v>45859</v>
      </c>
      <c r="I1509" s="30" t="n"/>
      <c r="J1509" t="inlineStr">
        <is>
          <t>S93.401A</t>
        </is>
      </c>
      <c r="K1509" t="inlineStr">
        <is>
          <t>Sprain of unspecified ligament of right ankle, initial encounter</t>
        </is>
      </c>
      <c r="L1509" t="inlineStr">
        <is>
          <t>Injury</t>
        </is>
      </c>
      <c r="M1509" t="inlineStr">
        <is>
          <t>Home/Self-Care</t>
        </is>
      </c>
      <c r="N1509" t="inlineStr">
        <is>
          <t>Workers' Compensation</t>
        </is>
      </c>
      <c r="O1509" s="31" t="n">
        <v>694.76</v>
      </c>
    </row>
    <row r="1510">
      <c r="A1510" t="inlineStr">
        <is>
          <t>ENC116977</t>
        </is>
      </c>
      <c r="B1510" t="inlineStr">
        <is>
          <t>PT13360</t>
        </is>
      </c>
      <c r="C1510" t="inlineStr">
        <is>
          <t>Outpatient</t>
        </is>
      </c>
      <c r="D1510" t="inlineStr">
        <is>
          <t>Bluestone Outpatient Pavilion</t>
        </is>
      </c>
      <c r="E1510" t="inlineStr">
        <is>
          <t>Orthopedic Clinic</t>
        </is>
      </c>
      <c r="F1510" t="inlineStr">
        <is>
          <t>Orthopedics</t>
        </is>
      </c>
      <c r="G1510" s="29" t="n">
        <v>45859</v>
      </c>
      <c r="H1510" s="29" t="n">
        <v>45859</v>
      </c>
      <c r="I1510" s="30" t="n"/>
      <c r="J1510" t="inlineStr">
        <is>
          <t>M17.11</t>
        </is>
      </c>
      <c r="K1510" t="inlineStr">
        <is>
          <t>Unilateral primary osteoarthritis, right knee</t>
        </is>
      </c>
      <c r="L1510" t="inlineStr">
        <is>
          <t>Musculoskeletal</t>
        </is>
      </c>
      <c r="M1510" t="inlineStr">
        <is>
          <t>Home/Self-Care</t>
        </is>
      </c>
      <c r="N1510" t="inlineStr">
        <is>
          <t>Keystone Health Partners</t>
        </is>
      </c>
      <c r="O1510" s="31" t="n">
        <v>351.62</v>
      </c>
    </row>
    <row r="1511">
      <c r="A1511" t="inlineStr">
        <is>
          <t>ENC116979</t>
        </is>
      </c>
      <c r="B1511" t="inlineStr">
        <is>
          <t>PT13900</t>
        </is>
      </c>
      <c r="C1511" t="inlineStr">
        <is>
          <t>Outpatient</t>
        </is>
      </c>
      <c r="D1511" t="inlineStr">
        <is>
          <t>Bluestone Outpatient Pavilion</t>
        </is>
      </c>
      <c r="E1511" t="inlineStr">
        <is>
          <t>Primary Care Clinic</t>
        </is>
      </c>
      <c r="F1511" t="inlineStr">
        <is>
          <t>Ambulatory</t>
        </is>
      </c>
      <c r="G1511" s="29" t="n">
        <v>45859</v>
      </c>
      <c r="H1511" s="29" t="n">
        <v>45859</v>
      </c>
      <c r="I1511" s="30" t="n"/>
      <c r="J1511" t="inlineStr">
        <is>
          <t>Z00.00</t>
        </is>
      </c>
      <c r="K1511" t="inlineStr">
        <is>
          <t>Encounter for general adult medical examination without abnormal findings</t>
        </is>
      </c>
      <c r="L1511" t="inlineStr">
        <is>
          <t>Factors Influencing Health</t>
        </is>
      </c>
      <c r="M1511" t="inlineStr">
        <is>
          <t>Home/Self-Care</t>
        </is>
      </c>
      <c r="N1511" t="inlineStr">
        <is>
          <t>Medicare</t>
        </is>
      </c>
      <c r="O1511" s="31" t="n">
        <v>227.07</v>
      </c>
    </row>
    <row r="1512">
      <c r="A1512" t="inlineStr">
        <is>
          <t>ENC116981</t>
        </is>
      </c>
      <c r="B1512" t="inlineStr">
        <is>
          <t>PT10512</t>
        </is>
      </c>
      <c r="C1512" t="inlineStr">
        <is>
          <t>Emergency</t>
        </is>
      </c>
      <c r="D1512" t="inlineStr">
        <is>
          <t>Bluestone Memorial Hospital</t>
        </is>
      </c>
      <c r="E1512" t="inlineStr">
        <is>
          <t>Emergency Department</t>
        </is>
      </c>
      <c r="F1512" t="inlineStr">
        <is>
          <t>Emergency</t>
        </is>
      </c>
      <c r="G1512" s="29" t="n">
        <v>45859</v>
      </c>
      <c r="H1512" s="29" t="n">
        <v>45859</v>
      </c>
      <c r="I1512" s="30" t="n"/>
      <c r="J1512" t="inlineStr">
        <is>
          <t>S06.0X0A</t>
        </is>
      </c>
      <c r="K1512" t="inlineStr">
        <is>
          <t>Concussion without loss of consciousness, initial encounter</t>
        </is>
      </c>
      <c r="L1512" t="inlineStr">
        <is>
          <t>Injury</t>
        </is>
      </c>
      <c r="M1512" t="inlineStr">
        <is>
          <t>Home/Self-Care</t>
        </is>
      </c>
      <c r="N1512" t="inlineStr">
        <is>
          <t>State Medicaid</t>
        </is>
      </c>
      <c r="O1512" s="31" t="n">
        <v>6350.38</v>
      </c>
    </row>
    <row r="1513">
      <c r="A1513" t="inlineStr">
        <is>
          <t>ENC116984</t>
        </is>
      </c>
      <c r="B1513" t="inlineStr">
        <is>
          <t>PT13180</t>
        </is>
      </c>
      <c r="C1513" t="inlineStr">
        <is>
          <t>Emergency</t>
        </is>
      </c>
      <c r="D1513" t="inlineStr">
        <is>
          <t>Bluestone Memorial Hospital</t>
        </is>
      </c>
      <c r="E1513" t="inlineStr">
        <is>
          <t>Emergency Department</t>
        </is>
      </c>
      <c r="F1513" t="inlineStr">
        <is>
          <t>Emergency</t>
        </is>
      </c>
      <c r="G1513" s="29" t="n">
        <v>45859</v>
      </c>
      <c r="H1513" s="29" t="n">
        <v>45859</v>
      </c>
      <c r="I1513" s="30" t="n"/>
      <c r="J1513" t="inlineStr">
        <is>
          <t>R10.9</t>
        </is>
      </c>
      <c r="K1513" t="inlineStr">
        <is>
          <t>Unspecified abdominal pain</t>
        </is>
      </c>
      <c r="L1513" t="inlineStr">
        <is>
          <t>Symptoms &amp; Signs</t>
        </is>
      </c>
      <c r="M1513" t="inlineStr">
        <is>
          <t>Left Without Being Seen</t>
        </is>
      </c>
      <c r="N1513" t="inlineStr">
        <is>
          <t>State Medicaid</t>
        </is>
      </c>
      <c r="O1513" s="31" t="n">
        <v>1334.57</v>
      </c>
    </row>
    <row r="1514">
      <c r="A1514" t="inlineStr">
        <is>
          <t>ENC116987</t>
        </is>
      </c>
      <c r="B1514" t="inlineStr">
        <is>
          <t>PT12316</t>
        </is>
      </c>
      <c r="C1514" t="inlineStr">
        <is>
          <t>Emergency</t>
        </is>
      </c>
      <c r="D1514" t="inlineStr">
        <is>
          <t>Cedar Ridge Medical Center</t>
        </is>
      </c>
      <c r="E1514" t="inlineStr">
        <is>
          <t>Emergency Department</t>
        </is>
      </c>
      <c r="F1514" t="inlineStr">
        <is>
          <t>Emergency</t>
        </is>
      </c>
      <c r="G1514" s="29" t="n">
        <v>45859</v>
      </c>
      <c r="H1514" s="29" t="n">
        <v>45859</v>
      </c>
      <c r="I1514" s="30" t="n"/>
      <c r="J1514" t="inlineStr">
        <is>
          <t>J06.9</t>
        </is>
      </c>
      <c r="K1514" t="inlineStr">
        <is>
          <t>Acute upper respiratory infection, unspecified</t>
        </is>
      </c>
      <c r="L1514" t="inlineStr">
        <is>
          <t>Respiratory</t>
        </is>
      </c>
      <c r="M1514" t="inlineStr">
        <is>
          <t>Home/Self-Care</t>
        </is>
      </c>
      <c r="N1514" t="inlineStr">
        <is>
          <t>Silverline Medicare Advantage</t>
        </is>
      </c>
      <c r="O1514" s="31" t="n">
        <v>1068.77</v>
      </c>
    </row>
    <row r="1515">
      <c r="A1515" t="inlineStr">
        <is>
          <t>ENC116988</t>
        </is>
      </c>
      <c r="B1515" t="inlineStr">
        <is>
          <t>PT10768</t>
        </is>
      </c>
      <c r="C1515" t="inlineStr">
        <is>
          <t>Emergency</t>
        </is>
      </c>
      <c r="D1515" t="inlineStr">
        <is>
          <t>Ashby Falls Community Hospital</t>
        </is>
      </c>
      <c r="E1515" t="inlineStr">
        <is>
          <t>Emergency Department</t>
        </is>
      </c>
      <c r="F1515" t="inlineStr">
        <is>
          <t>Emergency</t>
        </is>
      </c>
      <c r="G1515" s="29" t="n">
        <v>45859</v>
      </c>
      <c r="H1515" s="29" t="n">
        <v>45859</v>
      </c>
      <c r="I1515" s="30" t="n"/>
      <c r="J1515" t="inlineStr">
        <is>
          <t>L03.115</t>
        </is>
      </c>
      <c r="K1515" t="inlineStr">
        <is>
          <t>Cellulitis of right lower limb</t>
        </is>
      </c>
      <c r="L1515" t="inlineStr">
        <is>
          <t>Skin</t>
        </is>
      </c>
      <c r="M1515" t="inlineStr">
        <is>
          <t>Home/Self-Care</t>
        </is>
      </c>
      <c r="N1515" t="inlineStr">
        <is>
          <t>Evergreen Mutual Insurance</t>
        </is>
      </c>
      <c r="O1515" s="31" t="n">
        <v>1704.63</v>
      </c>
    </row>
    <row r="1516">
      <c r="A1516" t="inlineStr">
        <is>
          <t>ENC116995</t>
        </is>
      </c>
      <c r="B1516" t="inlineStr">
        <is>
          <t>PT11380</t>
        </is>
      </c>
      <c r="C1516" t="inlineStr">
        <is>
          <t>Outpatient</t>
        </is>
      </c>
      <c r="D1516" t="inlineStr">
        <is>
          <t>Bluestone Outpatient Pavilion</t>
        </is>
      </c>
      <c r="E1516" t="inlineStr">
        <is>
          <t>Primary Care Clinic</t>
        </is>
      </c>
      <c r="F1516" t="inlineStr">
        <is>
          <t>Ambulatory</t>
        </is>
      </c>
      <c r="G1516" s="29" t="n">
        <v>45860</v>
      </c>
      <c r="H1516" s="29" t="n">
        <v>45860</v>
      </c>
      <c r="I1516" s="30" t="n"/>
      <c r="J1516" t="inlineStr">
        <is>
          <t>I10</t>
        </is>
      </c>
      <c r="K1516" t="inlineStr">
        <is>
          <t>Essential (primary) hypertension</t>
        </is>
      </c>
      <c r="L1516" t="inlineStr">
        <is>
          <t>Circulatory</t>
        </is>
      </c>
      <c r="M1516" t="inlineStr">
        <is>
          <t>Home/Self-Care</t>
        </is>
      </c>
      <c r="N1516" t="inlineStr">
        <is>
          <t>Medicare</t>
        </is>
      </c>
      <c r="O1516" s="31" t="n">
        <v>177.67</v>
      </c>
    </row>
    <row r="1517">
      <c r="A1517" t="inlineStr">
        <is>
          <t>ENC116998</t>
        </is>
      </c>
      <c r="B1517" t="inlineStr">
        <is>
          <t>PT13756</t>
        </is>
      </c>
      <c r="C1517" t="inlineStr">
        <is>
          <t>Emergency</t>
        </is>
      </c>
      <c r="D1517" t="inlineStr">
        <is>
          <t>Bluestone Memorial Hospital</t>
        </is>
      </c>
      <c r="E1517" t="inlineStr">
        <is>
          <t>Emergency Department</t>
        </is>
      </c>
      <c r="F1517" t="inlineStr">
        <is>
          <t>Emergency</t>
        </is>
      </c>
      <c r="G1517" s="29" t="n">
        <v>45860</v>
      </c>
      <c r="H1517" s="29" t="n">
        <v>45860</v>
      </c>
      <c r="I1517" s="30" t="n"/>
      <c r="J1517" t="inlineStr">
        <is>
          <t>L03.115</t>
        </is>
      </c>
      <c r="K1517" t="inlineStr">
        <is>
          <t>Cellulitis of right lower limb</t>
        </is>
      </c>
      <c r="L1517" t="inlineStr">
        <is>
          <t>Skin</t>
        </is>
      </c>
      <c r="M1517" t="inlineStr">
        <is>
          <t>Left AMA</t>
        </is>
      </c>
      <c r="N1517" t="inlineStr">
        <is>
          <t>Medicare</t>
        </is>
      </c>
      <c r="O1517" s="31" t="n">
        <v>3024.2</v>
      </c>
    </row>
    <row r="1518">
      <c r="A1518" t="inlineStr">
        <is>
          <t>ENC117000</t>
        </is>
      </c>
      <c r="B1518" t="inlineStr">
        <is>
          <t>PT10388</t>
        </is>
      </c>
      <c r="C1518" t="inlineStr">
        <is>
          <t>Outpatient</t>
        </is>
      </c>
      <c r="D1518" t="inlineStr">
        <is>
          <t>Bluestone Outpatient Pavilion</t>
        </is>
      </c>
      <c r="E1518" t="inlineStr">
        <is>
          <t>Orthopedic Clinic</t>
        </is>
      </c>
      <c r="F1518" t="inlineStr">
        <is>
          <t>Orthopedics</t>
        </is>
      </c>
      <c r="G1518" s="29" t="n">
        <v>45860</v>
      </c>
      <c r="H1518" s="29" t="n">
        <v>45860</v>
      </c>
      <c r="I1518" s="30" t="n"/>
      <c r="J1518" t="inlineStr">
        <is>
          <t>M16.11</t>
        </is>
      </c>
      <c r="K1518" t="inlineStr">
        <is>
          <t>Unilateral primary osteoarthritis, right hip</t>
        </is>
      </c>
      <c r="L1518" t="inlineStr">
        <is>
          <t>Musculoskeletal</t>
        </is>
      </c>
      <c r="M1518" t="inlineStr">
        <is>
          <t>Home/Self-Care</t>
        </is>
      </c>
      <c r="N1518" t="inlineStr">
        <is>
          <t>Medicare</t>
        </is>
      </c>
      <c r="O1518" s="31" t="n">
        <v>536.2</v>
      </c>
    </row>
    <row r="1519">
      <c r="A1519" t="inlineStr">
        <is>
          <t>ENC117002</t>
        </is>
      </c>
      <c r="B1519" t="inlineStr">
        <is>
          <t>PT10024</t>
        </is>
      </c>
      <c r="C1519" t="inlineStr">
        <is>
          <t>Emergency</t>
        </is>
      </c>
      <c r="D1519" t="inlineStr">
        <is>
          <t>Bluestone Memorial Hospital</t>
        </is>
      </c>
      <c r="E1519" t="inlineStr">
        <is>
          <t>Emergency Department</t>
        </is>
      </c>
      <c r="F1519" t="inlineStr">
        <is>
          <t>Emergency</t>
        </is>
      </c>
      <c r="G1519" s="29" t="n">
        <v>45860</v>
      </c>
      <c r="H1519" s="29" t="n">
        <v>45860</v>
      </c>
      <c r="I1519" s="30" t="n"/>
      <c r="J1519" t="inlineStr">
        <is>
          <t>G43.909</t>
        </is>
      </c>
      <c r="K1519" t="inlineStr">
        <is>
          <t>Migraine, unspecified, not intractable, without status migrainosus</t>
        </is>
      </c>
      <c r="L1519" t="inlineStr">
        <is>
          <t>Nervous System</t>
        </is>
      </c>
      <c r="M1519" t="inlineStr">
        <is>
          <t>Home/Self-Care</t>
        </is>
      </c>
      <c r="N1519" t="inlineStr">
        <is>
          <t>Summit Choice PPO</t>
        </is>
      </c>
      <c r="O1519" s="31" t="n">
        <v>3793.84</v>
      </c>
    </row>
    <row r="1520">
      <c r="A1520" t="inlineStr">
        <is>
          <t>ENC117005</t>
        </is>
      </c>
      <c r="B1520" t="inlineStr">
        <is>
          <t>PT11092</t>
        </is>
      </c>
      <c r="C1520" t="inlineStr">
        <is>
          <t>Outpatient</t>
        </is>
      </c>
      <c r="D1520" t="inlineStr">
        <is>
          <t>Bluestone Outpatient Pavilion</t>
        </is>
      </c>
      <c r="E1520" t="inlineStr">
        <is>
          <t>Pediatric Clinic</t>
        </is>
      </c>
      <c r="F1520" t="inlineStr">
        <is>
          <t>Women &amp; Children</t>
        </is>
      </c>
      <c r="G1520" s="29" t="n">
        <v>45860</v>
      </c>
      <c r="H1520" s="29" t="n">
        <v>45860</v>
      </c>
      <c r="I1520" s="30" t="n"/>
      <c r="J1520" t="inlineStr">
        <is>
          <t>Z00.129</t>
        </is>
      </c>
      <c r="K1520" t="inlineStr">
        <is>
          <t>Encounter for routine child health examination without abnormal findings</t>
        </is>
      </c>
      <c r="L1520" t="inlineStr">
        <is>
          <t>Factors Influencing Health</t>
        </is>
      </c>
      <c r="M1520" t="inlineStr">
        <is>
          <t>Home/Self-Care</t>
        </is>
      </c>
      <c r="N1520" t="inlineStr">
        <is>
          <t>Keystone Health Partners</t>
        </is>
      </c>
      <c r="O1520" s="31" t="n">
        <v>322.97</v>
      </c>
    </row>
    <row r="1521">
      <c r="A1521" t="inlineStr">
        <is>
          <t>ENC117011</t>
        </is>
      </c>
      <c r="B1521" t="inlineStr">
        <is>
          <t>PT13548</t>
        </is>
      </c>
      <c r="C1521" t="inlineStr">
        <is>
          <t>Inpatient</t>
        </is>
      </c>
      <c r="D1521" t="inlineStr">
        <is>
          <t>Bluestone Memorial Hospital</t>
        </is>
      </c>
      <c r="E1521" t="inlineStr">
        <is>
          <t>Cardiac Step-Down</t>
        </is>
      </c>
      <c r="F1521" t="inlineStr">
        <is>
          <t>Cardiovascular</t>
        </is>
      </c>
      <c r="G1521" s="29" t="n">
        <v>45860</v>
      </c>
      <c r="H1521" s="29" t="n">
        <v>45865</v>
      </c>
      <c r="I1521" s="30" t="n">
        <v>5</v>
      </c>
      <c r="J1521" t="inlineStr">
        <is>
          <t>I48.91</t>
        </is>
      </c>
      <c r="K1521" t="inlineStr">
        <is>
          <t>Unspecified atrial fibrillation</t>
        </is>
      </c>
      <c r="L1521" t="inlineStr">
        <is>
          <t>Circulatory</t>
        </is>
      </c>
      <c r="M1521" t="inlineStr">
        <is>
          <t>Home Health</t>
        </is>
      </c>
      <c r="N1521" t="inlineStr">
        <is>
          <t>Silverline Medicare Advantage</t>
        </is>
      </c>
      <c r="O1521" s="31" t="n">
        <v>21822.07</v>
      </c>
      <c r="P1521" t="inlineStr">
        <is>
          <t>N</t>
        </is>
      </c>
    </row>
    <row r="1522">
      <c r="A1522" t="inlineStr">
        <is>
          <t>ENC117027</t>
        </is>
      </c>
      <c r="B1522" t="inlineStr">
        <is>
          <t>PT11780</t>
        </is>
      </c>
      <c r="C1522" t="inlineStr">
        <is>
          <t>Inpatient</t>
        </is>
      </c>
      <c r="D1522" t="inlineStr">
        <is>
          <t>Ashby Falls Community Hospital</t>
        </is>
      </c>
      <c r="E1522" t="inlineStr">
        <is>
          <t>Labor &amp; Delivery</t>
        </is>
      </c>
      <c r="F1522" t="inlineStr">
        <is>
          <t>Women &amp; Children</t>
        </is>
      </c>
      <c r="G1522" s="29" t="n">
        <v>45860</v>
      </c>
      <c r="H1522" s="29" t="n">
        <v>45862</v>
      </c>
      <c r="I1522" s="30" t="n">
        <v>2</v>
      </c>
      <c r="J1522" t="inlineStr">
        <is>
          <t>O82</t>
        </is>
      </c>
      <c r="K1522" t="inlineStr">
        <is>
          <t>Encounter for cesarean delivery without indication</t>
        </is>
      </c>
      <c r="L1522" t="inlineStr">
        <is>
          <t>Pregnancy</t>
        </is>
      </c>
      <c r="M1522" t="inlineStr">
        <is>
          <t>Home/Self-Care</t>
        </is>
      </c>
      <c r="N1522" t="inlineStr">
        <is>
          <t>Summit Choice PPO</t>
        </is>
      </c>
      <c r="O1522" s="31" t="n">
        <v>19018.18</v>
      </c>
      <c r="P1522" t="inlineStr">
        <is>
          <t>N</t>
        </is>
      </c>
    </row>
    <row r="1523">
      <c r="A1523" t="inlineStr">
        <is>
          <t>ENC117033</t>
        </is>
      </c>
      <c r="B1523" t="inlineStr">
        <is>
          <t>PT13476</t>
        </is>
      </c>
      <c r="C1523" t="inlineStr">
        <is>
          <t>Outpatient</t>
        </is>
      </c>
      <c r="D1523" t="inlineStr">
        <is>
          <t>Bluestone Outpatient Pavilion</t>
        </is>
      </c>
      <c r="E1523" t="inlineStr">
        <is>
          <t>Orthopedic Clinic</t>
        </is>
      </c>
      <c r="F1523" t="inlineStr">
        <is>
          <t>Orthopedics</t>
        </is>
      </c>
      <c r="G1523" s="29" t="n">
        <v>45861</v>
      </c>
      <c r="H1523" s="29" t="n">
        <v>45861</v>
      </c>
      <c r="I1523" s="30" t="n"/>
      <c r="J1523" t="inlineStr">
        <is>
          <t>M16.11</t>
        </is>
      </c>
      <c r="K1523" t="inlineStr">
        <is>
          <t>Unilateral primary osteoarthritis, right hip</t>
        </is>
      </c>
      <c r="L1523" t="inlineStr">
        <is>
          <t>Musculoskeletal</t>
        </is>
      </c>
      <c r="M1523" t="inlineStr">
        <is>
          <t>Home/Self-Care</t>
        </is>
      </c>
      <c r="N1523" t="inlineStr">
        <is>
          <t>Medicare</t>
        </is>
      </c>
      <c r="O1523" s="31" t="n">
        <v>346.8</v>
      </c>
    </row>
    <row r="1524">
      <c r="A1524" t="inlineStr">
        <is>
          <t>ENC117035</t>
        </is>
      </c>
      <c r="B1524" t="inlineStr">
        <is>
          <t>PT11912</t>
        </is>
      </c>
      <c r="C1524" t="inlineStr">
        <is>
          <t>Emergency</t>
        </is>
      </c>
      <c r="D1524" t="inlineStr">
        <is>
          <t>Bluestone Memorial Hospital</t>
        </is>
      </c>
      <c r="E1524" t="inlineStr">
        <is>
          <t>Emergency Department</t>
        </is>
      </c>
      <c r="F1524" t="inlineStr">
        <is>
          <t>Emergency</t>
        </is>
      </c>
      <c r="G1524" s="29" t="n">
        <v>45861</v>
      </c>
      <c r="H1524" s="29" t="n">
        <v>45861</v>
      </c>
      <c r="I1524" s="30" t="n"/>
      <c r="J1524" t="inlineStr">
        <is>
          <t>J18.9</t>
        </is>
      </c>
      <c r="K1524" t="inlineStr">
        <is>
          <t>Pneumonia, unspecified organism</t>
        </is>
      </c>
      <c r="L1524" t="inlineStr">
        <is>
          <t>Respiratory</t>
        </is>
      </c>
      <c r="M1524" t="inlineStr">
        <is>
          <t>Home/Self-Care</t>
        </is>
      </c>
      <c r="N1524" t="inlineStr">
        <is>
          <t>Medicare</t>
        </is>
      </c>
      <c r="O1524" s="31" t="n">
        <v>4379.19</v>
      </c>
    </row>
    <row r="1525">
      <c r="A1525" t="inlineStr">
        <is>
          <t>ENC117037</t>
        </is>
      </c>
      <c r="B1525" t="inlineStr">
        <is>
          <t>PT12604</t>
        </is>
      </c>
      <c r="C1525" t="inlineStr">
        <is>
          <t>Outpatient</t>
        </is>
      </c>
      <c r="D1525" t="inlineStr">
        <is>
          <t>Bluestone Outpatient Pavilion</t>
        </is>
      </c>
      <c r="E1525" t="inlineStr">
        <is>
          <t>Primary Care Clinic</t>
        </is>
      </c>
      <c r="F1525" t="inlineStr">
        <is>
          <t>Ambulatory</t>
        </is>
      </c>
      <c r="G1525" s="29" t="n">
        <v>45861</v>
      </c>
      <c r="H1525" s="29" t="n">
        <v>45861</v>
      </c>
      <c r="I1525" s="30" t="n"/>
      <c r="J1525" t="inlineStr">
        <is>
          <t>J06.9</t>
        </is>
      </c>
      <c r="K1525" t="inlineStr">
        <is>
          <t>Acute upper respiratory infection, unspecified</t>
        </is>
      </c>
      <c r="L1525" t="inlineStr">
        <is>
          <t>Respiratory</t>
        </is>
      </c>
      <c r="M1525" t="inlineStr">
        <is>
          <t>Home/Self-Care</t>
        </is>
      </c>
      <c r="N1525" t="inlineStr">
        <is>
          <t>Keystone Health Partners</t>
        </is>
      </c>
      <c r="O1525" s="31" t="n">
        <v>431.16</v>
      </c>
    </row>
    <row r="1526">
      <c r="A1526" t="inlineStr">
        <is>
          <t>ENC117047</t>
        </is>
      </c>
      <c r="B1526" t="inlineStr">
        <is>
          <t>PT13484</t>
        </is>
      </c>
      <c r="C1526" t="inlineStr">
        <is>
          <t>Outpatient</t>
        </is>
      </c>
      <c r="D1526" t="inlineStr">
        <is>
          <t>Bluestone Outpatient Pavilion</t>
        </is>
      </c>
      <c r="E1526" t="inlineStr">
        <is>
          <t>Endocrinology &amp; Diabetes Clinic</t>
        </is>
      </c>
      <c r="F1526" t="inlineStr">
        <is>
          <t>Ambulatory</t>
        </is>
      </c>
      <c r="G1526" s="29" t="n">
        <v>45861</v>
      </c>
      <c r="H1526" s="29" t="n">
        <v>45861</v>
      </c>
      <c r="I1526" s="30" t="n"/>
      <c r="J1526" t="inlineStr">
        <is>
          <t>E11.9</t>
        </is>
      </c>
      <c r="K1526" t="inlineStr">
        <is>
          <t>Type 2 diabetes mellitus without complications</t>
        </is>
      </c>
      <c r="L1526" t="inlineStr">
        <is>
          <t>Endocrine</t>
        </is>
      </c>
      <c r="M1526" t="inlineStr">
        <is>
          <t>Home/Self-Care</t>
        </is>
      </c>
      <c r="N1526" t="inlineStr">
        <is>
          <t>Silverline Medicare Advantage</t>
        </is>
      </c>
      <c r="O1526" s="31" t="n">
        <v>324.63</v>
      </c>
    </row>
    <row r="1527">
      <c r="A1527" t="inlineStr">
        <is>
          <t>ENC117051</t>
        </is>
      </c>
      <c r="B1527" t="inlineStr">
        <is>
          <t>PT12072</t>
        </is>
      </c>
      <c r="C1527" t="inlineStr">
        <is>
          <t>Outpatient</t>
        </is>
      </c>
      <c r="D1527" t="inlineStr">
        <is>
          <t>Bluestone Outpatient Pavilion</t>
        </is>
      </c>
      <c r="E1527" t="inlineStr">
        <is>
          <t>Primary Care Clinic</t>
        </is>
      </c>
      <c r="F1527" t="inlineStr">
        <is>
          <t>Ambulatory</t>
        </is>
      </c>
      <c r="G1527" s="29" t="n">
        <v>45861</v>
      </c>
      <c r="H1527" s="29" t="n">
        <v>45861</v>
      </c>
      <c r="I1527" s="30" t="n"/>
      <c r="J1527" t="inlineStr">
        <is>
          <t>E78.5</t>
        </is>
      </c>
      <c r="K1527" t="inlineStr">
        <is>
          <t>Hyperlipidemia, unspecified</t>
        </is>
      </c>
      <c r="L1527" t="inlineStr">
        <is>
          <t>Endocrine</t>
        </is>
      </c>
      <c r="M1527" t="inlineStr">
        <is>
          <t>Home/Self-Care</t>
        </is>
      </c>
      <c r="N1527" t="inlineStr">
        <is>
          <t>Medicare</t>
        </is>
      </c>
      <c r="O1527" s="31" t="n">
        <v>362.33</v>
      </c>
    </row>
    <row r="1528">
      <c r="A1528" t="inlineStr">
        <is>
          <t>ENC117053</t>
        </is>
      </c>
      <c r="B1528" t="inlineStr">
        <is>
          <t>PT12608</t>
        </is>
      </c>
      <c r="C1528" t="inlineStr">
        <is>
          <t>Outpatient</t>
        </is>
      </c>
      <c r="D1528" t="inlineStr">
        <is>
          <t>Bluestone Outpatient Pavilion</t>
        </is>
      </c>
      <c r="E1528" t="inlineStr">
        <is>
          <t>Primary Care Clinic</t>
        </is>
      </c>
      <c r="F1528" t="inlineStr">
        <is>
          <t>Ambulatory</t>
        </is>
      </c>
      <c r="G1528" s="29" t="n">
        <v>45861</v>
      </c>
      <c r="H1528" s="29" t="n">
        <v>45861</v>
      </c>
      <c r="I1528" s="30" t="n"/>
      <c r="J1528" t="inlineStr">
        <is>
          <t>E78.5</t>
        </is>
      </c>
      <c r="K1528" t="inlineStr">
        <is>
          <t>Hyperlipidemia, unspecified</t>
        </is>
      </c>
      <c r="L1528" t="inlineStr">
        <is>
          <t>Endocrine</t>
        </is>
      </c>
      <c r="M1528" t="inlineStr">
        <is>
          <t>Home/Self-Care</t>
        </is>
      </c>
      <c r="N1528" t="inlineStr">
        <is>
          <t>Summit Choice PPO</t>
        </is>
      </c>
      <c r="O1528" s="31" t="n">
        <v>412.64</v>
      </c>
    </row>
    <row r="1529">
      <c r="A1529" t="inlineStr">
        <is>
          <t>ENC117056</t>
        </is>
      </c>
      <c r="B1529" t="inlineStr">
        <is>
          <t>PT10224</t>
        </is>
      </c>
      <c r="C1529" t="inlineStr">
        <is>
          <t>Outpatient</t>
        </is>
      </c>
      <c r="D1529" t="inlineStr">
        <is>
          <t>Bluestone Outpatient Pavilion</t>
        </is>
      </c>
      <c r="E1529" t="inlineStr">
        <is>
          <t>Infusion &amp; Oncology Clinic</t>
        </is>
      </c>
      <c r="F1529" t="inlineStr">
        <is>
          <t>Oncology</t>
        </is>
      </c>
      <c r="G1529" s="29" t="n">
        <v>45861</v>
      </c>
      <c r="H1529" s="29" t="n">
        <v>45861</v>
      </c>
      <c r="I1529" s="30" t="n"/>
      <c r="J1529" t="inlineStr">
        <is>
          <t>C50.911</t>
        </is>
      </c>
      <c r="K1529" t="inlineStr">
        <is>
          <t>Malignant neoplasm of unspecified site of right female breast</t>
        </is>
      </c>
      <c r="L1529" t="inlineStr">
        <is>
          <t>Neoplasms</t>
        </is>
      </c>
      <c r="M1529" t="inlineStr">
        <is>
          <t>Home/Self-Care</t>
        </is>
      </c>
      <c r="N1529" t="inlineStr">
        <is>
          <t>Keystone Health Partners</t>
        </is>
      </c>
      <c r="O1529" s="31" t="n">
        <v>700.42</v>
      </c>
    </row>
    <row r="1530">
      <c r="A1530" t="inlineStr">
        <is>
          <t>ENC117058</t>
        </is>
      </c>
      <c r="B1530" t="inlineStr">
        <is>
          <t>PT12224</t>
        </is>
      </c>
      <c r="C1530" t="inlineStr">
        <is>
          <t>Emergency</t>
        </is>
      </c>
      <c r="D1530" t="inlineStr">
        <is>
          <t>Ashby Falls Community Hospital</t>
        </is>
      </c>
      <c r="E1530" t="inlineStr">
        <is>
          <t>Emergency Department</t>
        </is>
      </c>
      <c r="F1530" t="inlineStr">
        <is>
          <t>Emergency</t>
        </is>
      </c>
      <c r="G1530" s="29" t="n">
        <v>45861</v>
      </c>
      <c r="H1530" s="29" t="n">
        <v>45861</v>
      </c>
      <c r="I1530" s="30" t="n"/>
      <c r="J1530" t="inlineStr">
        <is>
          <t>N39.0</t>
        </is>
      </c>
      <c r="K1530" t="inlineStr">
        <is>
          <t>Urinary tract infection, site not specified</t>
        </is>
      </c>
      <c r="L1530" t="inlineStr">
        <is>
          <t>Genitourinary</t>
        </is>
      </c>
      <c r="M1530" t="inlineStr">
        <is>
          <t>Home/Self-Care</t>
        </is>
      </c>
      <c r="N1530" t="inlineStr">
        <is>
          <t>Evergreen Mutual Insurance</t>
        </is>
      </c>
      <c r="O1530" s="31" t="n">
        <v>5001.37</v>
      </c>
    </row>
    <row r="1531">
      <c r="A1531" t="inlineStr">
        <is>
          <t>ENC117064</t>
        </is>
      </c>
      <c r="B1531" t="inlineStr">
        <is>
          <t>PT13704</t>
        </is>
      </c>
      <c r="C1531" t="inlineStr">
        <is>
          <t>Emergency</t>
        </is>
      </c>
      <c r="D1531" t="inlineStr">
        <is>
          <t>Bluestone Memorial Hospital</t>
        </is>
      </c>
      <c r="E1531" t="inlineStr">
        <is>
          <t>Emergency Department</t>
        </is>
      </c>
      <c r="F1531" t="inlineStr">
        <is>
          <t>Emergency</t>
        </is>
      </c>
      <c r="G1531" s="29" t="n">
        <v>45861</v>
      </c>
      <c r="H1531" s="29" t="n">
        <v>45861</v>
      </c>
      <c r="I1531" s="30" t="n"/>
      <c r="J1531" t="inlineStr">
        <is>
          <t>M54.50</t>
        </is>
      </c>
      <c r="K1531" t="inlineStr">
        <is>
          <t>Low back pain, unspecified</t>
        </is>
      </c>
      <c r="L1531" t="inlineStr">
        <is>
          <t>Musculoskeletal</t>
        </is>
      </c>
      <c r="M1531" t="inlineStr">
        <is>
          <t>Home/Self-Care</t>
        </is>
      </c>
      <c r="N1531" t="inlineStr">
        <is>
          <t>Medicare</t>
        </is>
      </c>
      <c r="O1531" s="31" t="n">
        <v>1484.56</v>
      </c>
    </row>
    <row r="1532">
      <c r="A1532" t="inlineStr">
        <is>
          <t>ENC117065</t>
        </is>
      </c>
      <c r="B1532" t="inlineStr">
        <is>
          <t>PT11876</t>
        </is>
      </c>
      <c r="C1532" t="inlineStr">
        <is>
          <t>Emergency</t>
        </is>
      </c>
      <c r="D1532" t="inlineStr">
        <is>
          <t>Bluestone Memorial Hospital</t>
        </is>
      </c>
      <c r="E1532" t="inlineStr">
        <is>
          <t>Emergency Department</t>
        </is>
      </c>
      <c r="F1532" t="inlineStr">
        <is>
          <t>Emergency</t>
        </is>
      </c>
      <c r="G1532" s="29" t="n">
        <v>45861</v>
      </c>
      <c r="H1532" s="29" t="n">
        <v>45862</v>
      </c>
      <c r="I1532" s="30" t="n"/>
      <c r="J1532" t="inlineStr">
        <is>
          <t>J45.909</t>
        </is>
      </c>
      <c r="K1532" t="inlineStr">
        <is>
          <t>Unspecified asthma, uncomplicated</t>
        </is>
      </c>
      <c r="L1532" t="inlineStr">
        <is>
          <t>Respiratory</t>
        </is>
      </c>
      <c r="M1532" t="inlineStr">
        <is>
          <t>Home/Self-Care</t>
        </is>
      </c>
      <c r="N1532" t="inlineStr">
        <is>
          <t>State Medicaid</t>
        </is>
      </c>
      <c r="O1532" s="31" t="n">
        <v>4909.1</v>
      </c>
    </row>
    <row r="1533">
      <c r="A1533" t="inlineStr">
        <is>
          <t>ENC117069</t>
        </is>
      </c>
      <c r="B1533" t="inlineStr">
        <is>
          <t>PT13920</t>
        </is>
      </c>
      <c r="C1533" t="inlineStr">
        <is>
          <t>Outpatient</t>
        </is>
      </c>
      <c r="D1533" t="inlineStr">
        <is>
          <t>Bluestone Outpatient Pavilion</t>
        </is>
      </c>
      <c r="E1533" t="inlineStr">
        <is>
          <t>Endocrinology &amp; Diabetes Clinic</t>
        </is>
      </c>
      <c r="F1533" t="inlineStr">
        <is>
          <t>Ambulatory</t>
        </is>
      </c>
      <c r="G1533" s="29" t="n">
        <v>45862</v>
      </c>
      <c r="H1533" s="29" t="n">
        <v>45862</v>
      </c>
      <c r="I1533" s="30" t="n"/>
      <c r="J1533" t="inlineStr">
        <is>
          <t>E11.65</t>
        </is>
      </c>
      <c r="K1533" t="inlineStr">
        <is>
          <t>Type 2 diabetes mellitus with hyperglycemia</t>
        </is>
      </c>
      <c r="L1533" t="inlineStr">
        <is>
          <t>Endocrine</t>
        </is>
      </c>
      <c r="M1533" t="inlineStr">
        <is>
          <t>Home/Self-Care</t>
        </is>
      </c>
      <c r="N1533" t="inlineStr">
        <is>
          <t>Medicare</t>
        </is>
      </c>
      <c r="O1533" s="31" t="n">
        <v>256.33</v>
      </c>
    </row>
    <row r="1534">
      <c r="A1534" t="inlineStr">
        <is>
          <t>ENC117077</t>
        </is>
      </c>
      <c r="B1534" t="inlineStr">
        <is>
          <t>PT13088</t>
        </is>
      </c>
      <c r="C1534" t="inlineStr">
        <is>
          <t>Inpatient</t>
        </is>
      </c>
      <c r="D1534" t="inlineStr">
        <is>
          <t>Bluestone Memorial Hospital</t>
        </is>
      </c>
      <c r="E1534" t="inlineStr">
        <is>
          <t>Neuroscience &amp; Stroke</t>
        </is>
      </c>
      <c r="F1534" t="inlineStr">
        <is>
          <t>Neuroscience</t>
        </is>
      </c>
      <c r="G1534" s="29" t="n">
        <v>45862</v>
      </c>
      <c r="H1534" s="29" t="n">
        <v>45865</v>
      </c>
      <c r="I1534" s="30" t="n">
        <v>3</v>
      </c>
      <c r="J1534" t="inlineStr">
        <is>
          <t>I63.9</t>
        </is>
      </c>
      <c r="K1534" t="inlineStr">
        <is>
          <t>Cerebral infarction, unspecified</t>
        </is>
      </c>
      <c r="L1534" t="inlineStr">
        <is>
          <t>Circulatory</t>
        </is>
      </c>
      <c r="M1534" t="inlineStr">
        <is>
          <t>Skilled Nursing Facility</t>
        </is>
      </c>
      <c r="N1534" t="inlineStr">
        <is>
          <t>State Medicaid</t>
        </is>
      </c>
      <c r="O1534" s="31" t="n">
        <v>21168.03</v>
      </c>
      <c r="P1534" t="inlineStr">
        <is>
          <t>Y</t>
        </is>
      </c>
    </row>
    <row r="1535">
      <c r="A1535" t="inlineStr">
        <is>
          <t>ENC117078</t>
        </is>
      </c>
      <c r="B1535" t="inlineStr">
        <is>
          <t>PT12016</t>
        </is>
      </c>
      <c r="C1535" t="inlineStr">
        <is>
          <t>Emergency</t>
        </is>
      </c>
      <c r="D1535" t="inlineStr">
        <is>
          <t>Bluestone Memorial Hospital</t>
        </is>
      </c>
      <c r="E1535" t="inlineStr">
        <is>
          <t>Emergency Department</t>
        </is>
      </c>
      <c r="F1535" t="inlineStr">
        <is>
          <t>Emergency</t>
        </is>
      </c>
      <c r="G1535" s="29" t="n">
        <v>45862</v>
      </c>
      <c r="H1535" s="29" t="n">
        <v>45862</v>
      </c>
      <c r="I1535" s="30" t="n"/>
      <c r="J1535" t="inlineStr">
        <is>
          <t>U07.1</t>
        </is>
      </c>
      <c r="K1535" t="inlineStr">
        <is>
          <t>COVID-19</t>
        </is>
      </c>
      <c r="L1535" t="inlineStr">
        <is>
          <t>Respiratory</t>
        </is>
      </c>
      <c r="M1535" t="inlineStr">
        <is>
          <t>Home/Self-Care</t>
        </is>
      </c>
      <c r="N1535" t="inlineStr">
        <is>
          <t>State Medicaid</t>
        </is>
      </c>
      <c r="O1535" s="31" t="n">
        <v>5400.43</v>
      </c>
    </row>
    <row r="1536">
      <c r="A1536" t="inlineStr">
        <is>
          <t>ENC117080</t>
        </is>
      </c>
      <c r="B1536" t="inlineStr">
        <is>
          <t>PT11124</t>
        </is>
      </c>
      <c r="C1536" t="inlineStr">
        <is>
          <t>Outpatient</t>
        </is>
      </c>
      <c r="D1536" t="inlineStr">
        <is>
          <t>Bluestone Outpatient Pavilion</t>
        </is>
      </c>
      <c r="E1536" t="inlineStr">
        <is>
          <t>Primary Care Clinic</t>
        </is>
      </c>
      <c r="F1536" t="inlineStr">
        <is>
          <t>Ambulatory</t>
        </is>
      </c>
      <c r="G1536" s="29" t="n">
        <v>45862</v>
      </c>
      <c r="H1536" s="29" t="n">
        <v>45862</v>
      </c>
      <c r="I1536" s="30" t="n"/>
      <c r="J1536" t="inlineStr">
        <is>
          <t>Z23</t>
        </is>
      </c>
      <c r="K1536" t="inlineStr">
        <is>
          <t>Encounter for immunization</t>
        </is>
      </c>
      <c r="L1536" t="inlineStr">
        <is>
          <t>Factors Influencing Health</t>
        </is>
      </c>
      <c r="M1536" t="inlineStr">
        <is>
          <t>Home/Self-Care</t>
        </is>
      </c>
      <c r="N1536" t="inlineStr">
        <is>
          <t>Evergreen Mutual Insurance</t>
        </is>
      </c>
      <c r="O1536" s="31" t="n">
        <v>120.13</v>
      </c>
    </row>
    <row r="1537">
      <c r="A1537" t="inlineStr">
        <is>
          <t>ENC117096</t>
        </is>
      </c>
      <c r="B1537" t="inlineStr">
        <is>
          <t>PT13412</t>
        </is>
      </c>
      <c r="C1537" t="inlineStr">
        <is>
          <t>Inpatient</t>
        </is>
      </c>
      <c r="D1537" t="inlineStr">
        <is>
          <t>Bluestone Memorial Hospital</t>
        </is>
      </c>
      <c r="E1537" t="inlineStr">
        <is>
          <t>Intensive Care Unit</t>
        </is>
      </c>
      <c r="F1537" t="inlineStr">
        <is>
          <t>Critical Care</t>
        </is>
      </c>
      <c r="G1537" s="29" t="n">
        <v>45862</v>
      </c>
      <c r="H1537" s="29" t="n">
        <v>45874</v>
      </c>
      <c r="I1537" s="30" t="n">
        <v>12</v>
      </c>
      <c r="J1537" t="inlineStr">
        <is>
          <t>A41.9</t>
        </is>
      </c>
      <c r="K1537" t="inlineStr">
        <is>
          <t>Sepsis, unspecified organism</t>
        </is>
      </c>
      <c r="L1537" t="inlineStr">
        <is>
          <t>Infectious</t>
        </is>
      </c>
      <c r="M1537" t="inlineStr">
        <is>
          <t>Home/Self-Care</t>
        </is>
      </c>
      <c r="N1537" t="inlineStr">
        <is>
          <t>Medicare</t>
        </is>
      </c>
      <c r="O1537" s="31" t="n">
        <v>147040.01</v>
      </c>
      <c r="P1537" t="inlineStr">
        <is>
          <t>N</t>
        </is>
      </c>
    </row>
    <row r="1538">
      <c r="A1538" t="inlineStr">
        <is>
          <t>ENC117100</t>
        </is>
      </c>
      <c r="B1538" t="inlineStr">
        <is>
          <t>PT12256</t>
        </is>
      </c>
      <c r="C1538" t="inlineStr">
        <is>
          <t>Emergency</t>
        </is>
      </c>
      <c r="D1538" t="inlineStr">
        <is>
          <t>Bluestone Memorial Hospital</t>
        </is>
      </c>
      <c r="E1538" t="inlineStr">
        <is>
          <t>Emergency Department</t>
        </is>
      </c>
      <c r="F1538" t="inlineStr">
        <is>
          <t>Emergency</t>
        </is>
      </c>
      <c r="G1538" s="29" t="n">
        <v>45862</v>
      </c>
      <c r="H1538" s="29" t="n">
        <v>45863</v>
      </c>
      <c r="I1538" s="30" t="n"/>
      <c r="J1538" t="inlineStr">
        <is>
          <t>R07.9</t>
        </is>
      </c>
      <c r="K1538" t="inlineStr">
        <is>
          <t>Chest pain, unspecified</t>
        </is>
      </c>
      <c r="L1538" t="inlineStr">
        <is>
          <t>Symptoms &amp; Signs</t>
        </is>
      </c>
      <c r="M1538" t="inlineStr">
        <is>
          <t>Home/Self-Care</t>
        </is>
      </c>
      <c r="N1538" t="inlineStr">
        <is>
          <t>Evergreen Mutual Insurance</t>
        </is>
      </c>
      <c r="O1538" s="31" t="n">
        <v>6436.92</v>
      </c>
    </row>
    <row r="1539">
      <c r="A1539" t="inlineStr">
        <is>
          <t>ENC117106</t>
        </is>
      </c>
      <c r="B1539" t="inlineStr">
        <is>
          <t>PT10164</t>
        </is>
      </c>
      <c r="C1539" t="inlineStr">
        <is>
          <t>Inpatient</t>
        </is>
      </c>
      <c r="D1539" t="inlineStr">
        <is>
          <t>Bluestone Memorial Hospital</t>
        </is>
      </c>
      <c r="E1539" t="inlineStr">
        <is>
          <t>Labor &amp; Delivery</t>
        </is>
      </c>
      <c r="F1539" t="inlineStr">
        <is>
          <t>Women &amp; Children</t>
        </is>
      </c>
      <c r="G1539" s="29" t="n">
        <v>45863</v>
      </c>
      <c r="H1539" s="29" t="n">
        <v>45866</v>
      </c>
      <c r="I1539" s="30" t="n">
        <v>3</v>
      </c>
      <c r="J1539" t="inlineStr">
        <is>
          <t>O80</t>
        </is>
      </c>
      <c r="K1539" t="inlineStr">
        <is>
          <t>Encounter for full-term uncomplicated delivery</t>
        </is>
      </c>
      <c r="L1539" t="inlineStr">
        <is>
          <t>Pregnancy</t>
        </is>
      </c>
      <c r="M1539" t="inlineStr">
        <is>
          <t>Home/Self-Care</t>
        </is>
      </c>
      <c r="N1539" t="inlineStr">
        <is>
          <t>State Medicaid</t>
        </is>
      </c>
      <c r="O1539" s="31" t="n">
        <v>17705.02</v>
      </c>
      <c r="P1539" t="inlineStr">
        <is>
          <t>N</t>
        </is>
      </c>
    </row>
    <row r="1540">
      <c r="A1540" t="inlineStr">
        <is>
          <t>ENC117110</t>
        </is>
      </c>
      <c r="B1540" t="inlineStr">
        <is>
          <t>PT11852</t>
        </is>
      </c>
      <c r="C1540" t="inlineStr">
        <is>
          <t>Emergency</t>
        </is>
      </c>
      <c r="D1540" t="inlineStr">
        <is>
          <t>Bluestone Memorial Hospital</t>
        </is>
      </c>
      <c r="E1540" t="inlineStr">
        <is>
          <t>Emergency Department</t>
        </is>
      </c>
      <c r="F1540" t="inlineStr">
        <is>
          <t>Emergency</t>
        </is>
      </c>
      <c r="G1540" s="29" t="n">
        <v>45863</v>
      </c>
      <c r="H1540" s="29" t="n">
        <v>45863</v>
      </c>
      <c r="I1540" s="30" t="n"/>
      <c r="J1540" t="inlineStr">
        <is>
          <t>R07.9</t>
        </is>
      </c>
      <c r="K1540" t="inlineStr">
        <is>
          <t>Chest pain, unspecified</t>
        </is>
      </c>
      <c r="L1540" t="inlineStr">
        <is>
          <t>Symptoms &amp; Signs</t>
        </is>
      </c>
      <c r="M1540" t="inlineStr">
        <is>
          <t>Left AMA</t>
        </is>
      </c>
      <c r="N1540" t="inlineStr">
        <is>
          <t>Medicare</t>
        </is>
      </c>
      <c r="O1540" s="31" t="n">
        <v>4427.44</v>
      </c>
    </row>
    <row r="1541">
      <c r="A1541" t="inlineStr">
        <is>
          <t>ENC117112</t>
        </is>
      </c>
      <c r="B1541" t="inlineStr">
        <is>
          <t>PT11788</t>
        </is>
      </c>
      <c r="C1541" t="inlineStr">
        <is>
          <t>Observation</t>
        </is>
      </c>
      <c r="D1541" t="inlineStr">
        <is>
          <t>Bluestone Memorial Hospital</t>
        </is>
      </c>
      <c r="E1541" t="inlineStr">
        <is>
          <t>Observation Unit</t>
        </is>
      </c>
      <c r="F1541" t="inlineStr">
        <is>
          <t>Medicine</t>
        </is>
      </c>
      <c r="G1541" s="29" t="n">
        <v>45863</v>
      </c>
      <c r="H1541" s="29" t="n">
        <v>45864</v>
      </c>
      <c r="I1541" s="30" t="n">
        <v>1</v>
      </c>
      <c r="J1541" t="inlineStr">
        <is>
          <t>A08.4</t>
        </is>
      </c>
      <c r="K1541" t="inlineStr">
        <is>
          <t>Viral intestinal infection, unspecified</t>
        </is>
      </c>
      <c r="L1541" t="inlineStr">
        <is>
          <t>Infectious</t>
        </is>
      </c>
      <c r="M1541" t="inlineStr">
        <is>
          <t>Home/Self-Care</t>
        </is>
      </c>
      <c r="N1541" t="inlineStr">
        <is>
          <t>Silverline Medicare Advantage</t>
        </is>
      </c>
      <c r="O1541" s="31" t="n">
        <v>6804.63</v>
      </c>
    </row>
    <row r="1542">
      <c r="A1542" t="inlineStr">
        <is>
          <t>ENC117125</t>
        </is>
      </c>
      <c r="B1542" t="inlineStr">
        <is>
          <t>PT10444</t>
        </is>
      </c>
      <c r="C1542" t="inlineStr">
        <is>
          <t>Outpatient</t>
        </is>
      </c>
      <c r="D1542" t="inlineStr">
        <is>
          <t>Bluestone Outpatient Pavilion</t>
        </is>
      </c>
      <c r="E1542" t="inlineStr">
        <is>
          <t>Primary Care Clinic</t>
        </is>
      </c>
      <c r="F1542" t="inlineStr">
        <is>
          <t>Ambulatory</t>
        </is>
      </c>
      <c r="G1542" s="29" t="n">
        <v>45863</v>
      </c>
      <c r="H1542" s="29" t="n">
        <v>45863</v>
      </c>
      <c r="I1542" s="30" t="n"/>
      <c r="J1542" t="inlineStr">
        <is>
          <t>E78.5</t>
        </is>
      </c>
      <c r="K1542" t="inlineStr">
        <is>
          <t>Hyperlipidemia, unspecified</t>
        </is>
      </c>
      <c r="L1542" t="inlineStr">
        <is>
          <t>Endocrine</t>
        </is>
      </c>
      <c r="M1542" t="inlineStr">
        <is>
          <t>Home/Self-Care</t>
        </is>
      </c>
      <c r="N1542" t="inlineStr">
        <is>
          <t>Medicare</t>
        </is>
      </c>
      <c r="O1542" s="31" t="n">
        <v>239.73</v>
      </c>
    </row>
    <row r="1543">
      <c r="A1543" t="inlineStr">
        <is>
          <t>ENC117128</t>
        </is>
      </c>
      <c r="B1543" t="inlineStr">
        <is>
          <t>PT12876</t>
        </is>
      </c>
      <c r="C1543" t="inlineStr">
        <is>
          <t>Emergency</t>
        </is>
      </c>
      <c r="D1543" t="inlineStr">
        <is>
          <t>Bluestone Memorial Hospital</t>
        </is>
      </c>
      <c r="E1543" t="inlineStr">
        <is>
          <t>Emergency Department</t>
        </is>
      </c>
      <c r="F1543" t="inlineStr">
        <is>
          <t>Emergency</t>
        </is>
      </c>
      <c r="G1543" s="29" t="n">
        <v>45863</v>
      </c>
      <c r="H1543" s="29" t="n">
        <v>45863</v>
      </c>
      <c r="I1543" s="30" t="n"/>
      <c r="J1543" t="inlineStr">
        <is>
          <t>R10.9</t>
        </is>
      </c>
      <c r="K1543" t="inlineStr">
        <is>
          <t>Unspecified abdominal pain</t>
        </is>
      </c>
      <c r="L1543" t="inlineStr">
        <is>
          <t>Symptoms &amp; Signs</t>
        </is>
      </c>
      <c r="M1543" t="inlineStr">
        <is>
          <t>Home/Self-Care</t>
        </is>
      </c>
      <c r="N1543" t="inlineStr">
        <is>
          <t>Medicare</t>
        </is>
      </c>
      <c r="O1543" s="31" t="n">
        <v>3454.27</v>
      </c>
    </row>
    <row r="1544">
      <c r="A1544" t="inlineStr">
        <is>
          <t>ENC117142</t>
        </is>
      </c>
      <c r="B1544" t="inlineStr">
        <is>
          <t>PT10460</t>
        </is>
      </c>
      <c r="C1544" t="inlineStr">
        <is>
          <t>Emergency</t>
        </is>
      </c>
      <c r="D1544" t="inlineStr">
        <is>
          <t>Cedar Ridge Medical Center</t>
        </is>
      </c>
      <c r="E1544" t="inlineStr">
        <is>
          <t>Emergency Department</t>
        </is>
      </c>
      <c r="F1544" t="inlineStr">
        <is>
          <t>Emergency</t>
        </is>
      </c>
      <c r="G1544" s="29" t="n">
        <v>45864</v>
      </c>
      <c r="H1544" s="29" t="n">
        <v>45864</v>
      </c>
      <c r="I1544" s="30" t="n"/>
      <c r="J1544" t="inlineStr">
        <is>
          <t>S06.0X0A</t>
        </is>
      </c>
      <c r="K1544" t="inlineStr">
        <is>
          <t>Concussion without loss of consciousness, initial encounter</t>
        </is>
      </c>
      <c r="L1544" t="inlineStr">
        <is>
          <t>Injury</t>
        </is>
      </c>
      <c r="M1544" t="inlineStr">
        <is>
          <t>Home/Self-Care</t>
        </is>
      </c>
      <c r="N1544" t="inlineStr">
        <is>
          <t>Keystone Health Partners</t>
        </is>
      </c>
      <c r="O1544" s="31" t="n">
        <v>3391.43</v>
      </c>
    </row>
    <row r="1545">
      <c r="A1545" t="inlineStr">
        <is>
          <t>ENC117145</t>
        </is>
      </c>
      <c r="B1545" t="inlineStr">
        <is>
          <t>PT13696</t>
        </is>
      </c>
      <c r="C1545" t="inlineStr">
        <is>
          <t>Emergency</t>
        </is>
      </c>
      <c r="D1545" t="inlineStr">
        <is>
          <t>Bluestone Memorial Hospital</t>
        </is>
      </c>
      <c r="E1545" t="inlineStr">
        <is>
          <t>Emergency Department</t>
        </is>
      </c>
      <c r="F1545" t="inlineStr">
        <is>
          <t>Emergency</t>
        </is>
      </c>
      <c r="G1545" s="29" t="n">
        <v>45864</v>
      </c>
      <c r="H1545" s="29" t="n">
        <v>45864</v>
      </c>
      <c r="I1545" s="30" t="n"/>
      <c r="J1545" t="inlineStr">
        <is>
          <t>E11.65</t>
        </is>
      </c>
      <c r="K1545" t="inlineStr">
        <is>
          <t>Type 2 diabetes mellitus with hyperglycemia</t>
        </is>
      </c>
      <c r="L1545" t="inlineStr">
        <is>
          <t>Endocrine</t>
        </is>
      </c>
      <c r="M1545" t="inlineStr">
        <is>
          <t>Home/Self-Care</t>
        </is>
      </c>
      <c r="N1545" t="inlineStr">
        <is>
          <t>Evergreen Mutual Insurance</t>
        </is>
      </c>
      <c r="O1545" s="31" t="n">
        <v>5996.83</v>
      </c>
    </row>
    <row r="1546">
      <c r="A1546" t="inlineStr">
        <is>
          <t>ENC117149</t>
        </is>
      </c>
      <c r="B1546" t="inlineStr">
        <is>
          <t>PT10724</t>
        </is>
      </c>
      <c r="C1546" t="inlineStr">
        <is>
          <t>Emergency</t>
        </is>
      </c>
      <c r="D1546" t="inlineStr">
        <is>
          <t>Bluestone Memorial Hospital</t>
        </is>
      </c>
      <c r="E1546" t="inlineStr">
        <is>
          <t>Emergency Department</t>
        </is>
      </c>
      <c r="F1546" t="inlineStr">
        <is>
          <t>Emergency</t>
        </is>
      </c>
      <c r="G1546" s="29" t="n">
        <v>45865</v>
      </c>
      <c r="H1546" s="29" t="n">
        <v>45865</v>
      </c>
      <c r="I1546" s="30" t="n"/>
      <c r="J1546" t="inlineStr">
        <is>
          <t>J44.1</t>
        </is>
      </c>
      <c r="K1546" t="inlineStr">
        <is>
          <t>Chronic obstructive pulmonary disease with (acute) exacerbation</t>
        </is>
      </c>
      <c r="L1546" t="inlineStr">
        <is>
          <t>Respiratory</t>
        </is>
      </c>
      <c r="M1546" t="inlineStr">
        <is>
          <t>Home/Self-Care</t>
        </is>
      </c>
      <c r="N1546" t="inlineStr">
        <is>
          <t>Evergreen Mutual Insurance</t>
        </is>
      </c>
      <c r="O1546" s="31" t="n">
        <v>3119.31</v>
      </c>
    </row>
    <row r="1547">
      <c r="A1547" t="inlineStr">
        <is>
          <t>ENC117159</t>
        </is>
      </c>
      <c r="B1547" t="inlineStr">
        <is>
          <t>PT12048</t>
        </is>
      </c>
      <c r="C1547" t="inlineStr">
        <is>
          <t>Inpatient</t>
        </is>
      </c>
      <c r="D1547" t="inlineStr">
        <is>
          <t>Bluestone Memorial Hospital</t>
        </is>
      </c>
      <c r="E1547" t="inlineStr">
        <is>
          <t>Medical-Surgical 5 East</t>
        </is>
      </c>
      <c r="F1547" t="inlineStr">
        <is>
          <t>Medicine</t>
        </is>
      </c>
      <c r="G1547" s="29" t="n">
        <v>45866</v>
      </c>
      <c r="H1547" s="29" t="n">
        <v>45869</v>
      </c>
      <c r="I1547" s="30" t="n">
        <v>3</v>
      </c>
      <c r="J1547" t="inlineStr">
        <is>
          <t>J18.9</t>
        </is>
      </c>
      <c r="K1547" t="inlineStr">
        <is>
          <t>Pneumonia, unspecified organism</t>
        </is>
      </c>
      <c r="L1547" t="inlineStr">
        <is>
          <t>Respiratory</t>
        </is>
      </c>
      <c r="M1547" t="inlineStr">
        <is>
          <t>Skilled Nursing Facility</t>
        </is>
      </c>
      <c r="N1547" t="inlineStr">
        <is>
          <t>State Medicaid</t>
        </is>
      </c>
      <c r="O1547" s="31" t="n">
        <v>13083.53</v>
      </c>
      <c r="P1547" t="inlineStr">
        <is>
          <t>Y</t>
        </is>
      </c>
    </row>
    <row r="1548">
      <c r="A1548" t="inlineStr">
        <is>
          <t>ENC117163</t>
        </is>
      </c>
      <c r="B1548" t="inlineStr">
        <is>
          <t>PT12292</t>
        </is>
      </c>
      <c r="C1548" t="inlineStr">
        <is>
          <t>Inpatient</t>
        </is>
      </c>
      <c r="D1548" t="inlineStr">
        <is>
          <t>Bluestone Memorial Hospital</t>
        </is>
      </c>
      <c r="E1548" t="inlineStr">
        <is>
          <t>Orthopedics &amp; Spine</t>
        </is>
      </c>
      <c r="F1548" t="inlineStr">
        <is>
          <t>Orthopedics</t>
        </is>
      </c>
      <c r="G1548" s="29" t="n">
        <v>45866</v>
      </c>
      <c r="H1548" s="29" t="n">
        <v>45868</v>
      </c>
      <c r="I1548" s="30" t="n">
        <v>2</v>
      </c>
      <c r="J1548" t="inlineStr">
        <is>
          <t>M16.11</t>
        </is>
      </c>
      <c r="K1548" t="inlineStr">
        <is>
          <t>Unilateral primary osteoarthritis, right hip</t>
        </is>
      </c>
      <c r="L1548" t="inlineStr">
        <is>
          <t>Musculoskeletal</t>
        </is>
      </c>
      <c r="M1548" t="inlineStr">
        <is>
          <t>Home Health</t>
        </is>
      </c>
      <c r="N1548" t="inlineStr">
        <is>
          <t>Silverline Medicare Advantage</t>
        </is>
      </c>
      <c r="O1548" s="31" t="n">
        <v>37407</v>
      </c>
      <c r="P1548" t="inlineStr">
        <is>
          <t>N</t>
        </is>
      </c>
    </row>
    <row r="1549">
      <c r="A1549" t="inlineStr">
        <is>
          <t>ENC117166</t>
        </is>
      </c>
      <c r="B1549" t="inlineStr">
        <is>
          <t>PT13088</t>
        </is>
      </c>
      <c r="C1549" t="inlineStr">
        <is>
          <t>Inpatient</t>
        </is>
      </c>
      <c r="D1549" t="inlineStr">
        <is>
          <t>Bluestone Memorial Hospital</t>
        </is>
      </c>
      <c r="E1549" t="inlineStr">
        <is>
          <t>Neuroscience &amp; Stroke</t>
        </is>
      </c>
      <c r="F1549" t="inlineStr">
        <is>
          <t>Neuroscience</t>
        </is>
      </c>
      <c r="G1549" s="29" t="n">
        <v>45866</v>
      </c>
      <c r="H1549" s="29" t="n">
        <v>45870</v>
      </c>
      <c r="I1549" s="30" t="n">
        <v>4</v>
      </c>
      <c r="J1549" t="inlineStr">
        <is>
          <t>I63.9</t>
        </is>
      </c>
      <c r="K1549" t="inlineStr">
        <is>
          <t>Cerebral infarction, unspecified</t>
        </is>
      </c>
      <c r="L1549" t="inlineStr">
        <is>
          <t>Circulatory</t>
        </is>
      </c>
      <c r="M1549" t="inlineStr">
        <is>
          <t>Expired</t>
        </is>
      </c>
      <c r="N1549" t="inlineStr">
        <is>
          <t>State Medicaid</t>
        </is>
      </c>
      <c r="O1549" s="31" t="n">
        <v>22166.78</v>
      </c>
      <c r="P1549" t="inlineStr">
        <is>
          <t>N</t>
        </is>
      </c>
    </row>
    <row r="1550">
      <c r="A1550" t="inlineStr">
        <is>
          <t>ENC117172</t>
        </is>
      </c>
      <c r="B1550" t="inlineStr">
        <is>
          <t>PT12384</t>
        </is>
      </c>
      <c r="C1550" t="inlineStr">
        <is>
          <t>Emergency</t>
        </is>
      </c>
      <c r="D1550" t="inlineStr">
        <is>
          <t>Ashby Falls Community Hospital</t>
        </is>
      </c>
      <c r="E1550" t="inlineStr">
        <is>
          <t>Emergency Department</t>
        </is>
      </c>
      <c r="F1550" t="inlineStr">
        <is>
          <t>Emergency</t>
        </is>
      </c>
      <c r="G1550" s="29" t="n">
        <v>45866</v>
      </c>
      <c r="H1550" s="29" t="n">
        <v>45866</v>
      </c>
      <c r="I1550" s="30" t="n"/>
      <c r="J1550" t="inlineStr">
        <is>
          <t>M54.50</t>
        </is>
      </c>
      <c r="K1550" t="inlineStr">
        <is>
          <t>Low back pain, unspecified</t>
        </is>
      </c>
      <c r="L1550" t="inlineStr">
        <is>
          <t>Musculoskeletal</t>
        </is>
      </c>
      <c r="M1550" t="inlineStr">
        <is>
          <t>Home/Self-Care</t>
        </is>
      </c>
      <c r="N1550" t="inlineStr">
        <is>
          <t>Keystone Health Partners</t>
        </is>
      </c>
      <c r="O1550" s="31" t="n">
        <v>1225.71</v>
      </c>
    </row>
    <row r="1551">
      <c r="A1551" t="inlineStr">
        <is>
          <t>ENC117175</t>
        </is>
      </c>
      <c r="B1551" t="inlineStr">
        <is>
          <t>PT12212</t>
        </is>
      </c>
      <c r="C1551" t="inlineStr">
        <is>
          <t>Emergency</t>
        </is>
      </c>
      <c r="D1551" t="inlineStr">
        <is>
          <t>Cedar Ridge Medical Center</t>
        </is>
      </c>
      <c r="E1551" t="inlineStr">
        <is>
          <t>Emergency Department</t>
        </is>
      </c>
      <c r="F1551" t="inlineStr">
        <is>
          <t>Emergency</t>
        </is>
      </c>
      <c r="G1551" s="29" t="n">
        <v>45866</v>
      </c>
      <c r="H1551" s="29" t="n">
        <v>45866</v>
      </c>
      <c r="I1551" s="30" t="n"/>
      <c r="J1551" t="inlineStr">
        <is>
          <t>R55</t>
        </is>
      </c>
      <c r="K1551" t="inlineStr">
        <is>
          <t>Syncope and collapse</t>
        </is>
      </c>
      <c r="L1551" t="inlineStr">
        <is>
          <t>Symptoms &amp; Signs</t>
        </is>
      </c>
      <c r="M1551" t="inlineStr">
        <is>
          <t>Home/Self-Care</t>
        </is>
      </c>
      <c r="N1551" t="inlineStr">
        <is>
          <t>State Medicaid</t>
        </is>
      </c>
      <c r="O1551" s="31" t="n">
        <v>3741.64</v>
      </c>
    </row>
    <row r="1552">
      <c r="A1552" t="inlineStr">
        <is>
          <t>ENC117176</t>
        </is>
      </c>
      <c r="B1552" t="inlineStr">
        <is>
          <t>PT12572</t>
        </is>
      </c>
      <c r="C1552" t="inlineStr">
        <is>
          <t>Emergency</t>
        </is>
      </c>
      <c r="D1552" t="inlineStr">
        <is>
          <t>Bluestone Memorial Hospital</t>
        </is>
      </c>
      <c r="E1552" t="inlineStr">
        <is>
          <t>Emergency Department</t>
        </is>
      </c>
      <c r="F1552" t="inlineStr">
        <is>
          <t>Emergency</t>
        </is>
      </c>
      <c r="G1552" s="29" t="n">
        <v>45866</v>
      </c>
      <c r="H1552" s="29" t="n">
        <v>45866</v>
      </c>
      <c r="I1552" s="30" t="n"/>
      <c r="J1552" t="inlineStr">
        <is>
          <t>M54.50</t>
        </is>
      </c>
      <c r="K1552" t="inlineStr">
        <is>
          <t>Low back pain, unspecified</t>
        </is>
      </c>
      <c r="L1552" t="inlineStr">
        <is>
          <t>Musculoskeletal</t>
        </is>
      </c>
      <c r="M1552" t="inlineStr">
        <is>
          <t>Home/Self-Care</t>
        </is>
      </c>
      <c r="N1552" t="inlineStr">
        <is>
          <t>Silverline Medicare Advantage</t>
        </is>
      </c>
      <c r="O1552" s="31" t="n">
        <v>1594.24</v>
      </c>
    </row>
    <row r="1553">
      <c r="A1553" t="inlineStr">
        <is>
          <t>ENC117180</t>
        </is>
      </c>
      <c r="B1553" t="inlineStr">
        <is>
          <t>PT11964</t>
        </is>
      </c>
      <c r="C1553" t="inlineStr">
        <is>
          <t>Inpatient</t>
        </is>
      </c>
      <c r="D1553" t="inlineStr">
        <is>
          <t>Bluestone Memorial Hospital</t>
        </is>
      </c>
      <c r="E1553" t="inlineStr">
        <is>
          <t>Neuroscience &amp; Stroke</t>
        </is>
      </c>
      <c r="F1553" t="inlineStr">
        <is>
          <t>Neuroscience</t>
        </is>
      </c>
      <c r="G1553" s="29" t="n">
        <v>45866</v>
      </c>
      <c r="H1553" s="29" t="n">
        <v>45876</v>
      </c>
      <c r="I1553" s="30" t="n">
        <v>10</v>
      </c>
      <c r="J1553" t="inlineStr">
        <is>
          <t>I63.9</t>
        </is>
      </c>
      <c r="K1553" t="inlineStr">
        <is>
          <t>Cerebral infarction, unspecified</t>
        </is>
      </c>
      <c r="L1553" t="inlineStr">
        <is>
          <t>Circulatory</t>
        </is>
      </c>
      <c r="M1553" t="inlineStr">
        <is>
          <t>Home/Self-Care</t>
        </is>
      </c>
      <c r="N1553" t="inlineStr">
        <is>
          <t>Silverline Medicare Advantage</t>
        </is>
      </c>
      <c r="O1553" s="31" t="n">
        <v>38761.64</v>
      </c>
      <c r="P1553" t="inlineStr">
        <is>
          <t>N</t>
        </is>
      </c>
    </row>
    <row r="1554">
      <c r="A1554" t="inlineStr">
        <is>
          <t>ENC117182</t>
        </is>
      </c>
      <c r="B1554" t="inlineStr">
        <is>
          <t>PT11772</t>
        </is>
      </c>
      <c r="C1554" t="inlineStr">
        <is>
          <t>Outpatient</t>
        </is>
      </c>
      <c r="D1554" t="inlineStr">
        <is>
          <t>Bluestone Outpatient Pavilion</t>
        </is>
      </c>
      <c r="E1554" t="inlineStr">
        <is>
          <t>Primary Care Clinic</t>
        </is>
      </c>
      <c r="F1554" t="inlineStr">
        <is>
          <t>Ambulatory</t>
        </is>
      </c>
      <c r="G1554" s="29" t="n">
        <v>45866</v>
      </c>
      <c r="H1554" s="29" t="n">
        <v>45866</v>
      </c>
      <c r="I1554" s="30" t="n"/>
      <c r="J1554" t="inlineStr">
        <is>
          <t>J45.909</t>
        </is>
      </c>
      <c r="K1554" t="inlineStr">
        <is>
          <t>Unspecified asthma, uncomplicated</t>
        </is>
      </c>
      <c r="L1554" t="inlineStr">
        <is>
          <t>Respiratory</t>
        </is>
      </c>
      <c r="M1554" t="inlineStr">
        <is>
          <t>Home/Self-Care</t>
        </is>
      </c>
      <c r="N1554" t="inlineStr">
        <is>
          <t>Summit Choice PPO</t>
        </is>
      </c>
      <c r="O1554" s="31" t="n">
        <v>164.83</v>
      </c>
    </row>
    <row r="1555">
      <c r="A1555" t="inlineStr">
        <is>
          <t>ENC117186</t>
        </is>
      </c>
      <c r="B1555" t="inlineStr">
        <is>
          <t>PT10376</t>
        </is>
      </c>
      <c r="C1555" t="inlineStr">
        <is>
          <t>Outpatient</t>
        </is>
      </c>
      <c r="D1555" t="inlineStr">
        <is>
          <t>Bluestone Outpatient Pavilion</t>
        </is>
      </c>
      <c r="E1555" t="inlineStr">
        <is>
          <t>Primary Care Clinic</t>
        </is>
      </c>
      <c r="F1555" t="inlineStr">
        <is>
          <t>Ambulatory</t>
        </is>
      </c>
      <c r="G1555" s="29" t="n">
        <v>45866</v>
      </c>
      <c r="H1555" s="29" t="n">
        <v>45866</v>
      </c>
      <c r="I1555" s="30" t="n"/>
      <c r="J1555" t="inlineStr">
        <is>
          <t>I10</t>
        </is>
      </c>
      <c r="K1555" t="inlineStr">
        <is>
          <t>Essential (primary) hypertension</t>
        </is>
      </c>
      <c r="L1555" t="inlineStr">
        <is>
          <t>Circulatory</t>
        </is>
      </c>
      <c r="M1555" t="inlineStr">
        <is>
          <t>Home/Self-Care</t>
        </is>
      </c>
      <c r="N1555" t="inlineStr">
        <is>
          <t>Silverline Medicare Advantage</t>
        </is>
      </c>
      <c r="O1555" s="31" t="n">
        <v>270.48</v>
      </c>
    </row>
    <row r="1556">
      <c r="A1556" t="inlineStr">
        <is>
          <t>ENC117194</t>
        </is>
      </c>
      <c r="B1556" t="inlineStr">
        <is>
          <t>PT11712</t>
        </is>
      </c>
      <c r="C1556" t="inlineStr">
        <is>
          <t>Inpatient</t>
        </is>
      </c>
      <c r="D1556" t="inlineStr">
        <is>
          <t>Cedar Ridge Medical Center</t>
        </is>
      </c>
      <c r="E1556" t="inlineStr">
        <is>
          <t>Orthopedics</t>
        </is>
      </c>
      <c r="F1556" t="inlineStr">
        <is>
          <t>Orthopedics</t>
        </is>
      </c>
      <c r="G1556" s="29" t="n">
        <v>45866</v>
      </c>
      <c r="H1556" s="29" t="n">
        <v>45872</v>
      </c>
      <c r="I1556" s="30" t="n">
        <v>6</v>
      </c>
      <c r="J1556" t="inlineStr">
        <is>
          <t>S72.001A</t>
        </is>
      </c>
      <c r="K1556" t="inlineStr">
        <is>
          <t>Fracture of unspecified part of neck of right femur, initial encounter</t>
        </is>
      </c>
      <c r="L1556" t="inlineStr">
        <is>
          <t>Injury</t>
        </is>
      </c>
      <c r="M1556" t="inlineStr">
        <is>
          <t>Home/Self-Care</t>
        </is>
      </c>
      <c r="N1556" t="inlineStr">
        <is>
          <t>Medicare</t>
        </is>
      </c>
      <c r="O1556" s="31" t="n">
        <v>92239.59</v>
      </c>
      <c r="P1556" t="inlineStr">
        <is>
          <t>N</t>
        </is>
      </c>
    </row>
    <row r="1557">
      <c r="A1557" t="inlineStr">
        <is>
          <t>ENC117199</t>
        </is>
      </c>
      <c r="B1557" t="inlineStr">
        <is>
          <t>PT10228</t>
        </is>
      </c>
      <c r="C1557" t="inlineStr">
        <is>
          <t>Observation</t>
        </is>
      </c>
      <c r="D1557" t="inlineStr">
        <is>
          <t>Bluestone Memorial Hospital</t>
        </is>
      </c>
      <c r="E1557" t="inlineStr">
        <is>
          <t>Observation Unit</t>
        </is>
      </c>
      <c r="F1557" t="inlineStr">
        <is>
          <t>Medicine</t>
        </is>
      </c>
      <c r="G1557" s="29" t="n">
        <v>45867</v>
      </c>
      <c r="H1557" s="29" t="n">
        <v>45868</v>
      </c>
      <c r="I1557" s="30" t="n">
        <v>1</v>
      </c>
      <c r="J1557" t="inlineStr">
        <is>
          <t>I21.4</t>
        </is>
      </c>
      <c r="K1557" t="inlineStr">
        <is>
          <t>Non-ST elevation (NSTEMI) myocardial infarction</t>
        </is>
      </c>
      <c r="L1557" t="inlineStr">
        <is>
          <t>Circulatory</t>
        </is>
      </c>
      <c r="M1557" t="inlineStr">
        <is>
          <t>Home/Self-Care</t>
        </is>
      </c>
      <c r="N1557" t="inlineStr">
        <is>
          <t>Evergreen Mutual Insurance</t>
        </is>
      </c>
      <c r="O1557" s="31" t="n">
        <v>7208.07</v>
      </c>
    </row>
    <row r="1558">
      <c r="A1558" t="inlineStr">
        <is>
          <t>ENC117200</t>
        </is>
      </c>
      <c r="B1558" t="inlineStr">
        <is>
          <t>PT10196</t>
        </is>
      </c>
      <c r="C1558" t="inlineStr">
        <is>
          <t>Outpatient</t>
        </is>
      </c>
      <c r="D1558" t="inlineStr">
        <is>
          <t>Bluestone Outpatient Pavilion</t>
        </is>
      </c>
      <c r="E1558" t="inlineStr">
        <is>
          <t>Infusion &amp; Oncology Clinic</t>
        </is>
      </c>
      <c r="F1558" t="inlineStr">
        <is>
          <t>Oncology</t>
        </is>
      </c>
      <c r="G1558" s="29" t="n">
        <v>45867</v>
      </c>
      <c r="H1558" s="29" t="n">
        <v>45867</v>
      </c>
      <c r="I1558" s="30" t="n"/>
      <c r="J1558" t="inlineStr">
        <is>
          <t>C50.911</t>
        </is>
      </c>
      <c r="K1558" t="inlineStr">
        <is>
          <t>Malignant neoplasm of unspecified site of right female breast</t>
        </is>
      </c>
      <c r="L1558" t="inlineStr">
        <is>
          <t>Neoplasms</t>
        </is>
      </c>
      <c r="M1558" t="inlineStr">
        <is>
          <t>Home/Self-Care</t>
        </is>
      </c>
      <c r="N1558" t="inlineStr">
        <is>
          <t>Silverline Medicare Advantage</t>
        </is>
      </c>
      <c r="O1558" s="31" t="n">
        <v>843.2</v>
      </c>
    </row>
    <row r="1559">
      <c r="A1559" t="inlineStr">
        <is>
          <t>ENC117204</t>
        </is>
      </c>
      <c r="B1559" t="inlineStr">
        <is>
          <t>PT13116</t>
        </is>
      </c>
      <c r="C1559" t="inlineStr">
        <is>
          <t>Emergency</t>
        </is>
      </c>
      <c r="D1559" t="inlineStr">
        <is>
          <t>Cedar Ridge Medical Center</t>
        </is>
      </c>
      <c r="E1559" t="inlineStr">
        <is>
          <t>Emergency Department</t>
        </is>
      </c>
      <c r="F1559" t="inlineStr">
        <is>
          <t>Emergency</t>
        </is>
      </c>
      <c r="G1559" s="29" t="n">
        <v>45867</v>
      </c>
      <c r="H1559" s="29" t="n">
        <v>45867</v>
      </c>
      <c r="I1559" s="30" t="n"/>
      <c r="J1559" t="inlineStr">
        <is>
          <t>F41.9</t>
        </is>
      </c>
      <c r="K1559" t="inlineStr">
        <is>
          <t>Anxiety disorder, unspecified</t>
        </is>
      </c>
      <c r="L1559" t="inlineStr">
        <is>
          <t>Mental &amp; Behavioral</t>
        </is>
      </c>
      <c r="M1559" t="inlineStr">
        <is>
          <t>Home/Self-Care</t>
        </is>
      </c>
      <c r="N1559" t="inlineStr">
        <is>
          <t>Medicare</t>
        </is>
      </c>
      <c r="O1559" s="31" t="n">
        <v>1567.1</v>
      </c>
    </row>
    <row r="1560">
      <c r="A1560" t="inlineStr">
        <is>
          <t>ENC117214</t>
        </is>
      </c>
      <c r="B1560" t="inlineStr">
        <is>
          <t>PT12156</t>
        </is>
      </c>
      <c r="C1560" t="inlineStr">
        <is>
          <t>Inpatient</t>
        </is>
      </c>
      <c r="D1560" t="inlineStr">
        <is>
          <t>Bluestone Memorial Hospital</t>
        </is>
      </c>
      <c r="E1560" t="inlineStr">
        <is>
          <t>Behavioral Health</t>
        </is>
      </c>
      <c r="F1560" t="inlineStr">
        <is>
          <t>Behavioral Health</t>
        </is>
      </c>
      <c r="G1560" s="29" t="n">
        <v>45867</v>
      </c>
      <c r="H1560" s="29" t="n">
        <v>45874</v>
      </c>
      <c r="I1560" s="30" t="n">
        <v>7</v>
      </c>
      <c r="J1560" t="inlineStr">
        <is>
          <t>F32.9</t>
        </is>
      </c>
      <c r="K1560" t="inlineStr">
        <is>
          <t>Major depressive disorder, single episode, unspecified</t>
        </is>
      </c>
      <c r="L1560" t="inlineStr">
        <is>
          <t>Mental &amp; Behavioral</t>
        </is>
      </c>
      <c r="M1560" t="inlineStr">
        <is>
          <t>Home/Self-Care</t>
        </is>
      </c>
      <c r="N1560" t="inlineStr">
        <is>
          <t>State Medicaid</t>
        </is>
      </c>
      <c r="O1560" s="31" t="n">
        <v>28257.6</v>
      </c>
      <c r="P1560" t="inlineStr">
        <is>
          <t>N</t>
        </is>
      </c>
    </row>
    <row r="1561">
      <c r="A1561" t="inlineStr">
        <is>
          <t>ENC117218</t>
        </is>
      </c>
      <c r="B1561" t="inlineStr">
        <is>
          <t>PT11156</t>
        </is>
      </c>
      <c r="C1561" t="inlineStr">
        <is>
          <t>Inpatient</t>
        </is>
      </c>
      <c r="D1561" t="inlineStr">
        <is>
          <t>Bluestone Memorial Hospital</t>
        </is>
      </c>
      <c r="E1561" t="inlineStr">
        <is>
          <t>Medical-Surgical 5 East</t>
        </is>
      </c>
      <c r="F1561" t="inlineStr">
        <is>
          <t>Medicine</t>
        </is>
      </c>
      <c r="G1561" s="29" t="n">
        <v>45867</v>
      </c>
      <c r="H1561" s="29" t="n">
        <v>45870</v>
      </c>
      <c r="I1561" s="30" t="n">
        <v>3</v>
      </c>
      <c r="J1561" t="inlineStr">
        <is>
          <t>U07.1</t>
        </is>
      </c>
      <c r="K1561" t="inlineStr">
        <is>
          <t>COVID-19</t>
        </is>
      </c>
      <c r="L1561" t="inlineStr">
        <is>
          <t>Respiratory</t>
        </is>
      </c>
      <c r="M1561" t="inlineStr">
        <is>
          <t>Skilled Nursing Facility</t>
        </is>
      </c>
      <c r="N1561" t="inlineStr">
        <is>
          <t>Evergreen Mutual Insurance</t>
        </is>
      </c>
      <c r="O1561" s="31" t="n">
        <v>20812.3</v>
      </c>
      <c r="P1561" t="inlineStr">
        <is>
          <t>N</t>
        </is>
      </c>
    </row>
    <row r="1562">
      <c r="A1562" t="inlineStr">
        <is>
          <t>ENC117221</t>
        </is>
      </c>
      <c r="B1562" t="inlineStr">
        <is>
          <t>PT11004</t>
        </is>
      </c>
      <c r="C1562" t="inlineStr">
        <is>
          <t>Inpatient</t>
        </is>
      </c>
      <c r="D1562" t="inlineStr">
        <is>
          <t>Ashby Falls Community Hospital</t>
        </is>
      </c>
      <c r="E1562" t="inlineStr">
        <is>
          <t>Medical-Surgical</t>
        </is>
      </c>
      <c r="F1562" t="inlineStr">
        <is>
          <t>Medicine</t>
        </is>
      </c>
      <c r="G1562" s="29" t="n">
        <v>45867</v>
      </c>
      <c r="H1562" s="29" t="n">
        <v>45873</v>
      </c>
      <c r="I1562" s="30" t="n">
        <v>6</v>
      </c>
      <c r="J1562" t="inlineStr">
        <is>
          <t>A41.9</t>
        </is>
      </c>
      <c r="K1562" t="inlineStr">
        <is>
          <t>Sepsis, unspecified organism</t>
        </is>
      </c>
      <c r="L1562" t="inlineStr">
        <is>
          <t>Infectious</t>
        </is>
      </c>
      <c r="M1562" t="inlineStr">
        <is>
          <t>Home/Self-Care</t>
        </is>
      </c>
      <c r="N1562" t="inlineStr">
        <is>
          <t>Silverline Medicare Advantage</t>
        </is>
      </c>
      <c r="O1562" s="31" t="n">
        <v>53102.66</v>
      </c>
      <c r="P1562" t="inlineStr">
        <is>
          <t>N</t>
        </is>
      </c>
    </row>
    <row r="1563">
      <c r="A1563" t="inlineStr">
        <is>
          <t>ENC117225</t>
        </is>
      </c>
      <c r="B1563" t="inlineStr">
        <is>
          <t>PT10672</t>
        </is>
      </c>
      <c r="C1563" t="inlineStr">
        <is>
          <t>Emergency</t>
        </is>
      </c>
      <c r="D1563" t="inlineStr">
        <is>
          <t>Ashby Falls Community Hospital</t>
        </is>
      </c>
      <c r="E1563" t="inlineStr">
        <is>
          <t>Emergency Department</t>
        </is>
      </c>
      <c r="F1563" t="inlineStr">
        <is>
          <t>Emergency</t>
        </is>
      </c>
      <c r="G1563" s="29" t="n">
        <v>45867</v>
      </c>
      <c r="H1563" s="29" t="n">
        <v>45867</v>
      </c>
      <c r="I1563" s="30" t="n"/>
      <c r="J1563" t="inlineStr">
        <is>
          <t>S93.401A</t>
        </is>
      </c>
      <c r="K1563" t="inlineStr">
        <is>
          <t>Sprain of unspecified ligament of right ankle, initial encounter</t>
        </is>
      </c>
      <c r="L1563" t="inlineStr">
        <is>
          <t>Injury</t>
        </is>
      </c>
      <c r="M1563" t="inlineStr">
        <is>
          <t>Home/Self-Care</t>
        </is>
      </c>
      <c r="N1563" t="inlineStr">
        <is>
          <t>Workers' Compensation</t>
        </is>
      </c>
      <c r="O1563" s="31" t="n">
        <v>1880.61</v>
      </c>
    </row>
    <row r="1564">
      <c r="A1564" t="inlineStr">
        <is>
          <t>ENC117230</t>
        </is>
      </c>
      <c r="B1564" t="inlineStr">
        <is>
          <t>PT13352</t>
        </is>
      </c>
      <c r="C1564" t="inlineStr">
        <is>
          <t>Inpatient</t>
        </is>
      </c>
      <c r="D1564" t="inlineStr">
        <is>
          <t>Bluestone Memorial Hospital</t>
        </is>
      </c>
      <c r="E1564" t="inlineStr">
        <is>
          <t>Cardiac Step-Down</t>
        </is>
      </c>
      <c r="F1564" t="inlineStr">
        <is>
          <t>Cardiovascular</t>
        </is>
      </c>
      <c r="G1564" s="29" t="n">
        <v>45867</v>
      </c>
      <c r="H1564" s="29" t="n">
        <v>45870</v>
      </c>
      <c r="I1564" s="30" t="n">
        <v>3</v>
      </c>
      <c r="J1564" t="inlineStr">
        <is>
          <t>I48.91</t>
        </is>
      </c>
      <c r="K1564" t="inlineStr">
        <is>
          <t>Unspecified atrial fibrillation</t>
        </is>
      </c>
      <c r="L1564" t="inlineStr">
        <is>
          <t>Circulatory</t>
        </is>
      </c>
      <c r="M1564" t="inlineStr">
        <is>
          <t>Home/Self-Care</t>
        </is>
      </c>
      <c r="N1564" t="inlineStr">
        <is>
          <t>Medicare</t>
        </is>
      </c>
      <c r="O1564" s="31" t="n">
        <v>21193.05</v>
      </c>
      <c r="P1564" t="inlineStr">
        <is>
          <t>N</t>
        </is>
      </c>
    </row>
    <row r="1565">
      <c r="A1565" t="inlineStr">
        <is>
          <t>ENC117232</t>
        </is>
      </c>
      <c r="B1565" t="inlineStr">
        <is>
          <t>PT12132</t>
        </is>
      </c>
      <c r="C1565" t="inlineStr">
        <is>
          <t>Emergency</t>
        </is>
      </c>
      <c r="D1565" t="inlineStr">
        <is>
          <t>Ashby Falls Community Hospital</t>
        </is>
      </c>
      <c r="E1565" t="inlineStr">
        <is>
          <t>Emergency Department</t>
        </is>
      </c>
      <c r="F1565" t="inlineStr">
        <is>
          <t>Emergency</t>
        </is>
      </c>
      <c r="G1565" s="29" t="n">
        <v>45867</v>
      </c>
      <c r="H1565" s="29" t="n">
        <v>45867</v>
      </c>
      <c r="I1565" s="30" t="n"/>
      <c r="J1565" t="inlineStr">
        <is>
          <t>S93.401A</t>
        </is>
      </c>
      <c r="K1565" t="inlineStr">
        <is>
          <t>Sprain of unspecified ligament of right ankle, initial encounter</t>
        </is>
      </c>
      <c r="L1565" t="inlineStr">
        <is>
          <t>Injury</t>
        </is>
      </c>
      <c r="M1565" t="inlineStr">
        <is>
          <t>Home/Self-Care</t>
        </is>
      </c>
      <c r="N1565" t="inlineStr">
        <is>
          <t>Evergreen Mutual Insurance</t>
        </is>
      </c>
      <c r="O1565" s="31" t="n">
        <v>2116.13</v>
      </c>
    </row>
    <row r="1566">
      <c r="A1566" t="inlineStr">
        <is>
          <t>ENC117235</t>
        </is>
      </c>
      <c r="B1566" t="inlineStr">
        <is>
          <t>PT12220</t>
        </is>
      </c>
      <c r="C1566" t="inlineStr">
        <is>
          <t>Emergency</t>
        </is>
      </c>
      <c r="D1566" t="inlineStr">
        <is>
          <t>Bluestone Memorial Hospital</t>
        </is>
      </c>
      <c r="E1566" t="inlineStr">
        <is>
          <t>Emergency Department</t>
        </is>
      </c>
      <c r="F1566" t="inlineStr">
        <is>
          <t>Emergency</t>
        </is>
      </c>
      <c r="G1566" s="29" t="n">
        <v>45868</v>
      </c>
      <c r="H1566" s="29" t="n">
        <v>45868</v>
      </c>
      <c r="I1566" s="30" t="n"/>
      <c r="J1566" t="inlineStr">
        <is>
          <t>R55</t>
        </is>
      </c>
      <c r="K1566" t="inlineStr">
        <is>
          <t>Syncope and collapse</t>
        </is>
      </c>
      <c r="L1566" t="inlineStr">
        <is>
          <t>Symptoms &amp; Signs</t>
        </is>
      </c>
      <c r="M1566" t="inlineStr">
        <is>
          <t>Home/Self-Care</t>
        </is>
      </c>
      <c r="N1566" t="inlineStr">
        <is>
          <t>Keystone Health Partners</t>
        </is>
      </c>
      <c r="O1566" s="31" t="n">
        <v>5582.86</v>
      </c>
    </row>
    <row r="1567">
      <c r="A1567" t="inlineStr">
        <is>
          <t>ENC117239</t>
        </is>
      </c>
      <c r="B1567" t="inlineStr">
        <is>
          <t>PT10340</t>
        </is>
      </c>
      <c r="C1567" t="inlineStr">
        <is>
          <t>Outpatient</t>
        </is>
      </c>
      <c r="D1567" t="inlineStr">
        <is>
          <t>Bluestone Outpatient Pavilion</t>
        </is>
      </c>
      <c r="E1567" t="inlineStr">
        <is>
          <t>Pediatric Clinic</t>
        </is>
      </c>
      <c r="F1567" t="inlineStr">
        <is>
          <t>Women &amp; Children</t>
        </is>
      </c>
      <c r="G1567" s="29" t="n">
        <v>45868</v>
      </c>
      <c r="H1567" s="29" t="n">
        <v>45868</v>
      </c>
      <c r="I1567" s="30" t="n"/>
      <c r="J1567" t="inlineStr">
        <is>
          <t>Z00.129</t>
        </is>
      </c>
      <c r="K1567" t="inlineStr">
        <is>
          <t>Encounter for routine child health examination without abnormal findings</t>
        </is>
      </c>
      <c r="L1567" t="inlineStr">
        <is>
          <t>Factors Influencing Health</t>
        </is>
      </c>
      <c r="M1567" t="inlineStr">
        <is>
          <t>Home/Self-Care</t>
        </is>
      </c>
      <c r="N1567" t="inlineStr">
        <is>
          <t>Evergreen Mutual Insurance</t>
        </is>
      </c>
      <c r="O1567" s="31" t="n">
        <v>464.87</v>
      </c>
    </row>
    <row r="1568">
      <c r="A1568" t="inlineStr">
        <is>
          <t>ENC117244</t>
        </is>
      </c>
      <c r="B1568" t="inlineStr">
        <is>
          <t>PT13832</t>
        </is>
      </c>
      <c r="C1568" t="inlineStr">
        <is>
          <t>Outpatient</t>
        </is>
      </c>
      <c r="D1568" t="inlineStr">
        <is>
          <t>Bluestone Outpatient Pavilion</t>
        </is>
      </c>
      <c r="E1568" t="inlineStr">
        <is>
          <t>Primary Care Clinic</t>
        </is>
      </c>
      <c r="F1568" t="inlineStr">
        <is>
          <t>Ambulatory</t>
        </is>
      </c>
      <c r="G1568" s="29" t="n">
        <v>45868</v>
      </c>
      <c r="H1568" s="29" t="n">
        <v>45868</v>
      </c>
      <c r="I1568" s="30" t="n"/>
      <c r="J1568" t="inlineStr">
        <is>
          <t>M54.50</t>
        </is>
      </c>
      <c r="K1568" t="inlineStr">
        <is>
          <t>Low back pain, unspecified</t>
        </is>
      </c>
      <c r="L1568" t="inlineStr">
        <is>
          <t>Musculoskeletal</t>
        </is>
      </c>
      <c r="M1568" t="inlineStr">
        <is>
          <t>Home/Self-Care</t>
        </is>
      </c>
      <c r="N1568" t="inlineStr">
        <is>
          <t>Medicare</t>
        </is>
      </c>
      <c r="O1568" s="31" t="n">
        <v>236.33</v>
      </c>
    </row>
    <row r="1569">
      <c r="A1569" t="inlineStr">
        <is>
          <t>ENC117249</t>
        </is>
      </c>
      <c r="B1569" t="inlineStr">
        <is>
          <t>PT10948</t>
        </is>
      </c>
      <c r="C1569" t="inlineStr">
        <is>
          <t>Outpatient</t>
        </is>
      </c>
      <c r="D1569" t="inlineStr">
        <is>
          <t>Bluestone Outpatient Pavilion</t>
        </is>
      </c>
      <c r="E1569" t="inlineStr">
        <is>
          <t>Primary Care Clinic</t>
        </is>
      </c>
      <c r="F1569" t="inlineStr">
        <is>
          <t>Ambulatory</t>
        </is>
      </c>
      <c r="G1569" s="29" t="n">
        <v>45868</v>
      </c>
      <c r="H1569" s="29" t="n">
        <v>45868</v>
      </c>
      <c r="I1569" s="30" t="n"/>
      <c r="J1569" t="inlineStr">
        <is>
          <t>I10</t>
        </is>
      </c>
      <c r="K1569" t="inlineStr">
        <is>
          <t>Essential (primary) hypertension</t>
        </is>
      </c>
      <c r="L1569" t="inlineStr">
        <is>
          <t>Circulatory</t>
        </is>
      </c>
      <c r="M1569" t="inlineStr">
        <is>
          <t>Home/Self-Care</t>
        </is>
      </c>
      <c r="N1569" t="inlineStr">
        <is>
          <t>State Medicaid</t>
        </is>
      </c>
      <c r="O1569" s="31" t="n">
        <v>296.54</v>
      </c>
    </row>
    <row r="1570">
      <c r="A1570" t="inlineStr">
        <is>
          <t>ENC117260</t>
        </is>
      </c>
      <c r="B1570" t="inlineStr">
        <is>
          <t>PT12712</t>
        </is>
      </c>
      <c r="C1570" t="inlineStr">
        <is>
          <t>Emergency</t>
        </is>
      </c>
      <c r="D1570" t="inlineStr">
        <is>
          <t>Bluestone Memorial Hospital</t>
        </is>
      </c>
      <c r="E1570" t="inlineStr">
        <is>
          <t>Emergency Department</t>
        </is>
      </c>
      <c r="F1570" t="inlineStr">
        <is>
          <t>Emergency</t>
        </is>
      </c>
      <c r="G1570" s="29" t="n">
        <v>45868</v>
      </c>
      <c r="H1570" s="29" t="n">
        <v>45869</v>
      </c>
      <c r="I1570" s="30" t="n"/>
      <c r="J1570" t="inlineStr">
        <is>
          <t>F32.9</t>
        </is>
      </c>
      <c r="K1570" t="inlineStr">
        <is>
          <t>Major depressive disorder, single episode, unspecified</t>
        </is>
      </c>
      <c r="L1570" t="inlineStr">
        <is>
          <t>Mental &amp; Behavioral</t>
        </is>
      </c>
      <c r="M1570" t="inlineStr">
        <is>
          <t>Home/Self-Care</t>
        </is>
      </c>
      <c r="N1570" t="inlineStr">
        <is>
          <t>Silverline Medicare Advantage</t>
        </is>
      </c>
      <c r="O1570" s="31" t="n">
        <v>5316.12</v>
      </c>
    </row>
    <row r="1571">
      <c r="A1571" t="inlineStr">
        <is>
          <t>ENC117261</t>
        </is>
      </c>
      <c r="B1571" t="inlineStr">
        <is>
          <t>PT11944</t>
        </is>
      </c>
      <c r="C1571" t="inlineStr">
        <is>
          <t>Inpatient</t>
        </is>
      </c>
      <c r="D1571" t="inlineStr">
        <is>
          <t>Bluestone Memorial Hospital</t>
        </is>
      </c>
      <c r="E1571" t="inlineStr">
        <is>
          <t>Medical-Surgical 4 West</t>
        </is>
      </c>
      <c r="F1571" t="inlineStr">
        <is>
          <t>Medicine</t>
        </is>
      </c>
      <c r="G1571" s="29" t="n">
        <v>45869</v>
      </c>
      <c r="H1571" s="29" t="n">
        <v>45875</v>
      </c>
      <c r="I1571" s="30" t="n">
        <v>6</v>
      </c>
      <c r="J1571" t="inlineStr">
        <is>
          <t>A41.9</t>
        </is>
      </c>
      <c r="K1571" t="inlineStr">
        <is>
          <t>Sepsis, unspecified organism</t>
        </is>
      </c>
      <c r="L1571" t="inlineStr">
        <is>
          <t>Infectious</t>
        </is>
      </c>
      <c r="M1571" t="inlineStr">
        <is>
          <t>Home/Self-Care</t>
        </is>
      </c>
      <c r="N1571" t="inlineStr">
        <is>
          <t>Silverline Medicare Advantage</t>
        </is>
      </c>
      <c r="O1571" s="31" t="n">
        <v>83886.27</v>
      </c>
      <c r="P1571" t="inlineStr">
        <is>
          <t>N</t>
        </is>
      </c>
    </row>
    <row r="1572">
      <c r="A1572" t="inlineStr">
        <is>
          <t>ENC117265</t>
        </is>
      </c>
      <c r="B1572" t="inlineStr">
        <is>
          <t>PT12648</t>
        </is>
      </c>
      <c r="C1572" t="inlineStr">
        <is>
          <t>Inpatient</t>
        </is>
      </c>
      <c r="D1572" t="inlineStr">
        <is>
          <t>Bluestone Memorial Hospital</t>
        </is>
      </c>
      <c r="E1572" t="inlineStr">
        <is>
          <t>Medical-Surgical 4 West</t>
        </is>
      </c>
      <c r="F1572" t="inlineStr">
        <is>
          <t>Medicine</t>
        </is>
      </c>
      <c r="G1572" s="29" t="n">
        <v>45869</v>
      </c>
      <c r="H1572" s="29" t="n">
        <v>45871</v>
      </c>
      <c r="I1572" s="30" t="n">
        <v>2</v>
      </c>
      <c r="J1572" t="inlineStr">
        <is>
          <t>E11.65</t>
        </is>
      </c>
      <c r="K1572" t="inlineStr">
        <is>
          <t>Type 2 diabetes mellitus with hyperglycemia</t>
        </is>
      </c>
      <c r="L1572" t="inlineStr">
        <is>
          <t>Endocrine</t>
        </is>
      </c>
      <c r="M1572" t="inlineStr">
        <is>
          <t>Home/Self-Care</t>
        </is>
      </c>
      <c r="N1572" t="inlineStr">
        <is>
          <t>Self-Pay</t>
        </is>
      </c>
      <c r="O1572" s="31" t="n">
        <v>13416.92</v>
      </c>
      <c r="P1572" t="inlineStr">
        <is>
          <t>N</t>
        </is>
      </c>
    </row>
    <row r="1573">
      <c r="A1573" t="inlineStr">
        <is>
          <t>ENC117266</t>
        </is>
      </c>
      <c r="B1573" t="inlineStr">
        <is>
          <t>PT12312</t>
        </is>
      </c>
      <c r="C1573" t="inlineStr">
        <is>
          <t>Outpatient</t>
        </is>
      </c>
      <c r="D1573" t="inlineStr">
        <is>
          <t>Bluestone Outpatient Pavilion</t>
        </is>
      </c>
      <c r="E1573" t="inlineStr">
        <is>
          <t>Primary Care Clinic</t>
        </is>
      </c>
      <c r="F1573" t="inlineStr">
        <is>
          <t>Ambulatory</t>
        </is>
      </c>
      <c r="G1573" s="29" t="n">
        <v>45869</v>
      </c>
      <c r="H1573" s="29" t="n">
        <v>45869</v>
      </c>
      <c r="I1573" s="30" t="n"/>
      <c r="J1573" t="inlineStr">
        <is>
          <t>J06.9</t>
        </is>
      </c>
      <c r="K1573" t="inlineStr">
        <is>
          <t>Acute upper respiratory infection, unspecified</t>
        </is>
      </c>
      <c r="L1573" t="inlineStr">
        <is>
          <t>Respiratory</t>
        </is>
      </c>
      <c r="M1573" t="inlineStr">
        <is>
          <t>Home/Self-Care</t>
        </is>
      </c>
      <c r="N1573" t="inlineStr">
        <is>
          <t>Medicare</t>
        </is>
      </c>
      <c r="O1573" s="31" t="n">
        <v>553.21</v>
      </c>
    </row>
    <row r="1574">
      <c r="A1574" t="inlineStr">
        <is>
          <t>ENC117267</t>
        </is>
      </c>
      <c r="B1574" t="inlineStr">
        <is>
          <t>PT12028</t>
        </is>
      </c>
      <c r="C1574" t="inlineStr">
        <is>
          <t>Outpatient</t>
        </is>
      </c>
      <c r="D1574" t="inlineStr">
        <is>
          <t>Bluestone Outpatient Pavilion</t>
        </is>
      </c>
      <c r="E1574" t="inlineStr">
        <is>
          <t>Primary Care Clinic</t>
        </is>
      </c>
      <c r="F1574" t="inlineStr">
        <is>
          <t>Ambulatory</t>
        </is>
      </c>
      <c r="G1574" s="29" t="n">
        <v>45869</v>
      </c>
      <c r="H1574" s="29" t="n">
        <v>45869</v>
      </c>
      <c r="I1574" s="30" t="n"/>
      <c r="J1574" t="inlineStr">
        <is>
          <t>Z23</t>
        </is>
      </c>
      <c r="K1574" t="inlineStr">
        <is>
          <t>Encounter for immunization</t>
        </is>
      </c>
      <c r="L1574" t="inlineStr">
        <is>
          <t>Factors Influencing Health</t>
        </is>
      </c>
      <c r="M1574" t="inlineStr">
        <is>
          <t>Home/Self-Care</t>
        </is>
      </c>
      <c r="N1574" t="inlineStr">
        <is>
          <t>Self-Pay</t>
        </is>
      </c>
      <c r="O1574" s="31" t="n">
        <v>112.01</v>
      </c>
    </row>
    <row r="1575">
      <c r="A1575" t="inlineStr">
        <is>
          <t>ENC117277</t>
        </is>
      </c>
      <c r="B1575" t="inlineStr">
        <is>
          <t>PT10768</t>
        </is>
      </c>
      <c r="C1575" t="inlineStr">
        <is>
          <t>Outpatient</t>
        </is>
      </c>
      <c r="D1575" t="inlineStr">
        <is>
          <t>Bluestone Outpatient Pavilion</t>
        </is>
      </c>
      <c r="E1575" t="inlineStr">
        <is>
          <t>Orthopedic Clinic</t>
        </is>
      </c>
      <c r="F1575" t="inlineStr">
        <is>
          <t>Orthopedics</t>
        </is>
      </c>
      <c r="G1575" s="29" t="n">
        <v>45869</v>
      </c>
      <c r="H1575" s="29" t="n">
        <v>45869</v>
      </c>
      <c r="I1575" s="30" t="n"/>
      <c r="J1575" t="inlineStr">
        <is>
          <t>S93.401A</t>
        </is>
      </c>
      <c r="K1575" t="inlineStr">
        <is>
          <t>Sprain of unspecified ligament of right ankle, initial encounter</t>
        </is>
      </c>
      <c r="L1575" t="inlineStr">
        <is>
          <t>Injury</t>
        </is>
      </c>
      <c r="M1575" t="inlineStr">
        <is>
          <t>Home/Self-Care</t>
        </is>
      </c>
      <c r="N1575" t="inlineStr">
        <is>
          <t>Evergreen Mutual Insurance</t>
        </is>
      </c>
      <c r="O1575" s="31" t="n">
        <v>207.89</v>
      </c>
    </row>
    <row r="1576">
      <c r="A1576" t="inlineStr">
        <is>
          <t>ENC117280</t>
        </is>
      </c>
      <c r="B1576" t="inlineStr">
        <is>
          <t>PT12360</t>
        </is>
      </c>
      <c r="C1576" t="inlineStr">
        <is>
          <t>Outpatient</t>
        </is>
      </c>
      <c r="D1576" t="inlineStr">
        <is>
          <t>Bluestone Outpatient Pavilion</t>
        </is>
      </c>
      <c r="E1576" t="inlineStr">
        <is>
          <t>Orthopedic Clinic</t>
        </is>
      </c>
      <c r="F1576" t="inlineStr">
        <is>
          <t>Orthopedics</t>
        </is>
      </c>
      <c r="G1576" s="29" t="n">
        <v>45869</v>
      </c>
      <c r="H1576" s="29" t="n">
        <v>45869</v>
      </c>
      <c r="I1576" s="30" t="n"/>
      <c r="J1576" t="inlineStr">
        <is>
          <t>M17.11</t>
        </is>
      </c>
      <c r="K1576" t="inlineStr">
        <is>
          <t>Unilateral primary osteoarthritis, right knee</t>
        </is>
      </c>
      <c r="L1576" t="inlineStr">
        <is>
          <t>Musculoskeletal</t>
        </is>
      </c>
      <c r="M1576" t="inlineStr">
        <is>
          <t>Home/Self-Care</t>
        </is>
      </c>
      <c r="N1576" t="inlineStr">
        <is>
          <t>Evergreen Mutual Insurance</t>
        </is>
      </c>
      <c r="O1576" s="31" t="n">
        <v>147.04</v>
      </c>
    </row>
    <row r="1577">
      <c r="A1577" t="inlineStr">
        <is>
          <t>ENC117288</t>
        </is>
      </c>
      <c r="B1577" t="inlineStr">
        <is>
          <t>PT12244</t>
        </is>
      </c>
      <c r="C1577" t="inlineStr">
        <is>
          <t>Emergency</t>
        </is>
      </c>
      <c r="D1577" t="inlineStr">
        <is>
          <t>Bluestone Memorial Hospital</t>
        </is>
      </c>
      <c r="E1577" t="inlineStr">
        <is>
          <t>Emergency Department</t>
        </is>
      </c>
      <c r="F1577" t="inlineStr">
        <is>
          <t>Emergency</t>
        </is>
      </c>
      <c r="G1577" s="29" t="n">
        <v>45869</v>
      </c>
      <c r="H1577" s="29" t="n">
        <v>45869</v>
      </c>
      <c r="I1577" s="30" t="n"/>
      <c r="J1577" t="inlineStr">
        <is>
          <t>N39.0</t>
        </is>
      </c>
      <c r="K1577" t="inlineStr">
        <is>
          <t>Urinary tract infection, site not specified</t>
        </is>
      </c>
      <c r="L1577" t="inlineStr">
        <is>
          <t>Genitourinary</t>
        </is>
      </c>
      <c r="M1577" t="inlineStr">
        <is>
          <t>Home/Self-Care</t>
        </is>
      </c>
      <c r="N1577" t="inlineStr">
        <is>
          <t>Silverline Medicare Advantage</t>
        </is>
      </c>
      <c r="O1577" s="31" t="n">
        <v>3370.34</v>
      </c>
    </row>
    <row r="1578">
      <c r="A1578" t="inlineStr">
        <is>
          <t>ENC117289</t>
        </is>
      </c>
      <c r="B1578" t="inlineStr">
        <is>
          <t>PT13524</t>
        </is>
      </c>
      <c r="C1578" t="inlineStr">
        <is>
          <t>Emergency</t>
        </is>
      </c>
      <c r="D1578" t="inlineStr">
        <is>
          <t>Ashby Falls Community Hospital</t>
        </is>
      </c>
      <c r="E1578" t="inlineStr">
        <is>
          <t>Emergency Department</t>
        </is>
      </c>
      <c r="F1578" t="inlineStr">
        <is>
          <t>Emergency</t>
        </is>
      </c>
      <c r="G1578" s="29" t="n">
        <v>45869</v>
      </c>
      <c r="H1578" s="29" t="n">
        <v>45869</v>
      </c>
      <c r="I1578" s="30" t="n"/>
      <c r="J1578" t="inlineStr">
        <is>
          <t>L03.115</t>
        </is>
      </c>
      <c r="K1578" t="inlineStr">
        <is>
          <t>Cellulitis of right lower limb</t>
        </is>
      </c>
      <c r="L1578" t="inlineStr">
        <is>
          <t>Skin</t>
        </is>
      </c>
      <c r="M1578" t="inlineStr">
        <is>
          <t>Home/Self-Care</t>
        </is>
      </c>
      <c r="N1578" t="inlineStr">
        <is>
          <t>Evergreen Mutual Insurance</t>
        </is>
      </c>
      <c r="O1578" s="31" t="n">
        <v>1638.88</v>
      </c>
    </row>
    <row r="1579">
      <c r="A1579" t="inlineStr">
        <is>
          <t>ENC117291</t>
        </is>
      </c>
      <c r="B1579" t="inlineStr">
        <is>
          <t>PT13000</t>
        </is>
      </c>
      <c r="C1579" t="inlineStr">
        <is>
          <t>Emergency</t>
        </is>
      </c>
      <c r="D1579" t="inlineStr">
        <is>
          <t>Bluestone Memorial Hospital</t>
        </is>
      </c>
      <c r="E1579" t="inlineStr">
        <is>
          <t>Emergency Department</t>
        </is>
      </c>
      <c r="F1579" t="inlineStr">
        <is>
          <t>Emergency</t>
        </is>
      </c>
      <c r="G1579" s="29" t="n">
        <v>45869</v>
      </c>
      <c r="H1579" s="29" t="n">
        <v>45869</v>
      </c>
      <c r="I1579" s="30" t="n"/>
      <c r="J1579" t="inlineStr">
        <is>
          <t>N39.0</t>
        </is>
      </c>
      <c r="K1579" t="inlineStr">
        <is>
          <t>Urinary tract infection, site not specified</t>
        </is>
      </c>
      <c r="L1579" t="inlineStr">
        <is>
          <t>Genitourinary</t>
        </is>
      </c>
      <c r="M1579" t="inlineStr">
        <is>
          <t>Home/Self-Care</t>
        </is>
      </c>
      <c r="N1579" t="inlineStr">
        <is>
          <t>Medicare</t>
        </is>
      </c>
      <c r="O1579" s="31" t="n">
        <v>1215.73</v>
      </c>
    </row>
    <row r="1580">
      <c r="A1580" t="inlineStr">
        <is>
          <t>ENC117292</t>
        </is>
      </c>
      <c r="B1580" t="inlineStr">
        <is>
          <t>PT12904</t>
        </is>
      </c>
      <c r="C1580" t="inlineStr">
        <is>
          <t>Inpatient</t>
        </is>
      </c>
      <c r="D1580" t="inlineStr">
        <is>
          <t>Bluestone Memorial Hospital</t>
        </is>
      </c>
      <c r="E1580" t="inlineStr">
        <is>
          <t>Behavioral Health</t>
        </is>
      </c>
      <c r="F1580" t="inlineStr">
        <is>
          <t>Behavioral Health</t>
        </is>
      </c>
      <c r="G1580" s="29" t="n">
        <v>45869</v>
      </c>
      <c r="H1580" s="29" t="n">
        <v>45887</v>
      </c>
      <c r="I1580" s="30" t="n">
        <v>18</v>
      </c>
      <c r="J1580" t="inlineStr">
        <is>
          <t>F20.9</t>
        </is>
      </c>
      <c r="K1580" t="inlineStr">
        <is>
          <t>Schizophrenia, unspecified</t>
        </is>
      </c>
      <c r="L1580" t="inlineStr">
        <is>
          <t>Mental &amp; Behavioral</t>
        </is>
      </c>
      <c r="M1580" t="inlineStr">
        <is>
          <t>Home/Self-Care</t>
        </is>
      </c>
      <c r="N1580" t="inlineStr">
        <is>
          <t>Summit Choice PPO</t>
        </is>
      </c>
      <c r="O1580" s="31" t="n">
        <v>61545.97</v>
      </c>
      <c r="P1580" t="inlineStr">
        <is>
          <t>N</t>
        </is>
      </c>
    </row>
    <row r="1581">
      <c r="A1581" t="inlineStr">
        <is>
          <t>ENC117293</t>
        </is>
      </c>
      <c r="B1581" t="inlineStr">
        <is>
          <t>PT11116</t>
        </is>
      </c>
      <c r="C1581" t="inlineStr">
        <is>
          <t>Inpatient</t>
        </is>
      </c>
      <c r="D1581" t="inlineStr">
        <is>
          <t>Ashby Falls Community Hospital</t>
        </is>
      </c>
      <c r="E1581" t="inlineStr">
        <is>
          <t>Medical-Surgical</t>
        </is>
      </c>
      <c r="F1581" t="inlineStr">
        <is>
          <t>Medicine</t>
        </is>
      </c>
      <c r="G1581" s="29" t="n">
        <v>45870</v>
      </c>
      <c r="H1581" s="29" t="n">
        <v>45873</v>
      </c>
      <c r="I1581" s="30" t="n">
        <v>3</v>
      </c>
      <c r="J1581" t="inlineStr">
        <is>
          <t>I48.91</t>
        </is>
      </c>
      <c r="K1581" t="inlineStr">
        <is>
          <t>Unspecified atrial fibrillation</t>
        </is>
      </c>
      <c r="L1581" t="inlineStr">
        <is>
          <t>Circulatory</t>
        </is>
      </c>
      <c r="M1581" t="inlineStr">
        <is>
          <t>Home/Self-Care</t>
        </is>
      </c>
      <c r="N1581" t="inlineStr">
        <is>
          <t>State Medicaid</t>
        </is>
      </c>
      <c r="O1581" s="31" t="n">
        <v>26212.35</v>
      </c>
      <c r="P1581" t="inlineStr">
        <is>
          <t>N</t>
        </is>
      </c>
    </row>
    <row r="1582">
      <c r="A1582" t="inlineStr">
        <is>
          <t>ENC117295</t>
        </is>
      </c>
      <c r="B1582" t="inlineStr">
        <is>
          <t>PT12752</t>
        </is>
      </c>
      <c r="C1582" t="inlineStr">
        <is>
          <t>Inpatient</t>
        </is>
      </c>
      <c r="D1582" t="inlineStr">
        <is>
          <t>Bluestone Memorial Hospital</t>
        </is>
      </c>
      <c r="E1582" t="inlineStr">
        <is>
          <t>Medical-Surgical 4 West</t>
        </is>
      </c>
      <c r="F1582" t="inlineStr">
        <is>
          <t>Medicine</t>
        </is>
      </c>
      <c r="G1582" s="29" t="n">
        <v>45870</v>
      </c>
      <c r="H1582" s="29" t="n">
        <v>45872</v>
      </c>
      <c r="I1582" s="30" t="n">
        <v>2</v>
      </c>
      <c r="J1582" t="inlineStr">
        <is>
          <t>J44.1</t>
        </is>
      </c>
      <c r="K1582" t="inlineStr">
        <is>
          <t>Chronic obstructive pulmonary disease with (acute) exacerbation</t>
        </is>
      </c>
      <c r="L1582" t="inlineStr">
        <is>
          <t>Respiratory</t>
        </is>
      </c>
      <c r="M1582" t="inlineStr">
        <is>
          <t>Home Health</t>
        </is>
      </c>
      <c r="N1582" t="inlineStr">
        <is>
          <t>Silverline Medicare Advantage</t>
        </is>
      </c>
      <c r="O1582" s="31" t="n">
        <v>12808.42</v>
      </c>
      <c r="P1582" t="inlineStr">
        <is>
          <t>N</t>
        </is>
      </c>
    </row>
    <row r="1583">
      <c r="A1583" t="inlineStr">
        <is>
          <t>ENC117318</t>
        </is>
      </c>
      <c r="B1583" t="inlineStr">
        <is>
          <t>PT11832</t>
        </is>
      </c>
      <c r="C1583" t="inlineStr">
        <is>
          <t>Emergency</t>
        </is>
      </c>
      <c r="D1583" t="inlineStr">
        <is>
          <t>Cedar Ridge Medical Center</t>
        </is>
      </c>
      <c r="E1583" t="inlineStr">
        <is>
          <t>Emergency Department</t>
        </is>
      </c>
      <c r="F1583" t="inlineStr">
        <is>
          <t>Emergency</t>
        </is>
      </c>
      <c r="G1583" s="29" t="n">
        <v>45870</v>
      </c>
      <c r="H1583" s="29" t="n">
        <v>45870</v>
      </c>
      <c r="I1583" s="30" t="n"/>
      <c r="J1583" t="inlineStr">
        <is>
          <t>I48.91</t>
        </is>
      </c>
      <c r="K1583" t="inlineStr">
        <is>
          <t>Unspecified atrial fibrillation</t>
        </is>
      </c>
      <c r="L1583" t="inlineStr">
        <is>
          <t>Circulatory</t>
        </is>
      </c>
      <c r="M1583" t="inlineStr">
        <is>
          <t>Home/Self-Care</t>
        </is>
      </c>
      <c r="N1583" t="inlineStr">
        <is>
          <t>State Medicaid</t>
        </is>
      </c>
      <c r="O1583" s="31" t="n">
        <v>1397.23</v>
      </c>
    </row>
    <row r="1584">
      <c r="A1584" t="inlineStr">
        <is>
          <t>ENC117321</t>
        </is>
      </c>
      <c r="B1584" t="inlineStr">
        <is>
          <t>PT11404</t>
        </is>
      </c>
      <c r="C1584" t="inlineStr">
        <is>
          <t>Emergency</t>
        </is>
      </c>
      <c r="D1584" t="inlineStr">
        <is>
          <t>Ashby Falls Community Hospital</t>
        </is>
      </c>
      <c r="E1584" t="inlineStr">
        <is>
          <t>Emergency Department</t>
        </is>
      </c>
      <c r="F1584" t="inlineStr">
        <is>
          <t>Emergency</t>
        </is>
      </c>
      <c r="G1584" s="29" t="n">
        <v>45870</v>
      </c>
      <c r="H1584" s="29" t="n">
        <v>45870</v>
      </c>
      <c r="I1584" s="30" t="n"/>
      <c r="J1584" t="inlineStr">
        <is>
          <t>A08.4</t>
        </is>
      </c>
      <c r="K1584" t="inlineStr">
        <is>
          <t>Viral intestinal infection, unspecified</t>
        </is>
      </c>
      <c r="L1584" t="inlineStr">
        <is>
          <t>Infectious</t>
        </is>
      </c>
      <c r="M1584" t="inlineStr">
        <is>
          <t>Home/Self-Care</t>
        </is>
      </c>
      <c r="N1584" t="inlineStr">
        <is>
          <t>Medicare</t>
        </is>
      </c>
      <c r="O1584" s="31" t="n">
        <v>1543.42</v>
      </c>
    </row>
    <row r="1585">
      <c r="A1585" t="inlineStr">
        <is>
          <t>ENC117322</t>
        </is>
      </c>
      <c r="B1585" t="inlineStr">
        <is>
          <t>PT10744</t>
        </is>
      </c>
      <c r="C1585" t="inlineStr">
        <is>
          <t>Emergency</t>
        </is>
      </c>
      <c r="D1585" t="inlineStr">
        <is>
          <t>Bluestone Memorial Hospital</t>
        </is>
      </c>
      <c r="E1585" t="inlineStr">
        <is>
          <t>Emergency Department</t>
        </is>
      </c>
      <c r="F1585" t="inlineStr">
        <is>
          <t>Emergency</t>
        </is>
      </c>
      <c r="G1585" s="29" t="n">
        <v>45870</v>
      </c>
      <c r="H1585" s="29" t="n">
        <v>45871</v>
      </c>
      <c r="I1585" s="30" t="n"/>
      <c r="J1585" t="inlineStr">
        <is>
          <t>S06.0X0A</t>
        </is>
      </c>
      <c r="K1585" t="inlineStr">
        <is>
          <t>Concussion without loss of consciousness, initial encounter</t>
        </is>
      </c>
      <c r="L1585" t="inlineStr">
        <is>
          <t>Injury</t>
        </is>
      </c>
      <c r="M1585" t="inlineStr">
        <is>
          <t>Home/Self-Care</t>
        </is>
      </c>
      <c r="N1585" t="inlineStr">
        <is>
          <t>State Medicaid</t>
        </is>
      </c>
      <c r="O1585" s="31" t="n">
        <v>3125.13</v>
      </c>
    </row>
    <row r="1586">
      <c r="A1586" t="inlineStr">
        <is>
          <t>ENC117329</t>
        </is>
      </c>
      <c r="B1586" t="inlineStr">
        <is>
          <t>PT11908</t>
        </is>
      </c>
      <c r="C1586" t="inlineStr">
        <is>
          <t>Emergency</t>
        </is>
      </c>
      <c r="D1586" t="inlineStr">
        <is>
          <t>Bluestone Memorial Hospital</t>
        </is>
      </c>
      <c r="E1586" t="inlineStr">
        <is>
          <t>Emergency Department</t>
        </is>
      </c>
      <c r="F1586" t="inlineStr">
        <is>
          <t>Emergency</t>
        </is>
      </c>
      <c r="G1586" s="29" t="n">
        <v>45871</v>
      </c>
      <c r="H1586" s="29" t="n">
        <v>45871</v>
      </c>
      <c r="I1586" s="30" t="n"/>
      <c r="J1586" t="inlineStr">
        <is>
          <t>J44.1</t>
        </is>
      </c>
      <c r="K1586" t="inlineStr">
        <is>
          <t>Chronic obstructive pulmonary disease with (acute) exacerbation</t>
        </is>
      </c>
      <c r="L1586" t="inlineStr">
        <is>
          <t>Respiratory</t>
        </is>
      </c>
      <c r="M1586" t="inlineStr">
        <is>
          <t>Home/Self-Care</t>
        </is>
      </c>
      <c r="N1586" t="inlineStr">
        <is>
          <t>Keystone Health Partners</t>
        </is>
      </c>
      <c r="O1586" s="31" t="n">
        <v>3566.97</v>
      </c>
    </row>
    <row r="1587">
      <c r="A1587" t="inlineStr">
        <is>
          <t>ENC117331</t>
        </is>
      </c>
      <c r="B1587" t="inlineStr">
        <is>
          <t>PT11688</t>
        </is>
      </c>
      <c r="C1587" t="inlineStr">
        <is>
          <t>Emergency</t>
        </is>
      </c>
      <c r="D1587" t="inlineStr">
        <is>
          <t>Cedar Ridge Medical Center</t>
        </is>
      </c>
      <c r="E1587" t="inlineStr">
        <is>
          <t>Emergency Department</t>
        </is>
      </c>
      <c r="F1587" t="inlineStr">
        <is>
          <t>Emergency</t>
        </is>
      </c>
      <c r="G1587" s="29" t="n">
        <v>45871</v>
      </c>
      <c r="H1587" s="29" t="n">
        <v>45871</v>
      </c>
      <c r="I1587" s="30" t="n"/>
      <c r="J1587" t="inlineStr">
        <is>
          <t>M54.50</t>
        </is>
      </c>
      <c r="K1587" t="inlineStr">
        <is>
          <t>Low back pain, unspecified</t>
        </is>
      </c>
      <c r="L1587" t="inlineStr">
        <is>
          <t>Musculoskeletal</t>
        </is>
      </c>
      <c r="M1587" t="inlineStr">
        <is>
          <t>Home/Self-Care</t>
        </is>
      </c>
      <c r="N1587" t="inlineStr">
        <is>
          <t>Silverline Medicare Advantage</t>
        </is>
      </c>
      <c r="O1587" s="31" t="n">
        <v>1285.33</v>
      </c>
    </row>
    <row r="1588">
      <c r="A1588" t="inlineStr">
        <is>
          <t>ENC117333</t>
        </is>
      </c>
      <c r="B1588" t="inlineStr">
        <is>
          <t>PT12484</t>
        </is>
      </c>
      <c r="C1588" t="inlineStr">
        <is>
          <t>Inpatient</t>
        </is>
      </c>
      <c r="D1588" t="inlineStr">
        <is>
          <t>Bluestone Memorial Hospital</t>
        </is>
      </c>
      <c r="E1588" t="inlineStr">
        <is>
          <t>Medical-Surgical 5 East</t>
        </is>
      </c>
      <c r="F1588" t="inlineStr">
        <is>
          <t>Medicine</t>
        </is>
      </c>
      <c r="G1588" s="29" t="n">
        <v>45872</v>
      </c>
      <c r="H1588" s="29" t="n">
        <v>45875</v>
      </c>
      <c r="I1588" s="30" t="n">
        <v>3</v>
      </c>
      <c r="J1588" t="inlineStr">
        <is>
          <t>U07.1</t>
        </is>
      </c>
      <c r="K1588" t="inlineStr">
        <is>
          <t>COVID-19</t>
        </is>
      </c>
      <c r="L1588" t="inlineStr">
        <is>
          <t>Respiratory</t>
        </is>
      </c>
      <c r="M1588" t="inlineStr">
        <is>
          <t>Home Health</t>
        </is>
      </c>
      <c r="N1588" t="inlineStr">
        <is>
          <t>Medicare</t>
        </is>
      </c>
      <c r="O1588" s="31" t="n">
        <v>18222.95</v>
      </c>
      <c r="P1588" t="inlineStr">
        <is>
          <t>N</t>
        </is>
      </c>
    </row>
    <row r="1589">
      <c r="A1589" t="inlineStr">
        <is>
          <t>ENC117341</t>
        </is>
      </c>
      <c r="B1589" t="inlineStr">
        <is>
          <t>PT12708</t>
        </is>
      </c>
      <c r="C1589" t="inlineStr">
        <is>
          <t>Emergency</t>
        </is>
      </c>
      <c r="D1589" t="inlineStr">
        <is>
          <t>Bluestone Memorial Hospital</t>
        </is>
      </c>
      <c r="E1589" t="inlineStr">
        <is>
          <t>Emergency Department</t>
        </is>
      </c>
      <c r="F1589" t="inlineStr">
        <is>
          <t>Emergency</t>
        </is>
      </c>
      <c r="G1589" s="29" t="n">
        <v>45872</v>
      </c>
      <c r="H1589" s="29" t="n">
        <v>45872</v>
      </c>
      <c r="I1589" s="30" t="n"/>
      <c r="J1589" t="inlineStr">
        <is>
          <t>L03.115</t>
        </is>
      </c>
      <c r="K1589" t="inlineStr">
        <is>
          <t>Cellulitis of right lower limb</t>
        </is>
      </c>
      <c r="L1589" t="inlineStr">
        <is>
          <t>Skin</t>
        </is>
      </c>
      <c r="M1589" t="inlineStr">
        <is>
          <t>Home/Self-Care</t>
        </is>
      </c>
      <c r="N1589" t="inlineStr">
        <is>
          <t>State Medicaid</t>
        </is>
      </c>
      <c r="O1589" s="31" t="n">
        <v>1157.23</v>
      </c>
    </row>
    <row r="1590">
      <c r="A1590" t="inlineStr">
        <is>
          <t>ENC117354</t>
        </is>
      </c>
      <c r="B1590" t="inlineStr">
        <is>
          <t>PT11712</t>
        </is>
      </c>
      <c r="C1590" t="inlineStr">
        <is>
          <t>Emergency</t>
        </is>
      </c>
      <c r="D1590" t="inlineStr">
        <is>
          <t>Bluestone Memorial Hospital</t>
        </is>
      </c>
      <c r="E1590" t="inlineStr">
        <is>
          <t>Emergency Department</t>
        </is>
      </c>
      <c r="F1590" t="inlineStr">
        <is>
          <t>Emergency</t>
        </is>
      </c>
      <c r="G1590" s="29" t="n">
        <v>45873</v>
      </c>
      <c r="H1590" s="29" t="n">
        <v>45873</v>
      </c>
      <c r="I1590" s="30" t="n"/>
      <c r="J1590" t="inlineStr">
        <is>
          <t>F41.9</t>
        </is>
      </c>
      <c r="K1590" t="inlineStr">
        <is>
          <t>Anxiety disorder, unspecified</t>
        </is>
      </c>
      <c r="L1590" t="inlineStr">
        <is>
          <t>Mental &amp; Behavioral</t>
        </is>
      </c>
      <c r="M1590" t="inlineStr">
        <is>
          <t>Home/Self-Care</t>
        </is>
      </c>
      <c r="N1590" t="inlineStr">
        <is>
          <t>Medicare</t>
        </is>
      </c>
      <c r="O1590" s="31" t="n">
        <v>1526.6</v>
      </c>
    </row>
    <row r="1591">
      <c r="A1591" t="inlineStr">
        <is>
          <t>ENC117362</t>
        </is>
      </c>
      <c r="B1591" t="inlineStr">
        <is>
          <t>PT13072</t>
        </is>
      </c>
      <c r="C1591" t="inlineStr">
        <is>
          <t>Emergency</t>
        </is>
      </c>
      <c r="D1591" t="inlineStr">
        <is>
          <t>Bluestone Memorial Hospital</t>
        </is>
      </c>
      <c r="E1591" t="inlineStr">
        <is>
          <t>Emergency Department</t>
        </is>
      </c>
      <c r="F1591" t="inlineStr">
        <is>
          <t>Emergency</t>
        </is>
      </c>
      <c r="G1591" s="29" t="n">
        <v>45873</v>
      </c>
      <c r="H1591" s="29" t="n">
        <v>45873</v>
      </c>
      <c r="I1591" s="30" t="n"/>
      <c r="J1591" t="inlineStr">
        <is>
          <t>S93.401A</t>
        </is>
      </c>
      <c r="K1591" t="inlineStr">
        <is>
          <t>Sprain of unspecified ligament of right ankle, initial encounter</t>
        </is>
      </c>
      <c r="L1591" t="inlineStr">
        <is>
          <t>Injury</t>
        </is>
      </c>
      <c r="M1591" t="inlineStr">
        <is>
          <t>Home/Self-Care</t>
        </is>
      </c>
      <c r="N1591" t="inlineStr">
        <is>
          <t>Silverline Medicare Advantage</t>
        </is>
      </c>
      <c r="O1591" s="31" t="n">
        <v>1932.87</v>
      </c>
    </row>
    <row r="1592">
      <c r="A1592" t="inlineStr">
        <is>
          <t>ENC117368</t>
        </is>
      </c>
      <c r="B1592" t="inlineStr">
        <is>
          <t>PT13104</t>
        </is>
      </c>
      <c r="C1592" t="inlineStr">
        <is>
          <t>Outpatient</t>
        </is>
      </c>
      <c r="D1592" t="inlineStr">
        <is>
          <t>Bluestone Outpatient Pavilion</t>
        </is>
      </c>
      <c r="E1592" t="inlineStr">
        <is>
          <t>Pediatric Clinic</t>
        </is>
      </c>
      <c r="F1592" t="inlineStr">
        <is>
          <t>Women &amp; Children</t>
        </is>
      </c>
      <c r="G1592" s="29" t="n">
        <v>45873</v>
      </c>
      <c r="H1592" s="29" t="n">
        <v>45873</v>
      </c>
      <c r="I1592" s="30" t="n"/>
      <c r="J1592" t="inlineStr">
        <is>
          <t>J45.909</t>
        </is>
      </c>
      <c r="K1592" t="inlineStr">
        <is>
          <t>Unspecified asthma, uncomplicated</t>
        </is>
      </c>
      <c r="L1592" t="inlineStr">
        <is>
          <t>Respiratory</t>
        </is>
      </c>
      <c r="M1592" t="inlineStr">
        <is>
          <t>Home/Self-Care</t>
        </is>
      </c>
      <c r="N1592" t="inlineStr">
        <is>
          <t>State Medicaid</t>
        </is>
      </c>
      <c r="O1592" s="31" t="n">
        <v>132.17</v>
      </c>
    </row>
    <row r="1593">
      <c r="A1593" t="inlineStr">
        <is>
          <t>ENC117372</t>
        </is>
      </c>
      <c r="B1593" t="inlineStr">
        <is>
          <t>PT12644</t>
        </is>
      </c>
      <c r="C1593" t="inlineStr">
        <is>
          <t>Outpatient</t>
        </is>
      </c>
      <c r="D1593" t="inlineStr">
        <is>
          <t>Bluestone Outpatient Pavilion</t>
        </is>
      </c>
      <c r="E1593" t="inlineStr">
        <is>
          <t>Primary Care Clinic</t>
        </is>
      </c>
      <c r="F1593" t="inlineStr">
        <is>
          <t>Ambulatory</t>
        </is>
      </c>
      <c r="G1593" s="29" t="n">
        <v>45873</v>
      </c>
      <c r="H1593" s="29" t="n">
        <v>45873</v>
      </c>
      <c r="I1593" s="30" t="n"/>
      <c r="J1593" t="inlineStr">
        <is>
          <t>I10</t>
        </is>
      </c>
      <c r="K1593" t="inlineStr">
        <is>
          <t>Essential (primary) hypertension</t>
        </is>
      </c>
      <c r="L1593" t="inlineStr">
        <is>
          <t>Circulatory</t>
        </is>
      </c>
      <c r="M1593" t="inlineStr">
        <is>
          <t>Home/Self-Care</t>
        </is>
      </c>
      <c r="N1593" t="inlineStr">
        <is>
          <t>Summit Choice PPO</t>
        </is>
      </c>
      <c r="O1593" s="31" t="n">
        <v>347.21</v>
      </c>
    </row>
    <row r="1594">
      <c r="A1594" t="inlineStr">
        <is>
          <t>ENC117380</t>
        </is>
      </c>
      <c r="B1594" t="inlineStr">
        <is>
          <t>PT12728</t>
        </is>
      </c>
      <c r="C1594" t="inlineStr">
        <is>
          <t>Emergency</t>
        </is>
      </c>
      <c r="D1594" t="inlineStr">
        <is>
          <t>Bluestone Memorial Hospital</t>
        </is>
      </c>
      <c r="E1594" t="inlineStr">
        <is>
          <t>Emergency Department</t>
        </is>
      </c>
      <c r="F1594" t="inlineStr">
        <is>
          <t>Emergency</t>
        </is>
      </c>
      <c r="G1594" s="29" t="n">
        <v>45873</v>
      </c>
      <c r="H1594" s="29" t="n">
        <v>45873</v>
      </c>
      <c r="I1594" s="30" t="n"/>
      <c r="J1594" t="inlineStr">
        <is>
          <t>S93.401A</t>
        </is>
      </c>
      <c r="K1594" t="inlineStr">
        <is>
          <t>Sprain of unspecified ligament of right ankle, initial encounter</t>
        </is>
      </c>
      <c r="L1594" t="inlineStr">
        <is>
          <t>Injury</t>
        </is>
      </c>
      <c r="M1594" t="inlineStr">
        <is>
          <t>Home/Self-Care</t>
        </is>
      </c>
      <c r="N1594" t="inlineStr">
        <is>
          <t>State Medicaid</t>
        </is>
      </c>
      <c r="O1594" s="31" t="n">
        <v>737.73</v>
      </c>
    </row>
    <row r="1595">
      <c r="A1595" t="inlineStr">
        <is>
          <t>ENC117381</t>
        </is>
      </c>
      <c r="B1595" t="inlineStr">
        <is>
          <t>PT11436</t>
        </is>
      </c>
      <c r="C1595" t="inlineStr">
        <is>
          <t>Observation</t>
        </is>
      </c>
      <c r="D1595" t="inlineStr">
        <is>
          <t>Bluestone Memorial Hospital</t>
        </is>
      </c>
      <c r="E1595" t="inlineStr">
        <is>
          <t>Observation Unit</t>
        </is>
      </c>
      <c r="F1595" t="inlineStr">
        <is>
          <t>Medicine</t>
        </is>
      </c>
      <c r="G1595" s="29" t="n">
        <v>45874</v>
      </c>
      <c r="H1595" s="29" t="n">
        <v>45874</v>
      </c>
      <c r="I1595" s="30" t="n">
        <v>0</v>
      </c>
      <c r="J1595" t="inlineStr">
        <is>
          <t>J18.9</t>
        </is>
      </c>
      <c r="K1595" t="inlineStr">
        <is>
          <t>Pneumonia, unspecified organism</t>
        </is>
      </c>
      <c r="L1595" t="inlineStr">
        <is>
          <t>Respiratory</t>
        </is>
      </c>
      <c r="M1595" t="inlineStr">
        <is>
          <t>Home/Self-Care</t>
        </is>
      </c>
      <c r="N1595" t="inlineStr">
        <is>
          <t>Silverline Medicare Advantage</t>
        </is>
      </c>
      <c r="O1595" s="31" t="n">
        <v>14134.69</v>
      </c>
    </row>
    <row r="1596">
      <c r="A1596" t="inlineStr">
        <is>
          <t>ENC117390</t>
        </is>
      </c>
      <c r="B1596" t="inlineStr">
        <is>
          <t>PT11840</t>
        </is>
      </c>
      <c r="C1596" t="inlineStr">
        <is>
          <t>Inpatient</t>
        </is>
      </c>
      <c r="D1596" t="inlineStr">
        <is>
          <t>Bluestone Memorial Hospital</t>
        </is>
      </c>
      <c r="E1596" t="inlineStr">
        <is>
          <t>Medical-Surgical 4 West</t>
        </is>
      </c>
      <c r="F1596" t="inlineStr">
        <is>
          <t>Medicine</t>
        </is>
      </c>
      <c r="G1596" s="29" t="n">
        <v>45874</v>
      </c>
      <c r="H1596" s="29" t="n">
        <v>45878</v>
      </c>
      <c r="I1596" s="30" t="n">
        <v>4</v>
      </c>
      <c r="J1596" t="inlineStr">
        <is>
          <t>K92.2</t>
        </is>
      </c>
      <c r="K1596" t="inlineStr">
        <is>
          <t>Gastrointestinal hemorrhage, unspecified</t>
        </is>
      </c>
      <c r="L1596" t="inlineStr">
        <is>
          <t>Digestive</t>
        </is>
      </c>
      <c r="M1596" t="inlineStr">
        <is>
          <t>Home/Self-Care</t>
        </is>
      </c>
      <c r="N1596" t="inlineStr">
        <is>
          <t>Silverline Medicare Advantage</t>
        </is>
      </c>
      <c r="O1596" s="31" t="n">
        <v>21444.02</v>
      </c>
      <c r="P1596" t="inlineStr">
        <is>
          <t>N</t>
        </is>
      </c>
    </row>
    <row r="1597">
      <c r="A1597" t="inlineStr">
        <is>
          <t>ENC117391</t>
        </is>
      </c>
      <c r="B1597" t="inlineStr">
        <is>
          <t>PT10132</t>
        </is>
      </c>
      <c r="C1597" t="inlineStr">
        <is>
          <t>Inpatient</t>
        </is>
      </c>
      <c r="D1597" t="inlineStr">
        <is>
          <t>Bluestone Memorial Hospital</t>
        </is>
      </c>
      <c r="E1597" t="inlineStr">
        <is>
          <t>Medical-Surgical 5 East</t>
        </is>
      </c>
      <c r="F1597" t="inlineStr">
        <is>
          <t>Medicine</t>
        </is>
      </c>
      <c r="G1597" s="29" t="n">
        <v>45874</v>
      </c>
      <c r="H1597" s="29" t="n">
        <v>45876</v>
      </c>
      <c r="I1597" s="30" t="n">
        <v>2</v>
      </c>
      <c r="J1597" t="inlineStr">
        <is>
          <t>L03.115</t>
        </is>
      </c>
      <c r="K1597" t="inlineStr">
        <is>
          <t>Cellulitis of right lower limb</t>
        </is>
      </c>
      <c r="L1597" t="inlineStr">
        <is>
          <t>Skin</t>
        </is>
      </c>
      <c r="M1597" t="inlineStr">
        <is>
          <t>Home/Self-Care</t>
        </is>
      </c>
      <c r="N1597" t="inlineStr">
        <is>
          <t>Medicare</t>
        </is>
      </c>
      <c r="O1597" s="31" t="n">
        <v>23070.39</v>
      </c>
      <c r="P1597" t="inlineStr">
        <is>
          <t>N</t>
        </is>
      </c>
    </row>
    <row r="1598">
      <c r="A1598" t="inlineStr">
        <is>
          <t>ENC117393</t>
        </is>
      </c>
      <c r="B1598" t="inlineStr">
        <is>
          <t>PT10156</t>
        </is>
      </c>
      <c r="C1598" t="inlineStr">
        <is>
          <t>Emergency</t>
        </is>
      </c>
      <c r="D1598" t="inlineStr">
        <is>
          <t>Bluestone Memorial Hospital</t>
        </is>
      </c>
      <c r="E1598" t="inlineStr">
        <is>
          <t>Emergency Department</t>
        </is>
      </c>
      <c r="F1598" t="inlineStr">
        <is>
          <t>Emergency</t>
        </is>
      </c>
      <c r="G1598" s="29" t="n">
        <v>45874</v>
      </c>
      <c r="H1598" s="29" t="n">
        <v>45874</v>
      </c>
      <c r="I1598" s="30" t="n"/>
      <c r="J1598" t="inlineStr">
        <is>
          <t>F32.9</t>
        </is>
      </c>
      <c r="K1598" t="inlineStr">
        <is>
          <t>Major depressive disorder, single episode, unspecified</t>
        </is>
      </c>
      <c r="L1598" t="inlineStr">
        <is>
          <t>Mental &amp; Behavioral</t>
        </is>
      </c>
      <c r="M1598" t="inlineStr">
        <is>
          <t>Transfer to Another Hospital</t>
        </is>
      </c>
      <c r="N1598" t="inlineStr">
        <is>
          <t>State Medicaid</t>
        </is>
      </c>
      <c r="O1598" s="31" t="n">
        <v>3721.55</v>
      </c>
    </row>
    <row r="1599">
      <c r="A1599" t="inlineStr">
        <is>
          <t>ENC117394</t>
        </is>
      </c>
      <c r="B1599" t="inlineStr">
        <is>
          <t>PT13900</t>
        </is>
      </c>
      <c r="C1599" t="inlineStr">
        <is>
          <t>Inpatient</t>
        </is>
      </c>
      <c r="D1599" t="inlineStr">
        <is>
          <t>Bluestone Memorial Hospital</t>
        </is>
      </c>
      <c r="E1599" t="inlineStr">
        <is>
          <t>Cardiac Step-Down</t>
        </is>
      </c>
      <c r="F1599" t="inlineStr">
        <is>
          <t>Cardiovascular</t>
        </is>
      </c>
      <c r="G1599" s="29" t="n">
        <v>45874</v>
      </c>
      <c r="H1599" s="29" t="n">
        <v>45879</v>
      </c>
      <c r="I1599" s="30" t="n">
        <v>5</v>
      </c>
      <c r="J1599" t="inlineStr">
        <is>
          <t>I50.9</t>
        </is>
      </c>
      <c r="K1599" t="inlineStr">
        <is>
          <t>Heart failure, unspecified</t>
        </is>
      </c>
      <c r="L1599" t="inlineStr">
        <is>
          <t>Circulatory</t>
        </is>
      </c>
      <c r="M1599" t="inlineStr">
        <is>
          <t>Home/Self-Care</t>
        </is>
      </c>
      <c r="N1599" t="inlineStr">
        <is>
          <t>Medicare</t>
        </is>
      </c>
      <c r="O1599" s="31" t="n">
        <v>37286.14</v>
      </c>
      <c r="P1599" t="inlineStr">
        <is>
          <t>N</t>
        </is>
      </c>
    </row>
    <row r="1600">
      <c r="A1600" t="inlineStr">
        <is>
          <t>ENC117399</t>
        </is>
      </c>
      <c r="B1600" t="inlineStr">
        <is>
          <t>PT12576</t>
        </is>
      </c>
      <c r="C1600" t="inlineStr">
        <is>
          <t>Emergency</t>
        </is>
      </c>
      <c r="D1600" t="inlineStr">
        <is>
          <t>Bluestone Memorial Hospital</t>
        </is>
      </c>
      <c r="E1600" t="inlineStr">
        <is>
          <t>Emergency Department</t>
        </is>
      </c>
      <c r="F1600" t="inlineStr">
        <is>
          <t>Emergency</t>
        </is>
      </c>
      <c r="G1600" s="29" t="n">
        <v>45874</v>
      </c>
      <c r="H1600" s="29" t="n">
        <v>45874</v>
      </c>
      <c r="I1600" s="30" t="n"/>
      <c r="J1600" t="inlineStr">
        <is>
          <t>R07.9</t>
        </is>
      </c>
      <c r="K1600" t="inlineStr">
        <is>
          <t>Chest pain, unspecified</t>
        </is>
      </c>
      <c r="L1600" t="inlineStr">
        <is>
          <t>Symptoms &amp; Signs</t>
        </is>
      </c>
      <c r="M1600" t="inlineStr">
        <is>
          <t>Home/Self-Care</t>
        </is>
      </c>
      <c r="N1600" t="inlineStr">
        <is>
          <t>Medicare</t>
        </is>
      </c>
      <c r="O1600" s="31" t="n">
        <v>3448.29</v>
      </c>
    </row>
    <row r="1601">
      <c r="A1601" t="inlineStr">
        <is>
          <t>ENC117400</t>
        </is>
      </c>
      <c r="B1601" t="inlineStr">
        <is>
          <t>PT12424</t>
        </is>
      </c>
      <c r="C1601" t="inlineStr">
        <is>
          <t>Outpatient</t>
        </is>
      </c>
      <c r="D1601" t="inlineStr">
        <is>
          <t>Bluestone Outpatient Pavilion</t>
        </is>
      </c>
      <c r="E1601" t="inlineStr">
        <is>
          <t>Pediatric Clinic</t>
        </is>
      </c>
      <c r="F1601" t="inlineStr">
        <is>
          <t>Women &amp; Children</t>
        </is>
      </c>
      <c r="G1601" s="29" t="n">
        <v>45874</v>
      </c>
      <c r="H1601" s="29" t="n">
        <v>45874</v>
      </c>
      <c r="I1601" s="30" t="n"/>
      <c r="J1601" t="inlineStr">
        <is>
          <t>Z00.129</t>
        </is>
      </c>
      <c r="K1601" t="inlineStr">
        <is>
          <t>Encounter for routine child health examination without abnormal findings</t>
        </is>
      </c>
      <c r="L1601" t="inlineStr">
        <is>
          <t>Factors Influencing Health</t>
        </is>
      </c>
      <c r="M1601" t="inlineStr">
        <is>
          <t>Home/Self-Care</t>
        </is>
      </c>
      <c r="N1601" t="inlineStr">
        <is>
          <t>Self-Pay</t>
        </is>
      </c>
      <c r="O1601" s="31" t="n">
        <v>324.14</v>
      </c>
    </row>
    <row r="1602">
      <c r="A1602" t="inlineStr">
        <is>
          <t>ENC117404</t>
        </is>
      </c>
      <c r="B1602" t="inlineStr">
        <is>
          <t>PT11992</t>
        </is>
      </c>
      <c r="C1602" t="inlineStr">
        <is>
          <t>Outpatient</t>
        </is>
      </c>
      <c r="D1602" t="inlineStr">
        <is>
          <t>Bluestone Outpatient Pavilion</t>
        </is>
      </c>
      <c r="E1602" t="inlineStr">
        <is>
          <t>Primary Care Clinic</t>
        </is>
      </c>
      <c r="F1602" t="inlineStr">
        <is>
          <t>Ambulatory</t>
        </is>
      </c>
      <c r="G1602" s="29" t="n">
        <v>45874</v>
      </c>
      <c r="H1602" s="29" t="n">
        <v>45874</v>
      </c>
      <c r="I1602" s="30" t="n"/>
      <c r="J1602" t="inlineStr">
        <is>
          <t>F32.9</t>
        </is>
      </c>
      <c r="K1602" t="inlineStr">
        <is>
          <t>Major depressive disorder, single episode, unspecified</t>
        </is>
      </c>
      <c r="L1602" t="inlineStr">
        <is>
          <t>Mental &amp; Behavioral</t>
        </is>
      </c>
      <c r="M1602" t="inlineStr">
        <is>
          <t>Home/Self-Care</t>
        </is>
      </c>
      <c r="N1602" t="inlineStr">
        <is>
          <t>Self-Pay</t>
        </is>
      </c>
      <c r="O1602" s="31" t="n">
        <v>359.01</v>
      </c>
    </row>
    <row r="1603">
      <c r="A1603" t="inlineStr">
        <is>
          <t>ENC117405</t>
        </is>
      </c>
      <c r="B1603" t="inlineStr">
        <is>
          <t>PT10592</t>
        </is>
      </c>
      <c r="C1603" t="inlineStr">
        <is>
          <t>Outpatient</t>
        </is>
      </c>
      <c r="D1603" t="inlineStr">
        <is>
          <t>Bluestone Outpatient Pavilion</t>
        </is>
      </c>
      <c r="E1603" t="inlineStr">
        <is>
          <t>Primary Care Clinic</t>
        </is>
      </c>
      <c r="F1603" t="inlineStr">
        <is>
          <t>Ambulatory</t>
        </is>
      </c>
      <c r="G1603" s="29" t="n">
        <v>45874</v>
      </c>
      <c r="H1603" s="29" t="n">
        <v>45874</v>
      </c>
      <c r="I1603" s="30" t="n"/>
      <c r="J1603" t="inlineStr">
        <is>
          <t>G43.909</t>
        </is>
      </c>
      <c r="K1603" t="inlineStr">
        <is>
          <t>Migraine, unspecified, not intractable, without status migrainosus</t>
        </is>
      </c>
      <c r="L1603" t="inlineStr">
        <is>
          <t>Nervous System</t>
        </is>
      </c>
      <c r="M1603" t="inlineStr">
        <is>
          <t>Home/Self-Care</t>
        </is>
      </c>
      <c r="N1603" t="inlineStr">
        <is>
          <t>Silverline Medicare Advantage</t>
        </is>
      </c>
      <c r="O1603" s="31" t="n">
        <v>192.43</v>
      </c>
    </row>
    <row r="1604">
      <c r="A1604" t="inlineStr">
        <is>
          <t>ENC117407</t>
        </is>
      </c>
      <c r="B1604" t="inlineStr">
        <is>
          <t>PT13008</t>
        </is>
      </c>
      <c r="C1604" t="inlineStr">
        <is>
          <t>Emergency</t>
        </is>
      </c>
      <c r="D1604" t="inlineStr">
        <is>
          <t>Bluestone Memorial Hospital</t>
        </is>
      </c>
      <c r="E1604" t="inlineStr">
        <is>
          <t>Emergency Department</t>
        </is>
      </c>
      <c r="F1604" t="inlineStr">
        <is>
          <t>Emergency</t>
        </is>
      </c>
      <c r="G1604" s="29" t="n">
        <v>45874</v>
      </c>
      <c r="H1604" s="29" t="n">
        <v>45874</v>
      </c>
      <c r="I1604" s="30" t="n"/>
      <c r="J1604" t="inlineStr">
        <is>
          <t>I48.91</t>
        </is>
      </c>
      <c r="K1604" t="inlineStr">
        <is>
          <t>Unspecified atrial fibrillation</t>
        </is>
      </c>
      <c r="L1604" t="inlineStr">
        <is>
          <t>Circulatory</t>
        </is>
      </c>
      <c r="M1604" t="inlineStr">
        <is>
          <t>Home/Self-Care</t>
        </is>
      </c>
      <c r="N1604" t="inlineStr">
        <is>
          <t>Self-Pay</t>
        </is>
      </c>
      <c r="O1604" s="31" t="n">
        <v>5235.69</v>
      </c>
    </row>
    <row r="1605">
      <c r="A1605" t="inlineStr">
        <is>
          <t>ENC117411</t>
        </is>
      </c>
      <c r="B1605" t="inlineStr">
        <is>
          <t>PT13540</t>
        </is>
      </c>
      <c r="C1605" t="inlineStr">
        <is>
          <t>Inpatient</t>
        </is>
      </c>
      <c r="D1605" t="inlineStr">
        <is>
          <t>Bluestone Memorial Hospital</t>
        </is>
      </c>
      <c r="E1605" t="inlineStr">
        <is>
          <t>Orthopedics &amp; Spine</t>
        </is>
      </c>
      <c r="F1605" t="inlineStr">
        <is>
          <t>Orthopedics</t>
        </is>
      </c>
      <c r="G1605" s="29" t="n">
        <v>45874</v>
      </c>
      <c r="H1605" s="29" t="n">
        <v>45879</v>
      </c>
      <c r="I1605" s="30" t="n">
        <v>5</v>
      </c>
      <c r="J1605" t="inlineStr">
        <is>
          <t>S72.001A</t>
        </is>
      </c>
      <c r="K1605" t="inlineStr">
        <is>
          <t>Fracture of unspecified part of neck of right femur, initial encounter</t>
        </is>
      </c>
      <c r="L1605" t="inlineStr">
        <is>
          <t>Injury</t>
        </is>
      </c>
      <c r="M1605" t="inlineStr">
        <is>
          <t>Skilled Nursing Facility</t>
        </is>
      </c>
      <c r="N1605" t="inlineStr">
        <is>
          <t>Silverline Medicare Advantage</t>
        </is>
      </c>
      <c r="O1605" s="31" t="n">
        <v>48814.25</v>
      </c>
      <c r="P1605" t="inlineStr">
        <is>
          <t>N</t>
        </is>
      </c>
    </row>
    <row r="1606">
      <c r="A1606" t="inlineStr">
        <is>
          <t>ENC117412</t>
        </is>
      </c>
      <c r="B1606" t="inlineStr">
        <is>
          <t>PT11004</t>
        </is>
      </c>
      <c r="C1606" t="inlineStr">
        <is>
          <t>Observation</t>
        </is>
      </c>
      <c r="D1606" t="inlineStr">
        <is>
          <t>Ashby Falls Community Hospital</t>
        </is>
      </c>
      <c r="E1606" t="inlineStr">
        <is>
          <t>Medical-Surgical</t>
        </is>
      </c>
      <c r="F1606" t="inlineStr">
        <is>
          <t>Medicine</t>
        </is>
      </c>
      <c r="G1606" s="29" t="n">
        <v>45874</v>
      </c>
      <c r="H1606" s="29" t="n">
        <v>45876</v>
      </c>
      <c r="I1606" s="30" t="n">
        <v>2</v>
      </c>
      <c r="J1606" t="inlineStr">
        <is>
          <t>E86.0</t>
        </is>
      </c>
      <c r="K1606" t="inlineStr">
        <is>
          <t>Dehydration</t>
        </is>
      </c>
      <c r="L1606" t="inlineStr">
        <is>
          <t>Endocrine</t>
        </is>
      </c>
      <c r="M1606" t="inlineStr">
        <is>
          <t>Home/Self-Care</t>
        </is>
      </c>
      <c r="N1606" t="inlineStr">
        <is>
          <t>Silverline Medicare Advantage</t>
        </is>
      </c>
      <c r="O1606" s="31" t="n">
        <v>10205.9</v>
      </c>
    </row>
    <row r="1607">
      <c r="A1607" t="inlineStr">
        <is>
          <t>ENC117413</t>
        </is>
      </c>
      <c r="B1607" t="inlineStr">
        <is>
          <t>PT10520</t>
        </is>
      </c>
      <c r="C1607" t="inlineStr">
        <is>
          <t>Emergency</t>
        </is>
      </c>
      <c r="D1607" t="inlineStr">
        <is>
          <t>Bluestone Memorial Hospital</t>
        </is>
      </c>
      <c r="E1607" t="inlineStr">
        <is>
          <t>Emergency Department</t>
        </is>
      </c>
      <c r="F1607" t="inlineStr">
        <is>
          <t>Emergency</t>
        </is>
      </c>
      <c r="G1607" s="29" t="n">
        <v>45874</v>
      </c>
      <c r="H1607" s="29" t="n">
        <v>45875</v>
      </c>
      <c r="I1607" s="30" t="n"/>
      <c r="J1607" t="inlineStr">
        <is>
          <t>U07.1</t>
        </is>
      </c>
      <c r="K1607" t="inlineStr">
        <is>
          <t>COVID-19</t>
        </is>
      </c>
      <c r="L1607" t="inlineStr">
        <is>
          <t>Respiratory</t>
        </is>
      </c>
      <c r="M1607" t="inlineStr">
        <is>
          <t>Home/Self-Care</t>
        </is>
      </c>
      <c r="N1607" t="inlineStr">
        <is>
          <t>Silverline Medicare Advantage</t>
        </is>
      </c>
      <c r="O1607" s="31" t="n">
        <v>1758.05</v>
      </c>
    </row>
    <row r="1608">
      <c r="A1608" t="inlineStr">
        <is>
          <t>ENC117416</t>
        </is>
      </c>
      <c r="B1608" t="inlineStr">
        <is>
          <t>PT12272</t>
        </is>
      </c>
      <c r="C1608" t="inlineStr">
        <is>
          <t>Inpatient</t>
        </is>
      </c>
      <c r="D1608" t="inlineStr">
        <is>
          <t>Bluestone Memorial Hospital</t>
        </is>
      </c>
      <c r="E1608" t="inlineStr">
        <is>
          <t>Orthopedics &amp; Spine</t>
        </is>
      </c>
      <c r="F1608" t="inlineStr">
        <is>
          <t>Orthopedics</t>
        </is>
      </c>
      <c r="G1608" s="29" t="n">
        <v>45875</v>
      </c>
      <c r="H1608" s="29" t="n">
        <v>45877</v>
      </c>
      <c r="I1608" s="30" t="n">
        <v>2</v>
      </c>
      <c r="J1608" t="inlineStr">
        <is>
          <t>M17.11</t>
        </is>
      </c>
      <c r="K1608" t="inlineStr">
        <is>
          <t>Unilateral primary osteoarthritis, right knee</t>
        </is>
      </c>
      <c r="L1608" t="inlineStr">
        <is>
          <t>Musculoskeletal</t>
        </is>
      </c>
      <c r="M1608" t="inlineStr">
        <is>
          <t>Home Health</t>
        </is>
      </c>
      <c r="N1608" t="inlineStr">
        <is>
          <t>Keystone Health Partners</t>
        </is>
      </c>
      <c r="O1608" s="31" t="n">
        <v>46182.54</v>
      </c>
      <c r="P1608" t="inlineStr">
        <is>
          <t>N</t>
        </is>
      </c>
    </row>
    <row r="1609">
      <c r="A1609" t="inlineStr">
        <is>
          <t>ENC117419</t>
        </is>
      </c>
      <c r="B1609" t="inlineStr">
        <is>
          <t>PT11908</t>
        </is>
      </c>
      <c r="C1609" t="inlineStr">
        <is>
          <t>Outpatient</t>
        </is>
      </c>
      <c r="D1609" t="inlineStr">
        <is>
          <t>Bluestone Outpatient Pavilion</t>
        </is>
      </c>
      <c r="E1609" t="inlineStr">
        <is>
          <t>Primary Care Clinic</t>
        </is>
      </c>
      <c r="F1609" t="inlineStr">
        <is>
          <t>Ambulatory</t>
        </is>
      </c>
      <c r="G1609" s="29" t="n">
        <v>45875</v>
      </c>
      <c r="H1609" s="29" t="n">
        <v>45875</v>
      </c>
      <c r="I1609" s="30" t="n"/>
      <c r="J1609" t="inlineStr">
        <is>
          <t>I10</t>
        </is>
      </c>
      <c r="K1609" t="inlineStr">
        <is>
          <t>Essential (primary) hypertension</t>
        </is>
      </c>
      <c r="L1609" t="inlineStr">
        <is>
          <t>Circulatory</t>
        </is>
      </c>
      <c r="M1609" t="inlineStr">
        <is>
          <t>Home/Self-Care</t>
        </is>
      </c>
      <c r="N1609" t="inlineStr">
        <is>
          <t>Keystone Health Partners</t>
        </is>
      </c>
      <c r="O1609" s="31" t="n">
        <v>281.48</v>
      </c>
    </row>
    <row r="1610">
      <c r="A1610" t="inlineStr">
        <is>
          <t>ENC117420</t>
        </is>
      </c>
      <c r="B1610" t="inlineStr">
        <is>
          <t>PT13296</t>
        </is>
      </c>
      <c r="C1610" t="inlineStr">
        <is>
          <t>Emergency</t>
        </is>
      </c>
      <c r="D1610" t="inlineStr">
        <is>
          <t>Ashby Falls Community Hospital</t>
        </is>
      </c>
      <c r="E1610" t="inlineStr">
        <is>
          <t>Emergency Department</t>
        </is>
      </c>
      <c r="F1610" t="inlineStr">
        <is>
          <t>Emergency</t>
        </is>
      </c>
      <c r="G1610" s="29" t="n">
        <v>45875</v>
      </c>
      <c r="H1610" s="29" t="n">
        <v>45875</v>
      </c>
      <c r="I1610" s="30" t="n"/>
      <c r="J1610" t="inlineStr">
        <is>
          <t>J06.9</t>
        </is>
      </c>
      <c r="K1610" t="inlineStr">
        <is>
          <t>Acute upper respiratory infection, unspecified</t>
        </is>
      </c>
      <c r="L1610" t="inlineStr">
        <is>
          <t>Respiratory</t>
        </is>
      </c>
      <c r="M1610" t="inlineStr">
        <is>
          <t>Home/Self-Care</t>
        </is>
      </c>
      <c r="N1610" t="inlineStr">
        <is>
          <t>Keystone Health Partners</t>
        </is>
      </c>
      <c r="O1610" s="31" t="n">
        <v>775.45</v>
      </c>
    </row>
    <row r="1611">
      <c r="A1611" t="inlineStr">
        <is>
          <t>ENC117422</t>
        </is>
      </c>
      <c r="B1611" t="inlineStr">
        <is>
          <t>PT11576</t>
        </is>
      </c>
      <c r="C1611" t="inlineStr">
        <is>
          <t>Emergency</t>
        </is>
      </c>
      <c r="D1611" t="inlineStr">
        <is>
          <t>Bluestone Memorial Hospital</t>
        </is>
      </c>
      <c r="E1611" t="inlineStr">
        <is>
          <t>Emergency Department</t>
        </is>
      </c>
      <c r="F1611" t="inlineStr">
        <is>
          <t>Emergency</t>
        </is>
      </c>
      <c r="G1611" s="29" t="n">
        <v>45875</v>
      </c>
      <c r="H1611" s="29" t="n">
        <v>45875</v>
      </c>
      <c r="I1611" s="30" t="n"/>
      <c r="J1611" t="inlineStr">
        <is>
          <t>G43.909</t>
        </is>
      </c>
      <c r="K1611" t="inlineStr">
        <is>
          <t>Migraine, unspecified, not intractable, without status migrainosus</t>
        </is>
      </c>
      <c r="L1611" t="inlineStr">
        <is>
          <t>Nervous System</t>
        </is>
      </c>
      <c r="M1611" t="inlineStr">
        <is>
          <t>Home/Self-Care</t>
        </is>
      </c>
      <c r="N1611" t="inlineStr">
        <is>
          <t>State Medicaid</t>
        </is>
      </c>
      <c r="O1611" s="31" t="n">
        <v>1933.66</v>
      </c>
    </row>
    <row r="1612">
      <c r="A1612" t="inlineStr">
        <is>
          <t>ENC117429</t>
        </is>
      </c>
      <c r="B1612" t="inlineStr">
        <is>
          <t>PT12504</t>
        </is>
      </c>
      <c r="C1612" t="inlineStr">
        <is>
          <t>Outpatient</t>
        </is>
      </c>
      <c r="D1612" t="inlineStr">
        <is>
          <t>Bluestone Outpatient Pavilion</t>
        </is>
      </c>
      <c r="E1612" t="inlineStr">
        <is>
          <t>Primary Care Clinic</t>
        </is>
      </c>
      <c r="F1612" t="inlineStr">
        <is>
          <t>Ambulatory</t>
        </is>
      </c>
      <c r="G1612" s="29" t="n">
        <v>45875</v>
      </c>
      <c r="H1612" s="29" t="n">
        <v>45875</v>
      </c>
      <c r="I1612" s="30" t="n"/>
      <c r="J1612" t="inlineStr">
        <is>
          <t>Z00.00</t>
        </is>
      </c>
      <c r="K1612" t="inlineStr">
        <is>
          <t>Encounter for general adult medical examination without abnormal findings</t>
        </is>
      </c>
      <c r="L1612" t="inlineStr">
        <is>
          <t>Factors Influencing Health</t>
        </is>
      </c>
      <c r="M1612" t="inlineStr">
        <is>
          <t>Home/Self-Care</t>
        </is>
      </c>
      <c r="N1612" t="inlineStr">
        <is>
          <t>Medicare</t>
        </is>
      </c>
      <c r="O1612" s="31" t="n">
        <v>488.58</v>
      </c>
    </row>
    <row r="1613">
      <c r="A1613" t="inlineStr">
        <is>
          <t>ENC117433</t>
        </is>
      </c>
      <c r="B1613" t="inlineStr">
        <is>
          <t>PT12456</t>
        </is>
      </c>
      <c r="C1613" t="inlineStr">
        <is>
          <t>Outpatient</t>
        </is>
      </c>
      <c r="D1613" t="inlineStr">
        <is>
          <t>Bluestone Outpatient Pavilion</t>
        </is>
      </c>
      <c r="E1613" t="inlineStr">
        <is>
          <t>Primary Care Clinic</t>
        </is>
      </c>
      <c r="F1613" t="inlineStr">
        <is>
          <t>Ambulatory</t>
        </is>
      </c>
      <c r="G1613" s="29" t="n">
        <v>45875</v>
      </c>
      <c r="H1613" s="29" t="n">
        <v>45875</v>
      </c>
      <c r="I1613" s="30" t="n"/>
      <c r="J1613" t="inlineStr">
        <is>
          <t>M54.50</t>
        </is>
      </c>
      <c r="K1613" t="inlineStr">
        <is>
          <t>Low back pain, unspecified</t>
        </is>
      </c>
      <c r="L1613" t="inlineStr">
        <is>
          <t>Musculoskeletal</t>
        </is>
      </c>
      <c r="M1613" t="inlineStr">
        <is>
          <t>Home/Self-Care</t>
        </is>
      </c>
      <c r="N1613" t="inlineStr">
        <is>
          <t>Keystone Health Partners</t>
        </is>
      </c>
      <c r="O1613" s="31" t="n">
        <v>236.72</v>
      </c>
    </row>
    <row r="1614">
      <c r="A1614" t="inlineStr">
        <is>
          <t>ENC117434</t>
        </is>
      </c>
      <c r="B1614" t="inlineStr">
        <is>
          <t>PT13948</t>
        </is>
      </c>
      <c r="C1614" t="inlineStr">
        <is>
          <t>Outpatient</t>
        </is>
      </c>
      <c r="D1614" t="inlineStr">
        <is>
          <t>Bluestone Outpatient Pavilion</t>
        </is>
      </c>
      <c r="E1614" t="inlineStr">
        <is>
          <t>Primary Care Clinic</t>
        </is>
      </c>
      <c r="F1614" t="inlineStr">
        <is>
          <t>Ambulatory</t>
        </is>
      </c>
      <c r="G1614" s="29" t="n">
        <v>45875</v>
      </c>
      <c r="H1614" s="29" t="n">
        <v>45875</v>
      </c>
      <c r="I1614" s="30" t="n"/>
      <c r="J1614" t="inlineStr">
        <is>
          <t>G40.909</t>
        </is>
      </c>
      <c r="K1614" t="inlineStr">
        <is>
          <t>Epilepsy, unspecified, not intractable, without status epilepticus</t>
        </is>
      </c>
      <c r="L1614" t="inlineStr">
        <is>
          <t>Nervous System</t>
        </is>
      </c>
      <c r="M1614" t="inlineStr">
        <is>
          <t>Home/Self-Care</t>
        </is>
      </c>
      <c r="N1614" t="inlineStr">
        <is>
          <t>Evergreen Mutual Insurance</t>
        </is>
      </c>
      <c r="O1614" s="31" t="n">
        <v>215.91</v>
      </c>
    </row>
    <row r="1615">
      <c r="A1615" t="inlineStr">
        <is>
          <t>ENC117436</t>
        </is>
      </c>
      <c r="B1615" t="inlineStr">
        <is>
          <t>PT10680</t>
        </is>
      </c>
      <c r="C1615" t="inlineStr">
        <is>
          <t>Inpatient</t>
        </is>
      </c>
      <c r="D1615" t="inlineStr">
        <is>
          <t>Bluestone Memorial Hospital</t>
        </is>
      </c>
      <c r="E1615" t="inlineStr">
        <is>
          <t>Medical-Surgical 4 West</t>
        </is>
      </c>
      <c r="F1615" t="inlineStr">
        <is>
          <t>Medicine</t>
        </is>
      </c>
      <c r="G1615" s="29" t="n">
        <v>45875</v>
      </c>
      <c r="H1615" s="29" t="n">
        <v>45876</v>
      </c>
      <c r="I1615" s="30" t="n">
        <v>1</v>
      </c>
      <c r="J1615" t="inlineStr">
        <is>
          <t>K35.80</t>
        </is>
      </c>
      <c r="K1615" t="inlineStr">
        <is>
          <t>Unspecified acute appendicitis</t>
        </is>
      </c>
      <c r="L1615" t="inlineStr">
        <is>
          <t>Digestive</t>
        </is>
      </c>
      <c r="M1615" t="inlineStr">
        <is>
          <t>Home/Self-Care</t>
        </is>
      </c>
      <c r="N1615" t="inlineStr">
        <is>
          <t>Evergreen Mutual Insurance</t>
        </is>
      </c>
      <c r="O1615" s="31" t="n">
        <v>23177.38</v>
      </c>
      <c r="P1615" t="inlineStr">
        <is>
          <t>N</t>
        </is>
      </c>
    </row>
    <row r="1616">
      <c r="A1616" t="inlineStr">
        <is>
          <t>ENC117439</t>
        </is>
      </c>
      <c r="B1616" t="inlineStr">
        <is>
          <t>PT11592</t>
        </is>
      </c>
      <c r="C1616" t="inlineStr">
        <is>
          <t>Emergency</t>
        </is>
      </c>
      <c r="D1616" t="inlineStr">
        <is>
          <t>Bluestone Memorial Hospital</t>
        </is>
      </c>
      <c r="E1616" t="inlineStr">
        <is>
          <t>Emergency Department</t>
        </is>
      </c>
      <c r="F1616" t="inlineStr">
        <is>
          <t>Emergency</t>
        </is>
      </c>
      <c r="G1616" s="29" t="n">
        <v>45875</v>
      </c>
      <c r="H1616" s="29" t="n">
        <v>45875</v>
      </c>
      <c r="I1616" s="30" t="n"/>
      <c r="J1616" t="inlineStr">
        <is>
          <t>G40.909</t>
        </is>
      </c>
      <c r="K1616" t="inlineStr">
        <is>
          <t>Epilepsy, unspecified, not intractable, without status epilepticus</t>
        </is>
      </c>
      <c r="L1616" t="inlineStr">
        <is>
          <t>Nervous System</t>
        </is>
      </c>
      <c r="M1616" t="inlineStr">
        <is>
          <t>Home/Self-Care</t>
        </is>
      </c>
      <c r="N1616" t="inlineStr">
        <is>
          <t>Medicare</t>
        </is>
      </c>
      <c r="O1616" s="31" t="n">
        <v>2750.36</v>
      </c>
    </row>
    <row r="1617">
      <c r="A1617" t="inlineStr">
        <is>
          <t>ENC117441</t>
        </is>
      </c>
      <c r="B1617" t="inlineStr">
        <is>
          <t>PT12332</t>
        </is>
      </c>
      <c r="C1617" t="inlineStr">
        <is>
          <t>Emergency</t>
        </is>
      </c>
      <c r="D1617" t="inlineStr">
        <is>
          <t>Bluestone Memorial Hospital</t>
        </is>
      </c>
      <c r="E1617" t="inlineStr">
        <is>
          <t>Emergency Department</t>
        </is>
      </c>
      <c r="F1617" t="inlineStr">
        <is>
          <t>Emergency</t>
        </is>
      </c>
      <c r="G1617" s="29" t="n">
        <v>45875</v>
      </c>
      <c r="H1617" s="29" t="n">
        <v>45875</v>
      </c>
      <c r="I1617" s="30" t="n"/>
      <c r="J1617" t="inlineStr">
        <is>
          <t>R07.9</t>
        </is>
      </c>
      <c r="K1617" t="inlineStr">
        <is>
          <t>Chest pain, unspecified</t>
        </is>
      </c>
      <c r="L1617" t="inlineStr">
        <is>
          <t>Symptoms &amp; Signs</t>
        </is>
      </c>
      <c r="M1617" t="inlineStr">
        <is>
          <t>Home/Self-Care</t>
        </is>
      </c>
      <c r="N1617" t="inlineStr">
        <is>
          <t>Summit Choice PPO</t>
        </is>
      </c>
      <c r="O1617" s="31" t="n">
        <v>3913.98</v>
      </c>
    </row>
    <row r="1618">
      <c r="A1618" t="inlineStr">
        <is>
          <t>ENC117454</t>
        </is>
      </c>
      <c r="B1618" t="inlineStr">
        <is>
          <t>PT12636</t>
        </is>
      </c>
      <c r="C1618" t="inlineStr">
        <is>
          <t>Outpatient</t>
        </is>
      </c>
      <c r="D1618" t="inlineStr">
        <is>
          <t>Bluestone Outpatient Pavilion</t>
        </is>
      </c>
      <c r="E1618" t="inlineStr">
        <is>
          <t>Primary Care Clinic</t>
        </is>
      </c>
      <c r="F1618" t="inlineStr">
        <is>
          <t>Ambulatory</t>
        </is>
      </c>
      <c r="G1618" s="29" t="n">
        <v>45876</v>
      </c>
      <c r="H1618" s="29" t="n">
        <v>45876</v>
      </c>
      <c r="I1618" s="30" t="n"/>
      <c r="J1618" t="inlineStr">
        <is>
          <t>Z00.00</t>
        </is>
      </c>
      <c r="K1618" t="inlineStr">
        <is>
          <t>Encounter for general adult medical examination without abnormal findings</t>
        </is>
      </c>
      <c r="L1618" t="inlineStr">
        <is>
          <t>Factors Influencing Health</t>
        </is>
      </c>
      <c r="M1618" t="inlineStr">
        <is>
          <t>Home/Self-Care</t>
        </is>
      </c>
      <c r="N1618" t="inlineStr">
        <is>
          <t>Medicare</t>
        </is>
      </c>
      <c r="O1618" s="31" t="n">
        <v>588.99</v>
      </c>
    </row>
    <row r="1619">
      <c r="A1619" t="inlineStr">
        <is>
          <t>ENC117458</t>
        </is>
      </c>
      <c r="B1619" t="inlineStr">
        <is>
          <t>PT13620</t>
        </is>
      </c>
      <c r="C1619" t="inlineStr">
        <is>
          <t>Outpatient</t>
        </is>
      </c>
      <c r="D1619" t="inlineStr">
        <is>
          <t>Bluestone Outpatient Pavilion</t>
        </is>
      </c>
      <c r="E1619" t="inlineStr">
        <is>
          <t>Endocrinology &amp; Diabetes Clinic</t>
        </is>
      </c>
      <c r="F1619" t="inlineStr">
        <is>
          <t>Ambulatory</t>
        </is>
      </c>
      <c r="G1619" s="29" t="n">
        <v>45876</v>
      </c>
      <c r="H1619" s="29" t="n">
        <v>45876</v>
      </c>
      <c r="I1619" s="30" t="n"/>
      <c r="J1619" t="inlineStr">
        <is>
          <t>E11.65</t>
        </is>
      </c>
      <c r="K1619" t="inlineStr">
        <is>
          <t>Type 2 diabetes mellitus with hyperglycemia</t>
        </is>
      </c>
      <c r="L1619" t="inlineStr">
        <is>
          <t>Endocrine</t>
        </is>
      </c>
      <c r="M1619" t="inlineStr">
        <is>
          <t>Home/Self-Care</t>
        </is>
      </c>
      <c r="N1619" t="inlineStr">
        <is>
          <t>State Medicaid</t>
        </is>
      </c>
      <c r="O1619" s="31" t="n">
        <v>136.82</v>
      </c>
    </row>
    <row r="1620">
      <c r="A1620" t="inlineStr">
        <is>
          <t>ENC117459</t>
        </is>
      </c>
      <c r="B1620" t="inlineStr">
        <is>
          <t>PT13780</t>
        </is>
      </c>
      <c r="C1620" t="inlineStr">
        <is>
          <t>Outpatient</t>
        </is>
      </c>
      <c r="D1620" t="inlineStr">
        <is>
          <t>Bluestone Outpatient Pavilion</t>
        </is>
      </c>
      <c r="E1620" t="inlineStr">
        <is>
          <t>Primary Care Clinic</t>
        </is>
      </c>
      <c r="F1620" t="inlineStr">
        <is>
          <t>Ambulatory</t>
        </is>
      </c>
      <c r="G1620" s="29" t="n">
        <v>45876</v>
      </c>
      <c r="H1620" s="29" t="n">
        <v>45876</v>
      </c>
      <c r="I1620" s="30" t="n"/>
      <c r="J1620" t="inlineStr">
        <is>
          <t>E78.5</t>
        </is>
      </c>
      <c r="K1620" t="inlineStr">
        <is>
          <t>Hyperlipidemia, unspecified</t>
        </is>
      </c>
      <c r="L1620" t="inlineStr">
        <is>
          <t>Endocrine</t>
        </is>
      </c>
      <c r="M1620" t="inlineStr">
        <is>
          <t>Home/Self-Care</t>
        </is>
      </c>
      <c r="N1620" t="inlineStr">
        <is>
          <t>Summit Choice PPO</t>
        </is>
      </c>
      <c r="O1620" s="31" t="n">
        <v>208.64</v>
      </c>
    </row>
    <row r="1621">
      <c r="A1621" t="inlineStr">
        <is>
          <t>ENC117463</t>
        </is>
      </c>
      <c r="B1621" t="inlineStr">
        <is>
          <t>PT12856</t>
        </is>
      </c>
      <c r="C1621" t="inlineStr">
        <is>
          <t>Outpatient</t>
        </is>
      </c>
      <c r="D1621" t="inlineStr">
        <is>
          <t>Bluestone Outpatient Pavilion</t>
        </is>
      </c>
      <c r="E1621" t="inlineStr">
        <is>
          <t>Primary Care Clinic</t>
        </is>
      </c>
      <c r="F1621" t="inlineStr">
        <is>
          <t>Ambulatory</t>
        </is>
      </c>
      <c r="G1621" s="29" t="n">
        <v>45876</v>
      </c>
      <c r="H1621" s="29" t="n">
        <v>45876</v>
      </c>
      <c r="I1621" s="30" t="n"/>
      <c r="J1621" t="inlineStr">
        <is>
          <t>M54.50</t>
        </is>
      </c>
      <c r="K1621" t="inlineStr">
        <is>
          <t>Low back pain, unspecified</t>
        </is>
      </c>
      <c r="L1621" t="inlineStr">
        <is>
          <t>Musculoskeletal</t>
        </is>
      </c>
      <c r="M1621" t="inlineStr">
        <is>
          <t>Home/Self-Care</t>
        </is>
      </c>
      <c r="N1621" t="inlineStr">
        <is>
          <t>Medicare</t>
        </is>
      </c>
      <c r="O1621" s="31" t="n">
        <v>428.69</v>
      </c>
    </row>
    <row r="1622">
      <c r="A1622" t="inlineStr">
        <is>
          <t>ENC117467</t>
        </is>
      </c>
      <c r="B1622" t="inlineStr">
        <is>
          <t>PT13452</t>
        </is>
      </c>
      <c r="C1622" t="inlineStr">
        <is>
          <t>Inpatient</t>
        </is>
      </c>
      <c r="D1622" t="inlineStr">
        <is>
          <t>Bluestone Memorial Hospital</t>
        </is>
      </c>
      <c r="E1622" t="inlineStr">
        <is>
          <t>Medical-Surgical 5 East</t>
        </is>
      </c>
      <c r="F1622" t="inlineStr">
        <is>
          <t>Medicine</t>
        </is>
      </c>
      <c r="G1622" s="29" t="n">
        <v>45876</v>
      </c>
      <c r="H1622" s="29" t="n">
        <v>45881</v>
      </c>
      <c r="I1622" s="30" t="n">
        <v>5</v>
      </c>
      <c r="J1622" t="inlineStr">
        <is>
          <t>J18.9</t>
        </is>
      </c>
      <c r="K1622" t="inlineStr">
        <is>
          <t>Pneumonia, unspecified organism</t>
        </is>
      </c>
      <c r="L1622" t="inlineStr">
        <is>
          <t>Respiratory</t>
        </is>
      </c>
      <c r="M1622" t="inlineStr">
        <is>
          <t>Home/Self-Care</t>
        </is>
      </c>
      <c r="N1622" t="inlineStr">
        <is>
          <t>State Medicaid</t>
        </is>
      </c>
      <c r="O1622" s="31" t="n">
        <v>20830.58</v>
      </c>
      <c r="P1622" t="inlineStr">
        <is>
          <t>N</t>
        </is>
      </c>
    </row>
    <row r="1623">
      <c r="A1623" t="inlineStr">
        <is>
          <t>ENC117474</t>
        </is>
      </c>
      <c r="B1623" t="inlineStr">
        <is>
          <t>PT11228</t>
        </is>
      </c>
      <c r="C1623" t="inlineStr">
        <is>
          <t>Outpatient</t>
        </is>
      </c>
      <c r="D1623" t="inlineStr">
        <is>
          <t>Bluestone Outpatient Pavilion</t>
        </is>
      </c>
      <c r="E1623" t="inlineStr">
        <is>
          <t>Primary Care Clinic</t>
        </is>
      </c>
      <c r="F1623" t="inlineStr">
        <is>
          <t>Ambulatory</t>
        </is>
      </c>
      <c r="G1623" s="29" t="n">
        <v>45877</v>
      </c>
      <c r="H1623" s="29" t="n">
        <v>45877</v>
      </c>
      <c r="I1623" s="30" t="n"/>
      <c r="J1623" t="inlineStr">
        <is>
          <t>Z23</t>
        </is>
      </c>
      <c r="K1623" t="inlineStr">
        <is>
          <t>Encounter for immunization</t>
        </is>
      </c>
      <c r="L1623" t="inlineStr">
        <is>
          <t>Factors Influencing Health</t>
        </is>
      </c>
      <c r="M1623" t="inlineStr">
        <is>
          <t>Home/Self-Care</t>
        </is>
      </c>
      <c r="N1623" t="inlineStr">
        <is>
          <t>Silverline Medicare Advantage</t>
        </is>
      </c>
      <c r="O1623" s="31" t="n">
        <v>101.8</v>
      </c>
    </row>
    <row r="1624">
      <c r="A1624" t="inlineStr">
        <is>
          <t>ENC117475</t>
        </is>
      </c>
      <c r="B1624" t="inlineStr">
        <is>
          <t>PT10736</t>
        </is>
      </c>
      <c r="C1624" t="inlineStr">
        <is>
          <t>Outpatient</t>
        </is>
      </c>
      <c r="D1624" t="inlineStr">
        <is>
          <t>Bluestone Outpatient Pavilion</t>
        </is>
      </c>
      <c r="E1624" t="inlineStr">
        <is>
          <t>Orthopedic Clinic</t>
        </is>
      </c>
      <c r="F1624" t="inlineStr">
        <is>
          <t>Orthopedics</t>
        </is>
      </c>
      <c r="G1624" s="29" t="n">
        <v>45877</v>
      </c>
      <c r="H1624" s="29" t="n">
        <v>45877</v>
      </c>
      <c r="I1624" s="30" t="n"/>
      <c r="J1624" t="inlineStr">
        <is>
          <t>M17.11</t>
        </is>
      </c>
      <c r="K1624" t="inlineStr">
        <is>
          <t>Unilateral primary osteoarthritis, right knee</t>
        </is>
      </c>
      <c r="L1624" t="inlineStr">
        <is>
          <t>Musculoskeletal</t>
        </is>
      </c>
      <c r="M1624" t="inlineStr">
        <is>
          <t>Home/Self-Care</t>
        </is>
      </c>
      <c r="N1624" t="inlineStr">
        <is>
          <t>Keystone Health Partners</t>
        </is>
      </c>
      <c r="O1624" s="31" t="n">
        <v>439</v>
      </c>
    </row>
    <row r="1625">
      <c r="A1625" t="inlineStr">
        <is>
          <t>ENC117476</t>
        </is>
      </c>
      <c r="B1625" t="inlineStr">
        <is>
          <t>PT13548</t>
        </is>
      </c>
      <c r="C1625" t="inlineStr">
        <is>
          <t>Outpatient</t>
        </is>
      </c>
      <c r="D1625" t="inlineStr">
        <is>
          <t>Bluestone Outpatient Pavilion</t>
        </is>
      </c>
      <c r="E1625" t="inlineStr">
        <is>
          <t>Endocrinology &amp; Diabetes Clinic</t>
        </is>
      </c>
      <c r="F1625" t="inlineStr">
        <is>
          <t>Ambulatory</t>
        </is>
      </c>
      <c r="G1625" s="29" t="n">
        <v>45877</v>
      </c>
      <c r="H1625" s="29" t="n">
        <v>45877</v>
      </c>
      <c r="I1625" s="30" t="n"/>
      <c r="J1625" t="inlineStr">
        <is>
          <t>E11.9</t>
        </is>
      </c>
      <c r="K1625" t="inlineStr">
        <is>
          <t>Type 2 diabetes mellitus without complications</t>
        </is>
      </c>
      <c r="L1625" t="inlineStr">
        <is>
          <t>Endocrine</t>
        </is>
      </c>
      <c r="M1625" t="inlineStr">
        <is>
          <t>Home/Self-Care</t>
        </is>
      </c>
      <c r="N1625" t="inlineStr">
        <is>
          <t>Silverline Medicare Advantage</t>
        </is>
      </c>
      <c r="O1625" s="31" t="n">
        <v>346.94</v>
      </c>
    </row>
    <row r="1626">
      <c r="A1626" t="inlineStr">
        <is>
          <t>ENC117479</t>
        </is>
      </c>
      <c r="B1626" t="inlineStr">
        <is>
          <t>PT10636</t>
        </is>
      </c>
      <c r="C1626" t="inlineStr">
        <is>
          <t>Outpatient</t>
        </is>
      </c>
      <c r="D1626" t="inlineStr">
        <is>
          <t>Bluestone Outpatient Pavilion</t>
        </is>
      </c>
      <c r="E1626" t="inlineStr">
        <is>
          <t>Primary Care Clinic</t>
        </is>
      </c>
      <c r="F1626" t="inlineStr">
        <is>
          <t>Ambulatory</t>
        </is>
      </c>
      <c r="G1626" s="29" t="n">
        <v>45877</v>
      </c>
      <c r="H1626" s="29" t="n">
        <v>45877</v>
      </c>
      <c r="I1626" s="30" t="n"/>
      <c r="J1626" t="inlineStr">
        <is>
          <t>Z00.00</t>
        </is>
      </c>
      <c r="K1626" t="inlineStr">
        <is>
          <t>Encounter for general adult medical examination without abnormal findings</t>
        </is>
      </c>
      <c r="L1626" t="inlineStr">
        <is>
          <t>Factors Influencing Health</t>
        </is>
      </c>
      <c r="M1626" t="inlineStr">
        <is>
          <t>Home/Self-Care</t>
        </is>
      </c>
      <c r="N1626" t="inlineStr">
        <is>
          <t>Keystone Health Partners</t>
        </is>
      </c>
      <c r="O1626" s="31" t="n">
        <v>373.45</v>
      </c>
    </row>
    <row r="1627">
      <c r="A1627" t="inlineStr">
        <is>
          <t>ENC117483</t>
        </is>
      </c>
      <c r="B1627" t="inlineStr">
        <is>
          <t>PT10204</t>
        </is>
      </c>
      <c r="C1627" t="inlineStr">
        <is>
          <t>Outpatient</t>
        </is>
      </c>
      <c r="D1627" t="inlineStr">
        <is>
          <t>Bluestone Outpatient Pavilion</t>
        </is>
      </c>
      <c r="E1627" t="inlineStr">
        <is>
          <t>Endocrinology &amp; Diabetes Clinic</t>
        </is>
      </c>
      <c r="F1627" t="inlineStr">
        <is>
          <t>Ambulatory</t>
        </is>
      </c>
      <c r="G1627" s="29" t="n">
        <v>45877</v>
      </c>
      <c r="H1627" s="29" t="n">
        <v>45877</v>
      </c>
      <c r="I1627" s="30" t="n"/>
      <c r="J1627" t="inlineStr">
        <is>
          <t>E11.9</t>
        </is>
      </c>
      <c r="K1627" t="inlineStr">
        <is>
          <t>Type 2 diabetes mellitus without complications</t>
        </is>
      </c>
      <c r="L1627" t="inlineStr">
        <is>
          <t>Endocrine</t>
        </is>
      </c>
      <c r="M1627" t="inlineStr">
        <is>
          <t>Home/Self-Care</t>
        </is>
      </c>
      <c r="N1627" t="inlineStr">
        <is>
          <t>Keystone Health Partners</t>
        </is>
      </c>
      <c r="O1627" s="31" t="n">
        <v>262.96</v>
      </c>
    </row>
    <row r="1628">
      <c r="A1628" t="inlineStr">
        <is>
          <t>ENC117485</t>
        </is>
      </c>
      <c r="B1628" t="inlineStr">
        <is>
          <t>PT12088</t>
        </is>
      </c>
      <c r="C1628" t="inlineStr">
        <is>
          <t>Inpatient</t>
        </is>
      </c>
      <c r="D1628" t="inlineStr">
        <is>
          <t>Bluestone Memorial Hospital</t>
        </is>
      </c>
      <c r="E1628" t="inlineStr">
        <is>
          <t>Medical-Surgical 4 West</t>
        </is>
      </c>
      <c r="F1628" t="inlineStr">
        <is>
          <t>Medicine</t>
        </is>
      </c>
      <c r="G1628" s="29" t="n">
        <v>45877</v>
      </c>
      <c r="H1628" s="29" t="n">
        <v>45880</v>
      </c>
      <c r="I1628" s="30" t="n">
        <v>3</v>
      </c>
      <c r="J1628" t="inlineStr">
        <is>
          <t>K56.609</t>
        </is>
      </c>
      <c r="K1628" t="inlineStr">
        <is>
          <t>Unspecified intestinal obstruction</t>
        </is>
      </c>
      <c r="L1628" t="inlineStr">
        <is>
          <t>Digestive</t>
        </is>
      </c>
      <c r="M1628" t="inlineStr">
        <is>
          <t>Home/Self-Care</t>
        </is>
      </c>
      <c r="N1628" t="inlineStr">
        <is>
          <t>Evergreen Mutual Insurance</t>
        </is>
      </c>
      <c r="O1628" s="31" t="n">
        <v>39304.68</v>
      </c>
      <c r="P1628" t="inlineStr">
        <is>
          <t>N</t>
        </is>
      </c>
    </row>
    <row r="1629">
      <c r="A1629" t="inlineStr">
        <is>
          <t>ENC117497</t>
        </is>
      </c>
      <c r="B1629" t="inlineStr">
        <is>
          <t>PT11796</t>
        </is>
      </c>
      <c r="C1629" t="inlineStr">
        <is>
          <t>Observation</t>
        </is>
      </c>
      <c r="D1629" t="inlineStr">
        <is>
          <t>Bluestone Memorial Hospital</t>
        </is>
      </c>
      <c r="E1629" t="inlineStr">
        <is>
          <t>Observation Unit</t>
        </is>
      </c>
      <c r="F1629" t="inlineStr">
        <is>
          <t>Medicine</t>
        </is>
      </c>
      <c r="G1629" s="29" t="n">
        <v>45877</v>
      </c>
      <c r="H1629" s="29" t="n">
        <v>45879</v>
      </c>
      <c r="I1629" s="30" t="n">
        <v>2</v>
      </c>
      <c r="J1629" t="inlineStr">
        <is>
          <t>R55</t>
        </is>
      </c>
      <c r="K1629" t="inlineStr">
        <is>
          <t>Syncope and collapse</t>
        </is>
      </c>
      <c r="L1629" t="inlineStr">
        <is>
          <t>Symptoms &amp; Signs</t>
        </is>
      </c>
      <c r="M1629" t="inlineStr">
        <is>
          <t>Home/Self-Care</t>
        </is>
      </c>
      <c r="N1629" t="inlineStr">
        <is>
          <t>Silverline Medicare Advantage</t>
        </is>
      </c>
      <c r="O1629" s="31" t="n">
        <v>11601.91</v>
      </c>
    </row>
    <row r="1630">
      <c r="A1630" t="inlineStr">
        <is>
          <t>ENC117505</t>
        </is>
      </c>
      <c r="B1630" t="inlineStr">
        <is>
          <t>PT13636</t>
        </is>
      </c>
      <c r="C1630" t="inlineStr">
        <is>
          <t>Emergency</t>
        </is>
      </c>
      <c r="D1630" t="inlineStr">
        <is>
          <t>Bluestone Memorial Hospital</t>
        </is>
      </c>
      <c r="E1630" t="inlineStr">
        <is>
          <t>Emergency Department</t>
        </is>
      </c>
      <c r="F1630" t="inlineStr">
        <is>
          <t>Emergency</t>
        </is>
      </c>
      <c r="G1630" s="29" t="n">
        <v>45878</v>
      </c>
      <c r="H1630" s="29" t="n">
        <v>45878</v>
      </c>
      <c r="I1630" s="30" t="n"/>
      <c r="J1630" t="inlineStr">
        <is>
          <t>R10.9</t>
        </is>
      </c>
      <c r="K1630" t="inlineStr">
        <is>
          <t>Unspecified abdominal pain</t>
        </is>
      </c>
      <c r="L1630" t="inlineStr">
        <is>
          <t>Symptoms &amp; Signs</t>
        </is>
      </c>
      <c r="M1630" t="inlineStr">
        <is>
          <t>Home/Self-Care</t>
        </is>
      </c>
      <c r="N1630" t="inlineStr">
        <is>
          <t>Keystone Health Partners</t>
        </is>
      </c>
      <c r="O1630" s="31" t="n">
        <v>771.8099999999999</v>
      </c>
    </row>
    <row r="1631">
      <c r="A1631" t="inlineStr">
        <is>
          <t>ENC117508</t>
        </is>
      </c>
      <c r="B1631" t="inlineStr">
        <is>
          <t>PT10464</t>
        </is>
      </c>
      <c r="C1631" t="inlineStr">
        <is>
          <t>Observation</t>
        </is>
      </c>
      <c r="D1631" t="inlineStr">
        <is>
          <t>Bluestone Memorial Hospital</t>
        </is>
      </c>
      <c r="E1631" t="inlineStr">
        <is>
          <t>Observation Unit</t>
        </is>
      </c>
      <c r="F1631" t="inlineStr">
        <is>
          <t>Medicine</t>
        </is>
      </c>
      <c r="G1631" s="29" t="n">
        <v>45878</v>
      </c>
      <c r="H1631" s="29" t="n">
        <v>45879</v>
      </c>
      <c r="I1631" s="30" t="n">
        <v>1</v>
      </c>
      <c r="J1631" t="inlineStr">
        <is>
          <t>K92.2</t>
        </is>
      </c>
      <c r="K1631" t="inlineStr">
        <is>
          <t>Gastrointestinal hemorrhage, unspecified</t>
        </is>
      </c>
      <c r="L1631" t="inlineStr">
        <is>
          <t>Digestive</t>
        </is>
      </c>
      <c r="M1631" t="inlineStr">
        <is>
          <t>Home/Self-Care</t>
        </is>
      </c>
      <c r="N1631" t="inlineStr">
        <is>
          <t>Evergreen Mutual Insurance</t>
        </is>
      </c>
      <c r="O1631" s="31" t="n">
        <v>10941.02</v>
      </c>
    </row>
    <row r="1632">
      <c r="A1632" t="inlineStr">
        <is>
          <t>ENC117511</t>
        </is>
      </c>
      <c r="B1632" t="inlineStr">
        <is>
          <t>PT12976</t>
        </is>
      </c>
      <c r="C1632" t="inlineStr">
        <is>
          <t>Emergency</t>
        </is>
      </c>
      <c r="D1632" t="inlineStr">
        <is>
          <t>Bluestone Memorial Hospital</t>
        </is>
      </c>
      <c r="E1632" t="inlineStr">
        <is>
          <t>Emergency Department</t>
        </is>
      </c>
      <c r="F1632" t="inlineStr">
        <is>
          <t>Emergency</t>
        </is>
      </c>
      <c r="G1632" s="29" t="n">
        <v>45878</v>
      </c>
      <c r="H1632" s="29" t="n">
        <v>45878</v>
      </c>
      <c r="I1632" s="30" t="n"/>
      <c r="J1632" t="inlineStr">
        <is>
          <t>G40.909</t>
        </is>
      </c>
      <c r="K1632" t="inlineStr">
        <is>
          <t>Epilepsy, unspecified, not intractable, without status epilepticus</t>
        </is>
      </c>
      <c r="L1632" t="inlineStr">
        <is>
          <t>Nervous System</t>
        </is>
      </c>
      <c r="M1632" t="inlineStr">
        <is>
          <t>Home/Self-Care</t>
        </is>
      </c>
      <c r="N1632" t="inlineStr">
        <is>
          <t>Medicare</t>
        </is>
      </c>
      <c r="O1632" s="31" t="n">
        <v>2798.39</v>
      </c>
    </row>
    <row r="1633">
      <c r="A1633" t="inlineStr">
        <is>
          <t>ENC117526</t>
        </is>
      </c>
      <c r="B1633" t="inlineStr">
        <is>
          <t>PT11880</t>
        </is>
      </c>
      <c r="C1633" t="inlineStr">
        <is>
          <t>Emergency</t>
        </is>
      </c>
      <c r="D1633" t="inlineStr">
        <is>
          <t>Bluestone Memorial Hospital</t>
        </is>
      </c>
      <c r="E1633" t="inlineStr">
        <is>
          <t>Emergency Department</t>
        </is>
      </c>
      <c r="F1633" t="inlineStr">
        <is>
          <t>Emergency</t>
        </is>
      </c>
      <c r="G1633" s="29" t="n">
        <v>45879</v>
      </c>
      <c r="H1633" s="29" t="n">
        <v>45879</v>
      </c>
      <c r="I1633" s="30" t="n"/>
      <c r="J1633" t="inlineStr">
        <is>
          <t>S93.401A</t>
        </is>
      </c>
      <c r="K1633" t="inlineStr">
        <is>
          <t>Sprain of unspecified ligament of right ankle, initial encounter</t>
        </is>
      </c>
      <c r="L1633" t="inlineStr">
        <is>
          <t>Injury</t>
        </is>
      </c>
      <c r="M1633" t="inlineStr">
        <is>
          <t>Home/Self-Care</t>
        </is>
      </c>
      <c r="N1633" t="inlineStr">
        <is>
          <t>Medicare</t>
        </is>
      </c>
      <c r="O1633" s="31" t="n">
        <v>1378.65</v>
      </c>
    </row>
    <row r="1634">
      <c r="A1634" t="inlineStr">
        <is>
          <t>ENC117527</t>
        </is>
      </c>
      <c r="B1634" t="inlineStr">
        <is>
          <t>PT10488</t>
        </is>
      </c>
      <c r="C1634" t="inlineStr">
        <is>
          <t>Observation</t>
        </is>
      </c>
      <c r="D1634" t="inlineStr">
        <is>
          <t>Bluestone Memorial Hospital</t>
        </is>
      </c>
      <c r="E1634" t="inlineStr">
        <is>
          <t>Observation Unit</t>
        </is>
      </c>
      <c r="F1634" t="inlineStr">
        <is>
          <t>Medicine</t>
        </is>
      </c>
      <c r="G1634" s="29" t="n">
        <v>45879</v>
      </c>
      <c r="H1634" s="29" t="n">
        <v>45880</v>
      </c>
      <c r="I1634" s="30" t="n">
        <v>1</v>
      </c>
      <c r="J1634" t="inlineStr">
        <is>
          <t>R07.9</t>
        </is>
      </c>
      <c r="K1634" t="inlineStr">
        <is>
          <t>Chest pain, unspecified</t>
        </is>
      </c>
      <c r="L1634" t="inlineStr">
        <is>
          <t>Symptoms &amp; Signs</t>
        </is>
      </c>
      <c r="M1634" t="inlineStr">
        <is>
          <t>Home/Self-Care</t>
        </is>
      </c>
      <c r="N1634" t="inlineStr">
        <is>
          <t>Medicare</t>
        </is>
      </c>
      <c r="O1634" s="31" t="n">
        <v>12658.3</v>
      </c>
    </row>
    <row r="1635">
      <c r="A1635" t="inlineStr">
        <is>
          <t>ENC117537</t>
        </is>
      </c>
      <c r="B1635" t="inlineStr">
        <is>
          <t>PT12080</t>
        </is>
      </c>
      <c r="C1635" t="inlineStr">
        <is>
          <t>Outpatient</t>
        </is>
      </c>
      <c r="D1635" t="inlineStr">
        <is>
          <t>Bluestone Outpatient Pavilion</t>
        </is>
      </c>
      <c r="E1635" t="inlineStr">
        <is>
          <t>Primary Care Clinic</t>
        </is>
      </c>
      <c r="F1635" t="inlineStr">
        <is>
          <t>Ambulatory</t>
        </is>
      </c>
      <c r="G1635" s="29" t="n">
        <v>45880</v>
      </c>
      <c r="H1635" s="29" t="n">
        <v>45880</v>
      </c>
      <c r="I1635" s="30" t="n"/>
      <c r="J1635" t="inlineStr">
        <is>
          <t>G43.909</t>
        </is>
      </c>
      <c r="K1635" t="inlineStr">
        <is>
          <t>Migraine, unspecified, not intractable, without status migrainosus</t>
        </is>
      </c>
      <c r="L1635" t="inlineStr">
        <is>
          <t>Nervous System</t>
        </is>
      </c>
      <c r="M1635" t="inlineStr">
        <is>
          <t>Home/Self-Care</t>
        </is>
      </c>
      <c r="N1635" t="inlineStr">
        <is>
          <t>Self-Pay</t>
        </is>
      </c>
      <c r="O1635" s="31" t="n">
        <v>550.71</v>
      </c>
    </row>
    <row r="1636">
      <c r="A1636" t="inlineStr">
        <is>
          <t>ENC117539</t>
        </is>
      </c>
      <c r="B1636" t="inlineStr">
        <is>
          <t>PT12028</t>
        </is>
      </c>
      <c r="C1636" t="inlineStr">
        <is>
          <t>Inpatient</t>
        </is>
      </c>
      <c r="D1636" t="inlineStr">
        <is>
          <t>Ashby Falls Community Hospital</t>
        </is>
      </c>
      <c r="E1636" t="inlineStr">
        <is>
          <t>Medical-Surgical</t>
        </is>
      </c>
      <c r="F1636" t="inlineStr">
        <is>
          <t>Medicine</t>
        </is>
      </c>
      <c r="G1636" s="29" t="n">
        <v>45880</v>
      </c>
      <c r="H1636" s="29" t="n">
        <v>45884</v>
      </c>
      <c r="I1636" s="30" t="n">
        <v>4</v>
      </c>
      <c r="J1636" t="inlineStr">
        <is>
          <t>F10.239</t>
        </is>
      </c>
      <c r="K1636" t="inlineStr">
        <is>
          <t>Alcohol dependence with withdrawal, unspecified</t>
        </is>
      </c>
      <c r="L1636" t="inlineStr">
        <is>
          <t>Mental &amp; Behavioral</t>
        </is>
      </c>
      <c r="M1636" t="inlineStr">
        <is>
          <t>Home Health</t>
        </is>
      </c>
      <c r="N1636" t="inlineStr">
        <is>
          <t>Self-Pay</t>
        </is>
      </c>
      <c r="O1636" s="31" t="n">
        <v>31709.26</v>
      </c>
      <c r="P1636" t="inlineStr">
        <is>
          <t>N</t>
        </is>
      </c>
    </row>
    <row r="1637">
      <c r="A1637" t="inlineStr">
        <is>
          <t>ENC117540</t>
        </is>
      </c>
      <c r="B1637" t="inlineStr">
        <is>
          <t>PT13912</t>
        </is>
      </c>
      <c r="C1637" t="inlineStr">
        <is>
          <t>Outpatient</t>
        </is>
      </c>
      <c r="D1637" t="inlineStr">
        <is>
          <t>Bluestone Outpatient Pavilion</t>
        </is>
      </c>
      <c r="E1637" t="inlineStr">
        <is>
          <t>Pediatric Clinic</t>
        </is>
      </c>
      <c r="F1637" t="inlineStr">
        <is>
          <t>Women &amp; Children</t>
        </is>
      </c>
      <c r="G1637" s="29" t="n">
        <v>45880</v>
      </c>
      <c r="H1637" s="29" t="n">
        <v>45880</v>
      </c>
      <c r="I1637" s="30" t="n"/>
      <c r="J1637" t="inlineStr">
        <is>
          <t>Z00.129</t>
        </is>
      </c>
      <c r="K1637" t="inlineStr">
        <is>
          <t>Encounter for routine child health examination without abnormal findings</t>
        </is>
      </c>
      <c r="L1637" t="inlineStr">
        <is>
          <t>Factors Influencing Health</t>
        </is>
      </c>
      <c r="M1637" t="inlineStr">
        <is>
          <t>Home/Self-Care</t>
        </is>
      </c>
      <c r="N1637" t="inlineStr">
        <is>
          <t>State Medicaid</t>
        </is>
      </c>
      <c r="O1637" s="31" t="n">
        <v>481.57</v>
      </c>
    </row>
    <row r="1638">
      <c r="A1638" t="inlineStr">
        <is>
          <t>ENC117542</t>
        </is>
      </c>
      <c r="B1638" t="inlineStr">
        <is>
          <t>PT12000</t>
        </is>
      </c>
      <c r="C1638" t="inlineStr">
        <is>
          <t>Emergency</t>
        </is>
      </c>
      <c r="D1638" t="inlineStr">
        <is>
          <t>Bluestone Memorial Hospital</t>
        </is>
      </c>
      <c r="E1638" t="inlineStr">
        <is>
          <t>Emergency Department</t>
        </is>
      </c>
      <c r="F1638" t="inlineStr">
        <is>
          <t>Emergency</t>
        </is>
      </c>
      <c r="G1638" s="29" t="n">
        <v>45880</v>
      </c>
      <c r="H1638" s="29" t="n">
        <v>45880</v>
      </c>
      <c r="I1638" s="30" t="n"/>
      <c r="J1638" t="inlineStr">
        <is>
          <t>J45.909</t>
        </is>
      </c>
      <c r="K1638" t="inlineStr">
        <is>
          <t>Unspecified asthma, uncomplicated</t>
        </is>
      </c>
      <c r="L1638" t="inlineStr">
        <is>
          <t>Respiratory</t>
        </is>
      </c>
      <c r="M1638" t="inlineStr">
        <is>
          <t>Home/Self-Care</t>
        </is>
      </c>
      <c r="N1638" t="inlineStr">
        <is>
          <t>Evergreen Mutual Insurance</t>
        </is>
      </c>
      <c r="O1638" s="31" t="n">
        <v>3479.93</v>
      </c>
    </row>
    <row r="1639">
      <c r="A1639" t="inlineStr">
        <is>
          <t>ENC117547</t>
        </is>
      </c>
      <c r="B1639" t="inlineStr">
        <is>
          <t>PT11668</t>
        </is>
      </c>
      <c r="C1639" t="inlineStr">
        <is>
          <t>Outpatient</t>
        </is>
      </c>
      <c r="D1639" t="inlineStr">
        <is>
          <t>Bluestone Outpatient Pavilion</t>
        </is>
      </c>
      <c r="E1639" t="inlineStr">
        <is>
          <t>Primary Care Clinic</t>
        </is>
      </c>
      <c r="F1639" t="inlineStr">
        <is>
          <t>Ambulatory</t>
        </is>
      </c>
      <c r="G1639" s="29" t="n">
        <v>45880</v>
      </c>
      <c r="H1639" s="29" t="n">
        <v>45880</v>
      </c>
      <c r="I1639" s="30" t="n"/>
      <c r="J1639" t="inlineStr">
        <is>
          <t>I10</t>
        </is>
      </c>
      <c r="K1639" t="inlineStr">
        <is>
          <t>Essential (primary) hypertension</t>
        </is>
      </c>
      <c r="L1639" t="inlineStr">
        <is>
          <t>Circulatory</t>
        </is>
      </c>
      <c r="M1639" t="inlineStr">
        <is>
          <t>Home/Self-Care</t>
        </is>
      </c>
      <c r="N1639" t="inlineStr">
        <is>
          <t>Keystone Health Partners</t>
        </is>
      </c>
      <c r="O1639" s="31" t="n">
        <v>225.37</v>
      </c>
    </row>
    <row r="1640">
      <c r="A1640" t="inlineStr">
        <is>
          <t>ENC117550</t>
        </is>
      </c>
      <c r="B1640" t="inlineStr">
        <is>
          <t>PT10676</t>
        </is>
      </c>
      <c r="C1640" t="inlineStr">
        <is>
          <t>Inpatient</t>
        </is>
      </c>
      <c r="D1640" t="inlineStr">
        <is>
          <t>Cedar Ridge Medical Center</t>
        </is>
      </c>
      <c r="E1640" t="inlineStr">
        <is>
          <t>Medical-Surgical</t>
        </is>
      </c>
      <c r="F1640" t="inlineStr">
        <is>
          <t>Medicine</t>
        </is>
      </c>
      <c r="G1640" s="29" t="n">
        <v>45880</v>
      </c>
      <c r="H1640" s="29" t="n">
        <v>45883</v>
      </c>
      <c r="I1640" s="30" t="n">
        <v>3</v>
      </c>
      <c r="J1640" t="inlineStr">
        <is>
          <t>N39.0</t>
        </is>
      </c>
      <c r="K1640" t="inlineStr">
        <is>
          <t>Urinary tract infection, site not specified</t>
        </is>
      </c>
      <c r="L1640" t="inlineStr">
        <is>
          <t>Genitourinary</t>
        </is>
      </c>
      <c r="M1640" t="inlineStr">
        <is>
          <t>Home/Self-Care</t>
        </is>
      </c>
      <c r="N1640" t="inlineStr">
        <is>
          <t>Medicare</t>
        </is>
      </c>
      <c r="O1640" s="31" t="n">
        <v>11351.36</v>
      </c>
      <c r="P1640" t="inlineStr">
        <is>
          <t>N</t>
        </is>
      </c>
    </row>
    <row r="1641">
      <c r="A1641" t="inlineStr">
        <is>
          <t>ENC117554</t>
        </is>
      </c>
      <c r="B1641" t="inlineStr">
        <is>
          <t>PT10960</t>
        </is>
      </c>
      <c r="C1641" t="inlineStr">
        <is>
          <t>Outpatient</t>
        </is>
      </c>
      <c r="D1641" t="inlineStr">
        <is>
          <t>Bluestone Outpatient Pavilion</t>
        </is>
      </c>
      <c r="E1641" t="inlineStr">
        <is>
          <t>Pediatric Clinic</t>
        </is>
      </c>
      <c r="F1641" t="inlineStr">
        <is>
          <t>Women &amp; Children</t>
        </is>
      </c>
      <c r="G1641" s="29" t="n">
        <v>45880</v>
      </c>
      <c r="H1641" s="29" t="n">
        <v>45880</v>
      </c>
      <c r="I1641" s="30" t="n"/>
      <c r="J1641" t="inlineStr">
        <is>
          <t>Z00.129</t>
        </is>
      </c>
      <c r="K1641" t="inlineStr">
        <is>
          <t>Encounter for routine child health examination without abnormal findings</t>
        </is>
      </c>
      <c r="L1641" t="inlineStr">
        <is>
          <t>Factors Influencing Health</t>
        </is>
      </c>
      <c r="M1641" t="inlineStr">
        <is>
          <t>Home/Self-Care</t>
        </is>
      </c>
      <c r="N1641" t="inlineStr">
        <is>
          <t>Keystone Health Partners</t>
        </is>
      </c>
      <c r="O1641" s="31" t="n">
        <v>354.68</v>
      </c>
    </row>
    <row r="1642">
      <c r="A1642" t="inlineStr">
        <is>
          <t>ENC117556</t>
        </is>
      </c>
      <c r="B1642" t="inlineStr">
        <is>
          <t>PT13920</t>
        </is>
      </c>
      <c r="C1642" t="inlineStr">
        <is>
          <t>Observation</t>
        </is>
      </c>
      <c r="D1642" t="inlineStr">
        <is>
          <t>Bluestone Memorial Hospital</t>
        </is>
      </c>
      <c r="E1642" t="inlineStr">
        <is>
          <t>Observation Unit</t>
        </is>
      </c>
      <c r="F1642" t="inlineStr">
        <is>
          <t>Medicine</t>
        </is>
      </c>
      <c r="G1642" s="29" t="n">
        <v>45880</v>
      </c>
      <c r="H1642" s="29" t="n">
        <v>45881</v>
      </c>
      <c r="I1642" s="30" t="n">
        <v>1</v>
      </c>
      <c r="J1642" t="inlineStr">
        <is>
          <t>R10.9</t>
        </is>
      </c>
      <c r="K1642" t="inlineStr">
        <is>
          <t>Unspecified abdominal pain</t>
        </is>
      </c>
      <c r="L1642" t="inlineStr">
        <is>
          <t>Symptoms &amp; Signs</t>
        </is>
      </c>
      <c r="M1642" t="inlineStr">
        <is>
          <t>Home/Self-Care</t>
        </is>
      </c>
      <c r="N1642" t="inlineStr">
        <is>
          <t>Medicare</t>
        </is>
      </c>
      <c r="O1642" s="31" t="n">
        <v>6554.91</v>
      </c>
    </row>
    <row r="1643">
      <c r="A1643" t="inlineStr">
        <is>
          <t>ENC117557</t>
        </is>
      </c>
      <c r="B1643" t="inlineStr">
        <is>
          <t>PT12316</t>
        </is>
      </c>
      <c r="C1643" t="inlineStr">
        <is>
          <t>Emergency</t>
        </is>
      </c>
      <c r="D1643" t="inlineStr">
        <is>
          <t>Cedar Ridge Medical Center</t>
        </is>
      </c>
      <c r="E1643" t="inlineStr">
        <is>
          <t>Emergency Department</t>
        </is>
      </c>
      <c r="F1643" t="inlineStr">
        <is>
          <t>Emergency</t>
        </is>
      </c>
      <c r="G1643" s="29" t="n">
        <v>45880</v>
      </c>
      <c r="H1643" s="29" t="n">
        <v>45880</v>
      </c>
      <c r="I1643" s="30" t="n"/>
      <c r="J1643" t="inlineStr">
        <is>
          <t>S93.401A</t>
        </is>
      </c>
      <c r="K1643" t="inlineStr">
        <is>
          <t>Sprain of unspecified ligament of right ankle, initial encounter</t>
        </is>
      </c>
      <c r="L1643" t="inlineStr">
        <is>
          <t>Injury</t>
        </is>
      </c>
      <c r="M1643" t="inlineStr">
        <is>
          <t>Home/Self-Care</t>
        </is>
      </c>
      <c r="N1643" t="inlineStr">
        <is>
          <t>Silverline Medicare Advantage</t>
        </is>
      </c>
      <c r="O1643" s="31" t="n">
        <v>719.64</v>
      </c>
    </row>
    <row r="1644">
      <c r="A1644" t="inlineStr">
        <is>
          <t>ENC117558</t>
        </is>
      </c>
      <c r="B1644" t="inlineStr">
        <is>
          <t>PT11268</t>
        </is>
      </c>
      <c r="C1644" t="inlineStr">
        <is>
          <t>Emergency</t>
        </is>
      </c>
      <c r="D1644" t="inlineStr">
        <is>
          <t>Bluestone Memorial Hospital</t>
        </is>
      </c>
      <c r="E1644" t="inlineStr">
        <is>
          <t>Emergency Department</t>
        </is>
      </c>
      <c r="F1644" t="inlineStr">
        <is>
          <t>Emergency</t>
        </is>
      </c>
      <c r="G1644" s="29" t="n">
        <v>45880</v>
      </c>
      <c r="H1644" s="29" t="n">
        <v>45881</v>
      </c>
      <c r="I1644" s="30" t="n"/>
      <c r="J1644" t="inlineStr">
        <is>
          <t>J06.9</t>
        </is>
      </c>
      <c r="K1644" t="inlineStr">
        <is>
          <t>Acute upper respiratory infection, unspecified</t>
        </is>
      </c>
      <c r="L1644" t="inlineStr">
        <is>
          <t>Respiratory</t>
        </is>
      </c>
      <c r="M1644" t="inlineStr">
        <is>
          <t>Home/Self-Care</t>
        </is>
      </c>
      <c r="N1644" t="inlineStr">
        <is>
          <t>Silverline Medicare Advantage</t>
        </is>
      </c>
      <c r="O1644" s="31" t="n">
        <v>1304.67</v>
      </c>
    </row>
    <row r="1645">
      <c r="A1645" t="inlineStr">
        <is>
          <t>ENC117565</t>
        </is>
      </c>
      <c r="B1645" t="inlineStr">
        <is>
          <t>PT10428</t>
        </is>
      </c>
      <c r="C1645" t="inlineStr">
        <is>
          <t>Inpatient</t>
        </is>
      </c>
      <c r="D1645" t="inlineStr">
        <is>
          <t>Bluestone Memorial Hospital</t>
        </is>
      </c>
      <c r="E1645" t="inlineStr">
        <is>
          <t>Orthopedics &amp; Spine</t>
        </is>
      </c>
      <c r="F1645" t="inlineStr">
        <is>
          <t>Orthopedics</t>
        </is>
      </c>
      <c r="G1645" s="29" t="n">
        <v>45881</v>
      </c>
      <c r="H1645" s="29" t="n">
        <v>45883</v>
      </c>
      <c r="I1645" s="30" t="n">
        <v>2</v>
      </c>
      <c r="J1645" t="inlineStr">
        <is>
          <t>M17.11</t>
        </is>
      </c>
      <c r="K1645" t="inlineStr">
        <is>
          <t>Unilateral primary osteoarthritis, right knee</t>
        </is>
      </c>
      <c r="L1645" t="inlineStr">
        <is>
          <t>Musculoskeletal</t>
        </is>
      </c>
      <c r="M1645" t="inlineStr">
        <is>
          <t>Home Health</t>
        </is>
      </c>
      <c r="N1645" t="inlineStr">
        <is>
          <t>Medicare</t>
        </is>
      </c>
      <c r="O1645" s="31" t="n">
        <v>41479.27</v>
      </c>
      <c r="P1645" t="inlineStr">
        <is>
          <t>N</t>
        </is>
      </c>
    </row>
    <row r="1646">
      <c r="A1646" t="inlineStr">
        <is>
          <t>ENC117566</t>
        </is>
      </c>
      <c r="B1646" t="inlineStr">
        <is>
          <t>PT11828</t>
        </is>
      </c>
      <c r="C1646" t="inlineStr">
        <is>
          <t>Inpatient</t>
        </is>
      </c>
      <c r="D1646" t="inlineStr">
        <is>
          <t>Bluestone Memorial Hospital</t>
        </is>
      </c>
      <c r="E1646" t="inlineStr">
        <is>
          <t>Medical-Surgical 5 East</t>
        </is>
      </c>
      <c r="F1646" t="inlineStr">
        <is>
          <t>Medicine</t>
        </is>
      </c>
      <c r="G1646" s="29" t="n">
        <v>45881</v>
      </c>
      <c r="H1646" s="29" t="n">
        <v>45885</v>
      </c>
      <c r="I1646" s="30" t="n">
        <v>4</v>
      </c>
      <c r="J1646" t="inlineStr">
        <is>
          <t>F10.239</t>
        </is>
      </c>
      <c r="K1646" t="inlineStr">
        <is>
          <t>Alcohol dependence with withdrawal, unspecified</t>
        </is>
      </c>
      <c r="L1646" t="inlineStr">
        <is>
          <t>Mental &amp; Behavioral</t>
        </is>
      </c>
      <c r="M1646" t="inlineStr">
        <is>
          <t>Home/Self-Care</t>
        </is>
      </c>
      <c r="N1646" t="inlineStr">
        <is>
          <t>Summit Choice PPO</t>
        </is>
      </c>
      <c r="O1646" s="31" t="n">
        <v>14776.73</v>
      </c>
      <c r="P1646" t="inlineStr">
        <is>
          <t>N</t>
        </is>
      </c>
    </row>
    <row r="1647">
      <c r="A1647" t="inlineStr">
        <is>
          <t>ENC117567</t>
        </is>
      </c>
      <c r="B1647" t="inlineStr">
        <is>
          <t>PT10316</t>
        </is>
      </c>
      <c r="C1647" t="inlineStr">
        <is>
          <t>Inpatient</t>
        </is>
      </c>
      <c r="D1647" t="inlineStr">
        <is>
          <t>Bluestone Memorial Hospital</t>
        </is>
      </c>
      <c r="E1647" t="inlineStr">
        <is>
          <t>Orthopedics &amp; Spine</t>
        </is>
      </c>
      <c r="F1647" t="inlineStr">
        <is>
          <t>Orthopedics</t>
        </is>
      </c>
      <c r="G1647" s="29" t="n">
        <v>45881</v>
      </c>
      <c r="H1647" s="29" t="n">
        <v>45883</v>
      </c>
      <c r="I1647" s="30" t="n">
        <v>2</v>
      </c>
      <c r="J1647" t="inlineStr">
        <is>
          <t>M17.11</t>
        </is>
      </c>
      <c r="K1647" t="inlineStr">
        <is>
          <t>Unilateral primary osteoarthritis, right knee</t>
        </is>
      </c>
      <c r="L1647" t="inlineStr">
        <is>
          <t>Musculoskeletal</t>
        </is>
      </c>
      <c r="M1647" t="inlineStr">
        <is>
          <t>Home Health</t>
        </is>
      </c>
      <c r="N1647" t="inlineStr">
        <is>
          <t>Silverline Medicare Advantage</t>
        </is>
      </c>
      <c r="O1647" s="31" t="n">
        <v>52688.18</v>
      </c>
      <c r="P1647" t="inlineStr">
        <is>
          <t>N</t>
        </is>
      </c>
    </row>
    <row r="1648">
      <c r="A1648" t="inlineStr">
        <is>
          <t>ENC117572</t>
        </is>
      </c>
      <c r="B1648" t="inlineStr">
        <is>
          <t>PT11712</t>
        </is>
      </c>
      <c r="C1648" t="inlineStr">
        <is>
          <t>Emergency</t>
        </is>
      </c>
      <c r="D1648" t="inlineStr">
        <is>
          <t>Cedar Ridge Medical Center</t>
        </is>
      </c>
      <c r="E1648" t="inlineStr">
        <is>
          <t>Emergency Department</t>
        </is>
      </c>
      <c r="F1648" t="inlineStr">
        <is>
          <t>Emergency</t>
        </is>
      </c>
      <c r="G1648" s="29" t="n">
        <v>45881</v>
      </c>
      <c r="H1648" s="29" t="n">
        <v>45881</v>
      </c>
      <c r="I1648" s="30" t="n"/>
      <c r="J1648" t="inlineStr">
        <is>
          <t>S06.0X0A</t>
        </is>
      </c>
      <c r="K1648" t="inlineStr">
        <is>
          <t>Concussion without loss of consciousness, initial encounter</t>
        </is>
      </c>
      <c r="L1648" t="inlineStr">
        <is>
          <t>Injury</t>
        </is>
      </c>
      <c r="M1648" t="inlineStr">
        <is>
          <t>Home/Self-Care</t>
        </is>
      </c>
      <c r="N1648" t="inlineStr">
        <is>
          <t>Medicare</t>
        </is>
      </c>
      <c r="O1648" s="31" t="n">
        <v>1451.56</v>
      </c>
    </row>
    <row r="1649">
      <c r="A1649" t="inlineStr">
        <is>
          <t>ENC117577</t>
        </is>
      </c>
      <c r="B1649" t="inlineStr">
        <is>
          <t>PT13052</t>
        </is>
      </c>
      <c r="C1649" t="inlineStr">
        <is>
          <t>Outpatient</t>
        </is>
      </c>
      <c r="D1649" t="inlineStr">
        <is>
          <t>Bluestone Outpatient Pavilion</t>
        </is>
      </c>
      <c r="E1649" t="inlineStr">
        <is>
          <t>Primary Care Clinic</t>
        </is>
      </c>
      <c r="F1649" t="inlineStr">
        <is>
          <t>Ambulatory</t>
        </is>
      </c>
      <c r="G1649" s="29" t="n">
        <v>45881</v>
      </c>
      <c r="H1649" s="29" t="n">
        <v>45881</v>
      </c>
      <c r="I1649" s="30" t="n"/>
      <c r="J1649" t="inlineStr">
        <is>
          <t>I10</t>
        </is>
      </c>
      <c r="K1649" t="inlineStr">
        <is>
          <t>Essential (primary) hypertension</t>
        </is>
      </c>
      <c r="L1649" t="inlineStr">
        <is>
          <t>Circulatory</t>
        </is>
      </c>
      <c r="M1649" t="inlineStr">
        <is>
          <t>Home/Self-Care</t>
        </is>
      </c>
      <c r="N1649" t="inlineStr">
        <is>
          <t>Summit Choice PPO</t>
        </is>
      </c>
      <c r="O1649" s="31" t="n">
        <v>309.11</v>
      </c>
    </row>
    <row r="1650">
      <c r="A1650" t="inlineStr">
        <is>
          <t>ENC117587</t>
        </is>
      </c>
      <c r="B1650" t="inlineStr">
        <is>
          <t>PT12252</t>
        </is>
      </c>
      <c r="C1650" t="inlineStr">
        <is>
          <t>Outpatient</t>
        </is>
      </c>
      <c r="D1650" t="inlineStr">
        <is>
          <t>Bluestone Outpatient Pavilion</t>
        </is>
      </c>
      <c r="E1650" t="inlineStr">
        <is>
          <t>Pediatric Clinic</t>
        </is>
      </c>
      <c r="F1650" t="inlineStr">
        <is>
          <t>Women &amp; Children</t>
        </is>
      </c>
      <c r="G1650" s="29" t="n">
        <v>45881</v>
      </c>
      <c r="H1650" s="29" t="n">
        <v>45881</v>
      </c>
      <c r="I1650" s="30" t="n"/>
      <c r="J1650" t="inlineStr">
        <is>
          <t>Z00.129</t>
        </is>
      </c>
      <c r="K1650" t="inlineStr">
        <is>
          <t>Encounter for routine child health examination without abnormal findings</t>
        </is>
      </c>
      <c r="L1650" t="inlineStr">
        <is>
          <t>Factors Influencing Health</t>
        </is>
      </c>
      <c r="M1650" t="inlineStr">
        <is>
          <t>Home/Self-Care</t>
        </is>
      </c>
      <c r="N1650" t="inlineStr">
        <is>
          <t>State Medicaid</t>
        </is>
      </c>
      <c r="O1650" s="31" t="n">
        <v>512.64</v>
      </c>
    </row>
    <row r="1651">
      <c r="A1651" t="inlineStr">
        <is>
          <t>ENC117588</t>
        </is>
      </c>
      <c r="B1651" t="inlineStr">
        <is>
          <t>PT12596</t>
        </is>
      </c>
      <c r="C1651" t="inlineStr">
        <is>
          <t>Emergency</t>
        </is>
      </c>
      <c r="D1651" t="inlineStr">
        <is>
          <t>Bluestone Memorial Hospital</t>
        </is>
      </c>
      <c r="E1651" t="inlineStr">
        <is>
          <t>Emergency Department</t>
        </is>
      </c>
      <c r="F1651" t="inlineStr">
        <is>
          <t>Emergency</t>
        </is>
      </c>
      <c r="G1651" s="29" t="n">
        <v>45881</v>
      </c>
      <c r="H1651" s="29" t="n">
        <v>45881</v>
      </c>
      <c r="I1651" s="30" t="n"/>
      <c r="J1651" t="inlineStr">
        <is>
          <t>J06.9</t>
        </is>
      </c>
      <c r="K1651" t="inlineStr">
        <is>
          <t>Acute upper respiratory infection, unspecified</t>
        </is>
      </c>
      <c r="L1651" t="inlineStr">
        <is>
          <t>Respiratory</t>
        </is>
      </c>
      <c r="M1651" t="inlineStr">
        <is>
          <t>Home/Self-Care</t>
        </is>
      </c>
      <c r="N1651" t="inlineStr">
        <is>
          <t>State Medicaid</t>
        </is>
      </c>
      <c r="O1651" s="31" t="n">
        <v>725.66</v>
      </c>
    </row>
    <row r="1652">
      <c r="A1652" t="inlineStr">
        <is>
          <t>ENC117595</t>
        </is>
      </c>
      <c r="B1652" t="inlineStr">
        <is>
          <t>PT12588</t>
        </is>
      </c>
      <c r="C1652" t="inlineStr">
        <is>
          <t>Emergency</t>
        </is>
      </c>
      <c r="D1652" t="inlineStr">
        <is>
          <t>Cedar Ridge Medical Center</t>
        </is>
      </c>
      <c r="E1652" t="inlineStr">
        <is>
          <t>Emergency Department</t>
        </is>
      </c>
      <c r="F1652" t="inlineStr">
        <is>
          <t>Emergency</t>
        </is>
      </c>
      <c r="G1652" s="29" t="n">
        <v>45881</v>
      </c>
      <c r="H1652" s="29" t="n">
        <v>45881</v>
      </c>
      <c r="I1652" s="30" t="n"/>
      <c r="J1652" t="inlineStr">
        <is>
          <t>N39.0</t>
        </is>
      </c>
      <c r="K1652" t="inlineStr">
        <is>
          <t>Urinary tract infection, site not specified</t>
        </is>
      </c>
      <c r="L1652" t="inlineStr">
        <is>
          <t>Genitourinary</t>
        </is>
      </c>
      <c r="M1652" t="inlineStr">
        <is>
          <t>Home/Self-Care</t>
        </is>
      </c>
      <c r="N1652" t="inlineStr">
        <is>
          <t>Summit Choice PPO</t>
        </is>
      </c>
      <c r="O1652" s="31" t="n">
        <v>3325.66</v>
      </c>
    </row>
    <row r="1653">
      <c r="A1653" t="inlineStr">
        <is>
          <t>ENC117596</t>
        </is>
      </c>
      <c r="B1653" t="inlineStr">
        <is>
          <t>PT13228</t>
        </is>
      </c>
      <c r="C1653" t="inlineStr">
        <is>
          <t>Emergency</t>
        </is>
      </c>
      <c r="D1653" t="inlineStr">
        <is>
          <t>Bluestone Memorial Hospital</t>
        </is>
      </c>
      <c r="E1653" t="inlineStr">
        <is>
          <t>Emergency Department</t>
        </is>
      </c>
      <c r="F1653" t="inlineStr">
        <is>
          <t>Emergency</t>
        </is>
      </c>
      <c r="G1653" s="29" t="n">
        <v>45881</v>
      </c>
      <c r="H1653" s="29" t="n">
        <v>45881</v>
      </c>
      <c r="I1653" s="30" t="n"/>
      <c r="J1653" t="inlineStr">
        <is>
          <t>N39.0</t>
        </is>
      </c>
      <c r="K1653" t="inlineStr">
        <is>
          <t>Urinary tract infection, site not specified</t>
        </is>
      </c>
      <c r="L1653" t="inlineStr">
        <is>
          <t>Genitourinary</t>
        </is>
      </c>
      <c r="M1653" t="inlineStr">
        <is>
          <t>Home/Self-Care</t>
        </is>
      </c>
      <c r="N1653" t="inlineStr">
        <is>
          <t>Evergreen Mutual Insurance</t>
        </is>
      </c>
      <c r="O1653" s="31" t="n">
        <v>1364.01</v>
      </c>
    </row>
    <row r="1654">
      <c r="A1654" t="inlineStr">
        <is>
          <t>ENC117604</t>
        </is>
      </c>
      <c r="B1654" t="inlineStr">
        <is>
          <t>PT13376</t>
        </is>
      </c>
      <c r="C1654" t="inlineStr">
        <is>
          <t>Outpatient</t>
        </is>
      </c>
      <c r="D1654" t="inlineStr">
        <is>
          <t>Bluestone Outpatient Pavilion</t>
        </is>
      </c>
      <c r="E1654" t="inlineStr">
        <is>
          <t>Endocrinology &amp; Diabetes Clinic</t>
        </is>
      </c>
      <c r="F1654" t="inlineStr">
        <is>
          <t>Ambulatory</t>
        </is>
      </c>
      <c r="G1654" s="29" t="n">
        <v>45882</v>
      </c>
      <c r="H1654" s="29" t="n">
        <v>45882</v>
      </c>
      <c r="I1654" s="30" t="n"/>
      <c r="J1654" t="inlineStr">
        <is>
          <t>E11.65</t>
        </is>
      </c>
      <c r="K1654" t="inlineStr">
        <is>
          <t>Type 2 diabetes mellitus with hyperglycemia</t>
        </is>
      </c>
      <c r="L1654" t="inlineStr">
        <is>
          <t>Endocrine</t>
        </is>
      </c>
      <c r="M1654" t="inlineStr">
        <is>
          <t>Home/Self-Care</t>
        </is>
      </c>
      <c r="N1654" t="inlineStr">
        <is>
          <t>State Medicaid</t>
        </is>
      </c>
      <c r="O1654" s="31" t="n">
        <v>458.17</v>
      </c>
    </row>
    <row r="1655">
      <c r="A1655" t="inlineStr">
        <is>
          <t>ENC117612</t>
        </is>
      </c>
      <c r="B1655" t="inlineStr">
        <is>
          <t>PT13440</t>
        </is>
      </c>
      <c r="C1655" t="inlineStr">
        <is>
          <t>Emergency</t>
        </is>
      </c>
      <c r="D1655" t="inlineStr">
        <is>
          <t>Bluestone Memorial Hospital</t>
        </is>
      </c>
      <c r="E1655" t="inlineStr">
        <is>
          <t>Emergency Department</t>
        </is>
      </c>
      <c r="F1655" t="inlineStr">
        <is>
          <t>Emergency</t>
        </is>
      </c>
      <c r="G1655" s="29" t="n">
        <v>45882</v>
      </c>
      <c r="H1655" s="29" t="n">
        <v>45882</v>
      </c>
      <c r="I1655" s="30" t="n"/>
      <c r="J1655" t="inlineStr">
        <is>
          <t>U07.1</t>
        </is>
      </c>
      <c r="K1655" t="inlineStr">
        <is>
          <t>COVID-19</t>
        </is>
      </c>
      <c r="L1655" t="inlineStr">
        <is>
          <t>Respiratory</t>
        </is>
      </c>
      <c r="M1655" t="inlineStr">
        <is>
          <t>Home/Self-Care</t>
        </is>
      </c>
      <c r="N1655" t="inlineStr">
        <is>
          <t>Medicare</t>
        </is>
      </c>
      <c r="O1655" s="31" t="n">
        <v>4947.29</v>
      </c>
    </row>
    <row r="1656">
      <c r="A1656" t="inlineStr">
        <is>
          <t>ENC117622</t>
        </is>
      </c>
      <c r="B1656" t="inlineStr">
        <is>
          <t>PT10204</t>
        </is>
      </c>
      <c r="C1656" t="inlineStr">
        <is>
          <t>Outpatient</t>
        </is>
      </c>
      <c r="D1656" t="inlineStr">
        <is>
          <t>Bluestone Outpatient Pavilion</t>
        </is>
      </c>
      <c r="E1656" t="inlineStr">
        <is>
          <t>Primary Care Clinic</t>
        </is>
      </c>
      <c r="F1656" t="inlineStr">
        <is>
          <t>Ambulatory</t>
        </is>
      </c>
      <c r="G1656" s="29" t="n">
        <v>45882</v>
      </c>
      <c r="H1656" s="29" t="n">
        <v>45882</v>
      </c>
      <c r="I1656" s="30" t="n"/>
      <c r="J1656" t="inlineStr">
        <is>
          <t>L03.115</t>
        </is>
      </c>
      <c r="K1656" t="inlineStr">
        <is>
          <t>Cellulitis of right lower limb</t>
        </is>
      </c>
      <c r="L1656" t="inlineStr">
        <is>
          <t>Skin</t>
        </is>
      </c>
      <c r="M1656" t="inlineStr">
        <is>
          <t>Home/Self-Care</t>
        </is>
      </c>
      <c r="N1656" t="inlineStr">
        <is>
          <t>Keystone Health Partners</t>
        </is>
      </c>
      <c r="O1656" s="31" t="n">
        <v>291.41</v>
      </c>
    </row>
    <row r="1657">
      <c r="A1657" t="inlineStr">
        <is>
          <t>ENC117625</t>
        </is>
      </c>
      <c r="B1657" t="inlineStr">
        <is>
          <t>PT13968</t>
        </is>
      </c>
      <c r="C1657" t="inlineStr">
        <is>
          <t>Inpatient</t>
        </is>
      </c>
      <c r="D1657" t="inlineStr">
        <is>
          <t>Cedar Ridge Medical Center</t>
        </is>
      </c>
      <c r="E1657" t="inlineStr">
        <is>
          <t>Cardiac Step-Down</t>
        </is>
      </c>
      <c r="F1657" t="inlineStr">
        <is>
          <t>Cardiovascular</t>
        </is>
      </c>
      <c r="G1657" s="29" t="n">
        <v>45882</v>
      </c>
      <c r="H1657" s="29" t="n">
        <v>45889</v>
      </c>
      <c r="I1657" s="30" t="n">
        <v>7</v>
      </c>
      <c r="J1657" t="inlineStr">
        <is>
          <t>I21.4</t>
        </is>
      </c>
      <c r="K1657" t="inlineStr">
        <is>
          <t>Non-ST elevation (NSTEMI) myocardial infarction</t>
        </is>
      </c>
      <c r="L1657" t="inlineStr">
        <is>
          <t>Circulatory</t>
        </is>
      </c>
      <c r="M1657" t="inlineStr">
        <is>
          <t>Home Health</t>
        </is>
      </c>
      <c r="N1657" t="inlineStr">
        <is>
          <t>Medicare</t>
        </is>
      </c>
      <c r="O1657" s="31" t="n">
        <v>75343.89</v>
      </c>
      <c r="P1657" t="inlineStr">
        <is>
          <t>N</t>
        </is>
      </c>
    </row>
    <row r="1658">
      <c r="A1658" t="inlineStr">
        <is>
          <t>ENC117626</t>
        </is>
      </c>
      <c r="B1658" t="inlineStr">
        <is>
          <t>PT10620</t>
        </is>
      </c>
      <c r="C1658" t="inlineStr">
        <is>
          <t>Outpatient</t>
        </is>
      </c>
      <c r="D1658" t="inlineStr">
        <is>
          <t>Bluestone Outpatient Pavilion</t>
        </is>
      </c>
      <c r="E1658" t="inlineStr">
        <is>
          <t>Primary Care Clinic</t>
        </is>
      </c>
      <c r="F1658" t="inlineStr">
        <is>
          <t>Ambulatory</t>
        </is>
      </c>
      <c r="G1658" s="29" t="n">
        <v>45882</v>
      </c>
      <c r="H1658" s="29" t="n">
        <v>45882</v>
      </c>
      <c r="I1658" s="30" t="n"/>
      <c r="J1658" t="inlineStr">
        <is>
          <t>Z00.00</t>
        </is>
      </c>
      <c r="K1658" t="inlineStr">
        <is>
          <t>Encounter for general adult medical examination without abnormal findings</t>
        </is>
      </c>
      <c r="L1658" t="inlineStr">
        <is>
          <t>Factors Influencing Health</t>
        </is>
      </c>
      <c r="M1658" t="inlineStr">
        <is>
          <t>Home/Self-Care</t>
        </is>
      </c>
      <c r="N1658" t="inlineStr">
        <is>
          <t>State Medicaid</t>
        </is>
      </c>
      <c r="O1658" s="31" t="n">
        <v>356.78</v>
      </c>
    </row>
    <row r="1659">
      <c r="A1659" t="inlineStr">
        <is>
          <t>ENC117633</t>
        </is>
      </c>
      <c r="B1659" t="inlineStr">
        <is>
          <t>PT12048</t>
        </is>
      </c>
      <c r="C1659" t="inlineStr">
        <is>
          <t>Inpatient</t>
        </is>
      </c>
      <c r="D1659" t="inlineStr">
        <is>
          <t>Bluestone Memorial Hospital</t>
        </is>
      </c>
      <c r="E1659" t="inlineStr">
        <is>
          <t>Medical-Surgical 5 East</t>
        </is>
      </c>
      <c r="F1659" t="inlineStr">
        <is>
          <t>Medicine</t>
        </is>
      </c>
      <c r="G1659" s="29" t="n">
        <v>45883</v>
      </c>
      <c r="H1659" s="29" t="n">
        <v>45887</v>
      </c>
      <c r="I1659" s="30" t="n">
        <v>4</v>
      </c>
      <c r="J1659" t="inlineStr">
        <is>
          <t>J18.9</t>
        </is>
      </c>
      <c r="K1659" t="inlineStr">
        <is>
          <t>Pneumonia, unspecified organism</t>
        </is>
      </c>
      <c r="L1659" t="inlineStr">
        <is>
          <t>Respiratory</t>
        </is>
      </c>
      <c r="M1659" t="inlineStr">
        <is>
          <t>Home/Self-Care</t>
        </is>
      </c>
      <c r="N1659" t="inlineStr">
        <is>
          <t>State Medicaid</t>
        </is>
      </c>
      <c r="O1659" s="31" t="n">
        <v>23237.49</v>
      </c>
      <c r="P1659" t="inlineStr">
        <is>
          <t>N</t>
        </is>
      </c>
    </row>
    <row r="1660">
      <c r="A1660" t="inlineStr">
        <is>
          <t>ENC117639</t>
        </is>
      </c>
      <c r="B1660" t="inlineStr">
        <is>
          <t>PT11356</t>
        </is>
      </c>
      <c r="C1660" t="inlineStr">
        <is>
          <t>Emergency</t>
        </is>
      </c>
      <c r="D1660" t="inlineStr">
        <is>
          <t>Bluestone Memorial Hospital</t>
        </is>
      </c>
      <c r="E1660" t="inlineStr">
        <is>
          <t>Emergency Department</t>
        </is>
      </c>
      <c r="F1660" t="inlineStr">
        <is>
          <t>Emergency</t>
        </is>
      </c>
      <c r="G1660" s="29" t="n">
        <v>45883</v>
      </c>
      <c r="H1660" s="29" t="n">
        <v>45883</v>
      </c>
      <c r="I1660" s="30" t="n"/>
      <c r="J1660" t="inlineStr">
        <is>
          <t>R10.9</t>
        </is>
      </c>
      <c r="K1660" t="inlineStr">
        <is>
          <t>Unspecified abdominal pain</t>
        </is>
      </c>
      <c r="L1660" t="inlineStr">
        <is>
          <t>Symptoms &amp; Signs</t>
        </is>
      </c>
      <c r="M1660" t="inlineStr">
        <is>
          <t>Home/Self-Care</t>
        </is>
      </c>
      <c r="N1660" t="inlineStr">
        <is>
          <t>Evergreen Mutual Insurance</t>
        </is>
      </c>
      <c r="O1660" s="31" t="n">
        <v>2332.34</v>
      </c>
    </row>
    <row r="1661">
      <c r="A1661" t="inlineStr">
        <is>
          <t>ENC117640</t>
        </is>
      </c>
      <c r="B1661" t="inlineStr">
        <is>
          <t>PT11116</t>
        </is>
      </c>
      <c r="C1661" t="inlineStr">
        <is>
          <t>Outpatient</t>
        </is>
      </c>
      <c r="D1661" t="inlineStr">
        <is>
          <t>Bluestone Outpatient Pavilion</t>
        </is>
      </c>
      <c r="E1661" t="inlineStr">
        <is>
          <t>Infusion &amp; Oncology Clinic</t>
        </is>
      </c>
      <c r="F1661" t="inlineStr">
        <is>
          <t>Oncology</t>
        </is>
      </c>
      <c r="G1661" s="29" t="n">
        <v>45883</v>
      </c>
      <c r="H1661" s="29" t="n">
        <v>45883</v>
      </c>
      <c r="I1661" s="30" t="n"/>
      <c r="J1661" t="inlineStr">
        <is>
          <t>C34.90</t>
        </is>
      </c>
      <c r="K1661" t="inlineStr">
        <is>
          <t>Malignant neoplasm of unspecified part of unspecified bronchus or lung</t>
        </is>
      </c>
      <c r="L1661" t="inlineStr">
        <is>
          <t>Neoplasms</t>
        </is>
      </c>
      <c r="M1661" t="inlineStr">
        <is>
          <t>Home/Self-Care</t>
        </is>
      </c>
      <c r="N1661" t="inlineStr">
        <is>
          <t>State Medicaid</t>
        </is>
      </c>
      <c r="O1661" s="31" t="n">
        <v>713.5700000000001</v>
      </c>
    </row>
    <row r="1662">
      <c r="A1662" t="inlineStr">
        <is>
          <t>ENC117641</t>
        </is>
      </c>
      <c r="B1662" t="inlineStr">
        <is>
          <t>PT10716</t>
        </is>
      </c>
      <c r="C1662" t="inlineStr">
        <is>
          <t>Outpatient</t>
        </is>
      </c>
      <c r="D1662" t="inlineStr">
        <is>
          <t>Bluestone Outpatient Pavilion</t>
        </is>
      </c>
      <c r="E1662" t="inlineStr">
        <is>
          <t>Primary Care Clinic</t>
        </is>
      </c>
      <c r="F1662" t="inlineStr">
        <is>
          <t>Ambulatory</t>
        </is>
      </c>
      <c r="G1662" s="29" t="n">
        <v>45883</v>
      </c>
      <c r="H1662" s="29" t="n">
        <v>45883</v>
      </c>
      <c r="I1662" s="30" t="n"/>
      <c r="J1662" t="inlineStr">
        <is>
          <t>Z00.00</t>
        </is>
      </c>
      <c r="K1662" t="inlineStr">
        <is>
          <t>Encounter for general adult medical examination without abnormal findings</t>
        </is>
      </c>
      <c r="L1662" t="inlineStr">
        <is>
          <t>Factors Influencing Health</t>
        </is>
      </c>
      <c r="M1662" t="inlineStr">
        <is>
          <t>Home/Self-Care</t>
        </is>
      </c>
      <c r="N1662" t="inlineStr">
        <is>
          <t>Medicare</t>
        </is>
      </c>
      <c r="O1662" s="31" t="n">
        <v>358.23</v>
      </c>
    </row>
    <row r="1663">
      <c r="A1663" t="inlineStr">
        <is>
          <t>ENC117643</t>
        </is>
      </c>
      <c r="B1663" t="inlineStr">
        <is>
          <t>PT10780</t>
        </is>
      </c>
      <c r="C1663" t="inlineStr">
        <is>
          <t>Outpatient</t>
        </is>
      </c>
      <c r="D1663" t="inlineStr">
        <is>
          <t>Bluestone Outpatient Pavilion</t>
        </is>
      </c>
      <c r="E1663" t="inlineStr">
        <is>
          <t>Cardiology Clinic</t>
        </is>
      </c>
      <c r="F1663" t="inlineStr">
        <is>
          <t>Cardiovascular</t>
        </is>
      </c>
      <c r="G1663" s="29" t="n">
        <v>45883</v>
      </c>
      <c r="H1663" s="29" t="n">
        <v>45883</v>
      </c>
      <c r="I1663" s="30" t="n"/>
      <c r="J1663" t="inlineStr">
        <is>
          <t>I48.91</t>
        </is>
      </c>
      <c r="K1663" t="inlineStr">
        <is>
          <t>Unspecified atrial fibrillation</t>
        </is>
      </c>
      <c r="L1663" t="inlineStr">
        <is>
          <t>Circulatory</t>
        </is>
      </c>
      <c r="M1663" t="inlineStr">
        <is>
          <t>Home/Self-Care</t>
        </is>
      </c>
      <c r="N1663" t="inlineStr">
        <is>
          <t>Silverline Medicare Advantage</t>
        </is>
      </c>
      <c r="O1663" s="31" t="n">
        <v>248.09</v>
      </c>
    </row>
    <row r="1664">
      <c r="A1664" t="inlineStr">
        <is>
          <t>ENC117648</t>
        </is>
      </c>
      <c r="B1664" t="inlineStr">
        <is>
          <t>PT13200</t>
        </is>
      </c>
      <c r="C1664" t="inlineStr">
        <is>
          <t>Outpatient</t>
        </is>
      </c>
      <c r="D1664" t="inlineStr">
        <is>
          <t>Bluestone Outpatient Pavilion</t>
        </is>
      </c>
      <c r="E1664" t="inlineStr">
        <is>
          <t>Pediatric Clinic</t>
        </is>
      </c>
      <c r="F1664" t="inlineStr">
        <is>
          <t>Women &amp; Children</t>
        </is>
      </c>
      <c r="G1664" s="29" t="n">
        <v>45883</v>
      </c>
      <c r="H1664" s="29" t="n">
        <v>45883</v>
      </c>
      <c r="I1664" s="30" t="n"/>
      <c r="J1664" t="inlineStr">
        <is>
          <t>Z00.129</t>
        </is>
      </c>
      <c r="K1664" t="inlineStr">
        <is>
          <t>Encounter for routine child health examination without abnormal findings</t>
        </is>
      </c>
      <c r="L1664" t="inlineStr">
        <is>
          <t>Factors Influencing Health</t>
        </is>
      </c>
      <c r="M1664" t="inlineStr">
        <is>
          <t>Home/Self-Care</t>
        </is>
      </c>
      <c r="N1664" t="inlineStr">
        <is>
          <t>Self-Pay</t>
        </is>
      </c>
      <c r="O1664" s="31" t="n">
        <v>227.35</v>
      </c>
    </row>
    <row r="1665">
      <c r="A1665" t="inlineStr">
        <is>
          <t>ENC117658</t>
        </is>
      </c>
      <c r="B1665" t="inlineStr">
        <is>
          <t>PT10020</t>
        </is>
      </c>
      <c r="C1665" t="inlineStr">
        <is>
          <t>Inpatient</t>
        </is>
      </c>
      <c r="D1665" t="inlineStr">
        <is>
          <t>Bluestone Memorial Hospital</t>
        </is>
      </c>
      <c r="E1665" t="inlineStr">
        <is>
          <t>Oncology</t>
        </is>
      </c>
      <c r="F1665" t="inlineStr">
        <is>
          <t>Oncology</t>
        </is>
      </c>
      <c r="G1665" s="29" t="n">
        <v>45883</v>
      </c>
      <c r="H1665" s="29" t="n">
        <v>45890</v>
      </c>
      <c r="I1665" s="30" t="n">
        <v>7</v>
      </c>
      <c r="J1665" t="inlineStr">
        <is>
          <t>D70.1</t>
        </is>
      </c>
      <c r="K1665" t="inlineStr">
        <is>
          <t>Agranulocytosis secondary to cancer chemotherapy</t>
        </is>
      </c>
      <c r="L1665" t="inlineStr">
        <is>
          <t>Blood</t>
        </is>
      </c>
      <c r="M1665" t="inlineStr">
        <is>
          <t>Home/Self-Care</t>
        </is>
      </c>
      <c r="N1665" t="inlineStr">
        <is>
          <t>Medicare</t>
        </is>
      </c>
      <c r="O1665" s="31" t="n">
        <v>44078.59</v>
      </c>
      <c r="P1665" t="inlineStr">
        <is>
          <t>N</t>
        </is>
      </c>
    </row>
    <row r="1666">
      <c r="A1666" t="inlineStr">
        <is>
          <t>ENC117666</t>
        </is>
      </c>
      <c r="B1666" t="inlineStr">
        <is>
          <t>PT11968</t>
        </is>
      </c>
      <c r="C1666" t="inlineStr">
        <is>
          <t>Emergency</t>
        </is>
      </c>
      <c r="D1666" t="inlineStr">
        <is>
          <t>Bluestone Memorial Hospital</t>
        </is>
      </c>
      <c r="E1666" t="inlineStr">
        <is>
          <t>Emergency Department</t>
        </is>
      </c>
      <c r="F1666" t="inlineStr">
        <is>
          <t>Emergency</t>
        </is>
      </c>
      <c r="G1666" s="29" t="n">
        <v>45884</v>
      </c>
      <c r="H1666" s="29" t="n">
        <v>45884</v>
      </c>
      <c r="I1666" s="30" t="n"/>
      <c r="J1666" t="inlineStr">
        <is>
          <t>F20.9</t>
        </is>
      </c>
      <c r="K1666" t="inlineStr">
        <is>
          <t>Schizophrenia, unspecified</t>
        </is>
      </c>
      <c r="L1666" t="inlineStr">
        <is>
          <t>Mental &amp; Behavioral</t>
        </is>
      </c>
      <c r="M1666" t="inlineStr">
        <is>
          <t>Home/Self-Care</t>
        </is>
      </c>
      <c r="N1666" t="inlineStr">
        <is>
          <t>State Medicaid</t>
        </is>
      </c>
      <c r="O1666" s="31" t="n">
        <v>2321.28</v>
      </c>
    </row>
    <row r="1667">
      <c r="A1667" t="inlineStr">
        <is>
          <t>ENC117673</t>
        </is>
      </c>
      <c r="B1667" t="inlineStr">
        <is>
          <t>PT13844</t>
        </is>
      </c>
      <c r="C1667" t="inlineStr">
        <is>
          <t>Outpatient</t>
        </is>
      </c>
      <c r="D1667" t="inlineStr">
        <is>
          <t>Bluestone Outpatient Pavilion</t>
        </is>
      </c>
      <c r="E1667" t="inlineStr">
        <is>
          <t>Endocrinology &amp; Diabetes Clinic</t>
        </is>
      </c>
      <c r="F1667" t="inlineStr">
        <is>
          <t>Ambulatory</t>
        </is>
      </c>
      <c r="G1667" s="29" t="n">
        <v>45884</v>
      </c>
      <c r="H1667" s="29" t="n">
        <v>45884</v>
      </c>
      <c r="I1667" s="30" t="n"/>
      <c r="J1667" t="inlineStr">
        <is>
          <t>E11.9</t>
        </is>
      </c>
      <c r="K1667" t="inlineStr">
        <is>
          <t>Type 2 diabetes mellitus without complications</t>
        </is>
      </c>
      <c r="L1667" t="inlineStr">
        <is>
          <t>Endocrine</t>
        </is>
      </c>
      <c r="M1667" t="inlineStr">
        <is>
          <t>Home/Self-Care</t>
        </is>
      </c>
      <c r="N1667" t="inlineStr">
        <is>
          <t>State Medicaid</t>
        </is>
      </c>
      <c r="O1667" s="31" t="n">
        <v>232.23</v>
      </c>
    </row>
    <row r="1668">
      <c r="A1668" t="inlineStr">
        <is>
          <t>ENC117674</t>
        </is>
      </c>
      <c r="B1668" t="inlineStr">
        <is>
          <t>PT10632</t>
        </is>
      </c>
      <c r="C1668" t="inlineStr">
        <is>
          <t>Outpatient</t>
        </is>
      </c>
      <c r="D1668" t="inlineStr">
        <is>
          <t>Bluestone Outpatient Pavilion</t>
        </is>
      </c>
      <c r="E1668" t="inlineStr">
        <is>
          <t>Pediatric Clinic</t>
        </is>
      </c>
      <c r="F1668" t="inlineStr">
        <is>
          <t>Women &amp; Children</t>
        </is>
      </c>
      <c r="G1668" s="29" t="n">
        <v>45884</v>
      </c>
      <c r="H1668" s="29" t="n">
        <v>45884</v>
      </c>
      <c r="I1668" s="30" t="n"/>
      <c r="J1668" t="inlineStr">
        <is>
          <t>Z00.129</t>
        </is>
      </c>
      <c r="K1668" t="inlineStr">
        <is>
          <t>Encounter for routine child health examination without abnormal findings</t>
        </is>
      </c>
      <c r="L1668" t="inlineStr">
        <is>
          <t>Factors Influencing Health</t>
        </is>
      </c>
      <c r="M1668" t="inlineStr">
        <is>
          <t>Home/Self-Care</t>
        </is>
      </c>
      <c r="N1668" t="inlineStr">
        <is>
          <t>Evergreen Mutual Insurance</t>
        </is>
      </c>
      <c r="O1668" s="31" t="n">
        <v>252.89</v>
      </c>
    </row>
    <row r="1669">
      <c r="A1669" t="inlineStr">
        <is>
          <t>ENC117676</t>
        </is>
      </c>
      <c r="B1669" t="inlineStr">
        <is>
          <t>PT12668</t>
        </is>
      </c>
      <c r="C1669" t="inlineStr">
        <is>
          <t>Outpatient</t>
        </is>
      </c>
      <c r="D1669" t="inlineStr">
        <is>
          <t>Bluestone Outpatient Pavilion</t>
        </is>
      </c>
      <c r="E1669" t="inlineStr">
        <is>
          <t>Infusion &amp; Oncology Clinic</t>
        </is>
      </c>
      <c r="F1669" t="inlineStr">
        <is>
          <t>Oncology</t>
        </is>
      </c>
      <c r="G1669" s="29" t="n">
        <v>45884</v>
      </c>
      <c r="H1669" s="29" t="n">
        <v>45884</v>
      </c>
      <c r="I1669" s="30" t="n"/>
      <c r="J1669" t="inlineStr">
        <is>
          <t>C34.90</t>
        </is>
      </c>
      <c r="K1669" t="inlineStr">
        <is>
          <t>Malignant neoplasm of unspecified part of unspecified bronchus or lung</t>
        </is>
      </c>
      <c r="L1669" t="inlineStr">
        <is>
          <t>Neoplasms</t>
        </is>
      </c>
      <c r="M1669" t="inlineStr">
        <is>
          <t>Home/Self-Care</t>
        </is>
      </c>
      <c r="N1669" t="inlineStr">
        <is>
          <t>Evergreen Mutual Insurance</t>
        </is>
      </c>
      <c r="O1669" s="31" t="n">
        <v>756.8200000000001</v>
      </c>
    </row>
    <row r="1670">
      <c r="A1670" t="inlineStr">
        <is>
          <t>ENC117680</t>
        </is>
      </c>
      <c r="B1670" t="inlineStr">
        <is>
          <t>PT11984</t>
        </is>
      </c>
      <c r="C1670" t="inlineStr">
        <is>
          <t>Outpatient</t>
        </is>
      </c>
      <c r="D1670" t="inlineStr">
        <is>
          <t>Bluestone Outpatient Pavilion</t>
        </is>
      </c>
      <c r="E1670" t="inlineStr">
        <is>
          <t>Infusion &amp; Oncology Clinic</t>
        </is>
      </c>
      <c r="F1670" t="inlineStr">
        <is>
          <t>Oncology</t>
        </is>
      </c>
      <c r="G1670" s="29" t="n">
        <v>45884</v>
      </c>
      <c r="H1670" s="29" t="n">
        <v>45884</v>
      </c>
      <c r="I1670" s="30" t="n"/>
      <c r="J1670" t="inlineStr">
        <is>
          <t>C34.90</t>
        </is>
      </c>
      <c r="K1670" t="inlineStr">
        <is>
          <t>Malignant neoplasm of unspecified part of unspecified bronchus or lung</t>
        </is>
      </c>
      <c r="L1670" t="inlineStr">
        <is>
          <t>Neoplasms</t>
        </is>
      </c>
      <c r="M1670" t="inlineStr">
        <is>
          <t>Home/Self-Care</t>
        </is>
      </c>
      <c r="N1670" t="inlineStr">
        <is>
          <t>Keystone Health Partners</t>
        </is>
      </c>
      <c r="O1670" s="31" t="n">
        <v>625.45</v>
      </c>
    </row>
    <row r="1671">
      <c r="A1671" t="inlineStr">
        <is>
          <t>ENC117681</t>
        </is>
      </c>
      <c r="B1671" t="inlineStr">
        <is>
          <t>PT10028</t>
        </is>
      </c>
      <c r="C1671" t="inlineStr">
        <is>
          <t>Inpatient</t>
        </is>
      </c>
      <c r="D1671" t="inlineStr">
        <is>
          <t>Bluestone Memorial Hospital</t>
        </is>
      </c>
      <c r="E1671" t="inlineStr">
        <is>
          <t>Medical-Surgical 5 East</t>
        </is>
      </c>
      <c r="F1671" t="inlineStr">
        <is>
          <t>Medicine</t>
        </is>
      </c>
      <c r="G1671" s="29" t="n">
        <v>45884</v>
      </c>
      <c r="H1671" s="29" t="n">
        <v>45887</v>
      </c>
      <c r="I1671" s="30" t="n">
        <v>3</v>
      </c>
      <c r="J1671" t="inlineStr">
        <is>
          <t>U07.1</t>
        </is>
      </c>
      <c r="K1671" t="inlineStr">
        <is>
          <t>COVID-19</t>
        </is>
      </c>
      <c r="L1671" t="inlineStr">
        <is>
          <t>Respiratory</t>
        </is>
      </c>
      <c r="M1671" t="inlineStr">
        <is>
          <t>Home/Self-Care</t>
        </is>
      </c>
      <c r="N1671" t="inlineStr">
        <is>
          <t>Keystone Health Partners</t>
        </is>
      </c>
      <c r="O1671" s="31" t="n">
        <v>15915.48</v>
      </c>
      <c r="P1671" t="inlineStr">
        <is>
          <t>N</t>
        </is>
      </c>
    </row>
    <row r="1672">
      <c r="A1672" t="inlineStr">
        <is>
          <t>ENC117684</t>
        </is>
      </c>
      <c r="B1672" t="inlineStr">
        <is>
          <t>PT12192</t>
        </is>
      </c>
      <c r="C1672" t="inlineStr">
        <is>
          <t>Emergency</t>
        </is>
      </c>
      <c r="D1672" t="inlineStr">
        <is>
          <t>Bluestone Memorial Hospital</t>
        </is>
      </c>
      <c r="E1672" t="inlineStr">
        <is>
          <t>Emergency Department</t>
        </is>
      </c>
      <c r="F1672" t="inlineStr">
        <is>
          <t>Emergency</t>
        </is>
      </c>
      <c r="G1672" s="29" t="n">
        <v>45884</v>
      </c>
      <c r="H1672" s="29" t="n">
        <v>45884</v>
      </c>
      <c r="I1672" s="30" t="n"/>
      <c r="J1672" t="inlineStr">
        <is>
          <t>F32.9</t>
        </is>
      </c>
      <c r="K1672" t="inlineStr">
        <is>
          <t>Major depressive disorder, single episode, unspecified</t>
        </is>
      </c>
      <c r="L1672" t="inlineStr">
        <is>
          <t>Mental &amp; Behavioral</t>
        </is>
      </c>
      <c r="M1672" t="inlineStr">
        <is>
          <t>Home/Self-Care</t>
        </is>
      </c>
      <c r="N1672" t="inlineStr">
        <is>
          <t>Evergreen Mutual Insurance</t>
        </is>
      </c>
      <c r="O1672" s="31" t="n">
        <v>6703.36</v>
      </c>
    </row>
    <row r="1673">
      <c r="A1673" t="inlineStr">
        <is>
          <t>ENC117687</t>
        </is>
      </c>
      <c r="B1673" t="inlineStr">
        <is>
          <t>PT11308</t>
        </is>
      </c>
      <c r="C1673" t="inlineStr">
        <is>
          <t>Emergency</t>
        </is>
      </c>
      <c r="D1673" t="inlineStr">
        <is>
          <t>Cedar Ridge Medical Center</t>
        </is>
      </c>
      <c r="E1673" t="inlineStr">
        <is>
          <t>Emergency Department</t>
        </is>
      </c>
      <c r="F1673" t="inlineStr">
        <is>
          <t>Emergency</t>
        </is>
      </c>
      <c r="G1673" s="29" t="n">
        <v>45884</v>
      </c>
      <c r="H1673" s="29" t="n">
        <v>45884</v>
      </c>
      <c r="I1673" s="30" t="n"/>
      <c r="J1673" t="inlineStr">
        <is>
          <t>R10.9</t>
        </is>
      </c>
      <c r="K1673" t="inlineStr">
        <is>
          <t>Unspecified abdominal pain</t>
        </is>
      </c>
      <c r="L1673" t="inlineStr">
        <is>
          <t>Symptoms &amp; Signs</t>
        </is>
      </c>
      <c r="M1673" t="inlineStr">
        <is>
          <t>Home/Self-Care</t>
        </is>
      </c>
      <c r="N1673" t="inlineStr">
        <is>
          <t>Keystone Health Partners</t>
        </is>
      </c>
      <c r="O1673" s="31" t="n">
        <v>2927.76</v>
      </c>
    </row>
    <row r="1674">
      <c r="A1674" t="inlineStr">
        <is>
          <t>ENC117688</t>
        </is>
      </c>
      <c r="B1674" t="inlineStr">
        <is>
          <t>PT11732</t>
        </is>
      </c>
      <c r="C1674" t="inlineStr">
        <is>
          <t>Emergency</t>
        </is>
      </c>
      <c r="D1674" t="inlineStr">
        <is>
          <t>Bluestone Memorial Hospital</t>
        </is>
      </c>
      <c r="E1674" t="inlineStr">
        <is>
          <t>Emergency Department</t>
        </is>
      </c>
      <c r="F1674" t="inlineStr">
        <is>
          <t>Emergency</t>
        </is>
      </c>
      <c r="G1674" s="29" t="n">
        <v>45884</v>
      </c>
      <c r="H1674" s="29" t="n">
        <v>45884</v>
      </c>
      <c r="I1674" s="30" t="n"/>
      <c r="J1674" t="inlineStr">
        <is>
          <t>H66.90</t>
        </is>
      </c>
      <c r="K1674" t="inlineStr">
        <is>
          <t>Otitis media, unspecified, unspecified ear</t>
        </is>
      </c>
      <c r="L1674" t="inlineStr">
        <is>
          <t>Ear</t>
        </is>
      </c>
      <c r="M1674" t="inlineStr">
        <is>
          <t>Home/Self-Care</t>
        </is>
      </c>
      <c r="N1674" t="inlineStr">
        <is>
          <t>State Medicaid</t>
        </is>
      </c>
      <c r="O1674" s="31" t="n">
        <v>1286.33</v>
      </c>
    </row>
    <row r="1675">
      <c r="A1675" t="inlineStr">
        <is>
          <t>ENC117690</t>
        </is>
      </c>
      <c r="B1675" t="inlineStr">
        <is>
          <t>PT10092</t>
        </is>
      </c>
      <c r="C1675" t="inlineStr">
        <is>
          <t>Inpatient</t>
        </is>
      </c>
      <c r="D1675" t="inlineStr">
        <is>
          <t>Bluestone Memorial Hospital</t>
        </is>
      </c>
      <c r="E1675" t="inlineStr">
        <is>
          <t>Neuroscience &amp; Stroke</t>
        </is>
      </c>
      <c r="F1675" t="inlineStr">
        <is>
          <t>Neuroscience</t>
        </is>
      </c>
      <c r="G1675" s="29" t="n">
        <v>45885</v>
      </c>
      <c r="H1675" s="29" t="n">
        <v>45888</v>
      </c>
      <c r="I1675" s="30" t="n">
        <v>3</v>
      </c>
      <c r="J1675" t="inlineStr">
        <is>
          <t>I63.9</t>
        </is>
      </c>
      <c r="K1675" t="inlineStr">
        <is>
          <t>Cerebral infarction, unspecified</t>
        </is>
      </c>
      <c r="L1675" t="inlineStr">
        <is>
          <t>Circulatory</t>
        </is>
      </c>
      <c r="M1675" t="inlineStr">
        <is>
          <t>Home/Self-Care</t>
        </is>
      </c>
      <c r="N1675" t="inlineStr">
        <is>
          <t>Evergreen Mutual Insurance</t>
        </is>
      </c>
      <c r="O1675" s="31" t="n">
        <v>15588.39</v>
      </c>
      <c r="P1675" t="inlineStr">
        <is>
          <t>N</t>
        </is>
      </c>
    </row>
    <row r="1676">
      <c r="A1676" t="inlineStr">
        <is>
          <t>ENC117699</t>
        </is>
      </c>
      <c r="B1676" t="inlineStr">
        <is>
          <t>PT12440</t>
        </is>
      </c>
      <c r="C1676" t="inlineStr">
        <is>
          <t>Inpatient</t>
        </is>
      </c>
      <c r="D1676" t="inlineStr">
        <is>
          <t>Ashby Falls Community Hospital</t>
        </is>
      </c>
      <c r="E1676" t="inlineStr">
        <is>
          <t>Medical-Surgical</t>
        </is>
      </c>
      <c r="F1676" t="inlineStr">
        <is>
          <t>Medicine</t>
        </is>
      </c>
      <c r="G1676" s="29" t="n">
        <v>45885</v>
      </c>
      <c r="H1676" s="29" t="n">
        <v>45889</v>
      </c>
      <c r="I1676" s="30" t="n">
        <v>4</v>
      </c>
      <c r="J1676" t="inlineStr">
        <is>
          <t>L03.115</t>
        </is>
      </c>
      <c r="K1676" t="inlineStr">
        <is>
          <t>Cellulitis of right lower limb</t>
        </is>
      </c>
      <c r="L1676" t="inlineStr">
        <is>
          <t>Skin</t>
        </is>
      </c>
      <c r="M1676" t="inlineStr">
        <is>
          <t>Home/Self-Care</t>
        </is>
      </c>
      <c r="N1676" t="inlineStr">
        <is>
          <t>Medicare</t>
        </is>
      </c>
      <c r="O1676" s="31" t="n">
        <v>19838.98</v>
      </c>
      <c r="P1676" t="inlineStr">
        <is>
          <t>N</t>
        </is>
      </c>
    </row>
    <row r="1677">
      <c r="A1677" t="inlineStr">
        <is>
          <t>ENC117702</t>
        </is>
      </c>
      <c r="B1677" t="inlineStr">
        <is>
          <t>PT10688</t>
        </is>
      </c>
      <c r="C1677" t="inlineStr">
        <is>
          <t>Inpatient</t>
        </is>
      </c>
      <c r="D1677" t="inlineStr">
        <is>
          <t>Ashby Falls Community Hospital</t>
        </is>
      </c>
      <c r="E1677" t="inlineStr">
        <is>
          <t>Labor &amp; Delivery</t>
        </is>
      </c>
      <c r="F1677" t="inlineStr">
        <is>
          <t>Women &amp; Children</t>
        </is>
      </c>
      <c r="G1677" s="29" t="n">
        <v>45885</v>
      </c>
      <c r="H1677" s="29" t="n">
        <v>45887</v>
      </c>
      <c r="I1677" s="30" t="n">
        <v>2</v>
      </c>
      <c r="J1677" t="inlineStr">
        <is>
          <t>O82</t>
        </is>
      </c>
      <c r="K1677" t="inlineStr">
        <is>
          <t>Encounter for cesarean delivery without indication</t>
        </is>
      </c>
      <c r="L1677" t="inlineStr">
        <is>
          <t>Pregnancy</t>
        </is>
      </c>
      <c r="M1677" t="inlineStr">
        <is>
          <t>Home/Self-Care</t>
        </is>
      </c>
      <c r="N1677" t="inlineStr">
        <is>
          <t>State Medicaid</t>
        </is>
      </c>
      <c r="O1677" s="31" t="n">
        <v>26003.41</v>
      </c>
      <c r="P1677" t="inlineStr">
        <is>
          <t>N</t>
        </is>
      </c>
    </row>
    <row r="1678">
      <c r="A1678" t="inlineStr">
        <is>
          <t>ENC117709</t>
        </is>
      </c>
      <c r="B1678" t="inlineStr">
        <is>
          <t>PT11124</t>
        </is>
      </c>
      <c r="C1678" t="inlineStr">
        <is>
          <t>Emergency</t>
        </is>
      </c>
      <c r="D1678" t="inlineStr">
        <is>
          <t>Cedar Ridge Medical Center</t>
        </is>
      </c>
      <c r="E1678" t="inlineStr">
        <is>
          <t>Emergency Department</t>
        </is>
      </c>
      <c r="F1678" t="inlineStr">
        <is>
          <t>Emergency</t>
        </is>
      </c>
      <c r="G1678" s="29" t="n">
        <v>45885</v>
      </c>
      <c r="H1678" s="29" t="n">
        <v>45886</v>
      </c>
      <c r="I1678" s="30" t="n"/>
      <c r="J1678" t="inlineStr">
        <is>
          <t>S93.401A</t>
        </is>
      </c>
      <c r="K1678" t="inlineStr">
        <is>
          <t>Sprain of unspecified ligament of right ankle, initial encounter</t>
        </is>
      </c>
      <c r="L1678" t="inlineStr">
        <is>
          <t>Injury</t>
        </is>
      </c>
      <c r="M1678" t="inlineStr">
        <is>
          <t>Home/Self-Care</t>
        </is>
      </c>
      <c r="N1678" t="inlineStr">
        <is>
          <t>Evergreen Mutual Insurance</t>
        </is>
      </c>
      <c r="O1678" s="31" t="n">
        <v>734.04</v>
      </c>
    </row>
    <row r="1679">
      <c r="A1679" t="inlineStr">
        <is>
          <t>ENC117710</t>
        </is>
      </c>
      <c r="B1679" t="inlineStr">
        <is>
          <t>PT10744</t>
        </is>
      </c>
      <c r="C1679" t="inlineStr">
        <is>
          <t>Emergency</t>
        </is>
      </c>
      <c r="D1679" t="inlineStr">
        <is>
          <t>Bluestone Memorial Hospital</t>
        </is>
      </c>
      <c r="E1679" t="inlineStr">
        <is>
          <t>Emergency Department</t>
        </is>
      </c>
      <c r="F1679" t="inlineStr">
        <is>
          <t>Emergency</t>
        </is>
      </c>
      <c r="G1679" s="29" t="n">
        <v>45885</v>
      </c>
      <c r="H1679" s="29" t="n">
        <v>45886</v>
      </c>
      <c r="I1679" s="30" t="n"/>
      <c r="J1679" t="inlineStr">
        <is>
          <t>R07.9</t>
        </is>
      </c>
      <c r="K1679" t="inlineStr">
        <is>
          <t>Chest pain, unspecified</t>
        </is>
      </c>
      <c r="L1679" t="inlineStr">
        <is>
          <t>Symptoms &amp; Signs</t>
        </is>
      </c>
      <c r="M1679" t="inlineStr">
        <is>
          <t>Home/Self-Care</t>
        </is>
      </c>
      <c r="N1679" t="inlineStr">
        <is>
          <t>State Medicaid</t>
        </is>
      </c>
      <c r="O1679" s="31" t="n">
        <v>1267.63</v>
      </c>
    </row>
    <row r="1680">
      <c r="A1680" t="inlineStr">
        <is>
          <t>ENC117713</t>
        </is>
      </c>
      <c r="B1680" t="inlineStr">
        <is>
          <t>PT11368</t>
        </is>
      </c>
      <c r="C1680" t="inlineStr">
        <is>
          <t>Inpatient</t>
        </is>
      </c>
      <c r="D1680" t="inlineStr">
        <is>
          <t>Bluestone Memorial Hospital</t>
        </is>
      </c>
      <c r="E1680" t="inlineStr">
        <is>
          <t>Medical-Surgical 4 West</t>
        </is>
      </c>
      <c r="F1680" t="inlineStr">
        <is>
          <t>Medicine</t>
        </is>
      </c>
      <c r="G1680" s="29" t="n">
        <v>45886</v>
      </c>
      <c r="H1680" s="29" t="n">
        <v>45890</v>
      </c>
      <c r="I1680" s="30" t="n">
        <v>4</v>
      </c>
      <c r="J1680" t="inlineStr">
        <is>
          <t>J96.01</t>
        </is>
      </c>
      <c r="K1680" t="inlineStr">
        <is>
          <t>Acute respiratory failure with hypoxia</t>
        </is>
      </c>
      <c r="L1680" t="inlineStr">
        <is>
          <t>Respiratory</t>
        </is>
      </c>
      <c r="M1680" t="inlineStr">
        <is>
          <t>Home/Self-Care</t>
        </is>
      </c>
      <c r="N1680" t="inlineStr">
        <is>
          <t>Keystone Health Partners</t>
        </is>
      </c>
      <c r="O1680" s="31" t="n">
        <v>63199.66</v>
      </c>
      <c r="P1680" t="inlineStr">
        <is>
          <t>N</t>
        </is>
      </c>
    </row>
    <row r="1681">
      <c r="A1681" t="inlineStr">
        <is>
          <t>ENC117716</t>
        </is>
      </c>
      <c r="B1681" t="inlineStr">
        <is>
          <t>PT13256</t>
        </is>
      </c>
      <c r="C1681" t="inlineStr">
        <is>
          <t>Emergency</t>
        </is>
      </c>
      <c r="D1681" t="inlineStr">
        <is>
          <t>Bluestone Memorial Hospital</t>
        </is>
      </c>
      <c r="E1681" t="inlineStr">
        <is>
          <t>Emergency Department</t>
        </is>
      </c>
      <c r="F1681" t="inlineStr">
        <is>
          <t>Emergency</t>
        </is>
      </c>
      <c r="G1681" s="29" t="n">
        <v>45886</v>
      </c>
      <c r="H1681" s="29" t="n">
        <v>45886</v>
      </c>
      <c r="I1681" s="30" t="n"/>
      <c r="J1681" t="inlineStr">
        <is>
          <t>J44.1</t>
        </is>
      </c>
      <c r="K1681" t="inlineStr">
        <is>
          <t>Chronic obstructive pulmonary disease with (acute) exacerbation</t>
        </is>
      </c>
      <c r="L1681" t="inlineStr">
        <is>
          <t>Respiratory</t>
        </is>
      </c>
      <c r="M1681" t="inlineStr">
        <is>
          <t>Home/Self-Care</t>
        </is>
      </c>
      <c r="N1681" t="inlineStr">
        <is>
          <t>Summit Choice PPO</t>
        </is>
      </c>
      <c r="O1681" s="31" t="n">
        <v>2886.1</v>
      </c>
    </row>
    <row r="1682">
      <c r="A1682" t="inlineStr">
        <is>
          <t>ENC117718</t>
        </is>
      </c>
      <c r="B1682" t="inlineStr">
        <is>
          <t>PT11600</t>
        </is>
      </c>
      <c r="C1682" t="inlineStr">
        <is>
          <t>Inpatient</t>
        </is>
      </c>
      <c r="D1682" t="inlineStr">
        <is>
          <t>Bluestone Memorial Hospital</t>
        </is>
      </c>
      <c r="E1682" t="inlineStr">
        <is>
          <t>Medical-Surgical 4 West</t>
        </is>
      </c>
      <c r="F1682" t="inlineStr">
        <is>
          <t>Medicine</t>
        </is>
      </c>
      <c r="G1682" s="29" t="n">
        <v>45886</v>
      </c>
      <c r="H1682" s="29" t="n">
        <v>45891</v>
      </c>
      <c r="I1682" s="30" t="n">
        <v>5</v>
      </c>
      <c r="J1682" t="inlineStr">
        <is>
          <t>R55</t>
        </is>
      </c>
      <c r="K1682" t="inlineStr">
        <is>
          <t>Syncope and collapse</t>
        </is>
      </c>
      <c r="L1682" t="inlineStr">
        <is>
          <t>Symptoms &amp; Signs</t>
        </is>
      </c>
      <c r="M1682" t="inlineStr">
        <is>
          <t>Home/Self-Care</t>
        </is>
      </c>
      <c r="N1682" t="inlineStr">
        <is>
          <t>State Medicaid</t>
        </is>
      </c>
      <c r="O1682" s="31" t="n">
        <v>20960.35</v>
      </c>
      <c r="P1682" t="inlineStr">
        <is>
          <t>N</t>
        </is>
      </c>
    </row>
    <row r="1683">
      <c r="A1683" t="inlineStr">
        <is>
          <t>ENC117719</t>
        </is>
      </c>
      <c r="B1683" t="inlineStr">
        <is>
          <t>PT10284</t>
        </is>
      </c>
      <c r="C1683" t="inlineStr">
        <is>
          <t>Emergency</t>
        </is>
      </c>
      <c r="D1683" t="inlineStr">
        <is>
          <t>Bluestone Memorial Hospital</t>
        </is>
      </c>
      <c r="E1683" t="inlineStr">
        <is>
          <t>Emergency Department</t>
        </is>
      </c>
      <c r="F1683" t="inlineStr">
        <is>
          <t>Emergency</t>
        </is>
      </c>
      <c r="G1683" s="29" t="n">
        <v>45886</v>
      </c>
      <c r="H1683" s="29" t="n">
        <v>45886</v>
      </c>
      <c r="I1683" s="30" t="n"/>
      <c r="J1683" t="inlineStr">
        <is>
          <t>U07.1</t>
        </is>
      </c>
      <c r="K1683" t="inlineStr">
        <is>
          <t>COVID-19</t>
        </is>
      </c>
      <c r="L1683" t="inlineStr">
        <is>
          <t>Respiratory</t>
        </is>
      </c>
      <c r="M1683" t="inlineStr">
        <is>
          <t>Home/Self-Care</t>
        </is>
      </c>
      <c r="N1683" t="inlineStr">
        <is>
          <t>State Medicaid</t>
        </is>
      </c>
      <c r="O1683" s="31" t="n">
        <v>3116.71</v>
      </c>
    </row>
    <row r="1684">
      <c r="A1684" t="inlineStr">
        <is>
          <t>ENC117721</t>
        </is>
      </c>
      <c r="B1684" t="inlineStr">
        <is>
          <t>PT11792</t>
        </is>
      </c>
      <c r="C1684" t="inlineStr">
        <is>
          <t>Emergency</t>
        </is>
      </c>
      <c r="D1684" t="inlineStr">
        <is>
          <t>Bluestone Memorial Hospital</t>
        </is>
      </c>
      <c r="E1684" t="inlineStr">
        <is>
          <t>Emergency Department</t>
        </is>
      </c>
      <c r="F1684" t="inlineStr">
        <is>
          <t>Emergency</t>
        </is>
      </c>
      <c r="G1684" s="29" t="n">
        <v>45886</v>
      </c>
      <c r="H1684" s="29" t="n">
        <v>45886</v>
      </c>
      <c r="I1684" s="30" t="n"/>
      <c r="J1684" t="inlineStr">
        <is>
          <t>G40.909</t>
        </is>
      </c>
      <c r="K1684" t="inlineStr">
        <is>
          <t>Epilepsy, unspecified, not intractable, without status epilepticus</t>
        </is>
      </c>
      <c r="L1684" t="inlineStr">
        <is>
          <t>Nervous System</t>
        </is>
      </c>
      <c r="M1684" t="inlineStr">
        <is>
          <t>Home/Self-Care</t>
        </is>
      </c>
      <c r="N1684" t="inlineStr">
        <is>
          <t>Silverline Medicare Advantage</t>
        </is>
      </c>
      <c r="O1684" s="31" t="n">
        <v>4090.82</v>
      </c>
    </row>
    <row r="1685">
      <c r="A1685" t="inlineStr">
        <is>
          <t>ENC117722</t>
        </is>
      </c>
      <c r="B1685" t="inlineStr">
        <is>
          <t>PT10468</t>
        </is>
      </c>
      <c r="C1685" t="inlineStr">
        <is>
          <t>Emergency</t>
        </is>
      </c>
      <c r="D1685" t="inlineStr">
        <is>
          <t>Bluestone Memorial Hospital</t>
        </is>
      </c>
      <c r="E1685" t="inlineStr">
        <is>
          <t>Emergency Department</t>
        </is>
      </c>
      <c r="F1685" t="inlineStr">
        <is>
          <t>Emergency</t>
        </is>
      </c>
      <c r="G1685" s="29" t="n">
        <v>45886</v>
      </c>
      <c r="H1685" s="29" t="n">
        <v>45886</v>
      </c>
      <c r="I1685" s="30" t="n"/>
      <c r="J1685" t="inlineStr">
        <is>
          <t>M54.50</t>
        </is>
      </c>
      <c r="K1685" t="inlineStr">
        <is>
          <t>Low back pain, unspecified</t>
        </is>
      </c>
      <c r="L1685" t="inlineStr">
        <is>
          <t>Musculoskeletal</t>
        </is>
      </c>
      <c r="M1685" t="inlineStr">
        <is>
          <t>Home/Self-Care</t>
        </is>
      </c>
      <c r="N1685" t="inlineStr">
        <is>
          <t>Medicare</t>
        </is>
      </c>
      <c r="O1685" s="31" t="n">
        <v>1651.13</v>
      </c>
    </row>
    <row r="1686">
      <c r="A1686" t="inlineStr">
        <is>
          <t>ENC117730</t>
        </is>
      </c>
      <c r="B1686" t="inlineStr">
        <is>
          <t>PT13260</t>
        </is>
      </c>
      <c r="C1686" t="inlineStr">
        <is>
          <t>Outpatient</t>
        </is>
      </c>
      <c r="D1686" t="inlineStr">
        <is>
          <t>Bluestone Outpatient Pavilion</t>
        </is>
      </c>
      <c r="E1686" t="inlineStr">
        <is>
          <t>Primary Care Clinic</t>
        </is>
      </c>
      <c r="F1686" t="inlineStr">
        <is>
          <t>Ambulatory</t>
        </is>
      </c>
      <c r="G1686" s="29" t="n">
        <v>45887</v>
      </c>
      <c r="H1686" s="29" t="n">
        <v>45887</v>
      </c>
      <c r="I1686" s="30" t="n"/>
      <c r="J1686" t="inlineStr">
        <is>
          <t>G40.909</t>
        </is>
      </c>
      <c r="K1686" t="inlineStr">
        <is>
          <t>Epilepsy, unspecified, not intractable, without status epilepticus</t>
        </is>
      </c>
      <c r="L1686" t="inlineStr">
        <is>
          <t>Nervous System</t>
        </is>
      </c>
      <c r="M1686" t="inlineStr">
        <is>
          <t>Home/Self-Care</t>
        </is>
      </c>
      <c r="N1686" t="inlineStr">
        <is>
          <t>Evergreen Mutual Insurance</t>
        </is>
      </c>
      <c r="O1686" s="31" t="n">
        <v>417.8</v>
      </c>
    </row>
    <row r="1687">
      <c r="A1687" t="inlineStr">
        <is>
          <t>ENC117731</t>
        </is>
      </c>
      <c r="B1687" t="inlineStr">
        <is>
          <t>PT12928</t>
        </is>
      </c>
      <c r="C1687" t="inlineStr">
        <is>
          <t>Inpatient</t>
        </is>
      </c>
      <c r="D1687" t="inlineStr">
        <is>
          <t>Bluestone Memorial Hospital</t>
        </is>
      </c>
      <c r="E1687" t="inlineStr">
        <is>
          <t>Cardiac Step-Down</t>
        </is>
      </c>
      <c r="F1687" t="inlineStr">
        <is>
          <t>Cardiovascular</t>
        </is>
      </c>
      <c r="G1687" s="29" t="n">
        <v>45887</v>
      </c>
      <c r="H1687" s="29" t="n">
        <v>45893</v>
      </c>
      <c r="I1687" s="30" t="n">
        <v>6</v>
      </c>
      <c r="J1687" t="inlineStr">
        <is>
          <t>I48.91</t>
        </is>
      </c>
      <c r="K1687" t="inlineStr">
        <is>
          <t>Unspecified atrial fibrillation</t>
        </is>
      </c>
      <c r="L1687" t="inlineStr">
        <is>
          <t>Circulatory</t>
        </is>
      </c>
      <c r="M1687" t="inlineStr">
        <is>
          <t>Home Health</t>
        </is>
      </c>
      <c r="N1687" t="inlineStr">
        <is>
          <t>Silverline Medicare Advantage</t>
        </is>
      </c>
      <c r="O1687" s="31" t="n">
        <v>38590.6</v>
      </c>
      <c r="P1687" t="inlineStr">
        <is>
          <t>N</t>
        </is>
      </c>
    </row>
    <row r="1688">
      <c r="A1688" t="inlineStr">
        <is>
          <t>ENC117734</t>
        </is>
      </c>
      <c r="B1688" t="inlineStr">
        <is>
          <t>PT12540</t>
        </is>
      </c>
      <c r="C1688" t="inlineStr">
        <is>
          <t>Outpatient</t>
        </is>
      </c>
      <c r="D1688" t="inlineStr">
        <is>
          <t>Bluestone Outpatient Pavilion</t>
        </is>
      </c>
      <c r="E1688" t="inlineStr">
        <is>
          <t>Infusion &amp; Oncology Clinic</t>
        </is>
      </c>
      <c r="F1688" t="inlineStr">
        <is>
          <t>Oncology</t>
        </is>
      </c>
      <c r="G1688" s="29" t="n">
        <v>45887</v>
      </c>
      <c r="H1688" s="29" t="n">
        <v>45887</v>
      </c>
      <c r="I1688" s="30" t="n"/>
      <c r="J1688" t="inlineStr">
        <is>
          <t>Z51.11</t>
        </is>
      </c>
      <c r="K1688" t="inlineStr">
        <is>
          <t>Encounter for antineoplastic chemotherapy</t>
        </is>
      </c>
      <c r="L1688" t="inlineStr">
        <is>
          <t>Factors Influencing Health</t>
        </is>
      </c>
      <c r="M1688" t="inlineStr">
        <is>
          <t>Home/Self-Care</t>
        </is>
      </c>
      <c r="N1688" t="inlineStr">
        <is>
          <t>Evergreen Mutual Insurance</t>
        </is>
      </c>
      <c r="O1688" s="31" t="n">
        <v>11620.84</v>
      </c>
    </row>
    <row r="1689">
      <c r="A1689" t="inlineStr">
        <is>
          <t>ENC117737</t>
        </is>
      </c>
      <c r="B1689" t="inlineStr">
        <is>
          <t>PT11488</t>
        </is>
      </c>
      <c r="C1689" t="inlineStr">
        <is>
          <t>Outpatient</t>
        </is>
      </c>
      <c r="D1689" t="inlineStr">
        <is>
          <t>Bluestone Outpatient Pavilion</t>
        </is>
      </c>
      <c r="E1689" t="inlineStr">
        <is>
          <t>Primary Care Clinic</t>
        </is>
      </c>
      <c r="F1689" t="inlineStr">
        <is>
          <t>Ambulatory</t>
        </is>
      </c>
      <c r="G1689" s="29" t="n">
        <v>45887</v>
      </c>
      <c r="H1689" s="29" t="n">
        <v>45887</v>
      </c>
      <c r="I1689" s="30" t="n"/>
      <c r="J1689" t="inlineStr">
        <is>
          <t>I10</t>
        </is>
      </c>
      <c r="K1689" t="inlineStr">
        <is>
          <t>Essential (primary) hypertension</t>
        </is>
      </c>
      <c r="L1689" t="inlineStr">
        <is>
          <t>Circulatory</t>
        </is>
      </c>
      <c r="M1689" t="inlineStr">
        <is>
          <t>Home/Self-Care</t>
        </is>
      </c>
      <c r="N1689" t="inlineStr">
        <is>
          <t>Self-Pay</t>
        </is>
      </c>
      <c r="O1689" s="31" t="n">
        <v>171.07</v>
      </c>
    </row>
    <row r="1690">
      <c r="A1690" t="inlineStr">
        <is>
          <t>ENC117740</t>
        </is>
      </c>
      <c r="B1690" t="inlineStr">
        <is>
          <t>PT11008</t>
        </is>
      </c>
      <c r="C1690" t="inlineStr">
        <is>
          <t>Outpatient</t>
        </is>
      </c>
      <c r="D1690" t="inlineStr">
        <is>
          <t>Bluestone Outpatient Pavilion</t>
        </is>
      </c>
      <c r="E1690" t="inlineStr">
        <is>
          <t>Primary Care Clinic</t>
        </is>
      </c>
      <c r="F1690" t="inlineStr">
        <is>
          <t>Ambulatory</t>
        </is>
      </c>
      <c r="G1690" s="29" t="n">
        <v>45887</v>
      </c>
      <c r="H1690" s="29" t="n">
        <v>45887</v>
      </c>
      <c r="I1690" s="30" t="n"/>
      <c r="J1690" t="inlineStr">
        <is>
          <t>Z00.00</t>
        </is>
      </c>
      <c r="K1690" t="inlineStr">
        <is>
          <t>Encounter for general adult medical examination without abnormal findings</t>
        </is>
      </c>
      <c r="L1690" t="inlineStr">
        <is>
          <t>Factors Influencing Health</t>
        </is>
      </c>
      <c r="M1690" t="inlineStr">
        <is>
          <t>Home/Self-Care</t>
        </is>
      </c>
      <c r="N1690" t="inlineStr">
        <is>
          <t>State Medicaid</t>
        </is>
      </c>
      <c r="O1690" s="31" t="n">
        <v>364.81</v>
      </c>
    </row>
    <row r="1691">
      <c r="A1691" t="inlineStr">
        <is>
          <t>ENC117745</t>
        </is>
      </c>
      <c r="B1691" t="inlineStr">
        <is>
          <t>PT13848</t>
        </is>
      </c>
      <c r="C1691" t="inlineStr">
        <is>
          <t>Inpatient</t>
        </is>
      </c>
      <c r="D1691" t="inlineStr">
        <is>
          <t>Bluestone Memorial Hospital</t>
        </is>
      </c>
      <c r="E1691" t="inlineStr">
        <is>
          <t>Medical-Surgical 5 East</t>
        </is>
      </c>
      <c r="F1691" t="inlineStr">
        <is>
          <t>Medicine</t>
        </is>
      </c>
      <c r="G1691" s="29" t="n">
        <v>45887</v>
      </c>
      <c r="H1691" s="29" t="n">
        <v>45893</v>
      </c>
      <c r="I1691" s="30" t="n">
        <v>6</v>
      </c>
      <c r="J1691" t="inlineStr">
        <is>
          <t>N17.9</t>
        </is>
      </c>
      <c r="K1691" t="inlineStr">
        <is>
          <t>Acute kidney failure, unspecified</t>
        </is>
      </c>
      <c r="L1691" t="inlineStr">
        <is>
          <t>Genitourinary</t>
        </is>
      </c>
      <c r="M1691" t="inlineStr">
        <is>
          <t>Home/Self-Care</t>
        </is>
      </c>
      <c r="N1691" t="inlineStr">
        <is>
          <t>Medicare</t>
        </is>
      </c>
      <c r="O1691" s="31" t="n">
        <v>24730.33</v>
      </c>
      <c r="P1691" t="inlineStr">
        <is>
          <t>Y</t>
        </is>
      </c>
    </row>
    <row r="1692">
      <c r="A1692" t="inlineStr">
        <is>
          <t>ENC117750</t>
        </is>
      </c>
      <c r="B1692" t="inlineStr">
        <is>
          <t>PT12816</t>
        </is>
      </c>
      <c r="C1692" t="inlineStr">
        <is>
          <t>Emergency</t>
        </is>
      </c>
      <c r="D1692" t="inlineStr">
        <is>
          <t>Bluestone Memorial Hospital</t>
        </is>
      </c>
      <c r="E1692" t="inlineStr">
        <is>
          <t>Emergency Department</t>
        </is>
      </c>
      <c r="F1692" t="inlineStr">
        <is>
          <t>Emergency</t>
        </is>
      </c>
      <c r="G1692" s="29" t="n">
        <v>45888</v>
      </c>
      <c r="H1692" s="29" t="n">
        <v>45888</v>
      </c>
      <c r="I1692" s="30" t="n"/>
      <c r="J1692" t="inlineStr">
        <is>
          <t>R10.9</t>
        </is>
      </c>
      <c r="K1692" t="inlineStr">
        <is>
          <t>Unspecified abdominal pain</t>
        </is>
      </c>
      <c r="L1692" t="inlineStr">
        <is>
          <t>Symptoms &amp; Signs</t>
        </is>
      </c>
      <c r="M1692" t="inlineStr">
        <is>
          <t>Home/Self-Care</t>
        </is>
      </c>
      <c r="N1692" t="inlineStr">
        <is>
          <t>State Medicaid</t>
        </is>
      </c>
      <c r="O1692" s="31" t="n">
        <v>1619.67</v>
      </c>
    </row>
    <row r="1693">
      <c r="A1693" t="inlineStr">
        <is>
          <t>ENC117755</t>
        </is>
      </c>
      <c r="B1693" t="inlineStr">
        <is>
          <t>PT12664</t>
        </is>
      </c>
      <c r="C1693" t="inlineStr">
        <is>
          <t>Outpatient</t>
        </is>
      </c>
      <c r="D1693" t="inlineStr">
        <is>
          <t>Bluestone Outpatient Pavilion</t>
        </is>
      </c>
      <c r="E1693" t="inlineStr">
        <is>
          <t>Pediatric Clinic</t>
        </is>
      </c>
      <c r="F1693" t="inlineStr">
        <is>
          <t>Women &amp; Children</t>
        </is>
      </c>
      <c r="G1693" s="29" t="n">
        <v>45888</v>
      </c>
      <c r="H1693" s="29" t="n">
        <v>45888</v>
      </c>
      <c r="I1693" s="30" t="n"/>
      <c r="J1693" t="inlineStr">
        <is>
          <t>Z00.129</t>
        </is>
      </c>
      <c r="K1693" t="inlineStr">
        <is>
          <t>Encounter for routine child health examination without abnormal findings</t>
        </is>
      </c>
      <c r="L1693" t="inlineStr">
        <is>
          <t>Factors Influencing Health</t>
        </is>
      </c>
      <c r="M1693" t="inlineStr">
        <is>
          <t>Home/Self-Care</t>
        </is>
      </c>
      <c r="N1693" t="inlineStr">
        <is>
          <t>Keystone Health Partners</t>
        </is>
      </c>
      <c r="O1693" s="31" t="n">
        <v>453.18</v>
      </c>
    </row>
    <row r="1694">
      <c r="A1694" t="inlineStr">
        <is>
          <t>ENC117758</t>
        </is>
      </c>
      <c r="B1694" t="inlineStr">
        <is>
          <t>PT11116</t>
        </is>
      </c>
      <c r="C1694" t="inlineStr">
        <is>
          <t>Outpatient</t>
        </is>
      </c>
      <c r="D1694" t="inlineStr">
        <is>
          <t>Bluestone Outpatient Pavilion</t>
        </is>
      </c>
      <c r="E1694" t="inlineStr">
        <is>
          <t>Primary Care Clinic</t>
        </is>
      </c>
      <c r="F1694" t="inlineStr">
        <is>
          <t>Ambulatory</t>
        </is>
      </c>
      <c r="G1694" s="29" t="n">
        <v>45888</v>
      </c>
      <c r="H1694" s="29" t="n">
        <v>45888</v>
      </c>
      <c r="I1694" s="30" t="n"/>
      <c r="J1694" t="inlineStr">
        <is>
          <t>I10</t>
        </is>
      </c>
      <c r="K1694" t="inlineStr">
        <is>
          <t>Essential (primary) hypertension</t>
        </is>
      </c>
      <c r="L1694" t="inlineStr">
        <is>
          <t>Circulatory</t>
        </is>
      </c>
      <c r="M1694" t="inlineStr">
        <is>
          <t>Home/Self-Care</t>
        </is>
      </c>
      <c r="N1694" t="inlineStr">
        <is>
          <t>State Medicaid</t>
        </is>
      </c>
      <c r="O1694" s="31" t="n">
        <v>461.22</v>
      </c>
    </row>
    <row r="1695">
      <c r="A1695" t="inlineStr">
        <is>
          <t>ENC117759</t>
        </is>
      </c>
      <c r="B1695" t="inlineStr">
        <is>
          <t>PT12132</t>
        </is>
      </c>
      <c r="C1695" t="inlineStr">
        <is>
          <t>Outpatient</t>
        </is>
      </c>
      <c r="D1695" t="inlineStr">
        <is>
          <t>Bluestone Outpatient Pavilion</t>
        </is>
      </c>
      <c r="E1695" t="inlineStr">
        <is>
          <t>Primary Care Clinic</t>
        </is>
      </c>
      <c r="F1695" t="inlineStr">
        <is>
          <t>Ambulatory</t>
        </is>
      </c>
      <c r="G1695" s="29" t="n">
        <v>45888</v>
      </c>
      <c r="H1695" s="29" t="n">
        <v>45888</v>
      </c>
      <c r="I1695" s="30" t="n"/>
      <c r="J1695" t="inlineStr">
        <is>
          <t>N39.0</t>
        </is>
      </c>
      <c r="K1695" t="inlineStr">
        <is>
          <t>Urinary tract infection, site not specified</t>
        </is>
      </c>
      <c r="L1695" t="inlineStr">
        <is>
          <t>Genitourinary</t>
        </is>
      </c>
      <c r="M1695" t="inlineStr">
        <is>
          <t>Home/Self-Care</t>
        </is>
      </c>
      <c r="N1695" t="inlineStr">
        <is>
          <t>Evergreen Mutual Insurance</t>
        </is>
      </c>
      <c r="O1695" s="31" t="n">
        <v>251.78</v>
      </c>
    </row>
    <row r="1696">
      <c r="A1696" t="inlineStr">
        <is>
          <t>ENC117763</t>
        </is>
      </c>
      <c r="B1696" t="inlineStr">
        <is>
          <t>PT13004</t>
        </is>
      </c>
      <c r="C1696" t="inlineStr">
        <is>
          <t>Outpatient</t>
        </is>
      </c>
      <c r="D1696" t="inlineStr">
        <is>
          <t>Bluestone Outpatient Pavilion</t>
        </is>
      </c>
      <c r="E1696" t="inlineStr">
        <is>
          <t>Primary Care Clinic</t>
        </is>
      </c>
      <c r="F1696" t="inlineStr">
        <is>
          <t>Ambulatory</t>
        </is>
      </c>
      <c r="G1696" s="29" t="n">
        <v>45888</v>
      </c>
      <c r="H1696" s="29" t="n">
        <v>45888</v>
      </c>
      <c r="I1696" s="30" t="n"/>
      <c r="J1696" t="inlineStr">
        <is>
          <t>J45.909</t>
        </is>
      </c>
      <c r="K1696" t="inlineStr">
        <is>
          <t>Unspecified asthma, uncomplicated</t>
        </is>
      </c>
      <c r="L1696" t="inlineStr">
        <is>
          <t>Respiratory</t>
        </is>
      </c>
      <c r="M1696" t="inlineStr">
        <is>
          <t>Home/Self-Care</t>
        </is>
      </c>
      <c r="N1696" t="inlineStr">
        <is>
          <t>Medicare</t>
        </is>
      </c>
      <c r="O1696" s="31" t="n">
        <v>187.59</v>
      </c>
    </row>
    <row r="1697">
      <c r="A1697" t="inlineStr">
        <is>
          <t>ENC117765</t>
        </is>
      </c>
      <c r="B1697" t="inlineStr">
        <is>
          <t>PT13036</t>
        </is>
      </c>
      <c r="C1697" t="inlineStr">
        <is>
          <t>Emergency</t>
        </is>
      </c>
      <c r="D1697" t="inlineStr">
        <is>
          <t>Bluestone Memorial Hospital</t>
        </is>
      </c>
      <c r="E1697" t="inlineStr">
        <is>
          <t>Emergency Department</t>
        </is>
      </c>
      <c r="F1697" t="inlineStr">
        <is>
          <t>Emergency</t>
        </is>
      </c>
      <c r="G1697" s="29" t="n">
        <v>45888</v>
      </c>
      <c r="H1697" s="29" t="n">
        <v>45888</v>
      </c>
      <c r="I1697" s="30" t="n"/>
      <c r="J1697" t="inlineStr">
        <is>
          <t>I10</t>
        </is>
      </c>
      <c r="K1697" t="inlineStr">
        <is>
          <t>Essential (primary) hypertension</t>
        </is>
      </c>
      <c r="L1697" t="inlineStr">
        <is>
          <t>Circulatory</t>
        </is>
      </c>
      <c r="M1697" t="inlineStr">
        <is>
          <t>Home/Self-Care</t>
        </is>
      </c>
      <c r="N1697" t="inlineStr">
        <is>
          <t>Keystone Health Partners</t>
        </is>
      </c>
      <c r="O1697" s="31" t="n">
        <v>1665.15</v>
      </c>
    </row>
    <row r="1698">
      <c r="A1698" t="inlineStr">
        <is>
          <t>ENC117772</t>
        </is>
      </c>
      <c r="B1698" t="inlineStr">
        <is>
          <t>PT12912</t>
        </is>
      </c>
      <c r="C1698" t="inlineStr">
        <is>
          <t>Observation</t>
        </is>
      </c>
      <c r="D1698" t="inlineStr">
        <is>
          <t>Bluestone Memorial Hospital</t>
        </is>
      </c>
      <c r="E1698" t="inlineStr">
        <is>
          <t>Observation Unit</t>
        </is>
      </c>
      <c r="F1698" t="inlineStr">
        <is>
          <t>Medicine</t>
        </is>
      </c>
      <c r="G1698" s="29" t="n">
        <v>45889</v>
      </c>
      <c r="H1698" s="29" t="n">
        <v>45889</v>
      </c>
      <c r="I1698" s="30" t="n">
        <v>0</v>
      </c>
      <c r="J1698" t="inlineStr">
        <is>
          <t>N39.0</t>
        </is>
      </c>
      <c r="K1698" t="inlineStr">
        <is>
          <t>Urinary tract infection, site not specified</t>
        </is>
      </c>
      <c r="L1698" t="inlineStr">
        <is>
          <t>Genitourinary</t>
        </is>
      </c>
      <c r="M1698" t="inlineStr">
        <is>
          <t>Home/Self-Care</t>
        </is>
      </c>
      <c r="N1698" t="inlineStr">
        <is>
          <t>Evergreen Mutual Insurance</t>
        </is>
      </c>
      <c r="O1698" s="31" t="n">
        <v>7361.87</v>
      </c>
    </row>
    <row r="1699">
      <c r="A1699" t="inlineStr">
        <is>
          <t>ENC117776</t>
        </is>
      </c>
      <c r="B1699" t="inlineStr">
        <is>
          <t>PT11776</t>
        </is>
      </c>
      <c r="C1699" t="inlineStr">
        <is>
          <t>Emergency</t>
        </is>
      </c>
      <c r="D1699" t="inlineStr">
        <is>
          <t>Bluestone Memorial Hospital</t>
        </is>
      </c>
      <c r="E1699" t="inlineStr">
        <is>
          <t>Emergency Department</t>
        </is>
      </c>
      <c r="F1699" t="inlineStr">
        <is>
          <t>Emergency</t>
        </is>
      </c>
      <c r="G1699" s="29" t="n">
        <v>45888</v>
      </c>
      <c r="H1699" s="29" t="n">
        <v>45889</v>
      </c>
      <c r="I1699" s="30" t="n"/>
      <c r="J1699" t="inlineStr">
        <is>
          <t>M54.50</t>
        </is>
      </c>
      <c r="K1699" t="inlineStr">
        <is>
          <t>Low back pain, unspecified</t>
        </is>
      </c>
      <c r="L1699" t="inlineStr">
        <is>
          <t>Musculoskeletal</t>
        </is>
      </c>
      <c r="M1699" t="inlineStr">
        <is>
          <t>Home/Self-Care</t>
        </is>
      </c>
      <c r="N1699" t="inlineStr">
        <is>
          <t>Medicare</t>
        </is>
      </c>
      <c r="O1699" s="31" t="n">
        <v>579.8</v>
      </c>
    </row>
    <row r="1700">
      <c r="A1700" t="inlineStr">
        <is>
          <t>ENC117780</t>
        </is>
      </c>
      <c r="B1700" t="inlineStr">
        <is>
          <t>PT11252</t>
        </is>
      </c>
      <c r="C1700" t="inlineStr">
        <is>
          <t>Inpatient</t>
        </is>
      </c>
      <c r="D1700" t="inlineStr">
        <is>
          <t>Cedar Ridge Medical Center</t>
        </is>
      </c>
      <c r="E1700" t="inlineStr">
        <is>
          <t>Medical-Surgical</t>
        </is>
      </c>
      <c r="F1700" t="inlineStr">
        <is>
          <t>Medicine</t>
        </is>
      </c>
      <c r="G1700" s="29" t="n">
        <v>45889</v>
      </c>
      <c r="H1700" s="29" t="n">
        <v>45891</v>
      </c>
      <c r="I1700" s="30" t="n">
        <v>2</v>
      </c>
      <c r="J1700" t="inlineStr">
        <is>
          <t>N39.0</t>
        </is>
      </c>
      <c r="K1700" t="inlineStr">
        <is>
          <t>Urinary tract infection, site not specified</t>
        </is>
      </c>
      <c r="L1700" t="inlineStr">
        <is>
          <t>Genitourinary</t>
        </is>
      </c>
      <c r="M1700" t="inlineStr">
        <is>
          <t>Skilled Nursing Facility</t>
        </is>
      </c>
      <c r="N1700" t="inlineStr">
        <is>
          <t>Medicare</t>
        </is>
      </c>
      <c r="O1700" s="31" t="n">
        <v>17442.22</v>
      </c>
      <c r="P1700" t="inlineStr">
        <is>
          <t>N</t>
        </is>
      </c>
    </row>
    <row r="1701">
      <c r="A1701" t="inlineStr">
        <is>
          <t>ENC117786</t>
        </is>
      </c>
      <c r="B1701" t="inlineStr">
        <is>
          <t>PT13380</t>
        </is>
      </c>
      <c r="C1701" t="inlineStr">
        <is>
          <t>Outpatient</t>
        </is>
      </c>
      <c r="D1701" t="inlineStr">
        <is>
          <t>Bluestone Outpatient Pavilion</t>
        </is>
      </c>
      <c r="E1701" t="inlineStr">
        <is>
          <t>Endocrinology &amp; Diabetes Clinic</t>
        </is>
      </c>
      <c r="F1701" t="inlineStr">
        <is>
          <t>Ambulatory</t>
        </is>
      </c>
      <c r="G1701" s="29" t="n">
        <v>45889</v>
      </c>
      <c r="H1701" s="29" t="n">
        <v>45889</v>
      </c>
      <c r="I1701" s="30" t="n"/>
      <c r="J1701" t="inlineStr">
        <is>
          <t>E11.65</t>
        </is>
      </c>
      <c r="K1701" t="inlineStr">
        <is>
          <t>Type 2 diabetes mellitus with hyperglycemia</t>
        </is>
      </c>
      <c r="L1701" t="inlineStr">
        <is>
          <t>Endocrine</t>
        </is>
      </c>
      <c r="M1701" t="inlineStr">
        <is>
          <t>Home/Self-Care</t>
        </is>
      </c>
      <c r="N1701" t="inlineStr">
        <is>
          <t>Summit Choice PPO</t>
        </is>
      </c>
      <c r="O1701" s="31" t="n">
        <v>316.78</v>
      </c>
    </row>
    <row r="1702">
      <c r="A1702" t="inlineStr">
        <is>
          <t>ENC117788</t>
        </is>
      </c>
      <c r="B1702" t="inlineStr">
        <is>
          <t>PT10472</t>
        </is>
      </c>
      <c r="C1702" t="inlineStr">
        <is>
          <t>Inpatient</t>
        </is>
      </c>
      <c r="D1702" t="inlineStr">
        <is>
          <t>Bluestone Memorial Hospital</t>
        </is>
      </c>
      <c r="E1702" t="inlineStr">
        <is>
          <t>Cardiac Step-Down</t>
        </is>
      </c>
      <c r="F1702" t="inlineStr">
        <is>
          <t>Cardiovascular</t>
        </is>
      </c>
      <c r="G1702" s="29" t="n">
        <v>45889</v>
      </c>
      <c r="H1702" s="29" t="n">
        <v>45892</v>
      </c>
      <c r="I1702" s="30" t="n">
        <v>3</v>
      </c>
      <c r="J1702" t="inlineStr">
        <is>
          <t>I48.91</t>
        </is>
      </c>
      <c r="K1702" t="inlineStr">
        <is>
          <t>Unspecified atrial fibrillation</t>
        </is>
      </c>
      <c r="L1702" t="inlineStr">
        <is>
          <t>Circulatory</t>
        </is>
      </c>
      <c r="M1702" t="inlineStr">
        <is>
          <t>Home/Self-Care</t>
        </is>
      </c>
      <c r="N1702" t="inlineStr">
        <is>
          <t>Medicare</t>
        </is>
      </c>
      <c r="O1702" s="31" t="n">
        <v>25072.29</v>
      </c>
      <c r="P1702" t="inlineStr">
        <is>
          <t>N</t>
        </is>
      </c>
    </row>
    <row r="1703">
      <c r="A1703" t="inlineStr">
        <is>
          <t>ENC117791</t>
        </is>
      </c>
      <c r="B1703" t="inlineStr">
        <is>
          <t>PT11220</t>
        </is>
      </c>
      <c r="C1703" t="inlineStr">
        <is>
          <t>Inpatient</t>
        </is>
      </c>
      <c r="D1703" t="inlineStr">
        <is>
          <t>Ashby Falls Community Hospital</t>
        </is>
      </c>
      <c r="E1703" t="inlineStr">
        <is>
          <t>Medical-Surgical</t>
        </is>
      </c>
      <c r="F1703" t="inlineStr">
        <is>
          <t>Medicine</t>
        </is>
      </c>
      <c r="G1703" s="29" t="n">
        <v>45889</v>
      </c>
      <c r="H1703" s="29" t="n">
        <v>45894</v>
      </c>
      <c r="I1703" s="30" t="n">
        <v>5</v>
      </c>
      <c r="J1703" t="inlineStr">
        <is>
          <t>I50.9</t>
        </is>
      </c>
      <c r="K1703" t="inlineStr">
        <is>
          <t>Heart failure, unspecified</t>
        </is>
      </c>
      <c r="L1703" t="inlineStr">
        <is>
          <t>Circulatory</t>
        </is>
      </c>
      <c r="M1703" t="inlineStr">
        <is>
          <t>Home/Self-Care</t>
        </is>
      </c>
      <c r="N1703" t="inlineStr">
        <is>
          <t>Evergreen Mutual Insurance</t>
        </is>
      </c>
      <c r="O1703" s="31" t="n">
        <v>33061.68</v>
      </c>
      <c r="P1703" t="inlineStr">
        <is>
          <t>N</t>
        </is>
      </c>
    </row>
    <row r="1704">
      <c r="A1704" t="inlineStr">
        <is>
          <t>ENC117792</t>
        </is>
      </c>
      <c r="B1704" t="inlineStr">
        <is>
          <t>PT10224</t>
        </is>
      </c>
      <c r="C1704" t="inlineStr">
        <is>
          <t>Inpatient</t>
        </is>
      </c>
      <c r="D1704" t="inlineStr">
        <is>
          <t>Bluestone Memorial Hospital</t>
        </is>
      </c>
      <c r="E1704" t="inlineStr">
        <is>
          <t>Labor &amp; Delivery</t>
        </is>
      </c>
      <c r="F1704" t="inlineStr">
        <is>
          <t>Women &amp; Children</t>
        </is>
      </c>
      <c r="G1704" s="29" t="n">
        <v>45889</v>
      </c>
      <c r="H1704" s="29" t="n">
        <v>45891</v>
      </c>
      <c r="I1704" s="30" t="n">
        <v>2</v>
      </c>
      <c r="J1704" t="inlineStr">
        <is>
          <t>O80</t>
        </is>
      </c>
      <c r="K1704" t="inlineStr">
        <is>
          <t>Encounter for full-term uncomplicated delivery</t>
        </is>
      </c>
      <c r="L1704" t="inlineStr">
        <is>
          <t>Pregnancy</t>
        </is>
      </c>
      <c r="M1704" t="inlineStr">
        <is>
          <t>Home/Self-Care</t>
        </is>
      </c>
      <c r="N1704" t="inlineStr">
        <is>
          <t>Keystone Health Partners</t>
        </is>
      </c>
      <c r="O1704" s="31" t="n">
        <v>17140.78</v>
      </c>
      <c r="P1704" t="inlineStr">
        <is>
          <t>Y</t>
        </is>
      </c>
    </row>
    <row r="1705">
      <c r="A1705" t="inlineStr">
        <is>
          <t>ENC117795</t>
        </is>
      </c>
      <c r="B1705" t="inlineStr">
        <is>
          <t>PT11200</t>
        </is>
      </c>
      <c r="C1705" t="inlineStr">
        <is>
          <t>Emergency</t>
        </is>
      </c>
      <c r="D1705" t="inlineStr">
        <is>
          <t>Cedar Ridge Medical Center</t>
        </is>
      </c>
      <c r="E1705" t="inlineStr">
        <is>
          <t>Emergency Department</t>
        </is>
      </c>
      <c r="F1705" t="inlineStr">
        <is>
          <t>Emergency</t>
        </is>
      </c>
      <c r="G1705" s="29" t="n">
        <v>45889</v>
      </c>
      <c r="H1705" s="29" t="n">
        <v>45889</v>
      </c>
      <c r="I1705" s="30" t="n"/>
      <c r="J1705" t="inlineStr">
        <is>
          <t>S06.0X0A</t>
        </is>
      </c>
      <c r="K1705" t="inlineStr">
        <is>
          <t>Concussion without loss of consciousness, initial encounter</t>
        </is>
      </c>
      <c r="L1705" t="inlineStr">
        <is>
          <t>Injury</t>
        </is>
      </c>
      <c r="M1705" t="inlineStr">
        <is>
          <t>Home/Self-Care</t>
        </is>
      </c>
      <c r="N1705" t="inlineStr">
        <is>
          <t>State Medicaid</t>
        </is>
      </c>
      <c r="O1705" s="31" t="n">
        <v>2941.6</v>
      </c>
    </row>
    <row r="1706">
      <c r="A1706" t="inlineStr">
        <is>
          <t>ENC117796</t>
        </is>
      </c>
      <c r="B1706" t="inlineStr">
        <is>
          <t>PT11464</t>
        </is>
      </c>
      <c r="C1706" t="inlineStr">
        <is>
          <t>Outpatient</t>
        </is>
      </c>
      <c r="D1706" t="inlineStr">
        <is>
          <t>Bluestone Outpatient Pavilion</t>
        </is>
      </c>
      <c r="E1706" t="inlineStr">
        <is>
          <t>Primary Care Clinic</t>
        </is>
      </c>
      <c r="F1706" t="inlineStr">
        <is>
          <t>Ambulatory</t>
        </is>
      </c>
      <c r="G1706" s="29" t="n">
        <v>45889</v>
      </c>
      <c r="H1706" s="29" t="n">
        <v>45889</v>
      </c>
      <c r="I1706" s="30" t="n"/>
      <c r="J1706" t="inlineStr">
        <is>
          <t>F32.9</t>
        </is>
      </c>
      <c r="K1706" t="inlineStr">
        <is>
          <t>Major depressive disorder, single episode, unspecified</t>
        </is>
      </c>
      <c r="L1706" t="inlineStr">
        <is>
          <t>Mental &amp; Behavioral</t>
        </is>
      </c>
      <c r="M1706" t="inlineStr">
        <is>
          <t>Home/Self-Care</t>
        </is>
      </c>
      <c r="N1706" t="inlineStr">
        <is>
          <t>Summit Choice PPO</t>
        </is>
      </c>
      <c r="O1706" s="31" t="n">
        <v>392.82</v>
      </c>
    </row>
    <row r="1707">
      <c r="A1707" t="inlineStr">
        <is>
          <t>ENC117797</t>
        </is>
      </c>
      <c r="B1707" t="inlineStr">
        <is>
          <t>PT10024</t>
        </is>
      </c>
      <c r="C1707" t="inlineStr">
        <is>
          <t>Outpatient</t>
        </is>
      </c>
      <c r="D1707" t="inlineStr">
        <is>
          <t>Bluestone Outpatient Pavilion</t>
        </is>
      </c>
      <c r="E1707" t="inlineStr">
        <is>
          <t>Primary Care Clinic</t>
        </is>
      </c>
      <c r="F1707" t="inlineStr">
        <is>
          <t>Ambulatory</t>
        </is>
      </c>
      <c r="G1707" s="29" t="n">
        <v>45889</v>
      </c>
      <c r="H1707" s="29" t="n">
        <v>45889</v>
      </c>
      <c r="I1707" s="30" t="n"/>
      <c r="J1707" t="inlineStr">
        <is>
          <t>I10</t>
        </is>
      </c>
      <c r="K1707" t="inlineStr">
        <is>
          <t>Essential (primary) hypertension</t>
        </is>
      </c>
      <c r="L1707" t="inlineStr">
        <is>
          <t>Circulatory</t>
        </is>
      </c>
      <c r="M1707" t="inlineStr">
        <is>
          <t>Home/Self-Care</t>
        </is>
      </c>
      <c r="N1707" t="inlineStr">
        <is>
          <t>Summit Choice PPO</t>
        </is>
      </c>
      <c r="O1707" s="31" t="n">
        <v>230.02</v>
      </c>
    </row>
    <row r="1708">
      <c r="A1708" t="inlineStr">
        <is>
          <t>ENC117798</t>
        </is>
      </c>
      <c r="B1708" t="inlineStr">
        <is>
          <t>PT12300</t>
        </is>
      </c>
      <c r="C1708" t="inlineStr">
        <is>
          <t>Outpatient</t>
        </is>
      </c>
      <c r="D1708" t="inlineStr">
        <is>
          <t>Bluestone Outpatient Pavilion</t>
        </is>
      </c>
      <c r="E1708" t="inlineStr">
        <is>
          <t>Primary Care Clinic</t>
        </is>
      </c>
      <c r="F1708" t="inlineStr">
        <is>
          <t>Ambulatory</t>
        </is>
      </c>
      <c r="G1708" s="29" t="n">
        <v>45889</v>
      </c>
      <c r="H1708" s="29" t="n">
        <v>45889</v>
      </c>
      <c r="I1708" s="30" t="n"/>
      <c r="J1708" t="inlineStr">
        <is>
          <t>Z00.00</t>
        </is>
      </c>
      <c r="K1708" t="inlineStr">
        <is>
          <t>Encounter for general adult medical examination without abnormal findings</t>
        </is>
      </c>
      <c r="L1708" t="inlineStr">
        <is>
          <t>Factors Influencing Health</t>
        </is>
      </c>
      <c r="M1708" t="inlineStr">
        <is>
          <t>Home/Self-Care</t>
        </is>
      </c>
      <c r="N1708" t="inlineStr">
        <is>
          <t>Summit Choice PPO</t>
        </is>
      </c>
      <c r="O1708" s="31" t="n">
        <v>256.95</v>
      </c>
    </row>
    <row r="1709">
      <c r="A1709" t="inlineStr">
        <is>
          <t>ENC117806</t>
        </is>
      </c>
      <c r="B1709" t="inlineStr">
        <is>
          <t>PT12888</t>
        </is>
      </c>
      <c r="C1709" t="inlineStr">
        <is>
          <t>Emergency</t>
        </is>
      </c>
      <c r="D1709" t="inlineStr">
        <is>
          <t>Bluestone Memorial Hospital</t>
        </is>
      </c>
      <c r="E1709" t="inlineStr">
        <is>
          <t>Emergency Department</t>
        </is>
      </c>
      <c r="F1709" t="inlineStr">
        <is>
          <t>Emergency</t>
        </is>
      </c>
      <c r="G1709" s="29" t="n">
        <v>45889</v>
      </c>
      <c r="H1709" s="29" t="n">
        <v>45889</v>
      </c>
      <c r="I1709" s="30" t="n"/>
      <c r="J1709" t="inlineStr">
        <is>
          <t>J18.9</t>
        </is>
      </c>
      <c r="K1709" t="inlineStr">
        <is>
          <t>Pneumonia, unspecified organism</t>
        </is>
      </c>
      <c r="L1709" t="inlineStr">
        <is>
          <t>Respiratory</t>
        </is>
      </c>
      <c r="M1709" t="inlineStr">
        <is>
          <t>Home/Self-Care</t>
        </is>
      </c>
      <c r="N1709" t="inlineStr">
        <is>
          <t>Evergreen Mutual Insurance</t>
        </is>
      </c>
      <c r="O1709" s="31" t="n">
        <v>4266.19</v>
      </c>
    </row>
    <row r="1710">
      <c r="A1710" t="inlineStr">
        <is>
          <t>ENC117807</t>
        </is>
      </c>
      <c r="B1710" t="inlineStr">
        <is>
          <t>PT13072</t>
        </is>
      </c>
      <c r="C1710" t="inlineStr">
        <is>
          <t>Emergency</t>
        </is>
      </c>
      <c r="D1710" t="inlineStr">
        <is>
          <t>Ashby Falls Community Hospital</t>
        </is>
      </c>
      <c r="E1710" t="inlineStr">
        <is>
          <t>Emergency Department</t>
        </is>
      </c>
      <c r="F1710" t="inlineStr">
        <is>
          <t>Emergency</t>
        </is>
      </c>
      <c r="G1710" s="29" t="n">
        <v>45889</v>
      </c>
      <c r="H1710" s="29" t="n">
        <v>45889</v>
      </c>
      <c r="I1710" s="30" t="n"/>
      <c r="J1710" t="inlineStr">
        <is>
          <t>N39.0</t>
        </is>
      </c>
      <c r="K1710" t="inlineStr">
        <is>
          <t>Urinary tract infection, site not specified</t>
        </is>
      </c>
      <c r="L1710" t="inlineStr">
        <is>
          <t>Genitourinary</t>
        </is>
      </c>
      <c r="M1710" t="inlineStr">
        <is>
          <t>Home/Self-Care</t>
        </is>
      </c>
      <c r="N1710" t="inlineStr">
        <is>
          <t>Silverline Medicare Advantage</t>
        </is>
      </c>
      <c r="O1710" s="31" t="n">
        <v>2159.28</v>
      </c>
    </row>
    <row r="1711">
      <c r="A1711" t="inlineStr">
        <is>
          <t>ENC117812</t>
        </is>
      </c>
      <c r="B1711" t="inlineStr">
        <is>
          <t>PT11308</t>
        </is>
      </c>
      <c r="C1711" t="inlineStr">
        <is>
          <t>Emergency</t>
        </is>
      </c>
      <c r="D1711" t="inlineStr">
        <is>
          <t>Cedar Ridge Medical Center</t>
        </is>
      </c>
      <c r="E1711" t="inlineStr">
        <is>
          <t>Emergency Department</t>
        </is>
      </c>
      <c r="F1711" t="inlineStr">
        <is>
          <t>Emergency</t>
        </is>
      </c>
      <c r="G1711" s="29" t="n">
        <v>45889</v>
      </c>
      <c r="H1711" s="29" t="n">
        <v>45889</v>
      </c>
      <c r="I1711" s="30" t="n"/>
      <c r="J1711" t="inlineStr">
        <is>
          <t>G43.909</t>
        </is>
      </c>
      <c r="K1711" t="inlineStr">
        <is>
          <t>Migraine, unspecified, not intractable, without status migrainosus</t>
        </is>
      </c>
      <c r="L1711" t="inlineStr">
        <is>
          <t>Nervous System</t>
        </is>
      </c>
      <c r="M1711" t="inlineStr">
        <is>
          <t>Home/Self-Care</t>
        </is>
      </c>
      <c r="N1711" t="inlineStr">
        <is>
          <t>Keystone Health Partners</t>
        </is>
      </c>
      <c r="O1711" s="31" t="n">
        <v>540.04</v>
      </c>
    </row>
    <row r="1712">
      <c r="A1712" t="inlineStr">
        <is>
          <t>ENC117817</t>
        </is>
      </c>
      <c r="B1712" t="inlineStr">
        <is>
          <t>PT12200</t>
        </is>
      </c>
      <c r="C1712" t="inlineStr">
        <is>
          <t>Outpatient</t>
        </is>
      </c>
      <c r="D1712" t="inlineStr">
        <is>
          <t>Bluestone Outpatient Pavilion</t>
        </is>
      </c>
      <c r="E1712" t="inlineStr">
        <is>
          <t>Infusion &amp; Oncology Clinic</t>
        </is>
      </c>
      <c r="F1712" t="inlineStr">
        <is>
          <t>Oncology</t>
        </is>
      </c>
      <c r="G1712" s="29" t="n">
        <v>45890</v>
      </c>
      <c r="H1712" s="29" t="n">
        <v>45890</v>
      </c>
      <c r="I1712" s="30" t="n"/>
      <c r="J1712" t="inlineStr">
        <is>
          <t>Z51.11</t>
        </is>
      </c>
      <c r="K1712" t="inlineStr">
        <is>
          <t>Encounter for antineoplastic chemotherapy</t>
        </is>
      </c>
      <c r="L1712" t="inlineStr">
        <is>
          <t>Factors Influencing Health</t>
        </is>
      </c>
      <c r="M1712" t="inlineStr">
        <is>
          <t>Home/Self-Care</t>
        </is>
      </c>
      <c r="N1712" t="inlineStr">
        <is>
          <t>State Medicaid</t>
        </is>
      </c>
      <c r="O1712" s="31" t="n">
        <v>9106.889999999999</v>
      </c>
    </row>
    <row r="1713">
      <c r="A1713" t="inlineStr">
        <is>
          <t>ENC117820</t>
        </is>
      </c>
      <c r="B1713" t="inlineStr">
        <is>
          <t>PT13248</t>
        </is>
      </c>
      <c r="C1713" t="inlineStr">
        <is>
          <t>Emergency</t>
        </is>
      </c>
      <c r="D1713" t="inlineStr">
        <is>
          <t>Bluestone Memorial Hospital</t>
        </is>
      </c>
      <c r="E1713" t="inlineStr">
        <is>
          <t>Emergency Department</t>
        </is>
      </c>
      <c r="F1713" t="inlineStr">
        <is>
          <t>Emergency</t>
        </is>
      </c>
      <c r="G1713" s="29" t="n">
        <v>45890</v>
      </c>
      <c r="H1713" s="29" t="n">
        <v>45890</v>
      </c>
      <c r="I1713" s="30" t="n"/>
      <c r="J1713" t="inlineStr">
        <is>
          <t>F20.9</t>
        </is>
      </c>
      <c r="K1713" t="inlineStr">
        <is>
          <t>Schizophrenia, unspecified</t>
        </is>
      </c>
      <c r="L1713" t="inlineStr">
        <is>
          <t>Mental &amp; Behavioral</t>
        </is>
      </c>
      <c r="M1713" t="inlineStr">
        <is>
          <t>Home/Self-Care</t>
        </is>
      </c>
      <c r="N1713" t="inlineStr">
        <is>
          <t>Medicare</t>
        </is>
      </c>
      <c r="O1713" s="31" t="n">
        <v>6400.89</v>
      </c>
    </row>
    <row r="1714">
      <c r="A1714" t="inlineStr">
        <is>
          <t>ENC117824</t>
        </is>
      </c>
      <c r="B1714" t="inlineStr">
        <is>
          <t>PT12480</t>
        </is>
      </c>
      <c r="C1714" t="inlineStr">
        <is>
          <t>Emergency</t>
        </is>
      </c>
      <c r="D1714" t="inlineStr">
        <is>
          <t>Bluestone Memorial Hospital</t>
        </is>
      </c>
      <c r="E1714" t="inlineStr">
        <is>
          <t>Emergency Department</t>
        </is>
      </c>
      <c r="F1714" t="inlineStr">
        <is>
          <t>Emergency</t>
        </is>
      </c>
      <c r="G1714" s="29" t="n">
        <v>45890</v>
      </c>
      <c r="H1714" s="29" t="n">
        <v>45890</v>
      </c>
      <c r="I1714" s="30" t="n"/>
      <c r="J1714" t="inlineStr">
        <is>
          <t>L03.115</t>
        </is>
      </c>
      <c r="K1714" t="inlineStr">
        <is>
          <t>Cellulitis of right lower limb</t>
        </is>
      </c>
      <c r="L1714" t="inlineStr">
        <is>
          <t>Skin</t>
        </is>
      </c>
      <c r="M1714" t="inlineStr">
        <is>
          <t>Home/Self-Care</t>
        </is>
      </c>
      <c r="N1714" t="inlineStr">
        <is>
          <t>State Medicaid</t>
        </is>
      </c>
      <c r="O1714" s="31" t="n">
        <v>2939.61</v>
      </c>
    </row>
    <row r="1715">
      <c r="A1715" t="inlineStr">
        <is>
          <t>ENC117828</t>
        </is>
      </c>
      <c r="B1715" t="inlineStr">
        <is>
          <t>PT11640</t>
        </is>
      </c>
      <c r="C1715" t="inlineStr">
        <is>
          <t>Outpatient</t>
        </is>
      </c>
      <c r="D1715" t="inlineStr">
        <is>
          <t>Bluestone Outpatient Pavilion</t>
        </is>
      </c>
      <c r="E1715" t="inlineStr">
        <is>
          <t>Pediatric Clinic</t>
        </is>
      </c>
      <c r="F1715" t="inlineStr">
        <is>
          <t>Women &amp; Children</t>
        </is>
      </c>
      <c r="G1715" s="29" t="n">
        <v>45890</v>
      </c>
      <c r="H1715" s="29" t="n">
        <v>45890</v>
      </c>
      <c r="I1715" s="30" t="n"/>
      <c r="J1715" t="inlineStr">
        <is>
          <t>H66.90</t>
        </is>
      </c>
      <c r="K1715" t="inlineStr">
        <is>
          <t>Otitis media, unspecified, unspecified ear</t>
        </is>
      </c>
      <c r="L1715" t="inlineStr">
        <is>
          <t>Ear</t>
        </is>
      </c>
      <c r="M1715" t="inlineStr">
        <is>
          <t>Home/Self-Care</t>
        </is>
      </c>
      <c r="N1715" t="inlineStr">
        <is>
          <t>State Medicaid</t>
        </is>
      </c>
      <c r="O1715" s="31" t="n">
        <v>297.46</v>
      </c>
    </row>
    <row r="1716">
      <c r="A1716" t="inlineStr">
        <is>
          <t>ENC117829</t>
        </is>
      </c>
      <c r="B1716" t="inlineStr">
        <is>
          <t>PT11128</t>
        </is>
      </c>
      <c r="C1716" t="inlineStr">
        <is>
          <t>Outpatient</t>
        </is>
      </c>
      <c r="D1716" t="inlineStr">
        <is>
          <t>Bluestone Outpatient Pavilion</t>
        </is>
      </c>
      <c r="E1716" t="inlineStr">
        <is>
          <t>Pediatric Clinic</t>
        </is>
      </c>
      <c r="F1716" t="inlineStr">
        <is>
          <t>Women &amp; Children</t>
        </is>
      </c>
      <c r="G1716" s="29" t="n">
        <v>45890</v>
      </c>
      <c r="H1716" s="29" t="n">
        <v>45890</v>
      </c>
      <c r="I1716" s="30" t="n"/>
      <c r="J1716" t="inlineStr">
        <is>
          <t>Z00.129</t>
        </is>
      </c>
      <c r="K1716" t="inlineStr">
        <is>
          <t>Encounter for routine child health examination without abnormal findings</t>
        </is>
      </c>
      <c r="L1716" t="inlineStr">
        <is>
          <t>Factors Influencing Health</t>
        </is>
      </c>
      <c r="M1716" t="inlineStr">
        <is>
          <t>Home/Self-Care</t>
        </is>
      </c>
      <c r="N1716" t="inlineStr">
        <is>
          <t>Keystone Health Partners</t>
        </is>
      </c>
      <c r="O1716" s="31" t="n">
        <v>223.1</v>
      </c>
    </row>
    <row r="1717">
      <c r="A1717" t="inlineStr">
        <is>
          <t>ENC117830</t>
        </is>
      </c>
      <c r="B1717" t="inlineStr">
        <is>
          <t>PT12280</t>
        </is>
      </c>
      <c r="C1717" t="inlineStr">
        <is>
          <t>Outpatient</t>
        </is>
      </c>
      <c r="D1717" t="inlineStr">
        <is>
          <t>Bluestone Outpatient Pavilion</t>
        </is>
      </c>
      <c r="E1717" t="inlineStr">
        <is>
          <t>Endocrinology &amp; Diabetes Clinic</t>
        </is>
      </c>
      <c r="F1717" t="inlineStr">
        <is>
          <t>Ambulatory</t>
        </is>
      </c>
      <c r="G1717" s="29" t="n">
        <v>45890</v>
      </c>
      <c r="H1717" s="29" t="n">
        <v>45890</v>
      </c>
      <c r="I1717" s="30" t="n"/>
      <c r="J1717" t="inlineStr">
        <is>
          <t>E11.65</t>
        </is>
      </c>
      <c r="K1717" t="inlineStr">
        <is>
          <t>Type 2 diabetes mellitus with hyperglycemia</t>
        </is>
      </c>
      <c r="L1717" t="inlineStr">
        <is>
          <t>Endocrine</t>
        </is>
      </c>
      <c r="M1717" t="inlineStr">
        <is>
          <t>Home/Self-Care</t>
        </is>
      </c>
      <c r="N1717" t="inlineStr">
        <is>
          <t>Self-Pay</t>
        </is>
      </c>
      <c r="O1717" s="31" t="n">
        <v>269.88</v>
      </c>
    </row>
    <row r="1718">
      <c r="A1718" t="inlineStr">
        <is>
          <t>ENC117836</t>
        </is>
      </c>
      <c r="B1718" t="inlineStr">
        <is>
          <t>PT11760</t>
        </is>
      </c>
      <c r="C1718" t="inlineStr">
        <is>
          <t>Inpatient</t>
        </is>
      </c>
      <c r="D1718" t="inlineStr">
        <is>
          <t>Bluestone Memorial Hospital</t>
        </is>
      </c>
      <c r="E1718" t="inlineStr">
        <is>
          <t>Oncology</t>
        </is>
      </c>
      <c r="F1718" t="inlineStr">
        <is>
          <t>Oncology</t>
        </is>
      </c>
      <c r="G1718" s="29" t="n">
        <v>45890</v>
      </c>
      <c r="H1718" s="29" t="n">
        <v>45893</v>
      </c>
      <c r="I1718" s="30" t="n">
        <v>3</v>
      </c>
      <c r="J1718" t="inlineStr">
        <is>
          <t>D70.1</t>
        </is>
      </c>
      <c r="K1718" t="inlineStr">
        <is>
          <t>Agranulocytosis secondary to cancer chemotherapy</t>
        </is>
      </c>
      <c r="L1718" t="inlineStr">
        <is>
          <t>Blood</t>
        </is>
      </c>
      <c r="M1718" t="inlineStr">
        <is>
          <t>Home/Self-Care</t>
        </is>
      </c>
      <c r="N1718" t="inlineStr">
        <is>
          <t>State Medicaid</t>
        </is>
      </c>
      <c r="O1718" s="31" t="n">
        <v>17370.76</v>
      </c>
      <c r="P1718" t="inlineStr">
        <is>
          <t>Y</t>
        </is>
      </c>
    </row>
    <row r="1719">
      <c r="A1719" t="inlineStr">
        <is>
          <t>ENC117840</t>
        </is>
      </c>
      <c r="B1719" t="inlineStr">
        <is>
          <t>PT13332</t>
        </is>
      </c>
      <c r="C1719" t="inlineStr">
        <is>
          <t>Inpatient</t>
        </is>
      </c>
      <c r="D1719" t="inlineStr">
        <is>
          <t>Bluestone Memorial Hospital</t>
        </is>
      </c>
      <c r="E1719" t="inlineStr">
        <is>
          <t>Medical-Surgical 4 West</t>
        </is>
      </c>
      <c r="F1719" t="inlineStr">
        <is>
          <t>Medicine</t>
        </is>
      </c>
      <c r="G1719" s="29" t="n">
        <v>45890</v>
      </c>
      <c r="H1719" s="29" t="n">
        <v>45893</v>
      </c>
      <c r="I1719" s="30" t="n">
        <v>3</v>
      </c>
      <c r="J1719" t="inlineStr">
        <is>
          <t>K80.20</t>
        </is>
      </c>
      <c r="K1719" t="inlineStr">
        <is>
          <t>Calculus of gallbladder without cholecystitis without obstruction</t>
        </is>
      </c>
      <c r="L1719" t="inlineStr">
        <is>
          <t>Digestive</t>
        </is>
      </c>
      <c r="M1719" t="inlineStr">
        <is>
          <t>Skilled Nursing Facility</t>
        </is>
      </c>
      <c r="N1719" t="inlineStr">
        <is>
          <t>State Medicaid</t>
        </is>
      </c>
      <c r="O1719" s="31" t="n">
        <v>30357.46</v>
      </c>
      <c r="P1719" t="inlineStr">
        <is>
          <t>N</t>
        </is>
      </c>
    </row>
    <row r="1720">
      <c r="A1720" t="inlineStr">
        <is>
          <t>ENC117844</t>
        </is>
      </c>
      <c r="B1720" t="inlineStr">
        <is>
          <t>PT13144</t>
        </is>
      </c>
      <c r="C1720" t="inlineStr">
        <is>
          <t>Inpatient</t>
        </is>
      </c>
      <c r="D1720" t="inlineStr">
        <is>
          <t>Bluestone Memorial Hospital</t>
        </is>
      </c>
      <c r="E1720" t="inlineStr">
        <is>
          <t>Medical-Surgical 5 East</t>
        </is>
      </c>
      <c r="F1720" t="inlineStr">
        <is>
          <t>Medicine</t>
        </is>
      </c>
      <c r="G1720" s="29" t="n">
        <v>45890</v>
      </c>
      <c r="H1720" s="29" t="n">
        <v>45892</v>
      </c>
      <c r="I1720" s="30" t="n">
        <v>2</v>
      </c>
      <c r="J1720" t="inlineStr">
        <is>
          <t>K80.20</t>
        </is>
      </c>
      <c r="K1720" t="inlineStr">
        <is>
          <t>Calculus of gallbladder without cholecystitis without obstruction</t>
        </is>
      </c>
      <c r="L1720" t="inlineStr">
        <is>
          <t>Digestive</t>
        </is>
      </c>
      <c r="M1720" t="inlineStr">
        <is>
          <t>Home/Self-Care</t>
        </is>
      </c>
      <c r="N1720" t="inlineStr">
        <is>
          <t>State Medicaid</t>
        </is>
      </c>
      <c r="O1720" s="31" t="n">
        <v>38400.18</v>
      </c>
      <c r="P1720" t="inlineStr">
        <is>
          <t>Y</t>
        </is>
      </c>
    </row>
    <row r="1721">
      <c r="A1721" t="inlineStr">
        <is>
          <t>ENC117846</t>
        </is>
      </c>
      <c r="B1721" t="inlineStr">
        <is>
          <t>PT11912</t>
        </is>
      </c>
      <c r="C1721" t="inlineStr">
        <is>
          <t>Emergency</t>
        </is>
      </c>
      <c r="D1721" t="inlineStr">
        <is>
          <t>Bluestone Memorial Hospital</t>
        </is>
      </c>
      <c r="E1721" t="inlineStr">
        <is>
          <t>Emergency Department</t>
        </is>
      </c>
      <c r="F1721" t="inlineStr">
        <is>
          <t>Emergency</t>
        </is>
      </c>
      <c r="G1721" s="29" t="n">
        <v>45890</v>
      </c>
      <c r="H1721" s="29" t="n">
        <v>45891</v>
      </c>
      <c r="I1721" s="30" t="n"/>
      <c r="J1721" t="inlineStr">
        <is>
          <t>R07.9</t>
        </is>
      </c>
      <c r="K1721" t="inlineStr">
        <is>
          <t>Chest pain, unspecified</t>
        </is>
      </c>
      <c r="L1721" t="inlineStr">
        <is>
          <t>Symptoms &amp; Signs</t>
        </is>
      </c>
      <c r="M1721" t="inlineStr">
        <is>
          <t>Home/Self-Care</t>
        </is>
      </c>
      <c r="N1721" t="inlineStr">
        <is>
          <t>Medicare</t>
        </is>
      </c>
      <c r="O1721" s="31" t="n">
        <v>3474.93</v>
      </c>
    </row>
    <row r="1722">
      <c r="A1722" t="inlineStr">
        <is>
          <t>ENC117852</t>
        </is>
      </c>
      <c r="B1722" t="inlineStr">
        <is>
          <t>PT10172</t>
        </is>
      </c>
      <c r="C1722" t="inlineStr">
        <is>
          <t>Outpatient</t>
        </is>
      </c>
      <c r="D1722" t="inlineStr">
        <is>
          <t>Bluestone Outpatient Pavilion</t>
        </is>
      </c>
      <c r="E1722" t="inlineStr">
        <is>
          <t>Primary Care Clinic</t>
        </is>
      </c>
      <c r="F1722" t="inlineStr">
        <is>
          <t>Ambulatory</t>
        </is>
      </c>
      <c r="G1722" s="29" t="n">
        <v>45891</v>
      </c>
      <c r="H1722" s="29" t="n">
        <v>45891</v>
      </c>
      <c r="I1722" s="30" t="n"/>
      <c r="J1722" t="inlineStr">
        <is>
          <t>Z00.00</t>
        </is>
      </c>
      <c r="K1722" t="inlineStr">
        <is>
          <t>Encounter for general adult medical examination without abnormal findings</t>
        </is>
      </c>
      <c r="L1722" t="inlineStr">
        <is>
          <t>Factors Influencing Health</t>
        </is>
      </c>
      <c r="M1722" t="inlineStr">
        <is>
          <t>Home/Self-Care</t>
        </is>
      </c>
      <c r="N1722" t="inlineStr">
        <is>
          <t>Medicare</t>
        </is>
      </c>
      <c r="O1722" s="31" t="n">
        <v>431.36</v>
      </c>
    </row>
    <row r="1723">
      <c r="A1723" t="inlineStr">
        <is>
          <t>ENC117854</t>
        </is>
      </c>
      <c r="B1723" t="inlineStr">
        <is>
          <t>PT10288</t>
        </is>
      </c>
      <c r="C1723" t="inlineStr">
        <is>
          <t>Outpatient</t>
        </is>
      </c>
      <c r="D1723" t="inlineStr">
        <is>
          <t>Bluestone Outpatient Pavilion</t>
        </is>
      </c>
      <c r="E1723" t="inlineStr">
        <is>
          <t>Infusion &amp; Oncology Clinic</t>
        </is>
      </c>
      <c r="F1723" t="inlineStr">
        <is>
          <t>Oncology</t>
        </is>
      </c>
      <c r="G1723" s="29" t="n">
        <v>45891</v>
      </c>
      <c r="H1723" s="29" t="n">
        <v>45891</v>
      </c>
      <c r="I1723" s="30" t="n"/>
      <c r="J1723" t="inlineStr">
        <is>
          <t>C34.90</t>
        </is>
      </c>
      <c r="K1723" t="inlineStr">
        <is>
          <t>Malignant neoplasm of unspecified part of unspecified bronchus or lung</t>
        </is>
      </c>
      <c r="L1723" t="inlineStr">
        <is>
          <t>Neoplasms</t>
        </is>
      </c>
      <c r="M1723" t="inlineStr">
        <is>
          <t>Home/Self-Care</t>
        </is>
      </c>
      <c r="N1723" t="inlineStr">
        <is>
          <t>Medicare</t>
        </is>
      </c>
      <c r="O1723" s="31" t="n">
        <v>767.52</v>
      </c>
    </row>
    <row r="1724">
      <c r="A1724" t="inlineStr">
        <is>
          <t>ENC117855</t>
        </is>
      </c>
      <c r="B1724" t="inlineStr">
        <is>
          <t>PT12300</t>
        </is>
      </c>
      <c r="C1724" t="inlineStr">
        <is>
          <t>Outpatient</t>
        </is>
      </c>
      <c r="D1724" t="inlineStr">
        <is>
          <t>Bluestone Outpatient Pavilion</t>
        </is>
      </c>
      <c r="E1724" t="inlineStr">
        <is>
          <t>Primary Care Clinic</t>
        </is>
      </c>
      <c r="F1724" t="inlineStr">
        <is>
          <t>Ambulatory</t>
        </is>
      </c>
      <c r="G1724" s="29" t="n">
        <v>45891</v>
      </c>
      <c r="H1724" s="29" t="n">
        <v>45891</v>
      </c>
      <c r="I1724" s="30" t="n"/>
      <c r="J1724" t="inlineStr">
        <is>
          <t>E78.5</t>
        </is>
      </c>
      <c r="K1724" t="inlineStr">
        <is>
          <t>Hyperlipidemia, unspecified</t>
        </is>
      </c>
      <c r="L1724" t="inlineStr">
        <is>
          <t>Endocrine</t>
        </is>
      </c>
      <c r="M1724" t="inlineStr">
        <is>
          <t>Home/Self-Care</t>
        </is>
      </c>
      <c r="N1724" t="inlineStr">
        <is>
          <t>Summit Choice PPO</t>
        </is>
      </c>
      <c r="O1724" s="31" t="n">
        <v>329.86</v>
      </c>
    </row>
    <row r="1725">
      <c r="A1725" t="inlineStr">
        <is>
          <t>ENC117857</t>
        </is>
      </c>
      <c r="B1725" t="inlineStr">
        <is>
          <t>PT10116</t>
        </is>
      </c>
      <c r="C1725" t="inlineStr">
        <is>
          <t>Outpatient</t>
        </is>
      </c>
      <c r="D1725" t="inlineStr">
        <is>
          <t>Bluestone Outpatient Pavilion</t>
        </is>
      </c>
      <c r="E1725" t="inlineStr">
        <is>
          <t>Primary Care Clinic</t>
        </is>
      </c>
      <c r="F1725" t="inlineStr">
        <is>
          <t>Ambulatory</t>
        </is>
      </c>
      <c r="G1725" s="29" t="n">
        <v>45891</v>
      </c>
      <c r="H1725" s="29" t="n">
        <v>45891</v>
      </c>
      <c r="I1725" s="30" t="n"/>
      <c r="J1725" t="inlineStr">
        <is>
          <t>Z00.00</t>
        </is>
      </c>
      <c r="K1725" t="inlineStr">
        <is>
          <t>Encounter for general adult medical examination without abnormal findings</t>
        </is>
      </c>
      <c r="L1725" t="inlineStr">
        <is>
          <t>Factors Influencing Health</t>
        </is>
      </c>
      <c r="M1725" t="inlineStr">
        <is>
          <t>Home/Self-Care</t>
        </is>
      </c>
      <c r="N1725" t="inlineStr">
        <is>
          <t>Silverline Medicare Advantage</t>
        </is>
      </c>
      <c r="O1725" s="31" t="n">
        <v>336.38</v>
      </c>
    </row>
    <row r="1726">
      <c r="A1726" t="inlineStr">
        <is>
          <t>ENC117863</t>
        </is>
      </c>
      <c r="B1726" t="inlineStr">
        <is>
          <t>PT12156</t>
        </is>
      </c>
      <c r="C1726" t="inlineStr">
        <is>
          <t>Outpatient</t>
        </is>
      </c>
      <c r="D1726" t="inlineStr">
        <is>
          <t>Bluestone Outpatient Pavilion</t>
        </is>
      </c>
      <c r="E1726" t="inlineStr">
        <is>
          <t>Primary Care Clinic</t>
        </is>
      </c>
      <c r="F1726" t="inlineStr">
        <is>
          <t>Ambulatory</t>
        </is>
      </c>
      <c r="G1726" s="29" t="n">
        <v>45891</v>
      </c>
      <c r="H1726" s="29" t="n">
        <v>45891</v>
      </c>
      <c r="I1726" s="30" t="n"/>
      <c r="J1726" t="inlineStr">
        <is>
          <t>F41.9</t>
        </is>
      </c>
      <c r="K1726" t="inlineStr">
        <is>
          <t>Anxiety disorder, unspecified</t>
        </is>
      </c>
      <c r="L1726" t="inlineStr">
        <is>
          <t>Mental &amp; Behavioral</t>
        </is>
      </c>
      <c r="M1726" t="inlineStr">
        <is>
          <t>Home/Self-Care</t>
        </is>
      </c>
      <c r="N1726" t="inlineStr">
        <is>
          <t>State Medicaid</t>
        </is>
      </c>
      <c r="O1726" s="31" t="n">
        <v>235.41</v>
      </c>
    </row>
    <row r="1727">
      <c r="A1727" t="inlineStr">
        <is>
          <t>ENC117864</t>
        </is>
      </c>
      <c r="B1727" t="inlineStr">
        <is>
          <t>PT13788</t>
        </is>
      </c>
      <c r="C1727" t="inlineStr">
        <is>
          <t>Outpatient</t>
        </is>
      </c>
      <c r="D1727" t="inlineStr">
        <is>
          <t>Bluestone Outpatient Pavilion</t>
        </is>
      </c>
      <c r="E1727" t="inlineStr">
        <is>
          <t>Endocrinology &amp; Diabetes Clinic</t>
        </is>
      </c>
      <c r="F1727" t="inlineStr">
        <is>
          <t>Ambulatory</t>
        </is>
      </c>
      <c r="G1727" s="29" t="n">
        <v>45891</v>
      </c>
      <c r="H1727" s="29" t="n">
        <v>45891</v>
      </c>
      <c r="I1727" s="30" t="n"/>
      <c r="J1727" t="inlineStr">
        <is>
          <t>E11.9</t>
        </is>
      </c>
      <c r="K1727" t="inlineStr">
        <is>
          <t>Type 2 diabetes mellitus without complications</t>
        </is>
      </c>
      <c r="L1727" t="inlineStr">
        <is>
          <t>Endocrine</t>
        </is>
      </c>
      <c r="M1727" t="inlineStr">
        <is>
          <t>Home/Self-Care</t>
        </is>
      </c>
      <c r="N1727" t="inlineStr">
        <is>
          <t>Silverline Medicare Advantage</t>
        </is>
      </c>
      <c r="O1727" s="31" t="n">
        <v>147.57</v>
      </c>
    </row>
    <row r="1728">
      <c r="A1728" t="inlineStr">
        <is>
          <t>ENC117871</t>
        </is>
      </c>
      <c r="B1728" t="inlineStr">
        <is>
          <t>PT10088</t>
        </is>
      </c>
      <c r="C1728" t="inlineStr">
        <is>
          <t>Outpatient</t>
        </is>
      </c>
      <c r="D1728" t="inlineStr">
        <is>
          <t>Bluestone Outpatient Pavilion</t>
        </is>
      </c>
      <c r="E1728" t="inlineStr">
        <is>
          <t>Primary Care Clinic</t>
        </is>
      </c>
      <c r="F1728" t="inlineStr">
        <is>
          <t>Ambulatory</t>
        </is>
      </c>
      <c r="G1728" s="29" t="n">
        <v>45891</v>
      </c>
      <c r="H1728" s="29" t="n">
        <v>45891</v>
      </c>
      <c r="I1728" s="30" t="n"/>
      <c r="J1728" t="inlineStr">
        <is>
          <t>N39.0</t>
        </is>
      </c>
      <c r="K1728" t="inlineStr">
        <is>
          <t>Urinary tract infection, site not specified</t>
        </is>
      </c>
      <c r="L1728" t="inlineStr">
        <is>
          <t>Genitourinary</t>
        </is>
      </c>
      <c r="M1728" t="inlineStr">
        <is>
          <t>Home/Self-Care</t>
        </is>
      </c>
      <c r="N1728" t="inlineStr">
        <is>
          <t>Medicare</t>
        </is>
      </c>
      <c r="O1728" s="31" t="n">
        <v>464.56</v>
      </c>
    </row>
    <row r="1729">
      <c r="A1729" t="inlineStr">
        <is>
          <t>ENC117876</t>
        </is>
      </c>
      <c r="B1729" t="inlineStr">
        <is>
          <t>PT10740</t>
        </is>
      </c>
      <c r="C1729" t="inlineStr">
        <is>
          <t>Emergency</t>
        </is>
      </c>
      <c r="D1729" t="inlineStr">
        <is>
          <t>Bluestone Memorial Hospital</t>
        </is>
      </c>
      <c r="E1729" t="inlineStr">
        <is>
          <t>Emergency Department</t>
        </is>
      </c>
      <c r="F1729" t="inlineStr">
        <is>
          <t>Emergency</t>
        </is>
      </c>
      <c r="G1729" s="29" t="n">
        <v>45891</v>
      </c>
      <c r="H1729" s="29" t="n">
        <v>45891</v>
      </c>
      <c r="I1729" s="30" t="n"/>
      <c r="J1729" t="inlineStr">
        <is>
          <t>M54.50</t>
        </is>
      </c>
      <c r="K1729" t="inlineStr">
        <is>
          <t>Low back pain, unspecified</t>
        </is>
      </c>
      <c r="L1729" t="inlineStr">
        <is>
          <t>Musculoskeletal</t>
        </is>
      </c>
      <c r="M1729" t="inlineStr">
        <is>
          <t>Home/Self-Care</t>
        </is>
      </c>
      <c r="N1729" t="inlineStr">
        <is>
          <t>Keystone Health Partners</t>
        </is>
      </c>
      <c r="O1729" s="31" t="n">
        <v>1771.47</v>
      </c>
    </row>
    <row r="1730">
      <c r="A1730" t="inlineStr">
        <is>
          <t>ENC117878</t>
        </is>
      </c>
      <c r="B1730" t="inlineStr">
        <is>
          <t>PT10244</t>
        </is>
      </c>
      <c r="C1730" t="inlineStr">
        <is>
          <t>Emergency</t>
        </is>
      </c>
      <c r="D1730" t="inlineStr">
        <is>
          <t>Bluestone Memorial Hospital</t>
        </is>
      </c>
      <c r="E1730" t="inlineStr">
        <is>
          <t>Emergency Department</t>
        </is>
      </c>
      <c r="F1730" t="inlineStr">
        <is>
          <t>Emergency</t>
        </is>
      </c>
      <c r="G1730" s="29" t="n">
        <v>45891</v>
      </c>
      <c r="H1730" s="29" t="n">
        <v>45891</v>
      </c>
      <c r="I1730" s="30" t="n"/>
      <c r="J1730" t="inlineStr">
        <is>
          <t>S93.401A</t>
        </is>
      </c>
      <c r="K1730" t="inlineStr">
        <is>
          <t>Sprain of unspecified ligament of right ankle, initial encounter</t>
        </is>
      </c>
      <c r="L1730" t="inlineStr">
        <is>
          <t>Injury</t>
        </is>
      </c>
      <c r="M1730" t="inlineStr">
        <is>
          <t>Home/Self-Care</t>
        </is>
      </c>
      <c r="N1730" t="inlineStr">
        <is>
          <t>Self-Pay</t>
        </is>
      </c>
      <c r="O1730" s="31" t="n">
        <v>2124.94</v>
      </c>
    </row>
    <row r="1731">
      <c r="A1731" t="inlineStr">
        <is>
          <t>ENC117884</t>
        </is>
      </c>
      <c r="B1731" t="inlineStr">
        <is>
          <t>PT13116</t>
        </is>
      </c>
      <c r="C1731" t="inlineStr">
        <is>
          <t>Emergency</t>
        </is>
      </c>
      <c r="D1731" t="inlineStr">
        <is>
          <t>Cedar Ridge Medical Center</t>
        </is>
      </c>
      <c r="E1731" t="inlineStr">
        <is>
          <t>Emergency Department</t>
        </is>
      </c>
      <c r="F1731" t="inlineStr">
        <is>
          <t>Emergency</t>
        </is>
      </c>
      <c r="G1731" s="29" t="n">
        <v>45892</v>
      </c>
      <c r="H1731" s="29" t="n">
        <v>45892</v>
      </c>
      <c r="I1731" s="30" t="n"/>
      <c r="J1731" t="inlineStr">
        <is>
          <t>M54.50</t>
        </is>
      </c>
      <c r="K1731" t="inlineStr">
        <is>
          <t>Low back pain, unspecified</t>
        </is>
      </c>
      <c r="L1731" t="inlineStr">
        <is>
          <t>Musculoskeletal</t>
        </is>
      </c>
      <c r="M1731" t="inlineStr">
        <is>
          <t>Home/Self-Care</t>
        </is>
      </c>
      <c r="N1731" t="inlineStr">
        <is>
          <t>Medicare</t>
        </is>
      </c>
      <c r="O1731" s="31" t="n">
        <v>1417.6</v>
      </c>
    </row>
    <row r="1732">
      <c r="A1732" t="inlineStr">
        <is>
          <t>ENC117885</t>
        </is>
      </c>
      <c r="B1732" t="inlineStr">
        <is>
          <t>PT12288</t>
        </is>
      </c>
      <c r="C1732" t="inlineStr">
        <is>
          <t>Emergency</t>
        </is>
      </c>
      <c r="D1732" t="inlineStr">
        <is>
          <t>Bluestone Memorial Hospital</t>
        </is>
      </c>
      <c r="E1732" t="inlineStr">
        <is>
          <t>Emergency Department</t>
        </is>
      </c>
      <c r="F1732" t="inlineStr">
        <is>
          <t>Emergency</t>
        </is>
      </c>
      <c r="G1732" s="29" t="n">
        <v>45892</v>
      </c>
      <c r="H1732" s="29" t="n">
        <v>45892</v>
      </c>
      <c r="I1732" s="30" t="n"/>
      <c r="J1732" t="inlineStr">
        <is>
          <t>S93.401A</t>
        </is>
      </c>
      <c r="K1732" t="inlineStr">
        <is>
          <t>Sprain of unspecified ligament of right ankle, initial encounter</t>
        </is>
      </c>
      <c r="L1732" t="inlineStr">
        <is>
          <t>Injury</t>
        </is>
      </c>
      <c r="M1732" t="inlineStr">
        <is>
          <t>Home/Self-Care</t>
        </is>
      </c>
      <c r="N1732" t="inlineStr">
        <is>
          <t>Summit Choice PPO</t>
        </is>
      </c>
      <c r="O1732" s="31" t="n">
        <v>538.65</v>
      </c>
    </row>
    <row r="1733">
      <c r="A1733" t="inlineStr">
        <is>
          <t>ENC117889</t>
        </is>
      </c>
      <c r="B1733" t="inlineStr">
        <is>
          <t>PT10888</t>
        </is>
      </c>
      <c r="C1733" t="inlineStr">
        <is>
          <t>Emergency</t>
        </is>
      </c>
      <c r="D1733" t="inlineStr">
        <is>
          <t>Ashby Falls Community Hospital</t>
        </is>
      </c>
      <c r="E1733" t="inlineStr">
        <is>
          <t>Emergency Department</t>
        </is>
      </c>
      <c r="F1733" t="inlineStr">
        <is>
          <t>Emergency</t>
        </is>
      </c>
      <c r="G1733" s="29" t="n">
        <v>45892</v>
      </c>
      <c r="H1733" s="29" t="n">
        <v>45892</v>
      </c>
      <c r="I1733" s="30" t="n"/>
      <c r="J1733" t="inlineStr">
        <is>
          <t>R55</t>
        </is>
      </c>
      <c r="K1733" t="inlineStr">
        <is>
          <t>Syncope and collapse</t>
        </is>
      </c>
      <c r="L1733" t="inlineStr">
        <is>
          <t>Symptoms &amp; Signs</t>
        </is>
      </c>
      <c r="M1733" t="inlineStr">
        <is>
          <t>Home/Self-Care</t>
        </is>
      </c>
      <c r="N1733" t="inlineStr">
        <is>
          <t>Keystone Health Partners</t>
        </is>
      </c>
      <c r="O1733" s="31" t="n">
        <v>3676.9</v>
      </c>
    </row>
    <row r="1734">
      <c r="A1734" t="inlineStr">
        <is>
          <t>ENC117892</t>
        </is>
      </c>
      <c r="B1734" t="inlineStr">
        <is>
          <t>PT12952</t>
        </is>
      </c>
      <c r="C1734" t="inlineStr">
        <is>
          <t>Observation</t>
        </is>
      </c>
      <c r="D1734" t="inlineStr">
        <is>
          <t>Cedar Ridge Medical Center</t>
        </is>
      </c>
      <c r="E1734" t="inlineStr">
        <is>
          <t>Medical-Surgical</t>
        </is>
      </c>
      <c r="F1734" t="inlineStr">
        <is>
          <t>Medicine</t>
        </is>
      </c>
      <c r="G1734" s="29" t="n">
        <v>45892</v>
      </c>
      <c r="H1734" s="29" t="n">
        <v>45894</v>
      </c>
      <c r="I1734" s="30" t="n">
        <v>2</v>
      </c>
      <c r="J1734" t="inlineStr">
        <is>
          <t>R10.9</t>
        </is>
      </c>
      <c r="K1734" t="inlineStr">
        <is>
          <t>Unspecified abdominal pain</t>
        </is>
      </c>
      <c r="L1734" t="inlineStr">
        <is>
          <t>Symptoms &amp; Signs</t>
        </is>
      </c>
      <c r="M1734" t="inlineStr">
        <is>
          <t>Home/Self-Care</t>
        </is>
      </c>
      <c r="N1734" t="inlineStr">
        <is>
          <t>Summit Choice PPO</t>
        </is>
      </c>
      <c r="O1734" s="31" t="n">
        <v>5122.88</v>
      </c>
    </row>
    <row r="1735">
      <c r="A1735" t="inlineStr">
        <is>
          <t>ENC117900</t>
        </is>
      </c>
      <c r="B1735" t="inlineStr">
        <is>
          <t>PT13680</t>
        </is>
      </c>
      <c r="C1735" t="inlineStr">
        <is>
          <t>Emergency</t>
        </is>
      </c>
      <c r="D1735" t="inlineStr">
        <is>
          <t>Bluestone Memorial Hospital</t>
        </is>
      </c>
      <c r="E1735" t="inlineStr">
        <is>
          <t>Emergency Department</t>
        </is>
      </c>
      <c r="F1735" t="inlineStr">
        <is>
          <t>Emergency</t>
        </is>
      </c>
      <c r="G1735" s="29" t="n">
        <v>45893</v>
      </c>
      <c r="H1735" s="29" t="n">
        <v>45893</v>
      </c>
      <c r="I1735" s="30" t="n"/>
      <c r="J1735" t="inlineStr">
        <is>
          <t>G43.909</t>
        </is>
      </c>
      <c r="K1735" t="inlineStr">
        <is>
          <t>Migraine, unspecified, not intractable, without status migrainosus</t>
        </is>
      </c>
      <c r="L1735" t="inlineStr">
        <is>
          <t>Nervous System</t>
        </is>
      </c>
      <c r="M1735" t="inlineStr">
        <is>
          <t>Home/Self-Care</t>
        </is>
      </c>
      <c r="N1735" t="inlineStr">
        <is>
          <t>Evergreen Mutual Insurance</t>
        </is>
      </c>
      <c r="O1735" s="31" t="n">
        <v>1512.29</v>
      </c>
    </row>
    <row r="1736">
      <c r="A1736" t="inlineStr">
        <is>
          <t>ENC117903</t>
        </is>
      </c>
      <c r="B1736" t="inlineStr">
        <is>
          <t>PT13756</t>
        </is>
      </c>
      <c r="C1736" t="inlineStr">
        <is>
          <t>Inpatient</t>
        </is>
      </c>
      <c r="D1736" t="inlineStr">
        <is>
          <t>Bluestone Memorial Hospital</t>
        </is>
      </c>
      <c r="E1736" t="inlineStr">
        <is>
          <t>Cardiac Step-Down</t>
        </is>
      </c>
      <c r="F1736" t="inlineStr">
        <is>
          <t>Cardiovascular</t>
        </is>
      </c>
      <c r="G1736" s="29" t="n">
        <v>45893</v>
      </c>
      <c r="H1736" s="29" t="n">
        <v>45897</v>
      </c>
      <c r="I1736" s="30" t="n">
        <v>4</v>
      </c>
      <c r="J1736" t="inlineStr">
        <is>
          <t>I48.91</t>
        </is>
      </c>
      <c r="K1736" t="inlineStr">
        <is>
          <t>Unspecified atrial fibrillation</t>
        </is>
      </c>
      <c r="L1736" t="inlineStr">
        <is>
          <t>Circulatory</t>
        </is>
      </c>
      <c r="M1736" t="inlineStr">
        <is>
          <t>Skilled Nursing Facility</t>
        </is>
      </c>
      <c r="N1736" t="inlineStr">
        <is>
          <t>Medicare</t>
        </is>
      </c>
      <c r="O1736" s="31" t="n">
        <v>33896.11</v>
      </c>
      <c r="P1736" t="inlineStr">
        <is>
          <t>N</t>
        </is>
      </c>
    </row>
    <row r="1737">
      <c r="A1737" t="inlineStr">
        <is>
          <t>ENC117906</t>
        </is>
      </c>
      <c r="B1737" t="inlineStr">
        <is>
          <t>PT11528</t>
        </is>
      </c>
      <c r="C1737" t="inlineStr">
        <is>
          <t>Emergency</t>
        </is>
      </c>
      <c r="D1737" t="inlineStr">
        <is>
          <t>Bluestone Memorial Hospital</t>
        </is>
      </c>
      <c r="E1737" t="inlineStr">
        <is>
          <t>Emergency Department</t>
        </is>
      </c>
      <c r="F1737" t="inlineStr">
        <is>
          <t>Emergency</t>
        </is>
      </c>
      <c r="G1737" s="29" t="n">
        <v>45893</v>
      </c>
      <c r="H1737" s="29" t="n">
        <v>45893</v>
      </c>
      <c r="I1737" s="30" t="n"/>
      <c r="J1737" t="inlineStr">
        <is>
          <t>S93.401A</t>
        </is>
      </c>
      <c r="K1737" t="inlineStr">
        <is>
          <t>Sprain of unspecified ligament of right ankle, initial encounter</t>
        </is>
      </c>
      <c r="L1737" t="inlineStr">
        <is>
          <t>Injury</t>
        </is>
      </c>
      <c r="M1737" t="inlineStr">
        <is>
          <t>Home/Self-Care</t>
        </is>
      </c>
      <c r="N1737" t="inlineStr">
        <is>
          <t>Workers' Compensation</t>
        </is>
      </c>
      <c r="O1737" s="31" t="n">
        <v>1995.05</v>
      </c>
    </row>
    <row r="1738">
      <c r="A1738" t="inlineStr">
        <is>
          <t>ENC117909</t>
        </is>
      </c>
      <c r="B1738" t="inlineStr">
        <is>
          <t>PT13348</t>
        </is>
      </c>
      <c r="C1738" t="inlineStr">
        <is>
          <t>Emergency</t>
        </is>
      </c>
      <c r="D1738" t="inlineStr">
        <is>
          <t>Bluestone Memorial Hospital</t>
        </is>
      </c>
      <c r="E1738" t="inlineStr">
        <is>
          <t>Emergency Department</t>
        </is>
      </c>
      <c r="F1738" t="inlineStr">
        <is>
          <t>Emergency</t>
        </is>
      </c>
      <c r="G1738" s="29" t="n">
        <v>45893</v>
      </c>
      <c r="H1738" s="29" t="n">
        <v>45894</v>
      </c>
      <c r="I1738" s="30" t="n"/>
      <c r="J1738" t="inlineStr">
        <is>
          <t>R55</t>
        </is>
      </c>
      <c r="K1738" t="inlineStr">
        <is>
          <t>Syncope and collapse</t>
        </is>
      </c>
      <c r="L1738" t="inlineStr">
        <is>
          <t>Symptoms &amp; Signs</t>
        </is>
      </c>
      <c r="M1738" t="inlineStr">
        <is>
          <t>Home/Self-Care</t>
        </is>
      </c>
      <c r="N1738" t="inlineStr">
        <is>
          <t>Self-Pay</t>
        </is>
      </c>
      <c r="O1738" s="31" t="n">
        <v>3216.12</v>
      </c>
    </row>
    <row r="1739">
      <c r="A1739" t="inlineStr">
        <is>
          <t>ENC117914</t>
        </is>
      </c>
      <c r="B1739" t="inlineStr">
        <is>
          <t>PT10924</t>
        </is>
      </c>
      <c r="C1739" t="inlineStr">
        <is>
          <t>Inpatient</t>
        </is>
      </c>
      <c r="D1739" t="inlineStr">
        <is>
          <t>Ashby Falls Community Hospital</t>
        </is>
      </c>
      <c r="E1739" t="inlineStr">
        <is>
          <t>Medical-Surgical</t>
        </is>
      </c>
      <c r="F1739" t="inlineStr">
        <is>
          <t>Medicine</t>
        </is>
      </c>
      <c r="G1739" s="29" t="n">
        <v>45894</v>
      </c>
      <c r="H1739" s="29" t="n">
        <v>45897</v>
      </c>
      <c r="I1739" s="30" t="n">
        <v>3</v>
      </c>
      <c r="J1739" t="inlineStr">
        <is>
          <t>I48.91</t>
        </is>
      </c>
      <c r="K1739" t="inlineStr">
        <is>
          <t>Unspecified atrial fibrillation</t>
        </is>
      </c>
      <c r="L1739" t="inlineStr">
        <is>
          <t>Circulatory</t>
        </is>
      </c>
      <c r="M1739" t="inlineStr">
        <is>
          <t>Home Health</t>
        </is>
      </c>
      <c r="N1739" t="inlineStr">
        <is>
          <t>Silverline Medicare Advantage</t>
        </is>
      </c>
      <c r="O1739" s="31" t="n">
        <v>28083.25</v>
      </c>
      <c r="P1739" t="inlineStr">
        <is>
          <t>N</t>
        </is>
      </c>
    </row>
    <row r="1740">
      <c r="A1740" t="inlineStr">
        <is>
          <t>ENC117929</t>
        </is>
      </c>
      <c r="B1740" t="inlineStr">
        <is>
          <t>PT11356</t>
        </is>
      </c>
      <c r="C1740" t="inlineStr">
        <is>
          <t>Emergency</t>
        </is>
      </c>
      <c r="D1740" t="inlineStr">
        <is>
          <t>Bluestone Memorial Hospital</t>
        </is>
      </c>
      <c r="E1740" t="inlineStr">
        <is>
          <t>Emergency Department</t>
        </is>
      </c>
      <c r="F1740" t="inlineStr">
        <is>
          <t>Emergency</t>
        </is>
      </c>
      <c r="G1740" s="29" t="n">
        <v>45894</v>
      </c>
      <c r="H1740" s="29" t="n">
        <v>45894</v>
      </c>
      <c r="I1740" s="30" t="n"/>
      <c r="J1740" t="inlineStr">
        <is>
          <t>N39.0</t>
        </is>
      </c>
      <c r="K1740" t="inlineStr">
        <is>
          <t>Urinary tract infection, site not specified</t>
        </is>
      </c>
      <c r="L1740" t="inlineStr">
        <is>
          <t>Genitourinary</t>
        </is>
      </c>
      <c r="M1740" t="inlineStr">
        <is>
          <t>Home/Self-Care</t>
        </is>
      </c>
      <c r="N1740" t="inlineStr">
        <is>
          <t>Evergreen Mutual Insurance</t>
        </is>
      </c>
      <c r="O1740" s="31" t="n">
        <v>1269.35</v>
      </c>
    </row>
    <row r="1741">
      <c r="A1741" t="inlineStr">
        <is>
          <t>ENC117930</t>
        </is>
      </c>
      <c r="B1741" t="inlineStr">
        <is>
          <t>PT10984</t>
        </is>
      </c>
      <c r="C1741" t="inlineStr">
        <is>
          <t>Outpatient</t>
        </is>
      </c>
      <c r="D1741" t="inlineStr">
        <is>
          <t>Bluestone Outpatient Pavilion</t>
        </is>
      </c>
      <c r="E1741" t="inlineStr">
        <is>
          <t>Endocrinology &amp; Diabetes Clinic</t>
        </is>
      </c>
      <c r="F1741" t="inlineStr">
        <is>
          <t>Ambulatory</t>
        </is>
      </c>
      <c r="G1741" s="29" t="n">
        <v>45894</v>
      </c>
      <c r="H1741" s="29" t="n">
        <v>45894</v>
      </c>
      <c r="I1741" s="30" t="n"/>
      <c r="J1741" t="inlineStr">
        <is>
          <t>E11.65</t>
        </is>
      </c>
      <c r="K1741" t="inlineStr">
        <is>
          <t>Type 2 diabetes mellitus with hyperglycemia</t>
        </is>
      </c>
      <c r="L1741" t="inlineStr">
        <is>
          <t>Endocrine</t>
        </is>
      </c>
      <c r="M1741" t="inlineStr">
        <is>
          <t>Home/Self-Care</t>
        </is>
      </c>
      <c r="N1741" t="inlineStr">
        <is>
          <t>Silverline Medicare Advantage</t>
        </is>
      </c>
      <c r="O1741" s="31" t="n">
        <v>395.61</v>
      </c>
    </row>
    <row r="1742">
      <c r="A1742" t="inlineStr">
        <is>
          <t>ENC117934</t>
        </is>
      </c>
      <c r="B1742" t="inlineStr">
        <is>
          <t>PT13824</t>
        </is>
      </c>
      <c r="C1742" t="inlineStr">
        <is>
          <t>Emergency</t>
        </is>
      </c>
      <c r="D1742" t="inlineStr">
        <is>
          <t>Bluestone Memorial Hospital</t>
        </is>
      </c>
      <c r="E1742" t="inlineStr">
        <is>
          <t>Emergency Department</t>
        </is>
      </c>
      <c r="F1742" t="inlineStr">
        <is>
          <t>Emergency</t>
        </is>
      </c>
      <c r="G1742" s="29" t="n">
        <v>45894</v>
      </c>
      <c r="H1742" s="29" t="n">
        <v>45894</v>
      </c>
      <c r="I1742" s="30" t="n"/>
      <c r="J1742" t="inlineStr">
        <is>
          <t>R10.9</t>
        </is>
      </c>
      <c r="K1742" t="inlineStr">
        <is>
          <t>Unspecified abdominal pain</t>
        </is>
      </c>
      <c r="L1742" t="inlineStr">
        <is>
          <t>Symptoms &amp; Signs</t>
        </is>
      </c>
      <c r="M1742" t="inlineStr">
        <is>
          <t>Home/Self-Care</t>
        </is>
      </c>
      <c r="N1742" t="inlineStr">
        <is>
          <t>Medicare</t>
        </is>
      </c>
      <c r="O1742" s="31" t="n">
        <v>1062.71</v>
      </c>
    </row>
    <row r="1743">
      <c r="A1743" t="inlineStr">
        <is>
          <t>ENC117935</t>
        </is>
      </c>
      <c r="B1743" t="inlineStr">
        <is>
          <t>PT12288</t>
        </is>
      </c>
      <c r="C1743" t="inlineStr">
        <is>
          <t>Outpatient</t>
        </is>
      </c>
      <c r="D1743" t="inlineStr">
        <is>
          <t>Bluestone Outpatient Pavilion</t>
        </is>
      </c>
      <c r="E1743" t="inlineStr">
        <is>
          <t>Primary Care Clinic</t>
        </is>
      </c>
      <c r="F1743" t="inlineStr">
        <is>
          <t>Ambulatory</t>
        </is>
      </c>
      <c r="G1743" s="29" t="n">
        <v>45894</v>
      </c>
      <c r="H1743" s="29" t="n">
        <v>45894</v>
      </c>
      <c r="I1743" s="30" t="n"/>
      <c r="J1743" t="inlineStr">
        <is>
          <t>I10</t>
        </is>
      </c>
      <c r="K1743" t="inlineStr">
        <is>
          <t>Essential (primary) hypertension</t>
        </is>
      </c>
      <c r="L1743" t="inlineStr">
        <is>
          <t>Circulatory</t>
        </is>
      </c>
      <c r="M1743" t="inlineStr">
        <is>
          <t>Home/Self-Care</t>
        </is>
      </c>
      <c r="N1743" t="inlineStr">
        <is>
          <t>Summit Choice PPO</t>
        </is>
      </c>
      <c r="O1743" s="31" t="n">
        <v>168.02</v>
      </c>
    </row>
    <row r="1744">
      <c r="A1744" t="inlineStr">
        <is>
          <t>ENC117939</t>
        </is>
      </c>
      <c r="B1744" t="inlineStr">
        <is>
          <t>PT11384</t>
        </is>
      </c>
      <c r="C1744" t="inlineStr">
        <is>
          <t>Outpatient</t>
        </is>
      </c>
      <c r="D1744" t="inlineStr">
        <is>
          <t>Bluestone Outpatient Pavilion</t>
        </is>
      </c>
      <c r="E1744" t="inlineStr">
        <is>
          <t>Pediatric Clinic</t>
        </is>
      </c>
      <c r="F1744" t="inlineStr">
        <is>
          <t>Women &amp; Children</t>
        </is>
      </c>
      <c r="G1744" s="29" t="n">
        <v>45894</v>
      </c>
      <c r="H1744" s="29" t="n">
        <v>45894</v>
      </c>
      <c r="I1744" s="30" t="n"/>
      <c r="J1744" t="inlineStr">
        <is>
          <t>Z00.129</t>
        </is>
      </c>
      <c r="K1744" t="inlineStr">
        <is>
          <t>Encounter for routine child health examination without abnormal findings</t>
        </is>
      </c>
      <c r="L1744" t="inlineStr">
        <is>
          <t>Factors Influencing Health</t>
        </is>
      </c>
      <c r="M1744" t="inlineStr">
        <is>
          <t>Home/Self-Care</t>
        </is>
      </c>
      <c r="N1744" t="inlineStr">
        <is>
          <t>State Medicaid</t>
        </is>
      </c>
      <c r="O1744" s="31" t="n">
        <v>376.28</v>
      </c>
    </row>
    <row r="1745">
      <c r="A1745" t="inlineStr">
        <is>
          <t>ENC117940</t>
        </is>
      </c>
      <c r="B1745" t="inlineStr">
        <is>
          <t>PT11204</t>
        </is>
      </c>
      <c r="C1745" t="inlineStr">
        <is>
          <t>Emergency</t>
        </is>
      </c>
      <c r="D1745" t="inlineStr">
        <is>
          <t>Cedar Ridge Medical Center</t>
        </is>
      </c>
      <c r="E1745" t="inlineStr">
        <is>
          <t>Emergency Department</t>
        </is>
      </c>
      <c r="F1745" t="inlineStr">
        <is>
          <t>Emergency</t>
        </is>
      </c>
      <c r="G1745" s="29" t="n">
        <v>45894</v>
      </c>
      <c r="H1745" s="29" t="n">
        <v>45894</v>
      </c>
      <c r="I1745" s="30" t="n"/>
      <c r="J1745" t="inlineStr">
        <is>
          <t>J18.9</t>
        </is>
      </c>
      <c r="K1745" t="inlineStr">
        <is>
          <t>Pneumonia, unspecified organism</t>
        </is>
      </c>
      <c r="L1745" t="inlineStr">
        <is>
          <t>Respiratory</t>
        </is>
      </c>
      <c r="M1745" t="inlineStr">
        <is>
          <t>Home/Self-Care</t>
        </is>
      </c>
      <c r="N1745" t="inlineStr">
        <is>
          <t>Silverline Medicare Advantage</t>
        </is>
      </c>
      <c r="O1745" s="31" t="n">
        <v>3768</v>
      </c>
    </row>
    <row r="1746">
      <c r="A1746" t="inlineStr">
        <is>
          <t>ENC117949</t>
        </is>
      </c>
      <c r="B1746" t="inlineStr">
        <is>
          <t>PT12888</t>
        </is>
      </c>
      <c r="C1746" t="inlineStr">
        <is>
          <t>Emergency</t>
        </is>
      </c>
      <c r="D1746" t="inlineStr">
        <is>
          <t>Bluestone Memorial Hospital</t>
        </is>
      </c>
      <c r="E1746" t="inlineStr">
        <is>
          <t>Emergency Department</t>
        </is>
      </c>
      <c r="F1746" t="inlineStr">
        <is>
          <t>Emergency</t>
        </is>
      </c>
      <c r="G1746" s="29" t="n">
        <v>45895</v>
      </c>
      <c r="H1746" s="29" t="n">
        <v>45895</v>
      </c>
      <c r="I1746" s="30" t="n"/>
      <c r="J1746" t="inlineStr">
        <is>
          <t>E86.0</t>
        </is>
      </c>
      <c r="K1746" t="inlineStr">
        <is>
          <t>Dehydration</t>
        </is>
      </c>
      <c r="L1746" t="inlineStr">
        <is>
          <t>Endocrine</t>
        </is>
      </c>
      <c r="M1746" t="inlineStr">
        <is>
          <t>Home/Self-Care</t>
        </is>
      </c>
      <c r="N1746" t="inlineStr">
        <is>
          <t>Evergreen Mutual Insurance</t>
        </is>
      </c>
      <c r="O1746" s="31" t="n">
        <v>3679.55</v>
      </c>
    </row>
    <row r="1747">
      <c r="A1747" t="inlineStr">
        <is>
          <t>ENC117950</t>
        </is>
      </c>
      <c r="B1747" t="inlineStr">
        <is>
          <t>PT13772</t>
        </is>
      </c>
      <c r="C1747" t="inlineStr">
        <is>
          <t>Inpatient</t>
        </is>
      </c>
      <c r="D1747" t="inlineStr">
        <is>
          <t>Bluestone Memorial Hospital</t>
        </is>
      </c>
      <c r="E1747" t="inlineStr">
        <is>
          <t>Labor &amp; Delivery</t>
        </is>
      </c>
      <c r="F1747" t="inlineStr">
        <is>
          <t>Women &amp; Children</t>
        </is>
      </c>
      <c r="G1747" s="29" t="n">
        <v>45895</v>
      </c>
      <c r="H1747" s="29" t="n">
        <v>45897</v>
      </c>
      <c r="I1747" s="30" t="n">
        <v>2</v>
      </c>
      <c r="J1747" t="inlineStr">
        <is>
          <t>O80</t>
        </is>
      </c>
      <c r="K1747" t="inlineStr">
        <is>
          <t>Encounter for full-term uncomplicated delivery</t>
        </is>
      </c>
      <c r="L1747" t="inlineStr">
        <is>
          <t>Pregnancy</t>
        </is>
      </c>
      <c r="M1747" t="inlineStr">
        <is>
          <t>Home/Self-Care</t>
        </is>
      </c>
      <c r="N1747" t="inlineStr">
        <is>
          <t>Keystone Health Partners</t>
        </is>
      </c>
      <c r="O1747" s="31" t="n">
        <v>15634.54</v>
      </c>
      <c r="P1747" t="inlineStr">
        <is>
          <t>N</t>
        </is>
      </c>
    </row>
    <row r="1748">
      <c r="A1748" t="inlineStr">
        <is>
          <t>ENC117952</t>
        </is>
      </c>
      <c r="B1748" t="inlineStr">
        <is>
          <t>PT10468</t>
        </is>
      </c>
      <c r="C1748" t="inlineStr">
        <is>
          <t>Outpatient</t>
        </is>
      </c>
      <c r="D1748" t="inlineStr">
        <is>
          <t>Bluestone Outpatient Pavilion</t>
        </is>
      </c>
      <c r="E1748" t="inlineStr">
        <is>
          <t>Infusion &amp; Oncology Clinic</t>
        </is>
      </c>
      <c r="F1748" t="inlineStr">
        <is>
          <t>Oncology</t>
        </is>
      </c>
      <c r="G1748" s="29" t="n">
        <v>45895</v>
      </c>
      <c r="H1748" s="29" t="n">
        <v>45895</v>
      </c>
      <c r="I1748" s="30" t="n"/>
      <c r="J1748" t="inlineStr">
        <is>
          <t>C34.90</t>
        </is>
      </c>
      <c r="K1748" t="inlineStr">
        <is>
          <t>Malignant neoplasm of unspecified part of unspecified bronchus or lung</t>
        </is>
      </c>
      <c r="L1748" t="inlineStr">
        <is>
          <t>Neoplasms</t>
        </is>
      </c>
      <c r="M1748" t="inlineStr">
        <is>
          <t>Home/Self-Care</t>
        </is>
      </c>
      <c r="N1748" t="inlineStr">
        <is>
          <t>Medicare</t>
        </is>
      </c>
      <c r="O1748" s="31" t="n">
        <v>593.63</v>
      </c>
    </row>
    <row r="1749">
      <c r="A1749" t="inlineStr">
        <is>
          <t>ENC117954</t>
        </is>
      </c>
      <c r="B1749" t="inlineStr">
        <is>
          <t>PT10968</t>
        </is>
      </c>
      <c r="C1749" t="inlineStr">
        <is>
          <t>Inpatient</t>
        </is>
      </c>
      <c r="D1749" t="inlineStr">
        <is>
          <t>Cedar Ridge Medical Center</t>
        </is>
      </c>
      <c r="E1749" t="inlineStr">
        <is>
          <t>Medical-Surgical</t>
        </is>
      </c>
      <c r="F1749" t="inlineStr">
        <is>
          <t>Medicine</t>
        </is>
      </c>
      <c r="G1749" s="29" t="n">
        <v>45895</v>
      </c>
      <c r="H1749" s="29" t="n">
        <v>45900</v>
      </c>
      <c r="I1749" s="30" t="n">
        <v>5</v>
      </c>
      <c r="J1749" t="inlineStr">
        <is>
          <t>J96.01</t>
        </is>
      </c>
      <c r="K1749" t="inlineStr">
        <is>
          <t>Acute respiratory failure with hypoxia</t>
        </is>
      </c>
      <c r="L1749" t="inlineStr">
        <is>
          <t>Respiratory</t>
        </is>
      </c>
      <c r="M1749" t="inlineStr">
        <is>
          <t>Home/Self-Care</t>
        </is>
      </c>
      <c r="N1749" t="inlineStr">
        <is>
          <t>Medicare</t>
        </is>
      </c>
      <c r="O1749" s="31" t="n">
        <v>39694.57</v>
      </c>
      <c r="P1749" t="inlineStr">
        <is>
          <t>N</t>
        </is>
      </c>
    </row>
    <row r="1750">
      <c r="A1750" t="inlineStr">
        <is>
          <t>ENC117957</t>
        </is>
      </c>
      <c r="B1750" t="inlineStr">
        <is>
          <t>PT11236</t>
        </is>
      </c>
      <c r="C1750" t="inlineStr">
        <is>
          <t>Outpatient</t>
        </is>
      </c>
      <c r="D1750" t="inlineStr">
        <is>
          <t>Bluestone Outpatient Pavilion</t>
        </is>
      </c>
      <c r="E1750" t="inlineStr">
        <is>
          <t>Pediatric Clinic</t>
        </is>
      </c>
      <c r="F1750" t="inlineStr">
        <is>
          <t>Women &amp; Children</t>
        </is>
      </c>
      <c r="G1750" s="29" t="n">
        <v>45895</v>
      </c>
      <c r="H1750" s="29" t="n">
        <v>45895</v>
      </c>
      <c r="I1750" s="30" t="n"/>
      <c r="J1750" t="inlineStr">
        <is>
          <t>Z00.129</t>
        </is>
      </c>
      <c r="K1750" t="inlineStr">
        <is>
          <t>Encounter for routine child health examination without abnormal findings</t>
        </is>
      </c>
      <c r="L1750" t="inlineStr">
        <is>
          <t>Factors Influencing Health</t>
        </is>
      </c>
      <c r="M1750" t="inlineStr">
        <is>
          <t>Home/Self-Care</t>
        </is>
      </c>
      <c r="N1750" t="inlineStr">
        <is>
          <t>State Medicaid</t>
        </is>
      </c>
      <c r="O1750" s="31" t="n">
        <v>221.87</v>
      </c>
    </row>
    <row r="1751">
      <c r="A1751" t="inlineStr">
        <is>
          <t>ENC117959</t>
        </is>
      </c>
      <c r="B1751" t="inlineStr">
        <is>
          <t>PT10020</t>
        </is>
      </c>
      <c r="C1751" t="inlineStr">
        <is>
          <t>Outpatient</t>
        </is>
      </c>
      <c r="D1751" t="inlineStr">
        <is>
          <t>Bluestone Outpatient Pavilion</t>
        </is>
      </c>
      <c r="E1751" t="inlineStr">
        <is>
          <t>Primary Care Clinic</t>
        </is>
      </c>
      <c r="F1751" t="inlineStr">
        <is>
          <t>Ambulatory</t>
        </is>
      </c>
      <c r="G1751" s="29" t="n">
        <v>45895</v>
      </c>
      <c r="H1751" s="29" t="n">
        <v>45895</v>
      </c>
      <c r="I1751" s="30" t="n"/>
      <c r="J1751" t="inlineStr">
        <is>
          <t>G40.909</t>
        </is>
      </c>
      <c r="K1751" t="inlineStr">
        <is>
          <t>Epilepsy, unspecified, not intractable, without status epilepticus</t>
        </is>
      </c>
      <c r="L1751" t="inlineStr">
        <is>
          <t>Nervous System</t>
        </is>
      </c>
      <c r="M1751" t="inlineStr">
        <is>
          <t>Home/Self-Care</t>
        </is>
      </c>
      <c r="N1751" t="inlineStr">
        <is>
          <t>Medicare</t>
        </is>
      </c>
      <c r="O1751" s="31" t="n">
        <v>535.39</v>
      </c>
    </row>
    <row r="1752">
      <c r="A1752" t="inlineStr">
        <is>
          <t>ENC117960</t>
        </is>
      </c>
      <c r="B1752" t="inlineStr">
        <is>
          <t>PT10868</t>
        </is>
      </c>
      <c r="C1752" t="inlineStr">
        <is>
          <t>Outpatient</t>
        </is>
      </c>
      <c r="D1752" t="inlineStr">
        <is>
          <t>Bluestone Outpatient Pavilion</t>
        </is>
      </c>
      <c r="E1752" t="inlineStr">
        <is>
          <t>Endocrinology &amp; Diabetes Clinic</t>
        </is>
      </c>
      <c r="F1752" t="inlineStr">
        <is>
          <t>Ambulatory</t>
        </is>
      </c>
      <c r="G1752" s="29" t="n">
        <v>45895</v>
      </c>
      <c r="H1752" s="29" t="n">
        <v>45895</v>
      </c>
      <c r="I1752" s="30" t="n"/>
      <c r="J1752" t="inlineStr">
        <is>
          <t>E11.9</t>
        </is>
      </c>
      <c r="K1752" t="inlineStr">
        <is>
          <t>Type 2 diabetes mellitus without complications</t>
        </is>
      </c>
      <c r="L1752" t="inlineStr">
        <is>
          <t>Endocrine</t>
        </is>
      </c>
      <c r="M1752" t="inlineStr">
        <is>
          <t>Home/Self-Care</t>
        </is>
      </c>
      <c r="N1752" t="inlineStr">
        <is>
          <t>Keystone Health Partners</t>
        </is>
      </c>
      <c r="O1752" s="31" t="n">
        <v>561.4299999999999</v>
      </c>
    </row>
    <row r="1753">
      <c r="A1753" t="inlineStr">
        <is>
          <t>ENC117964</t>
        </is>
      </c>
      <c r="B1753" t="inlineStr">
        <is>
          <t>PT13928</t>
        </is>
      </c>
      <c r="C1753" t="inlineStr">
        <is>
          <t>Outpatient</t>
        </is>
      </c>
      <c r="D1753" t="inlineStr">
        <is>
          <t>Bluestone Outpatient Pavilion</t>
        </is>
      </c>
      <c r="E1753" t="inlineStr">
        <is>
          <t>Primary Care Clinic</t>
        </is>
      </c>
      <c r="F1753" t="inlineStr">
        <is>
          <t>Ambulatory</t>
        </is>
      </c>
      <c r="G1753" s="29" t="n">
        <v>45895</v>
      </c>
      <c r="H1753" s="29" t="n">
        <v>45895</v>
      </c>
      <c r="I1753" s="30" t="n"/>
      <c r="J1753" t="inlineStr">
        <is>
          <t>Z00.00</t>
        </is>
      </c>
      <c r="K1753" t="inlineStr">
        <is>
          <t>Encounter for general adult medical examination without abnormal findings</t>
        </is>
      </c>
      <c r="L1753" t="inlineStr">
        <is>
          <t>Factors Influencing Health</t>
        </is>
      </c>
      <c r="M1753" t="inlineStr">
        <is>
          <t>Home/Self-Care</t>
        </is>
      </c>
      <c r="N1753" t="inlineStr">
        <is>
          <t>Medicare</t>
        </is>
      </c>
      <c r="O1753" s="31" t="n">
        <v>450.4</v>
      </c>
    </row>
    <row r="1754">
      <c r="A1754" t="inlineStr">
        <is>
          <t>ENC117965</t>
        </is>
      </c>
      <c r="B1754" t="inlineStr">
        <is>
          <t>PT12236</t>
        </is>
      </c>
      <c r="C1754" t="inlineStr">
        <is>
          <t>Outpatient</t>
        </is>
      </c>
      <c r="D1754" t="inlineStr">
        <is>
          <t>Bluestone Outpatient Pavilion</t>
        </is>
      </c>
      <c r="E1754" t="inlineStr">
        <is>
          <t>Primary Care Clinic</t>
        </is>
      </c>
      <c r="F1754" t="inlineStr">
        <is>
          <t>Ambulatory</t>
        </is>
      </c>
      <c r="G1754" s="29" t="n">
        <v>45895</v>
      </c>
      <c r="H1754" s="29" t="n">
        <v>45895</v>
      </c>
      <c r="I1754" s="30" t="n"/>
      <c r="J1754" t="inlineStr">
        <is>
          <t>I10</t>
        </is>
      </c>
      <c r="K1754" t="inlineStr">
        <is>
          <t>Essential (primary) hypertension</t>
        </is>
      </c>
      <c r="L1754" t="inlineStr">
        <is>
          <t>Circulatory</t>
        </is>
      </c>
      <c r="M1754" t="inlineStr">
        <is>
          <t>Home/Self-Care</t>
        </is>
      </c>
      <c r="N1754" t="inlineStr">
        <is>
          <t>Keystone Health Partners</t>
        </is>
      </c>
      <c r="O1754" s="31" t="n">
        <v>458.46</v>
      </c>
    </row>
    <row r="1755">
      <c r="A1755" t="inlineStr">
        <is>
          <t>ENC117974</t>
        </is>
      </c>
      <c r="B1755" t="inlineStr">
        <is>
          <t>PT10756</t>
        </is>
      </c>
      <c r="C1755" t="inlineStr">
        <is>
          <t>Observation</t>
        </is>
      </c>
      <c r="D1755" t="inlineStr">
        <is>
          <t>Bluestone Memorial Hospital</t>
        </is>
      </c>
      <c r="E1755" t="inlineStr">
        <is>
          <t>Observation Unit</t>
        </is>
      </c>
      <c r="F1755" t="inlineStr">
        <is>
          <t>Medicine</t>
        </is>
      </c>
      <c r="G1755" s="29" t="n">
        <v>45896</v>
      </c>
      <c r="H1755" s="29" t="n">
        <v>45897</v>
      </c>
      <c r="I1755" s="30" t="n">
        <v>1</v>
      </c>
      <c r="J1755" t="inlineStr">
        <is>
          <t>E87.1</t>
        </is>
      </c>
      <c r="K1755" t="inlineStr">
        <is>
          <t>Hypo-osmolality and hyponatremia</t>
        </is>
      </c>
      <c r="L1755" t="inlineStr">
        <is>
          <t>Endocrine</t>
        </is>
      </c>
      <c r="M1755" t="inlineStr">
        <is>
          <t>Home/Self-Care</t>
        </is>
      </c>
      <c r="N1755" t="inlineStr">
        <is>
          <t>Summit Choice PPO</t>
        </is>
      </c>
      <c r="O1755" s="31" t="n">
        <v>9047</v>
      </c>
    </row>
    <row r="1756">
      <c r="A1756" t="inlineStr">
        <is>
          <t>ENC117976</t>
        </is>
      </c>
      <c r="B1756" t="inlineStr">
        <is>
          <t>PT10764</t>
        </is>
      </c>
      <c r="C1756" t="inlineStr">
        <is>
          <t>Outpatient</t>
        </is>
      </c>
      <c r="D1756" t="inlineStr">
        <is>
          <t>Bluestone Outpatient Pavilion</t>
        </is>
      </c>
      <c r="E1756" t="inlineStr">
        <is>
          <t>Infusion &amp; Oncology Clinic</t>
        </is>
      </c>
      <c r="F1756" t="inlineStr">
        <is>
          <t>Oncology</t>
        </is>
      </c>
      <c r="G1756" s="29" t="n">
        <v>45896</v>
      </c>
      <c r="H1756" s="29" t="n">
        <v>45896</v>
      </c>
      <c r="I1756" s="30" t="n"/>
      <c r="J1756" t="inlineStr">
        <is>
          <t>Z51.11</t>
        </is>
      </c>
      <c r="K1756" t="inlineStr">
        <is>
          <t>Encounter for antineoplastic chemotherapy</t>
        </is>
      </c>
      <c r="L1756" t="inlineStr">
        <is>
          <t>Factors Influencing Health</t>
        </is>
      </c>
      <c r="M1756" t="inlineStr">
        <is>
          <t>Home/Self-Care</t>
        </is>
      </c>
      <c r="N1756" t="inlineStr">
        <is>
          <t>Summit Choice PPO</t>
        </is>
      </c>
      <c r="O1756" s="31" t="n">
        <v>8914.940000000001</v>
      </c>
    </row>
    <row r="1757">
      <c r="A1757" t="inlineStr">
        <is>
          <t>ENC117984</t>
        </is>
      </c>
      <c r="B1757" t="inlineStr">
        <is>
          <t>PT12720</t>
        </is>
      </c>
      <c r="C1757" t="inlineStr">
        <is>
          <t>Outpatient</t>
        </is>
      </c>
      <c r="D1757" t="inlineStr">
        <is>
          <t>Bluestone Outpatient Pavilion</t>
        </is>
      </c>
      <c r="E1757" t="inlineStr">
        <is>
          <t>Primary Care Clinic</t>
        </is>
      </c>
      <c r="F1757" t="inlineStr">
        <is>
          <t>Ambulatory</t>
        </is>
      </c>
      <c r="G1757" s="29" t="n">
        <v>45896</v>
      </c>
      <c r="H1757" s="29" t="n">
        <v>45896</v>
      </c>
      <c r="I1757" s="30" t="n"/>
      <c r="J1757" t="inlineStr">
        <is>
          <t>Z23</t>
        </is>
      </c>
      <c r="K1757" t="inlineStr">
        <is>
          <t>Encounter for immunization</t>
        </is>
      </c>
      <c r="L1757" t="inlineStr">
        <is>
          <t>Factors Influencing Health</t>
        </is>
      </c>
      <c r="M1757" t="inlineStr">
        <is>
          <t>Home/Self-Care</t>
        </is>
      </c>
      <c r="N1757" t="inlineStr">
        <is>
          <t>Keystone Health Partners</t>
        </is>
      </c>
      <c r="O1757" s="31" t="n">
        <v>120.76</v>
      </c>
    </row>
    <row r="1758">
      <c r="A1758" t="inlineStr">
        <is>
          <t>ENC117985</t>
        </is>
      </c>
      <c r="B1758" t="inlineStr">
        <is>
          <t>PT11208</t>
        </is>
      </c>
      <c r="C1758" t="inlineStr">
        <is>
          <t>Outpatient</t>
        </is>
      </c>
      <c r="D1758" t="inlineStr">
        <is>
          <t>Bluestone Outpatient Pavilion</t>
        </is>
      </c>
      <c r="E1758" t="inlineStr">
        <is>
          <t>Infusion &amp; Oncology Clinic</t>
        </is>
      </c>
      <c r="F1758" t="inlineStr">
        <is>
          <t>Oncology</t>
        </is>
      </c>
      <c r="G1758" s="29" t="n">
        <v>45896</v>
      </c>
      <c r="H1758" s="29" t="n">
        <v>45896</v>
      </c>
      <c r="I1758" s="30" t="n"/>
      <c r="J1758" t="inlineStr">
        <is>
          <t>Z51.11</t>
        </is>
      </c>
      <c r="K1758" t="inlineStr">
        <is>
          <t>Encounter for antineoplastic chemotherapy</t>
        </is>
      </c>
      <c r="L1758" t="inlineStr">
        <is>
          <t>Factors Influencing Health</t>
        </is>
      </c>
      <c r="M1758" t="inlineStr">
        <is>
          <t>Home/Self-Care</t>
        </is>
      </c>
      <c r="N1758" t="inlineStr">
        <is>
          <t>State Medicaid</t>
        </is>
      </c>
      <c r="O1758" s="31" t="n">
        <v>10478.6</v>
      </c>
    </row>
    <row r="1759">
      <c r="A1759" t="inlineStr">
        <is>
          <t>ENC117987</t>
        </is>
      </c>
      <c r="B1759" t="inlineStr">
        <is>
          <t>PT11752</t>
        </is>
      </c>
      <c r="C1759" t="inlineStr">
        <is>
          <t>Emergency</t>
        </is>
      </c>
      <c r="D1759" t="inlineStr">
        <is>
          <t>Cedar Ridge Medical Center</t>
        </is>
      </c>
      <c r="E1759" t="inlineStr">
        <is>
          <t>Emergency Department</t>
        </is>
      </c>
      <c r="F1759" t="inlineStr">
        <is>
          <t>Emergency</t>
        </is>
      </c>
      <c r="G1759" s="29" t="n">
        <v>45896</v>
      </c>
      <c r="H1759" s="29" t="n">
        <v>45896</v>
      </c>
      <c r="I1759" s="30" t="n"/>
      <c r="J1759" t="inlineStr">
        <is>
          <t>G43.909</t>
        </is>
      </c>
      <c r="K1759" t="inlineStr">
        <is>
          <t>Migraine, unspecified, not intractable, without status migrainosus</t>
        </is>
      </c>
      <c r="L1759" t="inlineStr">
        <is>
          <t>Nervous System</t>
        </is>
      </c>
      <c r="M1759" t="inlineStr">
        <is>
          <t>Home/Self-Care</t>
        </is>
      </c>
      <c r="N1759" t="inlineStr">
        <is>
          <t>State Medicaid</t>
        </is>
      </c>
      <c r="O1759" s="31" t="n">
        <v>2772.87</v>
      </c>
    </row>
    <row r="1760">
      <c r="A1760" t="inlineStr">
        <is>
          <t>ENC117989</t>
        </is>
      </c>
      <c r="B1760" t="inlineStr">
        <is>
          <t>PT13928</t>
        </is>
      </c>
      <c r="C1760" t="inlineStr">
        <is>
          <t>Outpatient</t>
        </is>
      </c>
      <c r="D1760" t="inlineStr">
        <is>
          <t>Bluestone Outpatient Pavilion</t>
        </is>
      </c>
      <c r="E1760" t="inlineStr">
        <is>
          <t>Primary Care Clinic</t>
        </is>
      </c>
      <c r="F1760" t="inlineStr">
        <is>
          <t>Ambulatory</t>
        </is>
      </c>
      <c r="G1760" s="29" t="n">
        <v>45896</v>
      </c>
      <c r="H1760" s="29" t="n">
        <v>45896</v>
      </c>
      <c r="I1760" s="30" t="n"/>
      <c r="J1760" t="inlineStr">
        <is>
          <t>Z00.00</t>
        </is>
      </c>
      <c r="K1760" t="inlineStr">
        <is>
          <t>Encounter for general adult medical examination without abnormal findings</t>
        </is>
      </c>
      <c r="L1760" t="inlineStr">
        <is>
          <t>Factors Influencing Health</t>
        </is>
      </c>
      <c r="M1760" t="inlineStr">
        <is>
          <t>Home/Self-Care</t>
        </is>
      </c>
      <c r="N1760" t="inlineStr">
        <is>
          <t>Medicare</t>
        </is>
      </c>
      <c r="O1760" s="31" t="n">
        <v>318.3</v>
      </c>
    </row>
    <row r="1761">
      <c r="A1761" t="inlineStr">
        <is>
          <t>ENC117991</t>
        </is>
      </c>
      <c r="B1761" t="inlineStr">
        <is>
          <t>PT12072</t>
        </is>
      </c>
      <c r="C1761" t="inlineStr">
        <is>
          <t>Inpatient</t>
        </is>
      </c>
      <c r="D1761" t="inlineStr">
        <is>
          <t>Bluestone Memorial Hospital</t>
        </is>
      </c>
      <c r="E1761" t="inlineStr">
        <is>
          <t>Oncology</t>
        </is>
      </c>
      <c r="F1761" t="inlineStr">
        <is>
          <t>Oncology</t>
        </is>
      </c>
      <c r="G1761" s="29" t="n">
        <v>45896</v>
      </c>
      <c r="H1761" s="29" t="n">
        <v>45900</v>
      </c>
      <c r="I1761" s="30" t="n">
        <v>4</v>
      </c>
      <c r="J1761" t="inlineStr">
        <is>
          <t>C50.911</t>
        </is>
      </c>
      <c r="K1761" t="inlineStr">
        <is>
          <t>Malignant neoplasm of unspecified site of right female breast</t>
        </is>
      </c>
      <c r="L1761" t="inlineStr">
        <is>
          <t>Neoplasms</t>
        </is>
      </c>
      <c r="M1761" t="inlineStr">
        <is>
          <t>Home/Self-Care</t>
        </is>
      </c>
      <c r="N1761" t="inlineStr">
        <is>
          <t>Medicare</t>
        </is>
      </c>
      <c r="O1761" s="31" t="n">
        <v>29428.49</v>
      </c>
      <c r="P1761" t="inlineStr">
        <is>
          <t>N</t>
        </is>
      </c>
    </row>
    <row r="1762">
      <c r="A1762" t="inlineStr">
        <is>
          <t>ENC117994</t>
        </is>
      </c>
      <c r="B1762" t="inlineStr">
        <is>
          <t>PT10588</t>
        </is>
      </c>
      <c r="C1762" t="inlineStr">
        <is>
          <t>Inpatient</t>
        </is>
      </c>
      <c r="D1762" t="inlineStr">
        <is>
          <t>Ashby Falls Community Hospital</t>
        </is>
      </c>
      <c r="E1762" t="inlineStr">
        <is>
          <t>Medical-Surgical</t>
        </is>
      </c>
      <c r="F1762" t="inlineStr">
        <is>
          <t>Medicine</t>
        </is>
      </c>
      <c r="G1762" s="29" t="n">
        <v>45897</v>
      </c>
      <c r="H1762" s="29" t="n">
        <v>45899</v>
      </c>
      <c r="I1762" s="30" t="n">
        <v>2</v>
      </c>
      <c r="J1762" t="inlineStr">
        <is>
          <t>I21.4</t>
        </is>
      </c>
      <c r="K1762" t="inlineStr">
        <is>
          <t>Non-ST elevation (NSTEMI) myocardial infarction</t>
        </is>
      </c>
      <c r="L1762" t="inlineStr">
        <is>
          <t>Circulatory</t>
        </is>
      </c>
      <c r="M1762" t="inlineStr">
        <is>
          <t>Home/Self-Care</t>
        </is>
      </c>
      <c r="N1762" t="inlineStr">
        <is>
          <t>Medicare</t>
        </is>
      </c>
      <c r="O1762" s="31" t="n">
        <v>76156.95</v>
      </c>
      <c r="P1762" t="inlineStr">
        <is>
          <t>N</t>
        </is>
      </c>
    </row>
    <row r="1763">
      <c r="A1763" t="inlineStr">
        <is>
          <t>ENC117998</t>
        </is>
      </c>
      <c r="B1763" t="inlineStr">
        <is>
          <t>PT12892</t>
        </is>
      </c>
      <c r="C1763" t="inlineStr">
        <is>
          <t>Outpatient</t>
        </is>
      </c>
      <c r="D1763" t="inlineStr">
        <is>
          <t>Bluestone Outpatient Pavilion</t>
        </is>
      </c>
      <c r="E1763" t="inlineStr">
        <is>
          <t>Orthopedic Clinic</t>
        </is>
      </c>
      <c r="F1763" t="inlineStr">
        <is>
          <t>Orthopedics</t>
        </is>
      </c>
      <c r="G1763" s="29" t="n">
        <v>45897</v>
      </c>
      <c r="H1763" s="29" t="n">
        <v>45897</v>
      </c>
      <c r="I1763" s="30" t="n"/>
      <c r="J1763" t="inlineStr">
        <is>
          <t>S93.401A</t>
        </is>
      </c>
      <c r="K1763" t="inlineStr">
        <is>
          <t>Sprain of unspecified ligament of right ankle, initial encounter</t>
        </is>
      </c>
      <c r="L1763" t="inlineStr">
        <is>
          <t>Injury</t>
        </is>
      </c>
      <c r="M1763" t="inlineStr">
        <is>
          <t>Home/Self-Care</t>
        </is>
      </c>
      <c r="N1763" t="inlineStr">
        <is>
          <t>Summit Choice PPO</t>
        </is>
      </c>
      <c r="O1763" s="31" t="n">
        <v>175.9</v>
      </c>
    </row>
    <row r="1764">
      <c r="A1764" t="inlineStr">
        <is>
          <t>ENC117999</t>
        </is>
      </c>
      <c r="B1764" t="inlineStr">
        <is>
          <t>PT10384</t>
        </is>
      </c>
      <c r="C1764" t="inlineStr">
        <is>
          <t>Outpatient</t>
        </is>
      </c>
      <c r="D1764" t="inlineStr">
        <is>
          <t>Bluestone Outpatient Pavilion</t>
        </is>
      </c>
      <c r="E1764" t="inlineStr">
        <is>
          <t>Primary Care Clinic</t>
        </is>
      </c>
      <c r="F1764" t="inlineStr">
        <is>
          <t>Ambulatory</t>
        </is>
      </c>
      <c r="G1764" s="29" t="n">
        <v>45897</v>
      </c>
      <c r="H1764" s="29" t="n">
        <v>45897</v>
      </c>
      <c r="I1764" s="30" t="n"/>
      <c r="J1764" t="inlineStr">
        <is>
          <t>I10</t>
        </is>
      </c>
      <c r="K1764" t="inlineStr">
        <is>
          <t>Essential (primary) hypertension</t>
        </is>
      </c>
      <c r="L1764" t="inlineStr">
        <is>
          <t>Circulatory</t>
        </is>
      </c>
      <c r="M1764" t="inlineStr">
        <is>
          <t>Home/Self-Care</t>
        </is>
      </c>
      <c r="N1764" t="inlineStr">
        <is>
          <t>State Medicaid</t>
        </is>
      </c>
      <c r="O1764" s="31" t="n">
        <v>432.55</v>
      </c>
    </row>
    <row r="1765">
      <c r="A1765" t="inlineStr">
        <is>
          <t>ENC118004</t>
        </is>
      </c>
      <c r="B1765" t="inlineStr">
        <is>
          <t>PT10328</t>
        </is>
      </c>
      <c r="C1765" t="inlineStr">
        <is>
          <t>Outpatient</t>
        </is>
      </c>
      <c r="D1765" t="inlineStr">
        <is>
          <t>Bluestone Outpatient Pavilion</t>
        </is>
      </c>
      <c r="E1765" t="inlineStr">
        <is>
          <t>Endocrinology &amp; Diabetes Clinic</t>
        </is>
      </c>
      <c r="F1765" t="inlineStr">
        <is>
          <t>Ambulatory</t>
        </is>
      </c>
      <c r="G1765" s="29" t="n">
        <v>45897</v>
      </c>
      <c r="H1765" s="29" t="n">
        <v>45897</v>
      </c>
      <c r="I1765" s="30" t="n"/>
      <c r="J1765" t="inlineStr">
        <is>
          <t>E11.9</t>
        </is>
      </c>
      <c r="K1765" t="inlineStr">
        <is>
          <t>Type 2 diabetes mellitus without complications</t>
        </is>
      </c>
      <c r="L1765" t="inlineStr">
        <is>
          <t>Endocrine</t>
        </is>
      </c>
      <c r="M1765" t="inlineStr">
        <is>
          <t>Home/Self-Care</t>
        </is>
      </c>
      <c r="N1765" t="inlineStr">
        <is>
          <t>Keystone Health Partners</t>
        </is>
      </c>
      <c r="O1765" s="31" t="n">
        <v>390.73</v>
      </c>
    </row>
    <row r="1766">
      <c r="A1766" t="inlineStr">
        <is>
          <t>ENC118010</t>
        </is>
      </c>
      <c r="B1766" t="inlineStr">
        <is>
          <t>PT11232</t>
        </is>
      </c>
      <c r="C1766" t="inlineStr">
        <is>
          <t>Outpatient</t>
        </is>
      </c>
      <c r="D1766" t="inlineStr">
        <is>
          <t>Bluestone Outpatient Pavilion</t>
        </is>
      </c>
      <c r="E1766" t="inlineStr">
        <is>
          <t>Primary Care Clinic</t>
        </is>
      </c>
      <c r="F1766" t="inlineStr">
        <is>
          <t>Ambulatory</t>
        </is>
      </c>
      <c r="G1766" s="29" t="n">
        <v>45897</v>
      </c>
      <c r="H1766" s="29" t="n">
        <v>45897</v>
      </c>
      <c r="I1766" s="30" t="n"/>
      <c r="J1766" t="inlineStr">
        <is>
          <t>I10</t>
        </is>
      </c>
      <c r="K1766" t="inlineStr">
        <is>
          <t>Essential (primary) hypertension</t>
        </is>
      </c>
      <c r="L1766" t="inlineStr">
        <is>
          <t>Circulatory</t>
        </is>
      </c>
      <c r="M1766" t="inlineStr">
        <is>
          <t>Home/Self-Care</t>
        </is>
      </c>
      <c r="N1766" t="inlineStr">
        <is>
          <t>State Medicaid</t>
        </is>
      </c>
      <c r="O1766" s="31" t="n">
        <v>199.6</v>
      </c>
    </row>
    <row r="1767">
      <c r="A1767" t="inlineStr">
        <is>
          <t>ENC118012</t>
        </is>
      </c>
      <c r="B1767" t="inlineStr">
        <is>
          <t>PT10364</t>
        </is>
      </c>
      <c r="C1767" t="inlineStr">
        <is>
          <t>Outpatient</t>
        </is>
      </c>
      <c r="D1767" t="inlineStr">
        <is>
          <t>Bluestone Outpatient Pavilion</t>
        </is>
      </c>
      <c r="E1767" t="inlineStr">
        <is>
          <t>Cardiology Clinic</t>
        </is>
      </c>
      <c r="F1767" t="inlineStr">
        <is>
          <t>Cardiovascular</t>
        </is>
      </c>
      <c r="G1767" s="29" t="n">
        <v>45897</v>
      </c>
      <c r="H1767" s="29" t="n">
        <v>45897</v>
      </c>
      <c r="I1767" s="30" t="n"/>
      <c r="J1767" t="inlineStr">
        <is>
          <t>I48.91</t>
        </is>
      </c>
      <c r="K1767" t="inlineStr">
        <is>
          <t>Unspecified atrial fibrillation</t>
        </is>
      </c>
      <c r="L1767" t="inlineStr">
        <is>
          <t>Circulatory</t>
        </is>
      </c>
      <c r="M1767" t="inlineStr">
        <is>
          <t>Home/Self-Care</t>
        </is>
      </c>
      <c r="N1767" t="inlineStr">
        <is>
          <t>Medicare</t>
        </is>
      </c>
      <c r="O1767" s="31" t="n">
        <v>446.17</v>
      </c>
    </row>
    <row r="1768">
      <c r="A1768" t="inlineStr">
        <is>
          <t>ENC118013</t>
        </is>
      </c>
      <c r="B1768" t="inlineStr">
        <is>
          <t>PT11576</t>
        </is>
      </c>
      <c r="C1768" t="inlineStr">
        <is>
          <t>Emergency</t>
        </is>
      </c>
      <c r="D1768" t="inlineStr">
        <is>
          <t>Bluestone Memorial Hospital</t>
        </is>
      </c>
      <c r="E1768" t="inlineStr">
        <is>
          <t>Emergency Department</t>
        </is>
      </c>
      <c r="F1768" t="inlineStr">
        <is>
          <t>Emergency</t>
        </is>
      </c>
      <c r="G1768" s="29" t="n">
        <v>45897</v>
      </c>
      <c r="H1768" s="29" t="n">
        <v>45897</v>
      </c>
      <c r="I1768" s="30" t="n"/>
      <c r="J1768" t="inlineStr">
        <is>
          <t>R10.9</t>
        </is>
      </c>
      <c r="K1768" t="inlineStr">
        <is>
          <t>Unspecified abdominal pain</t>
        </is>
      </c>
      <c r="L1768" t="inlineStr">
        <is>
          <t>Symptoms &amp; Signs</t>
        </is>
      </c>
      <c r="M1768" t="inlineStr">
        <is>
          <t>Home/Self-Care</t>
        </is>
      </c>
      <c r="N1768" t="inlineStr">
        <is>
          <t>State Medicaid</t>
        </is>
      </c>
      <c r="O1768" s="31" t="n">
        <v>2871.01</v>
      </c>
    </row>
    <row r="1769">
      <c r="A1769" t="inlineStr">
        <is>
          <t>ENC118034</t>
        </is>
      </c>
      <c r="B1769" t="inlineStr">
        <is>
          <t>PT10364</t>
        </is>
      </c>
      <c r="C1769" t="inlineStr">
        <is>
          <t>Emergency</t>
        </is>
      </c>
      <c r="D1769" t="inlineStr">
        <is>
          <t>Bluestone Memorial Hospital</t>
        </is>
      </c>
      <c r="E1769" t="inlineStr">
        <is>
          <t>Emergency Department</t>
        </is>
      </c>
      <c r="F1769" t="inlineStr">
        <is>
          <t>Emergency</t>
        </is>
      </c>
      <c r="G1769" s="29" t="n">
        <v>45898</v>
      </c>
      <c r="H1769" s="29" t="n">
        <v>45898</v>
      </c>
      <c r="I1769" s="30" t="n"/>
      <c r="J1769" t="inlineStr">
        <is>
          <t>R07.9</t>
        </is>
      </c>
      <c r="K1769" t="inlineStr">
        <is>
          <t>Chest pain, unspecified</t>
        </is>
      </c>
      <c r="L1769" t="inlineStr">
        <is>
          <t>Symptoms &amp; Signs</t>
        </is>
      </c>
      <c r="M1769" t="inlineStr">
        <is>
          <t>Home/Self-Care</t>
        </is>
      </c>
      <c r="N1769" t="inlineStr">
        <is>
          <t>Medicare</t>
        </is>
      </c>
      <c r="O1769" s="31" t="n">
        <v>2242.74</v>
      </c>
    </row>
    <row r="1770">
      <c r="A1770" t="inlineStr">
        <is>
          <t>ENC118035</t>
        </is>
      </c>
      <c r="B1770" t="inlineStr">
        <is>
          <t>PT10136</t>
        </is>
      </c>
      <c r="C1770" t="inlineStr">
        <is>
          <t>Observation</t>
        </is>
      </c>
      <c r="D1770" t="inlineStr">
        <is>
          <t>Bluestone Memorial Hospital</t>
        </is>
      </c>
      <c r="E1770" t="inlineStr">
        <is>
          <t>Observation Unit</t>
        </is>
      </c>
      <c r="F1770" t="inlineStr">
        <is>
          <t>Medicine</t>
        </is>
      </c>
      <c r="G1770" s="29" t="n">
        <v>45898</v>
      </c>
      <c r="H1770" s="29" t="n">
        <v>45899</v>
      </c>
      <c r="I1770" s="30" t="n">
        <v>1</v>
      </c>
      <c r="J1770" t="inlineStr">
        <is>
          <t>R55</t>
        </is>
      </c>
      <c r="K1770" t="inlineStr">
        <is>
          <t>Syncope and collapse</t>
        </is>
      </c>
      <c r="L1770" t="inlineStr">
        <is>
          <t>Symptoms &amp; Signs</t>
        </is>
      </c>
      <c r="M1770" t="inlineStr">
        <is>
          <t>Home/Self-Care</t>
        </is>
      </c>
      <c r="N1770" t="inlineStr">
        <is>
          <t>Summit Choice PPO</t>
        </is>
      </c>
      <c r="O1770" s="31" t="n">
        <v>8618.99</v>
      </c>
    </row>
    <row r="1771">
      <c r="A1771" t="inlineStr">
        <is>
          <t>ENC118040</t>
        </is>
      </c>
      <c r="B1771" t="inlineStr">
        <is>
          <t>PT10524</t>
        </is>
      </c>
      <c r="C1771" t="inlineStr">
        <is>
          <t>Outpatient</t>
        </is>
      </c>
      <c r="D1771" t="inlineStr">
        <is>
          <t>Bluestone Outpatient Pavilion</t>
        </is>
      </c>
      <c r="E1771" t="inlineStr">
        <is>
          <t>Infusion &amp; Oncology Clinic</t>
        </is>
      </c>
      <c r="F1771" t="inlineStr">
        <is>
          <t>Oncology</t>
        </is>
      </c>
      <c r="G1771" s="29" t="n">
        <v>45898</v>
      </c>
      <c r="H1771" s="29" t="n">
        <v>45898</v>
      </c>
      <c r="I1771" s="30" t="n"/>
      <c r="J1771" t="inlineStr">
        <is>
          <t>Z51.11</t>
        </is>
      </c>
      <c r="K1771" t="inlineStr">
        <is>
          <t>Encounter for antineoplastic chemotherapy</t>
        </is>
      </c>
      <c r="L1771" t="inlineStr">
        <is>
          <t>Factors Influencing Health</t>
        </is>
      </c>
      <c r="M1771" t="inlineStr">
        <is>
          <t>Home/Self-Care</t>
        </is>
      </c>
      <c r="N1771" t="inlineStr">
        <is>
          <t>Evergreen Mutual Insurance</t>
        </is>
      </c>
      <c r="O1771" s="31" t="n">
        <v>10596.7</v>
      </c>
    </row>
    <row r="1772">
      <c r="A1772" t="inlineStr">
        <is>
          <t>ENC118041</t>
        </is>
      </c>
      <c r="B1772" t="inlineStr">
        <is>
          <t>PT12672</t>
        </is>
      </c>
      <c r="C1772" t="inlineStr">
        <is>
          <t>Outpatient</t>
        </is>
      </c>
      <c r="D1772" t="inlineStr">
        <is>
          <t>Bluestone Outpatient Pavilion</t>
        </is>
      </c>
      <c r="E1772" t="inlineStr">
        <is>
          <t>Infusion &amp; Oncology Clinic</t>
        </is>
      </c>
      <c r="F1772" t="inlineStr">
        <is>
          <t>Oncology</t>
        </is>
      </c>
      <c r="G1772" s="29" t="n">
        <v>45898</v>
      </c>
      <c r="H1772" s="29" t="n">
        <v>45898</v>
      </c>
      <c r="I1772" s="30" t="n"/>
      <c r="J1772" t="inlineStr">
        <is>
          <t>C50.911</t>
        </is>
      </c>
      <c r="K1772" t="inlineStr">
        <is>
          <t>Malignant neoplasm of unspecified site of right female breast</t>
        </is>
      </c>
      <c r="L1772" t="inlineStr">
        <is>
          <t>Neoplasms</t>
        </is>
      </c>
      <c r="M1772" t="inlineStr">
        <is>
          <t>Home/Self-Care</t>
        </is>
      </c>
      <c r="N1772" t="inlineStr">
        <is>
          <t>Medicare</t>
        </is>
      </c>
      <c r="O1772" s="31" t="n">
        <v>577.85</v>
      </c>
    </row>
    <row r="1773">
      <c r="A1773" t="inlineStr">
        <is>
          <t>ENC118042</t>
        </is>
      </c>
      <c r="B1773" t="inlineStr">
        <is>
          <t>PT13848</t>
        </is>
      </c>
      <c r="C1773" t="inlineStr">
        <is>
          <t>Inpatient</t>
        </is>
      </c>
      <c r="D1773" t="inlineStr">
        <is>
          <t>Bluestone Memorial Hospital</t>
        </is>
      </c>
      <c r="E1773" t="inlineStr">
        <is>
          <t>Medical-Surgical 4 West</t>
        </is>
      </c>
      <c r="F1773" t="inlineStr">
        <is>
          <t>Medicine</t>
        </is>
      </c>
      <c r="G1773" s="29" t="n">
        <v>45898</v>
      </c>
      <c r="H1773" s="29" t="n">
        <v>45901</v>
      </c>
      <c r="I1773" s="30" t="n">
        <v>3</v>
      </c>
      <c r="J1773" t="inlineStr">
        <is>
          <t>N17.9</t>
        </is>
      </c>
      <c r="K1773" t="inlineStr">
        <is>
          <t>Acute kidney failure, unspecified</t>
        </is>
      </c>
      <c r="L1773" t="inlineStr">
        <is>
          <t>Genitourinary</t>
        </is>
      </c>
      <c r="M1773" t="inlineStr">
        <is>
          <t>Home/Self-Care</t>
        </is>
      </c>
      <c r="N1773" t="inlineStr">
        <is>
          <t>Medicare</t>
        </is>
      </c>
      <c r="O1773" s="31" t="n">
        <v>18295.89</v>
      </c>
      <c r="P1773" t="inlineStr">
        <is>
          <t>N</t>
        </is>
      </c>
    </row>
    <row r="1774">
      <c r="A1774" t="inlineStr">
        <is>
          <t>ENC118043</t>
        </is>
      </c>
      <c r="B1774" t="inlineStr">
        <is>
          <t>PT12832</t>
        </is>
      </c>
      <c r="C1774" t="inlineStr">
        <is>
          <t>Outpatient</t>
        </is>
      </c>
      <c r="D1774" t="inlineStr">
        <is>
          <t>Bluestone Outpatient Pavilion</t>
        </is>
      </c>
      <c r="E1774" t="inlineStr">
        <is>
          <t>Primary Care Clinic</t>
        </is>
      </c>
      <c r="F1774" t="inlineStr">
        <is>
          <t>Ambulatory</t>
        </is>
      </c>
      <c r="G1774" s="29" t="n">
        <v>45898</v>
      </c>
      <c r="H1774" s="29" t="n">
        <v>45898</v>
      </c>
      <c r="I1774" s="30" t="n"/>
      <c r="J1774" t="inlineStr">
        <is>
          <t>I10</t>
        </is>
      </c>
      <c r="K1774" t="inlineStr">
        <is>
          <t>Essential (primary) hypertension</t>
        </is>
      </c>
      <c r="L1774" t="inlineStr">
        <is>
          <t>Circulatory</t>
        </is>
      </c>
      <c r="M1774" t="inlineStr">
        <is>
          <t>Home/Self-Care</t>
        </is>
      </c>
      <c r="N1774" t="inlineStr">
        <is>
          <t>Medicare</t>
        </is>
      </c>
      <c r="O1774" s="31" t="n">
        <v>409.09</v>
      </c>
    </row>
    <row r="1775">
      <c r="A1775" t="inlineStr">
        <is>
          <t>ENC118049</t>
        </is>
      </c>
      <c r="B1775" t="inlineStr">
        <is>
          <t>PT11884</t>
        </is>
      </c>
      <c r="C1775" t="inlineStr">
        <is>
          <t>Outpatient</t>
        </is>
      </c>
      <c r="D1775" t="inlineStr">
        <is>
          <t>Bluestone Outpatient Pavilion</t>
        </is>
      </c>
      <c r="E1775" t="inlineStr">
        <is>
          <t>Primary Care Clinic</t>
        </is>
      </c>
      <c r="F1775" t="inlineStr">
        <is>
          <t>Ambulatory</t>
        </is>
      </c>
      <c r="G1775" s="29" t="n">
        <v>45898</v>
      </c>
      <c r="H1775" s="29" t="n">
        <v>45898</v>
      </c>
      <c r="I1775" s="30" t="n"/>
      <c r="J1775" t="inlineStr">
        <is>
          <t>I10</t>
        </is>
      </c>
      <c r="K1775" t="inlineStr">
        <is>
          <t>Essential (primary) hypertension</t>
        </is>
      </c>
      <c r="L1775" t="inlineStr">
        <is>
          <t>Circulatory</t>
        </is>
      </c>
      <c r="M1775" t="inlineStr">
        <is>
          <t>Home/Self-Care</t>
        </is>
      </c>
      <c r="N1775" t="inlineStr">
        <is>
          <t>Silverline Medicare Advantage</t>
        </is>
      </c>
      <c r="O1775" s="31" t="n">
        <v>252.9</v>
      </c>
    </row>
    <row r="1776">
      <c r="A1776" t="inlineStr">
        <is>
          <t>ENC118051</t>
        </is>
      </c>
      <c r="B1776" t="inlineStr">
        <is>
          <t>PT11844</t>
        </is>
      </c>
      <c r="C1776" t="inlineStr">
        <is>
          <t>Emergency</t>
        </is>
      </c>
      <c r="D1776" t="inlineStr">
        <is>
          <t>Bluestone Memorial Hospital</t>
        </is>
      </c>
      <c r="E1776" t="inlineStr">
        <is>
          <t>Emergency Department</t>
        </is>
      </c>
      <c r="F1776" t="inlineStr">
        <is>
          <t>Emergency</t>
        </is>
      </c>
      <c r="G1776" s="29" t="n">
        <v>45898</v>
      </c>
      <c r="H1776" s="29" t="n">
        <v>45898</v>
      </c>
      <c r="I1776" s="30" t="n"/>
      <c r="J1776" t="inlineStr">
        <is>
          <t>I10</t>
        </is>
      </c>
      <c r="K1776" t="inlineStr">
        <is>
          <t>Essential (primary) hypertension</t>
        </is>
      </c>
      <c r="L1776" t="inlineStr">
        <is>
          <t>Circulatory</t>
        </is>
      </c>
      <c r="M1776" t="inlineStr">
        <is>
          <t>Home/Self-Care</t>
        </is>
      </c>
      <c r="N1776" t="inlineStr">
        <is>
          <t>State Medicaid</t>
        </is>
      </c>
      <c r="O1776" s="31" t="n">
        <v>1584.69</v>
      </c>
    </row>
    <row r="1777">
      <c r="A1777" t="inlineStr">
        <is>
          <t>ENC118052</t>
        </is>
      </c>
      <c r="B1777" t="inlineStr">
        <is>
          <t>PT11404</t>
        </is>
      </c>
      <c r="C1777" t="inlineStr">
        <is>
          <t>Inpatient</t>
        </is>
      </c>
      <c r="D1777" t="inlineStr">
        <is>
          <t>Bluestone Memorial Hospital</t>
        </is>
      </c>
      <c r="E1777" t="inlineStr">
        <is>
          <t>Intensive Care Unit</t>
        </is>
      </c>
      <c r="F1777" t="inlineStr">
        <is>
          <t>Critical Care</t>
        </is>
      </c>
      <c r="G1777" s="29" t="n">
        <v>45898</v>
      </c>
      <c r="H1777" s="29" t="n">
        <v>45902</v>
      </c>
      <c r="I1777" s="30" t="n">
        <v>4</v>
      </c>
      <c r="J1777" t="inlineStr">
        <is>
          <t>K92.2</t>
        </is>
      </c>
      <c r="K1777" t="inlineStr">
        <is>
          <t>Gastrointestinal hemorrhage, unspecified</t>
        </is>
      </c>
      <c r="L1777" t="inlineStr">
        <is>
          <t>Digestive</t>
        </is>
      </c>
      <c r="M1777" t="inlineStr">
        <is>
          <t>Hospice</t>
        </is>
      </c>
      <c r="N1777" t="inlineStr">
        <is>
          <t>Medicare</t>
        </is>
      </c>
      <c r="O1777" s="31" t="n">
        <v>49918.48</v>
      </c>
      <c r="P1777" t="inlineStr">
        <is>
          <t>N</t>
        </is>
      </c>
    </row>
    <row r="1778">
      <c r="A1778" t="inlineStr">
        <is>
          <t>ENC118054</t>
        </is>
      </c>
      <c r="B1778" t="inlineStr">
        <is>
          <t>PT13472</t>
        </is>
      </c>
      <c r="C1778" t="inlineStr">
        <is>
          <t>Emergency</t>
        </is>
      </c>
      <c r="D1778" t="inlineStr">
        <is>
          <t>Cedar Ridge Medical Center</t>
        </is>
      </c>
      <c r="E1778" t="inlineStr">
        <is>
          <t>Emergency Department</t>
        </is>
      </c>
      <c r="F1778" t="inlineStr">
        <is>
          <t>Emergency</t>
        </is>
      </c>
      <c r="G1778" s="29" t="n">
        <v>45899</v>
      </c>
      <c r="H1778" s="29" t="n">
        <v>45899</v>
      </c>
      <c r="I1778" s="30" t="n"/>
      <c r="J1778" t="inlineStr">
        <is>
          <t>S06.0X0A</t>
        </is>
      </c>
      <c r="K1778" t="inlineStr">
        <is>
          <t>Concussion without loss of consciousness, initial encounter</t>
        </is>
      </c>
      <c r="L1778" t="inlineStr">
        <is>
          <t>Injury</t>
        </is>
      </c>
      <c r="M1778" t="inlineStr">
        <is>
          <t>Home/Self-Care</t>
        </is>
      </c>
      <c r="N1778" t="inlineStr">
        <is>
          <t>State Medicaid</t>
        </is>
      </c>
      <c r="O1778" s="31" t="n">
        <v>4256.3</v>
      </c>
    </row>
    <row r="1779">
      <c r="A1779" t="inlineStr">
        <is>
          <t>ENC118062</t>
        </is>
      </c>
      <c r="B1779" t="inlineStr">
        <is>
          <t>PT11304</t>
        </is>
      </c>
      <c r="C1779" t="inlineStr">
        <is>
          <t>Inpatient</t>
        </is>
      </c>
      <c r="D1779" t="inlineStr">
        <is>
          <t>Bluestone Memorial Hospital</t>
        </is>
      </c>
      <c r="E1779" t="inlineStr">
        <is>
          <t>Medical-Surgical 4 West</t>
        </is>
      </c>
      <c r="F1779" t="inlineStr">
        <is>
          <t>Medicine</t>
        </is>
      </c>
      <c r="G1779" s="29" t="n">
        <v>45899</v>
      </c>
      <c r="H1779" s="29" t="n">
        <v>45902</v>
      </c>
      <c r="I1779" s="30" t="n">
        <v>3</v>
      </c>
      <c r="J1779" t="inlineStr">
        <is>
          <t>J44.1</t>
        </is>
      </c>
      <c r="K1779" t="inlineStr">
        <is>
          <t>Chronic obstructive pulmonary disease with (acute) exacerbation</t>
        </is>
      </c>
      <c r="L1779" t="inlineStr">
        <is>
          <t>Respiratory</t>
        </is>
      </c>
      <c r="M1779" t="inlineStr">
        <is>
          <t>Home/Self-Care</t>
        </is>
      </c>
      <c r="N1779" t="inlineStr">
        <is>
          <t>Silverline Medicare Advantage</t>
        </is>
      </c>
      <c r="O1779" s="31" t="n">
        <v>15697.45</v>
      </c>
      <c r="P1779" t="inlineStr">
        <is>
          <t>N</t>
        </is>
      </c>
    </row>
    <row r="1780">
      <c r="A1780" t="inlineStr">
        <is>
          <t>ENC118067</t>
        </is>
      </c>
      <c r="B1780" t="inlineStr">
        <is>
          <t>PT13000</t>
        </is>
      </c>
      <c r="C1780" t="inlineStr">
        <is>
          <t>Emergency</t>
        </is>
      </c>
      <c r="D1780" t="inlineStr">
        <is>
          <t>Bluestone Memorial Hospital</t>
        </is>
      </c>
      <c r="E1780" t="inlineStr">
        <is>
          <t>Emergency Department</t>
        </is>
      </c>
      <c r="F1780" t="inlineStr">
        <is>
          <t>Emergency</t>
        </is>
      </c>
      <c r="G1780" s="29" t="n">
        <v>45899</v>
      </c>
      <c r="H1780" s="29" t="n">
        <v>45900</v>
      </c>
      <c r="I1780" s="30" t="n"/>
      <c r="J1780" t="inlineStr">
        <is>
          <t>G43.909</t>
        </is>
      </c>
      <c r="K1780" t="inlineStr">
        <is>
          <t>Migraine, unspecified, not intractable, without status migrainosus</t>
        </is>
      </c>
      <c r="L1780" t="inlineStr">
        <is>
          <t>Nervous System</t>
        </is>
      </c>
      <c r="M1780" t="inlineStr">
        <is>
          <t>Home/Self-Care</t>
        </is>
      </c>
      <c r="N1780" t="inlineStr">
        <is>
          <t>Medicare</t>
        </is>
      </c>
      <c r="O1780" s="31" t="n">
        <v>3335.51</v>
      </c>
    </row>
    <row r="1781">
      <c r="A1781" t="inlineStr">
        <is>
          <t>ENC118071</t>
        </is>
      </c>
      <c r="B1781" t="inlineStr">
        <is>
          <t>PT10096</t>
        </is>
      </c>
      <c r="C1781" t="inlineStr">
        <is>
          <t>Inpatient</t>
        </is>
      </c>
      <c r="D1781" t="inlineStr">
        <is>
          <t>Bluestone Memorial Hospital</t>
        </is>
      </c>
      <c r="E1781" t="inlineStr">
        <is>
          <t>Oncology</t>
        </is>
      </c>
      <c r="F1781" t="inlineStr">
        <is>
          <t>Oncology</t>
        </is>
      </c>
      <c r="G1781" s="29" t="n">
        <v>45900</v>
      </c>
      <c r="H1781" s="29" t="n">
        <v>45903</v>
      </c>
      <c r="I1781" s="30" t="n">
        <v>3</v>
      </c>
      <c r="J1781" t="inlineStr">
        <is>
          <t>D70.1</t>
        </is>
      </c>
      <c r="K1781" t="inlineStr">
        <is>
          <t>Agranulocytosis secondary to cancer chemotherapy</t>
        </is>
      </c>
      <c r="L1781" t="inlineStr">
        <is>
          <t>Blood</t>
        </is>
      </c>
      <c r="M1781" t="inlineStr">
        <is>
          <t>Home/Self-Care</t>
        </is>
      </c>
      <c r="N1781" t="inlineStr">
        <is>
          <t>Evergreen Mutual Insurance</t>
        </is>
      </c>
      <c r="O1781" s="31" t="n">
        <v>12682.77</v>
      </c>
      <c r="P1781" t="inlineStr">
        <is>
          <t>N</t>
        </is>
      </c>
    </row>
    <row r="1782">
      <c r="A1782" t="inlineStr">
        <is>
          <t>ENC118073</t>
        </is>
      </c>
      <c r="B1782" t="inlineStr">
        <is>
          <t>PT11152</t>
        </is>
      </c>
      <c r="C1782" t="inlineStr">
        <is>
          <t>Emergency</t>
        </is>
      </c>
      <c r="D1782" t="inlineStr">
        <is>
          <t>Cedar Ridge Medical Center</t>
        </is>
      </c>
      <c r="E1782" t="inlineStr">
        <is>
          <t>Emergency Department</t>
        </is>
      </c>
      <c r="F1782" t="inlineStr">
        <is>
          <t>Emergency</t>
        </is>
      </c>
      <c r="G1782" s="29" t="n">
        <v>45900</v>
      </c>
      <c r="H1782" s="29" t="n">
        <v>45900</v>
      </c>
      <c r="I1782" s="30" t="n"/>
      <c r="J1782" t="inlineStr">
        <is>
          <t>N39.0</t>
        </is>
      </c>
      <c r="K1782" t="inlineStr">
        <is>
          <t>Urinary tract infection, site not specified</t>
        </is>
      </c>
      <c r="L1782" t="inlineStr">
        <is>
          <t>Genitourinary</t>
        </is>
      </c>
      <c r="M1782" t="inlineStr">
        <is>
          <t>Home/Self-Care</t>
        </is>
      </c>
      <c r="N1782" t="inlineStr">
        <is>
          <t>State Medicaid</t>
        </is>
      </c>
      <c r="O1782" s="31" t="n">
        <v>1381.79</v>
      </c>
    </row>
    <row r="1783">
      <c r="A1783" t="inlineStr">
        <is>
          <t>ENC118075</t>
        </is>
      </c>
      <c r="B1783" t="inlineStr">
        <is>
          <t>PT13148</t>
        </is>
      </c>
      <c r="C1783" t="inlineStr">
        <is>
          <t>Inpatient</t>
        </is>
      </c>
      <c r="D1783" t="inlineStr">
        <is>
          <t>Bluestone Memorial Hospital</t>
        </is>
      </c>
      <c r="E1783" t="inlineStr">
        <is>
          <t>Labor &amp; Delivery</t>
        </is>
      </c>
      <c r="F1783" t="inlineStr">
        <is>
          <t>Women &amp; Children</t>
        </is>
      </c>
      <c r="G1783" s="29" t="n">
        <v>45900</v>
      </c>
      <c r="H1783" s="29" t="n">
        <v>45904</v>
      </c>
      <c r="I1783" s="30" t="n">
        <v>4</v>
      </c>
      <c r="J1783" t="inlineStr">
        <is>
          <t>O82</t>
        </is>
      </c>
      <c r="K1783" t="inlineStr">
        <is>
          <t>Encounter for cesarean delivery without indication</t>
        </is>
      </c>
      <c r="L1783" t="inlineStr">
        <is>
          <t>Pregnancy</t>
        </is>
      </c>
      <c r="M1783" t="inlineStr">
        <is>
          <t>Home/Self-Care</t>
        </is>
      </c>
      <c r="N1783" t="inlineStr">
        <is>
          <t>State Medicaid</t>
        </is>
      </c>
      <c r="O1783" s="31" t="n">
        <v>35441.02</v>
      </c>
      <c r="P1783" t="inlineStr">
        <is>
          <t>Y</t>
        </is>
      </c>
    </row>
    <row r="1784">
      <c r="A1784" t="inlineStr">
        <is>
          <t>ENC118078</t>
        </is>
      </c>
      <c r="B1784" t="inlineStr">
        <is>
          <t>PT10556</t>
        </is>
      </c>
      <c r="C1784" t="inlineStr">
        <is>
          <t>Emergency</t>
        </is>
      </c>
      <c r="D1784" t="inlineStr">
        <is>
          <t>Bluestone Memorial Hospital</t>
        </is>
      </c>
      <c r="E1784" t="inlineStr">
        <is>
          <t>Emergency Department</t>
        </is>
      </c>
      <c r="F1784" t="inlineStr">
        <is>
          <t>Emergency</t>
        </is>
      </c>
      <c r="G1784" s="29" t="n">
        <v>45900</v>
      </c>
      <c r="H1784" s="29" t="n">
        <v>45900</v>
      </c>
      <c r="I1784" s="30" t="n"/>
      <c r="J1784" t="inlineStr">
        <is>
          <t>S93.401A</t>
        </is>
      </c>
      <c r="K1784" t="inlineStr">
        <is>
          <t>Sprain of unspecified ligament of right ankle, initial encounter</t>
        </is>
      </c>
      <c r="L1784" t="inlineStr">
        <is>
          <t>Injury</t>
        </is>
      </c>
      <c r="M1784" t="inlineStr">
        <is>
          <t>Home/Self-Care</t>
        </is>
      </c>
      <c r="N1784" t="inlineStr">
        <is>
          <t>State Medicaid</t>
        </is>
      </c>
      <c r="O1784" s="31" t="n">
        <v>647.9400000000001</v>
      </c>
    </row>
    <row r="1785">
      <c r="A1785" t="inlineStr">
        <is>
          <t>ENC118086</t>
        </is>
      </c>
      <c r="B1785" t="inlineStr">
        <is>
          <t>PT13660</t>
        </is>
      </c>
      <c r="C1785" t="inlineStr">
        <is>
          <t>Emergency</t>
        </is>
      </c>
      <c r="D1785" t="inlineStr">
        <is>
          <t>Cedar Ridge Medical Center</t>
        </is>
      </c>
      <c r="E1785" t="inlineStr">
        <is>
          <t>Emergency Department</t>
        </is>
      </c>
      <c r="F1785" t="inlineStr">
        <is>
          <t>Emergency</t>
        </is>
      </c>
      <c r="G1785" s="29" t="n">
        <v>45901</v>
      </c>
      <c r="H1785" s="29" t="n">
        <v>45901</v>
      </c>
      <c r="I1785" s="30" t="n"/>
      <c r="J1785" t="inlineStr">
        <is>
          <t>E86.0</t>
        </is>
      </c>
      <c r="K1785" t="inlineStr">
        <is>
          <t>Dehydration</t>
        </is>
      </c>
      <c r="L1785" t="inlineStr">
        <is>
          <t>Endocrine</t>
        </is>
      </c>
      <c r="M1785" t="inlineStr">
        <is>
          <t>Home/Self-Care</t>
        </is>
      </c>
      <c r="N1785" t="inlineStr">
        <is>
          <t>Keystone Health Partners</t>
        </is>
      </c>
      <c r="O1785" s="31" t="n">
        <v>865.33</v>
      </c>
    </row>
    <row r="1786">
      <c r="A1786" t="inlineStr">
        <is>
          <t>ENC118096</t>
        </is>
      </c>
      <c r="B1786" t="inlineStr">
        <is>
          <t>PT10048</t>
        </is>
      </c>
      <c r="C1786" t="inlineStr">
        <is>
          <t>Outpatient</t>
        </is>
      </c>
      <c r="D1786" t="inlineStr">
        <is>
          <t>Bluestone Outpatient Pavilion</t>
        </is>
      </c>
      <c r="E1786" t="inlineStr">
        <is>
          <t>Pediatric Clinic</t>
        </is>
      </c>
      <c r="F1786" t="inlineStr">
        <is>
          <t>Women &amp; Children</t>
        </is>
      </c>
      <c r="G1786" s="29" t="n">
        <v>45901</v>
      </c>
      <c r="H1786" s="29" t="n">
        <v>45901</v>
      </c>
      <c r="I1786" s="30" t="n"/>
      <c r="J1786" t="inlineStr">
        <is>
          <t>Z00.129</t>
        </is>
      </c>
      <c r="K1786" t="inlineStr">
        <is>
          <t>Encounter for routine child health examination without abnormal findings</t>
        </is>
      </c>
      <c r="L1786" t="inlineStr">
        <is>
          <t>Factors Influencing Health</t>
        </is>
      </c>
      <c r="M1786" t="inlineStr">
        <is>
          <t>Home/Self-Care</t>
        </is>
      </c>
      <c r="N1786" t="inlineStr">
        <is>
          <t>State Medicaid</t>
        </is>
      </c>
      <c r="O1786" s="31" t="n">
        <v>258.99</v>
      </c>
    </row>
    <row r="1787">
      <c r="A1787" t="inlineStr">
        <is>
          <t>ENC118106</t>
        </is>
      </c>
      <c r="B1787" t="inlineStr">
        <is>
          <t>PT10116</t>
        </is>
      </c>
      <c r="C1787" t="inlineStr">
        <is>
          <t>Outpatient</t>
        </is>
      </c>
      <c r="D1787" t="inlineStr">
        <is>
          <t>Bluestone Outpatient Pavilion</t>
        </is>
      </c>
      <c r="E1787" t="inlineStr">
        <is>
          <t>Primary Care Clinic</t>
        </is>
      </c>
      <c r="F1787" t="inlineStr">
        <is>
          <t>Ambulatory</t>
        </is>
      </c>
      <c r="G1787" s="29" t="n">
        <v>45901</v>
      </c>
      <c r="H1787" s="29" t="n">
        <v>45901</v>
      </c>
      <c r="I1787" s="30" t="n"/>
      <c r="J1787" t="inlineStr">
        <is>
          <t>Z00.00</t>
        </is>
      </c>
      <c r="K1787" t="inlineStr">
        <is>
          <t>Encounter for general adult medical examination without abnormal findings</t>
        </is>
      </c>
      <c r="L1787" t="inlineStr">
        <is>
          <t>Factors Influencing Health</t>
        </is>
      </c>
      <c r="M1787" t="inlineStr">
        <is>
          <t>Home/Self-Care</t>
        </is>
      </c>
      <c r="N1787" t="inlineStr">
        <is>
          <t>Silverline Medicare Advantage</t>
        </is>
      </c>
      <c r="O1787" s="31" t="n">
        <v>405.25</v>
      </c>
    </row>
    <row r="1788">
      <c r="A1788" t="inlineStr">
        <is>
          <t>ENC118107</t>
        </is>
      </c>
      <c r="B1788" t="inlineStr">
        <is>
          <t>PT10212</t>
        </is>
      </c>
      <c r="C1788" t="inlineStr">
        <is>
          <t>Outpatient</t>
        </is>
      </c>
      <c r="D1788" t="inlineStr">
        <is>
          <t>Bluestone Outpatient Pavilion</t>
        </is>
      </c>
      <c r="E1788" t="inlineStr">
        <is>
          <t>Pediatric Clinic</t>
        </is>
      </c>
      <c r="F1788" t="inlineStr">
        <is>
          <t>Women &amp; Children</t>
        </is>
      </c>
      <c r="G1788" s="29" t="n">
        <v>45901</v>
      </c>
      <c r="H1788" s="29" t="n">
        <v>45901</v>
      </c>
      <c r="I1788" s="30" t="n"/>
      <c r="J1788" t="inlineStr">
        <is>
          <t>Z00.129</t>
        </is>
      </c>
      <c r="K1788" t="inlineStr">
        <is>
          <t>Encounter for routine child health examination without abnormal findings</t>
        </is>
      </c>
      <c r="L1788" t="inlineStr">
        <is>
          <t>Factors Influencing Health</t>
        </is>
      </c>
      <c r="M1788" t="inlineStr">
        <is>
          <t>Home/Self-Care</t>
        </is>
      </c>
      <c r="N1788" t="inlineStr">
        <is>
          <t>Summit Choice PPO</t>
        </is>
      </c>
      <c r="O1788" s="31" t="n">
        <v>265.57</v>
      </c>
    </row>
    <row r="1789">
      <c r="A1789" t="inlineStr">
        <is>
          <t>ENC118110</t>
        </is>
      </c>
      <c r="B1789" t="inlineStr">
        <is>
          <t>PT10632</t>
        </is>
      </c>
      <c r="C1789" t="inlineStr">
        <is>
          <t>Emergency</t>
        </is>
      </c>
      <c r="D1789" t="inlineStr">
        <is>
          <t>Cedar Ridge Medical Center</t>
        </is>
      </c>
      <c r="E1789" t="inlineStr">
        <is>
          <t>Emergency Department</t>
        </is>
      </c>
      <c r="F1789" t="inlineStr">
        <is>
          <t>Emergency</t>
        </is>
      </c>
      <c r="G1789" s="29" t="n">
        <v>45901</v>
      </c>
      <c r="H1789" s="29" t="n">
        <v>45901</v>
      </c>
      <c r="I1789" s="30" t="n"/>
      <c r="J1789" t="inlineStr">
        <is>
          <t>E86.0</t>
        </is>
      </c>
      <c r="K1789" t="inlineStr">
        <is>
          <t>Dehydration</t>
        </is>
      </c>
      <c r="L1789" t="inlineStr">
        <is>
          <t>Endocrine</t>
        </is>
      </c>
      <c r="M1789" t="inlineStr">
        <is>
          <t>Home/Self-Care</t>
        </is>
      </c>
      <c r="N1789" t="inlineStr">
        <is>
          <t>Evergreen Mutual Insurance</t>
        </is>
      </c>
      <c r="O1789" s="31" t="n">
        <v>773.1900000000001</v>
      </c>
    </row>
    <row r="1790">
      <c r="A1790" t="inlineStr">
        <is>
          <t>ENC118113</t>
        </is>
      </c>
      <c r="B1790" t="inlineStr">
        <is>
          <t>PT13628</t>
        </is>
      </c>
      <c r="C1790" t="inlineStr">
        <is>
          <t>Outpatient</t>
        </is>
      </c>
      <c r="D1790" t="inlineStr">
        <is>
          <t>Bluestone Outpatient Pavilion</t>
        </is>
      </c>
      <c r="E1790" t="inlineStr">
        <is>
          <t>Primary Care Clinic</t>
        </is>
      </c>
      <c r="F1790" t="inlineStr">
        <is>
          <t>Ambulatory</t>
        </is>
      </c>
      <c r="G1790" s="29" t="n">
        <v>45901</v>
      </c>
      <c r="H1790" s="29" t="n">
        <v>45901</v>
      </c>
      <c r="I1790" s="30" t="n"/>
      <c r="J1790" t="inlineStr">
        <is>
          <t>Z00.00</t>
        </is>
      </c>
      <c r="K1790" t="inlineStr">
        <is>
          <t>Encounter for general adult medical examination without abnormal findings</t>
        </is>
      </c>
      <c r="L1790" t="inlineStr">
        <is>
          <t>Factors Influencing Health</t>
        </is>
      </c>
      <c r="M1790" t="inlineStr">
        <is>
          <t>Home/Self-Care</t>
        </is>
      </c>
      <c r="N1790" t="inlineStr">
        <is>
          <t>Self-Pay</t>
        </is>
      </c>
      <c r="O1790" s="31" t="n">
        <v>177.61</v>
      </c>
    </row>
    <row r="1791">
      <c r="A1791" t="inlineStr">
        <is>
          <t>ENC118118</t>
        </is>
      </c>
      <c r="B1791" t="inlineStr">
        <is>
          <t>PT11984</t>
        </is>
      </c>
      <c r="C1791" t="inlineStr">
        <is>
          <t>Emergency</t>
        </is>
      </c>
      <c r="D1791" t="inlineStr">
        <is>
          <t>Bluestone Memorial Hospital</t>
        </is>
      </c>
      <c r="E1791" t="inlineStr">
        <is>
          <t>Emergency Department</t>
        </is>
      </c>
      <c r="F1791" t="inlineStr">
        <is>
          <t>Emergency</t>
        </is>
      </c>
      <c r="G1791" s="29" t="n">
        <v>45901</v>
      </c>
      <c r="H1791" s="29" t="n">
        <v>45901</v>
      </c>
      <c r="I1791" s="30" t="n"/>
      <c r="J1791" t="inlineStr">
        <is>
          <t>J45.909</t>
        </is>
      </c>
      <c r="K1791" t="inlineStr">
        <is>
          <t>Unspecified asthma, uncomplicated</t>
        </is>
      </c>
      <c r="L1791" t="inlineStr">
        <is>
          <t>Respiratory</t>
        </is>
      </c>
      <c r="M1791" t="inlineStr">
        <is>
          <t>Home/Self-Care</t>
        </is>
      </c>
      <c r="N1791" t="inlineStr">
        <is>
          <t>Keystone Health Partners</t>
        </is>
      </c>
      <c r="O1791" s="31" t="n">
        <v>4462.76</v>
      </c>
    </row>
    <row r="1792">
      <c r="A1792" t="inlineStr">
        <is>
          <t>ENC118120</t>
        </is>
      </c>
      <c r="B1792" t="inlineStr">
        <is>
          <t>PT11756</t>
        </is>
      </c>
      <c r="C1792" t="inlineStr">
        <is>
          <t>Emergency</t>
        </is>
      </c>
      <c r="D1792" t="inlineStr">
        <is>
          <t>Cedar Ridge Medical Center</t>
        </is>
      </c>
      <c r="E1792" t="inlineStr">
        <is>
          <t>Emergency Department</t>
        </is>
      </c>
      <c r="F1792" t="inlineStr">
        <is>
          <t>Emergency</t>
        </is>
      </c>
      <c r="G1792" s="29" t="n">
        <v>45901</v>
      </c>
      <c r="H1792" s="29" t="n">
        <v>45901</v>
      </c>
      <c r="I1792" s="30" t="n"/>
      <c r="J1792" t="inlineStr">
        <is>
          <t>A08.4</t>
        </is>
      </c>
      <c r="K1792" t="inlineStr">
        <is>
          <t>Viral intestinal infection, unspecified</t>
        </is>
      </c>
      <c r="L1792" t="inlineStr">
        <is>
          <t>Infectious</t>
        </is>
      </c>
      <c r="M1792" t="inlineStr">
        <is>
          <t>Home/Self-Care</t>
        </is>
      </c>
      <c r="N1792" t="inlineStr">
        <is>
          <t>Keystone Health Partners</t>
        </is>
      </c>
      <c r="O1792" s="31" t="n">
        <v>1287.69</v>
      </c>
    </row>
    <row r="1793">
      <c r="A1793" t="inlineStr">
        <is>
          <t>ENC118130</t>
        </is>
      </c>
      <c r="B1793" t="inlineStr">
        <is>
          <t>PT11208</t>
        </is>
      </c>
      <c r="C1793" t="inlineStr">
        <is>
          <t>Emergency</t>
        </is>
      </c>
      <c r="D1793" t="inlineStr">
        <is>
          <t>Ashby Falls Community Hospital</t>
        </is>
      </c>
      <c r="E1793" t="inlineStr">
        <is>
          <t>Emergency Department</t>
        </is>
      </c>
      <c r="F1793" t="inlineStr">
        <is>
          <t>Emergency</t>
        </is>
      </c>
      <c r="G1793" s="29" t="n">
        <v>45902</v>
      </c>
      <c r="H1793" s="29" t="n">
        <v>45902</v>
      </c>
      <c r="I1793" s="30" t="n"/>
      <c r="J1793" t="inlineStr">
        <is>
          <t>N39.0</t>
        </is>
      </c>
      <c r="K1793" t="inlineStr">
        <is>
          <t>Urinary tract infection, site not specified</t>
        </is>
      </c>
      <c r="L1793" t="inlineStr">
        <is>
          <t>Genitourinary</t>
        </is>
      </c>
      <c r="M1793" t="inlineStr">
        <is>
          <t>Home/Self-Care</t>
        </is>
      </c>
      <c r="N1793" t="inlineStr">
        <is>
          <t>State Medicaid</t>
        </is>
      </c>
      <c r="O1793" s="31" t="n">
        <v>3379.08</v>
      </c>
    </row>
    <row r="1794">
      <c r="A1794" t="inlineStr">
        <is>
          <t>ENC118131</t>
        </is>
      </c>
      <c r="B1794" t="inlineStr">
        <is>
          <t>PT11288</t>
        </is>
      </c>
      <c r="C1794" t="inlineStr">
        <is>
          <t>Emergency</t>
        </is>
      </c>
      <c r="D1794" t="inlineStr">
        <is>
          <t>Bluestone Memorial Hospital</t>
        </is>
      </c>
      <c r="E1794" t="inlineStr">
        <is>
          <t>Emergency Department</t>
        </is>
      </c>
      <c r="F1794" t="inlineStr">
        <is>
          <t>Emergency</t>
        </is>
      </c>
      <c r="G1794" s="29" t="n">
        <v>45902</v>
      </c>
      <c r="H1794" s="29" t="n">
        <v>45902</v>
      </c>
      <c r="I1794" s="30" t="n"/>
      <c r="J1794" t="inlineStr">
        <is>
          <t>F41.9</t>
        </is>
      </c>
      <c r="K1794" t="inlineStr">
        <is>
          <t>Anxiety disorder, unspecified</t>
        </is>
      </c>
      <c r="L1794" t="inlineStr">
        <is>
          <t>Mental &amp; Behavioral</t>
        </is>
      </c>
      <c r="M1794" t="inlineStr">
        <is>
          <t>Home/Self-Care</t>
        </is>
      </c>
      <c r="N1794" t="inlineStr">
        <is>
          <t>State Medicaid</t>
        </is>
      </c>
      <c r="O1794" s="31" t="n">
        <v>1290.37</v>
      </c>
    </row>
    <row r="1795">
      <c r="A1795" t="inlineStr">
        <is>
          <t>ENC118134</t>
        </is>
      </c>
      <c r="B1795" t="inlineStr">
        <is>
          <t>PT10020</t>
        </is>
      </c>
      <c r="C1795" t="inlineStr">
        <is>
          <t>Outpatient</t>
        </is>
      </c>
      <c r="D1795" t="inlineStr">
        <is>
          <t>Bluestone Outpatient Pavilion</t>
        </is>
      </c>
      <c r="E1795" t="inlineStr">
        <is>
          <t>Primary Care Clinic</t>
        </is>
      </c>
      <c r="F1795" t="inlineStr">
        <is>
          <t>Ambulatory</t>
        </is>
      </c>
      <c r="G1795" s="29" t="n">
        <v>45902</v>
      </c>
      <c r="H1795" s="29" t="n">
        <v>45902</v>
      </c>
      <c r="I1795" s="30" t="n"/>
      <c r="J1795" t="inlineStr">
        <is>
          <t>I10</t>
        </is>
      </c>
      <c r="K1795" t="inlineStr">
        <is>
          <t>Essential (primary) hypertension</t>
        </is>
      </c>
      <c r="L1795" t="inlineStr">
        <is>
          <t>Circulatory</t>
        </is>
      </c>
      <c r="M1795" t="inlineStr">
        <is>
          <t>Home/Self-Care</t>
        </is>
      </c>
      <c r="N1795" t="inlineStr">
        <is>
          <t>Medicare</t>
        </is>
      </c>
      <c r="O1795" s="31" t="n">
        <v>201.63</v>
      </c>
    </row>
    <row r="1796">
      <c r="A1796" t="inlineStr">
        <is>
          <t>ENC118135</t>
        </is>
      </c>
      <c r="B1796" t="inlineStr">
        <is>
          <t>PT13092</t>
        </is>
      </c>
      <c r="C1796" t="inlineStr">
        <is>
          <t>Emergency</t>
        </is>
      </c>
      <c r="D1796" t="inlineStr">
        <is>
          <t>Bluestone Memorial Hospital</t>
        </is>
      </c>
      <c r="E1796" t="inlineStr">
        <is>
          <t>Emergency Department</t>
        </is>
      </c>
      <c r="F1796" t="inlineStr">
        <is>
          <t>Emergency</t>
        </is>
      </c>
      <c r="G1796" s="29" t="n">
        <v>45902</v>
      </c>
      <c r="H1796" s="29" t="n">
        <v>45902</v>
      </c>
      <c r="I1796" s="30" t="n"/>
      <c r="J1796" t="inlineStr">
        <is>
          <t>L03.115</t>
        </is>
      </c>
      <c r="K1796" t="inlineStr">
        <is>
          <t>Cellulitis of right lower limb</t>
        </is>
      </c>
      <c r="L1796" t="inlineStr">
        <is>
          <t>Skin</t>
        </is>
      </c>
      <c r="M1796" t="inlineStr">
        <is>
          <t>Home/Self-Care</t>
        </is>
      </c>
      <c r="N1796" t="inlineStr">
        <is>
          <t>Silverline Medicare Advantage</t>
        </is>
      </c>
      <c r="O1796" s="31" t="n">
        <v>5440.62</v>
      </c>
    </row>
    <row r="1797">
      <c r="A1797" t="inlineStr">
        <is>
          <t>ENC118136</t>
        </is>
      </c>
      <c r="B1797" t="inlineStr">
        <is>
          <t>PT11588</t>
        </is>
      </c>
      <c r="C1797" t="inlineStr">
        <is>
          <t>Outpatient</t>
        </is>
      </c>
      <c r="D1797" t="inlineStr">
        <is>
          <t>Bluestone Outpatient Pavilion</t>
        </is>
      </c>
      <c r="E1797" t="inlineStr">
        <is>
          <t>Primary Care Clinic</t>
        </is>
      </c>
      <c r="F1797" t="inlineStr">
        <is>
          <t>Ambulatory</t>
        </is>
      </c>
      <c r="G1797" s="29" t="n">
        <v>45902</v>
      </c>
      <c r="H1797" s="29" t="n">
        <v>45902</v>
      </c>
      <c r="I1797" s="30" t="n"/>
      <c r="J1797" t="inlineStr">
        <is>
          <t>J44.1</t>
        </is>
      </c>
      <c r="K1797" t="inlineStr">
        <is>
          <t>Chronic obstructive pulmonary disease with (acute) exacerbation</t>
        </is>
      </c>
      <c r="L1797" t="inlineStr">
        <is>
          <t>Respiratory</t>
        </is>
      </c>
      <c r="M1797" t="inlineStr">
        <is>
          <t>Home/Self-Care</t>
        </is>
      </c>
      <c r="N1797" t="inlineStr">
        <is>
          <t>Evergreen Mutual Insurance</t>
        </is>
      </c>
      <c r="O1797" s="31" t="n">
        <v>183.7</v>
      </c>
    </row>
    <row r="1798">
      <c r="A1798" t="inlineStr">
        <is>
          <t>ENC118139</t>
        </is>
      </c>
      <c r="B1798" t="inlineStr">
        <is>
          <t>PT11888</t>
        </is>
      </c>
      <c r="C1798" t="inlineStr">
        <is>
          <t>Outpatient</t>
        </is>
      </c>
      <c r="D1798" t="inlineStr">
        <is>
          <t>Bluestone Outpatient Pavilion</t>
        </is>
      </c>
      <c r="E1798" t="inlineStr">
        <is>
          <t>Primary Care Clinic</t>
        </is>
      </c>
      <c r="F1798" t="inlineStr">
        <is>
          <t>Ambulatory</t>
        </is>
      </c>
      <c r="G1798" s="29" t="n">
        <v>45902</v>
      </c>
      <c r="H1798" s="29" t="n">
        <v>45902</v>
      </c>
      <c r="I1798" s="30" t="n"/>
      <c r="J1798" t="inlineStr">
        <is>
          <t>M54.50</t>
        </is>
      </c>
      <c r="K1798" t="inlineStr">
        <is>
          <t>Low back pain, unspecified</t>
        </is>
      </c>
      <c r="L1798" t="inlineStr">
        <is>
          <t>Musculoskeletal</t>
        </is>
      </c>
      <c r="M1798" t="inlineStr">
        <is>
          <t>Home/Self-Care</t>
        </is>
      </c>
      <c r="N1798" t="inlineStr">
        <is>
          <t>Keystone Health Partners</t>
        </is>
      </c>
      <c r="O1798" s="31" t="n">
        <v>158.41</v>
      </c>
    </row>
    <row r="1799">
      <c r="A1799" t="inlineStr">
        <is>
          <t>ENC118146</t>
        </is>
      </c>
      <c r="B1799" t="inlineStr">
        <is>
          <t>PT10628</t>
        </is>
      </c>
      <c r="C1799" t="inlineStr">
        <is>
          <t>Emergency</t>
        </is>
      </c>
      <c r="D1799" t="inlineStr">
        <is>
          <t>Cedar Ridge Medical Center</t>
        </is>
      </c>
      <c r="E1799" t="inlineStr">
        <is>
          <t>Emergency Department</t>
        </is>
      </c>
      <c r="F1799" t="inlineStr">
        <is>
          <t>Emergency</t>
        </is>
      </c>
      <c r="G1799" s="29" t="n">
        <v>45902</v>
      </c>
      <c r="H1799" s="29" t="n">
        <v>45902</v>
      </c>
      <c r="I1799" s="30" t="n"/>
      <c r="J1799" t="inlineStr">
        <is>
          <t>R07.9</t>
        </is>
      </c>
      <c r="K1799" t="inlineStr">
        <is>
          <t>Chest pain, unspecified</t>
        </is>
      </c>
      <c r="L1799" t="inlineStr">
        <is>
          <t>Symptoms &amp; Signs</t>
        </is>
      </c>
      <c r="M1799" t="inlineStr">
        <is>
          <t>Home/Self-Care</t>
        </is>
      </c>
      <c r="N1799" t="inlineStr">
        <is>
          <t>Silverline Medicare Advantage</t>
        </is>
      </c>
      <c r="O1799" s="31" t="n">
        <v>6280.16</v>
      </c>
    </row>
    <row r="1800">
      <c r="A1800" t="inlineStr">
        <is>
          <t>ENC118148</t>
        </is>
      </c>
      <c r="B1800" t="inlineStr">
        <is>
          <t>PT12712</t>
        </is>
      </c>
      <c r="C1800" t="inlineStr">
        <is>
          <t>Inpatient</t>
        </is>
      </c>
      <c r="D1800" t="inlineStr">
        <is>
          <t>Bluestone Memorial Hospital</t>
        </is>
      </c>
      <c r="E1800" t="inlineStr">
        <is>
          <t>Behavioral Health</t>
        </is>
      </c>
      <c r="F1800" t="inlineStr">
        <is>
          <t>Behavioral Health</t>
        </is>
      </c>
      <c r="G1800" s="29" t="n">
        <v>45902</v>
      </c>
      <c r="H1800" s="29" t="n">
        <v>45910</v>
      </c>
      <c r="I1800" s="30" t="n">
        <v>8</v>
      </c>
      <c r="J1800" t="inlineStr">
        <is>
          <t>F20.9</t>
        </is>
      </c>
      <c r="K1800" t="inlineStr">
        <is>
          <t>Schizophrenia, unspecified</t>
        </is>
      </c>
      <c r="L1800" t="inlineStr">
        <is>
          <t>Mental &amp; Behavioral</t>
        </is>
      </c>
      <c r="M1800" t="inlineStr">
        <is>
          <t>Home/Self-Care</t>
        </is>
      </c>
      <c r="N1800" t="inlineStr">
        <is>
          <t>Silverline Medicare Advantage</t>
        </is>
      </c>
      <c r="O1800" s="31" t="n">
        <v>19296.3</v>
      </c>
      <c r="P1800" t="inlineStr">
        <is>
          <t>N</t>
        </is>
      </c>
    </row>
    <row r="1801">
      <c r="A1801" t="inlineStr">
        <is>
          <t>ENC118165</t>
        </is>
      </c>
      <c r="B1801" t="inlineStr">
        <is>
          <t>PT13736</t>
        </is>
      </c>
      <c r="C1801" t="inlineStr">
        <is>
          <t>Emergency</t>
        </is>
      </c>
      <c r="D1801" t="inlineStr">
        <is>
          <t>Bluestone Memorial Hospital</t>
        </is>
      </c>
      <c r="E1801" t="inlineStr">
        <is>
          <t>Emergency Department</t>
        </is>
      </c>
      <c r="F1801" t="inlineStr">
        <is>
          <t>Emergency</t>
        </is>
      </c>
      <c r="G1801" s="29" t="n">
        <v>45903</v>
      </c>
      <c r="H1801" s="29" t="n">
        <v>45903</v>
      </c>
      <c r="I1801" s="30" t="n"/>
      <c r="J1801" t="inlineStr">
        <is>
          <t>S93.401A</t>
        </is>
      </c>
      <c r="K1801" t="inlineStr">
        <is>
          <t>Sprain of unspecified ligament of right ankle, initial encounter</t>
        </is>
      </c>
      <c r="L1801" t="inlineStr">
        <is>
          <t>Injury</t>
        </is>
      </c>
      <c r="M1801" t="inlineStr">
        <is>
          <t>Home/Self-Care</t>
        </is>
      </c>
      <c r="N1801" t="inlineStr">
        <is>
          <t>Evergreen Mutual Insurance</t>
        </is>
      </c>
      <c r="O1801" s="31" t="n">
        <v>1700.67</v>
      </c>
    </row>
    <row r="1802">
      <c r="A1802" t="inlineStr">
        <is>
          <t>ENC118166</t>
        </is>
      </c>
      <c r="B1802" t="inlineStr">
        <is>
          <t>PT13392</t>
        </is>
      </c>
      <c r="C1802" t="inlineStr">
        <is>
          <t>Emergency</t>
        </is>
      </c>
      <c r="D1802" t="inlineStr">
        <is>
          <t>Bluestone Memorial Hospital</t>
        </is>
      </c>
      <c r="E1802" t="inlineStr">
        <is>
          <t>Emergency Department</t>
        </is>
      </c>
      <c r="F1802" t="inlineStr">
        <is>
          <t>Emergency</t>
        </is>
      </c>
      <c r="G1802" s="29" t="n">
        <v>45903</v>
      </c>
      <c r="H1802" s="29" t="n">
        <v>45903</v>
      </c>
      <c r="I1802" s="30" t="n"/>
      <c r="J1802" t="inlineStr">
        <is>
          <t>R07.9</t>
        </is>
      </c>
      <c r="K1802" t="inlineStr">
        <is>
          <t>Chest pain, unspecified</t>
        </is>
      </c>
      <c r="L1802" t="inlineStr">
        <is>
          <t>Symptoms &amp; Signs</t>
        </is>
      </c>
      <c r="M1802" t="inlineStr">
        <is>
          <t>Home/Self-Care</t>
        </is>
      </c>
      <c r="N1802" t="inlineStr">
        <is>
          <t>Silverline Medicare Advantage</t>
        </is>
      </c>
      <c r="O1802" s="31" t="n">
        <v>4324</v>
      </c>
    </row>
    <row r="1803">
      <c r="A1803" t="inlineStr">
        <is>
          <t>ENC118167</t>
        </is>
      </c>
      <c r="B1803" t="inlineStr">
        <is>
          <t>PT11908</t>
        </is>
      </c>
      <c r="C1803" t="inlineStr">
        <is>
          <t>Outpatient</t>
        </is>
      </c>
      <c r="D1803" t="inlineStr">
        <is>
          <t>Bluestone Outpatient Pavilion</t>
        </is>
      </c>
      <c r="E1803" t="inlineStr">
        <is>
          <t>Endocrinology &amp; Diabetes Clinic</t>
        </is>
      </c>
      <c r="F1803" t="inlineStr">
        <is>
          <t>Ambulatory</t>
        </is>
      </c>
      <c r="G1803" s="29" t="n">
        <v>45903</v>
      </c>
      <c r="H1803" s="29" t="n">
        <v>45903</v>
      </c>
      <c r="I1803" s="30" t="n"/>
      <c r="J1803" t="inlineStr">
        <is>
          <t>E11.9</t>
        </is>
      </c>
      <c r="K1803" t="inlineStr">
        <is>
          <t>Type 2 diabetes mellitus without complications</t>
        </is>
      </c>
      <c r="L1803" t="inlineStr">
        <is>
          <t>Endocrine</t>
        </is>
      </c>
      <c r="M1803" t="inlineStr">
        <is>
          <t>Home/Self-Care</t>
        </is>
      </c>
      <c r="N1803" t="inlineStr">
        <is>
          <t>Keystone Health Partners</t>
        </is>
      </c>
      <c r="O1803" s="31" t="n">
        <v>242.67</v>
      </c>
    </row>
    <row r="1804">
      <c r="A1804" t="inlineStr">
        <is>
          <t>ENC118175</t>
        </is>
      </c>
      <c r="B1804" t="inlineStr">
        <is>
          <t>PT10560</t>
        </is>
      </c>
      <c r="C1804" t="inlineStr">
        <is>
          <t>Inpatient</t>
        </is>
      </c>
      <c r="D1804" t="inlineStr">
        <is>
          <t>Bluestone Memorial Hospital</t>
        </is>
      </c>
      <c r="E1804" t="inlineStr">
        <is>
          <t>Medical-Surgical 5 East</t>
        </is>
      </c>
      <c r="F1804" t="inlineStr">
        <is>
          <t>Medicine</t>
        </is>
      </c>
      <c r="G1804" s="29" t="n">
        <v>45903</v>
      </c>
      <c r="H1804" s="29" t="n">
        <v>45906</v>
      </c>
      <c r="I1804" s="30" t="n">
        <v>3</v>
      </c>
      <c r="J1804" t="inlineStr">
        <is>
          <t>L03.115</t>
        </is>
      </c>
      <c r="K1804" t="inlineStr">
        <is>
          <t>Cellulitis of right lower limb</t>
        </is>
      </c>
      <c r="L1804" t="inlineStr">
        <is>
          <t>Skin</t>
        </is>
      </c>
      <c r="M1804" t="inlineStr">
        <is>
          <t>Home/Self-Care</t>
        </is>
      </c>
      <c r="N1804" t="inlineStr">
        <is>
          <t>Evergreen Mutual Insurance</t>
        </is>
      </c>
      <c r="O1804" s="31" t="n">
        <v>21804.89</v>
      </c>
      <c r="P1804" t="inlineStr">
        <is>
          <t>N</t>
        </is>
      </c>
    </row>
    <row r="1805">
      <c r="A1805" t="inlineStr">
        <is>
          <t>ENC118187</t>
        </is>
      </c>
      <c r="B1805" t="inlineStr">
        <is>
          <t>PT11728</t>
        </is>
      </c>
      <c r="C1805" t="inlineStr">
        <is>
          <t>Emergency</t>
        </is>
      </c>
      <c r="D1805" t="inlineStr">
        <is>
          <t>Bluestone Memorial Hospital</t>
        </is>
      </c>
      <c r="E1805" t="inlineStr">
        <is>
          <t>Emergency Department</t>
        </is>
      </c>
      <c r="F1805" t="inlineStr">
        <is>
          <t>Emergency</t>
        </is>
      </c>
      <c r="G1805" s="29" t="n">
        <v>45903</v>
      </c>
      <c r="H1805" s="29" t="n">
        <v>45903</v>
      </c>
      <c r="I1805" s="30" t="n"/>
      <c r="J1805" t="inlineStr">
        <is>
          <t>R55</t>
        </is>
      </c>
      <c r="K1805" t="inlineStr">
        <is>
          <t>Syncope and collapse</t>
        </is>
      </c>
      <c r="L1805" t="inlineStr">
        <is>
          <t>Symptoms &amp; Signs</t>
        </is>
      </c>
      <c r="M1805" t="inlineStr">
        <is>
          <t>Home/Self-Care</t>
        </is>
      </c>
      <c r="N1805" t="inlineStr">
        <is>
          <t>State Medicaid</t>
        </is>
      </c>
      <c r="O1805" s="31" t="n">
        <v>1086.38</v>
      </c>
    </row>
    <row r="1806">
      <c r="A1806" t="inlineStr">
        <is>
          <t>ENC118190</t>
        </is>
      </c>
      <c r="B1806" t="inlineStr">
        <is>
          <t>PT12164</t>
        </is>
      </c>
      <c r="C1806" t="inlineStr">
        <is>
          <t>Emergency</t>
        </is>
      </c>
      <c r="D1806" t="inlineStr">
        <is>
          <t>Bluestone Memorial Hospital</t>
        </is>
      </c>
      <c r="E1806" t="inlineStr">
        <is>
          <t>Emergency Department</t>
        </is>
      </c>
      <c r="F1806" t="inlineStr">
        <is>
          <t>Emergency</t>
        </is>
      </c>
      <c r="G1806" s="29" t="n">
        <v>45904</v>
      </c>
      <c r="H1806" s="29" t="n">
        <v>45904</v>
      </c>
      <c r="I1806" s="30" t="n"/>
      <c r="J1806" t="inlineStr">
        <is>
          <t>N39.0</t>
        </is>
      </c>
      <c r="K1806" t="inlineStr">
        <is>
          <t>Urinary tract infection, site not specified</t>
        </is>
      </c>
      <c r="L1806" t="inlineStr">
        <is>
          <t>Genitourinary</t>
        </is>
      </c>
      <c r="M1806" t="inlineStr">
        <is>
          <t>Home/Self-Care</t>
        </is>
      </c>
      <c r="N1806" t="inlineStr">
        <is>
          <t>Silverline Medicare Advantage</t>
        </is>
      </c>
      <c r="O1806" s="31" t="n">
        <v>1065.91</v>
      </c>
    </row>
    <row r="1807">
      <c r="A1807" t="inlineStr">
        <is>
          <t>ENC118191</t>
        </is>
      </c>
      <c r="B1807" t="inlineStr">
        <is>
          <t>PT13856</t>
        </is>
      </c>
      <c r="C1807" t="inlineStr">
        <is>
          <t>Emergency</t>
        </is>
      </c>
      <c r="D1807" t="inlineStr">
        <is>
          <t>Ashby Falls Community Hospital</t>
        </is>
      </c>
      <c r="E1807" t="inlineStr">
        <is>
          <t>Emergency Department</t>
        </is>
      </c>
      <c r="F1807" t="inlineStr">
        <is>
          <t>Emergency</t>
        </is>
      </c>
      <c r="G1807" s="29" t="n">
        <v>45904</v>
      </c>
      <c r="H1807" s="29" t="n">
        <v>45904</v>
      </c>
      <c r="I1807" s="30" t="n"/>
      <c r="J1807" t="inlineStr">
        <is>
          <t>N39.0</t>
        </is>
      </c>
      <c r="K1807" t="inlineStr">
        <is>
          <t>Urinary tract infection, site not specified</t>
        </is>
      </c>
      <c r="L1807" t="inlineStr">
        <is>
          <t>Genitourinary</t>
        </is>
      </c>
      <c r="M1807" t="inlineStr">
        <is>
          <t>Home/Self-Care</t>
        </is>
      </c>
      <c r="N1807" t="inlineStr">
        <is>
          <t>Keystone Health Partners</t>
        </is>
      </c>
      <c r="O1807" s="31" t="n">
        <v>3295.28</v>
      </c>
    </row>
    <row r="1808">
      <c r="A1808" t="inlineStr">
        <is>
          <t>ENC118196</t>
        </is>
      </c>
      <c r="B1808" t="inlineStr">
        <is>
          <t>PT10284</t>
        </is>
      </c>
      <c r="C1808" t="inlineStr">
        <is>
          <t>Outpatient</t>
        </is>
      </c>
      <c r="D1808" t="inlineStr">
        <is>
          <t>Bluestone Outpatient Pavilion</t>
        </is>
      </c>
      <c r="E1808" t="inlineStr">
        <is>
          <t>Primary Care Clinic</t>
        </is>
      </c>
      <c r="F1808" t="inlineStr">
        <is>
          <t>Ambulatory</t>
        </is>
      </c>
      <c r="G1808" s="29" t="n">
        <v>45904</v>
      </c>
      <c r="H1808" s="29" t="n">
        <v>45904</v>
      </c>
      <c r="I1808" s="30" t="n"/>
      <c r="J1808" t="inlineStr">
        <is>
          <t>E78.5</t>
        </is>
      </c>
      <c r="K1808" t="inlineStr">
        <is>
          <t>Hyperlipidemia, unspecified</t>
        </is>
      </c>
      <c r="L1808" t="inlineStr">
        <is>
          <t>Endocrine</t>
        </is>
      </c>
      <c r="M1808" t="inlineStr">
        <is>
          <t>Home/Self-Care</t>
        </is>
      </c>
      <c r="N1808" t="inlineStr">
        <is>
          <t>State Medicaid</t>
        </is>
      </c>
      <c r="O1808" s="31" t="n">
        <v>162.31</v>
      </c>
    </row>
    <row r="1809">
      <c r="A1809" t="inlineStr">
        <is>
          <t>ENC118199</t>
        </is>
      </c>
      <c r="B1809" t="inlineStr">
        <is>
          <t>PT13276</t>
        </is>
      </c>
      <c r="C1809" t="inlineStr">
        <is>
          <t>Inpatient</t>
        </is>
      </c>
      <c r="D1809" t="inlineStr">
        <is>
          <t>Bluestone Memorial Hospital</t>
        </is>
      </c>
      <c r="E1809" t="inlineStr">
        <is>
          <t>Medical-Surgical 4 West</t>
        </is>
      </c>
      <c r="F1809" t="inlineStr">
        <is>
          <t>Medicine</t>
        </is>
      </c>
      <c r="G1809" s="29" t="n">
        <v>45904</v>
      </c>
      <c r="H1809" s="29" t="n">
        <v>45910</v>
      </c>
      <c r="I1809" s="30" t="n">
        <v>6</v>
      </c>
      <c r="J1809" t="inlineStr">
        <is>
          <t>A41.9</t>
        </is>
      </c>
      <c r="K1809" t="inlineStr">
        <is>
          <t>Sepsis, unspecified organism</t>
        </is>
      </c>
      <c r="L1809" t="inlineStr">
        <is>
          <t>Infectious</t>
        </is>
      </c>
      <c r="M1809" t="inlineStr">
        <is>
          <t>Home/Self-Care</t>
        </is>
      </c>
      <c r="N1809" t="inlineStr">
        <is>
          <t>Keystone Health Partners</t>
        </is>
      </c>
      <c r="O1809" s="31" t="n">
        <v>56592.67</v>
      </c>
      <c r="P1809" t="inlineStr">
        <is>
          <t>N</t>
        </is>
      </c>
    </row>
    <row r="1810">
      <c r="A1810" t="inlineStr">
        <is>
          <t>ENC118203</t>
        </is>
      </c>
      <c r="B1810" t="inlineStr">
        <is>
          <t>PT12424</t>
        </is>
      </c>
      <c r="C1810" t="inlineStr">
        <is>
          <t>Inpatient</t>
        </is>
      </c>
      <c r="D1810" t="inlineStr">
        <is>
          <t>Bluestone Memorial Hospital</t>
        </is>
      </c>
      <c r="E1810" t="inlineStr">
        <is>
          <t>Medical-Surgical 5 East</t>
        </is>
      </c>
      <c r="F1810" t="inlineStr">
        <is>
          <t>Medicine</t>
        </is>
      </c>
      <c r="G1810" s="29" t="n">
        <v>45904</v>
      </c>
      <c r="H1810" s="29" t="n">
        <v>45906</v>
      </c>
      <c r="I1810" s="30" t="n">
        <v>2</v>
      </c>
      <c r="J1810" t="inlineStr">
        <is>
          <t>N39.0</t>
        </is>
      </c>
      <c r="K1810" t="inlineStr">
        <is>
          <t>Urinary tract infection, site not specified</t>
        </is>
      </c>
      <c r="L1810" t="inlineStr">
        <is>
          <t>Genitourinary</t>
        </is>
      </c>
      <c r="M1810" t="inlineStr">
        <is>
          <t>Home/Self-Care</t>
        </is>
      </c>
      <c r="N1810" t="inlineStr">
        <is>
          <t>Self-Pay</t>
        </is>
      </c>
      <c r="O1810" s="31" t="n">
        <v>15102.12</v>
      </c>
      <c r="P1810" t="inlineStr">
        <is>
          <t>N</t>
        </is>
      </c>
    </row>
    <row r="1811">
      <c r="A1811" t="inlineStr">
        <is>
          <t>ENC118213</t>
        </is>
      </c>
      <c r="B1811" t="inlineStr">
        <is>
          <t>PT13360</t>
        </is>
      </c>
      <c r="C1811" t="inlineStr">
        <is>
          <t>Outpatient</t>
        </is>
      </c>
      <c r="D1811" t="inlineStr">
        <is>
          <t>Bluestone Outpatient Pavilion</t>
        </is>
      </c>
      <c r="E1811" t="inlineStr">
        <is>
          <t>Orthopedic Clinic</t>
        </is>
      </c>
      <c r="F1811" t="inlineStr">
        <is>
          <t>Orthopedics</t>
        </is>
      </c>
      <c r="G1811" s="29" t="n">
        <v>45904</v>
      </c>
      <c r="H1811" s="29" t="n">
        <v>45904</v>
      </c>
      <c r="I1811" s="30" t="n"/>
      <c r="J1811" t="inlineStr">
        <is>
          <t>M17.11</t>
        </is>
      </c>
      <c r="K1811" t="inlineStr">
        <is>
          <t>Unilateral primary osteoarthritis, right knee</t>
        </is>
      </c>
      <c r="L1811" t="inlineStr">
        <is>
          <t>Musculoskeletal</t>
        </is>
      </c>
      <c r="M1811" t="inlineStr">
        <is>
          <t>Home/Self-Care</t>
        </is>
      </c>
      <c r="N1811" t="inlineStr">
        <is>
          <t>Keystone Health Partners</t>
        </is>
      </c>
      <c r="O1811" s="31" t="n">
        <v>130.53</v>
      </c>
    </row>
    <row r="1812">
      <c r="A1812" t="inlineStr">
        <is>
          <t>ENC118219</t>
        </is>
      </c>
      <c r="B1812" t="inlineStr">
        <is>
          <t>PT10944</t>
        </is>
      </c>
      <c r="C1812" t="inlineStr">
        <is>
          <t>Emergency</t>
        </is>
      </c>
      <c r="D1812" t="inlineStr">
        <is>
          <t>Ashby Falls Community Hospital</t>
        </is>
      </c>
      <c r="E1812" t="inlineStr">
        <is>
          <t>Emergency Department</t>
        </is>
      </c>
      <c r="F1812" t="inlineStr">
        <is>
          <t>Emergency</t>
        </is>
      </c>
      <c r="G1812" s="29" t="n">
        <v>45904</v>
      </c>
      <c r="H1812" s="29" t="n">
        <v>45905</v>
      </c>
      <c r="I1812" s="30" t="n"/>
      <c r="J1812" t="inlineStr">
        <is>
          <t>U07.1</t>
        </is>
      </c>
      <c r="K1812" t="inlineStr">
        <is>
          <t>COVID-19</t>
        </is>
      </c>
      <c r="L1812" t="inlineStr">
        <is>
          <t>Respiratory</t>
        </is>
      </c>
      <c r="M1812" t="inlineStr">
        <is>
          <t>Home/Self-Care</t>
        </is>
      </c>
      <c r="N1812" t="inlineStr">
        <is>
          <t>State Medicaid</t>
        </is>
      </c>
      <c r="O1812" s="31" t="n">
        <v>1840.8</v>
      </c>
    </row>
    <row r="1813">
      <c r="A1813" t="inlineStr">
        <is>
          <t>ENC118220</t>
        </is>
      </c>
      <c r="B1813" t="inlineStr">
        <is>
          <t>PT10452</t>
        </is>
      </c>
      <c r="C1813" t="inlineStr">
        <is>
          <t>Emergency</t>
        </is>
      </c>
      <c r="D1813" t="inlineStr">
        <is>
          <t>Bluestone Memorial Hospital</t>
        </is>
      </c>
      <c r="E1813" t="inlineStr">
        <is>
          <t>Emergency Department</t>
        </is>
      </c>
      <c r="F1813" t="inlineStr">
        <is>
          <t>Emergency</t>
        </is>
      </c>
      <c r="G1813" s="29" t="n">
        <v>45904</v>
      </c>
      <c r="H1813" s="29" t="n">
        <v>45905</v>
      </c>
      <c r="I1813" s="30" t="n"/>
      <c r="J1813" t="inlineStr">
        <is>
          <t>J44.1</t>
        </is>
      </c>
      <c r="K1813" t="inlineStr">
        <is>
          <t>Chronic obstructive pulmonary disease with (acute) exacerbation</t>
        </is>
      </c>
      <c r="L1813" t="inlineStr">
        <is>
          <t>Respiratory</t>
        </is>
      </c>
      <c r="M1813" t="inlineStr">
        <is>
          <t>Home/Self-Care</t>
        </is>
      </c>
      <c r="N1813" t="inlineStr">
        <is>
          <t>Medicare</t>
        </is>
      </c>
      <c r="O1813" s="31" t="n">
        <v>3092.77</v>
      </c>
    </row>
    <row r="1814">
      <c r="A1814" t="inlineStr">
        <is>
          <t>ENC118225</t>
        </is>
      </c>
      <c r="B1814" t="inlineStr">
        <is>
          <t>PT10864</t>
        </is>
      </c>
      <c r="C1814" t="inlineStr">
        <is>
          <t>Outpatient</t>
        </is>
      </c>
      <c r="D1814" t="inlineStr">
        <is>
          <t>Bluestone Outpatient Pavilion</t>
        </is>
      </c>
      <c r="E1814" t="inlineStr">
        <is>
          <t>Primary Care Clinic</t>
        </is>
      </c>
      <c r="F1814" t="inlineStr">
        <is>
          <t>Ambulatory</t>
        </is>
      </c>
      <c r="G1814" s="29" t="n">
        <v>45905</v>
      </c>
      <c r="H1814" s="29" t="n">
        <v>45905</v>
      </c>
      <c r="I1814" s="30" t="n"/>
      <c r="J1814" t="inlineStr">
        <is>
          <t>G43.909</t>
        </is>
      </c>
      <c r="K1814" t="inlineStr">
        <is>
          <t>Migraine, unspecified, not intractable, without status migrainosus</t>
        </is>
      </c>
      <c r="L1814" t="inlineStr">
        <is>
          <t>Nervous System</t>
        </is>
      </c>
      <c r="M1814" t="inlineStr">
        <is>
          <t>Home/Self-Care</t>
        </is>
      </c>
      <c r="N1814" t="inlineStr">
        <is>
          <t>State Medicaid</t>
        </is>
      </c>
      <c r="O1814" s="31" t="n">
        <v>261.45</v>
      </c>
    </row>
    <row r="1815">
      <c r="A1815" t="inlineStr">
        <is>
          <t>ENC118228</t>
        </is>
      </c>
      <c r="B1815" t="inlineStr">
        <is>
          <t>PT10568</t>
        </is>
      </c>
      <c r="C1815" t="inlineStr">
        <is>
          <t>Outpatient</t>
        </is>
      </c>
      <c r="D1815" t="inlineStr">
        <is>
          <t>Bluestone Outpatient Pavilion</t>
        </is>
      </c>
      <c r="E1815" t="inlineStr">
        <is>
          <t>Primary Care Clinic</t>
        </is>
      </c>
      <c r="F1815" t="inlineStr">
        <is>
          <t>Ambulatory</t>
        </is>
      </c>
      <c r="G1815" s="29" t="n">
        <v>45905</v>
      </c>
      <c r="H1815" s="29" t="n">
        <v>45905</v>
      </c>
      <c r="I1815" s="30" t="n"/>
      <c r="J1815" t="inlineStr">
        <is>
          <t>I10</t>
        </is>
      </c>
      <c r="K1815" t="inlineStr">
        <is>
          <t>Essential (primary) hypertension</t>
        </is>
      </c>
      <c r="L1815" t="inlineStr">
        <is>
          <t>Circulatory</t>
        </is>
      </c>
      <c r="M1815" t="inlineStr">
        <is>
          <t>Home/Self-Care</t>
        </is>
      </c>
      <c r="N1815" t="inlineStr">
        <is>
          <t>Silverline Medicare Advantage</t>
        </is>
      </c>
      <c r="O1815" s="31" t="n">
        <v>397.11</v>
      </c>
    </row>
    <row r="1816">
      <c r="A1816" t="inlineStr">
        <is>
          <t>ENC118229</t>
        </is>
      </c>
      <c r="B1816" t="inlineStr">
        <is>
          <t>PT13344</t>
        </is>
      </c>
      <c r="C1816" t="inlineStr">
        <is>
          <t>Emergency</t>
        </is>
      </c>
      <c r="D1816" t="inlineStr">
        <is>
          <t>Bluestone Memorial Hospital</t>
        </is>
      </c>
      <c r="E1816" t="inlineStr">
        <is>
          <t>Emergency Department</t>
        </is>
      </c>
      <c r="F1816" t="inlineStr">
        <is>
          <t>Emergency</t>
        </is>
      </c>
      <c r="G1816" s="29" t="n">
        <v>45905</v>
      </c>
      <c r="H1816" s="29" t="n">
        <v>45905</v>
      </c>
      <c r="I1816" s="30" t="n"/>
      <c r="J1816" t="inlineStr">
        <is>
          <t>S06.0X0A</t>
        </is>
      </c>
      <c r="K1816" t="inlineStr">
        <is>
          <t>Concussion without loss of consciousness, initial encounter</t>
        </is>
      </c>
      <c r="L1816" t="inlineStr">
        <is>
          <t>Injury</t>
        </is>
      </c>
      <c r="M1816" t="inlineStr">
        <is>
          <t>Home/Self-Care</t>
        </is>
      </c>
      <c r="N1816" t="inlineStr">
        <is>
          <t>Medicare</t>
        </is>
      </c>
      <c r="O1816" s="31" t="n">
        <v>3831.27</v>
      </c>
    </row>
    <row r="1817">
      <c r="A1817" t="inlineStr">
        <is>
          <t>ENC118231</t>
        </is>
      </c>
      <c r="B1817" t="inlineStr">
        <is>
          <t>PT12796</t>
        </is>
      </c>
      <c r="C1817" t="inlineStr">
        <is>
          <t>Outpatient</t>
        </is>
      </c>
      <c r="D1817" t="inlineStr">
        <is>
          <t>Bluestone Outpatient Pavilion</t>
        </is>
      </c>
      <c r="E1817" t="inlineStr">
        <is>
          <t>Primary Care Clinic</t>
        </is>
      </c>
      <c r="F1817" t="inlineStr">
        <is>
          <t>Ambulatory</t>
        </is>
      </c>
      <c r="G1817" s="29" t="n">
        <v>45905</v>
      </c>
      <c r="H1817" s="29" t="n">
        <v>45905</v>
      </c>
      <c r="I1817" s="30" t="n"/>
      <c r="J1817" t="inlineStr">
        <is>
          <t>G43.909</t>
        </is>
      </c>
      <c r="K1817" t="inlineStr">
        <is>
          <t>Migraine, unspecified, not intractable, without status migrainosus</t>
        </is>
      </c>
      <c r="L1817" t="inlineStr">
        <is>
          <t>Nervous System</t>
        </is>
      </c>
      <c r="M1817" t="inlineStr">
        <is>
          <t>Home/Self-Care</t>
        </is>
      </c>
      <c r="N1817" t="inlineStr">
        <is>
          <t>State Medicaid</t>
        </is>
      </c>
      <c r="O1817" s="31" t="n">
        <v>214.11</v>
      </c>
    </row>
    <row r="1818">
      <c r="A1818" t="inlineStr">
        <is>
          <t>ENC118233</t>
        </is>
      </c>
      <c r="B1818" t="inlineStr">
        <is>
          <t>PT13648</t>
        </is>
      </c>
      <c r="C1818" t="inlineStr">
        <is>
          <t>Outpatient</t>
        </is>
      </c>
      <c r="D1818" t="inlineStr">
        <is>
          <t>Bluestone Outpatient Pavilion</t>
        </is>
      </c>
      <c r="E1818" t="inlineStr">
        <is>
          <t>Primary Care Clinic</t>
        </is>
      </c>
      <c r="F1818" t="inlineStr">
        <is>
          <t>Ambulatory</t>
        </is>
      </c>
      <c r="G1818" s="29" t="n">
        <v>45905</v>
      </c>
      <c r="H1818" s="29" t="n">
        <v>45905</v>
      </c>
      <c r="I1818" s="30" t="n"/>
      <c r="J1818" t="inlineStr">
        <is>
          <t>F41.9</t>
        </is>
      </c>
      <c r="K1818" t="inlineStr">
        <is>
          <t>Anxiety disorder, unspecified</t>
        </is>
      </c>
      <c r="L1818" t="inlineStr">
        <is>
          <t>Mental &amp; Behavioral</t>
        </is>
      </c>
      <c r="M1818" t="inlineStr">
        <is>
          <t>Home/Self-Care</t>
        </is>
      </c>
      <c r="N1818" t="inlineStr">
        <is>
          <t>Silverline Medicare Advantage</t>
        </is>
      </c>
      <c r="O1818" s="31" t="n">
        <v>313.92</v>
      </c>
    </row>
    <row r="1819">
      <c r="A1819" t="inlineStr">
        <is>
          <t>ENC118242</t>
        </is>
      </c>
      <c r="B1819" t="inlineStr">
        <is>
          <t>PT12736</t>
        </is>
      </c>
      <c r="C1819" t="inlineStr">
        <is>
          <t>Outpatient</t>
        </is>
      </c>
      <c r="D1819" t="inlineStr">
        <is>
          <t>Bluestone Outpatient Pavilion</t>
        </is>
      </c>
      <c r="E1819" t="inlineStr">
        <is>
          <t>Infusion &amp; Oncology Clinic</t>
        </is>
      </c>
      <c r="F1819" t="inlineStr">
        <is>
          <t>Oncology</t>
        </is>
      </c>
      <c r="G1819" s="29" t="n">
        <v>45905</v>
      </c>
      <c r="H1819" s="29" t="n">
        <v>45905</v>
      </c>
      <c r="I1819" s="30" t="n"/>
      <c r="J1819" t="inlineStr">
        <is>
          <t>Z51.11</t>
        </is>
      </c>
      <c r="K1819" t="inlineStr">
        <is>
          <t>Encounter for antineoplastic chemotherapy</t>
        </is>
      </c>
      <c r="L1819" t="inlineStr">
        <is>
          <t>Factors Influencing Health</t>
        </is>
      </c>
      <c r="M1819" t="inlineStr">
        <is>
          <t>Home/Self-Care</t>
        </is>
      </c>
      <c r="N1819" t="inlineStr">
        <is>
          <t>Keystone Health Partners</t>
        </is>
      </c>
      <c r="O1819" s="31" t="n">
        <v>9316.459999999999</v>
      </c>
    </row>
    <row r="1820">
      <c r="A1820" t="inlineStr">
        <is>
          <t>ENC118246</t>
        </is>
      </c>
      <c r="B1820" t="inlineStr">
        <is>
          <t>PT11916</t>
        </is>
      </c>
      <c r="C1820" t="inlineStr">
        <is>
          <t>Emergency</t>
        </is>
      </c>
      <c r="D1820" t="inlineStr">
        <is>
          <t>Bluestone Memorial Hospital</t>
        </is>
      </c>
      <c r="E1820" t="inlineStr">
        <is>
          <t>Emergency Department</t>
        </is>
      </c>
      <c r="F1820" t="inlineStr">
        <is>
          <t>Emergency</t>
        </is>
      </c>
      <c r="G1820" s="29" t="n">
        <v>45905</v>
      </c>
      <c r="H1820" s="29" t="n">
        <v>45905</v>
      </c>
      <c r="I1820" s="30" t="n"/>
      <c r="J1820" t="inlineStr">
        <is>
          <t>N39.0</t>
        </is>
      </c>
      <c r="K1820" t="inlineStr">
        <is>
          <t>Urinary tract infection, site not specified</t>
        </is>
      </c>
      <c r="L1820" t="inlineStr">
        <is>
          <t>Genitourinary</t>
        </is>
      </c>
      <c r="M1820" t="inlineStr">
        <is>
          <t>Home/Self-Care</t>
        </is>
      </c>
      <c r="N1820" t="inlineStr">
        <is>
          <t>Keystone Health Partners</t>
        </is>
      </c>
      <c r="O1820" s="31" t="n">
        <v>3538.33</v>
      </c>
    </row>
    <row r="1821">
      <c r="A1821" t="inlineStr">
        <is>
          <t>ENC118250</t>
        </is>
      </c>
      <c r="B1821" t="inlineStr">
        <is>
          <t>PT13664</t>
        </is>
      </c>
      <c r="C1821" t="inlineStr">
        <is>
          <t>Emergency</t>
        </is>
      </c>
      <c r="D1821" t="inlineStr">
        <is>
          <t>Bluestone Memorial Hospital</t>
        </is>
      </c>
      <c r="E1821" t="inlineStr">
        <is>
          <t>Emergency Department</t>
        </is>
      </c>
      <c r="F1821" t="inlineStr">
        <is>
          <t>Emergency</t>
        </is>
      </c>
      <c r="G1821" s="29" t="n">
        <v>45905</v>
      </c>
      <c r="H1821" s="29" t="n">
        <v>45905</v>
      </c>
      <c r="I1821" s="30" t="n"/>
      <c r="J1821" t="inlineStr">
        <is>
          <t>F10.239</t>
        </is>
      </c>
      <c r="K1821" t="inlineStr">
        <is>
          <t>Alcohol dependence with withdrawal, unspecified</t>
        </is>
      </c>
      <c r="L1821" t="inlineStr">
        <is>
          <t>Mental &amp; Behavioral</t>
        </is>
      </c>
      <c r="M1821" t="inlineStr">
        <is>
          <t>Home/Self-Care</t>
        </is>
      </c>
      <c r="N1821" t="inlineStr">
        <is>
          <t>Silverline Medicare Advantage</t>
        </is>
      </c>
      <c r="O1821" s="31" t="n">
        <v>4783.75</v>
      </c>
    </row>
    <row r="1822">
      <c r="A1822" t="inlineStr">
        <is>
          <t>ENC118255</t>
        </is>
      </c>
      <c r="B1822" t="inlineStr">
        <is>
          <t>PT11024</t>
        </is>
      </c>
      <c r="C1822" t="inlineStr">
        <is>
          <t>Observation</t>
        </is>
      </c>
      <c r="D1822" t="inlineStr">
        <is>
          <t>Bluestone Memorial Hospital</t>
        </is>
      </c>
      <c r="E1822" t="inlineStr">
        <is>
          <t>Observation Unit</t>
        </is>
      </c>
      <c r="F1822" t="inlineStr">
        <is>
          <t>Medicine</t>
        </is>
      </c>
      <c r="G1822" s="29" t="n">
        <v>45906</v>
      </c>
      <c r="H1822" s="29" t="n">
        <v>45907</v>
      </c>
      <c r="I1822" s="30" t="n">
        <v>1</v>
      </c>
      <c r="J1822" t="inlineStr">
        <is>
          <t>G43.909</t>
        </is>
      </c>
      <c r="K1822" t="inlineStr">
        <is>
          <t>Migraine, unspecified, not intractable, without status migrainosus</t>
        </is>
      </c>
      <c r="L1822" t="inlineStr">
        <is>
          <t>Nervous System</t>
        </is>
      </c>
      <c r="M1822" t="inlineStr">
        <is>
          <t>Home/Self-Care</t>
        </is>
      </c>
      <c r="N1822" t="inlineStr">
        <is>
          <t>Evergreen Mutual Insurance</t>
        </is>
      </c>
      <c r="O1822" s="31" t="n">
        <v>7129.78</v>
      </c>
    </row>
    <row r="1823">
      <c r="A1823" t="inlineStr">
        <is>
          <t>ENC118256</t>
        </is>
      </c>
      <c r="B1823" t="inlineStr">
        <is>
          <t>PT10568</t>
        </is>
      </c>
      <c r="C1823" t="inlineStr">
        <is>
          <t>Emergency</t>
        </is>
      </c>
      <c r="D1823" t="inlineStr">
        <is>
          <t>Ashby Falls Community Hospital</t>
        </is>
      </c>
      <c r="E1823" t="inlineStr">
        <is>
          <t>Emergency Department</t>
        </is>
      </c>
      <c r="F1823" t="inlineStr">
        <is>
          <t>Emergency</t>
        </is>
      </c>
      <c r="G1823" s="29" t="n">
        <v>45906</v>
      </c>
      <c r="H1823" s="29" t="n">
        <v>45906</v>
      </c>
      <c r="I1823" s="30" t="n"/>
      <c r="J1823" t="inlineStr">
        <is>
          <t>R07.9</t>
        </is>
      </c>
      <c r="K1823" t="inlineStr">
        <is>
          <t>Chest pain, unspecified</t>
        </is>
      </c>
      <c r="L1823" t="inlineStr">
        <is>
          <t>Symptoms &amp; Signs</t>
        </is>
      </c>
      <c r="M1823" t="inlineStr">
        <is>
          <t>Home/Self-Care</t>
        </is>
      </c>
      <c r="N1823" t="inlineStr">
        <is>
          <t>Silverline Medicare Advantage</t>
        </is>
      </c>
      <c r="O1823" s="31" t="n">
        <v>1581.53</v>
      </c>
    </row>
    <row r="1824">
      <c r="A1824" t="inlineStr">
        <is>
          <t>ENC118258</t>
        </is>
      </c>
      <c r="B1824" t="inlineStr">
        <is>
          <t>PT12156</t>
        </is>
      </c>
      <c r="C1824" t="inlineStr">
        <is>
          <t>Observation</t>
        </is>
      </c>
      <c r="D1824" t="inlineStr">
        <is>
          <t>Bluestone Memorial Hospital</t>
        </is>
      </c>
      <c r="E1824" t="inlineStr">
        <is>
          <t>Observation Unit</t>
        </is>
      </c>
      <c r="F1824" t="inlineStr">
        <is>
          <t>Medicine</t>
        </is>
      </c>
      <c r="G1824" s="29" t="n">
        <v>45906</v>
      </c>
      <c r="H1824" s="29" t="n">
        <v>45907</v>
      </c>
      <c r="I1824" s="30" t="n">
        <v>1</v>
      </c>
      <c r="J1824" t="inlineStr">
        <is>
          <t>A08.4</t>
        </is>
      </c>
      <c r="K1824" t="inlineStr">
        <is>
          <t>Viral intestinal infection, unspecified</t>
        </is>
      </c>
      <c r="L1824" t="inlineStr">
        <is>
          <t>Infectious</t>
        </is>
      </c>
      <c r="M1824" t="inlineStr">
        <is>
          <t>Home/Self-Care</t>
        </is>
      </c>
      <c r="N1824" t="inlineStr">
        <is>
          <t>State Medicaid</t>
        </is>
      </c>
      <c r="O1824" s="31" t="n">
        <v>5009.23</v>
      </c>
    </row>
    <row r="1825">
      <c r="A1825" t="inlineStr">
        <is>
          <t>ENC118260</t>
        </is>
      </c>
      <c r="B1825" t="inlineStr">
        <is>
          <t>PT12552</t>
        </is>
      </c>
      <c r="C1825" t="inlineStr">
        <is>
          <t>Emergency</t>
        </is>
      </c>
      <c r="D1825" t="inlineStr">
        <is>
          <t>Bluestone Memorial Hospital</t>
        </is>
      </c>
      <c r="E1825" t="inlineStr">
        <is>
          <t>Emergency Department</t>
        </is>
      </c>
      <c r="F1825" t="inlineStr">
        <is>
          <t>Emergency</t>
        </is>
      </c>
      <c r="G1825" s="29" t="n">
        <v>45906</v>
      </c>
      <c r="H1825" s="29" t="n">
        <v>45906</v>
      </c>
      <c r="I1825" s="30" t="n"/>
      <c r="J1825" t="inlineStr">
        <is>
          <t>J06.9</t>
        </is>
      </c>
      <c r="K1825" t="inlineStr">
        <is>
          <t>Acute upper respiratory infection, unspecified</t>
        </is>
      </c>
      <c r="L1825" t="inlineStr">
        <is>
          <t>Respiratory</t>
        </is>
      </c>
      <c r="M1825" t="inlineStr">
        <is>
          <t>Left Without Being Seen</t>
        </is>
      </c>
      <c r="N1825" t="inlineStr">
        <is>
          <t>Summit Choice PPO</t>
        </is>
      </c>
      <c r="O1825" s="31" t="n">
        <v>1625.04</v>
      </c>
    </row>
    <row r="1826">
      <c r="A1826" t="inlineStr">
        <is>
          <t>ENC118262</t>
        </is>
      </c>
      <c r="B1826" t="inlineStr">
        <is>
          <t>PT11520</t>
        </is>
      </c>
      <c r="C1826" t="inlineStr">
        <is>
          <t>Emergency</t>
        </is>
      </c>
      <c r="D1826" t="inlineStr">
        <is>
          <t>Bluestone Memorial Hospital</t>
        </is>
      </c>
      <c r="E1826" t="inlineStr">
        <is>
          <t>Emergency Department</t>
        </is>
      </c>
      <c r="F1826" t="inlineStr">
        <is>
          <t>Emergency</t>
        </is>
      </c>
      <c r="G1826" s="29" t="n">
        <v>45906</v>
      </c>
      <c r="H1826" s="29" t="n">
        <v>45907</v>
      </c>
      <c r="I1826" s="30" t="n"/>
      <c r="J1826" t="inlineStr">
        <is>
          <t>R10.9</t>
        </is>
      </c>
      <c r="K1826" t="inlineStr">
        <is>
          <t>Unspecified abdominal pain</t>
        </is>
      </c>
      <c r="L1826" t="inlineStr">
        <is>
          <t>Symptoms &amp; Signs</t>
        </is>
      </c>
      <c r="M1826" t="inlineStr">
        <is>
          <t>Home/Self-Care</t>
        </is>
      </c>
      <c r="N1826" t="inlineStr">
        <is>
          <t>State Medicaid</t>
        </is>
      </c>
      <c r="O1826" s="31" t="n">
        <v>2964.08</v>
      </c>
    </row>
    <row r="1827">
      <c r="A1827" t="inlineStr">
        <is>
          <t>ENC118263</t>
        </is>
      </c>
      <c r="B1827" t="inlineStr">
        <is>
          <t>PT10192</t>
        </is>
      </c>
      <c r="C1827" t="inlineStr">
        <is>
          <t>Inpatient</t>
        </is>
      </c>
      <c r="D1827" t="inlineStr">
        <is>
          <t>Bluestone Memorial Hospital</t>
        </is>
      </c>
      <c r="E1827" t="inlineStr">
        <is>
          <t>Intensive Care Unit</t>
        </is>
      </c>
      <c r="F1827" t="inlineStr">
        <is>
          <t>Critical Care</t>
        </is>
      </c>
      <c r="G1827" s="29" t="n">
        <v>45907</v>
      </c>
      <c r="H1827" s="29" t="n">
        <v>45911</v>
      </c>
      <c r="I1827" s="30" t="n">
        <v>4</v>
      </c>
      <c r="J1827" t="inlineStr">
        <is>
          <t>J96.01</t>
        </is>
      </c>
      <c r="K1827" t="inlineStr">
        <is>
          <t>Acute respiratory failure with hypoxia</t>
        </is>
      </c>
      <c r="L1827" t="inlineStr">
        <is>
          <t>Respiratory</t>
        </is>
      </c>
      <c r="M1827" t="inlineStr">
        <is>
          <t>Home/Self-Care</t>
        </is>
      </c>
      <c r="N1827" t="inlineStr">
        <is>
          <t>Summit Choice PPO</t>
        </is>
      </c>
      <c r="O1827" s="31" t="n">
        <v>58394.99</v>
      </c>
      <c r="P1827" t="inlineStr">
        <is>
          <t>N</t>
        </is>
      </c>
    </row>
    <row r="1828">
      <c r="A1828" t="inlineStr">
        <is>
          <t>ENC118264</t>
        </is>
      </c>
      <c r="B1828" t="inlineStr">
        <is>
          <t>PT13264</t>
        </is>
      </c>
      <c r="C1828" t="inlineStr">
        <is>
          <t>Emergency</t>
        </is>
      </c>
      <c r="D1828" t="inlineStr">
        <is>
          <t>Bluestone Memorial Hospital</t>
        </is>
      </c>
      <c r="E1828" t="inlineStr">
        <is>
          <t>Emergency Department</t>
        </is>
      </c>
      <c r="F1828" t="inlineStr">
        <is>
          <t>Emergency</t>
        </is>
      </c>
      <c r="G1828" s="29" t="n">
        <v>45906</v>
      </c>
      <c r="H1828" s="29" t="n">
        <v>45907</v>
      </c>
      <c r="I1828" s="30" t="n"/>
      <c r="J1828" t="inlineStr">
        <is>
          <t>F20.9</t>
        </is>
      </c>
      <c r="K1828" t="inlineStr">
        <is>
          <t>Schizophrenia, unspecified</t>
        </is>
      </c>
      <c r="L1828" t="inlineStr">
        <is>
          <t>Mental &amp; Behavioral</t>
        </is>
      </c>
      <c r="M1828" t="inlineStr">
        <is>
          <t>Home/Self-Care</t>
        </is>
      </c>
      <c r="N1828" t="inlineStr">
        <is>
          <t>Keystone Health Partners</t>
        </is>
      </c>
      <c r="O1828" s="31" t="n">
        <v>8431.67</v>
      </c>
    </row>
    <row r="1829">
      <c r="A1829" t="inlineStr">
        <is>
          <t>ENC118265</t>
        </is>
      </c>
      <c r="B1829" t="inlineStr">
        <is>
          <t>PT10328</t>
        </is>
      </c>
      <c r="C1829" t="inlineStr">
        <is>
          <t>Observation</t>
        </is>
      </c>
      <c r="D1829" t="inlineStr">
        <is>
          <t>Bluestone Memorial Hospital</t>
        </is>
      </c>
      <c r="E1829" t="inlineStr">
        <is>
          <t>Observation Unit</t>
        </is>
      </c>
      <c r="F1829" t="inlineStr">
        <is>
          <t>Medicine</t>
        </is>
      </c>
      <c r="G1829" s="29" t="n">
        <v>45907</v>
      </c>
      <c r="H1829" s="29" t="n">
        <v>45908</v>
      </c>
      <c r="I1829" s="30" t="n">
        <v>1</v>
      </c>
      <c r="J1829" t="inlineStr">
        <is>
          <t>R55</t>
        </is>
      </c>
      <c r="K1829" t="inlineStr">
        <is>
          <t>Syncope and collapse</t>
        </is>
      </c>
      <c r="L1829" t="inlineStr">
        <is>
          <t>Symptoms &amp; Signs</t>
        </is>
      </c>
      <c r="M1829" t="inlineStr">
        <is>
          <t>Home/Self-Care</t>
        </is>
      </c>
      <c r="N1829" t="inlineStr">
        <is>
          <t>Keystone Health Partners</t>
        </is>
      </c>
      <c r="O1829" s="31" t="n">
        <v>5635.81</v>
      </c>
    </row>
    <row r="1830">
      <c r="A1830" t="inlineStr">
        <is>
          <t>ENC118270</t>
        </is>
      </c>
      <c r="B1830" t="inlineStr">
        <is>
          <t>PT12040</t>
        </is>
      </c>
      <c r="C1830" t="inlineStr">
        <is>
          <t>Observation</t>
        </is>
      </c>
      <c r="D1830" t="inlineStr">
        <is>
          <t>Bluestone Memorial Hospital</t>
        </is>
      </c>
      <c r="E1830" t="inlineStr">
        <is>
          <t>Observation Unit</t>
        </is>
      </c>
      <c r="F1830" t="inlineStr">
        <is>
          <t>Medicine</t>
        </is>
      </c>
      <c r="G1830" s="29" t="n">
        <v>45907</v>
      </c>
      <c r="H1830" s="29" t="n">
        <v>45909</v>
      </c>
      <c r="I1830" s="30" t="n">
        <v>2</v>
      </c>
      <c r="J1830" t="inlineStr">
        <is>
          <t>N39.0</t>
        </is>
      </c>
      <c r="K1830" t="inlineStr">
        <is>
          <t>Urinary tract infection, site not specified</t>
        </is>
      </c>
      <c r="L1830" t="inlineStr">
        <is>
          <t>Genitourinary</t>
        </is>
      </c>
      <c r="M1830" t="inlineStr">
        <is>
          <t>Home/Self-Care</t>
        </is>
      </c>
      <c r="N1830" t="inlineStr">
        <is>
          <t>Medicare</t>
        </is>
      </c>
      <c r="O1830" s="31" t="n">
        <v>12076.14</v>
      </c>
    </row>
    <row r="1831">
      <c r="A1831" t="inlineStr">
        <is>
          <t>ENC118278</t>
        </is>
      </c>
      <c r="B1831" t="inlineStr">
        <is>
          <t>PT12872</t>
        </is>
      </c>
      <c r="C1831" t="inlineStr">
        <is>
          <t>Emergency</t>
        </is>
      </c>
      <c r="D1831" t="inlineStr">
        <is>
          <t>Cedar Ridge Medical Center</t>
        </is>
      </c>
      <c r="E1831" t="inlineStr">
        <is>
          <t>Emergency Department</t>
        </is>
      </c>
      <c r="F1831" t="inlineStr">
        <is>
          <t>Emergency</t>
        </is>
      </c>
      <c r="G1831" s="29" t="n">
        <v>45907</v>
      </c>
      <c r="H1831" s="29" t="n">
        <v>45907</v>
      </c>
      <c r="I1831" s="30" t="n"/>
      <c r="J1831" t="inlineStr">
        <is>
          <t>M54.50</t>
        </is>
      </c>
      <c r="K1831" t="inlineStr">
        <is>
          <t>Low back pain, unspecified</t>
        </is>
      </c>
      <c r="L1831" t="inlineStr">
        <is>
          <t>Musculoskeletal</t>
        </is>
      </c>
      <c r="M1831" t="inlineStr">
        <is>
          <t>Home/Self-Care</t>
        </is>
      </c>
      <c r="N1831" t="inlineStr">
        <is>
          <t>State Medicaid</t>
        </is>
      </c>
      <c r="O1831" s="31" t="n">
        <v>2839.71</v>
      </c>
    </row>
    <row r="1832">
      <c r="A1832" t="inlineStr">
        <is>
          <t>ENC118288</t>
        </is>
      </c>
      <c r="B1832" t="inlineStr">
        <is>
          <t>PT10132</t>
        </is>
      </c>
      <c r="C1832" t="inlineStr">
        <is>
          <t>Inpatient</t>
        </is>
      </c>
      <c r="D1832" t="inlineStr">
        <is>
          <t>Bluestone Memorial Hospital</t>
        </is>
      </c>
      <c r="E1832" t="inlineStr">
        <is>
          <t>Cardiac Step-Down</t>
        </is>
      </c>
      <c r="F1832" t="inlineStr">
        <is>
          <t>Cardiovascular</t>
        </is>
      </c>
      <c r="G1832" s="29" t="n">
        <v>45908</v>
      </c>
      <c r="H1832" s="29" t="n">
        <v>45910</v>
      </c>
      <c r="I1832" s="30" t="n">
        <v>2</v>
      </c>
      <c r="J1832" t="inlineStr">
        <is>
          <t>I50.9</t>
        </is>
      </c>
      <c r="K1832" t="inlineStr">
        <is>
          <t>Heart failure, unspecified</t>
        </is>
      </c>
      <c r="L1832" t="inlineStr">
        <is>
          <t>Circulatory</t>
        </is>
      </c>
      <c r="M1832" t="inlineStr">
        <is>
          <t>Home/Self-Care</t>
        </is>
      </c>
      <c r="N1832" t="inlineStr">
        <is>
          <t>Medicare</t>
        </is>
      </c>
      <c r="O1832" s="31" t="n">
        <v>12569.23</v>
      </c>
      <c r="P1832" t="inlineStr">
        <is>
          <t>N</t>
        </is>
      </c>
    </row>
    <row r="1833">
      <c r="A1833" t="inlineStr">
        <is>
          <t>ENC118289</t>
        </is>
      </c>
      <c r="B1833" t="inlineStr">
        <is>
          <t>PT12632</t>
        </is>
      </c>
      <c r="C1833" t="inlineStr">
        <is>
          <t>Outpatient</t>
        </is>
      </c>
      <c r="D1833" t="inlineStr">
        <is>
          <t>Bluestone Outpatient Pavilion</t>
        </is>
      </c>
      <c r="E1833" t="inlineStr">
        <is>
          <t>Pediatric Clinic</t>
        </is>
      </c>
      <c r="F1833" t="inlineStr">
        <is>
          <t>Women &amp; Children</t>
        </is>
      </c>
      <c r="G1833" s="29" t="n">
        <v>45908</v>
      </c>
      <c r="H1833" s="29" t="n">
        <v>45908</v>
      </c>
      <c r="I1833" s="30" t="n"/>
      <c r="J1833" t="inlineStr">
        <is>
          <t>G40.909</t>
        </is>
      </c>
      <c r="K1833" t="inlineStr">
        <is>
          <t>Epilepsy, unspecified, not intractable, without status epilepticus</t>
        </is>
      </c>
      <c r="L1833" t="inlineStr">
        <is>
          <t>Nervous System</t>
        </is>
      </c>
      <c r="M1833" t="inlineStr">
        <is>
          <t>Home/Self-Care</t>
        </is>
      </c>
      <c r="N1833" t="inlineStr">
        <is>
          <t>Evergreen Mutual Insurance</t>
        </is>
      </c>
      <c r="O1833" s="31" t="n">
        <v>196.88</v>
      </c>
    </row>
    <row r="1834">
      <c r="A1834" t="inlineStr">
        <is>
          <t>ENC118291</t>
        </is>
      </c>
      <c r="B1834" t="inlineStr">
        <is>
          <t>PT11292</t>
        </is>
      </c>
      <c r="C1834" t="inlineStr">
        <is>
          <t>Outpatient</t>
        </is>
      </c>
      <c r="D1834" t="inlineStr">
        <is>
          <t>Bluestone Outpatient Pavilion</t>
        </is>
      </c>
      <c r="E1834" t="inlineStr">
        <is>
          <t>Endocrinology &amp; Diabetes Clinic</t>
        </is>
      </c>
      <c r="F1834" t="inlineStr">
        <is>
          <t>Ambulatory</t>
        </is>
      </c>
      <c r="G1834" s="29" t="n">
        <v>45908</v>
      </c>
      <c r="H1834" s="29" t="n">
        <v>45908</v>
      </c>
      <c r="I1834" s="30" t="n"/>
      <c r="J1834" t="inlineStr">
        <is>
          <t>E11.9</t>
        </is>
      </c>
      <c r="K1834" t="inlineStr">
        <is>
          <t>Type 2 diabetes mellitus without complications</t>
        </is>
      </c>
      <c r="L1834" t="inlineStr">
        <is>
          <t>Endocrine</t>
        </is>
      </c>
      <c r="M1834" t="inlineStr">
        <is>
          <t>Home/Self-Care</t>
        </is>
      </c>
      <c r="N1834" t="inlineStr">
        <is>
          <t>Medicare</t>
        </is>
      </c>
      <c r="O1834" s="31" t="n">
        <v>367.55</v>
      </c>
    </row>
    <row r="1835">
      <c r="A1835" t="inlineStr">
        <is>
          <t>ENC118294</t>
        </is>
      </c>
      <c r="B1835" t="inlineStr">
        <is>
          <t>PT11124</t>
        </is>
      </c>
      <c r="C1835" t="inlineStr">
        <is>
          <t>Outpatient</t>
        </is>
      </c>
      <c r="D1835" t="inlineStr">
        <is>
          <t>Bluestone Outpatient Pavilion</t>
        </is>
      </c>
      <c r="E1835" t="inlineStr">
        <is>
          <t>Primary Care Clinic</t>
        </is>
      </c>
      <c r="F1835" t="inlineStr">
        <is>
          <t>Ambulatory</t>
        </is>
      </c>
      <c r="G1835" s="29" t="n">
        <v>45908</v>
      </c>
      <c r="H1835" s="29" t="n">
        <v>45908</v>
      </c>
      <c r="I1835" s="30" t="n"/>
      <c r="J1835" t="inlineStr">
        <is>
          <t>Z23</t>
        </is>
      </c>
      <c r="K1835" t="inlineStr">
        <is>
          <t>Encounter for immunization</t>
        </is>
      </c>
      <c r="L1835" t="inlineStr">
        <is>
          <t>Factors Influencing Health</t>
        </is>
      </c>
      <c r="M1835" t="inlineStr">
        <is>
          <t>Home/Self-Care</t>
        </is>
      </c>
      <c r="N1835" t="inlineStr">
        <is>
          <t>Evergreen Mutual Insurance</t>
        </is>
      </c>
      <c r="O1835" s="31" t="n">
        <v>137.33</v>
      </c>
    </row>
    <row r="1836">
      <c r="A1836" t="inlineStr">
        <is>
          <t>ENC118297</t>
        </is>
      </c>
      <c r="B1836" t="inlineStr">
        <is>
          <t>PT10224</t>
        </is>
      </c>
      <c r="C1836" t="inlineStr">
        <is>
          <t>Inpatient</t>
        </is>
      </c>
      <c r="D1836" t="inlineStr">
        <is>
          <t>Bluestone Memorial Hospital</t>
        </is>
      </c>
      <c r="E1836" t="inlineStr">
        <is>
          <t>Labor &amp; Delivery</t>
        </is>
      </c>
      <c r="F1836" t="inlineStr">
        <is>
          <t>Women &amp; Children</t>
        </is>
      </c>
      <c r="G1836" s="29" t="n">
        <v>45908</v>
      </c>
      <c r="H1836" s="29" t="n">
        <v>45910</v>
      </c>
      <c r="I1836" s="30" t="n">
        <v>2</v>
      </c>
      <c r="J1836" t="inlineStr">
        <is>
          <t>O82</t>
        </is>
      </c>
      <c r="K1836" t="inlineStr">
        <is>
          <t>Encounter for cesarean delivery without indication</t>
        </is>
      </c>
      <c r="L1836" t="inlineStr">
        <is>
          <t>Pregnancy</t>
        </is>
      </c>
      <c r="M1836" t="inlineStr">
        <is>
          <t>Home/Self-Care</t>
        </is>
      </c>
      <c r="N1836" t="inlineStr">
        <is>
          <t>Keystone Health Partners</t>
        </is>
      </c>
      <c r="O1836" s="31" t="n">
        <v>22116.75</v>
      </c>
      <c r="P1836" t="inlineStr">
        <is>
          <t>N</t>
        </is>
      </c>
    </row>
    <row r="1837">
      <c r="A1837" t="inlineStr">
        <is>
          <t>ENC118298</t>
        </is>
      </c>
      <c r="B1837" t="inlineStr">
        <is>
          <t>PT13996</t>
        </is>
      </c>
      <c r="C1837" t="inlineStr">
        <is>
          <t>Outpatient</t>
        </is>
      </c>
      <c r="D1837" t="inlineStr">
        <is>
          <t>Bluestone Outpatient Pavilion</t>
        </is>
      </c>
      <c r="E1837" t="inlineStr">
        <is>
          <t>Primary Care Clinic</t>
        </is>
      </c>
      <c r="F1837" t="inlineStr">
        <is>
          <t>Ambulatory</t>
        </is>
      </c>
      <c r="G1837" s="29" t="n">
        <v>45908</v>
      </c>
      <c r="H1837" s="29" t="n">
        <v>45908</v>
      </c>
      <c r="I1837" s="30" t="n"/>
      <c r="J1837" t="inlineStr">
        <is>
          <t>Z00.00</t>
        </is>
      </c>
      <c r="K1837" t="inlineStr">
        <is>
          <t>Encounter for general adult medical examination without abnormal findings</t>
        </is>
      </c>
      <c r="L1837" t="inlineStr">
        <is>
          <t>Factors Influencing Health</t>
        </is>
      </c>
      <c r="M1837" t="inlineStr">
        <is>
          <t>Home/Self-Care</t>
        </is>
      </c>
      <c r="N1837" t="inlineStr">
        <is>
          <t>Medicare</t>
        </is>
      </c>
      <c r="O1837" s="31" t="n">
        <v>457.13</v>
      </c>
    </row>
    <row r="1838">
      <c r="A1838" t="inlineStr">
        <is>
          <t>ENC118300</t>
        </is>
      </c>
      <c r="B1838" t="inlineStr">
        <is>
          <t>PT13300</t>
        </is>
      </c>
      <c r="C1838" t="inlineStr">
        <is>
          <t>Outpatient</t>
        </is>
      </c>
      <c r="D1838" t="inlineStr">
        <is>
          <t>Bluestone Outpatient Pavilion</t>
        </is>
      </c>
      <c r="E1838" t="inlineStr">
        <is>
          <t>Primary Care Clinic</t>
        </is>
      </c>
      <c r="F1838" t="inlineStr">
        <is>
          <t>Ambulatory</t>
        </is>
      </c>
      <c r="G1838" s="29" t="n">
        <v>45908</v>
      </c>
      <c r="H1838" s="29" t="n">
        <v>45908</v>
      </c>
      <c r="I1838" s="30" t="n"/>
      <c r="J1838" t="inlineStr">
        <is>
          <t>E78.5</t>
        </is>
      </c>
      <c r="K1838" t="inlineStr">
        <is>
          <t>Hyperlipidemia, unspecified</t>
        </is>
      </c>
      <c r="L1838" t="inlineStr">
        <is>
          <t>Endocrine</t>
        </is>
      </c>
      <c r="M1838" t="inlineStr">
        <is>
          <t>Home/Self-Care</t>
        </is>
      </c>
      <c r="N1838" t="inlineStr">
        <is>
          <t>Evergreen Mutual Insurance</t>
        </is>
      </c>
      <c r="O1838" s="31" t="n">
        <v>300.75</v>
      </c>
    </row>
    <row r="1839">
      <c r="A1839" t="inlineStr">
        <is>
          <t>ENC118306</t>
        </is>
      </c>
      <c r="B1839" t="inlineStr">
        <is>
          <t>PT11128</t>
        </is>
      </c>
      <c r="C1839" t="inlineStr">
        <is>
          <t>Emergency</t>
        </is>
      </c>
      <c r="D1839" t="inlineStr">
        <is>
          <t>Bluestone Memorial Hospital</t>
        </is>
      </c>
      <c r="E1839" t="inlineStr">
        <is>
          <t>Emergency Department</t>
        </is>
      </c>
      <c r="F1839" t="inlineStr">
        <is>
          <t>Emergency</t>
        </is>
      </c>
      <c r="G1839" s="29" t="n">
        <v>45908</v>
      </c>
      <c r="H1839" s="29" t="n">
        <v>45908</v>
      </c>
      <c r="I1839" s="30" t="n"/>
      <c r="J1839" t="inlineStr">
        <is>
          <t>F32.9</t>
        </is>
      </c>
      <c r="K1839" t="inlineStr">
        <is>
          <t>Major depressive disorder, single episode, unspecified</t>
        </is>
      </c>
      <c r="L1839" t="inlineStr">
        <is>
          <t>Mental &amp; Behavioral</t>
        </is>
      </c>
      <c r="M1839" t="inlineStr">
        <is>
          <t>Home/Self-Care</t>
        </is>
      </c>
      <c r="N1839" t="inlineStr">
        <is>
          <t>Keystone Health Partners</t>
        </is>
      </c>
      <c r="O1839" s="31" t="n">
        <v>3276.02</v>
      </c>
    </row>
    <row r="1840">
      <c r="A1840" t="inlineStr">
        <is>
          <t>ENC118308</t>
        </is>
      </c>
      <c r="B1840" t="inlineStr">
        <is>
          <t>PT12200</t>
        </is>
      </c>
      <c r="C1840" t="inlineStr">
        <is>
          <t>Emergency</t>
        </is>
      </c>
      <c r="D1840" t="inlineStr">
        <is>
          <t>Bluestone Memorial Hospital</t>
        </is>
      </c>
      <c r="E1840" t="inlineStr">
        <is>
          <t>Emergency Department</t>
        </is>
      </c>
      <c r="F1840" t="inlineStr">
        <is>
          <t>Emergency</t>
        </is>
      </c>
      <c r="G1840" s="29" t="n">
        <v>45908</v>
      </c>
      <c r="H1840" s="29" t="n">
        <v>45908</v>
      </c>
      <c r="I1840" s="30" t="n"/>
      <c r="J1840" t="inlineStr">
        <is>
          <t>J06.9</t>
        </is>
      </c>
      <c r="K1840" t="inlineStr">
        <is>
          <t>Acute upper respiratory infection, unspecified</t>
        </is>
      </c>
      <c r="L1840" t="inlineStr">
        <is>
          <t>Respiratory</t>
        </is>
      </c>
      <c r="M1840" t="inlineStr">
        <is>
          <t>Home/Self-Care</t>
        </is>
      </c>
      <c r="N1840" t="inlineStr">
        <is>
          <t>State Medicaid</t>
        </is>
      </c>
      <c r="O1840" s="31" t="n">
        <v>838.15</v>
      </c>
    </row>
    <row r="1841">
      <c r="A1841" t="inlineStr">
        <is>
          <t>ENC118310</t>
        </is>
      </c>
      <c r="B1841" t="inlineStr">
        <is>
          <t>PT11424</t>
        </is>
      </c>
      <c r="C1841" t="inlineStr">
        <is>
          <t>Emergency</t>
        </is>
      </c>
      <c r="D1841" t="inlineStr">
        <is>
          <t>Bluestone Memorial Hospital</t>
        </is>
      </c>
      <c r="E1841" t="inlineStr">
        <is>
          <t>Emergency Department</t>
        </is>
      </c>
      <c r="F1841" t="inlineStr">
        <is>
          <t>Emergency</t>
        </is>
      </c>
      <c r="G1841" s="29" t="n">
        <v>45908</v>
      </c>
      <c r="H1841" s="29" t="n">
        <v>45908</v>
      </c>
      <c r="I1841" s="30" t="n"/>
      <c r="J1841" t="inlineStr">
        <is>
          <t>S93.401A</t>
        </is>
      </c>
      <c r="K1841" t="inlineStr">
        <is>
          <t>Sprain of unspecified ligament of right ankle, initial encounter</t>
        </is>
      </c>
      <c r="L1841" t="inlineStr">
        <is>
          <t>Injury</t>
        </is>
      </c>
      <c r="M1841" t="inlineStr">
        <is>
          <t>Home/Self-Care</t>
        </is>
      </c>
      <c r="N1841" t="inlineStr">
        <is>
          <t>Silverline Medicare Advantage</t>
        </is>
      </c>
      <c r="O1841" s="31" t="n">
        <v>883.23</v>
      </c>
    </row>
    <row r="1842">
      <c r="A1842" t="inlineStr">
        <is>
          <t>ENC118311</t>
        </is>
      </c>
      <c r="B1842" t="inlineStr">
        <is>
          <t>PT11676</t>
        </is>
      </c>
      <c r="C1842" t="inlineStr">
        <is>
          <t>Emergency</t>
        </is>
      </c>
      <c r="D1842" t="inlineStr">
        <is>
          <t>Bluestone Memorial Hospital</t>
        </is>
      </c>
      <c r="E1842" t="inlineStr">
        <is>
          <t>Emergency Department</t>
        </is>
      </c>
      <c r="F1842" t="inlineStr">
        <is>
          <t>Emergency</t>
        </is>
      </c>
      <c r="G1842" s="29" t="n">
        <v>45908</v>
      </c>
      <c r="H1842" s="29" t="n">
        <v>45909</v>
      </c>
      <c r="I1842" s="30" t="n"/>
      <c r="J1842" t="inlineStr">
        <is>
          <t>F41.9</t>
        </is>
      </c>
      <c r="K1842" t="inlineStr">
        <is>
          <t>Anxiety disorder, unspecified</t>
        </is>
      </c>
      <c r="L1842" t="inlineStr">
        <is>
          <t>Mental &amp; Behavioral</t>
        </is>
      </c>
      <c r="M1842" t="inlineStr">
        <is>
          <t>Home/Self-Care</t>
        </is>
      </c>
      <c r="N1842" t="inlineStr">
        <is>
          <t>State Medicaid</t>
        </is>
      </c>
      <c r="O1842" s="31" t="n">
        <v>1069.76</v>
      </c>
    </row>
    <row r="1843">
      <c r="A1843" t="inlineStr">
        <is>
          <t>ENC118312</t>
        </is>
      </c>
      <c r="B1843" t="inlineStr">
        <is>
          <t>PT13172</t>
        </is>
      </c>
      <c r="C1843" t="inlineStr">
        <is>
          <t>Inpatient</t>
        </is>
      </c>
      <c r="D1843" t="inlineStr">
        <is>
          <t>Bluestone Memorial Hospital</t>
        </is>
      </c>
      <c r="E1843" t="inlineStr">
        <is>
          <t>Medical-Surgical 5 East</t>
        </is>
      </c>
      <c r="F1843" t="inlineStr">
        <is>
          <t>Medicine</t>
        </is>
      </c>
      <c r="G1843" s="29" t="n">
        <v>45909</v>
      </c>
      <c r="H1843" s="29" t="n">
        <v>45910</v>
      </c>
      <c r="I1843" s="30" t="n">
        <v>1</v>
      </c>
      <c r="J1843" t="inlineStr">
        <is>
          <t>J18.9</t>
        </is>
      </c>
      <c r="K1843" t="inlineStr">
        <is>
          <t>Pneumonia, unspecified organism</t>
        </is>
      </c>
      <c r="L1843" t="inlineStr">
        <is>
          <t>Respiratory</t>
        </is>
      </c>
      <c r="M1843" t="inlineStr">
        <is>
          <t>Skilled Nursing Facility</t>
        </is>
      </c>
      <c r="N1843" t="inlineStr">
        <is>
          <t>Self-Pay</t>
        </is>
      </c>
      <c r="O1843" s="31" t="n">
        <v>8347.030000000001</v>
      </c>
      <c r="P1843" t="inlineStr">
        <is>
          <t>N</t>
        </is>
      </c>
    </row>
    <row r="1844">
      <c r="A1844" t="inlineStr">
        <is>
          <t>ENC118313</t>
        </is>
      </c>
      <c r="B1844" t="inlineStr">
        <is>
          <t>PT11084</t>
        </is>
      </c>
      <c r="C1844" t="inlineStr">
        <is>
          <t>Emergency</t>
        </is>
      </c>
      <c r="D1844" t="inlineStr">
        <is>
          <t>Bluestone Memorial Hospital</t>
        </is>
      </c>
      <c r="E1844" t="inlineStr">
        <is>
          <t>Emergency Department</t>
        </is>
      </c>
      <c r="F1844" t="inlineStr">
        <is>
          <t>Emergency</t>
        </is>
      </c>
      <c r="G1844" s="29" t="n">
        <v>45908</v>
      </c>
      <c r="H1844" s="29" t="n">
        <v>45909</v>
      </c>
      <c r="I1844" s="30" t="n"/>
      <c r="J1844" t="inlineStr">
        <is>
          <t>J06.9</t>
        </is>
      </c>
      <c r="K1844" t="inlineStr">
        <is>
          <t>Acute upper respiratory infection, unspecified</t>
        </is>
      </c>
      <c r="L1844" t="inlineStr">
        <is>
          <t>Respiratory</t>
        </is>
      </c>
      <c r="M1844" t="inlineStr">
        <is>
          <t>Home/Self-Care</t>
        </is>
      </c>
      <c r="N1844" t="inlineStr">
        <is>
          <t>Silverline Medicare Advantage</t>
        </is>
      </c>
      <c r="O1844" s="31" t="n">
        <v>1617.6</v>
      </c>
    </row>
    <row r="1845">
      <c r="A1845" t="inlineStr">
        <is>
          <t>ENC118323</t>
        </is>
      </c>
      <c r="B1845" t="inlineStr">
        <is>
          <t>PT10932</t>
        </is>
      </c>
      <c r="C1845" t="inlineStr">
        <is>
          <t>Emergency</t>
        </is>
      </c>
      <c r="D1845" t="inlineStr">
        <is>
          <t>Bluestone Memorial Hospital</t>
        </is>
      </c>
      <c r="E1845" t="inlineStr">
        <is>
          <t>Emergency Department</t>
        </is>
      </c>
      <c r="F1845" t="inlineStr">
        <is>
          <t>Emergency</t>
        </is>
      </c>
      <c r="G1845" s="29" t="n">
        <v>45909</v>
      </c>
      <c r="H1845" s="29" t="n">
        <v>45909</v>
      </c>
      <c r="I1845" s="30" t="n"/>
      <c r="J1845" t="inlineStr">
        <is>
          <t>J18.9</t>
        </is>
      </c>
      <c r="K1845" t="inlineStr">
        <is>
          <t>Pneumonia, unspecified organism</t>
        </is>
      </c>
      <c r="L1845" t="inlineStr">
        <is>
          <t>Respiratory</t>
        </is>
      </c>
      <c r="M1845" t="inlineStr">
        <is>
          <t>Home/Self-Care</t>
        </is>
      </c>
      <c r="N1845" t="inlineStr">
        <is>
          <t>Evergreen Mutual Insurance</t>
        </is>
      </c>
      <c r="O1845" s="31" t="n">
        <v>1400.54</v>
      </c>
    </row>
    <row r="1846">
      <c r="A1846" t="inlineStr">
        <is>
          <t>ENC118326</t>
        </is>
      </c>
      <c r="B1846" t="inlineStr">
        <is>
          <t>PT11500</t>
        </is>
      </c>
      <c r="C1846" t="inlineStr">
        <is>
          <t>Emergency</t>
        </is>
      </c>
      <c r="D1846" t="inlineStr">
        <is>
          <t>Bluestone Memorial Hospital</t>
        </is>
      </c>
      <c r="E1846" t="inlineStr">
        <is>
          <t>Emergency Department</t>
        </is>
      </c>
      <c r="F1846" t="inlineStr">
        <is>
          <t>Emergency</t>
        </is>
      </c>
      <c r="G1846" s="29" t="n">
        <v>45909</v>
      </c>
      <c r="H1846" s="29" t="n">
        <v>45909</v>
      </c>
      <c r="I1846" s="30" t="n"/>
      <c r="J1846" t="inlineStr">
        <is>
          <t>S06.0X0A</t>
        </is>
      </c>
      <c r="K1846" t="inlineStr">
        <is>
          <t>Concussion without loss of consciousness, initial encounter</t>
        </is>
      </c>
      <c r="L1846" t="inlineStr">
        <is>
          <t>Injury</t>
        </is>
      </c>
      <c r="M1846" t="inlineStr">
        <is>
          <t>Home/Self-Care</t>
        </is>
      </c>
      <c r="N1846" t="inlineStr">
        <is>
          <t>Medicare</t>
        </is>
      </c>
      <c r="O1846" s="31" t="n">
        <v>2924.4</v>
      </c>
    </row>
    <row r="1847">
      <c r="A1847" t="inlineStr">
        <is>
          <t>ENC118329</t>
        </is>
      </c>
      <c r="B1847" t="inlineStr">
        <is>
          <t>PT11336</t>
        </is>
      </c>
      <c r="C1847" t="inlineStr">
        <is>
          <t>Inpatient</t>
        </is>
      </c>
      <c r="D1847" t="inlineStr">
        <is>
          <t>Ashby Falls Community Hospital</t>
        </is>
      </c>
      <c r="E1847" t="inlineStr">
        <is>
          <t>Medical-Surgical</t>
        </is>
      </c>
      <c r="F1847" t="inlineStr">
        <is>
          <t>Medicine</t>
        </is>
      </c>
      <c r="G1847" s="29" t="n">
        <v>45909</v>
      </c>
      <c r="H1847" s="29" t="n">
        <v>45916</v>
      </c>
      <c r="I1847" s="30" t="n">
        <v>7</v>
      </c>
      <c r="J1847" t="inlineStr">
        <is>
          <t>I50.9</t>
        </is>
      </c>
      <c r="K1847" t="inlineStr">
        <is>
          <t>Heart failure, unspecified</t>
        </is>
      </c>
      <c r="L1847" t="inlineStr">
        <is>
          <t>Circulatory</t>
        </is>
      </c>
      <c r="M1847" t="inlineStr">
        <is>
          <t>Transfer to Another Hospital</t>
        </is>
      </c>
      <c r="N1847" t="inlineStr">
        <is>
          <t>Summit Choice PPO</t>
        </is>
      </c>
      <c r="O1847" s="31" t="n">
        <v>52733.59</v>
      </c>
      <c r="P1847" t="inlineStr">
        <is>
          <t>N</t>
        </is>
      </c>
    </row>
    <row r="1848">
      <c r="A1848" t="inlineStr">
        <is>
          <t>ENC118330</t>
        </is>
      </c>
      <c r="B1848" t="inlineStr">
        <is>
          <t>PT10644</t>
        </is>
      </c>
      <c r="C1848" t="inlineStr">
        <is>
          <t>Outpatient</t>
        </is>
      </c>
      <c r="D1848" t="inlineStr">
        <is>
          <t>Bluestone Outpatient Pavilion</t>
        </is>
      </c>
      <c r="E1848" t="inlineStr">
        <is>
          <t>Primary Care Clinic</t>
        </is>
      </c>
      <c r="F1848" t="inlineStr">
        <is>
          <t>Ambulatory</t>
        </is>
      </c>
      <c r="G1848" s="29" t="n">
        <v>45909</v>
      </c>
      <c r="H1848" s="29" t="n">
        <v>45909</v>
      </c>
      <c r="I1848" s="30" t="n"/>
      <c r="J1848" t="inlineStr">
        <is>
          <t>Z00.00</t>
        </is>
      </c>
      <c r="K1848" t="inlineStr">
        <is>
          <t>Encounter for general adult medical examination without abnormal findings</t>
        </is>
      </c>
      <c r="L1848" t="inlineStr">
        <is>
          <t>Factors Influencing Health</t>
        </is>
      </c>
      <c r="M1848" t="inlineStr">
        <is>
          <t>Home/Self-Care</t>
        </is>
      </c>
      <c r="N1848" t="inlineStr">
        <is>
          <t>Medicare</t>
        </is>
      </c>
      <c r="O1848" s="31" t="n">
        <v>298.18</v>
      </c>
    </row>
    <row r="1849">
      <c r="A1849" t="inlineStr">
        <is>
          <t>ENC118335</t>
        </is>
      </c>
      <c r="B1849" t="inlineStr">
        <is>
          <t>PT11576</t>
        </is>
      </c>
      <c r="C1849" t="inlineStr">
        <is>
          <t>Outpatient</t>
        </is>
      </c>
      <c r="D1849" t="inlineStr">
        <is>
          <t>Bluestone Outpatient Pavilion</t>
        </is>
      </c>
      <c r="E1849" t="inlineStr">
        <is>
          <t>Primary Care Clinic</t>
        </is>
      </c>
      <c r="F1849" t="inlineStr">
        <is>
          <t>Ambulatory</t>
        </is>
      </c>
      <c r="G1849" s="29" t="n">
        <v>45909</v>
      </c>
      <c r="H1849" s="29" t="n">
        <v>45909</v>
      </c>
      <c r="I1849" s="30" t="n"/>
      <c r="J1849" t="inlineStr">
        <is>
          <t>M54.50</t>
        </is>
      </c>
      <c r="K1849" t="inlineStr">
        <is>
          <t>Low back pain, unspecified</t>
        </is>
      </c>
      <c r="L1849" t="inlineStr">
        <is>
          <t>Musculoskeletal</t>
        </is>
      </c>
      <c r="M1849" t="inlineStr">
        <is>
          <t>Home/Self-Care</t>
        </is>
      </c>
      <c r="N1849" t="inlineStr">
        <is>
          <t>State Medicaid</t>
        </is>
      </c>
      <c r="O1849" s="31" t="n">
        <v>440.86</v>
      </c>
    </row>
    <row r="1850">
      <c r="A1850" t="inlineStr">
        <is>
          <t>ENC118337</t>
        </is>
      </c>
      <c r="B1850" t="inlineStr">
        <is>
          <t>PT11996</t>
        </is>
      </c>
      <c r="C1850" t="inlineStr">
        <is>
          <t>Outpatient</t>
        </is>
      </c>
      <c r="D1850" t="inlineStr">
        <is>
          <t>Bluestone Outpatient Pavilion</t>
        </is>
      </c>
      <c r="E1850" t="inlineStr">
        <is>
          <t>Cardiology Clinic</t>
        </is>
      </c>
      <c r="F1850" t="inlineStr">
        <is>
          <t>Cardiovascular</t>
        </is>
      </c>
      <c r="G1850" s="29" t="n">
        <v>45909</v>
      </c>
      <c r="H1850" s="29" t="n">
        <v>45909</v>
      </c>
      <c r="I1850" s="30" t="n"/>
      <c r="J1850" t="inlineStr">
        <is>
          <t>I48.91</t>
        </is>
      </c>
      <c r="K1850" t="inlineStr">
        <is>
          <t>Unspecified atrial fibrillation</t>
        </is>
      </c>
      <c r="L1850" t="inlineStr">
        <is>
          <t>Circulatory</t>
        </is>
      </c>
      <c r="M1850" t="inlineStr">
        <is>
          <t>Home/Self-Care</t>
        </is>
      </c>
      <c r="N1850" t="inlineStr">
        <is>
          <t>Self-Pay</t>
        </is>
      </c>
      <c r="O1850" s="31" t="n">
        <v>331.7</v>
      </c>
    </row>
    <row r="1851">
      <c r="A1851" t="inlineStr">
        <is>
          <t>ENC118340</t>
        </is>
      </c>
      <c r="B1851" t="inlineStr">
        <is>
          <t>PT11816</t>
        </is>
      </c>
      <c r="C1851" t="inlineStr">
        <is>
          <t>Inpatient</t>
        </is>
      </c>
      <c r="D1851" t="inlineStr">
        <is>
          <t>Bluestone Memorial Hospital</t>
        </is>
      </c>
      <c r="E1851" t="inlineStr">
        <is>
          <t>Intensive Care Unit</t>
        </is>
      </c>
      <c r="F1851" t="inlineStr">
        <is>
          <t>Critical Care</t>
        </is>
      </c>
      <c r="G1851" s="29" t="n">
        <v>45909</v>
      </c>
      <c r="H1851" s="29" t="n">
        <v>45914</v>
      </c>
      <c r="I1851" s="30" t="n">
        <v>5</v>
      </c>
      <c r="J1851" t="inlineStr">
        <is>
          <t>A41.9</t>
        </is>
      </c>
      <c r="K1851" t="inlineStr">
        <is>
          <t>Sepsis, unspecified organism</t>
        </is>
      </c>
      <c r="L1851" t="inlineStr">
        <is>
          <t>Infectious</t>
        </is>
      </c>
      <c r="M1851" t="inlineStr">
        <is>
          <t>Home/Self-Care</t>
        </is>
      </c>
      <c r="N1851" t="inlineStr">
        <is>
          <t>Medicare</t>
        </is>
      </c>
      <c r="O1851" s="31" t="n">
        <v>34362.41</v>
      </c>
      <c r="P1851" t="inlineStr">
        <is>
          <t>N</t>
        </is>
      </c>
    </row>
    <row r="1852">
      <c r="A1852" t="inlineStr">
        <is>
          <t>ENC118342</t>
        </is>
      </c>
      <c r="B1852" t="inlineStr">
        <is>
          <t>PT13928</t>
        </is>
      </c>
      <c r="C1852" t="inlineStr">
        <is>
          <t>Inpatient</t>
        </is>
      </c>
      <c r="D1852" t="inlineStr">
        <is>
          <t>Ashby Falls Community Hospital</t>
        </is>
      </c>
      <c r="E1852" t="inlineStr">
        <is>
          <t>Medical-Surgical</t>
        </is>
      </c>
      <c r="F1852" t="inlineStr">
        <is>
          <t>Medicine</t>
        </is>
      </c>
      <c r="G1852" s="29" t="n">
        <v>45909</v>
      </c>
      <c r="H1852" s="29" t="n">
        <v>45915</v>
      </c>
      <c r="I1852" s="30" t="n">
        <v>6</v>
      </c>
      <c r="J1852" t="inlineStr">
        <is>
          <t>J44.1</t>
        </is>
      </c>
      <c r="K1852" t="inlineStr">
        <is>
          <t>Chronic obstructive pulmonary disease with (acute) exacerbation</t>
        </is>
      </c>
      <c r="L1852" t="inlineStr">
        <is>
          <t>Respiratory</t>
        </is>
      </c>
      <c r="M1852" t="inlineStr">
        <is>
          <t>Home/Self-Care</t>
        </is>
      </c>
      <c r="N1852" t="inlineStr">
        <is>
          <t>Medicare</t>
        </is>
      </c>
      <c r="O1852" s="31" t="n">
        <v>24138.8</v>
      </c>
      <c r="P1852" t="inlineStr">
        <is>
          <t>N</t>
        </is>
      </c>
    </row>
    <row r="1853">
      <c r="A1853" t="inlineStr">
        <is>
          <t>ENC118343</t>
        </is>
      </c>
      <c r="B1853" t="inlineStr">
        <is>
          <t>PT12280</t>
        </is>
      </c>
      <c r="C1853" t="inlineStr">
        <is>
          <t>Emergency</t>
        </is>
      </c>
      <c r="D1853" t="inlineStr">
        <is>
          <t>Bluestone Memorial Hospital</t>
        </is>
      </c>
      <c r="E1853" t="inlineStr">
        <is>
          <t>Emergency Department</t>
        </is>
      </c>
      <c r="F1853" t="inlineStr">
        <is>
          <t>Emergency</t>
        </is>
      </c>
      <c r="G1853" s="29" t="n">
        <v>45909</v>
      </c>
      <c r="H1853" s="29" t="n">
        <v>45910</v>
      </c>
      <c r="I1853" s="30" t="n"/>
      <c r="J1853" t="inlineStr">
        <is>
          <t>J06.9</t>
        </is>
      </c>
      <c r="K1853" t="inlineStr">
        <is>
          <t>Acute upper respiratory infection, unspecified</t>
        </is>
      </c>
      <c r="L1853" t="inlineStr">
        <is>
          <t>Respiratory</t>
        </is>
      </c>
      <c r="M1853" t="inlineStr">
        <is>
          <t>Home/Self-Care</t>
        </is>
      </c>
      <c r="N1853" t="inlineStr">
        <is>
          <t>Self-Pay</t>
        </is>
      </c>
      <c r="O1853" s="31" t="n">
        <v>640.1799999999999</v>
      </c>
    </row>
    <row r="1854">
      <c r="A1854" t="inlineStr">
        <is>
          <t>ENC118345</t>
        </is>
      </c>
      <c r="B1854" t="inlineStr">
        <is>
          <t>PT13768</t>
        </is>
      </c>
      <c r="C1854" t="inlineStr">
        <is>
          <t>Emergency</t>
        </is>
      </c>
      <c r="D1854" t="inlineStr">
        <is>
          <t>Cedar Ridge Medical Center</t>
        </is>
      </c>
      <c r="E1854" t="inlineStr">
        <is>
          <t>Emergency Department</t>
        </is>
      </c>
      <c r="F1854" t="inlineStr">
        <is>
          <t>Emergency</t>
        </is>
      </c>
      <c r="G1854" s="29" t="n">
        <v>45909</v>
      </c>
      <c r="H1854" s="29" t="n">
        <v>45910</v>
      </c>
      <c r="I1854" s="30" t="n"/>
      <c r="J1854" t="inlineStr">
        <is>
          <t>J44.1</t>
        </is>
      </c>
      <c r="K1854" t="inlineStr">
        <is>
          <t>Chronic obstructive pulmonary disease with (acute) exacerbation</t>
        </is>
      </c>
      <c r="L1854" t="inlineStr">
        <is>
          <t>Respiratory</t>
        </is>
      </c>
      <c r="M1854" t="inlineStr">
        <is>
          <t>Home/Self-Care</t>
        </is>
      </c>
      <c r="N1854" t="inlineStr">
        <is>
          <t>State Medicaid</t>
        </is>
      </c>
      <c r="O1854" s="31" t="n">
        <v>1415.09</v>
      </c>
    </row>
    <row r="1855">
      <c r="A1855" t="inlineStr">
        <is>
          <t>ENC118348</t>
        </is>
      </c>
      <c r="B1855" t="inlineStr">
        <is>
          <t>PT13144</t>
        </is>
      </c>
      <c r="C1855" t="inlineStr">
        <is>
          <t>Inpatient</t>
        </is>
      </c>
      <c r="D1855" t="inlineStr">
        <is>
          <t>Cedar Ridge Medical Center</t>
        </is>
      </c>
      <c r="E1855" t="inlineStr">
        <is>
          <t>Medical-Surgical</t>
        </is>
      </c>
      <c r="F1855" t="inlineStr">
        <is>
          <t>Medicine</t>
        </is>
      </c>
      <c r="G1855" s="29" t="n">
        <v>45910</v>
      </c>
      <c r="H1855" s="29" t="n">
        <v>45915</v>
      </c>
      <c r="I1855" s="30" t="n">
        <v>5</v>
      </c>
      <c r="J1855" t="inlineStr">
        <is>
          <t>J18.9</t>
        </is>
      </c>
      <c r="K1855" t="inlineStr">
        <is>
          <t>Pneumonia, unspecified organism</t>
        </is>
      </c>
      <c r="L1855" t="inlineStr">
        <is>
          <t>Respiratory</t>
        </is>
      </c>
      <c r="M1855" t="inlineStr">
        <is>
          <t>Home Health</t>
        </is>
      </c>
      <c r="N1855" t="inlineStr">
        <is>
          <t>State Medicaid</t>
        </is>
      </c>
      <c r="O1855" s="31" t="n">
        <v>21080.47</v>
      </c>
      <c r="P1855" t="inlineStr">
        <is>
          <t>N</t>
        </is>
      </c>
    </row>
    <row r="1856">
      <c r="A1856" t="inlineStr">
        <is>
          <t>ENC118351</t>
        </is>
      </c>
      <c r="B1856" t="inlineStr">
        <is>
          <t>PT11576</t>
        </is>
      </c>
      <c r="C1856" t="inlineStr">
        <is>
          <t>Outpatient</t>
        </is>
      </c>
      <c r="D1856" t="inlineStr">
        <is>
          <t>Bluestone Outpatient Pavilion</t>
        </is>
      </c>
      <c r="E1856" t="inlineStr">
        <is>
          <t>Primary Care Clinic</t>
        </is>
      </c>
      <c r="F1856" t="inlineStr">
        <is>
          <t>Ambulatory</t>
        </is>
      </c>
      <c r="G1856" s="29" t="n">
        <v>45910</v>
      </c>
      <c r="H1856" s="29" t="n">
        <v>45910</v>
      </c>
      <c r="I1856" s="30" t="n"/>
      <c r="J1856" t="inlineStr">
        <is>
          <t>G43.909</t>
        </is>
      </c>
      <c r="K1856" t="inlineStr">
        <is>
          <t>Migraine, unspecified, not intractable, without status migrainosus</t>
        </is>
      </c>
      <c r="L1856" t="inlineStr">
        <is>
          <t>Nervous System</t>
        </is>
      </c>
      <c r="M1856" t="inlineStr">
        <is>
          <t>Home/Self-Care</t>
        </is>
      </c>
      <c r="N1856" t="inlineStr">
        <is>
          <t>State Medicaid</t>
        </is>
      </c>
      <c r="O1856" s="31" t="n">
        <v>273.99</v>
      </c>
    </row>
    <row r="1857">
      <c r="A1857" t="inlineStr">
        <is>
          <t>ENC118353</t>
        </is>
      </c>
      <c r="B1857" t="inlineStr">
        <is>
          <t>PT12252</t>
        </is>
      </c>
      <c r="C1857" t="inlineStr">
        <is>
          <t>Emergency</t>
        </is>
      </c>
      <c r="D1857" t="inlineStr">
        <is>
          <t>Ashby Falls Community Hospital</t>
        </is>
      </c>
      <c r="E1857" t="inlineStr">
        <is>
          <t>Emergency Department</t>
        </is>
      </c>
      <c r="F1857" t="inlineStr">
        <is>
          <t>Emergency</t>
        </is>
      </c>
      <c r="G1857" s="29" t="n">
        <v>45910</v>
      </c>
      <c r="H1857" s="29" t="n">
        <v>45910</v>
      </c>
      <c r="I1857" s="30" t="n"/>
      <c r="J1857" t="inlineStr">
        <is>
          <t>S93.401A</t>
        </is>
      </c>
      <c r="K1857" t="inlineStr">
        <is>
          <t>Sprain of unspecified ligament of right ankle, initial encounter</t>
        </is>
      </c>
      <c r="L1857" t="inlineStr">
        <is>
          <t>Injury</t>
        </is>
      </c>
      <c r="M1857" t="inlineStr">
        <is>
          <t>Home/Self-Care</t>
        </is>
      </c>
      <c r="N1857" t="inlineStr">
        <is>
          <t>State Medicaid</t>
        </is>
      </c>
      <c r="O1857" s="31" t="n">
        <v>538.78</v>
      </c>
    </row>
    <row r="1858">
      <c r="A1858" t="inlineStr">
        <is>
          <t>ENC118355</t>
        </is>
      </c>
      <c r="B1858" t="inlineStr">
        <is>
          <t>PT10316</t>
        </is>
      </c>
      <c r="C1858" t="inlineStr">
        <is>
          <t>Emergency</t>
        </is>
      </c>
      <c r="D1858" t="inlineStr">
        <is>
          <t>Ashby Falls Community Hospital</t>
        </is>
      </c>
      <c r="E1858" t="inlineStr">
        <is>
          <t>Emergency Department</t>
        </is>
      </c>
      <c r="F1858" t="inlineStr">
        <is>
          <t>Emergency</t>
        </is>
      </c>
      <c r="G1858" s="29" t="n">
        <v>45910</v>
      </c>
      <c r="H1858" s="29" t="n">
        <v>45910</v>
      </c>
      <c r="I1858" s="30" t="n"/>
      <c r="J1858" t="inlineStr">
        <is>
          <t>A08.4</t>
        </is>
      </c>
      <c r="K1858" t="inlineStr">
        <is>
          <t>Viral intestinal infection, unspecified</t>
        </is>
      </c>
      <c r="L1858" t="inlineStr">
        <is>
          <t>Infectious</t>
        </is>
      </c>
      <c r="M1858" t="inlineStr">
        <is>
          <t>Home/Self-Care</t>
        </is>
      </c>
      <c r="N1858" t="inlineStr">
        <is>
          <t>Silverline Medicare Advantage</t>
        </is>
      </c>
      <c r="O1858" s="31" t="n">
        <v>660.36</v>
      </c>
    </row>
    <row r="1859">
      <c r="A1859" t="inlineStr">
        <is>
          <t>ENC118357</t>
        </is>
      </c>
      <c r="B1859" t="inlineStr">
        <is>
          <t>PT10496</t>
        </is>
      </c>
      <c r="C1859" t="inlineStr">
        <is>
          <t>Outpatient</t>
        </is>
      </c>
      <c r="D1859" t="inlineStr">
        <is>
          <t>Bluestone Outpatient Pavilion</t>
        </is>
      </c>
      <c r="E1859" t="inlineStr">
        <is>
          <t>Infusion &amp; Oncology Clinic</t>
        </is>
      </c>
      <c r="F1859" t="inlineStr">
        <is>
          <t>Oncology</t>
        </is>
      </c>
      <c r="G1859" s="29" t="n">
        <v>45910</v>
      </c>
      <c r="H1859" s="29" t="n">
        <v>45910</v>
      </c>
      <c r="I1859" s="30" t="n"/>
      <c r="J1859" t="inlineStr">
        <is>
          <t>Z51.11</t>
        </is>
      </c>
      <c r="K1859" t="inlineStr">
        <is>
          <t>Encounter for antineoplastic chemotherapy</t>
        </is>
      </c>
      <c r="L1859" t="inlineStr">
        <is>
          <t>Factors Influencing Health</t>
        </is>
      </c>
      <c r="M1859" t="inlineStr">
        <is>
          <t>Home/Self-Care</t>
        </is>
      </c>
      <c r="N1859" t="inlineStr">
        <is>
          <t>Silverline Medicare Advantage</t>
        </is>
      </c>
      <c r="O1859" s="31" t="n">
        <v>9441.190000000001</v>
      </c>
    </row>
    <row r="1860">
      <c r="A1860" t="inlineStr">
        <is>
          <t>ENC118362</t>
        </is>
      </c>
      <c r="B1860" t="inlineStr">
        <is>
          <t>PT10248</t>
        </is>
      </c>
      <c r="C1860" t="inlineStr">
        <is>
          <t>Outpatient</t>
        </is>
      </c>
      <c r="D1860" t="inlineStr">
        <is>
          <t>Bluestone Outpatient Pavilion</t>
        </is>
      </c>
      <c r="E1860" t="inlineStr">
        <is>
          <t>Pediatric Clinic</t>
        </is>
      </c>
      <c r="F1860" t="inlineStr">
        <is>
          <t>Women &amp; Children</t>
        </is>
      </c>
      <c r="G1860" s="29" t="n">
        <v>45910</v>
      </c>
      <c r="H1860" s="29" t="n">
        <v>45910</v>
      </c>
      <c r="I1860" s="30" t="n"/>
      <c r="J1860" t="inlineStr">
        <is>
          <t>Z00.129</t>
        </is>
      </c>
      <c r="K1860" t="inlineStr">
        <is>
          <t>Encounter for routine child health examination without abnormal findings</t>
        </is>
      </c>
      <c r="L1860" t="inlineStr">
        <is>
          <t>Factors Influencing Health</t>
        </is>
      </c>
      <c r="M1860" t="inlineStr">
        <is>
          <t>Home/Self-Care</t>
        </is>
      </c>
      <c r="N1860" t="inlineStr">
        <is>
          <t>Keystone Health Partners</t>
        </is>
      </c>
      <c r="O1860" s="31" t="n">
        <v>332.76</v>
      </c>
    </row>
    <row r="1861">
      <c r="A1861" t="inlineStr">
        <is>
          <t>ENC118366</t>
        </is>
      </c>
      <c r="B1861" t="inlineStr">
        <is>
          <t>PT13444</t>
        </is>
      </c>
      <c r="C1861" t="inlineStr">
        <is>
          <t>Outpatient</t>
        </is>
      </c>
      <c r="D1861" t="inlineStr">
        <is>
          <t>Bluestone Outpatient Pavilion</t>
        </is>
      </c>
      <c r="E1861" t="inlineStr">
        <is>
          <t>Primary Care Clinic</t>
        </is>
      </c>
      <c r="F1861" t="inlineStr">
        <is>
          <t>Ambulatory</t>
        </is>
      </c>
      <c r="G1861" s="29" t="n">
        <v>45910</v>
      </c>
      <c r="H1861" s="29" t="n">
        <v>45910</v>
      </c>
      <c r="I1861" s="30" t="n"/>
      <c r="J1861" t="inlineStr">
        <is>
          <t>I10</t>
        </is>
      </c>
      <c r="K1861" t="inlineStr">
        <is>
          <t>Essential (primary) hypertension</t>
        </is>
      </c>
      <c r="L1861" t="inlineStr">
        <is>
          <t>Circulatory</t>
        </is>
      </c>
      <c r="M1861" t="inlineStr">
        <is>
          <t>Home/Self-Care</t>
        </is>
      </c>
      <c r="N1861" t="inlineStr">
        <is>
          <t>Evergreen Mutual Insurance</t>
        </is>
      </c>
      <c r="O1861" s="31" t="n">
        <v>568.77</v>
      </c>
    </row>
    <row r="1862">
      <c r="A1862" t="inlineStr">
        <is>
          <t>ENC118371</t>
        </is>
      </c>
      <c r="B1862" t="inlineStr">
        <is>
          <t>PT12384</t>
        </is>
      </c>
      <c r="C1862" t="inlineStr">
        <is>
          <t>Emergency</t>
        </is>
      </c>
      <c r="D1862" t="inlineStr">
        <is>
          <t>Bluestone Memorial Hospital</t>
        </is>
      </c>
      <c r="E1862" t="inlineStr">
        <is>
          <t>Emergency Department</t>
        </is>
      </c>
      <c r="F1862" t="inlineStr">
        <is>
          <t>Emergency</t>
        </is>
      </c>
      <c r="G1862" s="29" t="n">
        <v>45910</v>
      </c>
      <c r="H1862" s="29" t="n">
        <v>45910</v>
      </c>
      <c r="I1862" s="30" t="n"/>
      <c r="J1862" t="inlineStr">
        <is>
          <t>J44.1</t>
        </is>
      </c>
      <c r="K1862" t="inlineStr">
        <is>
          <t>Chronic obstructive pulmonary disease with (acute) exacerbation</t>
        </is>
      </c>
      <c r="L1862" t="inlineStr">
        <is>
          <t>Respiratory</t>
        </is>
      </c>
      <c r="M1862" t="inlineStr">
        <is>
          <t>Home/Self-Care</t>
        </is>
      </c>
      <c r="N1862" t="inlineStr">
        <is>
          <t>Keystone Health Partners</t>
        </is>
      </c>
      <c r="O1862" s="31" t="n">
        <v>3393.67</v>
      </c>
    </row>
    <row r="1863">
      <c r="A1863" t="inlineStr">
        <is>
          <t>ENC118374</t>
        </is>
      </c>
      <c r="B1863" t="inlineStr">
        <is>
          <t>PT11752</t>
        </is>
      </c>
      <c r="C1863" t="inlineStr">
        <is>
          <t>Inpatient</t>
        </is>
      </c>
      <c r="D1863" t="inlineStr">
        <is>
          <t>Cedar Ridge Medical Center</t>
        </is>
      </c>
      <c r="E1863" t="inlineStr">
        <is>
          <t>Medical-Surgical</t>
        </is>
      </c>
      <c r="F1863" t="inlineStr">
        <is>
          <t>Medicine</t>
        </is>
      </c>
      <c r="G1863" s="29" t="n">
        <v>45911</v>
      </c>
      <c r="H1863" s="29" t="n">
        <v>45912</v>
      </c>
      <c r="I1863" s="30" t="n">
        <v>1</v>
      </c>
      <c r="J1863" t="inlineStr">
        <is>
          <t>E11.65</t>
        </is>
      </c>
      <c r="K1863" t="inlineStr">
        <is>
          <t>Type 2 diabetes mellitus with hyperglycemia</t>
        </is>
      </c>
      <c r="L1863" t="inlineStr">
        <is>
          <t>Endocrine</t>
        </is>
      </c>
      <c r="M1863" t="inlineStr">
        <is>
          <t>Home Health</t>
        </is>
      </c>
      <c r="N1863" t="inlineStr">
        <is>
          <t>State Medicaid</t>
        </is>
      </c>
      <c r="O1863" s="31" t="n">
        <v>14704.04</v>
      </c>
      <c r="P1863" t="inlineStr">
        <is>
          <t>N</t>
        </is>
      </c>
    </row>
    <row r="1864">
      <c r="A1864" t="inlineStr">
        <is>
          <t>ENC118378</t>
        </is>
      </c>
      <c r="B1864" t="inlineStr">
        <is>
          <t>PT10848</t>
        </is>
      </c>
      <c r="C1864" t="inlineStr">
        <is>
          <t>Inpatient</t>
        </is>
      </c>
      <c r="D1864" t="inlineStr">
        <is>
          <t>Bluestone Memorial Hospital</t>
        </is>
      </c>
      <c r="E1864" t="inlineStr">
        <is>
          <t>Intensive Care Unit</t>
        </is>
      </c>
      <c r="F1864" t="inlineStr">
        <is>
          <t>Critical Care</t>
        </is>
      </c>
      <c r="G1864" s="29" t="n">
        <v>45911</v>
      </c>
      <c r="H1864" s="29" t="n">
        <v>45916</v>
      </c>
      <c r="I1864" s="30" t="n">
        <v>5</v>
      </c>
      <c r="J1864" t="inlineStr">
        <is>
          <t>A41.9</t>
        </is>
      </c>
      <c r="K1864" t="inlineStr">
        <is>
          <t>Sepsis, unspecified organism</t>
        </is>
      </c>
      <c r="L1864" t="inlineStr">
        <is>
          <t>Infectious</t>
        </is>
      </c>
      <c r="M1864" t="inlineStr">
        <is>
          <t>Home/Self-Care</t>
        </is>
      </c>
      <c r="N1864" t="inlineStr">
        <is>
          <t>Keystone Health Partners</t>
        </is>
      </c>
      <c r="O1864" s="31" t="n">
        <v>40514.22</v>
      </c>
      <c r="P1864" t="inlineStr">
        <is>
          <t>N</t>
        </is>
      </c>
    </row>
    <row r="1865">
      <c r="A1865" t="inlineStr">
        <is>
          <t>ENC118380</t>
        </is>
      </c>
      <c r="B1865" t="inlineStr">
        <is>
          <t>PT12624</t>
        </is>
      </c>
      <c r="C1865" t="inlineStr">
        <is>
          <t>Outpatient</t>
        </is>
      </c>
      <c r="D1865" t="inlineStr">
        <is>
          <t>Bluestone Outpatient Pavilion</t>
        </is>
      </c>
      <c r="E1865" t="inlineStr">
        <is>
          <t>Primary Care Clinic</t>
        </is>
      </c>
      <c r="F1865" t="inlineStr">
        <is>
          <t>Ambulatory</t>
        </is>
      </c>
      <c r="G1865" s="29" t="n">
        <v>45911</v>
      </c>
      <c r="H1865" s="29" t="n">
        <v>45911</v>
      </c>
      <c r="I1865" s="30" t="n"/>
      <c r="J1865" t="inlineStr">
        <is>
          <t>I10</t>
        </is>
      </c>
      <c r="K1865" t="inlineStr">
        <is>
          <t>Essential (primary) hypertension</t>
        </is>
      </c>
      <c r="L1865" t="inlineStr">
        <is>
          <t>Circulatory</t>
        </is>
      </c>
      <c r="M1865" t="inlineStr">
        <is>
          <t>Home/Self-Care</t>
        </is>
      </c>
      <c r="N1865" t="inlineStr">
        <is>
          <t>Medicare</t>
        </is>
      </c>
      <c r="O1865" s="31" t="n">
        <v>346.66</v>
      </c>
    </row>
    <row r="1866">
      <c r="A1866" t="inlineStr">
        <is>
          <t>ENC118383</t>
        </is>
      </c>
      <c r="B1866" t="inlineStr">
        <is>
          <t>PT10164</t>
        </is>
      </c>
      <c r="C1866" t="inlineStr">
        <is>
          <t>Outpatient</t>
        </is>
      </c>
      <c r="D1866" t="inlineStr">
        <is>
          <t>Bluestone Outpatient Pavilion</t>
        </is>
      </c>
      <c r="E1866" t="inlineStr">
        <is>
          <t>Infusion &amp; Oncology Clinic</t>
        </is>
      </c>
      <c r="F1866" t="inlineStr">
        <is>
          <t>Oncology</t>
        </is>
      </c>
      <c r="G1866" s="29" t="n">
        <v>45911</v>
      </c>
      <c r="H1866" s="29" t="n">
        <v>45911</v>
      </c>
      <c r="I1866" s="30" t="n"/>
      <c r="J1866" t="inlineStr">
        <is>
          <t>C50.911</t>
        </is>
      </c>
      <c r="K1866" t="inlineStr">
        <is>
          <t>Malignant neoplasm of unspecified site of right female breast</t>
        </is>
      </c>
      <c r="L1866" t="inlineStr">
        <is>
          <t>Neoplasms</t>
        </is>
      </c>
      <c r="M1866" t="inlineStr">
        <is>
          <t>Home/Self-Care</t>
        </is>
      </c>
      <c r="N1866" t="inlineStr">
        <is>
          <t>State Medicaid</t>
        </is>
      </c>
      <c r="O1866" s="31" t="n">
        <v>968.53</v>
      </c>
    </row>
    <row r="1867">
      <c r="A1867" t="inlineStr">
        <is>
          <t>ENC118387</t>
        </is>
      </c>
      <c r="B1867" t="inlineStr">
        <is>
          <t>PT11096</t>
        </is>
      </c>
      <c r="C1867" t="inlineStr">
        <is>
          <t>Inpatient</t>
        </is>
      </c>
      <c r="D1867" t="inlineStr">
        <is>
          <t>Bluestone Memorial Hospital</t>
        </is>
      </c>
      <c r="E1867" t="inlineStr">
        <is>
          <t>Cardiac Step-Down</t>
        </is>
      </c>
      <c r="F1867" t="inlineStr">
        <is>
          <t>Cardiovascular</t>
        </is>
      </c>
      <c r="G1867" s="29" t="n">
        <v>45911</v>
      </c>
      <c r="H1867" s="29" t="n">
        <v>45915</v>
      </c>
      <c r="I1867" s="30" t="n">
        <v>4</v>
      </c>
      <c r="J1867" t="inlineStr">
        <is>
          <t>I48.91</t>
        </is>
      </c>
      <c r="K1867" t="inlineStr">
        <is>
          <t>Unspecified atrial fibrillation</t>
        </is>
      </c>
      <c r="L1867" t="inlineStr">
        <is>
          <t>Circulatory</t>
        </is>
      </c>
      <c r="M1867" t="inlineStr">
        <is>
          <t>Left AMA</t>
        </is>
      </c>
      <c r="N1867" t="inlineStr">
        <is>
          <t>Medicare</t>
        </is>
      </c>
      <c r="O1867" s="31" t="n">
        <v>24246.52</v>
      </c>
      <c r="P1867" t="inlineStr">
        <is>
          <t>N</t>
        </is>
      </c>
    </row>
    <row r="1868">
      <c r="A1868" t="inlineStr">
        <is>
          <t>ENC118392</t>
        </is>
      </c>
      <c r="B1868" t="inlineStr">
        <is>
          <t>PT13844</t>
        </is>
      </c>
      <c r="C1868" t="inlineStr">
        <is>
          <t>Emergency</t>
        </is>
      </c>
      <c r="D1868" t="inlineStr">
        <is>
          <t>Bluestone Memorial Hospital</t>
        </is>
      </c>
      <c r="E1868" t="inlineStr">
        <is>
          <t>Emergency Department</t>
        </is>
      </c>
      <c r="F1868" t="inlineStr">
        <is>
          <t>Emergency</t>
        </is>
      </c>
      <c r="G1868" s="29" t="n">
        <v>45911</v>
      </c>
      <c r="H1868" s="29" t="n">
        <v>45911</v>
      </c>
      <c r="I1868" s="30" t="n"/>
      <c r="J1868" t="inlineStr">
        <is>
          <t>R10.9</t>
        </is>
      </c>
      <c r="K1868" t="inlineStr">
        <is>
          <t>Unspecified abdominal pain</t>
        </is>
      </c>
      <c r="L1868" t="inlineStr">
        <is>
          <t>Symptoms &amp; Signs</t>
        </is>
      </c>
      <c r="M1868" t="inlineStr">
        <is>
          <t>Home/Self-Care</t>
        </is>
      </c>
      <c r="N1868" t="inlineStr">
        <is>
          <t>State Medicaid</t>
        </is>
      </c>
      <c r="O1868" s="31" t="n">
        <v>3660.66</v>
      </c>
    </row>
    <row r="1869">
      <c r="A1869" t="inlineStr">
        <is>
          <t>ENC118393</t>
        </is>
      </c>
      <c r="B1869" t="inlineStr">
        <is>
          <t>PT10872</t>
        </is>
      </c>
      <c r="C1869" t="inlineStr">
        <is>
          <t>Outpatient</t>
        </is>
      </c>
      <c r="D1869" t="inlineStr">
        <is>
          <t>Bluestone Outpatient Pavilion</t>
        </is>
      </c>
      <c r="E1869" t="inlineStr">
        <is>
          <t>Orthopedic Clinic</t>
        </is>
      </c>
      <c r="F1869" t="inlineStr">
        <is>
          <t>Orthopedics</t>
        </is>
      </c>
      <c r="G1869" s="29" t="n">
        <v>45911</v>
      </c>
      <c r="H1869" s="29" t="n">
        <v>45911</v>
      </c>
      <c r="I1869" s="30" t="n"/>
      <c r="J1869" t="inlineStr">
        <is>
          <t>M17.11</t>
        </is>
      </c>
      <c r="K1869" t="inlineStr">
        <is>
          <t>Unilateral primary osteoarthritis, right knee</t>
        </is>
      </c>
      <c r="L1869" t="inlineStr">
        <is>
          <t>Musculoskeletal</t>
        </is>
      </c>
      <c r="M1869" t="inlineStr">
        <is>
          <t>Home/Self-Care</t>
        </is>
      </c>
      <c r="N1869" t="inlineStr">
        <is>
          <t>Keystone Health Partners</t>
        </is>
      </c>
      <c r="O1869" s="31" t="n">
        <v>232.47</v>
      </c>
    </row>
    <row r="1870">
      <c r="A1870" t="inlineStr">
        <is>
          <t>ENC118394</t>
        </is>
      </c>
      <c r="B1870" t="inlineStr">
        <is>
          <t>PT11488</t>
        </is>
      </c>
      <c r="C1870" t="inlineStr">
        <is>
          <t>Emergency</t>
        </is>
      </c>
      <c r="D1870" t="inlineStr">
        <is>
          <t>Ashby Falls Community Hospital</t>
        </is>
      </c>
      <c r="E1870" t="inlineStr">
        <is>
          <t>Emergency Department</t>
        </is>
      </c>
      <c r="F1870" t="inlineStr">
        <is>
          <t>Emergency</t>
        </is>
      </c>
      <c r="G1870" s="29" t="n">
        <v>45911</v>
      </c>
      <c r="H1870" s="29" t="n">
        <v>45911</v>
      </c>
      <c r="I1870" s="30" t="n"/>
      <c r="J1870" t="inlineStr">
        <is>
          <t>K80.20</t>
        </is>
      </c>
      <c r="K1870" t="inlineStr">
        <is>
          <t>Calculus of gallbladder without cholecystitis without obstruction</t>
        </is>
      </c>
      <c r="L1870" t="inlineStr">
        <is>
          <t>Digestive</t>
        </is>
      </c>
      <c r="M1870" t="inlineStr">
        <is>
          <t>Home/Self-Care</t>
        </is>
      </c>
      <c r="N1870" t="inlineStr">
        <is>
          <t>Self-Pay</t>
        </is>
      </c>
      <c r="O1870" s="31" t="n">
        <v>3104.44</v>
      </c>
    </row>
    <row r="1871">
      <c r="A1871" t="inlineStr">
        <is>
          <t>ENC118397</t>
        </is>
      </c>
      <c r="B1871" t="inlineStr">
        <is>
          <t>PT11928</t>
        </is>
      </c>
      <c r="C1871" t="inlineStr">
        <is>
          <t>Emergency</t>
        </is>
      </c>
      <c r="D1871" t="inlineStr">
        <is>
          <t>Bluestone Memorial Hospital</t>
        </is>
      </c>
      <c r="E1871" t="inlineStr">
        <is>
          <t>Emergency Department</t>
        </is>
      </c>
      <c r="F1871" t="inlineStr">
        <is>
          <t>Emergency</t>
        </is>
      </c>
      <c r="G1871" s="29" t="n">
        <v>45911</v>
      </c>
      <c r="H1871" s="29" t="n">
        <v>45911</v>
      </c>
      <c r="I1871" s="30" t="n"/>
      <c r="J1871" t="inlineStr">
        <is>
          <t>R55</t>
        </is>
      </c>
      <c r="K1871" t="inlineStr">
        <is>
          <t>Syncope and collapse</t>
        </is>
      </c>
      <c r="L1871" t="inlineStr">
        <is>
          <t>Symptoms &amp; Signs</t>
        </is>
      </c>
      <c r="M1871" t="inlineStr">
        <is>
          <t>Home/Self-Care</t>
        </is>
      </c>
      <c r="N1871" t="inlineStr">
        <is>
          <t>Medicare</t>
        </is>
      </c>
      <c r="O1871" s="31" t="n">
        <v>3064.94</v>
      </c>
    </row>
    <row r="1872">
      <c r="A1872" t="inlineStr">
        <is>
          <t>ENC118398</t>
        </is>
      </c>
      <c r="B1872" t="inlineStr">
        <is>
          <t>PT10324</t>
        </is>
      </c>
      <c r="C1872" t="inlineStr">
        <is>
          <t>Outpatient</t>
        </is>
      </c>
      <c r="D1872" t="inlineStr">
        <is>
          <t>Bluestone Outpatient Pavilion</t>
        </is>
      </c>
      <c r="E1872" t="inlineStr">
        <is>
          <t>Pediatric Clinic</t>
        </is>
      </c>
      <c r="F1872" t="inlineStr">
        <is>
          <t>Women &amp; Children</t>
        </is>
      </c>
      <c r="G1872" s="29" t="n">
        <v>45911</v>
      </c>
      <c r="H1872" s="29" t="n">
        <v>45911</v>
      </c>
      <c r="I1872" s="30" t="n"/>
      <c r="J1872" t="inlineStr">
        <is>
          <t>Z00.129</t>
        </is>
      </c>
      <c r="K1872" t="inlineStr">
        <is>
          <t>Encounter for routine child health examination without abnormal findings</t>
        </is>
      </c>
      <c r="L1872" t="inlineStr">
        <is>
          <t>Factors Influencing Health</t>
        </is>
      </c>
      <c r="M1872" t="inlineStr">
        <is>
          <t>Home/Self-Care</t>
        </is>
      </c>
      <c r="N1872" t="inlineStr">
        <is>
          <t>State Medicaid</t>
        </is>
      </c>
      <c r="O1872" s="31" t="n">
        <v>356.19</v>
      </c>
    </row>
    <row r="1873">
      <c r="A1873" t="inlineStr">
        <is>
          <t>ENC118401</t>
        </is>
      </c>
      <c r="B1873" t="inlineStr">
        <is>
          <t>PT12880</t>
        </is>
      </c>
      <c r="C1873" t="inlineStr">
        <is>
          <t>Emergency</t>
        </is>
      </c>
      <c r="D1873" t="inlineStr">
        <is>
          <t>Ashby Falls Community Hospital</t>
        </is>
      </c>
      <c r="E1873" t="inlineStr">
        <is>
          <t>Emergency Department</t>
        </is>
      </c>
      <c r="F1873" t="inlineStr">
        <is>
          <t>Emergency</t>
        </is>
      </c>
      <c r="G1873" s="29" t="n">
        <v>45911</v>
      </c>
      <c r="H1873" s="29" t="n">
        <v>45911</v>
      </c>
      <c r="I1873" s="30" t="n"/>
      <c r="J1873" t="inlineStr">
        <is>
          <t>F10.239</t>
        </is>
      </c>
      <c r="K1873" t="inlineStr">
        <is>
          <t>Alcohol dependence with withdrawal, unspecified</t>
        </is>
      </c>
      <c r="L1873" t="inlineStr">
        <is>
          <t>Mental &amp; Behavioral</t>
        </is>
      </c>
      <c r="M1873" t="inlineStr">
        <is>
          <t>Home/Self-Care</t>
        </is>
      </c>
      <c r="N1873" t="inlineStr">
        <is>
          <t>State Medicaid</t>
        </is>
      </c>
      <c r="O1873" s="31" t="n">
        <v>2495.06</v>
      </c>
    </row>
    <row r="1874">
      <c r="A1874" t="inlineStr">
        <is>
          <t>ENC118404</t>
        </is>
      </c>
      <c r="B1874" t="inlineStr">
        <is>
          <t>PT13024</t>
        </is>
      </c>
      <c r="C1874" t="inlineStr">
        <is>
          <t>Emergency</t>
        </is>
      </c>
      <c r="D1874" t="inlineStr">
        <is>
          <t>Bluestone Memorial Hospital</t>
        </is>
      </c>
      <c r="E1874" t="inlineStr">
        <is>
          <t>Emergency Department</t>
        </is>
      </c>
      <c r="F1874" t="inlineStr">
        <is>
          <t>Emergency</t>
        </is>
      </c>
      <c r="G1874" s="29" t="n">
        <v>45911</v>
      </c>
      <c r="H1874" s="29" t="n">
        <v>45911</v>
      </c>
      <c r="I1874" s="30" t="n"/>
      <c r="J1874" t="inlineStr">
        <is>
          <t>L03.115</t>
        </is>
      </c>
      <c r="K1874" t="inlineStr">
        <is>
          <t>Cellulitis of right lower limb</t>
        </is>
      </c>
      <c r="L1874" t="inlineStr">
        <is>
          <t>Skin</t>
        </is>
      </c>
      <c r="M1874" t="inlineStr">
        <is>
          <t>Home/Self-Care</t>
        </is>
      </c>
      <c r="N1874" t="inlineStr">
        <is>
          <t>Keystone Health Partners</t>
        </is>
      </c>
      <c r="O1874" s="31" t="n">
        <v>1152.76</v>
      </c>
    </row>
    <row r="1875">
      <c r="A1875" t="inlineStr">
        <is>
          <t>ENC118406</t>
        </is>
      </c>
      <c r="B1875" t="inlineStr">
        <is>
          <t>PT11500</t>
        </is>
      </c>
      <c r="C1875" t="inlineStr">
        <is>
          <t>Inpatient</t>
        </is>
      </c>
      <c r="D1875" t="inlineStr">
        <is>
          <t>Bluestone Memorial Hospital</t>
        </is>
      </c>
      <c r="E1875" t="inlineStr">
        <is>
          <t>Medical-Surgical 5 East</t>
        </is>
      </c>
      <c r="F1875" t="inlineStr">
        <is>
          <t>Medicine</t>
        </is>
      </c>
      <c r="G1875" s="29" t="n">
        <v>45911</v>
      </c>
      <c r="H1875" s="29" t="n">
        <v>45913</v>
      </c>
      <c r="I1875" s="30" t="n">
        <v>2</v>
      </c>
      <c r="J1875" t="inlineStr">
        <is>
          <t>N39.0</t>
        </is>
      </c>
      <c r="K1875" t="inlineStr">
        <is>
          <t>Urinary tract infection, site not specified</t>
        </is>
      </c>
      <c r="L1875" t="inlineStr">
        <is>
          <t>Genitourinary</t>
        </is>
      </c>
      <c r="M1875" t="inlineStr">
        <is>
          <t>Home/Self-Care</t>
        </is>
      </c>
      <c r="N1875" t="inlineStr">
        <is>
          <t>Medicare</t>
        </is>
      </c>
      <c r="O1875" s="31" t="n">
        <v>11706.27</v>
      </c>
      <c r="P1875" t="inlineStr">
        <is>
          <t>N</t>
        </is>
      </c>
    </row>
    <row r="1876">
      <c r="A1876" t="inlineStr">
        <is>
          <t>ENC118415</t>
        </is>
      </c>
      <c r="B1876" t="inlineStr">
        <is>
          <t>PT13036</t>
        </is>
      </c>
      <c r="C1876" t="inlineStr">
        <is>
          <t>Outpatient</t>
        </is>
      </c>
      <c r="D1876" t="inlineStr">
        <is>
          <t>Bluestone Outpatient Pavilion</t>
        </is>
      </c>
      <c r="E1876" t="inlineStr">
        <is>
          <t>Orthopedic Clinic</t>
        </is>
      </c>
      <c r="F1876" t="inlineStr">
        <is>
          <t>Orthopedics</t>
        </is>
      </c>
      <c r="G1876" s="29" t="n">
        <v>45912</v>
      </c>
      <c r="H1876" s="29" t="n">
        <v>45912</v>
      </c>
      <c r="I1876" s="30" t="n"/>
      <c r="J1876" t="inlineStr">
        <is>
          <t>S93.401A</t>
        </is>
      </c>
      <c r="K1876" t="inlineStr">
        <is>
          <t>Sprain of unspecified ligament of right ankle, initial encounter</t>
        </is>
      </c>
      <c r="L1876" t="inlineStr">
        <is>
          <t>Injury</t>
        </is>
      </c>
      <c r="M1876" t="inlineStr">
        <is>
          <t>Home/Self-Care</t>
        </is>
      </c>
      <c r="N1876" t="inlineStr">
        <is>
          <t>Workers' Compensation</t>
        </is>
      </c>
      <c r="O1876" s="31" t="n">
        <v>290.78</v>
      </c>
    </row>
    <row r="1877">
      <c r="A1877" t="inlineStr">
        <is>
          <t>ENC118419</t>
        </is>
      </c>
      <c r="B1877" t="inlineStr">
        <is>
          <t>PT12240</t>
        </is>
      </c>
      <c r="C1877" t="inlineStr">
        <is>
          <t>Emergency</t>
        </is>
      </c>
      <c r="D1877" t="inlineStr">
        <is>
          <t>Bluestone Memorial Hospital</t>
        </is>
      </c>
      <c r="E1877" t="inlineStr">
        <is>
          <t>Emergency Department</t>
        </is>
      </c>
      <c r="F1877" t="inlineStr">
        <is>
          <t>Emergency</t>
        </is>
      </c>
      <c r="G1877" s="29" t="n">
        <v>45912</v>
      </c>
      <c r="H1877" s="29" t="n">
        <v>45912</v>
      </c>
      <c r="I1877" s="30" t="n"/>
      <c r="J1877" t="inlineStr">
        <is>
          <t>F32.9</t>
        </is>
      </c>
      <c r="K1877" t="inlineStr">
        <is>
          <t>Major depressive disorder, single episode, unspecified</t>
        </is>
      </c>
      <c r="L1877" t="inlineStr">
        <is>
          <t>Mental &amp; Behavioral</t>
        </is>
      </c>
      <c r="M1877" t="inlineStr">
        <is>
          <t>Home/Self-Care</t>
        </is>
      </c>
      <c r="N1877" t="inlineStr">
        <is>
          <t>Evergreen Mutual Insurance</t>
        </is>
      </c>
      <c r="O1877" s="31" t="n">
        <v>4171.34</v>
      </c>
    </row>
    <row r="1878">
      <c r="A1878" t="inlineStr">
        <is>
          <t>ENC118423</t>
        </is>
      </c>
      <c r="B1878" t="inlineStr">
        <is>
          <t>PT10124</t>
        </is>
      </c>
      <c r="C1878" t="inlineStr">
        <is>
          <t>Emergency</t>
        </is>
      </c>
      <c r="D1878" t="inlineStr">
        <is>
          <t>Ashby Falls Community Hospital</t>
        </is>
      </c>
      <c r="E1878" t="inlineStr">
        <is>
          <t>Emergency Department</t>
        </is>
      </c>
      <c r="F1878" t="inlineStr">
        <is>
          <t>Emergency</t>
        </is>
      </c>
      <c r="G1878" s="29" t="n">
        <v>45912</v>
      </c>
      <c r="H1878" s="29" t="n">
        <v>45912</v>
      </c>
      <c r="I1878" s="30" t="n"/>
      <c r="J1878" t="inlineStr">
        <is>
          <t>J06.9</t>
        </is>
      </c>
      <c r="K1878" t="inlineStr">
        <is>
          <t>Acute upper respiratory infection, unspecified</t>
        </is>
      </c>
      <c r="L1878" t="inlineStr">
        <is>
          <t>Respiratory</t>
        </is>
      </c>
      <c r="M1878" t="inlineStr">
        <is>
          <t>Home/Self-Care</t>
        </is>
      </c>
      <c r="N1878" t="inlineStr">
        <is>
          <t>State Medicaid</t>
        </is>
      </c>
      <c r="O1878" s="31" t="n">
        <v>1154.39</v>
      </c>
    </row>
    <row r="1879">
      <c r="A1879" t="inlineStr">
        <is>
          <t>ENC118428</t>
        </is>
      </c>
      <c r="B1879" t="inlineStr">
        <is>
          <t>PT10144</t>
        </is>
      </c>
      <c r="C1879" t="inlineStr">
        <is>
          <t>Observation</t>
        </is>
      </c>
      <c r="D1879" t="inlineStr">
        <is>
          <t>Bluestone Memorial Hospital</t>
        </is>
      </c>
      <c r="E1879" t="inlineStr">
        <is>
          <t>Observation Unit</t>
        </is>
      </c>
      <c r="F1879" t="inlineStr">
        <is>
          <t>Medicine</t>
        </is>
      </c>
      <c r="G1879" s="29" t="n">
        <v>45912</v>
      </c>
      <c r="H1879" s="29" t="n">
        <v>45914</v>
      </c>
      <c r="I1879" s="30" t="n">
        <v>2</v>
      </c>
      <c r="J1879" t="inlineStr">
        <is>
          <t>L03.115</t>
        </is>
      </c>
      <c r="K1879" t="inlineStr">
        <is>
          <t>Cellulitis of right lower limb</t>
        </is>
      </c>
      <c r="L1879" t="inlineStr">
        <is>
          <t>Skin</t>
        </is>
      </c>
      <c r="M1879" t="inlineStr">
        <is>
          <t>Home/Self-Care</t>
        </is>
      </c>
      <c r="N1879" t="inlineStr">
        <is>
          <t>Summit Choice PPO</t>
        </is>
      </c>
      <c r="O1879" s="31" t="n">
        <v>7271.79</v>
      </c>
    </row>
    <row r="1880">
      <c r="A1880" t="inlineStr">
        <is>
          <t>ENC118431</t>
        </is>
      </c>
      <c r="B1880" t="inlineStr">
        <is>
          <t>PT11232</t>
        </is>
      </c>
      <c r="C1880" t="inlineStr">
        <is>
          <t>Emergency</t>
        </is>
      </c>
      <c r="D1880" t="inlineStr">
        <is>
          <t>Ashby Falls Community Hospital</t>
        </is>
      </c>
      <c r="E1880" t="inlineStr">
        <is>
          <t>Emergency Department</t>
        </is>
      </c>
      <c r="F1880" t="inlineStr">
        <is>
          <t>Emergency</t>
        </is>
      </c>
      <c r="G1880" s="29" t="n">
        <v>45912</v>
      </c>
      <c r="H1880" s="29" t="n">
        <v>45912</v>
      </c>
      <c r="I1880" s="30" t="n"/>
      <c r="J1880" t="inlineStr">
        <is>
          <t>J18.9</t>
        </is>
      </c>
      <c r="K1880" t="inlineStr">
        <is>
          <t>Pneumonia, unspecified organism</t>
        </is>
      </c>
      <c r="L1880" t="inlineStr">
        <is>
          <t>Respiratory</t>
        </is>
      </c>
      <c r="M1880" t="inlineStr">
        <is>
          <t>Home/Self-Care</t>
        </is>
      </c>
      <c r="N1880" t="inlineStr">
        <is>
          <t>State Medicaid</t>
        </is>
      </c>
      <c r="O1880" s="31" t="n">
        <v>3678.06</v>
      </c>
    </row>
    <row r="1881">
      <c r="A1881" t="inlineStr">
        <is>
          <t>ENC118433</t>
        </is>
      </c>
      <c r="B1881" t="inlineStr">
        <is>
          <t>PT10460</t>
        </is>
      </c>
      <c r="C1881" t="inlineStr">
        <is>
          <t>Emergency</t>
        </is>
      </c>
      <c r="D1881" t="inlineStr">
        <is>
          <t>Cedar Ridge Medical Center</t>
        </is>
      </c>
      <c r="E1881" t="inlineStr">
        <is>
          <t>Emergency Department</t>
        </is>
      </c>
      <c r="F1881" t="inlineStr">
        <is>
          <t>Emergency</t>
        </is>
      </c>
      <c r="G1881" s="29" t="n">
        <v>45912</v>
      </c>
      <c r="H1881" s="29" t="n">
        <v>45912</v>
      </c>
      <c r="I1881" s="30" t="n"/>
      <c r="J1881" t="inlineStr">
        <is>
          <t>L03.115</t>
        </is>
      </c>
      <c r="K1881" t="inlineStr">
        <is>
          <t>Cellulitis of right lower limb</t>
        </is>
      </c>
      <c r="L1881" t="inlineStr">
        <is>
          <t>Skin</t>
        </is>
      </c>
      <c r="M1881" t="inlineStr">
        <is>
          <t>Home/Self-Care</t>
        </is>
      </c>
      <c r="N1881" t="inlineStr">
        <is>
          <t>Keystone Health Partners</t>
        </is>
      </c>
      <c r="O1881" s="31" t="n">
        <v>1630.56</v>
      </c>
    </row>
    <row r="1882">
      <c r="A1882" t="inlineStr">
        <is>
          <t>ENC118434</t>
        </is>
      </c>
      <c r="B1882" t="inlineStr">
        <is>
          <t>PT11456</t>
        </is>
      </c>
      <c r="C1882" t="inlineStr">
        <is>
          <t>Emergency</t>
        </is>
      </c>
      <c r="D1882" t="inlineStr">
        <is>
          <t>Bluestone Memorial Hospital</t>
        </is>
      </c>
      <c r="E1882" t="inlineStr">
        <is>
          <t>Emergency Department</t>
        </is>
      </c>
      <c r="F1882" t="inlineStr">
        <is>
          <t>Emergency</t>
        </is>
      </c>
      <c r="G1882" s="29" t="n">
        <v>45912</v>
      </c>
      <c r="H1882" s="29" t="n">
        <v>45913</v>
      </c>
      <c r="I1882" s="30" t="n"/>
      <c r="J1882" t="inlineStr">
        <is>
          <t>M54.50</t>
        </is>
      </c>
      <c r="K1882" t="inlineStr">
        <is>
          <t>Low back pain, unspecified</t>
        </is>
      </c>
      <c r="L1882" t="inlineStr">
        <is>
          <t>Musculoskeletal</t>
        </is>
      </c>
      <c r="M1882" t="inlineStr">
        <is>
          <t>Home/Self-Care</t>
        </is>
      </c>
      <c r="N1882" t="inlineStr">
        <is>
          <t>Evergreen Mutual Insurance</t>
        </is>
      </c>
      <c r="O1882" s="31" t="n">
        <v>1669.94</v>
      </c>
    </row>
    <row r="1883">
      <c r="A1883" t="inlineStr">
        <is>
          <t>ENC118437</t>
        </is>
      </c>
      <c r="B1883" t="inlineStr">
        <is>
          <t>PT13736</t>
        </is>
      </c>
      <c r="C1883" t="inlineStr">
        <is>
          <t>Inpatient</t>
        </is>
      </c>
      <c r="D1883" t="inlineStr">
        <is>
          <t>Bluestone Memorial Hospital</t>
        </is>
      </c>
      <c r="E1883" t="inlineStr">
        <is>
          <t>Labor &amp; Delivery</t>
        </is>
      </c>
      <c r="F1883" t="inlineStr">
        <is>
          <t>Women &amp; Children</t>
        </is>
      </c>
      <c r="G1883" s="29" t="n">
        <v>45912</v>
      </c>
      <c r="H1883" s="29" t="n">
        <v>45915</v>
      </c>
      <c r="I1883" s="30" t="n">
        <v>3</v>
      </c>
      <c r="J1883" t="inlineStr">
        <is>
          <t>O80</t>
        </is>
      </c>
      <c r="K1883" t="inlineStr">
        <is>
          <t>Encounter for full-term uncomplicated delivery</t>
        </is>
      </c>
      <c r="L1883" t="inlineStr">
        <is>
          <t>Pregnancy</t>
        </is>
      </c>
      <c r="M1883" t="inlineStr">
        <is>
          <t>Home/Self-Care</t>
        </is>
      </c>
      <c r="N1883" t="inlineStr">
        <is>
          <t>Evergreen Mutual Insurance</t>
        </is>
      </c>
      <c r="O1883" s="31" t="n">
        <v>18381.54</v>
      </c>
      <c r="P1883" t="inlineStr">
        <is>
          <t>N</t>
        </is>
      </c>
    </row>
    <row r="1884">
      <c r="A1884" t="inlineStr">
        <is>
          <t>ENC118444</t>
        </is>
      </c>
      <c r="B1884" t="inlineStr">
        <is>
          <t>PT10604</t>
        </is>
      </c>
      <c r="C1884" t="inlineStr">
        <is>
          <t>Emergency</t>
        </is>
      </c>
      <c r="D1884" t="inlineStr">
        <is>
          <t>Bluestone Memorial Hospital</t>
        </is>
      </c>
      <c r="E1884" t="inlineStr">
        <is>
          <t>Emergency Department</t>
        </is>
      </c>
      <c r="F1884" t="inlineStr">
        <is>
          <t>Emergency</t>
        </is>
      </c>
      <c r="G1884" s="29" t="n">
        <v>45913</v>
      </c>
      <c r="H1884" s="29" t="n">
        <v>45913</v>
      </c>
      <c r="I1884" s="30" t="n"/>
      <c r="J1884" t="inlineStr">
        <is>
          <t>F32.9</t>
        </is>
      </c>
      <c r="K1884" t="inlineStr">
        <is>
          <t>Major depressive disorder, single episode, unspecified</t>
        </is>
      </c>
      <c r="L1884" t="inlineStr">
        <is>
          <t>Mental &amp; Behavioral</t>
        </is>
      </c>
      <c r="M1884" t="inlineStr">
        <is>
          <t>Home/Self-Care</t>
        </is>
      </c>
      <c r="N1884" t="inlineStr">
        <is>
          <t>Keystone Health Partners</t>
        </is>
      </c>
      <c r="O1884" s="31" t="n">
        <v>2367.21</v>
      </c>
    </row>
    <row r="1885">
      <c r="A1885" t="inlineStr">
        <is>
          <t>ENC118448</t>
        </is>
      </c>
      <c r="B1885" t="inlineStr">
        <is>
          <t>PT12868</t>
        </is>
      </c>
      <c r="C1885" t="inlineStr">
        <is>
          <t>Inpatient</t>
        </is>
      </c>
      <c r="D1885" t="inlineStr">
        <is>
          <t>Bluestone Memorial Hospital</t>
        </is>
      </c>
      <c r="E1885" t="inlineStr">
        <is>
          <t>Medical-Surgical 5 East</t>
        </is>
      </c>
      <c r="F1885" t="inlineStr">
        <is>
          <t>Medicine</t>
        </is>
      </c>
      <c r="G1885" s="29" t="n">
        <v>45913</v>
      </c>
      <c r="H1885" s="29" t="n">
        <v>45919</v>
      </c>
      <c r="I1885" s="30" t="n">
        <v>6</v>
      </c>
      <c r="J1885" t="inlineStr">
        <is>
          <t>N17.9</t>
        </is>
      </c>
      <c r="K1885" t="inlineStr">
        <is>
          <t>Acute kidney failure, unspecified</t>
        </is>
      </c>
      <c r="L1885" t="inlineStr">
        <is>
          <t>Genitourinary</t>
        </is>
      </c>
      <c r="M1885" t="inlineStr">
        <is>
          <t>Home/Self-Care</t>
        </is>
      </c>
      <c r="N1885" t="inlineStr">
        <is>
          <t>State Medicaid</t>
        </is>
      </c>
      <c r="O1885" s="31" t="n">
        <v>33493.31</v>
      </c>
      <c r="P1885" t="inlineStr">
        <is>
          <t>N</t>
        </is>
      </c>
    </row>
    <row r="1886">
      <c r="A1886" t="inlineStr">
        <is>
          <t>ENC118449</t>
        </is>
      </c>
      <c r="B1886" t="inlineStr">
        <is>
          <t>PT13140</t>
        </is>
      </c>
      <c r="C1886" t="inlineStr">
        <is>
          <t>Inpatient</t>
        </is>
      </c>
      <c r="D1886" t="inlineStr">
        <is>
          <t>Ashby Falls Community Hospital</t>
        </is>
      </c>
      <c r="E1886" t="inlineStr">
        <is>
          <t>Medical-Surgical</t>
        </is>
      </c>
      <c r="F1886" t="inlineStr">
        <is>
          <t>Medicine</t>
        </is>
      </c>
      <c r="G1886" s="29" t="n">
        <v>45914</v>
      </c>
      <c r="H1886" s="29" t="n">
        <v>45916</v>
      </c>
      <c r="I1886" s="30" t="n">
        <v>2</v>
      </c>
      <c r="J1886" t="inlineStr">
        <is>
          <t>N39.0</t>
        </is>
      </c>
      <c r="K1886" t="inlineStr">
        <is>
          <t>Urinary tract infection, site not specified</t>
        </is>
      </c>
      <c r="L1886" t="inlineStr">
        <is>
          <t>Genitourinary</t>
        </is>
      </c>
      <c r="M1886" t="inlineStr">
        <is>
          <t>Skilled Nursing Facility</t>
        </is>
      </c>
      <c r="N1886" t="inlineStr">
        <is>
          <t>Keystone Health Partners</t>
        </is>
      </c>
      <c r="O1886" s="31" t="n">
        <v>24426.7</v>
      </c>
      <c r="P1886" t="inlineStr">
        <is>
          <t>N</t>
        </is>
      </c>
    </row>
    <row r="1887">
      <c r="A1887" t="inlineStr">
        <is>
          <t>ENC118450</t>
        </is>
      </c>
      <c r="B1887" t="inlineStr">
        <is>
          <t>PT10912</t>
        </is>
      </c>
      <c r="C1887" t="inlineStr">
        <is>
          <t>Emergency</t>
        </is>
      </c>
      <c r="D1887" t="inlineStr">
        <is>
          <t>Bluestone Memorial Hospital</t>
        </is>
      </c>
      <c r="E1887" t="inlineStr">
        <is>
          <t>Emergency Department</t>
        </is>
      </c>
      <c r="F1887" t="inlineStr">
        <is>
          <t>Emergency</t>
        </is>
      </c>
      <c r="G1887" s="29" t="n">
        <v>45914</v>
      </c>
      <c r="H1887" s="29" t="n">
        <v>45914</v>
      </c>
      <c r="I1887" s="30" t="n"/>
      <c r="J1887" t="inlineStr">
        <is>
          <t>J18.9</t>
        </is>
      </c>
      <c r="K1887" t="inlineStr">
        <is>
          <t>Pneumonia, unspecified organism</t>
        </is>
      </c>
      <c r="L1887" t="inlineStr">
        <is>
          <t>Respiratory</t>
        </is>
      </c>
      <c r="M1887" t="inlineStr">
        <is>
          <t>Home/Self-Care</t>
        </is>
      </c>
      <c r="N1887" t="inlineStr">
        <is>
          <t>Keystone Health Partners</t>
        </is>
      </c>
      <c r="O1887" s="31" t="n">
        <v>5083.8</v>
      </c>
    </row>
    <row r="1888">
      <c r="A1888" t="inlineStr">
        <is>
          <t>ENC118451</t>
        </is>
      </c>
      <c r="B1888" t="inlineStr">
        <is>
          <t>PT10364</t>
        </is>
      </c>
      <c r="C1888" t="inlineStr">
        <is>
          <t>Observation</t>
        </is>
      </c>
      <c r="D1888" t="inlineStr">
        <is>
          <t>Bluestone Memorial Hospital</t>
        </is>
      </c>
      <c r="E1888" t="inlineStr">
        <is>
          <t>Observation Unit</t>
        </is>
      </c>
      <c r="F1888" t="inlineStr">
        <is>
          <t>Medicine</t>
        </is>
      </c>
      <c r="G1888" s="29" t="n">
        <v>45914</v>
      </c>
      <c r="H1888" s="29" t="n">
        <v>45915</v>
      </c>
      <c r="I1888" s="30" t="n">
        <v>1</v>
      </c>
      <c r="J1888" t="inlineStr">
        <is>
          <t>I10</t>
        </is>
      </c>
      <c r="K1888" t="inlineStr">
        <is>
          <t>Essential (primary) hypertension</t>
        </is>
      </c>
      <c r="L1888" t="inlineStr">
        <is>
          <t>Circulatory</t>
        </is>
      </c>
      <c r="M1888" t="inlineStr">
        <is>
          <t>Skilled Nursing Facility</t>
        </is>
      </c>
      <c r="N1888" t="inlineStr">
        <is>
          <t>Medicare</t>
        </is>
      </c>
      <c r="O1888" s="31" t="n">
        <v>6777.49</v>
      </c>
    </row>
    <row r="1889">
      <c r="A1889" t="inlineStr">
        <is>
          <t>ENC118453</t>
        </is>
      </c>
      <c r="B1889" t="inlineStr">
        <is>
          <t>PT10388</t>
        </is>
      </c>
      <c r="C1889" t="inlineStr">
        <is>
          <t>Emergency</t>
        </is>
      </c>
      <c r="D1889" t="inlineStr">
        <is>
          <t>Bluestone Memorial Hospital</t>
        </is>
      </c>
      <c r="E1889" t="inlineStr">
        <is>
          <t>Emergency Department</t>
        </is>
      </c>
      <c r="F1889" t="inlineStr">
        <is>
          <t>Emergency</t>
        </is>
      </c>
      <c r="G1889" s="29" t="n">
        <v>45914</v>
      </c>
      <c r="H1889" s="29" t="n">
        <v>45914</v>
      </c>
      <c r="I1889" s="30" t="n"/>
      <c r="J1889" t="inlineStr">
        <is>
          <t>N39.0</t>
        </is>
      </c>
      <c r="K1889" t="inlineStr">
        <is>
          <t>Urinary tract infection, site not specified</t>
        </is>
      </c>
      <c r="L1889" t="inlineStr">
        <is>
          <t>Genitourinary</t>
        </is>
      </c>
      <c r="M1889" t="inlineStr">
        <is>
          <t>Home/Self-Care</t>
        </is>
      </c>
      <c r="N1889" t="inlineStr">
        <is>
          <t>Medicare</t>
        </is>
      </c>
      <c r="O1889" s="31" t="n">
        <v>1535.26</v>
      </c>
    </row>
    <row r="1890">
      <c r="A1890" t="inlineStr">
        <is>
          <t>ENC118454</t>
        </is>
      </c>
      <c r="B1890" t="inlineStr">
        <is>
          <t>PT13984</t>
        </is>
      </c>
      <c r="C1890" t="inlineStr">
        <is>
          <t>Emergency</t>
        </is>
      </c>
      <c r="D1890" t="inlineStr">
        <is>
          <t>Bluestone Memorial Hospital</t>
        </is>
      </c>
      <c r="E1890" t="inlineStr">
        <is>
          <t>Emergency Department</t>
        </is>
      </c>
      <c r="F1890" t="inlineStr">
        <is>
          <t>Emergency</t>
        </is>
      </c>
      <c r="G1890" s="29" t="n">
        <v>45914</v>
      </c>
      <c r="H1890" s="29" t="n">
        <v>45914</v>
      </c>
      <c r="I1890" s="30" t="n"/>
      <c r="J1890" t="inlineStr">
        <is>
          <t>J45.909</t>
        </is>
      </c>
      <c r="K1890" t="inlineStr">
        <is>
          <t>Unspecified asthma, uncomplicated</t>
        </is>
      </c>
      <c r="L1890" t="inlineStr">
        <is>
          <t>Respiratory</t>
        </is>
      </c>
      <c r="M1890" t="inlineStr">
        <is>
          <t>Home/Self-Care</t>
        </is>
      </c>
      <c r="N1890" t="inlineStr">
        <is>
          <t>Medicare</t>
        </is>
      </c>
      <c r="O1890" s="31" t="n">
        <v>3292.81</v>
      </c>
    </row>
    <row r="1891">
      <c r="A1891" t="inlineStr">
        <is>
          <t>ENC118468</t>
        </is>
      </c>
      <c r="B1891" t="inlineStr">
        <is>
          <t>PT12024</t>
        </is>
      </c>
      <c r="C1891" t="inlineStr">
        <is>
          <t>Outpatient</t>
        </is>
      </c>
      <c r="D1891" t="inlineStr">
        <is>
          <t>Bluestone Outpatient Pavilion</t>
        </is>
      </c>
      <c r="E1891" t="inlineStr">
        <is>
          <t>Infusion &amp; Oncology Clinic</t>
        </is>
      </c>
      <c r="F1891" t="inlineStr">
        <is>
          <t>Oncology</t>
        </is>
      </c>
      <c r="G1891" s="29" t="n">
        <v>45915</v>
      </c>
      <c r="H1891" s="29" t="n">
        <v>45915</v>
      </c>
      <c r="I1891" s="30" t="n"/>
      <c r="J1891" t="inlineStr">
        <is>
          <t>C34.90</t>
        </is>
      </c>
      <c r="K1891" t="inlineStr">
        <is>
          <t>Malignant neoplasm of unspecified part of unspecified bronchus or lung</t>
        </is>
      </c>
      <c r="L1891" t="inlineStr">
        <is>
          <t>Neoplasms</t>
        </is>
      </c>
      <c r="M1891" t="inlineStr">
        <is>
          <t>Home/Self-Care</t>
        </is>
      </c>
      <c r="N1891" t="inlineStr">
        <is>
          <t>Medicare</t>
        </is>
      </c>
      <c r="O1891" s="31" t="n">
        <v>636.55</v>
      </c>
    </row>
    <row r="1892">
      <c r="A1892" t="inlineStr">
        <is>
          <t>ENC118470</t>
        </is>
      </c>
      <c r="B1892" t="inlineStr">
        <is>
          <t>PT12988</t>
        </is>
      </c>
      <c r="C1892" t="inlineStr">
        <is>
          <t>Outpatient</t>
        </is>
      </c>
      <c r="D1892" t="inlineStr">
        <is>
          <t>Bluestone Outpatient Pavilion</t>
        </is>
      </c>
      <c r="E1892" t="inlineStr">
        <is>
          <t>Infusion &amp; Oncology Clinic</t>
        </is>
      </c>
      <c r="F1892" t="inlineStr">
        <is>
          <t>Oncology</t>
        </is>
      </c>
      <c r="G1892" s="29" t="n">
        <v>45915</v>
      </c>
      <c r="H1892" s="29" t="n">
        <v>45915</v>
      </c>
      <c r="I1892" s="30" t="n"/>
      <c r="J1892" t="inlineStr">
        <is>
          <t>Z51.11</t>
        </is>
      </c>
      <c r="K1892" t="inlineStr">
        <is>
          <t>Encounter for antineoplastic chemotherapy</t>
        </is>
      </c>
      <c r="L1892" t="inlineStr">
        <is>
          <t>Factors Influencing Health</t>
        </is>
      </c>
      <c r="M1892" t="inlineStr">
        <is>
          <t>Home/Self-Care</t>
        </is>
      </c>
      <c r="N1892" t="inlineStr">
        <is>
          <t>Self-Pay</t>
        </is>
      </c>
      <c r="O1892" s="31" t="n">
        <v>12493.13</v>
      </c>
    </row>
    <row r="1893">
      <c r="A1893" t="inlineStr">
        <is>
          <t>ENC118471</t>
        </is>
      </c>
      <c r="B1893" t="inlineStr">
        <is>
          <t>PT10588</t>
        </is>
      </c>
      <c r="C1893" t="inlineStr">
        <is>
          <t>Emergency</t>
        </is>
      </c>
      <c r="D1893" t="inlineStr">
        <is>
          <t>Ashby Falls Community Hospital</t>
        </is>
      </c>
      <c r="E1893" t="inlineStr">
        <is>
          <t>Emergency Department</t>
        </is>
      </c>
      <c r="F1893" t="inlineStr">
        <is>
          <t>Emergency</t>
        </is>
      </c>
      <c r="G1893" s="29" t="n">
        <v>45915</v>
      </c>
      <c r="H1893" s="29" t="n">
        <v>45915</v>
      </c>
      <c r="I1893" s="30" t="n"/>
      <c r="J1893" t="inlineStr">
        <is>
          <t>U07.1</t>
        </is>
      </c>
      <c r="K1893" t="inlineStr">
        <is>
          <t>COVID-19</t>
        </is>
      </c>
      <c r="L1893" t="inlineStr">
        <is>
          <t>Respiratory</t>
        </is>
      </c>
      <c r="M1893" t="inlineStr">
        <is>
          <t>Home/Self-Care</t>
        </is>
      </c>
      <c r="N1893" t="inlineStr">
        <is>
          <t>Medicare</t>
        </is>
      </c>
      <c r="O1893" s="31" t="n">
        <v>4174.99</v>
      </c>
    </row>
    <row r="1894">
      <c r="A1894" t="inlineStr">
        <is>
          <t>ENC118478</t>
        </is>
      </c>
      <c r="B1894" t="inlineStr">
        <is>
          <t>PT10488</t>
        </is>
      </c>
      <c r="C1894" t="inlineStr">
        <is>
          <t>Emergency</t>
        </is>
      </c>
      <c r="D1894" t="inlineStr">
        <is>
          <t>Bluestone Memorial Hospital</t>
        </is>
      </c>
      <c r="E1894" t="inlineStr">
        <is>
          <t>Emergency Department</t>
        </is>
      </c>
      <c r="F1894" t="inlineStr">
        <is>
          <t>Emergency</t>
        </is>
      </c>
      <c r="G1894" s="29" t="n">
        <v>45915</v>
      </c>
      <c r="H1894" s="29" t="n">
        <v>45915</v>
      </c>
      <c r="I1894" s="30" t="n"/>
      <c r="J1894" t="inlineStr">
        <is>
          <t>L03.115</t>
        </is>
      </c>
      <c r="K1894" t="inlineStr">
        <is>
          <t>Cellulitis of right lower limb</t>
        </is>
      </c>
      <c r="L1894" t="inlineStr">
        <is>
          <t>Skin</t>
        </is>
      </c>
      <c r="M1894" t="inlineStr">
        <is>
          <t>Home/Self-Care</t>
        </is>
      </c>
      <c r="N1894" t="inlineStr">
        <is>
          <t>Medicare</t>
        </is>
      </c>
      <c r="O1894" s="31" t="n">
        <v>2668.58</v>
      </c>
    </row>
    <row r="1895">
      <c r="A1895" t="inlineStr">
        <is>
          <t>ENC118479</t>
        </is>
      </c>
      <c r="B1895" t="inlineStr">
        <is>
          <t>PT11228</t>
        </is>
      </c>
      <c r="C1895" t="inlineStr">
        <is>
          <t>Observation</t>
        </is>
      </c>
      <c r="D1895" t="inlineStr">
        <is>
          <t>Bluestone Memorial Hospital</t>
        </is>
      </c>
      <c r="E1895" t="inlineStr">
        <is>
          <t>Observation Unit</t>
        </is>
      </c>
      <c r="F1895" t="inlineStr">
        <is>
          <t>Medicine</t>
        </is>
      </c>
      <c r="G1895" s="29" t="n">
        <v>45915</v>
      </c>
      <c r="H1895" s="29" t="n">
        <v>45916</v>
      </c>
      <c r="I1895" s="30" t="n">
        <v>1</v>
      </c>
      <c r="J1895" t="inlineStr">
        <is>
          <t>N39.0</t>
        </is>
      </c>
      <c r="K1895" t="inlineStr">
        <is>
          <t>Urinary tract infection, site not specified</t>
        </is>
      </c>
      <c r="L1895" t="inlineStr">
        <is>
          <t>Genitourinary</t>
        </is>
      </c>
      <c r="M1895" t="inlineStr">
        <is>
          <t>Transfer to Another Hospital</t>
        </is>
      </c>
      <c r="N1895" t="inlineStr">
        <is>
          <t>Silverline Medicare Advantage</t>
        </is>
      </c>
      <c r="O1895" s="31" t="n">
        <v>9260.379999999999</v>
      </c>
    </row>
    <row r="1896">
      <c r="A1896" t="inlineStr">
        <is>
          <t>ENC118498</t>
        </is>
      </c>
      <c r="B1896" t="inlineStr">
        <is>
          <t>PT12684</t>
        </is>
      </c>
      <c r="C1896" t="inlineStr">
        <is>
          <t>Outpatient</t>
        </is>
      </c>
      <c r="D1896" t="inlineStr">
        <is>
          <t>Bluestone Outpatient Pavilion</t>
        </is>
      </c>
      <c r="E1896" t="inlineStr">
        <is>
          <t>Infusion &amp; Oncology Clinic</t>
        </is>
      </c>
      <c r="F1896" t="inlineStr">
        <is>
          <t>Oncology</t>
        </is>
      </c>
      <c r="G1896" s="29" t="n">
        <v>45916</v>
      </c>
      <c r="H1896" s="29" t="n">
        <v>45916</v>
      </c>
      <c r="I1896" s="30" t="n"/>
      <c r="J1896" t="inlineStr">
        <is>
          <t>C50.911</t>
        </is>
      </c>
      <c r="K1896" t="inlineStr">
        <is>
          <t>Malignant neoplasm of unspecified site of right female breast</t>
        </is>
      </c>
      <c r="L1896" t="inlineStr">
        <is>
          <t>Neoplasms</t>
        </is>
      </c>
      <c r="M1896" t="inlineStr">
        <is>
          <t>Home/Self-Care</t>
        </is>
      </c>
      <c r="N1896" t="inlineStr">
        <is>
          <t>Summit Choice PPO</t>
        </is>
      </c>
      <c r="O1896" s="31" t="n">
        <v>986.85</v>
      </c>
    </row>
    <row r="1897">
      <c r="A1897" t="inlineStr">
        <is>
          <t>ENC118506</t>
        </is>
      </c>
      <c r="B1897" t="inlineStr">
        <is>
          <t>PT12532</t>
        </is>
      </c>
      <c r="C1897" t="inlineStr">
        <is>
          <t>Outpatient</t>
        </is>
      </c>
      <c r="D1897" t="inlineStr">
        <is>
          <t>Bluestone Outpatient Pavilion</t>
        </is>
      </c>
      <c r="E1897" t="inlineStr">
        <is>
          <t>Primary Care Clinic</t>
        </is>
      </c>
      <c r="F1897" t="inlineStr">
        <is>
          <t>Ambulatory</t>
        </is>
      </c>
      <c r="G1897" s="29" t="n">
        <v>45916</v>
      </c>
      <c r="H1897" s="29" t="n">
        <v>45916</v>
      </c>
      <c r="I1897" s="30" t="n"/>
      <c r="J1897" t="inlineStr">
        <is>
          <t>J06.9</t>
        </is>
      </c>
      <c r="K1897" t="inlineStr">
        <is>
          <t>Acute upper respiratory infection, unspecified</t>
        </is>
      </c>
      <c r="L1897" t="inlineStr">
        <is>
          <t>Respiratory</t>
        </is>
      </c>
      <c r="M1897" t="inlineStr">
        <is>
          <t>Home/Self-Care</t>
        </is>
      </c>
      <c r="N1897" t="inlineStr">
        <is>
          <t>Keystone Health Partners</t>
        </is>
      </c>
      <c r="O1897" s="31" t="n">
        <v>296.37</v>
      </c>
    </row>
    <row r="1898">
      <c r="A1898" t="inlineStr">
        <is>
          <t>ENC118508</t>
        </is>
      </c>
      <c r="B1898" t="inlineStr">
        <is>
          <t>PT13792</t>
        </is>
      </c>
      <c r="C1898" t="inlineStr">
        <is>
          <t>Outpatient</t>
        </is>
      </c>
      <c r="D1898" t="inlineStr">
        <is>
          <t>Bluestone Outpatient Pavilion</t>
        </is>
      </c>
      <c r="E1898" t="inlineStr">
        <is>
          <t>Primary Care Clinic</t>
        </is>
      </c>
      <c r="F1898" t="inlineStr">
        <is>
          <t>Ambulatory</t>
        </is>
      </c>
      <c r="G1898" s="29" t="n">
        <v>45916</v>
      </c>
      <c r="H1898" s="29" t="n">
        <v>45916</v>
      </c>
      <c r="I1898" s="30" t="n"/>
      <c r="J1898" t="inlineStr">
        <is>
          <t>E78.5</t>
        </is>
      </c>
      <c r="K1898" t="inlineStr">
        <is>
          <t>Hyperlipidemia, unspecified</t>
        </is>
      </c>
      <c r="L1898" t="inlineStr">
        <is>
          <t>Endocrine</t>
        </is>
      </c>
      <c r="M1898" t="inlineStr">
        <is>
          <t>Home/Self-Care</t>
        </is>
      </c>
      <c r="N1898" t="inlineStr">
        <is>
          <t>Medicare</t>
        </is>
      </c>
      <c r="O1898" s="31" t="n">
        <v>243.21</v>
      </c>
    </row>
    <row r="1899">
      <c r="A1899" t="inlineStr">
        <is>
          <t>ENC118512</t>
        </is>
      </c>
      <c r="B1899" t="inlineStr">
        <is>
          <t>PT12896</t>
        </is>
      </c>
      <c r="C1899" t="inlineStr">
        <is>
          <t>Inpatient</t>
        </is>
      </c>
      <c r="D1899" t="inlineStr">
        <is>
          <t>Bluestone Memorial Hospital</t>
        </is>
      </c>
      <c r="E1899" t="inlineStr">
        <is>
          <t>Neuroscience &amp; Stroke</t>
        </is>
      </c>
      <c r="F1899" t="inlineStr">
        <is>
          <t>Neuroscience</t>
        </is>
      </c>
      <c r="G1899" s="29" t="n">
        <v>45916</v>
      </c>
      <c r="H1899" s="29" t="n">
        <v>45918</v>
      </c>
      <c r="I1899" s="30" t="n">
        <v>2</v>
      </c>
      <c r="J1899" t="inlineStr">
        <is>
          <t>G40.909</t>
        </is>
      </c>
      <c r="K1899" t="inlineStr">
        <is>
          <t>Epilepsy, unspecified, not intractable, without status epilepticus</t>
        </is>
      </c>
      <c r="L1899" t="inlineStr">
        <is>
          <t>Nervous System</t>
        </is>
      </c>
      <c r="M1899" t="inlineStr">
        <is>
          <t>Home/Self-Care</t>
        </is>
      </c>
      <c r="N1899" t="inlineStr">
        <is>
          <t>Silverline Medicare Advantage</t>
        </is>
      </c>
      <c r="O1899" s="31" t="n">
        <v>14887.22</v>
      </c>
      <c r="P1899" t="inlineStr">
        <is>
          <t>N</t>
        </is>
      </c>
    </row>
    <row r="1900">
      <c r="A1900" t="inlineStr">
        <is>
          <t>ENC118515</t>
        </is>
      </c>
      <c r="B1900" t="inlineStr">
        <is>
          <t>PT11500</t>
        </is>
      </c>
      <c r="C1900" t="inlineStr">
        <is>
          <t>Observation</t>
        </is>
      </c>
      <c r="D1900" t="inlineStr">
        <is>
          <t>Bluestone Memorial Hospital</t>
        </is>
      </c>
      <c r="E1900" t="inlineStr">
        <is>
          <t>Observation Unit</t>
        </is>
      </c>
      <c r="F1900" t="inlineStr">
        <is>
          <t>Medicine</t>
        </is>
      </c>
      <c r="G1900" s="29" t="n">
        <v>45916</v>
      </c>
      <c r="H1900" s="29" t="n">
        <v>45917</v>
      </c>
      <c r="I1900" s="30" t="n">
        <v>1</v>
      </c>
      <c r="J1900" t="inlineStr">
        <is>
          <t>E86.0</t>
        </is>
      </c>
      <c r="K1900" t="inlineStr">
        <is>
          <t>Dehydration</t>
        </is>
      </c>
      <c r="L1900" t="inlineStr">
        <is>
          <t>Endocrine</t>
        </is>
      </c>
      <c r="M1900" t="inlineStr">
        <is>
          <t>Home/Self-Care</t>
        </is>
      </c>
      <c r="N1900" t="inlineStr">
        <is>
          <t>Medicare</t>
        </is>
      </c>
      <c r="O1900" s="31" t="n">
        <v>5143.63</v>
      </c>
    </row>
    <row r="1901">
      <c r="A1901" t="inlineStr">
        <is>
          <t>ENC118516</t>
        </is>
      </c>
      <c r="B1901" t="inlineStr">
        <is>
          <t>PT11760</t>
        </is>
      </c>
      <c r="C1901" t="inlineStr">
        <is>
          <t>Inpatient</t>
        </is>
      </c>
      <c r="D1901" t="inlineStr">
        <is>
          <t>Bluestone Memorial Hospital</t>
        </is>
      </c>
      <c r="E1901" t="inlineStr">
        <is>
          <t>Medical-Surgical 5 East</t>
        </is>
      </c>
      <c r="F1901" t="inlineStr">
        <is>
          <t>Medicine</t>
        </is>
      </c>
      <c r="G1901" s="29" t="n">
        <v>45916</v>
      </c>
      <c r="H1901" s="29" t="n">
        <v>45922</v>
      </c>
      <c r="I1901" s="30" t="n">
        <v>6</v>
      </c>
      <c r="J1901" t="inlineStr">
        <is>
          <t>A41.9</t>
        </is>
      </c>
      <c r="K1901" t="inlineStr">
        <is>
          <t>Sepsis, unspecified organism</t>
        </is>
      </c>
      <c r="L1901" t="inlineStr">
        <is>
          <t>Infectious</t>
        </is>
      </c>
      <c r="M1901" t="inlineStr">
        <is>
          <t>Home Health</t>
        </is>
      </c>
      <c r="N1901" t="inlineStr">
        <is>
          <t>State Medicaid</t>
        </is>
      </c>
      <c r="O1901" s="31" t="n">
        <v>51451.05</v>
      </c>
      <c r="P1901" t="inlineStr">
        <is>
          <t>Y</t>
        </is>
      </c>
    </row>
    <row r="1902">
      <c r="A1902" t="inlineStr">
        <is>
          <t>ENC118520</t>
        </is>
      </c>
      <c r="B1902" t="inlineStr">
        <is>
          <t>PT11380</t>
        </is>
      </c>
      <c r="C1902" t="inlineStr">
        <is>
          <t>Emergency</t>
        </is>
      </c>
      <c r="D1902" t="inlineStr">
        <is>
          <t>Bluestone Memorial Hospital</t>
        </is>
      </c>
      <c r="E1902" t="inlineStr">
        <is>
          <t>Emergency Department</t>
        </is>
      </c>
      <c r="F1902" t="inlineStr">
        <is>
          <t>Emergency</t>
        </is>
      </c>
      <c r="G1902" s="29" t="n">
        <v>45916</v>
      </c>
      <c r="H1902" s="29" t="n">
        <v>45917</v>
      </c>
      <c r="I1902" s="30" t="n"/>
      <c r="J1902" t="inlineStr">
        <is>
          <t>N39.0</t>
        </is>
      </c>
      <c r="K1902" t="inlineStr">
        <is>
          <t>Urinary tract infection, site not specified</t>
        </is>
      </c>
      <c r="L1902" t="inlineStr">
        <is>
          <t>Genitourinary</t>
        </is>
      </c>
      <c r="M1902" t="inlineStr">
        <is>
          <t>Home/Self-Care</t>
        </is>
      </c>
      <c r="N1902" t="inlineStr">
        <is>
          <t>Medicare</t>
        </is>
      </c>
      <c r="O1902" s="31" t="n">
        <v>3031.41</v>
      </c>
    </row>
    <row r="1903">
      <c r="A1903" t="inlineStr">
        <is>
          <t>ENC118523</t>
        </is>
      </c>
      <c r="B1903" t="inlineStr">
        <is>
          <t>PT11696</t>
        </is>
      </c>
      <c r="C1903" t="inlineStr">
        <is>
          <t>Emergency</t>
        </is>
      </c>
      <c r="D1903" t="inlineStr">
        <is>
          <t>Bluestone Memorial Hospital</t>
        </is>
      </c>
      <c r="E1903" t="inlineStr">
        <is>
          <t>Emergency Department</t>
        </is>
      </c>
      <c r="F1903" t="inlineStr">
        <is>
          <t>Emergency</t>
        </is>
      </c>
      <c r="G1903" s="29" t="n">
        <v>45917</v>
      </c>
      <c r="H1903" s="29" t="n">
        <v>45917</v>
      </c>
      <c r="I1903" s="30" t="n"/>
      <c r="J1903" t="inlineStr">
        <is>
          <t>N39.0</t>
        </is>
      </c>
      <c r="K1903" t="inlineStr">
        <is>
          <t>Urinary tract infection, site not specified</t>
        </is>
      </c>
      <c r="L1903" t="inlineStr">
        <is>
          <t>Genitourinary</t>
        </is>
      </c>
      <c r="M1903" t="inlineStr">
        <is>
          <t>Home/Self-Care</t>
        </is>
      </c>
      <c r="N1903" t="inlineStr">
        <is>
          <t>Medicare</t>
        </is>
      </c>
      <c r="O1903" s="31" t="n">
        <v>970.88</v>
      </c>
    </row>
    <row r="1904">
      <c r="A1904" t="inlineStr">
        <is>
          <t>ENC118525</t>
        </is>
      </c>
      <c r="B1904" t="inlineStr">
        <is>
          <t>PT12188</t>
        </is>
      </c>
      <c r="C1904" t="inlineStr">
        <is>
          <t>Outpatient</t>
        </is>
      </c>
      <c r="D1904" t="inlineStr">
        <is>
          <t>Bluestone Outpatient Pavilion</t>
        </is>
      </c>
      <c r="E1904" t="inlineStr">
        <is>
          <t>Primary Care Clinic</t>
        </is>
      </c>
      <c r="F1904" t="inlineStr">
        <is>
          <t>Ambulatory</t>
        </is>
      </c>
      <c r="G1904" s="29" t="n">
        <v>45917</v>
      </c>
      <c r="H1904" s="29" t="n">
        <v>45917</v>
      </c>
      <c r="I1904" s="30" t="n"/>
      <c r="J1904" t="inlineStr">
        <is>
          <t>Z00.00</t>
        </is>
      </c>
      <c r="K1904" t="inlineStr">
        <is>
          <t>Encounter for general adult medical examination without abnormal findings</t>
        </is>
      </c>
      <c r="L1904" t="inlineStr">
        <is>
          <t>Factors Influencing Health</t>
        </is>
      </c>
      <c r="M1904" t="inlineStr">
        <is>
          <t>Home/Self-Care</t>
        </is>
      </c>
      <c r="N1904" t="inlineStr">
        <is>
          <t>State Medicaid</t>
        </is>
      </c>
      <c r="O1904" s="31" t="n">
        <v>228.08</v>
      </c>
    </row>
    <row r="1905">
      <c r="A1905" t="inlineStr">
        <is>
          <t>ENC118526</t>
        </is>
      </c>
      <c r="B1905" t="inlineStr">
        <is>
          <t>PT11624</t>
        </is>
      </c>
      <c r="C1905" t="inlineStr">
        <is>
          <t>Emergency</t>
        </is>
      </c>
      <c r="D1905" t="inlineStr">
        <is>
          <t>Bluestone Memorial Hospital</t>
        </is>
      </c>
      <c r="E1905" t="inlineStr">
        <is>
          <t>Emergency Department</t>
        </is>
      </c>
      <c r="F1905" t="inlineStr">
        <is>
          <t>Emergency</t>
        </is>
      </c>
      <c r="G1905" s="29" t="n">
        <v>45917</v>
      </c>
      <c r="H1905" s="29" t="n">
        <v>45917</v>
      </c>
      <c r="I1905" s="30" t="n"/>
      <c r="J1905" t="inlineStr">
        <is>
          <t>N39.0</t>
        </is>
      </c>
      <c r="K1905" t="inlineStr">
        <is>
          <t>Urinary tract infection, site not specified</t>
        </is>
      </c>
      <c r="L1905" t="inlineStr">
        <is>
          <t>Genitourinary</t>
        </is>
      </c>
      <c r="M1905" t="inlineStr">
        <is>
          <t>Home/Self-Care</t>
        </is>
      </c>
      <c r="N1905" t="inlineStr">
        <is>
          <t>State Medicaid</t>
        </is>
      </c>
      <c r="O1905" s="31" t="n">
        <v>3181.79</v>
      </c>
    </row>
    <row r="1906">
      <c r="A1906" t="inlineStr">
        <is>
          <t>ENC118528</t>
        </is>
      </c>
      <c r="B1906" t="inlineStr">
        <is>
          <t>PT12144</t>
        </is>
      </c>
      <c r="C1906" t="inlineStr">
        <is>
          <t>Outpatient</t>
        </is>
      </c>
      <c r="D1906" t="inlineStr">
        <is>
          <t>Bluestone Outpatient Pavilion</t>
        </is>
      </c>
      <c r="E1906" t="inlineStr">
        <is>
          <t>Infusion &amp; Oncology Clinic</t>
        </is>
      </c>
      <c r="F1906" t="inlineStr">
        <is>
          <t>Oncology</t>
        </is>
      </c>
      <c r="G1906" s="29" t="n">
        <v>45917</v>
      </c>
      <c r="H1906" s="29" t="n">
        <v>45917</v>
      </c>
      <c r="I1906" s="30" t="n"/>
      <c r="J1906" t="inlineStr">
        <is>
          <t>C34.90</t>
        </is>
      </c>
      <c r="K1906" t="inlineStr">
        <is>
          <t>Malignant neoplasm of unspecified part of unspecified bronchus or lung</t>
        </is>
      </c>
      <c r="L1906" t="inlineStr">
        <is>
          <t>Neoplasms</t>
        </is>
      </c>
      <c r="M1906" t="inlineStr">
        <is>
          <t>Home/Self-Care</t>
        </is>
      </c>
      <c r="N1906" t="inlineStr">
        <is>
          <t>Medicare</t>
        </is>
      </c>
      <c r="O1906" s="31" t="n">
        <v>841.79</v>
      </c>
    </row>
    <row r="1907">
      <c r="A1907" t="inlineStr">
        <is>
          <t>ENC118530</t>
        </is>
      </c>
      <c r="B1907" t="inlineStr">
        <is>
          <t>PT11488</t>
        </is>
      </c>
      <c r="C1907" t="inlineStr">
        <is>
          <t>Outpatient</t>
        </is>
      </c>
      <c r="D1907" t="inlineStr">
        <is>
          <t>Bluestone Outpatient Pavilion</t>
        </is>
      </c>
      <c r="E1907" t="inlineStr">
        <is>
          <t>Primary Care Clinic</t>
        </is>
      </c>
      <c r="F1907" t="inlineStr">
        <is>
          <t>Ambulatory</t>
        </is>
      </c>
      <c r="G1907" s="29" t="n">
        <v>45917</v>
      </c>
      <c r="H1907" s="29" t="n">
        <v>45917</v>
      </c>
      <c r="I1907" s="30" t="n"/>
      <c r="J1907" t="inlineStr">
        <is>
          <t>E78.5</t>
        </is>
      </c>
      <c r="K1907" t="inlineStr">
        <is>
          <t>Hyperlipidemia, unspecified</t>
        </is>
      </c>
      <c r="L1907" t="inlineStr">
        <is>
          <t>Endocrine</t>
        </is>
      </c>
      <c r="M1907" t="inlineStr">
        <is>
          <t>Home/Self-Care</t>
        </is>
      </c>
      <c r="N1907" t="inlineStr">
        <is>
          <t>Self-Pay</t>
        </is>
      </c>
      <c r="O1907" s="31" t="n">
        <v>393.67</v>
      </c>
    </row>
    <row r="1908">
      <c r="A1908" t="inlineStr">
        <is>
          <t>ENC118531</t>
        </is>
      </c>
      <c r="B1908" t="inlineStr">
        <is>
          <t>PT13744</t>
        </is>
      </c>
      <c r="C1908" t="inlineStr">
        <is>
          <t>Emergency</t>
        </is>
      </c>
      <c r="D1908" t="inlineStr">
        <is>
          <t>Bluestone Memorial Hospital</t>
        </is>
      </c>
      <c r="E1908" t="inlineStr">
        <is>
          <t>Emergency Department</t>
        </is>
      </c>
      <c r="F1908" t="inlineStr">
        <is>
          <t>Emergency</t>
        </is>
      </c>
      <c r="G1908" s="29" t="n">
        <v>45917</v>
      </c>
      <c r="H1908" s="29" t="n">
        <v>45917</v>
      </c>
      <c r="I1908" s="30" t="n"/>
      <c r="J1908" t="inlineStr">
        <is>
          <t>S93.401A</t>
        </is>
      </c>
      <c r="K1908" t="inlineStr">
        <is>
          <t>Sprain of unspecified ligament of right ankle, initial encounter</t>
        </is>
      </c>
      <c r="L1908" t="inlineStr">
        <is>
          <t>Injury</t>
        </is>
      </c>
      <c r="M1908" t="inlineStr">
        <is>
          <t>Home/Self-Care</t>
        </is>
      </c>
      <c r="N1908" t="inlineStr">
        <is>
          <t>Medicare</t>
        </is>
      </c>
      <c r="O1908" s="31" t="n">
        <v>1726.81</v>
      </c>
    </row>
    <row r="1909">
      <c r="A1909" t="inlineStr">
        <is>
          <t>ENC118533</t>
        </is>
      </c>
      <c r="B1909" t="inlineStr">
        <is>
          <t>PT10124</t>
        </is>
      </c>
      <c r="C1909" t="inlineStr">
        <is>
          <t>Outpatient</t>
        </is>
      </c>
      <c r="D1909" t="inlineStr">
        <is>
          <t>Bluestone Outpatient Pavilion</t>
        </is>
      </c>
      <c r="E1909" t="inlineStr">
        <is>
          <t>Pediatric Clinic</t>
        </is>
      </c>
      <c r="F1909" t="inlineStr">
        <is>
          <t>Women &amp; Children</t>
        </is>
      </c>
      <c r="G1909" s="29" t="n">
        <v>45917</v>
      </c>
      <c r="H1909" s="29" t="n">
        <v>45917</v>
      </c>
      <c r="I1909" s="30" t="n"/>
      <c r="J1909" t="inlineStr">
        <is>
          <t>Z00.129</t>
        </is>
      </c>
      <c r="K1909" t="inlineStr">
        <is>
          <t>Encounter for routine child health examination without abnormal findings</t>
        </is>
      </c>
      <c r="L1909" t="inlineStr">
        <is>
          <t>Factors Influencing Health</t>
        </is>
      </c>
      <c r="M1909" t="inlineStr">
        <is>
          <t>Home/Self-Care</t>
        </is>
      </c>
      <c r="N1909" t="inlineStr">
        <is>
          <t>State Medicaid</t>
        </is>
      </c>
      <c r="O1909" s="31" t="n">
        <v>265.74</v>
      </c>
    </row>
    <row r="1910">
      <c r="A1910" t="inlineStr">
        <is>
          <t>ENC118534</t>
        </is>
      </c>
      <c r="B1910" t="inlineStr">
        <is>
          <t>PT11804</t>
        </is>
      </c>
      <c r="C1910" t="inlineStr">
        <is>
          <t>Outpatient</t>
        </is>
      </c>
      <c r="D1910" t="inlineStr">
        <is>
          <t>Bluestone Outpatient Pavilion</t>
        </is>
      </c>
      <c r="E1910" t="inlineStr">
        <is>
          <t>Infusion &amp; Oncology Clinic</t>
        </is>
      </c>
      <c r="F1910" t="inlineStr">
        <is>
          <t>Oncology</t>
        </is>
      </c>
      <c r="G1910" s="29" t="n">
        <v>45917</v>
      </c>
      <c r="H1910" s="29" t="n">
        <v>45917</v>
      </c>
      <c r="I1910" s="30" t="n"/>
      <c r="J1910" t="inlineStr">
        <is>
          <t>Z51.11</t>
        </is>
      </c>
      <c r="K1910" t="inlineStr">
        <is>
          <t>Encounter for antineoplastic chemotherapy</t>
        </is>
      </c>
      <c r="L1910" t="inlineStr">
        <is>
          <t>Factors Influencing Health</t>
        </is>
      </c>
      <c r="M1910" t="inlineStr">
        <is>
          <t>Home/Self-Care</t>
        </is>
      </c>
      <c r="N1910" t="inlineStr">
        <is>
          <t>Summit Choice PPO</t>
        </is>
      </c>
      <c r="O1910" s="31" t="n">
        <v>8579.049999999999</v>
      </c>
    </row>
    <row r="1911">
      <c r="A1911" t="inlineStr">
        <is>
          <t>ENC118536</t>
        </is>
      </c>
      <c r="B1911" t="inlineStr">
        <is>
          <t>PT13196</t>
        </is>
      </c>
      <c r="C1911" t="inlineStr">
        <is>
          <t>Outpatient</t>
        </is>
      </c>
      <c r="D1911" t="inlineStr">
        <is>
          <t>Bluestone Outpatient Pavilion</t>
        </is>
      </c>
      <c r="E1911" t="inlineStr">
        <is>
          <t>Primary Care Clinic</t>
        </is>
      </c>
      <c r="F1911" t="inlineStr">
        <is>
          <t>Ambulatory</t>
        </is>
      </c>
      <c r="G1911" s="29" t="n">
        <v>45917</v>
      </c>
      <c r="H1911" s="29" t="n">
        <v>45917</v>
      </c>
      <c r="I1911" s="30" t="n"/>
      <c r="J1911" t="inlineStr">
        <is>
          <t>I10</t>
        </is>
      </c>
      <c r="K1911" t="inlineStr">
        <is>
          <t>Essential (primary) hypertension</t>
        </is>
      </c>
      <c r="L1911" t="inlineStr">
        <is>
          <t>Circulatory</t>
        </is>
      </c>
      <c r="M1911" t="inlineStr">
        <is>
          <t>Home/Self-Care</t>
        </is>
      </c>
      <c r="N1911" t="inlineStr">
        <is>
          <t>Silverline Medicare Advantage</t>
        </is>
      </c>
      <c r="O1911" s="31" t="n">
        <v>260.82</v>
      </c>
    </row>
    <row r="1912">
      <c r="A1912" t="inlineStr">
        <is>
          <t>ENC118540</t>
        </is>
      </c>
      <c r="B1912" t="inlineStr">
        <is>
          <t>PT10404</t>
        </is>
      </c>
      <c r="C1912" t="inlineStr">
        <is>
          <t>Emergency</t>
        </is>
      </c>
      <c r="D1912" t="inlineStr">
        <is>
          <t>Bluestone Memorial Hospital</t>
        </is>
      </c>
      <c r="E1912" t="inlineStr">
        <is>
          <t>Emergency Department</t>
        </is>
      </c>
      <c r="F1912" t="inlineStr">
        <is>
          <t>Emergency</t>
        </is>
      </c>
      <c r="G1912" s="29" t="n">
        <v>45917</v>
      </c>
      <c r="H1912" s="29" t="n">
        <v>45917</v>
      </c>
      <c r="I1912" s="30" t="n"/>
      <c r="J1912" t="inlineStr">
        <is>
          <t>M54.50</t>
        </is>
      </c>
      <c r="K1912" t="inlineStr">
        <is>
          <t>Low back pain, unspecified</t>
        </is>
      </c>
      <c r="L1912" t="inlineStr">
        <is>
          <t>Musculoskeletal</t>
        </is>
      </c>
      <c r="M1912" t="inlineStr">
        <is>
          <t>Home/Self-Care</t>
        </is>
      </c>
      <c r="N1912" t="inlineStr">
        <is>
          <t>Workers' Compensation</t>
        </is>
      </c>
      <c r="O1912" s="31" t="n">
        <v>827.7</v>
      </c>
    </row>
    <row r="1913">
      <c r="A1913" t="inlineStr">
        <is>
          <t>ENC118542</t>
        </is>
      </c>
      <c r="B1913" t="inlineStr">
        <is>
          <t>PT10420</t>
        </is>
      </c>
      <c r="C1913" t="inlineStr">
        <is>
          <t>Outpatient</t>
        </is>
      </c>
      <c r="D1913" t="inlineStr">
        <is>
          <t>Bluestone Outpatient Pavilion</t>
        </is>
      </c>
      <c r="E1913" t="inlineStr">
        <is>
          <t>Primary Care Clinic</t>
        </is>
      </c>
      <c r="F1913" t="inlineStr">
        <is>
          <t>Ambulatory</t>
        </is>
      </c>
      <c r="G1913" s="29" t="n">
        <v>45917</v>
      </c>
      <c r="H1913" s="29" t="n">
        <v>45917</v>
      </c>
      <c r="I1913" s="30" t="n"/>
      <c r="J1913" t="inlineStr">
        <is>
          <t>G43.909</t>
        </is>
      </c>
      <c r="K1913" t="inlineStr">
        <is>
          <t>Migraine, unspecified, not intractable, without status migrainosus</t>
        </is>
      </c>
      <c r="L1913" t="inlineStr">
        <is>
          <t>Nervous System</t>
        </is>
      </c>
      <c r="M1913" t="inlineStr">
        <is>
          <t>Home/Self-Care</t>
        </is>
      </c>
      <c r="N1913" t="inlineStr">
        <is>
          <t>Evergreen Mutual Insurance</t>
        </is>
      </c>
      <c r="O1913" s="31" t="n">
        <v>518.53</v>
      </c>
    </row>
    <row r="1914">
      <c r="A1914" t="inlineStr">
        <is>
          <t>ENC118547</t>
        </is>
      </c>
      <c r="B1914" t="inlineStr">
        <is>
          <t>PT12304</t>
        </is>
      </c>
      <c r="C1914" t="inlineStr">
        <is>
          <t>Observation</t>
        </is>
      </c>
      <c r="D1914" t="inlineStr">
        <is>
          <t>Bluestone Memorial Hospital</t>
        </is>
      </c>
      <c r="E1914" t="inlineStr">
        <is>
          <t>Observation Unit</t>
        </is>
      </c>
      <c r="F1914" t="inlineStr">
        <is>
          <t>Medicine</t>
        </is>
      </c>
      <c r="G1914" s="29" t="n">
        <v>45917</v>
      </c>
      <c r="H1914" s="29" t="n">
        <v>45920</v>
      </c>
      <c r="I1914" s="30" t="n">
        <v>3</v>
      </c>
      <c r="J1914" t="inlineStr">
        <is>
          <t>R55</t>
        </is>
      </c>
      <c r="K1914" t="inlineStr">
        <is>
          <t>Syncope and collapse</t>
        </is>
      </c>
      <c r="L1914" t="inlineStr">
        <is>
          <t>Symptoms &amp; Signs</t>
        </is>
      </c>
      <c r="M1914" t="inlineStr">
        <is>
          <t>Home/Self-Care</t>
        </is>
      </c>
      <c r="N1914" t="inlineStr">
        <is>
          <t>Medicare</t>
        </is>
      </c>
      <c r="O1914" s="31" t="n">
        <v>12529.79</v>
      </c>
    </row>
    <row r="1915">
      <c r="A1915" t="inlineStr">
        <is>
          <t>ENC118555</t>
        </is>
      </c>
      <c r="B1915" t="inlineStr">
        <is>
          <t>PT13828</t>
        </is>
      </c>
      <c r="C1915" t="inlineStr">
        <is>
          <t>Inpatient</t>
        </is>
      </c>
      <c r="D1915" t="inlineStr">
        <is>
          <t>Bluestone Memorial Hospital</t>
        </is>
      </c>
      <c r="E1915" t="inlineStr">
        <is>
          <t>Orthopedics &amp; Spine</t>
        </is>
      </c>
      <c r="F1915" t="inlineStr">
        <is>
          <t>Orthopedics</t>
        </is>
      </c>
      <c r="G1915" s="29" t="n">
        <v>45918</v>
      </c>
      <c r="H1915" s="29" t="n">
        <v>45923</v>
      </c>
      <c r="I1915" s="30" t="n">
        <v>5</v>
      </c>
      <c r="J1915" t="inlineStr">
        <is>
          <t>M17.11</t>
        </is>
      </c>
      <c r="K1915" t="inlineStr">
        <is>
          <t>Unilateral primary osteoarthritis, right knee</t>
        </is>
      </c>
      <c r="L1915" t="inlineStr">
        <is>
          <t>Musculoskeletal</t>
        </is>
      </c>
      <c r="M1915" t="inlineStr">
        <is>
          <t>Home Health</t>
        </is>
      </c>
      <c r="N1915" t="inlineStr">
        <is>
          <t>Medicare</t>
        </is>
      </c>
      <c r="O1915" s="31" t="n">
        <v>39561.21</v>
      </c>
      <c r="P1915" t="inlineStr">
        <is>
          <t>N</t>
        </is>
      </c>
    </row>
    <row r="1916">
      <c r="A1916" t="inlineStr">
        <is>
          <t>ENC118567</t>
        </is>
      </c>
      <c r="B1916" t="inlineStr">
        <is>
          <t>PT11116</t>
        </is>
      </c>
      <c r="C1916" t="inlineStr">
        <is>
          <t>Outpatient</t>
        </is>
      </c>
      <c r="D1916" t="inlineStr">
        <is>
          <t>Bluestone Outpatient Pavilion</t>
        </is>
      </c>
      <c r="E1916" t="inlineStr">
        <is>
          <t>Orthopedic Clinic</t>
        </is>
      </c>
      <c r="F1916" t="inlineStr">
        <is>
          <t>Orthopedics</t>
        </is>
      </c>
      <c r="G1916" s="29" t="n">
        <v>45918</v>
      </c>
      <c r="H1916" s="29" t="n">
        <v>45918</v>
      </c>
      <c r="I1916" s="30" t="n"/>
      <c r="J1916" t="inlineStr">
        <is>
          <t>S93.401A</t>
        </is>
      </c>
      <c r="K1916" t="inlineStr">
        <is>
          <t>Sprain of unspecified ligament of right ankle, initial encounter</t>
        </is>
      </c>
      <c r="L1916" t="inlineStr">
        <is>
          <t>Injury</t>
        </is>
      </c>
      <c r="M1916" t="inlineStr">
        <is>
          <t>Home/Self-Care</t>
        </is>
      </c>
      <c r="N1916" t="inlineStr">
        <is>
          <t>State Medicaid</t>
        </is>
      </c>
      <c r="O1916" s="31" t="n">
        <v>441.98</v>
      </c>
    </row>
    <row r="1917">
      <c r="A1917" t="inlineStr">
        <is>
          <t>ENC118568</t>
        </is>
      </c>
      <c r="B1917" t="inlineStr">
        <is>
          <t>PT13984</t>
        </is>
      </c>
      <c r="C1917" t="inlineStr">
        <is>
          <t>Outpatient</t>
        </is>
      </c>
      <c r="D1917" t="inlineStr">
        <is>
          <t>Bluestone Outpatient Pavilion</t>
        </is>
      </c>
      <c r="E1917" t="inlineStr">
        <is>
          <t>Primary Care Clinic</t>
        </is>
      </c>
      <c r="F1917" t="inlineStr">
        <is>
          <t>Ambulatory</t>
        </is>
      </c>
      <c r="G1917" s="29" t="n">
        <v>45918</v>
      </c>
      <c r="H1917" s="29" t="n">
        <v>45918</v>
      </c>
      <c r="I1917" s="30" t="n"/>
      <c r="J1917" t="inlineStr">
        <is>
          <t>Z00.00</t>
        </is>
      </c>
      <c r="K1917" t="inlineStr">
        <is>
          <t>Encounter for general adult medical examination without abnormal findings</t>
        </is>
      </c>
      <c r="L1917" t="inlineStr">
        <is>
          <t>Factors Influencing Health</t>
        </is>
      </c>
      <c r="M1917" t="inlineStr">
        <is>
          <t>Home/Self-Care</t>
        </is>
      </c>
      <c r="N1917" t="inlineStr">
        <is>
          <t>Medicare</t>
        </is>
      </c>
      <c r="O1917" s="31" t="n">
        <v>385.01</v>
      </c>
    </row>
    <row r="1918">
      <c r="A1918" t="inlineStr">
        <is>
          <t>ENC118570</t>
        </is>
      </c>
      <c r="B1918" t="inlineStr">
        <is>
          <t>PT11232</t>
        </is>
      </c>
      <c r="C1918" t="inlineStr">
        <is>
          <t>Outpatient</t>
        </is>
      </c>
      <c r="D1918" t="inlineStr">
        <is>
          <t>Bluestone Outpatient Pavilion</t>
        </is>
      </c>
      <c r="E1918" t="inlineStr">
        <is>
          <t>Primary Care Clinic</t>
        </is>
      </c>
      <c r="F1918" t="inlineStr">
        <is>
          <t>Ambulatory</t>
        </is>
      </c>
      <c r="G1918" s="29" t="n">
        <v>45918</v>
      </c>
      <c r="H1918" s="29" t="n">
        <v>45918</v>
      </c>
      <c r="I1918" s="30" t="n"/>
      <c r="J1918" t="inlineStr">
        <is>
          <t>F41.9</t>
        </is>
      </c>
      <c r="K1918" t="inlineStr">
        <is>
          <t>Anxiety disorder, unspecified</t>
        </is>
      </c>
      <c r="L1918" t="inlineStr">
        <is>
          <t>Mental &amp; Behavioral</t>
        </is>
      </c>
      <c r="M1918" t="inlineStr">
        <is>
          <t>Home/Self-Care</t>
        </is>
      </c>
      <c r="N1918" t="inlineStr">
        <is>
          <t>State Medicaid</t>
        </is>
      </c>
      <c r="O1918" s="31" t="n">
        <v>204.05</v>
      </c>
    </row>
    <row r="1919">
      <c r="A1919" t="inlineStr">
        <is>
          <t>ENC118572</t>
        </is>
      </c>
      <c r="B1919" t="inlineStr">
        <is>
          <t>PT11824</t>
        </is>
      </c>
      <c r="C1919" t="inlineStr">
        <is>
          <t>Outpatient</t>
        </is>
      </c>
      <c r="D1919" t="inlineStr">
        <is>
          <t>Bluestone Outpatient Pavilion</t>
        </is>
      </c>
      <c r="E1919" t="inlineStr">
        <is>
          <t>Primary Care Clinic</t>
        </is>
      </c>
      <c r="F1919" t="inlineStr">
        <is>
          <t>Ambulatory</t>
        </is>
      </c>
      <c r="G1919" s="29" t="n">
        <v>45918</v>
      </c>
      <c r="H1919" s="29" t="n">
        <v>45918</v>
      </c>
      <c r="I1919" s="30" t="n"/>
      <c r="J1919" t="inlineStr">
        <is>
          <t>J06.9</t>
        </is>
      </c>
      <c r="K1919" t="inlineStr">
        <is>
          <t>Acute upper respiratory infection, unspecified</t>
        </is>
      </c>
      <c r="L1919" t="inlineStr">
        <is>
          <t>Respiratory</t>
        </is>
      </c>
      <c r="M1919" t="inlineStr">
        <is>
          <t>Home/Self-Care</t>
        </is>
      </c>
      <c r="N1919" t="inlineStr">
        <is>
          <t>Keystone Health Partners</t>
        </is>
      </c>
      <c r="O1919" s="31" t="n">
        <v>296.31</v>
      </c>
    </row>
    <row r="1920">
      <c r="A1920" t="inlineStr">
        <is>
          <t>ENC118578</t>
        </is>
      </c>
      <c r="B1920" t="inlineStr">
        <is>
          <t>PT11688</t>
        </is>
      </c>
      <c r="C1920" t="inlineStr">
        <is>
          <t>Observation</t>
        </is>
      </c>
      <c r="D1920" t="inlineStr">
        <is>
          <t>Bluestone Memorial Hospital</t>
        </is>
      </c>
      <c r="E1920" t="inlineStr">
        <is>
          <t>Observation Unit</t>
        </is>
      </c>
      <c r="F1920" t="inlineStr">
        <is>
          <t>Medicine</t>
        </is>
      </c>
      <c r="G1920" s="29" t="n">
        <v>45918</v>
      </c>
      <c r="H1920" s="29" t="n">
        <v>45920</v>
      </c>
      <c r="I1920" s="30" t="n">
        <v>2</v>
      </c>
      <c r="J1920" t="inlineStr">
        <is>
          <t>I48.91</t>
        </is>
      </c>
      <c r="K1920" t="inlineStr">
        <is>
          <t>Unspecified atrial fibrillation</t>
        </is>
      </c>
      <c r="L1920" t="inlineStr">
        <is>
          <t>Circulatory</t>
        </is>
      </c>
      <c r="M1920" t="inlineStr">
        <is>
          <t>Home/Self-Care</t>
        </is>
      </c>
      <c r="N1920" t="inlineStr">
        <is>
          <t>Silverline Medicare Advantage</t>
        </is>
      </c>
      <c r="O1920" s="31" t="n">
        <v>13916.91</v>
      </c>
    </row>
    <row r="1921">
      <c r="A1921" t="inlineStr">
        <is>
          <t>ENC118580</t>
        </is>
      </c>
      <c r="B1921" t="inlineStr">
        <is>
          <t>PT11180</t>
        </is>
      </c>
      <c r="C1921" t="inlineStr">
        <is>
          <t>Emergency</t>
        </is>
      </c>
      <c r="D1921" t="inlineStr">
        <is>
          <t>Bluestone Memorial Hospital</t>
        </is>
      </c>
      <c r="E1921" t="inlineStr">
        <is>
          <t>Emergency Department</t>
        </is>
      </c>
      <c r="F1921" t="inlineStr">
        <is>
          <t>Emergency</t>
        </is>
      </c>
      <c r="G1921" s="29" t="n">
        <v>45918</v>
      </c>
      <c r="H1921" s="29" t="n">
        <v>45919</v>
      </c>
      <c r="I1921" s="30" t="n"/>
      <c r="J1921" t="inlineStr">
        <is>
          <t>G40.909</t>
        </is>
      </c>
      <c r="K1921" t="inlineStr">
        <is>
          <t>Epilepsy, unspecified, not intractable, without status epilepticus</t>
        </is>
      </c>
      <c r="L1921" t="inlineStr">
        <is>
          <t>Nervous System</t>
        </is>
      </c>
      <c r="M1921" t="inlineStr">
        <is>
          <t>Home/Self-Care</t>
        </is>
      </c>
      <c r="N1921" t="inlineStr">
        <is>
          <t>Keystone Health Partners</t>
        </is>
      </c>
      <c r="O1921" s="31" t="n">
        <v>4124.51</v>
      </c>
    </row>
    <row r="1922">
      <c r="A1922" t="inlineStr">
        <is>
          <t>ENC118583</t>
        </is>
      </c>
      <c r="B1922" t="inlineStr">
        <is>
          <t>PT11640</t>
        </is>
      </c>
      <c r="C1922" t="inlineStr">
        <is>
          <t>Emergency</t>
        </is>
      </c>
      <c r="D1922" t="inlineStr">
        <is>
          <t>Bluestone Memorial Hospital</t>
        </is>
      </c>
      <c r="E1922" t="inlineStr">
        <is>
          <t>Emergency Department</t>
        </is>
      </c>
      <c r="F1922" t="inlineStr">
        <is>
          <t>Emergency</t>
        </is>
      </c>
      <c r="G1922" s="29" t="n">
        <v>45919</v>
      </c>
      <c r="H1922" s="29" t="n">
        <v>45919</v>
      </c>
      <c r="I1922" s="30" t="n"/>
      <c r="J1922" t="inlineStr">
        <is>
          <t>A08.4</t>
        </is>
      </c>
      <c r="K1922" t="inlineStr">
        <is>
          <t>Viral intestinal infection, unspecified</t>
        </is>
      </c>
      <c r="L1922" t="inlineStr">
        <is>
          <t>Infectious</t>
        </is>
      </c>
      <c r="M1922" t="inlineStr">
        <is>
          <t>Home/Self-Care</t>
        </is>
      </c>
      <c r="N1922" t="inlineStr">
        <is>
          <t>State Medicaid</t>
        </is>
      </c>
      <c r="O1922" s="31" t="n">
        <v>1508.58</v>
      </c>
    </row>
    <row r="1923">
      <c r="A1923" t="inlineStr">
        <is>
          <t>ENC118585</t>
        </is>
      </c>
      <c r="B1923" t="inlineStr">
        <is>
          <t>PT11664</t>
        </is>
      </c>
      <c r="C1923" t="inlineStr">
        <is>
          <t>Inpatient</t>
        </is>
      </c>
      <c r="D1923" t="inlineStr">
        <is>
          <t>Bluestone Memorial Hospital</t>
        </is>
      </c>
      <c r="E1923" t="inlineStr">
        <is>
          <t>Labor &amp; Delivery</t>
        </is>
      </c>
      <c r="F1923" t="inlineStr">
        <is>
          <t>Women &amp; Children</t>
        </is>
      </c>
      <c r="G1923" s="29" t="n">
        <v>45919</v>
      </c>
      <c r="H1923" s="29" t="n">
        <v>45922</v>
      </c>
      <c r="I1923" s="30" t="n">
        <v>3</v>
      </c>
      <c r="J1923" t="inlineStr">
        <is>
          <t>O80</t>
        </is>
      </c>
      <c r="K1923" t="inlineStr">
        <is>
          <t>Encounter for full-term uncomplicated delivery</t>
        </is>
      </c>
      <c r="L1923" t="inlineStr">
        <is>
          <t>Pregnancy</t>
        </is>
      </c>
      <c r="M1923" t="inlineStr">
        <is>
          <t>Home/Self-Care</t>
        </is>
      </c>
      <c r="N1923" t="inlineStr">
        <is>
          <t>State Medicaid</t>
        </is>
      </c>
      <c r="O1923" s="31" t="n">
        <v>19638.6</v>
      </c>
      <c r="P1923" t="inlineStr">
        <is>
          <t>N</t>
        </is>
      </c>
    </row>
    <row r="1924">
      <c r="A1924" t="inlineStr">
        <is>
          <t>ENC118588</t>
        </is>
      </c>
      <c r="B1924" t="inlineStr">
        <is>
          <t>PT13000</t>
        </is>
      </c>
      <c r="C1924" t="inlineStr">
        <is>
          <t>Emergency</t>
        </is>
      </c>
      <c r="D1924" t="inlineStr">
        <is>
          <t>Bluestone Memorial Hospital</t>
        </is>
      </c>
      <c r="E1924" t="inlineStr">
        <is>
          <t>Emergency Department</t>
        </is>
      </c>
      <c r="F1924" t="inlineStr">
        <is>
          <t>Emergency</t>
        </is>
      </c>
      <c r="G1924" s="29" t="n">
        <v>45919</v>
      </c>
      <c r="H1924" s="29" t="n">
        <v>45919</v>
      </c>
      <c r="I1924" s="30" t="n"/>
      <c r="J1924" t="inlineStr">
        <is>
          <t>G43.909</t>
        </is>
      </c>
      <c r="K1924" t="inlineStr">
        <is>
          <t>Migraine, unspecified, not intractable, without status migrainosus</t>
        </is>
      </c>
      <c r="L1924" t="inlineStr">
        <is>
          <t>Nervous System</t>
        </is>
      </c>
      <c r="M1924" t="inlineStr">
        <is>
          <t>Home/Self-Care</t>
        </is>
      </c>
      <c r="N1924" t="inlineStr">
        <is>
          <t>Medicare</t>
        </is>
      </c>
      <c r="O1924" s="31" t="n">
        <v>1521.43</v>
      </c>
    </row>
    <row r="1925">
      <c r="A1925" t="inlineStr">
        <is>
          <t>ENC118591</t>
        </is>
      </c>
      <c r="B1925" t="inlineStr">
        <is>
          <t>PT11788</t>
        </is>
      </c>
      <c r="C1925" t="inlineStr">
        <is>
          <t>Outpatient</t>
        </is>
      </c>
      <c r="D1925" t="inlineStr">
        <is>
          <t>Bluestone Outpatient Pavilion</t>
        </is>
      </c>
      <c r="E1925" t="inlineStr">
        <is>
          <t>Primary Care Clinic</t>
        </is>
      </c>
      <c r="F1925" t="inlineStr">
        <is>
          <t>Ambulatory</t>
        </is>
      </c>
      <c r="G1925" s="29" t="n">
        <v>45919</v>
      </c>
      <c r="H1925" s="29" t="n">
        <v>45919</v>
      </c>
      <c r="I1925" s="30" t="n"/>
      <c r="J1925" t="inlineStr">
        <is>
          <t>I10</t>
        </is>
      </c>
      <c r="K1925" t="inlineStr">
        <is>
          <t>Essential (primary) hypertension</t>
        </is>
      </c>
      <c r="L1925" t="inlineStr">
        <is>
          <t>Circulatory</t>
        </is>
      </c>
      <c r="M1925" t="inlineStr">
        <is>
          <t>Home/Self-Care</t>
        </is>
      </c>
      <c r="N1925" t="inlineStr">
        <is>
          <t>Silverline Medicare Advantage</t>
        </is>
      </c>
      <c r="O1925" s="31" t="n">
        <v>479.8</v>
      </c>
    </row>
    <row r="1926">
      <c r="A1926" t="inlineStr">
        <is>
          <t>ENC118594</t>
        </is>
      </c>
      <c r="B1926" t="inlineStr">
        <is>
          <t>PT13792</t>
        </is>
      </c>
      <c r="C1926" t="inlineStr">
        <is>
          <t>Outpatient</t>
        </is>
      </c>
      <c r="D1926" t="inlineStr">
        <is>
          <t>Bluestone Outpatient Pavilion</t>
        </is>
      </c>
      <c r="E1926" t="inlineStr">
        <is>
          <t>Endocrinology &amp; Diabetes Clinic</t>
        </is>
      </c>
      <c r="F1926" t="inlineStr">
        <is>
          <t>Ambulatory</t>
        </is>
      </c>
      <c r="G1926" s="29" t="n">
        <v>45919</v>
      </c>
      <c r="H1926" s="29" t="n">
        <v>45919</v>
      </c>
      <c r="I1926" s="30" t="n"/>
      <c r="J1926" t="inlineStr">
        <is>
          <t>E11.65</t>
        </is>
      </c>
      <c r="K1926" t="inlineStr">
        <is>
          <t>Type 2 diabetes mellitus with hyperglycemia</t>
        </is>
      </c>
      <c r="L1926" t="inlineStr">
        <is>
          <t>Endocrine</t>
        </is>
      </c>
      <c r="M1926" t="inlineStr">
        <is>
          <t>Home/Self-Care</t>
        </is>
      </c>
      <c r="N1926" t="inlineStr">
        <is>
          <t>Medicare</t>
        </is>
      </c>
      <c r="O1926" s="31" t="n">
        <v>552.1799999999999</v>
      </c>
    </row>
    <row r="1927">
      <c r="A1927" t="inlineStr">
        <is>
          <t>ENC118595</t>
        </is>
      </c>
      <c r="B1927" t="inlineStr">
        <is>
          <t>PT11072</t>
        </is>
      </c>
      <c r="C1927" t="inlineStr">
        <is>
          <t>Inpatient</t>
        </is>
      </c>
      <c r="D1927" t="inlineStr">
        <is>
          <t>Bluestone Memorial Hospital</t>
        </is>
      </c>
      <c r="E1927" t="inlineStr">
        <is>
          <t>Oncology</t>
        </is>
      </c>
      <c r="F1927" t="inlineStr">
        <is>
          <t>Oncology</t>
        </is>
      </c>
      <c r="G1927" s="29" t="n">
        <v>45919</v>
      </c>
      <c r="H1927" s="29" t="n">
        <v>45925</v>
      </c>
      <c r="I1927" s="30" t="n">
        <v>6</v>
      </c>
      <c r="J1927" t="inlineStr">
        <is>
          <t>C34.90</t>
        </is>
      </c>
      <c r="K1927" t="inlineStr">
        <is>
          <t>Malignant neoplasm of unspecified part of unspecified bronchus or lung</t>
        </is>
      </c>
      <c r="L1927" t="inlineStr">
        <is>
          <t>Neoplasms</t>
        </is>
      </c>
      <c r="M1927" t="inlineStr">
        <is>
          <t>Home/Self-Care</t>
        </is>
      </c>
      <c r="N1927" t="inlineStr">
        <is>
          <t>Summit Choice PPO</t>
        </is>
      </c>
      <c r="O1927" s="31" t="n">
        <v>23220.85</v>
      </c>
      <c r="P1927" t="inlineStr">
        <is>
          <t>N</t>
        </is>
      </c>
    </row>
    <row r="1928">
      <c r="A1928" t="inlineStr">
        <is>
          <t>ENC118600</t>
        </is>
      </c>
      <c r="B1928" t="inlineStr">
        <is>
          <t>PT12276</t>
        </is>
      </c>
      <c r="C1928" t="inlineStr">
        <is>
          <t>Inpatient</t>
        </is>
      </c>
      <c r="D1928" t="inlineStr">
        <is>
          <t>Ashby Falls Community Hospital</t>
        </is>
      </c>
      <c r="E1928" t="inlineStr">
        <is>
          <t>Medical-Surgical</t>
        </is>
      </c>
      <c r="F1928" t="inlineStr">
        <is>
          <t>Medicine</t>
        </is>
      </c>
      <c r="G1928" s="29" t="n">
        <v>45919</v>
      </c>
      <c r="H1928" s="29" t="n">
        <v>45924</v>
      </c>
      <c r="I1928" s="30" t="n">
        <v>5</v>
      </c>
      <c r="J1928" t="inlineStr">
        <is>
          <t>I50.9</t>
        </is>
      </c>
      <c r="K1928" t="inlineStr">
        <is>
          <t>Heart failure, unspecified</t>
        </is>
      </c>
      <c r="L1928" t="inlineStr">
        <is>
          <t>Circulatory</t>
        </is>
      </c>
      <c r="M1928" t="inlineStr">
        <is>
          <t>Home/Self-Care</t>
        </is>
      </c>
      <c r="N1928" t="inlineStr">
        <is>
          <t>State Medicaid</t>
        </is>
      </c>
      <c r="O1928" s="31" t="n">
        <v>28528.31</v>
      </c>
      <c r="P1928" t="inlineStr">
        <is>
          <t>N</t>
        </is>
      </c>
    </row>
    <row r="1929">
      <c r="A1929" t="inlineStr">
        <is>
          <t>ENC118603</t>
        </is>
      </c>
      <c r="B1929" t="inlineStr">
        <is>
          <t>PT13084</t>
        </is>
      </c>
      <c r="C1929" t="inlineStr">
        <is>
          <t>Outpatient</t>
        </is>
      </c>
      <c r="D1929" t="inlineStr">
        <is>
          <t>Bluestone Outpatient Pavilion</t>
        </is>
      </c>
      <c r="E1929" t="inlineStr">
        <is>
          <t>Primary Care Clinic</t>
        </is>
      </c>
      <c r="F1929" t="inlineStr">
        <is>
          <t>Ambulatory</t>
        </is>
      </c>
      <c r="G1929" s="29" t="n">
        <v>45919</v>
      </c>
      <c r="H1929" s="29" t="n">
        <v>45919</v>
      </c>
      <c r="I1929" s="30" t="n"/>
      <c r="J1929" t="inlineStr">
        <is>
          <t>Z00.00</t>
        </is>
      </c>
      <c r="K1929" t="inlineStr">
        <is>
          <t>Encounter for general adult medical examination without abnormal findings</t>
        </is>
      </c>
      <c r="L1929" t="inlineStr">
        <is>
          <t>Factors Influencing Health</t>
        </is>
      </c>
      <c r="M1929" t="inlineStr">
        <is>
          <t>Home/Self-Care</t>
        </is>
      </c>
      <c r="N1929" t="inlineStr">
        <is>
          <t>Silverline Medicare Advantage</t>
        </is>
      </c>
      <c r="O1929" s="31" t="n">
        <v>291.68</v>
      </c>
    </row>
    <row r="1930">
      <c r="A1930" t="inlineStr">
        <is>
          <t>ENC118608</t>
        </is>
      </c>
      <c r="B1930" t="inlineStr">
        <is>
          <t>PT10640</t>
        </is>
      </c>
      <c r="C1930" t="inlineStr">
        <is>
          <t>Inpatient</t>
        </is>
      </c>
      <c r="D1930" t="inlineStr">
        <is>
          <t>Bluestone Memorial Hospital</t>
        </is>
      </c>
      <c r="E1930" t="inlineStr">
        <is>
          <t>Medical-Surgical 5 East</t>
        </is>
      </c>
      <c r="F1930" t="inlineStr">
        <is>
          <t>Medicine</t>
        </is>
      </c>
      <c r="G1930" s="29" t="n">
        <v>45920</v>
      </c>
      <c r="H1930" s="29" t="n">
        <v>45921</v>
      </c>
      <c r="I1930" s="30" t="n">
        <v>1</v>
      </c>
      <c r="J1930" t="inlineStr">
        <is>
          <t>J45.909</t>
        </is>
      </c>
      <c r="K1930" t="inlineStr">
        <is>
          <t>Unspecified asthma, uncomplicated</t>
        </is>
      </c>
      <c r="L1930" t="inlineStr">
        <is>
          <t>Respiratory</t>
        </is>
      </c>
      <c r="M1930" t="inlineStr">
        <is>
          <t>Home/Self-Care</t>
        </is>
      </c>
      <c r="N1930" t="inlineStr">
        <is>
          <t>Self-Pay</t>
        </is>
      </c>
      <c r="O1930" s="31" t="n">
        <v>7720.11</v>
      </c>
      <c r="P1930" t="inlineStr">
        <is>
          <t>N</t>
        </is>
      </c>
    </row>
    <row r="1931">
      <c r="A1931" t="inlineStr">
        <is>
          <t>ENC118609</t>
        </is>
      </c>
      <c r="B1931" t="inlineStr">
        <is>
          <t>PT11232</t>
        </is>
      </c>
      <c r="C1931" t="inlineStr">
        <is>
          <t>Observation</t>
        </is>
      </c>
      <c r="D1931" t="inlineStr">
        <is>
          <t>Bluestone Memorial Hospital</t>
        </is>
      </c>
      <c r="E1931" t="inlineStr">
        <is>
          <t>Observation Unit</t>
        </is>
      </c>
      <c r="F1931" t="inlineStr">
        <is>
          <t>Medicine</t>
        </is>
      </c>
      <c r="G1931" s="29" t="n">
        <v>45920</v>
      </c>
      <c r="H1931" s="29" t="n">
        <v>45920</v>
      </c>
      <c r="I1931" s="30" t="n">
        <v>0</v>
      </c>
      <c r="J1931" t="inlineStr">
        <is>
          <t>K92.2</t>
        </is>
      </c>
      <c r="K1931" t="inlineStr">
        <is>
          <t>Gastrointestinal hemorrhage, unspecified</t>
        </is>
      </c>
      <c r="L1931" t="inlineStr">
        <is>
          <t>Digestive</t>
        </is>
      </c>
      <c r="M1931" t="inlineStr">
        <is>
          <t>Left AMA</t>
        </is>
      </c>
      <c r="N1931" t="inlineStr">
        <is>
          <t>State Medicaid</t>
        </is>
      </c>
      <c r="O1931" s="31" t="n">
        <v>7185.49</v>
      </c>
    </row>
    <row r="1932">
      <c r="A1932" t="inlineStr">
        <is>
          <t>ENC118611</t>
        </is>
      </c>
      <c r="B1932" t="inlineStr">
        <is>
          <t>PT10740</t>
        </is>
      </c>
      <c r="C1932" t="inlineStr">
        <is>
          <t>Inpatient</t>
        </is>
      </c>
      <c r="D1932" t="inlineStr">
        <is>
          <t>Bluestone Memorial Hospital</t>
        </is>
      </c>
      <c r="E1932" t="inlineStr">
        <is>
          <t>Neuroscience &amp; Stroke</t>
        </is>
      </c>
      <c r="F1932" t="inlineStr">
        <is>
          <t>Neuroscience</t>
        </is>
      </c>
      <c r="G1932" s="29" t="n">
        <v>45920</v>
      </c>
      <c r="H1932" s="29" t="n">
        <v>45928</v>
      </c>
      <c r="I1932" s="30" t="n">
        <v>8</v>
      </c>
      <c r="J1932" t="inlineStr">
        <is>
          <t>I63.9</t>
        </is>
      </c>
      <c r="K1932" t="inlineStr">
        <is>
          <t>Cerebral infarction, unspecified</t>
        </is>
      </c>
      <c r="L1932" t="inlineStr">
        <is>
          <t>Circulatory</t>
        </is>
      </c>
      <c r="M1932" t="inlineStr">
        <is>
          <t>Expired</t>
        </is>
      </c>
      <c r="N1932" t="inlineStr">
        <is>
          <t>Keystone Health Partners</t>
        </is>
      </c>
      <c r="O1932" s="31" t="n">
        <v>47492.26</v>
      </c>
      <c r="P1932" t="inlineStr">
        <is>
          <t>N</t>
        </is>
      </c>
    </row>
    <row r="1933">
      <c r="A1933" t="inlineStr">
        <is>
          <t>ENC118612</t>
        </is>
      </c>
      <c r="B1933" t="inlineStr">
        <is>
          <t>PT13392</t>
        </is>
      </c>
      <c r="C1933" t="inlineStr">
        <is>
          <t>Inpatient</t>
        </is>
      </c>
      <c r="D1933" t="inlineStr">
        <is>
          <t>Bluestone Memorial Hospital</t>
        </is>
      </c>
      <c r="E1933" t="inlineStr">
        <is>
          <t>Medical-Surgical 5 East</t>
        </is>
      </c>
      <c r="F1933" t="inlineStr">
        <is>
          <t>Medicine</t>
        </is>
      </c>
      <c r="G1933" s="29" t="n">
        <v>45920</v>
      </c>
      <c r="H1933" s="29" t="n">
        <v>45923</v>
      </c>
      <c r="I1933" s="30" t="n">
        <v>3</v>
      </c>
      <c r="J1933" t="inlineStr">
        <is>
          <t>K92.2</t>
        </is>
      </c>
      <c r="K1933" t="inlineStr">
        <is>
          <t>Gastrointestinal hemorrhage, unspecified</t>
        </is>
      </c>
      <c r="L1933" t="inlineStr">
        <is>
          <t>Digestive</t>
        </is>
      </c>
      <c r="M1933" t="inlineStr">
        <is>
          <t>Home/Self-Care</t>
        </is>
      </c>
      <c r="N1933" t="inlineStr">
        <is>
          <t>Silverline Medicare Advantage</t>
        </is>
      </c>
      <c r="O1933" s="31" t="n">
        <v>18961.1</v>
      </c>
      <c r="P1933" t="inlineStr">
        <is>
          <t>N</t>
        </is>
      </c>
    </row>
    <row r="1934">
      <c r="A1934" t="inlineStr">
        <is>
          <t>ENC118613</t>
        </is>
      </c>
      <c r="B1934" t="inlineStr">
        <is>
          <t>PT10644</t>
        </is>
      </c>
      <c r="C1934" t="inlineStr">
        <is>
          <t>Emergency</t>
        </is>
      </c>
      <c r="D1934" t="inlineStr">
        <is>
          <t>Cedar Ridge Medical Center</t>
        </is>
      </c>
      <c r="E1934" t="inlineStr">
        <is>
          <t>Emergency Department</t>
        </is>
      </c>
      <c r="F1934" t="inlineStr">
        <is>
          <t>Emergency</t>
        </is>
      </c>
      <c r="G1934" s="29" t="n">
        <v>45920</v>
      </c>
      <c r="H1934" s="29" t="n">
        <v>45920</v>
      </c>
      <c r="I1934" s="30" t="n"/>
      <c r="J1934" t="inlineStr">
        <is>
          <t>M54.50</t>
        </is>
      </c>
      <c r="K1934" t="inlineStr">
        <is>
          <t>Low back pain, unspecified</t>
        </is>
      </c>
      <c r="L1934" t="inlineStr">
        <is>
          <t>Musculoskeletal</t>
        </is>
      </c>
      <c r="M1934" t="inlineStr">
        <is>
          <t>Home/Self-Care</t>
        </is>
      </c>
      <c r="N1934" t="inlineStr">
        <is>
          <t>Medicare</t>
        </is>
      </c>
      <c r="O1934" s="31" t="n">
        <v>623.65</v>
      </c>
    </row>
    <row r="1935">
      <c r="A1935" t="inlineStr">
        <is>
          <t>ENC118620</t>
        </is>
      </c>
      <c r="B1935" t="inlineStr">
        <is>
          <t>PT13972</t>
        </is>
      </c>
      <c r="C1935" t="inlineStr">
        <is>
          <t>Emergency</t>
        </is>
      </c>
      <c r="D1935" t="inlineStr">
        <is>
          <t>Bluestone Memorial Hospital</t>
        </is>
      </c>
      <c r="E1935" t="inlineStr">
        <is>
          <t>Emergency Department</t>
        </is>
      </c>
      <c r="F1935" t="inlineStr">
        <is>
          <t>Emergency</t>
        </is>
      </c>
      <c r="G1935" s="29" t="n">
        <v>45920</v>
      </c>
      <c r="H1935" s="29" t="n">
        <v>45920</v>
      </c>
      <c r="I1935" s="30" t="n"/>
      <c r="J1935" t="inlineStr">
        <is>
          <t>J18.9</t>
        </is>
      </c>
      <c r="K1935" t="inlineStr">
        <is>
          <t>Pneumonia, unspecified organism</t>
        </is>
      </c>
      <c r="L1935" t="inlineStr">
        <is>
          <t>Respiratory</t>
        </is>
      </c>
      <c r="M1935" t="inlineStr">
        <is>
          <t>Home/Self-Care</t>
        </is>
      </c>
      <c r="N1935" t="inlineStr">
        <is>
          <t>Summit Choice PPO</t>
        </is>
      </c>
      <c r="O1935" s="31" t="n">
        <v>5116.79</v>
      </c>
    </row>
    <row r="1936">
      <c r="A1936" t="inlineStr">
        <is>
          <t>ENC118624</t>
        </is>
      </c>
      <c r="B1936" t="inlineStr">
        <is>
          <t>PT11172</t>
        </is>
      </c>
      <c r="C1936" t="inlineStr">
        <is>
          <t>Emergency</t>
        </is>
      </c>
      <c r="D1936" t="inlineStr">
        <is>
          <t>Bluestone Memorial Hospital</t>
        </is>
      </c>
      <c r="E1936" t="inlineStr">
        <is>
          <t>Emergency Department</t>
        </is>
      </c>
      <c r="F1936" t="inlineStr">
        <is>
          <t>Emergency</t>
        </is>
      </c>
      <c r="G1936" s="29" t="n">
        <v>45920</v>
      </c>
      <c r="H1936" s="29" t="n">
        <v>45920</v>
      </c>
      <c r="I1936" s="30" t="n"/>
      <c r="J1936" t="inlineStr">
        <is>
          <t>U07.1</t>
        </is>
      </c>
      <c r="K1936" t="inlineStr">
        <is>
          <t>COVID-19</t>
        </is>
      </c>
      <c r="L1936" t="inlineStr">
        <is>
          <t>Respiratory</t>
        </is>
      </c>
      <c r="M1936" t="inlineStr">
        <is>
          <t>Home/Self-Care</t>
        </is>
      </c>
      <c r="N1936" t="inlineStr">
        <is>
          <t>Keystone Health Partners</t>
        </is>
      </c>
      <c r="O1936" s="31" t="n">
        <v>2988.26</v>
      </c>
    </row>
    <row r="1937">
      <c r="A1937" t="inlineStr">
        <is>
          <t>ENC118625</t>
        </is>
      </c>
      <c r="B1937" t="inlineStr">
        <is>
          <t>PT12384</t>
        </is>
      </c>
      <c r="C1937" t="inlineStr">
        <is>
          <t>Inpatient</t>
        </is>
      </c>
      <c r="D1937" t="inlineStr">
        <is>
          <t>Bluestone Memorial Hospital</t>
        </is>
      </c>
      <c r="E1937" t="inlineStr">
        <is>
          <t>Behavioral Health</t>
        </is>
      </c>
      <c r="F1937" t="inlineStr">
        <is>
          <t>Behavioral Health</t>
        </is>
      </c>
      <c r="G1937" s="29" t="n">
        <v>45921</v>
      </c>
      <c r="H1937" s="29" t="n">
        <v>45934</v>
      </c>
      <c r="I1937" s="30" t="n">
        <v>13</v>
      </c>
      <c r="J1937" t="inlineStr">
        <is>
          <t>F20.9</t>
        </is>
      </c>
      <c r="K1937" t="inlineStr">
        <is>
          <t>Schizophrenia, unspecified</t>
        </is>
      </c>
      <c r="L1937" t="inlineStr">
        <is>
          <t>Mental &amp; Behavioral</t>
        </is>
      </c>
      <c r="M1937" t="inlineStr">
        <is>
          <t>Home/Self-Care</t>
        </is>
      </c>
      <c r="N1937" t="inlineStr">
        <is>
          <t>Keystone Health Partners</t>
        </is>
      </c>
      <c r="O1937" s="31" t="n">
        <v>32241.36</v>
      </c>
      <c r="P1937" t="inlineStr">
        <is>
          <t>N</t>
        </is>
      </c>
    </row>
    <row r="1938">
      <c r="A1938" t="inlineStr">
        <is>
          <t>ENC118627</t>
        </is>
      </c>
      <c r="B1938" t="inlineStr">
        <is>
          <t>PT11216</t>
        </is>
      </c>
      <c r="C1938" t="inlineStr">
        <is>
          <t>Emergency</t>
        </is>
      </c>
      <c r="D1938" t="inlineStr">
        <is>
          <t>Bluestone Memorial Hospital</t>
        </is>
      </c>
      <c r="E1938" t="inlineStr">
        <is>
          <t>Emergency Department</t>
        </is>
      </c>
      <c r="F1938" t="inlineStr">
        <is>
          <t>Emergency</t>
        </is>
      </c>
      <c r="G1938" s="29" t="n">
        <v>45920</v>
      </c>
      <c r="H1938" s="29" t="n">
        <v>45921</v>
      </c>
      <c r="I1938" s="30" t="n"/>
      <c r="J1938" t="inlineStr">
        <is>
          <t>F10.239</t>
        </is>
      </c>
      <c r="K1938" t="inlineStr">
        <is>
          <t>Alcohol dependence with withdrawal, unspecified</t>
        </is>
      </c>
      <c r="L1938" t="inlineStr">
        <is>
          <t>Mental &amp; Behavioral</t>
        </is>
      </c>
      <c r="M1938" t="inlineStr">
        <is>
          <t>Home/Self-Care</t>
        </is>
      </c>
      <c r="N1938" t="inlineStr">
        <is>
          <t>Medicare</t>
        </is>
      </c>
      <c r="O1938" s="31" t="n">
        <v>3315.05</v>
      </c>
    </row>
    <row r="1939">
      <c r="A1939" t="inlineStr">
        <is>
          <t>ENC118632</t>
        </is>
      </c>
      <c r="B1939" t="inlineStr">
        <is>
          <t>PT11984</t>
        </is>
      </c>
      <c r="C1939" t="inlineStr">
        <is>
          <t>Emergency</t>
        </is>
      </c>
      <c r="D1939" t="inlineStr">
        <is>
          <t>Bluestone Memorial Hospital</t>
        </is>
      </c>
      <c r="E1939" t="inlineStr">
        <is>
          <t>Emergency Department</t>
        </is>
      </c>
      <c r="F1939" t="inlineStr">
        <is>
          <t>Emergency</t>
        </is>
      </c>
      <c r="G1939" s="29" t="n">
        <v>45921</v>
      </c>
      <c r="H1939" s="29" t="n">
        <v>45921</v>
      </c>
      <c r="I1939" s="30" t="n"/>
      <c r="J1939" t="inlineStr">
        <is>
          <t>R07.9</t>
        </is>
      </c>
      <c r="K1939" t="inlineStr">
        <is>
          <t>Chest pain, unspecified</t>
        </is>
      </c>
      <c r="L1939" t="inlineStr">
        <is>
          <t>Symptoms &amp; Signs</t>
        </is>
      </c>
      <c r="M1939" t="inlineStr">
        <is>
          <t>Home/Self-Care</t>
        </is>
      </c>
      <c r="N1939" t="inlineStr">
        <is>
          <t>Keystone Health Partners</t>
        </is>
      </c>
      <c r="O1939" s="31" t="n">
        <v>4220.62</v>
      </c>
    </row>
    <row r="1940">
      <c r="A1940" t="inlineStr">
        <is>
          <t>ENC118635</t>
        </is>
      </c>
      <c r="B1940" t="inlineStr">
        <is>
          <t>PT12304</t>
        </is>
      </c>
      <c r="C1940" t="inlineStr">
        <is>
          <t>Emergency</t>
        </is>
      </c>
      <c r="D1940" t="inlineStr">
        <is>
          <t>Bluestone Memorial Hospital</t>
        </is>
      </c>
      <c r="E1940" t="inlineStr">
        <is>
          <t>Emergency Department</t>
        </is>
      </c>
      <c r="F1940" t="inlineStr">
        <is>
          <t>Emergency</t>
        </is>
      </c>
      <c r="G1940" s="29" t="n">
        <v>45921</v>
      </c>
      <c r="H1940" s="29" t="n">
        <v>45921</v>
      </c>
      <c r="I1940" s="30" t="n"/>
      <c r="J1940" t="inlineStr">
        <is>
          <t>S06.0X0A</t>
        </is>
      </c>
      <c r="K1940" t="inlineStr">
        <is>
          <t>Concussion without loss of consciousness, initial encounter</t>
        </is>
      </c>
      <c r="L1940" t="inlineStr">
        <is>
          <t>Injury</t>
        </is>
      </c>
      <c r="M1940" t="inlineStr">
        <is>
          <t>Home/Self-Care</t>
        </is>
      </c>
      <c r="N1940" t="inlineStr">
        <is>
          <t>Medicare</t>
        </is>
      </c>
      <c r="O1940" s="31" t="n">
        <v>2902.41</v>
      </c>
    </row>
    <row r="1941">
      <c r="A1941" t="inlineStr">
        <is>
          <t>ENC118636</t>
        </is>
      </c>
      <c r="B1941" t="inlineStr">
        <is>
          <t>PT13748</t>
        </is>
      </c>
      <c r="C1941" t="inlineStr">
        <is>
          <t>Inpatient</t>
        </is>
      </c>
      <c r="D1941" t="inlineStr">
        <is>
          <t>Bluestone Memorial Hospital</t>
        </is>
      </c>
      <c r="E1941" t="inlineStr">
        <is>
          <t>Medical-Surgical 5 East</t>
        </is>
      </c>
      <c r="F1941" t="inlineStr">
        <is>
          <t>Medicine</t>
        </is>
      </c>
      <c r="G1941" s="29" t="n">
        <v>45921</v>
      </c>
      <c r="H1941" s="29" t="n">
        <v>45925</v>
      </c>
      <c r="I1941" s="30" t="n">
        <v>4</v>
      </c>
      <c r="J1941" t="inlineStr">
        <is>
          <t>N17.9</t>
        </is>
      </c>
      <c r="K1941" t="inlineStr">
        <is>
          <t>Acute kidney failure, unspecified</t>
        </is>
      </c>
      <c r="L1941" t="inlineStr">
        <is>
          <t>Genitourinary</t>
        </is>
      </c>
      <c r="M1941" t="inlineStr">
        <is>
          <t>Home/Self-Care</t>
        </is>
      </c>
      <c r="N1941" t="inlineStr">
        <is>
          <t>Evergreen Mutual Insurance</t>
        </is>
      </c>
      <c r="O1941" s="31" t="n">
        <v>19061.4</v>
      </c>
      <c r="P1941" t="inlineStr">
        <is>
          <t>N</t>
        </is>
      </c>
    </row>
    <row r="1942">
      <c r="A1942" t="inlineStr">
        <is>
          <t>ENC118637</t>
        </is>
      </c>
      <c r="B1942" t="inlineStr">
        <is>
          <t>PT10712</t>
        </is>
      </c>
      <c r="C1942" t="inlineStr">
        <is>
          <t>Emergency</t>
        </is>
      </c>
      <c r="D1942" t="inlineStr">
        <is>
          <t>Bluestone Memorial Hospital</t>
        </is>
      </c>
      <c r="E1942" t="inlineStr">
        <is>
          <t>Emergency Department</t>
        </is>
      </c>
      <c r="F1942" t="inlineStr">
        <is>
          <t>Emergency</t>
        </is>
      </c>
      <c r="G1942" s="29" t="n">
        <v>45921</v>
      </c>
      <c r="H1942" s="29" t="n">
        <v>45922</v>
      </c>
      <c r="I1942" s="30" t="n"/>
      <c r="J1942" t="inlineStr">
        <is>
          <t>L03.115</t>
        </is>
      </c>
      <c r="K1942" t="inlineStr">
        <is>
          <t>Cellulitis of right lower limb</t>
        </is>
      </c>
      <c r="L1942" t="inlineStr">
        <is>
          <t>Skin</t>
        </is>
      </c>
      <c r="M1942" t="inlineStr">
        <is>
          <t>Home/Self-Care</t>
        </is>
      </c>
      <c r="N1942" t="inlineStr">
        <is>
          <t>State Medicaid</t>
        </is>
      </c>
      <c r="O1942" s="31" t="n">
        <v>2759.56</v>
      </c>
    </row>
    <row r="1943">
      <c r="A1943" t="inlineStr">
        <is>
          <t>ENC118638</t>
        </is>
      </c>
      <c r="B1943" t="inlineStr">
        <is>
          <t>PT10608</t>
        </is>
      </c>
      <c r="C1943" t="inlineStr">
        <is>
          <t>Observation</t>
        </is>
      </c>
      <c r="D1943" t="inlineStr">
        <is>
          <t>Bluestone Memorial Hospital</t>
        </is>
      </c>
      <c r="E1943" t="inlineStr">
        <is>
          <t>Observation Unit</t>
        </is>
      </c>
      <c r="F1943" t="inlineStr">
        <is>
          <t>Medicine</t>
        </is>
      </c>
      <c r="G1943" s="29" t="n">
        <v>45922</v>
      </c>
      <c r="H1943" s="29" t="n">
        <v>45922</v>
      </c>
      <c r="I1943" s="30" t="n">
        <v>0</v>
      </c>
      <c r="J1943" t="inlineStr">
        <is>
          <t>J45.909</t>
        </is>
      </c>
      <c r="K1943" t="inlineStr">
        <is>
          <t>Unspecified asthma, uncomplicated</t>
        </is>
      </c>
      <c r="L1943" t="inlineStr">
        <is>
          <t>Respiratory</t>
        </is>
      </c>
      <c r="M1943" t="inlineStr">
        <is>
          <t>Home/Self-Care</t>
        </is>
      </c>
      <c r="N1943" t="inlineStr">
        <is>
          <t>Silverline Medicare Advantage</t>
        </is>
      </c>
      <c r="O1943" s="31" t="n">
        <v>10786.54</v>
      </c>
    </row>
    <row r="1944">
      <c r="A1944" t="inlineStr">
        <is>
          <t>ENC118645</t>
        </is>
      </c>
      <c r="B1944" t="inlineStr">
        <is>
          <t>PT11448</t>
        </is>
      </c>
      <c r="C1944" t="inlineStr">
        <is>
          <t>Emergency</t>
        </is>
      </c>
      <c r="D1944" t="inlineStr">
        <is>
          <t>Bluestone Memorial Hospital</t>
        </is>
      </c>
      <c r="E1944" t="inlineStr">
        <is>
          <t>Emergency Department</t>
        </is>
      </c>
      <c r="F1944" t="inlineStr">
        <is>
          <t>Emergency</t>
        </is>
      </c>
      <c r="G1944" s="29" t="n">
        <v>45922</v>
      </c>
      <c r="H1944" s="29" t="n">
        <v>45922</v>
      </c>
      <c r="I1944" s="30" t="n"/>
      <c r="J1944" t="inlineStr">
        <is>
          <t>E86.0</t>
        </is>
      </c>
      <c r="K1944" t="inlineStr">
        <is>
          <t>Dehydration</t>
        </is>
      </c>
      <c r="L1944" t="inlineStr">
        <is>
          <t>Endocrine</t>
        </is>
      </c>
      <c r="M1944" t="inlineStr">
        <is>
          <t>Home/Self-Care</t>
        </is>
      </c>
      <c r="N1944" t="inlineStr">
        <is>
          <t>Medicare</t>
        </is>
      </c>
      <c r="O1944" s="31" t="n">
        <v>3817.17</v>
      </c>
    </row>
    <row r="1945">
      <c r="A1945" t="inlineStr">
        <is>
          <t>ENC118647</t>
        </is>
      </c>
      <c r="B1945" t="inlineStr">
        <is>
          <t>PT13148</t>
        </is>
      </c>
      <c r="C1945" t="inlineStr">
        <is>
          <t>Inpatient</t>
        </is>
      </c>
      <c r="D1945" t="inlineStr">
        <is>
          <t>Cedar Ridge Medical Center</t>
        </is>
      </c>
      <c r="E1945" t="inlineStr">
        <is>
          <t>Medical-Surgical</t>
        </is>
      </c>
      <c r="F1945" t="inlineStr">
        <is>
          <t>Medicine</t>
        </is>
      </c>
      <c r="G1945" s="29" t="n">
        <v>45922</v>
      </c>
      <c r="H1945" s="29" t="n">
        <v>45925</v>
      </c>
      <c r="I1945" s="30" t="n">
        <v>3</v>
      </c>
      <c r="J1945" t="inlineStr">
        <is>
          <t>J18.9</t>
        </is>
      </c>
      <c r="K1945" t="inlineStr">
        <is>
          <t>Pneumonia, unspecified organism</t>
        </is>
      </c>
      <c r="L1945" t="inlineStr">
        <is>
          <t>Respiratory</t>
        </is>
      </c>
      <c r="M1945" t="inlineStr">
        <is>
          <t>Home/Self-Care</t>
        </is>
      </c>
      <c r="N1945" t="inlineStr">
        <is>
          <t>State Medicaid</t>
        </is>
      </c>
      <c r="O1945" s="31" t="n">
        <v>16971.24</v>
      </c>
      <c r="P1945" t="inlineStr">
        <is>
          <t>Y</t>
        </is>
      </c>
    </row>
    <row r="1946">
      <c r="A1946" t="inlineStr">
        <is>
          <t>ENC118652</t>
        </is>
      </c>
      <c r="B1946" t="inlineStr">
        <is>
          <t>PT12740</t>
        </is>
      </c>
      <c r="C1946" t="inlineStr">
        <is>
          <t>Emergency</t>
        </is>
      </c>
      <c r="D1946" t="inlineStr">
        <is>
          <t>Bluestone Memorial Hospital</t>
        </is>
      </c>
      <c r="E1946" t="inlineStr">
        <is>
          <t>Emergency Department</t>
        </is>
      </c>
      <c r="F1946" t="inlineStr">
        <is>
          <t>Emergency</t>
        </is>
      </c>
      <c r="G1946" s="29" t="n">
        <v>45922</v>
      </c>
      <c r="H1946" s="29" t="n">
        <v>45922</v>
      </c>
      <c r="I1946" s="30" t="n"/>
      <c r="J1946" t="inlineStr">
        <is>
          <t>G43.909</t>
        </is>
      </c>
      <c r="K1946" t="inlineStr">
        <is>
          <t>Migraine, unspecified, not intractable, without status migrainosus</t>
        </is>
      </c>
      <c r="L1946" t="inlineStr">
        <is>
          <t>Nervous System</t>
        </is>
      </c>
      <c r="M1946" t="inlineStr">
        <is>
          <t>Home/Self-Care</t>
        </is>
      </c>
      <c r="N1946" t="inlineStr">
        <is>
          <t>Evergreen Mutual Insurance</t>
        </is>
      </c>
      <c r="O1946" s="31" t="n">
        <v>1312.68</v>
      </c>
    </row>
    <row r="1947">
      <c r="A1947" t="inlineStr">
        <is>
          <t>ENC118655</t>
        </is>
      </c>
      <c r="B1947" t="inlineStr">
        <is>
          <t>PT12712</t>
        </is>
      </c>
      <c r="C1947" t="inlineStr">
        <is>
          <t>Outpatient</t>
        </is>
      </c>
      <c r="D1947" t="inlineStr">
        <is>
          <t>Bluestone Outpatient Pavilion</t>
        </is>
      </c>
      <c r="E1947" t="inlineStr">
        <is>
          <t>Primary Care Clinic</t>
        </is>
      </c>
      <c r="F1947" t="inlineStr">
        <is>
          <t>Ambulatory</t>
        </is>
      </c>
      <c r="G1947" s="29" t="n">
        <v>45922</v>
      </c>
      <c r="H1947" s="29" t="n">
        <v>45922</v>
      </c>
      <c r="I1947" s="30" t="n"/>
      <c r="J1947" t="inlineStr">
        <is>
          <t>I10</t>
        </is>
      </c>
      <c r="K1947" t="inlineStr">
        <is>
          <t>Essential (primary) hypertension</t>
        </is>
      </c>
      <c r="L1947" t="inlineStr">
        <is>
          <t>Circulatory</t>
        </is>
      </c>
      <c r="M1947" t="inlineStr">
        <is>
          <t>Home/Self-Care</t>
        </is>
      </c>
      <c r="N1947" t="inlineStr">
        <is>
          <t>Silverline Medicare Advantage</t>
        </is>
      </c>
      <c r="O1947" s="31" t="n">
        <v>198.76</v>
      </c>
    </row>
    <row r="1948">
      <c r="A1948" t="inlineStr">
        <is>
          <t>ENC118658</t>
        </is>
      </c>
      <c r="B1948" t="inlineStr">
        <is>
          <t>PT11576</t>
        </is>
      </c>
      <c r="C1948" t="inlineStr">
        <is>
          <t>Outpatient</t>
        </is>
      </c>
      <c r="D1948" t="inlineStr">
        <is>
          <t>Bluestone Outpatient Pavilion</t>
        </is>
      </c>
      <c r="E1948" t="inlineStr">
        <is>
          <t>Infusion &amp; Oncology Clinic</t>
        </is>
      </c>
      <c r="F1948" t="inlineStr">
        <is>
          <t>Oncology</t>
        </is>
      </c>
      <c r="G1948" s="29" t="n">
        <v>45922</v>
      </c>
      <c r="H1948" s="29" t="n">
        <v>45922</v>
      </c>
      <c r="I1948" s="30" t="n"/>
      <c r="J1948" t="inlineStr">
        <is>
          <t>Z51.11</t>
        </is>
      </c>
      <c r="K1948" t="inlineStr">
        <is>
          <t>Encounter for antineoplastic chemotherapy</t>
        </is>
      </c>
      <c r="L1948" t="inlineStr">
        <is>
          <t>Factors Influencing Health</t>
        </is>
      </c>
      <c r="M1948" t="inlineStr">
        <is>
          <t>Home/Self-Care</t>
        </is>
      </c>
      <c r="N1948" t="inlineStr">
        <is>
          <t>State Medicaid</t>
        </is>
      </c>
      <c r="O1948" s="31" t="n">
        <v>10124.14</v>
      </c>
    </row>
    <row r="1949">
      <c r="A1949" t="inlineStr">
        <is>
          <t>ENC118662</t>
        </is>
      </c>
      <c r="B1949" t="inlineStr">
        <is>
          <t>PT13652</t>
        </is>
      </c>
      <c r="C1949" t="inlineStr">
        <is>
          <t>Outpatient</t>
        </is>
      </c>
      <c r="D1949" t="inlineStr">
        <is>
          <t>Bluestone Outpatient Pavilion</t>
        </is>
      </c>
      <c r="E1949" t="inlineStr">
        <is>
          <t>Primary Care Clinic</t>
        </is>
      </c>
      <c r="F1949" t="inlineStr">
        <is>
          <t>Ambulatory</t>
        </is>
      </c>
      <c r="G1949" s="29" t="n">
        <v>45922</v>
      </c>
      <c r="H1949" s="29" t="n">
        <v>45922</v>
      </c>
      <c r="I1949" s="30" t="n"/>
      <c r="J1949" t="inlineStr">
        <is>
          <t>M54.50</t>
        </is>
      </c>
      <c r="K1949" t="inlineStr">
        <is>
          <t>Low back pain, unspecified</t>
        </is>
      </c>
      <c r="L1949" t="inlineStr">
        <is>
          <t>Musculoskeletal</t>
        </is>
      </c>
      <c r="M1949" t="inlineStr">
        <is>
          <t>Home/Self-Care</t>
        </is>
      </c>
      <c r="N1949" t="inlineStr">
        <is>
          <t>Workers' Compensation</t>
        </is>
      </c>
      <c r="O1949" s="31" t="n">
        <v>252.02</v>
      </c>
    </row>
    <row r="1950">
      <c r="A1950" t="inlineStr">
        <is>
          <t>ENC118663</t>
        </is>
      </c>
      <c r="B1950" t="inlineStr">
        <is>
          <t>PT12576</t>
        </is>
      </c>
      <c r="C1950" t="inlineStr">
        <is>
          <t>Outpatient</t>
        </is>
      </c>
      <c r="D1950" t="inlineStr">
        <is>
          <t>Bluestone Outpatient Pavilion</t>
        </is>
      </c>
      <c r="E1950" t="inlineStr">
        <is>
          <t>Primary Care Clinic</t>
        </is>
      </c>
      <c r="F1950" t="inlineStr">
        <is>
          <t>Ambulatory</t>
        </is>
      </c>
      <c r="G1950" s="29" t="n">
        <v>45922</v>
      </c>
      <c r="H1950" s="29" t="n">
        <v>45922</v>
      </c>
      <c r="I1950" s="30" t="n"/>
      <c r="J1950" t="inlineStr">
        <is>
          <t>J06.9</t>
        </is>
      </c>
      <c r="K1950" t="inlineStr">
        <is>
          <t>Acute upper respiratory infection, unspecified</t>
        </is>
      </c>
      <c r="L1950" t="inlineStr">
        <is>
          <t>Respiratory</t>
        </is>
      </c>
      <c r="M1950" t="inlineStr">
        <is>
          <t>Home/Self-Care</t>
        </is>
      </c>
      <c r="N1950" t="inlineStr">
        <is>
          <t>Medicare</t>
        </is>
      </c>
      <c r="O1950" s="31" t="n">
        <v>210.31</v>
      </c>
    </row>
    <row r="1951">
      <c r="A1951" t="inlineStr">
        <is>
          <t>ENC118667</t>
        </is>
      </c>
      <c r="B1951" t="inlineStr">
        <is>
          <t>PT13908</t>
        </is>
      </c>
      <c r="C1951" t="inlineStr">
        <is>
          <t>Inpatient</t>
        </is>
      </c>
      <c r="D1951" t="inlineStr">
        <is>
          <t>Bluestone Memorial Hospital</t>
        </is>
      </c>
      <c r="E1951" t="inlineStr">
        <is>
          <t>Medical-Surgical 5 East</t>
        </is>
      </c>
      <c r="F1951" t="inlineStr">
        <is>
          <t>Medicine</t>
        </is>
      </c>
      <c r="G1951" s="29" t="n">
        <v>45922</v>
      </c>
      <c r="H1951" s="29" t="n">
        <v>45931</v>
      </c>
      <c r="I1951" s="30" t="n">
        <v>9</v>
      </c>
      <c r="J1951" t="inlineStr">
        <is>
          <t>J18.9</t>
        </is>
      </c>
      <c r="K1951" t="inlineStr">
        <is>
          <t>Pneumonia, unspecified organism</t>
        </is>
      </c>
      <c r="L1951" t="inlineStr">
        <is>
          <t>Respiratory</t>
        </is>
      </c>
      <c r="M1951" t="inlineStr">
        <is>
          <t>Home Health</t>
        </is>
      </c>
      <c r="N1951" t="inlineStr">
        <is>
          <t>Summit Choice PPO</t>
        </is>
      </c>
      <c r="O1951" s="31" t="n">
        <v>37997.22</v>
      </c>
      <c r="P1951" t="inlineStr">
        <is>
          <t>Y</t>
        </is>
      </c>
    </row>
    <row r="1952">
      <c r="A1952" t="inlineStr">
        <is>
          <t>ENC118668</t>
        </is>
      </c>
      <c r="B1952" t="inlineStr">
        <is>
          <t>PT12320</t>
        </is>
      </c>
      <c r="C1952" t="inlineStr">
        <is>
          <t>Inpatient</t>
        </is>
      </c>
      <c r="D1952" t="inlineStr">
        <is>
          <t>Bluestone Memorial Hospital</t>
        </is>
      </c>
      <c r="E1952" t="inlineStr">
        <is>
          <t>Medical-Surgical 4 West</t>
        </is>
      </c>
      <c r="F1952" t="inlineStr">
        <is>
          <t>Medicine</t>
        </is>
      </c>
      <c r="G1952" s="29" t="n">
        <v>45922</v>
      </c>
      <c r="H1952" s="29" t="n">
        <v>45925</v>
      </c>
      <c r="I1952" s="30" t="n">
        <v>3</v>
      </c>
      <c r="J1952" t="inlineStr">
        <is>
          <t>E87.1</t>
        </is>
      </c>
      <c r="K1952" t="inlineStr">
        <is>
          <t>Hypo-osmolality and hyponatremia</t>
        </is>
      </c>
      <c r="L1952" t="inlineStr">
        <is>
          <t>Endocrine</t>
        </is>
      </c>
      <c r="M1952" t="inlineStr">
        <is>
          <t>Home/Self-Care</t>
        </is>
      </c>
      <c r="N1952" t="inlineStr">
        <is>
          <t>Medicare</t>
        </is>
      </c>
      <c r="O1952" s="31" t="n">
        <v>17974.6</v>
      </c>
      <c r="P1952" t="inlineStr">
        <is>
          <t>N</t>
        </is>
      </c>
    </row>
    <row r="1953">
      <c r="A1953" t="inlineStr">
        <is>
          <t>ENC118669</t>
        </is>
      </c>
      <c r="B1953" t="inlineStr">
        <is>
          <t>PT13636</t>
        </is>
      </c>
      <c r="C1953" t="inlineStr">
        <is>
          <t>Outpatient</t>
        </is>
      </c>
      <c r="D1953" t="inlineStr">
        <is>
          <t>Bluestone Outpatient Pavilion</t>
        </is>
      </c>
      <c r="E1953" t="inlineStr">
        <is>
          <t>Infusion &amp; Oncology Clinic</t>
        </is>
      </c>
      <c r="F1953" t="inlineStr">
        <is>
          <t>Oncology</t>
        </is>
      </c>
      <c r="G1953" s="29" t="n">
        <v>45922</v>
      </c>
      <c r="H1953" s="29" t="n">
        <v>45922</v>
      </c>
      <c r="I1953" s="30" t="n"/>
      <c r="J1953" t="inlineStr">
        <is>
          <t>Z51.11</t>
        </is>
      </c>
      <c r="K1953" t="inlineStr">
        <is>
          <t>Encounter for antineoplastic chemotherapy</t>
        </is>
      </c>
      <c r="L1953" t="inlineStr">
        <is>
          <t>Factors Influencing Health</t>
        </is>
      </c>
      <c r="M1953" t="inlineStr">
        <is>
          <t>Home/Self-Care</t>
        </is>
      </c>
      <c r="N1953" t="inlineStr">
        <is>
          <t>Keystone Health Partners</t>
        </is>
      </c>
      <c r="O1953" s="31" t="n">
        <v>10983.61</v>
      </c>
    </row>
    <row r="1954">
      <c r="A1954" t="inlineStr">
        <is>
          <t>ENC118678</t>
        </is>
      </c>
      <c r="B1954" t="inlineStr">
        <is>
          <t>PT11956</t>
        </is>
      </c>
      <c r="C1954" t="inlineStr">
        <is>
          <t>Emergency</t>
        </is>
      </c>
      <c r="D1954" t="inlineStr">
        <is>
          <t>Ashby Falls Community Hospital</t>
        </is>
      </c>
      <c r="E1954" t="inlineStr">
        <is>
          <t>Emergency Department</t>
        </is>
      </c>
      <c r="F1954" t="inlineStr">
        <is>
          <t>Emergency</t>
        </is>
      </c>
      <c r="G1954" s="29" t="n">
        <v>45923</v>
      </c>
      <c r="H1954" s="29" t="n">
        <v>45923</v>
      </c>
      <c r="I1954" s="30" t="n"/>
      <c r="J1954" t="inlineStr">
        <is>
          <t>N39.0</t>
        </is>
      </c>
      <c r="K1954" t="inlineStr">
        <is>
          <t>Urinary tract infection, site not specified</t>
        </is>
      </c>
      <c r="L1954" t="inlineStr">
        <is>
          <t>Genitourinary</t>
        </is>
      </c>
      <c r="M1954" t="inlineStr">
        <is>
          <t>Home/Self-Care</t>
        </is>
      </c>
      <c r="N1954" t="inlineStr">
        <is>
          <t>Summit Choice PPO</t>
        </is>
      </c>
      <c r="O1954" s="31" t="n">
        <v>3666.01</v>
      </c>
    </row>
    <row r="1955">
      <c r="A1955" t="inlineStr">
        <is>
          <t>ENC118681</t>
        </is>
      </c>
      <c r="B1955" t="inlineStr">
        <is>
          <t>PT10556</t>
        </is>
      </c>
      <c r="C1955" t="inlineStr">
        <is>
          <t>Emergency</t>
        </is>
      </c>
      <c r="D1955" t="inlineStr">
        <is>
          <t>Bluestone Memorial Hospital</t>
        </is>
      </c>
      <c r="E1955" t="inlineStr">
        <is>
          <t>Emergency Department</t>
        </is>
      </c>
      <c r="F1955" t="inlineStr">
        <is>
          <t>Emergency</t>
        </is>
      </c>
      <c r="G1955" s="29" t="n">
        <v>45923</v>
      </c>
      <c r="H1955" s="29" t="n">
        <v>45923</v>
      </c>
      <c r="I1955" s="30" t="n"/>
      <c r="J1955" t="inlineStr">
        <is>
          <t>S93.401A</t>
        </is>
      </c>
      <c r="K1955" t="inlineStr">
        <is>
          <t>Sprain of unspecified ligament of right ankle, initial encounter</t>
        </is>
      </c>
      <c r="L1955" t="inlineStr">
        <is>
          <t>Injury</t>
        </is>
      </c>
      <c r="M1955" t="inlineStr">
        <is>
          <t>Home/Self-Care</t>
        </is>
      </c>
      <c r="N1955" t="inlineStr">
        <is>
          <t>Workers' Compensation</t>
        </is>
      </c>
      <c r="O1955" s="31" t="n">
        <v>607.1</v>
      </c>
    </row>
    <row r="1956">
      <c r="A1956" t="inlineStr">
        <is>
          <t>ENC118682</t>
        </is>
      </c>
      <c r="B1956" t="inlineStr">
        <is>
          <t>PT12280</t>
        </is>
      </c>
      <c r="C1956" t="inlineStr">
        <is>
          <t>Emergency</t>
        </is>
      </c>
      <c r="D1956" t="inlineStr">
        <is>
          <t>Bluestone Memorial Hospital</t>
        </is>
      </c>
      <c r="E1956" t="inlineStr">
        <is>
          <t>Emergency Department</t>
        </is>
      </c>
      <c r="F1956" t="inlineStr">
        <is>
          <t>Emergency</t>
        </is>
      </c>
      <c r="G1956" s="29" t="n">
        <v>45923</v>
      </c>
      <c r="H1956" s="29" t="n">
        <v>45923</v>
      </c>
      <c r="I1956" s="30" t="n"/>
      <c r="J1956" t="inlineStr">
        <is>
          <t>N39.0</t>
        </is>
      </c>
      <c r="K1956" t="inlineStr">
        <is>
          <t>Urinary tract infection, site not specified</t>
        </is>
      </c>
      <c r="L1956" t="inlineStr">
        <is>
          <t>Genitourinary</t>
        </is>
      </c>
      <c r="M1956" t="inlineStr">
        <is>
          <t>Home/Self-Care</t>
        </is>
      </c>
      <c r="N1956" t="inlineStr">
        <is>
          <t>Self-Pay</t>
        </is>
      </c>
      <c r="O1956" s="31" t="n">
        <v>4573.44</v>
      </c>
    </row>
    <row r="1957">
      <c r="A1957" t="inlineStr">
        <is>
          <t>ENC118687</t>
        </is>
      </c>
      <c r="B1957" t="inlineStr">
        <is>
          <t>PT13324</t>
        </is>
      </c>
      <c r="C1957" t="inlineStr">
        <is>
          <t>Emergency</t>
        </is>
      </c>
      <c r="D1957" t="inlineStr">
        <is>
          <t>Cedar Ridge Medical Center</t>
        </is>
      </c>
      <c r="E1957" t="inlineStr">
        <is>
          <t>Emergency Department</t>
        </is>
      </c>
      <c r="F1957" t="inlineStr">
        <is>
          <t>Emergency</t>
        </is>
      </c>
      <c r="G1957" s="29" t="n">
        <v>45923</v>
      </c>
      <c r="H1957" s="29" t="n">
        <v>45923</v>
      </c>
      <c r="I1957" s="30" t="n"/>
      <c r="J1957" t="inlineStr">
        <is>
          <t>G43.909</t>
        </is>
      </c>
      <c r="K1957" t="inlineStr">
        <is>
          <t>Migraine, unspecified, not intractable, without status migrainosus</t>
        </is>
      </c>
      <c r="L1957" t="inlineStr">
        <is>
          <t>Nervous System</t>
        </is>
      </c>
      <c r="M1957" t="inlineStr">
        <is>
          <t>Home/Self-Care</t>
        </is>
      </c>
      <c r="N1957" t="inlineStr">
        <is>
          <t>Evergreen Mutual Insurance</t>
        </is>
      </c>
      <c r="O1957" s="31" t="n">
        <v>4585.04</v>
      </c>
    </row>
    <row r="1958">
      <c r="A1958" t="inlineStr">
        <is>
          <t>ENC118688</t>
        </is>
      </c>
      <c r="B1958" t="inlineStr">
        <is>
          <t>PT11064</t>
        </is>
      </c>
      <c r="C1958" t="inlineStr">
        <is>
          <t>Outpatient</t>
        </is>
      </c>
      <c r="D1958" t="inlineStr">
        <is>
          <t>Bluestone Outpatient Pavilion</t>
        </is>
      </c>
      <c r="E1958" t="inlineStr">
        <is>
          <t>Primary Care Clinic</t>
        </is>
      </c>
      <c r="F1958" t="inlineStr">
        <is>
          <t>Ambulatory</t>
        </is>
      </c>
      <c r="G1958" s="29" t="n">
        <v>45923</v>
      </c>
      <c r="H1958" s="29" t="n">
        <v>45923</v>
      </c>
      <c r="I1958" s="30" t="n"/>
      <c r="J1958" t="inlineStr">
        <is>
          <t>J44.1</t>
        </is>
      </c>
      <c r="K1958" t="inlineStr">
        <is>
          <t>Chronic obstructive pulmonary disease with (acute) exacerbation</t>
        </is>
      </c>
      <c r="L1958" t="inlineStr">
        <is>
          <t>Respiratory</t>
        </is>
      </c>
      <c r="M1958" t="inlineStr">
        <is>
          <t>Home/Self-Care</t>
        </is>
      </c>
      <c r="N1958" t="inlineStr">
        <is>
          <t>Keystone Health Partners</t>
        </is>
      </c>
      <c r="O1958" s="31" t="n">
        <v>284.45</v>
      </c>
    </row>
    <row r="1959">
      <c r="A1959" t="inlineStr">
        <is>
          <t>ENC118690</t>
        </is>
      </c>
      <c r="B1959" t="inlineStr">
        <is>
          <t>PT13684</t>
        </is>
      </c>
      <c r="C1959" t="inlineStr">
        <is>
          <t>Inpatient</t>
        </is>
      </c>
      <c r="D1959" t="inlineStr">
        <is>
          <t>Bluestone Memorial Hospital</t>
        </is>
      </c>
      <c r="E1959" t="inlineStr">
        <is>
          <t>Labor &amp; Delivery</t>
        </is>
      </c>
      <c r="F1959" t="inlineStr">
        <is>
          <t>Women &amp; Children</t>
        </is>
      </c>
      <c r="G1959" s="29" t="n">
        <v>45923</v>
      </c>
      <c r="H1959" s="29" t="n">
        <v>45926</v>
      </c>
      <c r="I1959" s="30" t="n">
        <v>3</v>
      </c>
      <c r="J1959" t="inlineStr">
        <is>
          <t>O82</t>
        </is>
      </c>
      <c r="K1959" t="inlineStr">
        <is>
          <t>Encounter for cesarean delivery without indication</t>
        </is>
      </c>
      <c r="L1959" t="inlineStr">
        <is>
          <t>Pregnancy</t>
        </is>
      </c>
      <c r="M1959" t="inlineStr">
        <is>
          <t>Home/Self-Care</t>
        </is>
      </c>
      <c r="N1959" t="inlineStr">
        <is>
          <t>State Medicaid</t>
        </is>
      </c>
      <c r="O1959" s="31" t="n">
        <v>17382.13</v>
      </c>
      <c r="P1959" t="inlineStr">
        <is>
          <t>N</t>
        </is>
      </c>
    </row>
    <row r="1960">
      <c r="A1960" t="inlineStr">
        <is>
          <t>ENC118696</t>
        </is>
      </c>
      <c r="B1960" t="inlineStr">
        <is>
          <t>PT13228</t>
        </is>
      </c>
      <c r="C1960" t="inlineStr">
        <is>
          <t>Outpatient</t>
        </is>
      </c>
      <c r="D1960" t="inlineStr">
        <is>
          <t>Bluestone Outpatient Pavilion</t>
        </is>
      </c>
      <c r="E1960" t="inlineStr">
        <is>
          <t>Pediatric Clinic</t>
        </is>
      </c>
      <c r="F1960" t="inlineStr">
        <is>
          <t>Women &amp; Children</t>
        </is>
      </c>
      <c r="G1960" s="29" t="n">
        <v>45923</v>
      </c>
      <c r="H1960" s="29" t="n">
        <v>45923</v>
      </c>
      <c r="I1960" s="30" t="n"/>
      <c r="J1960" t="inlineStr">
        <is>
          <t>Z00.129</t>
        </is>
      </c>
      <c r="K1960" t="inlineStr">
        <is>
          <t>Encounter for routine child health examination without abnormal findings</t>
        </is>
      </c>
      <c r="L1960" t="inlineStr">
        <is>
          <t>Factors Influencing Health</t>
        </is>
      </c>
      <c r="M1960" t="inlineStr">
        <is>
          <t>Home/Self-Care</t>
        </is>
      </c>
      <c r="N1960" t="inlineStr">
        <is>
          <t>Evergreen Mutual Insurance</t>
        </is>
      </c>
      <c r="O1960" s="31" t="n">
        <v>383.01</v>
      </c>
    </row>
    <row r="1961">
      <c r="A1961" t="inlineStr">
        <is>
          <t>ENC118698</t>
        </is>
      </c>
      <c r="B1961" t="inlineStr">
        <is>
          <t>PT11036</t>
        </is>
      </c>
      <c r="C1961" t="inlineStr">
        <is>
          <t>Inpatient</t>
        </is>
      </c>
      <c r="D1961" t="inlineStr">
        <is>
          <t>Bluestone Memorial Hospital</t>
        </is>
      </c>
      <c r="E1961" t="inlineStr">
        <is>
          <t>Behavioral Health</t>
        </is>
      </c>
      <c r="F1961" t="inlineStr">
        <is>
          <t>Behavioral Health</t>
        </is>
      </c>
      <c r="G1961" s="29" t="n">
        <v>45923</v>
      </c>
      <c r="H1961" s="29" t="n">
        <v>45928</v>
      </c>
      <c r="I1961" s="30" t="n">
        <v>5</v>
      </c>
      <c r="J1961" t="inlineStr">
        <is>
          <t>F32.9</t>
        </is>
      </c>
      <c r="K1961" t="inlineStr">
        <is>
          <t>Major depressive disorder, single episode, unspecified</t>
        </is>
      </c>
      <c r="L1961" t="inlineStr">
        <is>
          <t>Mental &amp; Behavioral</t>
        </is>
      </c>
      <c r="M1961" t="inlineStr">
        <is>
          <t>Home/Self-Care</t>
        </is>
      </c>
      <c r="N1961" t="inlineStr">
        <is>
          <t>Summit Choice PPO</t>
        </is>
      </c>
      <c r="O1961" s="31" t="n">
        <v>13047.85</v>
      </c>
      <c r="P1961" t="inlineStr">
        <is>
          <t>N</t>
        </is>
      </c>
    </row>
    <row r="1962">
      <c r="A1962" t="inlineStr">
        <is>
          <t>ENC118699</t>
        </is>
      </c>
      <c r="B1962" t="inlineStr">
        <is>
          <t>PT13392</t>
        </is>
      </c>
      <c r="C1962" t="inlineStr">
        <is>
          <t>Outpatient</t>
        </is>
      </c>
      <c r="D1962" t="inlineStr">
        <is>
          <t>Bluestone Outpatient Pavilion</t>
        </is>
      </c>
      <c r="E1962" t="inlineStr">
        <is>
          <t>Infusion &amp; Oncology Clinic</t>
        </is>
      </c>
      <c r="F1962" t="inlineStr">
        <is>
          <t>Oncology</t>
        </is>
      </c>
      <c r="G1962" s="29" t="n">
        <v>45923</v>
      </c>
      <c r="H1962" s="29" t="n">
        <v>45923</v>
      </c>
      <c r="I1962" s="30" t="n"/>
      <c r="J1962" t="inlineStr">
        <is>
          <t>Z51.11</t>
        </is>
      </c>
      <c r="K1962" t="inlineStr">
        <is>
          <t>Encounter for antineoplastic chemotherapy</t>
        </is>
      </c>
      <c r="L1962" t="inlineStr">
        <is>
          <t>Factors Influencing Health</t>
        </is>
      </c>
      <c r="M1962" t="inlineStr">
        <is>
          <t>Home/Self-Care</t>
        </is>
      </c>
      <c r="N1962" t="inlineStr">
        <is>
          <t>Silverline Medicare Advantage</t>
        </is>
      </c>
      <c r="O1962" s="31" t="n">
        <v>16461.87</v>
      </c>
    </row>
    <row r="1963">
      <c r="A1963" t="inlineStr">
        <is>
          <t>ENC118703</t>
        </is>
      </c>
      <c r="B1963" t="inlineStr">
        <is>
          <t>PT10824</t>
        </is>
      </c>
      <c r="C1963" t="inlineStr">
        <is>
          <t>Emergency</t>
        </is>
      </c>
      <c r="D1963" t="inlineStr">
        <is>
          <t>Bluestone Memorial Hospital</t>
        </is>
      </c>
      <c r="E1963" t="inlineStr">
        <is>
          <t>Emergency Department</t>
        </is>
      </c>
      <c r="F1963" t="inlineStr">
        <is>
          <t>Emergency</t>
        </is>
      </c>
      <c r="G1963" s="29" t="n">
        <v>45923</v>
      </c>
      <c r="H1963" s="29" t="n">
        <v>45923</v>
      </c>
      <c r="I1963" s="30" t="n"/>
      <c r="J1963" t="inlineStr">
        <is>
          <t>M54.50</t>
        </is>
      </c>
      <c r="K1963" t="inlineStr">
        <is>
          <t>Low back pain, unspecified</t>
        </is>
      </c>
      <c r="L1963" t="inlineStr">
        <is>
          <t>Musculoskeletal</t>
        </is>
      </c>
      <c r="M1963" t="inlineStr">
        <is>
          <t>Home/Self-Care</t>
        </is>
      </c>
      <c r="N1963" t="inlineStr">
        <is>
          <t>Workers' Compensation</t>
        </is>
      </c>
      <c r="O1963" s="31" t="n">
        <v>1244.96</v>
      </c>
    </row>
    <row r="1964">
      <c r="A1964" t="inlineStr">
        <is>
          <t>ENC118707</t>
        </is>
      </c>
      <c r="B1964" t="inlineStr">
        <is>
          <t>PT11688</t>
        </is>
      </c>
      <c r="C1964" t="inlineStr">
        <is>
          <t>Emergency</t>
        </is>
      </c>
      <c r="D1964" t="inlineStr">
        <is>
          <t>Cedar Ridge Medical Center</t>
        </is>
      </c>
      <c r="E1964" t="inlineStr">
        <is>
          <t>Emergency Department</t>
        </is>
      </c>
      <c r="F1964" t="inlineStr">
        <is>
          <t>Emergency</t>
        </is>
      </c>
      <c r="G1964" s="29" t="n">
        <v>45923</v>
      </c>
      <c r="H1964" s="29" t="n">
        <v>45923</v>
      </c>
      <c r="I1964" s="30" t="n"/>
      <c r="J1964" t="inlineStr">
        <is>
          <t>J18.9</t>
        </is>
      </c>
      <c r="K1964" t="inlineStr">
        <is>
          <t>Pneumonia, unspecified organism</t>
        </is>
      </c>
      <c r="L1964" t="inlineStr">
        <is>
          <t>Respiratory</t>
        </is>
      </c>
      <c r="M1964" t="inlineStr">
        <is>
          <t>Home/Self-Care</t>
        </is>
      </c>
      <c r="N1964" t="inlineStr">
        <is>
          <t>Silverline Medicare Advantage</t>
        </is>
      </c>
      <c r="O1964" s="31" t="n">
        <v>4405.02</v>
      </c>
    </row>
    <row r="1965">
      <c r="A1965" t="inlineStr">
        <is>
          <t>ENC118709</t>
        </is>
      </c>
      <c r="B1965" t="inlineStr">
        <is>
          <t>PT12880</t>
        </is>
      </c>
      <c r="C1965" t="inlineStr">
        <is>
          <t>Emergency</t>
        </is>
      </c>
      <c r="D1965" t="inlineStr">
        <is>
          <t>Ashby Falls Community Hospital</t>
        </is>
      </c>
      <c r="E1965" t="inlineStr">
        <is>
          <t>Emergency Department</t>
        </is>
      </c>
      <c r="F1965" t="inlineStr">
        <is>
          <t>Emergency</t>
        </is>
      </c>
      <c r="G1965" s="29" t="n">
        <v>45923</v>
      </c>
      <c r="H1965" s="29" t="n">
        <v>45923</v>
      </c>
      <c r="I1965" s="30" t="n"/>
      <c r="J1965" t="inlineStr">
        <is>
          <t>S06.0X0A</t>
        </is>
      </c>
      <c r="K1965" t="inlineStr">
        <is>
          <t>Concussion without loss of consciousness, initial encounter</t>
        </is>
      </c>
      <c r="L1965" t="inlineStr">
        <is>
          <t>Injury</t>
        </is>
      </c>
      <c r="M1965" t="inlineStr">
        <is>
          <t>Home/Self-Care</t>
        </is>
      </c>
      <c r="N1965" t="inlineStr">
        <is>
          <t>State Medicaid</t>
        </is>
      </c>
      <c r="O1965" s="31" t="n">
        <v>2846.52</v>
      </c>
    </row>
    <row r="1966">
      <c r="A1966" t="inlineStr">
        <is>
          <t>ENC118721</t>
        </is>
      </c>
      <c r="B1966" t="inlineStr">
        <is>
          <t>PT12848</t>
        </is>
      </c>
      <c r="C1966" t="inlineStr">
        <is>
          <t>Outpatient</t>
        </is>
      </c>
      <c r="D1966" t="inlineStr">
        <is>
          <t>Bluestone Outpatient Pavilion</t>
        </is>
      </c>
      <c r="E1966" t="inlineStr">
        <is>
          <t>Primary Care Clinic</t>
        </is>
      </c>
      <c r="F1966" t="inlineStr">
        <is>
          <t>Ambulatory</t>
        </is>
      </c>
      <c r="G1966" s="29" t="n">
        <v>45924</v>
      </c>
      <c r="H1966" s="29" t="n">
        <v>45924</v>
      </c>
      <c r="I1966" s="30" t="n"/>
      <c r="J1966" t="inlineStr">
        <is>
          <t>E78.5</t>
        </is>
      </c>
      <c r="K1966" t="inlineStr">
        <is>
          <t>Hyperlipidemia, unspecified</t>
        </is>
      </c>
      <c r="L1966" t="inlineStr">
        <is>
          <t>Endocrine</t>
        </is>
      </c>
      <c r="M1966" t="inlineStr">
        <is>
          <t>Home/Self-Care</t>
        </is>
      </c>
      <c r="N1966" t="inlineStr">
        <is>
          <t>State Medicaid</t>
        </is>
      </c>
      <c r="O1966" s="31" t="n">
        <v>251.13</v>
      </c>
    </row>
    <row r="1967">
      <c r="A1967" t="inlineStr">
        <is>
          <t>ENC118722</t>
        </is>
      </c>
      <c r="B1967" t="inlineStr">
        <is>
          <t>PT12844</t>
        </is>
      </c>
      <c r="C1967" t="inlineStr">
        <is>
          <t>Outpatient</t>
        </is>
      </c>
      <c r="D1967" t="inlineStr">
        <is>
          <t>Bluestone Outpatient Pavilion</t>
        </is>
      </c>
      <c r="E1967" t="inlineStr">
        <is>
          <t>Pediatric Clinic</t>
        </is>
      </c>
      <c r="F1967" t="inlineStr">
        <is>
          <t>Women &amp; Children</t>
        </is>
      </c>
      <c r="G1967" s="29" t="n">
        <v>45924</v>
      </c>
      <c r="H1967" s="29" t="n">
        <v>45924</v>
      </c>
      <c r="I1967" s="30" t="n"/>
      <c r="J1967" t="inlineStr">
        <is>
          <t>Z00.129</t>
        </is>
      </c>
      <c r="K1967" t="inlineStr">
        <is>
          <t>Encounter for routine child health examination without abnormal findings</t>
        </is>
      </c>
      <c r="L1967" t="inlineStr">
        <is>
          <t>Factors Influencing Health</t>
        </is>
      </c>
      <c r="M1967" t="inlineStr">
        <is>
          <t>Home/Self-Care</t>
        </is>
      </c>
      <c r="N1967" t="inlineStr">
        <is>
          <t>State Medicaid</t>
        </is>
      </c>
      <c r="O1967" s="31" t="n">
        <v>339.1</v>
      </c>
    </row>
    <row r="1968">
      <c r="A1968" t="inlineStr">
        <is>
          <t>ENC118725</t>
        </is>
      </c>
      <c r="B1968" t="inlineStr">
        <is>
          <t>PT10228</t>
        </is>
      </c>
      <c r="C1968" t="inlineStr">
        <is>
          <t>Outpatient</t>
        </is>
      </c>
      <c r="D1968" t="inlineStr">
        <is>
          <t>Bluestone Outpatient Pavilion</t>
        </is>
      </c>
      <c r="E1968" t="inlineStr">
        <is>
          <t>Primary Care Clinic</t>
        </is>
      </c>
      <c r="F1968" t="inlineStr">
        <is>
          <t>Ambulatory</t>
        </is>
      </c>
      <c r="G1968" s="29" t="n">
        <v>45924</v>
      </c>
      <c r="H1968" s="29" t="n">
        <v>45924</v>
      </c>
      <c r="I1968" s="30" t="n"/>
      <c r="J1968" t="inlineStr">
        <is>
          <t>I10</t>
        </is>
      </c>
      <c r="K1968" t="inlineStr">
        <is>
          <t>Essential (primary) hypertension</t>
        </is>
      </c>
      <c r="L1968" t="inlineStr">
        <is>
          <t>Circulatory</t>
        </is>
      </c>
      <c r="M1968" t="inlineStr">
        <is>
          <t>Home/Self-Care</t>
        </is>
      </c>
      <c r="N1968" t="inlineStr">
        <is>
          <t>Evergreen Mutual Insurance</t>
        </is>
      </c>
      <c r="O1968" s="31" t="n">
        <v>366.17</v>
      </c>
    </row>
    <row r="1969">
      <c r="A1969" t="inlineStr">
        <is>
          <t>ENC118729</t>
        </is>
      </c>
      <c r="B1969" t="inlineStr">
        <is>
          <t>PT11672</t>
        </is>
      </c>
      <c r="C1969" t="inlineStr">
        <is>
          <t>Inpatient</t>
        </is>
      </c>
      <c r="D1969" t="inlineStr">
        <is>
          <t>Bluestone Memorial Hospital</t>
        </is>
      </c>
      <c r="E1969" t="inlineStr">
        <is>
          <t>Neuroscience &amp; Stroke</t>
        </is>
      </c>
      <c r="F1969" t="inlineStr">
        <is>
          <t>Neuroscience</t>
        </is>
      </c>
      <c r="G1969" s="29" t="n">
        <v>45924</v>
      </c>
      <c r="H1969" s="29" t="n">
        <v>45928</v>
      </c>
      <c r="I1969" s="30" t="n">
        <v>4</v>
      </c>
      <c r="J1969" t="inlineStr">
        <is>
          <t>I63.9</t>
        </is>
      </c>
      <c r="K1969" t="inlineStr">
        <is>
          <t>Cerebral infarction, unspecified</t>
        </is>
      </c>
      <c r="L1969" t="inlineStr">
        <is>
          <t>Circulatory</t>
        </is>
      </c>
      <c r="M1969" t="inlineStr">
        <is>
          <t>Home Health</t>
        </is>
      </c>
      <c r="N1969" t="inlineStr">
        <is>
          <t>Evergreen Mutual Insurance</t>
        </is>
      </c>
      <c r="O1969" s="31" t="n">
        <v>14680.6</v>
      </c>
      <c r="P1969" t="inlineStr">
        <is>
          <t>N</t>
        </is>
      </c>
    </row>
    <row r="1970">
      <c r="A1970" t="inlineStr">
        <is>
          <t>ENC118732</t>
        </is>
      </c>
      <c r="B1970" t="inlineStr">
        <is>
          <t>PT12992</t>
        </is>
      </c>
      <c r="C1970" t="inlineStr">
        <is>
          <t>Emergency</t>
        </is>
      </c>
      <c r="D1970" t="inlineStr">
        <is>
          <t>Cedar Ridge Medical Center</t>
        </is>
      </c>
      <c r="E1970" t="inlineStr">
        <is>
          <t>Emergency Department</t>
        </is>
      </c>
      <c r="F1970" t="inlineStr">
        <is>
          <t>Emergency</t>
        </is>
      </c>
      <c r="G1970" s="29" t="n">
        <v>45924</v>
      </c>
      <c r="H1970" s="29" t="n">
        <v>45924</v>
      </c>
      <c r="I1970" s="30" t="n"/>
      <c r="J1970" t="inlineStr">
        <is>
          <t>F41.9</t>
        </is>
      </c>
      <c r="K1970" t="inlineStr">
        <is>
          <t>Anxiety disorder, unspecified</t>
        </is>
      </c>
      <c r="L1970" t="inlineStr">
        <is>
          <t>Mental &amp; Behavioral</t>
        </is>
      </c>
      <c r="M1970" t="inlineStr">
        <is>
          <t>Home/Self-Care</t>
        </is>
      </c>
      <c r="N1970" t="inlineStr">
        <is>
          <t>State Medicaid</t>
        </is>
      </c>
      <c r="O1970" s="31" t="n">
        <v>1857</v>
      </c>
    </row>
    <row r="1971">
      <c r="A1971" t="inlineStr">
        <is>
          <t>ENC118735</t>
        </is>
      </c>
      <c r="B1971" t="inlineStr">
        <is>
          <t>PT13900</t>
        </is>
      </c>
      <c r="C1971" t="inlineStr">
        <is>
          <t>Emergency</t>
        </is>
      </c>
      <c r="D1971" t="inlineStr">
        <is>
          <t>Bluestone Memorial Hospital</t>
        </is>
      </c>
      <c r="E1971" t="inlineStr">
        <is>
          <t>Emergency Department</t>
        </is>
      </c>
      <c r="F1971" t="inlineStr">
        <is>
          <t>Emergency</t>
        </is>
      </c>
      <c r="G1971" s="29" t="n">
        <v>45924</v>
      </c>
      <c r="H1971" s="29" t="n">
        <v>45924</v>
      </c>
      <c r="I1971" s="30" t="n"/>
      <c r="J1971" t="inlineStr">
        <is>
          <t>R07.9</t>
        </is>
      </c>
      <c r="K1971" t="inlineStr">
        <is>
          <t>Chest pain, unspecified</t>
        </is>
      </c>
      <c r="L1971" t="inlineStr">
        <is>
          <t>Symptoms &amp; Signs</t>
        </is>
      </c>
      <c r="M1971" t="inlineStr">
        <is>
          <t>Home/Self-Care</t>
        </is>
      </c>
      <c r="N1971" t="inlineStr">
        <is>
          <t>Medicare</t>
        </is>
      </c>
      <c r="O1971" s="31" t="n">
        <v>2709.13</v>
      </c>
    </row>
    <row r="1972">
      <c r="A1972" t="inlineStr">
        <is>
          <t>ENC118737</t>
        </is>
      </c>
      <c r="B1972" t="inlineStr">
        <is>
          <t>PT12676</t>
        </is>
      </c>
      <c r="C1972" t="inlineStr">
        <is>
          <t>Outpatient</t>
        </is>
      </c>
      <c r="D1972" t="inlineStr">
        <is>
          <t>Bluestone Outpatient Pavilion</t>
        </is>
      </c>
      <c r="E1972" t="inlineStr">
        <is>
          <t>Primary Care Clinic</t>
        </is>
      </c>
      <c r="F1972" t="inlineStr">
        <is>
          <t>Ambulatory</t>
        </is>
      </c>
      <c r="G1972" s="29" t="n">
        <v>45924</v>
      </c>
      <c r="H1972" s="29" t="n">
        <v>45924</v>
      </c>
      <c r="I1972" s="30" t="n"/>
      <c r="J1972" t="inlineStr">
        <is>
          <t>E78.5</t>
        </is>
      </c>
      <c r="K1972" t="inlineStr">
        <is>
          <t>Hyperlipidemia, unspecified</t>
        </is>
      </c>
      <c r="L1972" t="inlineStr">
        <is>
          <t>Endocrine</t>
        </is>
      </c>
      <c r="M1972" t="inlineStr">
        <is>
          <t>Home/Self-Care</t>
        </is>
      </c>
      <c r="N1972" t="inlineStr">
        <is>
          <t>Medicare</t>
        </is>
      </c>
      <c r="O1972" s="31" t="n">
        <v>160.88</v>
      </c>
    </row>
    <row r="1973">
      <c r="A1973" t="inlineStr">
        <is>
          <t>ENC118740</t>
        </is>
      </c>
      <c r="B1973" t="inlineStr">
        <is>
          <t>PT11944</t>
        </is>
      </c>
      <c r="C1973" t="inlineStr">
        <is>
          <t>Emergency</t>
        </is>
      </c>
      <c r="D1973" t="inlineStr">
        <is>
          <t>Bluestone Memorial Hospital</t>
        </is>
      </c>
      <c r="E1973" t="inlineStr">
        <is>
          <t>Emergency Department</t>
        </is>
      </c>
      <c r="F1973" t="inlineStr">
        <is>
          <t>Emergency</t>
        </is>
      </c>
      <c r="G1973" s="29" t="n">
        <v>45924</v>
      </c>
      <c r="H1973" s="29" t="n">
        <v>45925</v>
      </c>
      <c r="I1973" s="30" t="n"/>
      <c r="J1973" t="inlineStr">
        <is>
          <t>L03.115</t>
        </is>
      </c>
      <c r="K1973" t="inlineStr">
        <is>
          <t>Cellulitis of right lower limb</t>
        </is>
      </c>
      <c r="L1973" t="inlineStr">
        <is>
          <t>Skin</t>
        </is>
      </c>
      <c r="M1973" t="inlineStr">
        <is>
          <t>Home/Self-Care</t>
        </is>
      </c>
      <c r="N1973" t="inlineStr">
        <is>
          <t>Silverline Medicare Advantage</t>
        </is>
      </c>
      <c r="O1973" s="31" t="n">
        <v>2777.37</v>
      </c>
    </row>
    <row r="1974">
      <c r="A1974" t="inlineStr">
        <is>
          <t>ENC118744</t>
        </is>
      </c>
      <c r="B1974" t="inlineStr">
        <is>
          <t>PT10560</t>
        </is>
      </c>
      <c r="C1974" t="inlineStr">
        <is>
          <t>Outpatient</t>
        </is>
      </c>
      <c r="D1974" t="inlineStr">
        <is>
          <t>Bluestone Outpatient Pavilion</t>
        </is>
      </c>
      <c r="E1974" t="inlineStr">
        <is>
          <t>Primary Care Clinic</t>
        </is>
      </c>
      <c r="F1974" t="inlineStr">
        <is>
          <t>Ambulatory</t>
        </is>
      </c>
      <c r="G1974" s="29" t="n">
        <v>45925</v>
      </c>
      <c r="H1974" s="29" t="n">
        <v>45925</v>
      </c>
      <c r="I1974" s="30" t="n"/>
      <c r="J1974" t="inlineStr">
        <is>
          <t>E78.5</t>
        </is>
      </c>
      <c r="K1974" t="inlineStr">
        <is>
          <t>Hyperlipidemia, unspecified</t>
        </is>
      </c>
      <c r="L1974" t="inlineStr">
        <is>
          <t>Endocrine</t>
        </is>
      </c>
      <c r="M1974" t="inlineStr">
        <is>
          <t>Home/Self-Care</t>
        </is>
      </c>
      <c r="N1974" t="inlineStr">
        <is>
          <t>Evergreen Mutual Insurance</t>
        </is>
      </c>
      <c r="O1974" s="31" t="n">
        <v>438.75</v>
      </c>
    </row>
    <row r="1975">
      <c r="A1975" t="inlineStr">
        <is>
          <t>ENC118745</t>
        </is>
      </c>
      <c r="B1975" t="inlineStr">
        <is>
          <t>PT13848</t>
        </is>
      </c>
      <c r="C1975" t="inlineStr">
        <is>
          <t>Emergency</t>
        </is>
      </c>
      <c r="D1975" t="inlineStr">
        <is>
          <t>Bluestone Memorial Hospital</t>
        </is>
      </c>
      <c r="E1975" t="inlineStr">
        <is>
          <t>Emergency Department</t>
        </is>
      </c>
      <c r="F1975" t="inlineStr">
        <is>
          <t>Emergency</t>
        </is>
      </c>
      <c r="G1975" s="29" t="n">
        <v>45925</v>
      </c>
      <c r="H1975" s="29" t="n">
        <v>45925</v>
      </c>
      <c r="I1975" s="30" t="n"/>
      <c r="J1975" t="inlineStr">
        <is>
          <t>E11.65</t>
        </is>
      </c>
      <c r="K1975" t="inlineStr">
        <is>
          <t>Type 2 diabetes mellitus with hyperglycemia</t>
        </is>
      </c>
      <c r="L1975" t="inlineStr">
        <is>
          <t>Endocrine</t>
        </is>
      </c>
      <c r="M1975" t="inlineStr">
        <is>
          <t>Home/Self-Care</t>
        </is>
      </c>
      <c r="N1975" t="inlineStr">
        <is>
          <t>Medicare</t>
        </is>
      </c>
      <c r="O1975" s="31" t="n">
        <v>2368.95</v>
      </c>
    </row>
    <row r="1976">
      <c r="A1976" t="inlineStr">
        <is>
          <t>ENC118750</t>
        </is>
      </c>
      <c r="B1976" t="inlineStr">
        <is>
          <t>PT11068</t>
        </is>
      </c>
      <c r="C1976" t="inlineStr">
        <is>
          <t>Emergency</t>
        </is>
      </c>
      <c r="D1976" t="inlineStr">
        <is>
          <t>Cedar Ridge Medical Center</t>
        </is>
      </c>
      <c r="E1976" t="inlineStr">
        <is>
          <t>Emergency Department</t>
        </is>
      </c>
      <c r="F1976" t="inlineStr">
        <is>
          <t>Emergency</t>
        </is>
      </c>
      <c r="G1976" s="29" t="n">
        <v>45925</v>
      </c>
      <c r="H1976" s="29" t="n">
        <v>45925</v>
      </c>
      <c r="I1976" s="30" t="n"/>
      <c r="J1976" t="inlineStr">
        <is>
          <t>L03.115</t>
        </is>
      </c>
      <c r="K1976" t="inlineStr">
        <is>
          <t>Cellulitis of right lower limb</t>
        </is>
      </c>
      <c r="L1976" t="inlineStr">
        <is>
          <t>Skin</t>
        </is>
      </c>
      <c r="M1976" t="inlineStr">
        <is>
          <t>Home/Self-Care</t>
        </is>
      </c>
      <c r="N1976" t="inlineStr">
        <is>
          <t>Keystone Health Partners</t>
        </is>
      </c>
      <c r="O1976" s="31" t="n">
        <v>2504.39</v>
      </c>
    </row>
    <row r="1977">
      <c r="A1977" t="inlineStr">
        <is>
          <t>ENC118751</t>
        </is>
      </c>
      <c r="B1977" t="inlineStr">
        <is>
          <t>PT11388</t>
        </is>
      </c>
      <c r="C1977" t="inlineStr">
        <is>
          <t>Emergency</t>
        </is>
      </c>
      <c r="D1977" t="inlineStr">
        <is>
          <t>Bluestone Memorial Hospital</t>
        </is>
      </c>
      <c r="E1977" t="inlineStr">
        <is>
          <t>Emergency Department</t>
        </is>
      </c>
      <c r="F1977" t="inlineStr">
        <is>
          <t>Emergency</t>
        </is>
      </c>
      <c r="G1977" s="29" t="n">
        <v>45925</v>
      </c>
      <c r="H1977" s="29" t="n">
        <v>45925</v>
      </c>
      <c r="I1977" s="30" t="n"/>
      <c r="J1977" t="inlineStr">
        <is>
          <t>F32.9</t>
        </is>
      </c>
      <c r="K1977" t="inlineStr">
        <is>
          <t>Major depressive disorder, single episode, unspecified</t>
        </is>
      </c>
      <c r="L1977" t="inlineStr">
        <is>
          <t>Mental &amp; Behavioral</t>
        </is>
      </c>
      <c r="M1977" t="inlineStr">
        <is>
          <t>Home/Self-Care</t>
        </is>
      </c>
      <c r="N1977" t="inlineStr">
        <is>
          <t>Keystone Health Partners</t>
        </is>
      </c>
      <c r="O1977" s="31" t="n">
        <v>4014.13</v>
      </c>
    </row>
    <row r="1978">
      <c r="A1978" t="inlineStr">
        <is>
          <t>ENC118753</t>
        </is>
      </c>
      <c r="B1978" t="inlineStr">
        <is>
          <t>PT12424</t>
        </is>
      </c>
      <c r="C1978" t="inlineStr">
        <is>
          <t>Outpatient</t>
        </is>
      </c>
      <c r="D1978" t="inlineStr">
        <is>
          <t>Bluestone Outpatient Pavilion</t>
        </is>
      </c>
      <c r="E1978" t="inlineStr">
        <is>
          <t>Pediatric Clinic</t>
        </is>
      </c>
      <c r="F1978" t="inlineStr">
        <is>
          <t>Women &amp; Children</t>
        </is>
      </c>
      <c r="G1978" s="29" t="n">
        <v>45925</v>
      </c>
      <c r="H1978" s="29" t="n">
        <v>45925</v>
      </c>
      <c r="I1978" s="30" t="n"/>
      <c r="J1978" t="inlineStr">
        <is>
          <t>Z00.129</t>
        </is>
      </c>
      <c r="K1978" t="inlineStr">
        <is>
          <t>Encounter for routine child health examination without abnormal findings</t>
        </is>
      </c>
      <c r="L1978" t="inlineStr">
        <is>
          <t>Factors Influencing Health</t>
        </is>
      </c>
      <c r="M1978" t="inlineStr">
        <is>
          <t>Home/Self-Care</t>
        </is>
      </c>
      <c r="N1978" t="inlineStr">
        <is>
          <t>Self-Pay</t>
        </is>
      </c>
      <c r="O1978" s="31" t="n">
        <v>231.45</v>
      </c>
    </row>
    <row r="1979">
      <c r="A1979" t="inlineStr">
        <is>
          <t>ENC118768</t>
        </is>
      </c>
      <c r="B1979" t="inlineStr">
        <is>
          <t>PT13020</t>
        </is>
      </c>
      <c r="C1979" t="inlineStr">
        <is>
          <t>Outpatient</t>
        </is>
      </c>
      <c r="D1979" t="inlineStr">
        <is>
          <t>Bluestone Outpatient Pavilion</t>
        </is>
      </c>
      <c r="E1979" t="inlineStr">
        <is>
          <t>Pediatric Clinic</t>
        </is>
      </c>
      <c r="F1979" t="inlineStr">
        <is>
          <t>Women &amp; Children</t>
        </is>
      </c>
      <c r="G1979" s="29" t="n">
        <v>45926</v>
      </c>
      <c r="H1979" s="29" t="n">
        <v>45926</v>
      </c>
      <c r="I1979" s="30" t="n"/>
      <c r="J1979" t="inlineStr">
        <is>
          <t>Z23</t>
        </is>
      </c>
      <c r="K1979" t="inlineStr">
        <is>
          <t>Encounter for immunization</t>
        </is>
      </c>
      <c r="L1979" t="inlineStr">
        <is>
          <t>Factors Influencing Health</t>
        </is>
      </c>
      <c r="M1979" t="inlineStr">
        <is>
          <t>Home/Self-Care</t>
        </is>
      </c>
      <c r="N1979" t="inlineStr">
        <is>
          <t>State Medicaid</t>
        </is>
      </c>
      <c r="O1979" s="31" t="n">
        <v>100.44</v>
      </c>
    </row>
    <row r="1980">
      <c r="A1980" t="inlineStr">
        <is>
          <t>ENC118769</t>
        </is>
      </c>
      <c r="B1980" t="inlineStr">
        <is>
          <t>PT12196</t>
        </is>
      </c>
      <c r="C1980" t="inlineStr">
        <is>
          <t>Emergency</t>
        </is>
      </c>
      <c r="D1980" t="inlineStr">
        <is>
          <t>Bluestone Memorial Hospital</t>
        </is>
      </c>
      <c r="E1980" t="inlineStr">
        <is>
          <t>Emergency Department</t>
        </is>
      </c>
      <c r="F1980" t="inlineStr">
        <is>
          <t>Emergency</t>
        </is>
      </c>
      <c r="G1980" s="29" t="n">
        <v>45926</v>
      </c>
      <c r="H1980" s="29" t="n">
        <v>45926</v>
      </c>
      <c r="I1980" s="30" t="n"/>
      <c r="J1980" t="inlineStr">
        <is>
          <t>M54.50</t>
        </is>
      </c>
      <c r="K1980" t="inlineStr">
        <is>
          <t>Low back pain, unspecified</t>
        </is>
      </c>
      <c r="L1980" t="inlineStr">
        <is>
          <t>Musculoskeletal</t>
        </is>
      </c>
      <c r="M1980" t="inlineStr">
        <is>
          <t>Home/Self-Care</t>
        </is>
      </c>
      <c r="N1980" t="inlineStr">
        <is>
          <t>Summit Choice PPO</t>
        </is>
      </c>
      <c r="O1980" s="31" t="n">
        <v>1763.74</v>
      </c>
    </row>
    <row r="1981">
      <c r="A1981" t="inlineStr">
        <is>
          <t>ENC118774</t>
        </is>
      </c>
      <c r="B1981" t="inlineStr">
        <is>
          <t>PT13864</t>
        </is>
      </c>
      <c r="C1981" t="inlineStr">
        <is>
          <t>Outpatient</t>
        </is>
      </c>
      <c r="D1981" t="inlineStr">
        <is>
          <t>Bluestone Outpatient Pavilion</t>
        </is>
      </c>
      <c r="E1981" t="inlineStr">
        <is>
          <t>Primary Care Clinic</t>
        </is>
      </c>
      <c r="F1981" t="inlineStr">
        <is>
          <t>Ambulatory</t>
        </is>
      </c>
      <c r="G1981" s="29" t="n">
        <v>45926</v>
      </c>
      <c r="H1981" s="29" t="n">
        <v>45926</v>
      </c>
      <c r="I1981" s="30" t="n"/>
      <c r="J1981" t="inlineStr">
        <is>
          <t>F41.9</t>
        </is>
      </c>
      <c r="K1981" t="inlineStr">
        <is>
          <t>Anxiety disorder, unspecified</t>
        </is>
      </c>
      <c r="L1981" t="inlineStr">
        <is>
          <t>Mental &amp; Behavioral</t>
        </is>
      </c>
      <c r="M1981" t="inlineStr">
        <is>
          <t>Home/Self-Care</t>
        </is>
      </c>
      <c r="N1981" t="inlineStr">
        <is>
          <t>Silverline Medicare Advantage</t>
        </is>
      </c>
      <c r="O1981" s="31" t="n">
        <v>301.73</v>
      </c>
    </row>
    <row r="1982">
      <c r="A1982" t="inlineStr">
        <is>
          <t>ENC118776</t>
        </is>
      </c>
      <c r="B1982" t="inlineStr">
        <is>
          <t>PT13076</t>
        </is>
      </c>
      <c r="C1982" t="inlineStr">
        <is>
          <t>Outpatient</t>
        </is>
      </c>
      <c r="D1982" t="inlineStr">
        <is>
          <t>Bluestone Outpatient Pavilion</t>
        </is>
      </c>
      <c r="E1982" t="inlineStr">
        <is>
          <t>Primary Care Clinic</t>
        </is>
      </c>
      <c r="F1982" t="inlineStr">
        <is>
          <t>Ambulatory</t>
        </is>
      </c>
      <c r="G1982" s="29" t="n">
        <v>45926</v>
      </c>
      <c r="H1982" s="29" t="n">
        <v>45926</v>
      </c>
      <c r="I1982" s="30" t="n"/>
      <c r="J1982" t="inlineStr">
        <is>
          <t>I10</t>
        </is>
      </c>
      <c r="K1982" t="inlineStr">
        <is>
          <t>Essential (primary) hypertension</t>
        </is>
      </c>
      <c r="L1982" t="inlineStr">
        <is>
          <t>Circulatory</t>
        </is>
      </c>
      <c r="M1982" t="inlineStr">
        <is>
          <t>Home/Self-Care</t>
        </is>
      </c>
      <c r="N1982" t="inlineStr">
        <is>
          <t>Keystone Health Partners</t>
        </is>
      </c>
      <c r="O1982" s="31" t="n">
        <v>242.62</v>
      </c>
    </row>
    <row r="1983">
      <c r="A1983" t="inlineStr">
        <is>
          <t>ENC118777</t>
        </is>
      </c>
      <c r="B1983" t="inlineStr">
        <is>
          <t>PT12896</t>
        </is>
      </c>
      <c r="C1983" t="inlineStr">
        <is>
          <t>Outpatient</t>
        </is>
      </c>
      <c r="D1983" t="inlineStr">
        <is>
          <t>Bluestone Outpatient Pavilion</t>
        </is>
      </c>
      <c r="E1983" t="inlineStr">
        <is>
          <t>Primary Care Clinic</t>
        </is>
      </c>
      <c r="F1983" t="inlineStr">
        <is>
          <t>Ambulatory</t>
        </is>
      </c>
      <c r="G1983" s="29" t="n">
        <v>45926</v>
      </c>
      <c r="H1983" s="29" t="n">
        <v>45926</v>
      </c>
      <c r="I1983" s="30" t="n"/>
      <c r="J1983" t="inlineStr">
        <is>
          <t>Z00.00</t>
        </is>
      </c>
      <c r="K1983" t="inlineStr">
        <is>
          <t>Encounter for general adult medical examination without abnormal findings</t>
        </is>
      </c>
      <c r="L1983" t="inlineStr">
        <is>
          <t>Factors Influencing Health</t>
        </is>
      </c>
      <c r="M1983" t="inlineStr">
        <is>
          <t>Home/Self-Care</t>
        </is>
      </c>
      <c r="N1983" t="inlineStr">
        <is>
          <t>Silverline Medicare Advantage</t>
        </is>
      </c>
      <c r="O1983" s="31" t="n">
        <v>514.13</v>
      </c>
    </row>
    <row r="1984">
      <c r="A1984" t="inlineStr">
        <is>
          <t>ENC118778</t>
        </is>
      </c>
      <c r="B1984" t="inlineStr">
        <is>
          <t>PT12240</t>
        </is>
      </c>
      <c r="C1984" t="inlineStr">
        <is>
          <t>Emergency</t>
        </is>
      </c>
      <c r="D1984" t="inlineStr">
        <is>
          <t>Ashby Falls Community Hospital</t>
        </is>
      </c>
      <c r="E1984" t="inlineStr">
        <is>
          <t>Emergency Department</t>
        </is>
      </c>
      <c r="F1984" t="inlineStr">
        <is>
          <t>Emergency</t>
        </is>
      </c>
      <c r="G1984" s="29" t="n">
        <v>45926</v>
      </c>
      <c r="H1984" s="29" t="n">
        <v>45926</v>
      </c>
      <c r="I1984" s="30" t="n"/>
      <c r="J1984" t="inlineStr">
        <is>
          <t>R10.9</t>
        </is>
      </c>
      <c r="K1984" t="inlineStr">
        <is>
          <t>Unspecified abdominal pain</t>
        </is>
      </c>
      <c r="L1984" t="inlineStr">
        <is>
          <t>Symptoms &amp; Signs</t>
        </is>
      </c>
      <c r="M1984" t="inlineStr">
        <is>
          <t>Home/Self-Care</t>
        </is>
      </c>
      <c r="N1984" t="inlineStr">
        <is>
          <t>Evergreen Mutual Insurance</t>
        </is>
      </c>
      <c r="O1984" s="31" t="n">
        <v>3308.97</v>
      </c>
    </row>
    <row r="1985">
      <c r="A1985" t="inlineStr">
        <is>
          <t>ENC118782</t>
        </is>
      </c>
      <c r="B1985" t="inlineStr">
        <is>
          <t>PT12140</t>
        </is>
      </c>
      <c r="C1985" t="inlineStr">
        <is>
          <t>Outpatient</t>
        </is>
      </c>
      <c r="D1985" t="inlineStr">
        <is>
          <t>Bluestone Outpatient Pavilion</t>
        </is>
      </c>
      <c r="E1985" t="inlineStr">
        <is>
          <t>Primary Care Clinic</t>
        </is>
      </c>
      <c r="F1985" t="inlineStr">
        <is>
          <t>Ambulatory</t>
        </is>
      </c>
      <c r="G1985" s="29" t="n">
        <v>45926</v>
      </c>
      <c r="H1985" s="29" t="n">
        <v>45926</v>
      </c>
      <c r="I1985" s="30" t="n"/>
      <c r="J1985" t="inlineStr">
        <is>
          <t>E78.5</t>
        </is>
      </c>
      <c r="K1985" t="inlineStr">
        <is>
          <t>Hyperlipidemia, unspecified</t>
        </is>
      </c>
      <c r="L1985" t="inlineStr">
        <is>
          <t>Endocrine</t>
        </is>
      </c>
      <c r="M1985" t="inlineStr">
        <is>
          <t>Home/Self-Care</t>
        </is>
      </c>
      <c r="N1985" t="inlineStr">
        <is>
          <t>Keystone Health Partners</t>
        </is>
      </c>
      <c r="O1985" s="31" t="n">
        <v>332.88</v>
      </c>
    </row>
    <row r="1986">
      <c r="A1986" t="inlineStr">
        <is>
          <t>ENC118783</t>
        </is>
      </c>
      <c r="B1986" t="inlineStr">
        <is>
          <t>PT12740</t>
        </is>
      </c>
      <c r="C1986" t="inlineStr">
        <is>
          <t>Observation</t>
        </is>
      </c>
      <c r="D1986" t="inlineStr">
        <is>
          <t>Cedar Ridge Medical Center</t>
        </is>
      </c>
      <c r="E1986" t="inlineStr">
        <is>
          <t>Medical-Surgical</t>
        </is>
      </c>
      <c r="F1986" t="inlineStr">
        <is>
          <t>Medicine</t>
        </is>
      </c>
      <c r="G1986" s="29" t="n">
        <v>45926</v>
      </c>
      <c r="H1986" s="29" t="n">
        <v>45927</v>
      </c>
      <c r="I1986" s="30" t="n">
        <v>1</v>
      </c>
      <c r="J1986" t="inlineStr">
        <is>
          <t>S06.0X0A</t>
        </is>
      </c>
      <c r="K1986" t="inlineStr">
        <is>
          <t>Concussion without loss of consciousness, initial encounter</t>
        </is>
      </c>
      <c r="L1986" t="inlineStr">
        <is>
          <t>Injury</t>
        </is>
      </c>
      <c r="M1986" t="inlineStr">
        <is>
          <t>Home/Self-Care</t>
        </is>
      </c>
      <c r="N1986" t="inlineStr">
        <is>
          <t>Evergreen Mutual Insurance</t>
        </is>
      </c>
      <c r="O1986" s="31" t="n">
        <v>4365.34</v>
      </c>
    </row>
    <row r="1987">
      <c r="A1987" t="inlineStr">
        <is>
          <t>ENC118789</t>
        </is>
      </c>
      <c r="B1987" t="inlineStr">
        <is>
          <t>PT12916</t>
        </is>
      </c>
      <c r="C1987" t="inlineStr">
        <is>
          <t>Inpatient</t>
        </is>
      </c>
      <c r="D1987" t="inlineStr">
        <is>
          <t>Bluestone Memorial Hospital</t>
        </is>
      </c>
      <c r="E1987" t="inlineStr">
        <is>
          <t>Oncology</t>
        </is>
      </c>
      <c r="F1987" t="inlineStr">
        <is>
          <t>Oncology</t>
        </is>
      </c>
      <c r="G1987" s="29" t="n">
        <v>45926</v>
      </c>
      <c r="H1987" s="29" t="n">
        <v>45930</v>
      </c>
      <c r="I1987" s="30" t="n">
        <v>4</v>
      </c>
      <c r="J1987" t="inlineStr">
        <is>
          <t>C34.90</t>
        </is>
      </c>
      <c r="K1987" t="inlineStr">
        <is>
          <t>Malignant neoplasm of unspecified part of unspecified bronchus or lung</t>
        </is>
      </c>
      <c r="L1987" t="inlineStr">
        <is>
          <t>Neoplasms</t>
        </is>
      </c>
      <c r="M1987" t="inlineStr">
        <is>
          <t>Home/Self-Care</t>
        </is>
      </c>
      <c r="N1987" t="inlineStr">
        <is>
          <t>State Medicaid</t>
        </is>
      </c>
      <c r="O1987" s="31" t="n">
        <v>19954.37</v>
      </c>
      <c r="P1987" t="inlineStr">
        <is>
          <t>Y</t>
        </is>
      </c>
    </row>
    <row r="1988">
      <c r="A1988" t="inlineStr">
        <is>
          <t>ENC118790</t>
        </is>
      </c>
      <c r="B1988" t="inlineStr">
        <is>
          <t>PT13008</t>
        </is>
      </c>
      <c r="C1988" t="inlineStr">
        <is>
          <t>Emergency</t>
        </is>
      </c>
      <c r="D1988" t="inlineStr">
        <is>
          <t>Bluestone Memorial Hospital</t>
        </is>
      </c>
      <c r="E1988" t="inlineStr">
        <is>
          <t>Emergency Department</t>
        </is>
      </c>
      <c r="F1988" t="inlineStr">
        <is>
          <t>Emergency</t>
        </is>
      </c>
      <c r="G1988" s="29" t="n">
        <v>45926</v>
      </c>
      <c r="H1988" s="29" t="n">
        <v>45927</v>
      </c>
      <c r="I1988" s="30" t="n"/>
      <c r="J1988" t="inlineStr">
        <is>
          <t>M54.50</t>
        </is>
      </c>
      <c r="K1988" t="inlineStr">
        <is>
          <t>Low back pain, unspecified</t>
        </is>
      </c>
      <c r="L1988" t="inlineStr">
        <is>
          <t>Musculoskeletal</t>
        </is>
      </c>
      <c r="M1988" t="inlineStr">
        <is>
          <t>Home/Self-Care</t>
        </is>
      </c>
      <c r="N1988" t="inlineStr">
        <is>
          <t>Self-Pay</t>
        </is>
      </c>
      <c r="O1988" s="31" t="n">
        <v>3600.31</v>
      </c>
    </row>
    <row r="1989">
      <c r="A1989" t="inlineStr">
        <is>
          <t>ENC118793</t>
        </is>
      </c>
      <c r="B1989" t="inlineStr">
        <is>
          <t>PT12536</t>
        </is>
      </c>
      <c r="C1989" t="inlineStr">
        <is>
          <t>Inpatient</t>
        </is>
      </c>
      <c r="D1989" t="inlineStr">
        <is>
          <t>Bluestone Memorial Hospital</t>
        </is>
      </c>
      <c r="E1989" t="inlineStr">
        <is>
          <t>Labor &amp; Delivery</t>
        </is>
      </c>
      <c r="F1989" t="inlineStr">
        <is>
          <t>Women &amp; Children</t>
        </is>
      </c>
      <c r="G1989" s="29" t="n">
        <v>45927</v>
      </c>
      <c r="H1989" s="29" t="n">
        <v>45930</v>
      </c>
      <c r="I1989" s="30" t="n">
        <v>3</v>
      </c>
      <c r="J1989" t="inlineStr">
        <is>
          <t>O82</t>
        </is>
      </c>
      <c r="K1989" t="inlineStr">
        <is>
          <t>Encounter for cesarean delivery without indication</t>
        </is>
      </c>
      <c r="L1989" t="inlineStr">
        <is>
          <t>Pregnancy</t>
        </is>
      </c>
      <c r="M1989" t="inlineStr">
        <is>
          <t>Home/Self-Care</t>
        </is>
      </c>
      <c r="N1989" t="inlineStr">
        <is>
          <t>Summit Choice PPO</t>
        </is>
      </c>
      <c r="O1989" s="31" t="n">
        <v>31041.48</v>
      </c>
      <c r="P1989" t="inlineStr">
        <is>
          <t>N</t>
        </is>
      </c>
    </row>
    <row r="1990">
      <c r="A1990" t="inlineStr">
        <is>
          <t>ENC118799</t>
        </is>
      </c>
      <c r="B1990" t="inlineStr">
        <is>
          <t>PT10852</t>
        </is>
      </c>
      <c r="C1990" t="inlineStr">
        <is>
          <t>Emergency</t>
        </is>
      </c>
      <c r="D1990" t="inlineStr">
        <is>
          <t>Bluestone Memorial Hospital</t>
        </is>
      </c>
      <c r="E1990" t="inlineStr">
        <is>
          <t>Emergency Department</t>
        </is>
      </c>
      <c r="F1990" t="inlineStr">
        <is>
          <t>Emergency</t>
        </is>
      </c>
      <c r="G1990" s="29" t="n">
        <v>45927</v>
      </c>
      <c r="H1990" s="29" t="n">
        <v>45927</v>
      </c>
      <c r="I1990" s="30" t="n"/>
      <c r="J1990" t="inlineStr">
        <is>
          <t>L03.115</t>
        </is>
      </c>
      <c r="K1990" t="inlineStr">
        <is>
          <t>Cellulitis of right lower limb</t>
        </is>
      </c>
      <c r="L1990" t="inlineStr">
        <is>
          <t>Skin</t>
        </is>
      </c>
      <c r="M1990" t="inlineStr">
        <is>
          <t>Home/Self-Care</t>
        </is>
      </c>
      <c r="N1990" t="inlineStr">
        <is>
          <t>Keystone Health Partners</t>
        </is>
      </c>
      <c r="O1990" s="31" t="n">
        <v>2046.72</v>
      </c>
    </row>
    <row r="1991">
      <c r="A1991" t="inlineStr">
        <is>
          <t>ENC118803</t>
        </is>
      </c>
      <c r="B1991" t="inlineStr">
        <is>
          <t>PT11664</t>
        </is>
      </c>
      <c r="C1991" t="inlineStr">
        <is>
          <t>Emergency</t>
        </is>
      </c>
      <c r="D1991" t="inlineStr">
        <is>
          <t>Bluestone Memorial Hospital</t>
        </is>
      </c>
      <c r="E1991" t="inlineStr">
        <is>
          <t>Emergency Department</t>
        </is>
      </c>
      <c r="F1991" t="inlineStr">
        <is>
          <t>Emergency</t>
        </is>
      </c>
      <c r="G1991" s="29" t="n">
        <v>45927</v>
      </c>
      <c r="H1991" s="29" t="n">
        <v>45927</v>
      </c>
      <c r="I1991" s="30" t="n"/>
      <c r="J1991" t="inlineStr">
        <is>
          <t>R07.9</t>
        </is>
      </c>
      <c r="K1991" t="inlineStr">
        <is>
          <t>Chest pain, unspecified</t>
        </is>
      </c>
      <c r="L1991" t="inlineStr">
        <is>
          <t>Symptoms &amp; Signs</t>
        </is>
      </c>
      <c r="M1991" t="inlineStr">
        <is>
          <t>Home/Self-Care</t>
        </is>
      </c>
      <c r="N1991" t="inlineStr">
        <is>
          <t>State Medicaid</t>
        </is>
      </c>
      <c r="O1991" s="31" t="n">
        <v>2809.97</v>
      </c>
    </row>
    <row r="1992">
      <c r="A1992" t="inlineStr">
        <is>
          <t>ENC118815</t>
        </is>
      </c>
      <c r="B1992" t="inlineStr">
        <is>
          <t>PT10844</t>
        </is>
      </c>
      <c r="C1992" t="inlineStr">
        <is>
          <t>Emergency</t>
        </is>
      </c>
      <c r="D1992" t="inlineStr">
        <is>
          <t>Cedar Ridge Medical Center</t>
        </is>
      </c>
      <c r="E1992" t="inlineStr">
        <is>
          <t>Emergency Department</t>
        </is>
      </c>
      <c r="F1992" t="inlineStr">
        <is>
          <t>Emergency</t>
        </is>
      </c>
      <c r="G1992" s="29" t="n">
        <v>45928</v>
      </c>
      <c r="H1992" s="29" t="n">
        <v>45928</v>
      </c>
      <c r="I1992" s="30" t="n"/>
      <c r="J1992" t="inlineStr">
        <is>
          <t>A08.4</t>
        </is>
      </c>
      <c r="K1992" t="inlineStr">
        <is>
          <t>Viral intestinal infection, unspecified</t>
        </is>
      </c>
      <c r="L1992" t="inlineStr">
        <is>
          <t>Infectious</t>
        </is>
      </c>
      <c r="M1992" t="inlineStr">
        <is>
          <t>Home/Self-Care</t>
        </is>
      </c>
      <c r="N1992" t="inlineStr">
        <is>
          <t>Keystone Health Partners</t>
        </is>
      </c>
      <c r="O1992" s="31" t="n">
        <v>2681.96</v>
      </c>
    </row>
    <row r="1993">
      <c r="A1993" t="inlineStr">
        <is>
          <t>ENC118817</t>
        </is>
      </c>
      <c r="B1993" t="inlineStr">
        <is>
          <t>PT12484</t>
        </is>
      </c>
      <c r="C1993" t="inlineStr">
        <is>
          <t>Emergency</t>
        </is>
      </c>
      <c r="D1993" t="inlineStr">
        <is>
          <t>Bluestone Memorial Hospital</t>
        </is>
      </c>
      <c r="E1993" t="inlineStr">
        <is>
          <t>Emergency Department</t>
        </is>
      </c>
      <c r="F1993" t="inlineStr">
        <is>
          <t>Emergency</t>
        </is>
      </c>
      <c r="G1993" s="29" t="n">
        <v>45928</v>
      </c>
      <c r="H1993" s="29" t="n">
        <v>45928</v>
      </c>
      <c r="I1993" s="30" t="n"/>
      <c r="J1993" t="inlineStr">
        <is>
          <t>J06.9</t>
        </is>
      </c>
      <c r="K1993" t="inlineStr">
        <is>
          <t>Acute upper respiratory infection, unspecified</t>
        </is>
      </c>
      <c r="L1993" t="inlineStr">
        <is>
          <t>Respiratory</t>
        </is>
      </c>
      <c r="M1993" t="inlineStr">
        <is>
          <t>Home/Self-Care</t>
        </is>
      </c>
      <c r="N1993" t="inlineStr">
        <is>
          <t>Medicare</t>
        </is>
      </c>
      <c r="O1993" s="31" t="n">
        <v>821.61</v>
      </c>
    </row>
    <row r="1994">
      <c r="A1994" t="inlineStr">
        <is>
          <t>ENC118821</t>
        </is>
      </c>
      <c r="B1994" t="inlineStr">
        <is>
          <t>PT11308</t>
        </is>
      </c>
      <c r="C1994" t="inlineStr">
        <is>
          <t>Inpatient</t>
        </is>
      </c>
      <c r="D1994" t="inlineStr">
        <is>
          <t>Bluestone Memorial Hospital</t>
        </is>
      </c>
      <c r="E1994" t="inlineStr">
        <is>
          <t>Labor &amp; Delivery</t>
        </is>
      </c>
      <c r="F1994" t="inlineStr">
        <is>
          <t>Women &amp; Children</t>
        </is>
      </c>
      <c r="G1994" s="29" t="n">
        <v>45928</v>
      </c>
      <c r="H1994" s="29" t="n">
        <v>45930</v>
      </c>
      <c r="I1994" s="30" t="n">
        <v>2</v>
      </c>
      <c r="J1994" t="inlineStr">
        <is>
          <t>O80</t>
        </is>
      </c>
      <c r="K1994" t="inlineStr">
        <is>
          <t>Encounter for full-term uncomplicated delivery</t>
        </is>
      </c>
      <c r="L1994" t="inlineStr">
        <is>
          <t>Pregnancy</t>
        </is>
      </c>
      <c r="M1994" t="inlineStr">
        <is>
          <t>Home/Self-Care</t>
        </is>
      </c>
      <c r="N1994" t="inlineStr">
        <is>
          <t>Keystone Health Partners</t>
        </is>
      </c>
      <c r="O1994" s="31" t="n">
        <v>11714.9</v>
      </c>
      <c r="P1994" t="inlineStr">
        <is>
          <t>N</t>
        </is>
      </c>
    </row>
    <row r="1995">
      <c r="A1995" t="inlineStr">
        <is>
          <t>ENC118824</t>
        </is>
      </c>
      <c r="B1995" t="inlineStr">
        <is>
          <t>PT13148</t>
        </is>
      </c>
      <c r="C1995" t="inlineStr">
        <is>
          <t>Inpatient</t>
        </is>
      </c>
      <c r="D1995" t="inlineStr">
        <is>
          <t>Bluestone Memorial Hospital</t>
        </is>
      </c>
      <c r="E1995" t="inlineStr">
        <is>
          <t>Labor &amp; Delivery</t>
        </is>
      </c>
      <c r="F1995" t="inlineStr">
        <is>
          <t>Women &amp; Children</t>
        </is>
      </c>
      <c r="G1995" s="29" t="n">
        <v>45928</v>
      </c>
      <c r="H1995" s="29" t="n">
        <v>45934</v>
      </c>
      <c r="I1995" s="30" t="n">
        <v>6</v>
      </c>
      <c r="J1995" t="inlineStr">
        <is>
          <t>O82</t>
        </is>
      </c>
      <c r="K1995" t="inlineStr">
        <is>
          <t>Encounter for cesarean delivery without indication</t>
        </is>
      </c>
      <c r="L1995" t="inlineStr">
        <is>
          <t>Pregnancy</t>
        </is>
      </c>
      <c r="M1995" t="inlineStr">
        <is>
          <t>Home/Self-Care</t>
        </is>
      </c>
      <c r="N1995" t="inlineStr">
        <is>
          <t>State Medicaid</t>
        </is>
      </c>
      <c r="O1995" s="31" t="n">
        <v>19463.64</v>
      </c>
      <c r="P1995" t="inlineStr">
        <is>
          <t>N</t>
        </is>
      </c>
    </row>
    <row r="1996">
      <c r="A1996" t="inlineStr">
        <is>
          <t>ENC118826</t>
        </is>
      </c>
      <c r="B1996" t="inlineStr">
        <is>
          <t>PT12064</t>
        </is>
      </c>
      <c r="C1996" t="inlineStr">
        <is>
          <t>Observation</t>
        </is>
      </c>
      <c r="D1996" t="inlineStr">
        <is>
          <t>Bluestone Memorial Hospital</t>
        </is>
      </c>
      <c r="E1996" t="inlineStr">
        <is>
          <t>Observation Unit</t>
        </is>
      </c>
      <c r="F1996" t="inlineStr">
        <is>
          <t>Medicine</t>
        </is>
      </c>
      <c r="G1996" s="29" t="n">
        <v>45929</v>
      </c>
      <c r="H1996" s="29" t="n">
        <v>45931</v>
      </c>
      <c r="I1996" s="30" t="n">
        <v>2</v>
      </c>
      <c r="J1996" t="inlineStr">
        <is>
          <t>N39.0</t>
        </is>
      </c>
      <c r="K1996" t="inlineStr">
        <is>
          <t>Urinary tract infection, site not specified</t>
        </is>
      </c>
      <c r="L1996" t="inlineStr">
        <is>
          <t>Genitourinary</t>
        </is>
      </c>
      <c r="M1996" t="inlineStr">
        <is>
          <t>Home/Self-Care</t>
        </is>
      </c>
      <c r="N1996" t="inlineStr">
        <is>
          <t>State Medicaid</t>
        </is>
      </c>
      <c r="O1996" s="31" t="n">
        <v>14058.01</v>
      </c>
    </row>
    <row r="1997">
      <c r="A1997" t="inlineStr">
        <is>
          <t>ENC118827</t>
        </is>
      </c>
      <c r="B1997" t="inlineStr">
        <is>
          <t>PT11800</t>
        </is>
      </c>
      <c r="C1997" t="inlineStr">
        <is>
          <t>Emergency</t>
        </is>
      </c>
      <c r="D1997" t="inlineStr">
        <is>
          <t>Ashby Falls Community Hospital</t>
        </is>
      </c>
      <c r="E1997" t="inlineStr">
        <is>
          <t>Emergency Department</t>
        </is>
      </c>
      <c r="F1997" t="inlineStr">
        <is>
          <t>Emergency</t>
        </is>
      </c>
      <c r="G1997" s="29" t="n">
        <v>45929</v>
      </c>
      <c r="H1997" s="29" t="n">
        <v>45929</v>
      </c>
      <c r="I1997" s="30" t="n"/>
      <c r="J1997" t="inlineStr">
        <is>
          <t>J06.9</t>
        </is>
      </c>
      <c r="K1997" t="inlineStr">
        <is>
          <t>Acute upper respiratory infection, unspecified</t>
        </is>
      </c>
      <c r="L1997" t="inlineStr">
        <is>
          <t>Respiratory</t>
        </is>
      </c>
      <c r="M1997" t="inlineStr">
        <is>
          <t>Home/Self-Care</t>
        </is>
      </c>
      <c r="N1997" t="inlineStr">
        <is>
          <t>Medicare</t>
        </is>
      </c>
      <c r="O1997" s="31" t="n">
        <v>583.74</v>
      </c>
    </row>
    <row r="1998">
      <c r="A1998" t="inlineStr">
        <is>
          <t>ENC118828</t>
        </is>
      </c>
      <c r="B1998" t="inlineStr">
        <is>
          <t>PT11884</t>
        </is>
      </c>
      <c r="C1998" t="inlineStr">
        <is>
          <t>Outpatient</t>
        </is>
      </c>
      <c r="D1998" t="inlineStr">
        <is>
          <t>Bluestone Outpatient Pavilion</t>
        </is>
      </c>
      <c r="E1998" t="inlineStr">
        <is>
          <t>Primary Care Clinic</t>
        </is>
      </c>
      <c r="F1998" t="inlineStr">
        <is>
          <t>Ambulatory</t>
        </is>
      </c>
      <c r="G1998" s="29" t="n">
        <v>45929</v>
      </c>
      <c r="H1998" s="29" t="n">
        <v>45929</v>
      </c>
      <c r="I1998" s="30" t="n"/>
      <c r="J1998" t="inlineStr">
        <is>
          <t>G40.909</t>
        </is>
      </c>
      <c r="K1998" t="inlineStr">
        <is>
          <t>Epilepsy, unspecified, not intractable, without status epilepticus</t>
        </is>
      </c>
      <c r="L1998" t="inlineStr">
        <is>
          <t>Nervous System</t>
        </is>
      </c>
      <c r="M1998" t="inlineStr">
        <is>
          <t>Home/Self-Care</t>
        </is>
      </c>
      <c r="N1998" t="inlineStr">
        <is>
          <t>Silverline Medicare Advantage</t>
        </is>
      </c>
      <c r="O1998" s="31" t="n">
        <v>393.77</v>
      </c>
    </row>
    <row r="1999">
      <c r="A1999" t="inlineStr">
        <is>
          <t>ENC118829</t>
        </is>
      </c>
      <c r="B1999" t="inlineStr">
        <is>
          <t>PT12040</t>
        </is>
      </c>
      <c r="C1999" t="inlineStr">
        <is>
          <t>Outpatient</t>
        </is>
      </c>
      <c r="D1999" t="inlineStr">
        <is>
          <t>Bluestone Outpatient Pavilion</t>
        </is>
      </c>
      <c r="E1999" t="inlineStr">
        <is>
          <t>Primary Care Clinic</t>
        </is>
      </c>
      <c r="F1999" t="inlineStr">
        <is>
          <t>Ambulatory</t>
        </is>
      </c>
      <c r="G1999" s="29" t="n">
        <v>45929</v>
      </c>
      <c r="H1999" s="29" t="n">
        <v>45929</v>
      </c>
      <c r="I1999" s="30" t="n"/>
      <c r="J1999" t="inlineStr">
        <is>
          <t>Z23</t>
        </is>
      </c>
      <c r="K1999" t="inlineStr">
        <is>
          <t>Encounter for immunization</t>
        </is>
      </c>
      <c r="L1999" t="inlineStr">
        <is>
          <t>Factors Influencing Health</t>
        </is>
      </c>
      <c r="M1999" t="inlineStr">
        <is>
          <t>Home/Self-Care</t>
        </is>
      </c>
      <c r="N1999" t="inlineStr">
        <is>
          <t>Medicare</t>
        </is>
      </c>
      <c r="O1999" s="31" t="n">
        <v>119</v>
      </c>
    </row>
    <row r="2000">
      <c r="A2000" t="inlineStr">
        <is>
          <t>ENC118831</t>
        </is>
      </c>
      <c r="B2000" t="inlineStr">
        <is>
          <t>PT12900</t>
        </is>
      </c>
      <c r="C2000" t="inlineStr">
        <is>
          <t>Outpatient</t>
        </is>
      </c>
      <c r="D2000" t="inlineStr">
        <is>
          <t>Bluestone Outpatient Pavilion</t>
        </is>
      </c>
      <c r="E2000" t="inlineStr">
        <is>
          <t>Pediatric Clinic</t>
        </is>
      </c>
      <c r="F2000" t="inlineStr">
        <is>
          <t>Women &amp; Children</t>
        </is>
      </c>
      <c r="G2000" s="29" t="n">
        <v>45929</v>
      </c>
      <c r="H2000" s="29" t="n">
        <v>45929</v>
      </c>
      <c r="I2000" s="30" t="n"/>
      <c r="J2000" t="inlineStr">
        <is>
          <t>Z00.129</t>
        </is>
      </c>
      <c r="K2000" t="inlineStr">
        <is>
          <t>Encounter for routine child health examination without abnormal findings</t>
        </is>
      </c>
      <c r="L2000" t="inlineStr">
        <is>
          <t>Factors Influencing Health</t>
        </is>
      </c>
      <c r="M2000" t="inlineStr">
        <is>
          <t>Home/Self-Care</t>
        </is>
      </c>
      <c r="N2000" t="inlineStr">
        <is>
          <t>State Medicaid</t>
        </is>
      </c>
      <c r="O2000" s="31" t="n">
        <v>197.91</v>
      </c>
    </row>
    <row r="2001">
      <c r="A2001" t="inlineStr">
        <is>
          <t>ENC118833</t>
        </is>
      </c>
      <c r="B2001" t="inlineStr">
        <is>
          <t>PT11300</t>
        </is>
      </c>
      <c r="C2001" t="inlineStr">
        <is>
          <t>Emergency</t>
        </is>
      </c>
      <c r="D2001" t="inlineStr">
        <is>
          <t>Bluestone Memorial Hospital</t>
        </is>
      </c>
      <c r="E2001" t="inlineStr">
        <is>
          <t>Emergency Department</t>
        </is>
      </c>
      <c r="F2001" t="inlineStr">
        <is>
          <t>Emergency</t>
        </is>
      </c>
      <c r="G2001" s="29" t="n">
        <v>45929</v>
      </c>
      <c r="H2001" s="29" t="n">
        <v>45929</v>
      </c>
      <c r="I2001" s="30" t="n"/>
      <c r="J2001" t="inlineStr">
        <is>
          <t>F10.239</t>
        </is>
      </c>
      <c r="K2001" t="inlineStr">
        <is>
          <t>Alcohol dependence with withdrawal, unspecified</t>
        </is>
      </c>
      <c r="L2001" t="inlineStr">
        <is>
          <t>Mental &amp; Behavioral</t>
        </is>
      </c>
      <c r="M2001" t="inlineStr">
        <is>
          <t>Home/Self-Care</t>
        </is>
      </c>
      <c r="N2001" t="inlineStr">
        <is>
          <t>Keystone Health Partners</t>
        </is>
      </c>
      <c r="O2001" s="31" t="n">
        <v>4429.18</v>
      </c>
    </row>
    <row r="2002">
      <c r="A2002" t="inlineStr">
        <is>
          <t>ENC118836</t>
        </is>
      </c>
      <c r="B2002" t="inlineStr">
        <is>
          <t>PT12688</t>
        </is>
      </c>
      <c r="C2002" t="inlineStr">
        <is>
          <t>Emergency</t>
        </is>
      </c>
      <c r="D2002" t="inlineStr">
        <is>
          <t>Bluestone Memorial Hospital</t>
        </is>
      </c>
      <c r="E2002" t="inlineStr">
        <is>
          <t>Emergency Department</t>
        </is>
      </c>
      <c r="F2002" t="inlineStr">
        <is>
          <t>Emergency</t>
        </is>
      </c>
      <c r="G2002" s="29" t="n">
        <v>45929</v>
      </c>
      <c r="H2002" s="29" t="n">
        <v>45929</v>
      </c>
      <c r="I2002" s="30" t="n"/>
      <c r="J2002" t="inlineStr">
        <is>
          <t>J45.909</t>
        </is>
      </c>
      <c r="K2002" t="inlineStr">
        <is>
          <t>Unspecified asthma, uncomplicated</t>
        </is>
      </c>
      <c r="L2002" t="inlineStr">
        <is>
          <t>Respiratory</t>
        </is>
      </c>
      <c r="M2002" t="inlineStr">
        <is>
          <t>Home/Self-Care</t>
        </is>
      </c>
      <c r="N2002" t="inlineStr">
        <is>
          <t>State Medicaid</t>
        </is>
      </c>
      <c r="O2002" s="31" t="n">
        <v>4034.51</v>
      </c>
    </row>
    <row r="2003">
      <c r="A2003" t="inlineStr">
        <is>
          <t>ENC118845</t>
        </is>
      </c>
      <c r="B2003" t="inlineStr">
        <is>
          <t>PT13164</t>
        </is>
      </c>
      <c r="C2003" t="inlineStr">
        <is>
          <t>Outpatient</t>
        </is>
      </c>
      <c r="D2003" t="inlineStr">
        <is>
          <t>Bluestone Outpatient Pavilion</t>
        </is>
      </c>
      <c r="E2003" t="inlineStr">
        <is>
          <t>Primary Care Clinic</t>
        </is>
      </c>
      <c r="F2003" t="inlineStr">
        <is>
          <t>Ambulatory</t>
        </is>
      </c>
      <c r="G2003" s="29" t="n">
        <v>45929</v>
      </c>
      <c r="H2003" s="29" t="n">
        <v>45929</v>
      </c>
      <c r="I2003" s="30" t="n"/>
      <c r="J2003" t="inlineStr">
        <is>
          <t>F32.9</t>
        </is>
      </c>
      <c r="K2003" t="inlineStr">
        <is>
          <t>Major depressive disorder, single episode, unspecified</t>
        </is>
      </c>
      <c r="L2003" t="inlineStr">
        <is>
          <t>Mental &amp; Behavioral</t>
        </is>
      </c>
      <c r="M2003" t="inlineStr">
        <is>
          <t>Home/Self-Care</t>
        </is>
      </c>
      <c r="N2003" t="inlineStr">
        <is>
          <t>Evergreen Mutual Insurance</t>
        </is>
      </c>
      <c r="O2003" s="31" t="n">
        <v>297.04</v>
      </c>
    </row>
    <row r="2004">
      <c r="A2004" t="inlineStr">
        <is>
          <t>ENC118855</t>
        </is>
      </c>
      <c r="B2004" t="inlineStr">
        <is>
          <t>PT10044</t>
        </is>
      </c>
      <c r="C2004" t="inlineStr">
        <is>
          <t>Inpatient</t>
        </is>
      </c>
      <c r="D2004" t="inlineStr">
        <is>
          <t>Bluestone Memorial Hospital</t>
        </is>
      </c>
      <c r="E2004" t="inlineStr">
        <is>
          <t>Orthopedics &amp; Spine</t>
        </is>
      </c>
      <c r="F2004" t="inlineStr">
        <is>
          <t>Orthopedics</t>
        </is>
      </c>
      <c r="G2004" s="29" t="n">
        <v>45930</v>
      </c>
      <c r="H2004" s="29" t="n">
        <v>45933</v>
      </c>
      <c r="I2004" s="30" t="n">
        <v>3</v>
      </c>
      <c r="J2004" t="inlineStr">
        <is>
          <t>S72.001A</t>
        </is>
      </c>
      <c r="K2004" t="inlineStr">
        <is>
          <t>Fracture of unspecified part of neck of right femur, initial encounter</t>
        </is>
      </c>
      <c r="L2004" t="inlineStr">
        <is>
          <t>Injury</t>
        </is>
      </c>
      <c r="M2004" t="inlineStr">
        <is>
          <t>Inpatient Rehab</t>
        </is>
      </c>
      <c r="N2004" t="inlineStr">
        <is>
          <t>Keystone Health Partners</t>
        </is>
      </c>
      <c r="O2004" s="31" t="n">
        <v>66398.97</v>
      </c>
      <c r="P2004" t="inlineStr">
        <is>
          <t>N</t>
        </is>
      </c>
    </row>
    <row r="2005">
      <c r="A2005" t="inlineStr">
        <is>
          <t>ENC118858</t>
        </is>
      </c>
      <c r="B2005" t="inlineStr">
        <is>
          <t>PT10452</t>
        </is>
      </c>
      <c r="C2005" t="inlineStr">
        <is>
          <t>Outpatient</t>
        </is>
      </c>
      <c r="D2005" t="inlineStr">
        <is>
          <t>Bluestone Outpatient Pavilion</t>
        </is>
      </c>
      <c r="E2005" t="inlineStr">
        <is>
          <t>Primary Care Clinic</t>
        </is>
      </c>
      <c r="F2005" t="inlineStr">
        <is>
          <t>Ambulatory</t>
        </is>
      </c>
      <c r="G2005" s="29" t="n">
        <v>45930</v>
      </c>
      <c r="H2005" s="29" t="n">
        <v>45930</v>
      </c>
      <c r="I2005" s="30" t="n"/>
      <c r="J2005" t="inlineStr">
        <is>
          <t>E78.5</t>
        </is>
      </c>
      <c r="K2005" t="inlineStr">
        <is>
          <t>Hyperlipidemia, unspecified</t>
        </is>
      </c>
      <c r="L2005" t="inlineStr">
        <is>
          <t>Endocrine</t>
        </is>
      </c>
      <c r="M2005" t="inlineStr">
        <is>
          <t>Home/Self-Care</t>
        </is>
      </c>
      <c r="N2005" t="inlineStr">
        <is>
          <t>Medicare</t>
        </is>
      </c>
      <c r="O2005" s="31" t="n">
        <v>307.33</v>
      </c>
    </row>
    <row r="2006">
      <c r="A2006" t="inlineStr">
        <is>
          <t>ENC118862</t>
        </is>
      </c>
      <c r="B2006" t="inlineStr">
        <is>
          <t>PT10708</t>
        </is>
      </c>
      <c r="C2006" t="inlineStr">
        <is>
          <t>Emergency</t>
        </is>
      </c>
      <c r="D2006" t="inlineStr">
        <is>
          <t>Bluestone Memorial Hospital</t>
        </is>
      </c>
      <c r="E2006" t="inlineStr">
        <is>
          <t>Emergency Department</t>
        </is>
      </c>
      <c r="F2006" t="inlineStr">
        <is>
          <t>Emergency</t>
        </is>
      </c>
      <c r="G2006" s="29" t="n">
        <v>45930</v>
      </c>
      <c r="H2006" s="29" t="n">
        <v>45930</v>
      </c>
      <c r="I2006" s="30" t="n"/>
      <c r="J2006" t="inlineStr">
        <is>
          <t>G43.909</t>
        </is>
      </c>
      <c r="K2006" t="inlineStr">
        <is>
          <t>Migraine, unspecified, not intractable, without status migrainosus</t>
        </is>
      </c>
      <c r="L2006" t="inlineStr">
        <is>
          <t>Nervous System</t>
        </is>
      </c>
      <c r="M2006" t="inlineStr">
        <is>
          <t>Home/Self-Care</t>
        </is>
      </c>
      <c r="N2006" t="inlineStr">
        <is>
          <t>Evergreen Mutual Insurance</t>
        </is>
      </c>
      <c r="O2006" s="31" t="n">
        <v>1049.63</v>
      </c>
    </row>
    <row r="2007">
      <c r="A2007" t="inlineStr">
        <is>
          <t>ENC118865</t>
        </is>
      </c>
      <c r="B2007" t="inlineStr">
        <is>
          <t>PT13856</t>
        </is>
      </c>
      <c r="C2007" t="inlineStr">
        <is>
          <t>Outpatient</t>
        </is>
      </c>
      <c r="D2007" t="inlineStr">
        <is>
          <t>Bluestone Outpatient Pavilion</t>
        </is>
      </c>
      <c r="E2007" t="inlineStr">
        <is>
          <t>Infusion &amp; Oncology Clinic</t>
        </is>
      </c>
      <c r="F2007" t="inlineStr">
        <is>
          <t>Oncology</t>
        </is>
      </c>
      <c r="G2007" s="29" t="n">
        <v>45930</v>
      </c>
      <c r="H2007" s="29" t="n">
        <v>45930</v>
      </c>
      <c r="I2007" s="30" t="n"/>
      <c r="J2007" t="inlineStr">
        <is>
          <t>C50.911</t>
        </is>
      </c>
      <c r="K2007" t="inlineStr">
        <is>
          <t>Malignant neoplasm of unspecified site of right female breast</t>
        </is>
      </c>
      <c r="L2007" t="inlineStr">
        <is>
          <t>Neoplasms</t>
        </is>
      </c>
      <c r="M2007" t="inlineStr">
        <is>
          <t>Home/Self-Care</t>
        </is>
      </c>
      <c r="N2007" t="inlineStr">
        <is>
          <t>Keystone Health Partners</t>
        </is>
      </c>
      <c r="O2007" s="31" t="n">
        <v>813.09</v>
      </c>
    </row>
    <row r="2008">
      <c r="A2008" t="inlineStr">
        <is>
          <t>ENC118868</t>
        </is>
      </c>
      <c r="B2008" t="inlineStr">
        <is>
          <t>PT11672</t>
        </is>
      </c>
      <c r="C2008" t="inlineStr">
        <is>
          <t>Outpatient</t>
        </is>
      </c>
      <c r="D2008" t="inlineStr">
        <is>
          <t>Bluestone Outpatient Pavilion</t>
        </is>
      </c>
      <c r="E2008" t="inlineStr">
        <is>
          <t>Endocrinology &amp; Diabetes Clinic</t>
        </is>
      </c>
      <c r="F2008" t="inlineStr">
        <is>
          <t>Ambulatory</t>
        </is>
      </c>
      <c r="G2008" s="29" t="n">
        <v>45930</v>
      </c>
      <c r="H2008" s="29" t="n">
        <v>45930</v>
      </c>
      <c r="I2008" s="30" t="n"/>
      <c r="J2008" t="inlineStr">
        <is>
          <t>E11.9</t>
        </is>
      </c>
      <c r="K2008" t="inlineStr">
        <is>
          <t>Type 2 diabetes mellitus without complications</t>
        </is>
      </c>
      <c r="L2008" t="inlineStr">
        <is>
          <t>Endocrine</t>
        </is>
      </c>
      <c r="M2008" t="inlineStr">
        <is>
          <t>Home/Self-Care</t>
        </is>
      </c>
      <c r="N2008" t="inlineStr">
        <is>
          <t>Evergreen Mutual Insurance</t>
        </is>
      </c>
      <c r="O2008" s="31" t="n">
        <v>587.0599999999999</v>
      </c>
    </row>
    <row r="2009">
      <c r="A2009" t="inlineStr">
        <is>
          <t>ENC118871</t>
        </is>
      </c>
      <c r="B2009" t="inlineStr">
        <is>
          <t>PT10092</t>
        </is>
      </c>
      <c r="C2009" t="inlineStr">
        <is>
          <t>Emergency</t>
        </is>
      </c>
      <c r="D2009" t="inlineStr">
        <is>
          <t>Bluestone Memorial Hospital</t>
        </is>
      </c>
      <c r="E2009" t="inlineStr">
        <is>
          <t>Emergency Department</t>
        </is>
      </c>
      <c r="F2009" t="inlineStr">
        <is>
          <t>Emergency</t>
        </is>
      </c>
      <c r="G2009" s="29" t="n">
        <v>45930</v>
      </c>
      <c r="H2009" s="29" t="n">
        <v>45930</v>
      </c>
      <c r="I2009" s="30" t="n"/>
      <c r="J2009" t="inlineStr">
        <is>
          <t>J06.9</t>
        </is>
      </c>
      <c r="K2009" t="inlineStr">
        <is>
          <t>Acute upper respiratory infection, unspecified</t>
        </is>
      </c>
      <c r="L2009" t="inlineStr">
        <is>
          <t>Respiratory</t>
        </is>
      </c>
      <c r="M2009" t="inlineStr">
        <is>
          <t>Home/Self-Care</t>
        </is>
      </c>
      <c r="N2009" t="inlineStr">
        <is>
          <t>Evergreen Mutual Insurance</t>
        </is>
      </c>
      <c r="O2009" s="31" t="n">
        <v>1133.28</v>
      </c>
    </row>
    <row r="2010">
      <c r="A2010" t="inlineStr">
        <is>
          <t>ENC118880</t>
        </is>
      </c>
      <c r="B2010" t="inlineStr">
        <is>
          <t>PT10124</t>
        </is>
      </c>
      <c r="C2010" t="inlineStr">
        <is>
          <t>Emergency</t>
        </is>
      </c>
      <c r="D2010" t="inlineStr">
        <is>
          <t>Bluestone Memorial Hospital</t>
        </is>
      </c>
      <c r="E2010" t="inlineStr">
        <is>
          <t>Emergency Department</t>
        </is>
      </c>
      <c r="F2010" t="inlineStr">
        <is>
          <t>Emergency</t>
        </is>
      </c>
      <c r="G2010" s="29" t="n">
        <v>45930</v>
      </c>
      <c r="H2010" s="29" t="n">
        <v>45930</v>
      </c>
      <c r="I2010" s="30" t="n"/>
      <c r="J2010" t="inlineStr">
        <is>
          <t>R10.9</t>
        </is>
      </c>
      <c r="K2010" t="inlineStr">
        <is>
          <t>Unspecified abdominal pain</t>
        </is>
      </c>
      <c r="L2010" t="inlineStr">
        <is>
          <t>Symptoms &amp; Signs</t>
        </is>
      </c>
      <c r="M2010" t="inlineStr">
        <is>
          <t>Home/Self-Care</t>
        </is>
      </c>
      <c r="N2010" t="inlineStr">
        <is>
          <t>State Medicaid</t>
        </is>
      </c>
      <c r="O2010" s="31" t="n">
        <v>3314.49</v>
      </c>
    </row>
    <row r="2011">
      <c r="A2011" t="inlineStr">
        <is>
          <t>ENC118882</t>
        </is>
      </c>
      <c r="B2011" t="inlineStr">
        <is>
          <t>PT12304</t>
        </is>
      </c>
      <c r="C2011" t="inlineStr">
        <is>
          <t>Emergency</t>
        </is>
      </c>
      <c r="D2011" t="inlineStr">
        <is>
          <t>Bluestone Memorial Hospital</t>
        </is>
      </c>
      <c r="E2011" t="inlineStr">
        <is>
          <t>Emergency Department</t>
        </is>
      </c>
      <c r="F2011" t="inlineStr">
        <is>
          <t>Emergency</t>
        </is>
      </c>
      <c r="G2011" s="29" t="n">
        <v>45930</v>
      </c>
      <c r="H2011" s="29" t="n">
        <v>45930</v>
      </c>
      <c r="I2011" s="30" t="n"/>
      <c r="J2011" t="inlineStr">
        <is>
          <t>J06.9</t>
        </is>
      </c>
      <c r="K2011" t="inlineStr">
        <is>
          <t>Acute upper respiratory infection, unspecified</t>
        </is>
      </c>
      <c r="L2011" t="inlineStr">
        <is>
          <t>Respiratory</t>
        </is>
      </c>
      <c r="M2011" t="inlineStr">
        <is>
          <t>Home/Self-Care</t>
        </is>
      </c>
      <c r="N2011" t="inlineStr">
        <is>
          <t>Medicare</t>
        </is>
      </c>
      <c r="O2011" s="31" t="n">
        <v>1689.91</v>
      </c>
    </row>
    <row r="2012">
      <c r="A2012" t="inlineStr">
        <is>
          <t>ENC118901</t>
        </is>
      </c>
      <c r="B2012" t="inlineStr">
        <is>
          <t>PT11244</t>
        </is>
      </c>
      <c r="C2012" t="inlineStr">
        <is>
          <t>Emergency</t>
        </is>
      </c>
      <c r="D2012" t="inlineStr">
        <is>
          <t>Bluestone Memorial Hospital</t>
        </is>
      </c>
      <c r="E2012" t="inlineStr">
        <is>
          <t>Emergency Department</t>
        </is>
      </c>
      <c r="F2012" t="inlineStr">
        <is>
          <t>Emergency</t>
        </is>
      </c>
      <c r="G2012" s="29" t="n">
        <v>45931</v>
      </c>
      <c r="H2012" s="29" t="n">
        <v>45931</v>
      </c>
      <c r="I2012" s="30" t="n"/>
      <c r="J2012" t="inlineStr">
        <is>
          <t>J06.9</t>
        </is>
      </c>
      <c r="K2012" t="inlineStr">
        <is>
          <t>Acute upper respiratory infection, unspecified</t>
        </is>
      </c>
      <c r="L2012" t="inlineStr">
        <is>
          <t>Respiratory</t>
        </is>
      </c>
      <c r="M2012" t="inlineStr">
        <is>
          <t>Home/Self-Care</t>
        </is>
      </c>
      <c r="N2012" t="inlineStr">
        <is>
          <t>State Medicaid</t>
        </is>
      </c>
      <c r="O2012" s="31" t="n">
        <v>1508.36</v>
      </c>
    </row>
    <row r="2013">
      <c r="A2013" t="inlineStr">
        <is>
          <t>ENC118904</t>
        </is>
      </c>
      <c r="B2013" t="inlineStr">
        <is>
          <t>PT12752</t>
        </is>
      </c>
      <c r="C2013" t="inlineStr">
        <is>
          <t>Outpatient</t>
        </is>
      </c>
      <c r="D2013" t="inlineStr">
        <is>
          <t>Bluestone Outpatient Pavilion</t>
        </is>
      </c>
      <c r="E2013" t="inlineStr">
        <is>
          <t>Primary Care Clinic</t>
        </is>
      </c>
      <c r="F2013" t="inlineStr">
        <is>
          <t>Ambulatory</t>
        </is>
      </c>
      <c r="G2013" s="29" t="n">
        <v>45931</v>
      </c>
      <c r="H2013" s="29" t="n">
        <v>45931</v>
      </c>
      <c r="I2013" s="30" t="n"/>
      <c r="J2013" t="inlineStr">
        <is>
          <t>I10</t>
        </is>
      </c>
      <c r="K2013" t="inlineStr">
        <is>
          <t>Essential (primary) hypertension</t>
        </is>
      </c>
      <c r="L2013" t="inlineStr">
        <is>
          <t>Circulatory</t>
        </is>
      </c>
      <c r="M2013" t="inlineStr">
        <is>
          <t>Home/Self-Care</t>
        </is>
      </c>
      <c r="N2013" t="inlineStr">
        <is>
          <t>Silverline Medicare Advantage</t>
        </is>
      </c>
      <c r="O2013" s="31" t="n">
        <v>527.61</v>
      </c>
    </row>
    <row r="2014">
      <c r="A2014" t="inlineStr">
        <is>
          <t>ENC118909</t>
        </is>
      </c>
      <c r="B2014" t="inlineStr">
        <is>
          <t>PT13916</t>
        </is>
      </c>
      <c r="C2014" t="inlineStr">
        <is>
          <t>Outpatient</t>
        </is>
      </c>
      <c r="D2014" t="inlineStr">
        <is>
          <t>Bluestone Outpatient Pavilion</t>
        </is>
      </c>
      <c r="E2014" t="inlineStr">
        <is>
          <t>Primary Care Clinic</t>
        </is>
      </c>
      <c r="F2014" t="inlineStr">
        <is>
          <t>Ambulatory</t>
        </is>
      </c>
      <c r="G2014" s="29" t="n">
        <v>45931</v>
      </c>
      <c r="H2014" s="29" t="n">
        <v>45931</v>
      </c>
      <c r="I2014" s="30" t="n"/>
      <c r="J2014" t="inlineStr">
        <is>
          <t>I10</t>
        </is>
      </c>
      <c r="K2014" t="inlineStr">
        <is>
          <t>Essential (primary) hypertension</t>
        </is>
      </c>
      <c r="L2014" t="inlineStr">
        <is>
          <t>Circulatory</t>
        </is>
      </c>
      <c r="M2014" t="inlineStr">
        <is>
          <t>Home/Self-Care</t>
        </is>
      </c>
      <c r="N2014" t="inlineStr">
        <is>
          <t>Evergreen Mutual Insurance</t>
        </is>
      </c>
      <c r="O2014" s="31" t="n">
        <v>382.19</v>
      </c>
    </row>
    <row r="2015">
      <c r="A2015" t="inlineStr">
        <is>
          <t>ENC118915</t>
        </is>
      </c>
      <c r="B2015" t="inlineStr">
        <is>
          <t>PT10196</t>
        </is>
      </c>
      <c r="C2015" t="inlineStr">
        <is>
          <t>Inpatient</t>
        </is>
      </c>
      <c r="D2015" t="inlineStr">
        <is>
          <t>Bluestone Memorial Hospital</t>
        </is>
      </c>
      <c r="E2015" t="inlineStr">
        <is>
          <t>Medical-Surgical 5 East</t>
        </is>
      </c>
      <c r="F2015" t="inlineStr">
        <is>
          <t>Medicine</t>
        </is>
      </c>
      <c r="G2015" s="29" t="n">
        <v>45931</v>
      </c>
      <c r="H2015" s="29" t="n">
        <v>45935</v>
      </c>
      <c r="I2015" s="30" t="n">
        <v>4</v>
      </c>
      <c r="J2015" t="inlineStr">
        <is>
          <t>J44.1</t>
        </is>
      </c>
      <c r="K2015" t="inlineStr">
        <is>
          <t>Chronic obstructive pulmonary disease with (acute) exacerbation</t>
        </is>
      </c>
      <c r="L2015" t="inlineStr">
        <is>
          <t>Respiratory</t>
        </is>
      </c>
      <c r="M2015" t="inlineStr">
        <is>
          <t>Home/Self-Care</t>
        </is>
      </c>
      <c r="N2015" t="inlineStr">
        <is>
          <t>Silverline Medicare Advantage</t>
        </is>
      </c>
      <c r="O2015" s="31" t="n">
        <v>23060.38</v>
      </c>
      <c r="P2015" t="inlineStr">
        <is>
          <t>N</t>
        </is>
      </c>
    </row>
    <row r="2016">
      <c r="A2016" t="inlineStr">
        <is>
          <t>ENC118916</t>
        </is>
      </c>
      <c r="B2016" t="inlineStr">
        <is>
          <t>PT12184</t>
        </is>
      </c>
      <c r="C2016" t="inlineStr">
        <is>
          <t>Emergency</t>
        </is>
      </c>
      <c r="D2016" t="inlineStr">
        <is>
          <t>Bluestone Memorial Hospital</t>
        </is>
      </c>
      <c r="E2016" t="inlineStr">
        <is>
          <t>Emergency Department</t>
        </is>
      </c>
      <c r="F2016" t="inlineStr">
        <is>
          <t>Emergency</t>
        </is>
      </c>
      <c r="G2016" s="29" t="n">
        <v>45932</v>
      </c>
      <c r="H2016" s="29" t="n">
        <v>45932</v>
      </c>
      <c r="I2016" s="30" t="n"/>
      <c r="J2016" t="inlineStr">
        <is>
          <t>R07.9</t>
        </is>
      </c>
      <c r="K2016" t="inlineStr">
        <is>
          <t>Chest pain, unspecified</t>
        </is>
      </c>
      <c r="L2016" t="inlineStr">
        <is>
          <t>Symptoms &amp; Signs</t>
        </is>
      </c>
      <c r="M2016" t="inlineStr">
        <is>
          <t>Home/Self-Care</t>
        </is>
      </c>
      <c r="N2016" t="inlineStr">
        <is>
          <t>Keystone Health Partners</t>
        </is>
      </c>
      <c r="O2016" s="31" t="n">
        <v>5755.78</v>
      </c>
    </row>
    <row r="2017">
      <c r="A2017" t="inlineStr">
        <is>
          <t>ENC118919</t>
        </is>
      </c>
      <c r="B2017" t="inlineStr">
        <is>
          <t>PT12916</t>
        </is>
      </c>
      <c r="C2017" t="inlineStr">
        <is>
          <t>Inpatient</t>
        </is>
      </c>
      <c r="D2017" t="inlineStr">
        <is>
          <t>Ashby Falls Community Hospital</t>
        </is>
      </c>
      <c r="E2017" t="inlineStr">
        <is>
          <t>Medical-Surgical</t>
        </is>
      </c>
      <c r="F2017" t="inlineStr">
        <is>
          <t>Medicine</t>
        </is>
      </c>
      <c r="G2017" s="29" t="n">
        <v>45932</v>
      </c>
      <c r="H2017" s="29" t="n">
        <v>45934</v>
      </c>
      <c r="I2017" s="30" t="n">
        <v>2</v>
      </c>
      <c r="J2017" t="inlineStr">
        <is>
          <t>E86.0</t>
        </is>
      </c>
      <c r="K2017" t="inlineStr">
        <is>
          <t>Dehydration</t>
        </is>
      </c>
      <c r="L2017" t="inlineStr">
        <is>
          <t>Endocrine</t>
        </is>
      </c>
      <c r="M2017" t="inlineStr">
        <is>
          <t>Home/Self-Care</t>
        </is>
      </c>
      <c r="N2017" t="inlineStr">
        <is>
          <t>State Medicaid</t>
        </is>
      </c>
      <c r="O2017" s="31" t="n">
        <v>12132.05</v>
      </c>
      <c r="P2017" t="inlineStr">
        <is>
          <t>N</t>
        </is>
      </c>
    </row>
    <row r="2018">
      <c r="A2018" t="inlineStr">
        <is>
          <t>ENC118920</t>
        </is>
      </c>
      <c r="B2018" t="inlineStr">
        <is>
          <t>PT11232</t>
        </is>
      </c>
      <c r="C2018" t="inlineStr">
        <is>
          <t>Outpatient</t>
        </is>
      </c>
      <c r="D2018" t="inlineStr">
        <is>
          <t>Bluestone Outpatient Pavilion</t>
        </is>
      </c>
      <c r="E2018" t="inlineStr">
        <is>
          <t>Primary Care Clinic</t>
        </is>
      </c>
      <c r="F2018" t="inlineStr">
        <is>
          <t>Ambulatory</t>
        </is>
      </c>
      <c r="G2018" s="29" t="n">
        <v>45932</v>
      </c>
      <c r="H2018" s="29" t="n">
        <v>45932</v>
      </c>
      <c r="I2018" s="30" t="n"/>
      <c r="J2018" t="inlineStr">
        <is>
          <t>J06.9</t>
        </is>
      </c>
      <c r="K2018" t="inlineStr">
        <is>
          <t>Acute upper respiratory infection, unspecified</t>
        </is>
      </c>
      <c r="L2018" t="inlineStr">
        <is>
          <t>Respiratory</t>
        </is>
      </c>
      <c r="M2018" t="inlineStr">
        <is>
          <t>Home/Self-Care</t>
        </is>
      </c>
      <c r="N2018" t="inlineStr">
        <is>
          <t>State Medicaid</t>
        </is>
      </c>
      <c r="O2018" s="31" t="n">
        <v>209.16</v>
      </c>
    </row>
    <row r="2019">
      <c r="A2019" t="inlineStr">
        <is>
          <t>ENC118924</t>
        </is>
      </c>
      <c r="B2019" t="inlineStr">
        <is>
          <t>PT11412</t>
        </is>
      </c>
      <c r="C2019" t="inlineStr">
        <is>
          <t>Outpatient</t>
        </is>
      </c>
      <c r="D2019" t="inlineStr">
        <is>
          <t>Bluestone Outpatient Pavilion</t>
        </is>
      </c>
      <c r="E2019" t="inlineStr">
        <is>
          <t>Endocrinology &amp; Diabetes Clinic</t>
        </is>
      </c>
      <c r="F2019" t="inlineStr">
        <is>
          <t>Ambulatory</t>
        </is>
      </c>
      <c r="G2019" s="29" t="n">
        <v>45932</v>
      </c>
      <c r="H2019" s="29" t="n">
        <v>45932</v>
      </c>
      <c r="I2019" s="30" t="n"/>
      <c r="J2019" t="inlineStr">
        <is>
          <t>E11.65</t>
        </is>
      </c>
      <c r="K2019" t="inlineStr">
        <is>
          <t>Type 2 diabetes mellitus with hyperglycemia</t>
        </is>
      </c>
      <c r="L2019" t="inlineStr">
        <is>
          <t>Endocrine</t>
        </is>
      </c>
      <c r="M2019" t="inlineStr">
        <is>
          <t>Home/Self-Care</t>
        </is>
      </c>
      <c r="N2019" t="inlineStr">
        <is>
          <t>Medicare</t>
        </is>
      </c>
      <c r="O2019" s="31" t="n">
        <v>391.99</v>
      </c>
    </row>
    <row r="2020">
      <c r="A2020" t="inlineStr">
        <is>
          <t>ENC118930</t>
        </is>
      </c>
      <c r="B2020" t="inlineStr">
        <is>
          <t>PT12376</t>
        </is>
      </c>
      <c r="C2020" t="inlineStr">
        <is>
          <t>Outpatient</t>
        </is>
      </c>
      <c r="D2020" t="inlineStr">
        <is>
          <t>Bluestone Outpatient Pavilion</t>
        </is>
      </c>
      <c r="E2020" t="inlineStr">
        <is>
          <t>Primary Care Clinic</t>
        </is>
      </c>
      <c r="F2020" t="inlineStr">
        <is>
          <t>Ambulatory</t>
        </is>
      </c>
      <c r="G2020" s="29" t="n">
        <v>45932</v>
      </c>
      <c r="H2020" s="29" t="n">
        <v>45932</v>
      </c>
      <c r="I2020" s="30" t="n"/>
      <c r="J2020" t="inlineStr">
        <is>
          <t>Z00.00</t>
        </is>
      </c>
      <c r="K2020" t="inlineStr">
        <is>
          <t>Encounter for general adult medical examination without abnormal findings</t>
        </is>
      </c>
      <c r="L2020" t="inlineStr">
        <is>
          <t>Factors Influencing Health</t>
        </is>
      </c>
      <c r="M2020" t="inlineStr">
        <is>
          <t>Home/Self-Care</t>
        </is>
      </c>
      <c r="N2020" t="inlineStr">
        <is>
          <t>Keystone Health Partners</t>
        </is>
      </c>
      <c r="O2020" s="31" t="n">
        <v>397.21</v>
      </c>
    </row>
    <row r="2021">
      <c r="A2021" t="inlineStr">
        <is>
          <t>ENC118932</t>
        </is>
      </c>
      <c r="B2021" t="inlineStr">
        <is>
          <t>PT12612</t>
        </is>
      </c>
      <c r="C2021" t="inlineStr">
        <is>
          <t>Outpatient</t>
        </is>
      </c>
      <c r="D2021" t="inlineStr">
        <is>
          <t>Bluestone Outpatient Pavilion</t>
        </is>
      </c>
      <c r="E2021" t="inlineStr">
        <is>
          <t>Primary Care Clinic</t>
        </is>
      </c>
      <c r="F2021" t="inlineStr">
        <is>
          <t>Ambulatory</t>
        </is>
      </c>
      <c r="G2021" s="29" t="n">
        <v>45932</v>
      </c>
      <c r="H2021" s="29" t="n">
        <v>45932</v>
      </c>
      <c r="I2021" s="30" t="n"/>
      <c r="J2021" t="inlineStr">
        <is>
          <t>J06.9</t>
        </is>
      </c>
      <c r="K2021" t="inlineStr">
        <is>
          <t>Acute upper respiratory infection, unspecified</t>
        </is>
      </c>
      <c r="L2021" t="inlineStr">
        <is>
          <t>Respiratory</t>
        </is>
      </c>
      <c r="M2021" t="inlineStr">
        <is>
          <t>Home/Self-Care</t>
        </is>
      </c>
      <c r="N2021" t="inlineStr">
        <is>
          <t>Evergreen Mutual Insurance</t>
        </is>
      </c>
      <c r="O2021" s="31" t="n">
        <v>313.59</v>
      </c>
    </row>
    <row r="2022">
      <c r="A2022" t="inlineStr">
        <is>
          <t>ENC118939</t>
        </is>
      </c>
      <c r="B2022" t="inlineStr">
        <is>
          <t>PT10800</t>
        </is>
      </c>
      <c r="C2022" t="inlineStr">
        <is>
          <t>Outpatient</t>
        </is>
      </c>
      <c r="D2022" t="inlineStr">
        <is>
          <t>Bluestone Outpatient Pavilion</t>
        </is>
      </c>
      <c r="E2022" t="inlineStr">
        <is>
          <t>Pediatric Clinic</t>
        </is>
      </c>
      <c r="F2022" t="inlineStr">
        <is>
          <t>Women &amp; Children</t>
        </is>
      </c>
      <c r="G2022" s="29" t="n">
        <v>45932</v>
      </c>
      <c r="H2022" s="29" t="n">
        <v>45932</v>
      </c>
      <c r="I2022" s="30" t="n"/>
      <c r="J2022" t="inlineStr">
        <is>
          <t>Z00.129</t>
        </is>
      </c>
      <c r="K2022" t="inlineStr">
        <is>
          <t>Encounter for routine child health examination without abnormal findings</t>
        </is>
      </c>
      <c r="L2022" t="inlineStr">
        <is>
          <t>Factors Influencing Health</t>
        </is>
      </c>
      <c r="M2022" t="inlineStr">
        <is>
          <t>Home/Self-Care</t>
        </is>
      </c>
      <c r="N2022" t="inlineStr">
        <is>
          <t>Keystone Health Partners</t>
        </is>
      </c>
      <c r="O2022" s="31" t="n">
        <v>443.95</v>
      </c>
    </row>
    <row r="2023">
      <c r="A2023" t="inlineStr">
        <is>
          <t>ENC118943</t>
        </is>
      </c>
      <c r="B2023" t="inlineStr">
        <is>
          <t>PT11012</t>
        </is>
      </c>
      <c r="C2023" t="inlineStr">
        <is>
          <t>Observation</t>
        </is>
      </c>
      <c r="D2023" t="inlineStr">
        <is>
          <t>Bluestone Memorial Hospital</t>
        </is>
      </c>
      <c r="E2023" t="inlineStr">
        <is>
          <t>Observation Unit</t>
        </is>
      </c>
      <c r="F2023" t="inlineStr">
        <is>
          <t>Medicine</t>
        </is>
      </c>
      <c r="G2023" s="29" t="n">
        <v>45932</v>
      </c>
      <c r="H2023" s="29" t="n">
        <v>45934</v>
      </c>
      <c r="I2023" s="30" t="n">
        <v>2</v>
      </c>
      <c r="J2023" t="inlineStr">
        <is>
          <t>E86.0</t>
        </is>
      </c>
      <c r="K2023" t="inlineStr">
        <is>
          <t>Dehydration</t>
        </is>
      </c>
      <c r="L2023" t="inlineStr">
        <is>
          <t>Endocrine</t>
        </is>
      </c>
      <c r="M2023" t="inlineStr">
        <is>
          <t>Home/Self-Care</t>
        </is>
      </c>
      <c r="N2023" t="inlineStr">
        <is>
          <t>Self-Pay</t>
        </is>
      </c>
      <c r="O2023" s="31" t="n">
        <v>6661.09</v>
      </c>
    </row>
    <row r="2024">
      <c r="A2024" t="inlineStr">
        <is>
          <t>ENC118946</t>
        </is>
      </c>
      <c r="B2024" t="inlineStr">
        <is>
          <t>PT11672</t>
        </is>
      </c>
      <c r="C2024" t="inlineStr">
        <is>
          <t>Emergency</t>
        </is>
      </c>
      <c r="D2024" t="inlineStr">
        <is>
          <t>Ashby Falls Community Hospital</t>
        </is>
      </c>
      <c r="E2024" t="inlineStr">
        <is>
          <t>Emergency Department</t>
        </is>
      </c>
      <c r="F2024" t="inlineStr">
        <is>
          <t>Emergency</t>
        </is>
      </c>
      <c r="G2024" s="29" t="n">
        <v>45932</v>
      </c>
      <c r="H2024" s="29" t="n">
        <v>45932</v>
      </c>
      <c r="I2024" s="30" t="n"/>
      <c r="J2024" t="inlineStr">
        <is>
          <t>J45.909</t>
        </is>
      </c>
      <c r="K2024" t="inlineStr">
        <is>
          <t>Unspecified asthma, uncomplicated</t>
        </is>
      </c>
      <c r="L2024" t="inlineStr">
        <is>
          <t>Respiratory</t>
        </is>
      </c>
      <c r="M2024" t="inlineStr">
        <is>
          <t>Home/Self-Care</t>
        </is>
      </c>
      <c r="N2024" t="inlineStr">
        <is>
          <t>Evergreen Mutual Insurance</t>
        </is>
      </c>
      <c r="O2024" s="31" t="n">
        <v>1454.68</v>
      </c>
    </row>
    <row r="2025">
      <c r="A2025" t="inlineStr">
        <is>
          <t>ENC118955</t>
        </is>
      </c>
      <c r="B2025" t="inlineStr">
        <is>
          <t>PT12892</t>
        </is>
      </c>
      <c r="C2025" t="inlineStr">
        <is>
          <t>Outpatient</t>
        </is>
      </c>
      <c r="D2025" t="inlineStr">
        <is>
          <t>Bluestone Outpatient Pavilion</t>
        </is>
      </c>
      <c r="E2025" t="inlineStr">
        <is>
          <t>Primary Care Clinic</t>
        </is>
      </c>
      <c r="F2025" t="inlineStr">
        <is>
          <t>Ambulatory</t>
        </is>
      </c>
      <c r="G2025" s="29" t="n">
        <v>45933</v>
      </c>
      <c r="H2025" s="29" t="n">
        <v>45933</v>
      </c>
      <c r="I2025" s="30" t="n"/>
      <c r="J2025" t="inlineStr">
        <is>
          <t>F41.9</t>
        </is>
      </c>
      <c r="K2025" t="inlineStr">
        <is>
          <t>Anxiety disorder, unspecified</t>
        </is>
      </c>
      <c r="L2025" t="inlineStr">
        <is>
          <t>Mental &amp; Behavioral</t>
        </is>
      </c>
      <c r="M2025" t="inlineStr">
        <is>
          <t>Home/Self-Care</t>
        </is>
      </c>
      <c r="N2025" t="inlineStr">
        <is>
          <t>Summit Choice PPO</t>
        </is>
      </c>
      <c r="O2025" s="31" t="n">
        <v>396.97</v>
      </c>
    </row>
    <row r="2026">
      <c r="A2026" t="inlineStr">
        <is>
          <t>ENC118959</t>
        </is>
      </c>
      <c r="B2026" t="inlineStr">
        <is>
          <t>PT10820</t>
        </is>
      </c>
      <c r="C2026" t="inlineStr">
        <is>
          <t>Outpatient</t>
        </is>
      </c>
      <c r="D2026" t="inlineStr">
        <is>
          <t>Bluestone Outpatient Pavilion</t>
        </is>
      </c>
      <c r="E2026" t="inlineStr">
        <is>
          <t>Primary Care Clinic</t>
        </is>
      </c>
      <c r="F2026" t="inlineStr">
        <is>
          <t>Ambulatory</t>
        </is>
      </c>
      <c r="G2026" s="29" t="n">
        <v>45933</v>
      </c>
      <c r="H2026" s="29" t="n">
        <v>45933</v>
      </c>
      <c r="I2026" s="30" t="n"/>
      <c r="J2026" t="inlineStr">
        <is>
          <t>A08.4</t>
        </is>
      </c>
      <c r="K2026" t="inlineStr">
        <is>
          <t>Viral intestinal infection, unspecified</t>
        </is>
      </c>
      <c r="L2026" t="inlineStr">
        <is>
          <t>Infectious</t>
        </is>
      </c>
      <c r="M2026" t="inlineStr">
        <is>
          <t>Home/Self-Care</t>
        </is>
      </c>
      <c r="N2026" t="inlineStr">
        <is>
          <t>Silverline Medicare Advantage</t>
        </is>
      </c>
      <c r="O2026" s="31" t="n">
        <v>544.2</v>
      </c>
    </row>
    <row r="2027">
      <c r="A2027" t="inlineStr">
        <is>
          <t>ENC118962</t>
        </is>
      </c>
      <c r="B2027" t="inlineStr">
        <is>
          <t>PT13672</t>
        </is>
      </c>
      <c r="C2027" t="inlineStr">
        <is>
          <t>Emergency</t>
        </is>
      </c>
      <c r="D2027" t="inlineStr">
        <is>
          <t>Cedar Ridge Medical Center</t>
        </is>
      </c>
      <c r="E2027" t="inlineStr">
        <is>
          <t>Emergency Department</t>
        </is>
      </c>
      <c r="F2027" t="inlineStr">
        <is>
          <t>Emergency</t>
        </is>
      </c>
      <c r="G2027" s="29" t="n">
        <v>45933</v>
      </c>
      <c r="H2027" s="29" t="n">
        <v>45933</v>
      </c>
      <c r="I2027" s="30" t="n"/>
      <c r="J2027" t="inlineStr">
        <is>
          <t>R07.9</t>
        </is>
      </c>
      <c r="K2027" t="inlineStr">
        <is>
          <t>Chest pain, unspecified</t>
        </is>
      </c>
      <c r="L2027" t="inlineStr">
        <is>
          <t>Symptoms &amp; Signs</t>
        </is>
      </c>
      <c r="M2027" t="inlineStr">
        <is>
          <t>Home/Self-Care</t>
        </is>
      </c>
      <c r="N2027" t="inlineStr">
        <is>
          <t>Silverline Medicare Advantage</t>
        </is>
      </c>
      <c r="O2027" s="31" t="n">
        <v>5528.21</v>
      </c>
    </row>
    <row r="2028">
      <c r="A2028" t="inlineStr">
        <is>
          <t>ENC118963</t>
        </is>
      </c>
      <c r="B2028" t="inlineStr">
        <is>
          <t>PT10564</t>
        </is>
      </c>
      <c r="C2028" t="inlineStr">
        <is>
          <t>Outpatient</t>
        </is>
      </c>
      <c r="D2028" t="inlineStr">
        <is>
          <t>Bluestone Outpatient Pavilion</t>
        </is>
      </c>
      <c r="E2028" t="inlineStr">
        <is>
          <t>Orthopedic Clinic</t>
        </is>
      </c>
      <c r="F2028" t="inlineStr">
        <is>
          <t>Orthopedics</t>
        </is>
      </c>
      <c r="G2028" s="29" t="n">
        <v>45933</v>
      </c>
      <c r="H2028" s="29" t="n">
        <v>45933</v>
      </c>
      <c r="I2028" s="30" t="n"/>
      <c r="J2028" t="inlineStr">
        <is>
          <t>S93.401A</t>
        </is>
      </c>
      <c r="K2028" t="inlineStr">
        <is>
          <t>Sprain of unspecified ligament of right ankle, initial encounter</t>
        </is>
      </c>
      <c r="L2028" t="inlineStr">
        <is>
          <t>Injury</t>
        </is>
      </c>
      <c r="M2028" t="inlineStr">
        <is>
          <t>Home/Self-Care</t>
        </is>
      </c>
      <c r="N2028" t="inlineStr">
        <is>
          <t>State Medicaid</t>
        </is>
      </c>
      <c r="O2028" s="31" t="n">
        <v>231.32</v>
      </c>
    </row>
    <row r="2029">
      <c r="A2029" t="inlineStr">
        <is>
          <t>ENC118964</t>
        </is>
      </c>
      <c r="B2029" t="inlineStr">
        <is>
          <t>PT10620</t>
        </is>
      </c>
      <c r="C2029" t="inlineStr">
        <is>
          <t>Inpatient</t>
        </is>
      </c>
      <c r="D2029" t="inlineStr">
        <is>
          <t>Ashby Falls Community Hospital</t>
        </is>
      </c>
      <c r="E2029" t="inlineStr">
        <is>
          <t>Medical-Surgical</t>
        </is>
      </c>
      <c r="F2029" t="inlineStr">
        <is>
          <t>Medicine</t>
        </is>
      </c>
      <c r="G2029" s="29" t="n">
        <v>45933</v>
      </c>
      <c r="H2029" s="29" t="n">
        <v>45937</v>
      </c>
      <c r="I2029" s="30" t="n">
        <v>4</v>
      </c>
      <c r="J2029" t="inlineStr">
        <is>
          <t>J44.1</t>
        </is>
      </c>
      <c r="K2029" t="inlineStr">
        <is>
          <t>Chronic obstructive pulmonary disease with (acute) exacerbation</t>
        </is>
      </c>
      <c r="L2029" t="inlineStr">
        <is>
          <t>Respiratory</t>
        </is>
      </c>
      <c r="M2029" t="inlineStr">
        <is>
          <t>Home/Self-Care</t>
        </is>
      </c>
      <c r="N2029" t="inlineStr">
        <is>
          <t>State Medicaid</t>
        </is>
      </c>
      <c r="O2029" s="31" t="n">
        <v>16393.04</v>
      </c>
      <c r="P2029" t="inlineStr">
        <is>
          <t>N</t>
        </is>
      </c>
    </row>
    <row r="2030">
      <c r="A2030" t="inlineStr">
        <is>
          <t>ENC118968</t>
        </is>
      </c>
      <c r="B2030" t="inlineStr">
        <is>
          <t>PT10804</t>
        </is>
      </c>
      <c r="C2030" t="inlineStr">
        <is>
          <t>Outpatient</t>
        </is>
      </c>
      <c r="D2030" t="inlineStr">
        <is>
          <t>Bluestone Outpatient Pavilion</t>
        </is>
      </c>
      <c r="E2030" t="inlineStr">
        <is>
          <t>Orthopedic Clinic</t>
        </is>
      </c>
      <c r="F2030" t="inlineStr">
        <is>
          <t>Orthopedics</t>
        </is>
      </c>
      <c r="G2030" s="29" t="n">
        <v>45933</v>
      </c>
      <c r="H2030" s="29" t="n">
        <v>45933</v>
      </c>
      <c r="I2030" s="30" t="n"/>
      <c r="J2030" t="inlineStr">
        <is>
          <t>M16.11</t>
        </is>
      </c>
      <c r="K2030" t="inlineStr">
        <is>
          <t>Unilateral primary osteoarthritis, right hip</t>
        </is>
      </c>
      <c r="L2030" t="inlineStr">
        <is>
          <t>Musculoskeletal</t>
        </is>
      </c>
      <c r="M2030" t="inlineStr">
        <is>
          <t>Home/Self-Care</t>
        </is>
      </c>
      <c r="N2030" t="inlineStr">
        <is>
          <t>Keystone Health Partners</t>
        </is>
      </c>
      <c r="O2030" s="31" t="n">
        <v>437.34</v>
      </c>
    </row>
    <row r="2031">
      <c r="A2031" t="inlineStr">
        <is>
          <t>ENC118976</t>
        </is>
      </c>
      <c r="B2031" t="inlineStr">
        <is>
          <t>PT11300</t>
        </is>
      </c>
      <c r="C2031" t="inlineStr">
        <is>
          <t>Inpatient</t>
        </is>
      </c>
      <c r="D2031" t="inlineStr">
        <is>
          <t>Bluestone Memorial Hospital</t>
        </is>
      </c>
      <c r="E2031" t="inlineStr">
        <is>
          <t>Medical-Surgical 4 West</t>
        </is>
      </c>
      <c r="F2031" t="inlineStr">
        <is>
          <t>Medicine</t>
        </is>
      </c>
      <c r="G2031" s="29" t="n">
        <v>45933</v>
      </c>
      <c r="H2031" s="29" t="n">
        <v>45937</v>
      </c>
      <c r="I2031" s="30" t="n">
        <v>4</v>
      </c>
      <c r="J2031" t="inlineStr">
        <is>
          <t>J18.9</t>
        </is>
      </c>
      <c r="K2031" t="inlineStr">
        <is>
          <t>Pneumonia, unspecified organism</t>
        </is>
      </c>
      <c r="L2031" t="inlineStr">
        <is>
          <t>Respiratory</t>
        </is>
      </c>
      <c r="M2031" t="inlineStr">
        <is>
          <t>Home/Self-Care</t>
        </is>
      </c>
      <c r="N2031" t="inlineStr">
        <is>
          <t>Keystone Health Partners</t>
        </is>
      </c>
      <c r="O2031" s="31" t="n">
        <v>17254.19</v>
      </c>
      <c r="P2031" t="inlineStr">
        <is>
          <t>N</t>
        </is>
      </c>
    </row>
    <row r="2032">
      <c r="A2032" t="inlineStr">
        <is>
          <t>ENC118978</t>
        </is>
      </c>
      <c r="B2032" t="inlineStr">
        <is>
          <t>PT11464</t>
        </is>
      </c>
      <c r="C2032" t="inlineStr">
        <is>
          <t>Inpatient</t>
        </is>
      </c>
      <c r="D2032" t="inlineStr">
        <is>
          <t>Bluestone Memorial Hospital</t>
        </is>
      </c>
      <c r="E2032" t="inlineStr">
        <is>
          <t>Medical-Surgical 5 East</t>
        </is>
      </c>
      <c r="F2032" t="inlineStr">
        <is>
          <t>Medicine</t>
        </is>
      </c>
      <c r="G2032" s="29" t="n">
        <v>45934</v>
      </c>
      <c r="H2032" s="29" t="n">
        <v>45937</v>
      </c>
      <c r="I2032" s="30" t="n">
        <v>3</v>
      </c>
      <c r="J2032" t="inlineStr">
        <is>
          <t>J45.909</t>
        </is>
      </c>
      <c r="K2032" t="inlineStr">
        <is>
          <t>Unspecified asthma, uncomplicated</t>
        </is>
      </c>
      <c r="L2032" t="inlineStr">
        <is>
          <t>Respiratory</t>
        </is>
      </c>
      <c r="M2032" t="inlineStr">
        <is>
          <t>Home Health</t>
        </is>
      </c>
      <c r="N2032" t="inlineStr">
        <is>
          <t>Summit Choice PPO</t>
        </is>
      </c>
      <c r="O2032" s="31" t="n">
        <v>20244.34</v>
      </c>
      <c r="P2032" t="inlineStr">
        <is>
          <t>N</t>
        </is>
      </c>
    </row>
    <row r="2033">
      <c r="A2033" t="inlineStr">
        <is>
          <t>ENC118983</t>
        </is>
      </c>
      <c r="B2033" t="inlineStr">
        <is>
          <t>PT11064</t>
        </is>
      </c>
      <c r="C2033" t="inlineStr">
        <is>
          <t>Emergency</t>
        </is>
      </c>
      <c r="D2033" t="inlineStr">
        <is>
          <t>Bluestone Memorial Hospital</t>
        </is>
      </c>
      <c r="E2033" t="inlineStr">
        <is>
          <t>Emergency Department</t>
        </is>
      </c>
      <c r="F2033" t="inlineStr">
        <is>
          <t>Emergency</t>
        </is>
      </c>
      <c r="G2033" s="29" t="n">
        <v>45934</v>
      </c>
      <c r="H2033" s="29" t="n">
        <v>45934</v>
      </c>
      <c r="I2033" s="30" t="n"/>
      <c r="J2033" t="inlineStr">
        <is>
          <t>J18.9</t>
        </is>
      </c>
      <c r="K2033" t="inlineStr">
        <is>
          <t>Pneumonia, unspecified organism</t>
        </is>
      </c>
      <c r="L2033" t="inlineStr">
        <is>
          <t>Respiratory</t>
        </is>
      </c>
      <c r="M2033" t="inlineStr">
        <is>
          <t>Transfer to Another Hospital</t>
        </is>
      </c>
      <c r="N2033" t="inlineStr">
        <is>
          <t>Keystone Health Partners</t>
        </is>
      </c>
      <c r="O2033" s="31" t="n">
        <v>5098.24</v>
      </c>
    </row>
    <row r="2034">
      <c r="A2034" t="inlineStr">
        <is>
          <t>ENC118986</t>
        </is>
      </c>
      <c r="B2034" t="inlineStr">
        <is>
          <t>PT13400</t>
        </is>
      </c>
      <c r="C2034" t="inlineStr">
        <is>
          <t>Emergency</t>
        </is>
      </c>
      <c r="D2034" t="inlineStr">
        <is>
          <t>Bluestone Memorial Hospital</t>
        </is>
      </c>
      <c r="E2034" t="inlineStr">
        <is>
          <t>Emergency Department</t>
        </is>
      </c>
      <c r="F2034" t="inlineStr">
        <is>
          <t>Emergency</t>
        </is>
      </c>
      <c r="G2034" s="29" t="n">
        <v>45934</v>
      </c>
      <c r="H2034" s="29" t="n">
        <v>45934</v>
      </c>
      <c r="I2034" s="30" t="n"/>
      <c r="J2034" t="inlineStr">
        <is>
          <t>R07.9</t>
        </is>
      </c>
      <c r="K2034" t="inlineStr">
        <is>
          <t>Chest pain, unspecified</t>
        </is>
      </c>
      <c r="L2034" t="inlineStr">
        <is>
          <t>Symptoms &amp; Signs</t>
        </is>
      </c>
      <c r="M2034" t="inlineStr">
        <is>
          <t>Left Without Being Seen</t>
        </is>
      </c>
      <c r="N2034" t="inlineStr">
        <is>
          <t>Keystone Health Partners</t>
        </is>
      </c>
      <c r="O2034" s="31" t="n">
        <v>1944.82</v>
      </c>
    </row>
    <row r="2035">
      <c r="A2035" t="inlineStr">
        <is>
          <t>ENC118995</t>
        </is>
      </c>
      <c r="B2035" t="inlineStr">
        <is>
          <t>PT12608</t>
        </is>
      </c>
      <c r="C2035" t="inlineStr">
        <is>
          <t>Inpatient</t>
        </is>
      </c>
      <c r="D2035" t="inlineStr">
        <is>
          <t>Bluestone Memorial Hospital</t>
        </is>
      </c>
      <c r="E2035" t="inlineStr">
        <is>
          <t>Medical-Surgical 5 East</t>
        </is>
      </c>
      <c r="F2035" t="inlineStr">
        <is>
          <t>Medicine</t>
        </is>
      </c>
      <c r="G2035" s="29" t="n">
        <v>45934</v>
      </c>
      <c r="H2035" s="29" t="n">
        <v>45943</v>
      </c>
      <c r="I2035" s="30" t="n">
        <v>9</v>
      </c>
      <c r="J2035" t="inlineStr">
        <is>
          <t>J18.9</t>
        </is>
      </c>
      <c r="K2035" t="inlineStr">
        <is>
          <t>Pneumonia, unspecified organism</t>
        </is>
      </c>
      <c r="L2035" t="inlineStr">
        <is>
          <t>Respiratory</t>
        </is>
      </c>
      <c r="M2035" t="inlineStr">
        <is>
          <t>Home/Self-Care</t>
        </is>
      </c>
      <c r="N2035" t="inlineStr">
        <is>
          <t>Summit Choice PPO</t>
        </is>
      </c>
      <c r="O2035" s="31" t="n">
        <v>37647.77</v>
      </c>
      <c r="P2035" t="inlineStr">
        <is>
          <t>N</t>
        </is>
      </c>
    </row>
    <row r="2036">
      <c r="A2036" t="inlineStr">
        <is>
          <t>ENC118998</t>
        </is>
      </c>
      <c r="B2036" t="inlineStr">
        <is>
          <t>PT13988</t>
        </is>
      </c>
      <c r="C2036" t="inlineStr">
        <is>
          <t>Inpatient</t>
        </is>
      </c>
      <c r="D2036" t="inlineStr">
        <is>
          <t>Cedar Ridge Medical Center</t>
        </is>
      </c>
      <c r="E2036" t="inlineStr">
        <is>
          <t>Medical-Surgical</t>
        </is>
      </c>
      <c r="F2036" t="inlineStr">
        <is>
          <t>Medicine</t>
        </is>
      </c>
      <c r="G2036" s="29" t="n">
        <v>45934</v>
      </c>
      <c r="H2036" s="29" t="n">
        <v>45935</v>
      </c>
      <c r="I2036" s="30" t="n">
        <v>1</v>
      </c>
      <c r="J2036" t="inlineStr">
        <is>
          <t>K80.20</t>
        </is>
      </c>
      <c r="K2036" t="inlineStr">
        <is>
          <t>Calculus of gallbladder without cholecystitis without obstruction</t>
        </is>
      </c>
      <c r="L2036" t="inlineStr">
        <is>
          <t>Digestive</t>
        </is>
      </c>
      <c r="M2036" t="inlineStr">
        <is>
          <t>Home/Self-Care</t>
        </is>
      </c>
      <c r="N2036" t="inlineStr">
        <is>
          <t>Silverline Medicare Advantage</t>
        </is>
      </c>
      <c r="O2036" s="31" t="n">
        <v>21051.79</v>
      </c>
      <c r="P2036" t="inlineStr">
        <is>
          <t>N</t>
        </is>
      </c>
    </row>
    <row r="2037">
      <c r="A2037" t="inlineStr">
        <is>
          <t>ENC119001</t>
        </is>
      </c>
      <c r="B2037" t="inlineStr">
        <is>
          <t>PT11768</t>
        </is>
      </c>
      <c r="C2037" t="inlineStr">
        <is>
          <t>Emergency</t>
        </is>
      </c>
      <c r="D2037" t="inlineStr">
        <is>
          <t>Bluestone Memorial Hospital</t>
        </is>
      </c>
      <c r="E2037" t="inlineStr">
        <is>
          <t>Emergency Department</t>
        </is>
      </c>
      <c r="F2037" t="inlineStr">
        <is>
          <t>Emergency</t>
        </is>
      </c>
      <c r="G2037" s="29" t="n">
        <v>45935</v>
      </c>
      <c r="H2037" s="29" t="n">
        <v>45935</v>
      </c>
      <c r="I2037" s="30" t="n"/>
      <c r="J2037" t="inlineStr">
        <is>
          <t>S06.0X0A</t>
        </is>
      </c>
      <c r="K2037" t="inlineStr">
        <is>
          <t>Concussion without loss of consciousness, initial encounter</t>
        </is>
      </c>
      <c r="L2037" t="inlineStr">
        <is>
          <t>Injury</t>
        </is>
      </c>
      <c r="M2037" t="inlineStr">
        <is>
          <t>Home/Self-Care</t>
        </is>
      </c>
      <c r="N2037" t="inlineStr">
        <is>
          <t>State Medicaid</t>
        </is>
      </c>
      <c r="O2037" s="31" t="n">
        <v>3646.06</v>
      </c>
    </row>
    <row r="2038">
      <c r="A2038" t="inlineStr">
        <is>
          <t>ENC119006</t>
        </is>
      </c>
      <c r="B2038" t="inlineStr">
        <is>
          <t>PT12676</t>
        </is>
      </c>
      <c r="C2038" t="inlineStr">
        <is>
          <t>Inpatient</t>
        </is>
      </c>
      <c r="D2038" t="inlineStr">
        <is>
          <t>Bluestone Memorial Hospital</t>
        </is>
      </c>
      <c r="E2038" t="inlineStr">
        <is>
          <t>Medical-Surgical 4 West</t>
        </is>
      </c>
      <c r="F2038" t="inlineStr">
        <is>
          <t>Medicine</t>
        </is>
      </c>
      <c r="G2038" s="29" t="n">
        <v>45935</v>
      </c>
      <c r="H2038" s="29" t="n">
        <v>45938</v>
      </c>
      <c r="I2038" s="30" t="n">
        <v>3</v>
      </c>
      <c r="J2038" t="inlineStr">
        <is>
          <t>J18.9</t>
        </is>
      </c>
      <c r="K2038" t="inlineStr">
        <is>
          <t>Pneumonia, unspecified organism</t>
        </is>
      </c>
      <c r="L2038" t="inlineStr">
        <is>
          <t>Respiratory</t>
        </is>
      </c>
      <c r="M2038" t="inlineStr">
        <is>
          <t>Home Health</t>
        </is>
      </c>
      <c r="N2038" t="inlineStr">
        <is>
          <t>Medicare</t>
        </is>
      </c>
      <c r="O2038" s="31" t="n">
        <v>13685.3</v>
      </c>
      <c r="P2038" t="inlineStr">
        <is>
          <t>N</t>
        </is>
      </c>
    </row>
    <row r="2039">
      <c r="A2039" t="inlineStr">
        <is>
          <t>ENC119008</t>
        </is>
      </c>
      <c r="B2039" t="inlineStr">
        <is>
          <t>PT12996</t>
        </is>
      </c>
      <c r="C2039" t="inlineStr">
        <is>
          <t>Emergency</t>
        </is>
      </c>
      <c r="D2039" t="inlineStr">
        <is>
          <t>Bluestone Memorial Hospital</t>
        </is>
      </c>
      <c r="E2039" t="inlineStr">
        <is>
          <t>Emergency Department</t>
        </is>
      </c>
      <c r="F2039" t="inlineStr">
        <is>
          <t>Emergency</t>
        </is>
      </c>
      <c r="G2039" s="29" t="n">
        <v>45935</v>
      </c>
      <c r="H2039" s="29" t="n">
        <v>45935</v>
      </c>
      <c r="I2039" s="30" t="n"/>
      <c r="J2039" t="inlineStr">
        <is>
          <t>N39.0</t>
        </is>
      </c>
      <c r="K2039" t="inlineStr">
        <is>
          <t>Urinary tract infection, site not specified</t>
        </is>
      </c>
      <c r="L2039" t="inlineStr">
        <is>
          <t>Genitourinary</t>
        </is>
      </c>
      <c r="M2039" t="inlineStr">
        <is>
          <t>Home/Self-Care</t>
        </is>
      </c>
      <c r="N2039" t="inlineStr">
        <is>
          <t>Medicare</t>
        </is>
      </c>
      <c r="O2039" s="31" t="n">
        <v>1554.7</v>
      </c>
    </row>
    <row r="2040">
      <c r="A2040" t="inlineStr">
        <is>
          <t>ENC119012</t>
        </is>
      </c>
      <c r="B2040" t="inlineStr">
        <is>
          <t>PT12360</t>
        </is>
      </c>
      <c r="C2040" t="inlineStr">
        <is>
          <t>Inpatient</t>
        </is>
      </c>
      <c r="D2040" t="inlineStr">
        <is>
          <t>Bluestone Memorial Hospital</t>
        </is>
      </c>
      <c r="E2040" t="inlineStr">
        <is>
          <t>Medical-Surgical 4 West</t>
        </is>
      </c>
      <c r="F2040" t="inlineStr">
        <is>
          <t>Medicine</t>
        </is>
      </c>
      <c r="G2040" s="29" t="n">
        <v>45935</v>
      </c>
      <c r="H2040" s="29" t="n">
        <v>45941</v>
      </c>
      <c r="I2040" s="30" t="n">
        <v>6</v>
      </c>
      <c r="J2040" t="inlineStr">
        <is>
          <t>L03.115</t>
        </is>
      </c>
      <c r="K2040" t="inlineStr">
        <is>
          <t>Cellulitis of right lower limb</t>
        </is>
      </c>
      <c r="L2040" t="inlineStr">
        <is>
          <t>Skin</t>
        </is>
      </c>
      <c r="M2040" t="inlineStr">
        <is>
          <t>Home/Self-Care</t>
        </is>
      </c>
      <c r="N2040" t="inlineStr">
        <is>
          <t>Evergreen Mutual Insurance</t>
        </is>
      </c>
      <c r="O2040" s="31" t="n">
        <v>26847.58</v>
      </c>
      <c r="P2040" t="inlineStr">
        <is>
          <t>N</t>
        </is>
      </c>
    </row>
    <row r="2041">
      <c r="A2041" t="inlineStr">
        <is>
          <t>ENC119015</t>
        </is>
      </c>
      <c r="B2041" t="inlineStr">
        <is>
          <t>PT11760</t>
        </is>
      </c>
      <c r="C2041" t="inlineStr">
        <is>
          <t>Inpatient</t>
        </is>
      </c>
      <c r="D2041" t="inlineStr">
        <is>
          <t>Bluestone Memorial Hospital</t>
        </is>
      </c>
      <c r="E2041" t="inlineStr">
        <is>
          <t>Medical-Surgical 5 East</t>
        </is>
      </c>
      <c r="F2041" t="inlineStr">
        <is>
          <t>Medicine</t>
        </is>
      </c>
      <c r="G2041" s="29" t="n">
        <v>45935</v>
      </c>
      <c r="H2041" s="29" t="n">
        <v>45942</v>
      </c>
      <c r="I2041" s="30" t="n">
        <v>7</v>
      </c>
      <c r="J2041" t="inlineStr">
        <is>
          <t>A41.9</t>
        </is>
      </c>
      <c r="K2041" t="inlineStr">
        <is>
          <t>Sepsis, unspecified organism</t>
        </is>
      </c>
      <c r="L2041" t="inlineStr">
        <is>
          <t>Infectious</t>
        </is>
      </c>
      <c r="M2041" t="inlineStr">
        <is>
          <t>Home/Self-Care</t>
        </is>
      </c>
      <c r="N2041" t="inlineStr">
        <is>
          <t>State Medicaid</t>
        </is>
      </c>
      <c r="O2041" s="31" t="n">
        <v>62387.48</v>
      </c>
      <c r="P2041" t="inlineStr">
        <is>
          <t>Y</t>
        </is>
      </c>
    </row>
    <row r="2042">
      <c r="A2042" t="inlineStr">
        <is>
          <t>ENC119020</t>
        </is>
      </c>
      <c r="B2042" t="inlineStr">
        <is>
          <t>PT12120</t>
        </is>
      </c>
      <c r="C2042" t="inlineStr">
        <is>
          <t>Outpatient</t>
        </is>
      </c>
      <c r="D2042" t="inlineStr">
        <is>
          <t>Bluestone Outpatient Pavilion</t>
        </is>
      </c>
      <c r="E2042" t="inlineStr">
        <is>
          <t>Primary Care Clinic</t>
        </is>
      </c>
      <c r="F2042" t="inlineStr">
        <is>
          <t>Ambulatory</t>
        </is>
      </c>
      <c r="G2042" s="29" t="n">
        <v>45936</v>
      </c>
      <c r="H2042" s="29" t="n">
        <v>45936</v>
      </c>
      <c r="I2042" s="30" t="n"/>
      <c r="J2042" t="inlineStr">
        <is>
          <t>M54.50</t>
        </is>
      </c>
      <c r="K2042" t="inlineStr">
        <is>
          <t>Low back pain, unspecified</t>
        </is>
      </c>
      <c r="L2042" t="inlineStr">
        <is>
          <t>Musculoskeletal</t>
        </is>
      </c>
      <c r="M2042" t="inlineStr">
        <is>
          <t>Home/Self-Care</t>
        </is>
      </c>
      <c r="N2042" t="inlineStr">
        <is>
          <t>State Medicaid</t>
        </is>
      </c>
      <c r="O2042" s="31" t="n">
        <v>248.55</v>
      </c>
    </row>
    <row r="2043">
      <c r="A2043" t="inlineStr">
        <is>
          <t>ENC119026</t>
        </is>
      </c>
      <c r="B2043" t="inlineStr">
        <is>
          <t>PT12328</t>
        </is>
      </c>
      <c r="C2043" t="inlineStr">
        <is>
          <t>Outpatient</t>
        </is>
      </c>
      <c r="D2043" t="inlineStr">
        <is>
          <t>Bluestone Outpatient Pavilion</t>
        </is>
      </c>
      <c r="E2043" t="inlineStr">
        <is>
          <t>Endocrinology &amp; Diabetes Clinic</t>
        </is>
      </c>
      <c r="F2043" t="inlineStr">
        <is>
          <t>Ambulatory</t>
        </is>
      </c>
      <c r="G2043" s="29" t="n">
        <v>45936</v>
      </c>
      <c r="H2043" s="29" t="n">
        <v>45936</v>
      </c>
      <c r="I2043" s="30" t="n"/>
      <c r="J2043" t="inlineStr">
        <is>
          <t>E11.65</t>
        </is>
      </c>
      <c r="K2043" t="inlineStr">
        <is>
          <t>Type 2 diabetes mellitus with hyperglycemia</t>
        </is>
      </c>
      <c r="L2043" t="inlineStr">
        <is>
          <t>Endocrine</t>
        </is>
      </c>
      <c r="M2043" t="inlineStr">
        <is>
          <t>Home/Self-Care</t>
        </is>
      </c>
      <c r="N2043" t="inlineStr">
        <is>
          <t>Keystone Health Partners</t>
        </is>
      </c>
      <c r="O2043" s="31" t="n">
        <v>360.94</v>
      </c>
    </row>
    <row r="2044">
      <c r="A2044" t="inlineStr">
        <is>
          <t>ENC119028</t>
        </is>
      </c>
      <c r="B2044" t="inlineStr">
        <is>
          <t>PT12160</t>
        </is>
      </c>
      <c r="C2044" t="inlineStr">
        <is>
          <t>Outpatient</t>
        </is>
      </c>
      <c r="D2044" t="inlineStr">
        <is>
          <t>Bluestone Outpatient Pavilion</t>
        </is>
      </c>
      <c r="E2044" t="inlineStr">
        <is>
          <t>Primary Care Clinic</t>
        </is>
      </c>
      <c r="F2044" t="inlineStr">
        <is>
          <t>Ambulatory</t>
        </is>
      </c>
      <c r="G2044" s="29" t="n">
        <v>45936</v>
      </c>
      <c r="H2044" s="29" t="n">
        <v>45936</v>
      </c>
      <c r="I2044" s="30" t="n"/>
      <c r="J2044" t="inlineStr">
        <is>
          <t>I10</t>
        </is>
      </c>
      <c r="K2044" t="inlineStr">
        <is>
          <t>Essential (primary) hypertension</t>
        </is>
      </c>
      <c r="L2044" t="inlineStr">
        <is>
          <t>Circulatory</t>
        </is>
      </c>
      <c r="M2044" t="inlineStr">
        <is>
          <t>Home/Self-Care</t>
        </is>
      </c>
      <c r="N2044" t="inlineStr">
        <is>
          <t>State Medicaid</t>
        </is>
      </c>
      <c r="O2044" s="31" t="n">
        <v>495.66</v>
      </c>
    </row>
    <row r="2045">
      <c r="A2045" t="inlineStr">
        <is>
          <t>ENC119032</t>
        </is>
      </c>
      <c r="B2045" t="inlineStr">
        <is>
          <t>PT12564</t>
        </is>
      </c>
      <c r="C2045" t="inlineStr">
        <is>
          <t>Emergency</t>
        </is>
      </c>
      <c r="D2045" t="inlineStr">
        <is>
          <t>Ashby Falls Community Hospital</t>
        </is>
      </c>
      <c r="E2045" t="inlineStr">
        <is>
          <t>Emergency Department</t>
        </is>
      </c>
      <c r="F2045" t="inlineStr">
        <is>
          <t>Emergency</t>
        </is>
      </c>
      <c r="G2045" s="29" t="n">
        <v>45936</v>
      </c>
      <c r="H2045" s="29" t="n">
        <v>45936</v>
      </c>
      <c r="I2045" s="30" t="n"/>
      <c r="J2045" t="inlineStr">
        <is>
          <t>G43.909</t>
        </is>
      </c>
      <c r="K2045" t="inlineStr">
        <is>
          <t>Migraine, unspecified, not intractable, without status migrainosus</t>
        </is>
      </c>
      <c r="L2045" t="inlineStr">
        <is>
          <t>Nervous System</t>
        </is>
      </c>
      <c r="M2045" t="inlineStr">
        <is>
          <t>Home/Self-Care</t>
        </is>
      </c>
      <c r="N2045" t="inlineStr">
        <is>
          <t>Summit Choice PPO</t>
        </is>
      </c>
      <c r="O2045" s="31" t="n">
        <v>7780.42</v>
      </c>
    </row>
    <row r="2046">
      <c r="A2046" t="inlineStr">
        <is>
          <t>ENC119036</t>
        </is>
      </c>
      <c r="B2046" t="inlineStr">
        <is>
          <t>PT12896</t>
        </is>
      </c>
      <c r="C2046" t="inlineStr">
        <is>
          <t>Outpatient</t>
        </is>
      </c>
      <c r="D2046" t="inlineStr">
        <is>
          <t>Bluestone Outpatient Pavilion</t>
        </is>
      </c>
      <c r="E2046" t="inlineStr">
        <is>
          <t>Primary Care Clinic</t>
        </is>
      </c>
      <c r="F2046" t="inlineStr">
        <is>
          <t>Ambulatory</t>
        </is>
      </c>
      <c r="G2046" s="29" t="n">
        <v>45936</v>
      </c>
      <c r="H2046" s="29" t="n">
        <v>45936</v>
      </c>
      <c r="I2046" s="30" t="n"/>
      <c r="J2046" t="inlineStr">
        <is>
          <t>J06.9</t>
        </is>
      </c>
      <c r="K2046" t="inlineStr">
        <is>
          <t>Acute upper respiratory infection, unspecified</t>
        </is>
      </c>
      <c r="L2046" t="inlineStr">
        <is>
          <t>Respiratory</t>
        </is>
      </c>
      <c r="M2046" t="inlineStr">
        <is>
          <t>Home/Self-Care</t>
        </is>
      </c>
      <c r="N2046" t="inlineStr">
        <is>
          <t>Silverline Medicare Advantage</t>
        </is>
      </c>
      <c r="O2046" s="31" t="n">
        <v>166.36</v>
      </c>
    </row>
    <row r="2047">
      <c r="A2047" t="inlineStr">
        <is>
          <t>ENC119049</t>
        </is>
      </c>
      <c r="B2047" t="inlineStr">
        <is>
          <t>PT13904</t>
        </is>
      </c>
      <c r="C2047" t="inlineStr">
        <is>
          <t>Observation</t>
        </is>
      </c>
      <c r="D2047" t="inlineStr">
        <is>
          <t>Bluestone Memorial Hospital</t>
        </is>
      </c>
      <c r="E2047" t="inlineStr">
        <is>
          <t>Observation Unit</t>
        </is>
      </c>
      <c r="F2047" t="inlineStr">
        <is>
          <t>Medicine</t>
        </is>
      </c>
      <c r="G2047" s="29" t="n">
        <v>45936</v>
      </c>
      <c r="H2047" s="29" t="n">
        <v>45938</v>
      </c>
      <c r="I2047" s="30" t="n">
        <v>2</v>
      </c>
      <c r="J2047" t="inlineStr">
        <is>
          <t>N39.0</t>
        </is>
      </c>
      <c r="K2047" t="inlineStr">
        <is>
          <t>Urinary tract infection, site not specified</t>
        </is>
      </c>
      <c r="L2047" t="inlineStr">
        <is>
          <t>Genitourinary</t>
        </is>
      </c>
      <c r="M2047" t="inlineStr">
        <is>
          <t>Home/Self-Care</t>
        </is>
      </c>
      <c r="N2047" t="inlineStr">
        <is>
          <t>Silverline Medicare Advantage</t>
        </is>
      </c>
      <c r="O2047" s="31" t="n">
        <v>12508.94</v>
      </c>
    </row>
    <row r="2048">
      <c r="A2048" t="inlineStr">
        <is>
          <t>ENC119064</t>
        </is>
      </c>
      <c r="B2048" t="inlineStr">
        <is>
          <t>PT11228</t>
        </is>
      </c>
      <c r="C2048" t="inlineStr">
        <is>
          <t>Outpatient</t>
        </is>
      </c>
      <c r="D2048" t="inlineStr">
        <is>
          <t>Bluestone Outpatient Pavilion</t>
        </is>
      </c>
      <c r="E2048" t="inlineStr">
        <is>
          <t>Primary Care Clinic</t>
        </is>
      </c>
      <c r="F2048" t="inlineStr">
        <is>
          <t>Ambulatory</t>
        </is>
      </c>
      <c r="G2048" s="29" t="n">
        <v>45937</v>
      </c>
      <c r="H2048" s="29" t="n">
        <v>45937</v>
      </c>
      <c r="I2048" s="30" t="n"/>
      <c r="J2048" t="inlineStr">
        <is>
          <t>M54.50</t>
        </is>
      </c>
      <c r="K2048" t="inlineStr">
        <is>
          <t>Low back pain, unspecified</t>
        </is>
      </c>
      <c r="L2048" t="inlineStr">
        <is>
          <t>Musculoskeletal</t>
        </is>
      </c>
      <c r="M2048" t="inlineStr">
        <is>
          <t>Home/Self-Care</t>
        </is>
      </c>
      <c r="N2048" t="inlineStr">
        <is>
          <t>Silverline Medicare Advantage</t>
        </is>
      </c>
      <c r="O2048" s="31" t="n">
        <v>271.87</v>
      </c>
    </row>
    <row r="2049">
      <c r="A2049" t="inlineStr">
        <is>
          <t>ENC119075</t>
        </is>
      </c>
      <c r="B2049" t="inlineStr">
        <is>
          <t>PT10328</t>
        </is>
      </c>
      <c r="C2049" t="inlineStr">
        <is>
          <t>Outpatient</t>
        </is>
      </c>
      <c r="D2049" t="inlineStr">
        <is>
          <t>Bluestone Outpatient Pavilion</t>
        </is>
      </c>
      <c r="E2049" t="inlineStr">
        <is>
          <t>Infusion &amp; Oncology Clinic</t>
        </is>
      </c>
      <c r="F2049" t="inlineStr">
        <is>
          <t>Oncology</t>
        </is>
      </c>
      <c r="G2049" s="29" t="n">
        <v>45937</v>
      </c>
      <c r="H2049" s="29" t="n">
        <v>45937</v>
      </c>
      <c r="I2049" s="30" t="n"/>
      <c r="J2049" t="inlineStr">
        <is>
          <t>C50.911</t>
        </is>
      </c>
      <c r="K2049" t="inlineStr">
        <is>
          <t>Malignant neoplasm of unspecified site of right female breast</t>
        </is>
      </c>
      <c r="L2049" t="inlineStr">
        <is>
          <t>Neoplasms</t>
        </is>
      </c>
      <c r="M2049" t="inlineStr">
        <is>
          <t>Home/Self-Care</t>
        </is>
      </c>
      <c r="N2049" t="inlineStr">
        <is>
          <t>Keystone Health Partners</t>
        </is>
      </c>
      <c r="O2049" s="31" t="n">
        <v>732.3</v>
      </c>
    </row>
    <row r="2050">
      <c r="A2050" t="inlineStr">
        <is>
          <t>ENC119076</t>
        </is>
      </c>
      <c r="B2050" t="inlineStr">
        <is>
          <t>PT12160</t>
        </is>
      </c>
      <c r="C2050" t="inlineStr">
        <is>
          <t>Emergency</t>
        </is>
      </c>
      <c r="D2050" t="inlineStr">
        <is>
          <t>Bluestone Memorial Hospital</t>
        </is>
      </c>
      <c r="E2050" t="inlineStr">
        <is>
          <t>Emergency Department</t>
        </is>
      </c>
      <c r="F2050" t="inlineStr">
        <is>
          <t>Emergency</t>
        </is>
      </c>
      <c r="G2050" s="29" t="n">
        <v>45937</v>
      </c>
      <c r="H2050" s="29" t="n">
        <v>45937</v>
      </c>
      <c r="I2050" s="30" t="n"/>
      <c r="J2050" t="inlineStr">
        <is>
          <t>J44.1</t>
        </is>
      </c>
      <c r="K2050" t="inlineStr">
        <is>
          <t>Chronic obstructive pulmonary disease with (acute) exacerbation</t>
        </is>
      </c>
      <c r="L2050" t="inlineStr">
        <is>
          <t>Respiratory</t>
        </is>
      </c>
      <c r="M2050" t="inlineStr">
        <is>
          <t>Home/Self-Care</t>
        </is>
      </c>
      <c r="N2050" t="inlineStr">
        <is>
          <t>State Medicaid</t>
        </is>
      </c>
      <c r="O2050" s="31" t="n">
        <v>9503.790000000001</v>
      </c>
    </row>
    <row r="2051">
      <c r="A2051" t="inlineStr">
        <is>
          <t>ENC119078</t>
        </is>
      </c>
      <c r="B2051" t="inlineStr">
        <is>
          <t>PT13520</t>
        </is>
      </c>
      <c r="C2051" t="inlineStr">
        <is>
          <t>Emergency</t>
        </is>
      </c>
      <c r="D2051" t="inlineStr">
        <is>
          <t>Bluestone Memorial Hospital</t>
        </is>
      </c>
      <c r="E2051" t="inlineStr">
        <is>
          <t>Emergency Department</t>
        </is>
      </c>
      <c r="F2051" t="inlineStr">
        <is>
          <t>Emergency</t>
        </is>
      </c>
      <c r="G2051" s="29" t="n">
        <v>45937</v>
      </c>
      <c r="H2051" s="29" t="n">
        <v>45937</v>
      </c>
      <c r="I2051" s="30" t="n"/>
      <c r="J2051" t="inlineStr">
        <is>
          <t>J18.9</t>
        </is>
      </c>
      <c r="K2051" t="inlineStr">
        <is>
          <t>Pneumonia, unspecified organism</t>
        </is>
      </c>
      <c r="L2051" t="inlineStr">
        <is>
          <t>Respiratory</t>
        </is>
      </c>
      <c r="M2051" t="inlineStr">
        <is>
          <t>Home/Self-Care</t>
        </is>
      </c>
      <c r="N2051" t="inlineStr">
        <is>
          <t>State Medicaid</t>
        </is>
      </c>
      <c r="O2051" s="31" t="n">
        <v>3194.1</v>
      </c>
    </row>
    <row r="2052">
      <c r="A2052" t="inlineStr">
        <is>
          <t>ENC119083</t>
        </is>
      </c>
      <c r="B2052" t="inlineStr">
        <is>
          <t>PT12552</t>
        </is>
      </c>
      <c r="C2052" t="inlineStr">
        <is>
          <t>Emergency</t>
        </is>
      </c>
      <c r="D2052" t="inlineStr">
        <is>
          <t>Bluestone Memorial Hospital</t>
        </is>
      </c>
      <c r="E2052" t="inlineStr">
        <is>
          <t>Emergency Department</t>
        </is>
      </c>
      <c r="F2052" t="inlineStr">
        <is>
          <t>Emergency</t>
        </is>
      </c>
      <c r="G2052" s="29" t="n">
        <v>45938</v>
      </c>
      <c r="H2052" s="29" t="n">
        <v>45938</v>
      </c>
      <c r="I2052" s="30" t="n"/>
      <c r="J2052" t="inlineStr">
        <is>
          <t>J06.9</t>
        </is>
      </c>
      <c r="K2052" t="inlineStr">
        <is>
          <t>Acute upper respiratory infection, unspecified</t>
        </is>
      </c>
      <c r="L2052" t="inlineStr">
        <is>
          <t>Respiratory</t>
        </is>
      </c>
      <c r="M2052" t="inlineStr">
        <is>
          <t>Home/Self-Care</t>
        </is>
      </c>
      <c r="N2052" t="inlineStr">
        <is>
          <t>Summit Choice PPO</t>
        </is>
      </c>
      <c r="O2052" s="31" t="n">
        <v>1742.2</v>
      </c>
    </row>
    <row r="2053">
      <c r="A2053" t="inlineStr">
        <is>
          <t>ENC119093</t>
        </is>
      </c>
      <c r="B2053" t="inlineStr">
        <is>
          <t>PT11580</t>
        </is>
      </c>
      <c r="C2053" t="inlineStr">
        <is>
          <t>Outpatient</t>
        </is>
      </c>
      <c r="D2053" t="inlineStr">
        <is>
          <t>Bluestone Outpatient Pavilion</t>
        </is>
      </c>
      <c r="E2053" t="inlineStr">
        <is>
          <t>Cardiology Clinic</t>
        </is>
      </c>
      <c r="F2053" t="inlineStr">
        <is>
          <t>Cardiovascular</t>
        </is>
      </c>
      <c r="G2053" s="29" t="n">
        <v>45938</v>
      </c>
      <c r="H2053" s="29" t="n">
        <v>45938</v>
      </c>
      <c r="I2053" s="30" t="n"/>
      <c r="J2053" t="inlineStr">
        <is>
          <t>I50.9</t>
        </is>
      </c>
      <c r="K2053" t="inlineStr">
        <is>
          <t>Heart failure, unspecified</t>
        </is>
      </c>
      <c r="L2053" t="inlineStr">
        <is>
          <t>Circulatory</t>
        </is>
      </c>
      <c r="M2053" t="inlineStr">
        <is>
          <t>Home/Self-Care</t>
        </is>
      </c>
      <c r="N2053" t="inlineStr">
        <is>
          <t>Medicare</t>
        </is>
      </c>
      <c r="O2053" s="31" t="n">
        <v>383.54</v>
      </c>
    </row>
    <row r="2054">
      <c r="A2054" t="inlineStr">
        <is>
          <t>ENC119094</t>
        </is>
      </c>
      <c r="B2054" t="inlineStr">
        <is>
          <t>PT12792</t>
        </is>
      </c>
      <c r="C2054" t="inlineStr">
        <is>
          <t>Outpatient</t>
        </is>
      </c>
      <c r="D2054" t="inlineStr">
        <is>
          <t>Bluestone Outpatient Pavilion</t>
        </is>
      </c>
      <c r="E2054" t="inlineStr">
        <is>
          <t>Primary Care Clinic</t>
        </is>
      </c>
      <c r="F2054" t="inlineStr">
        <is>
          <t>Ambulatory</t>
        </is>
      </c>
      <c r="G2054" s="29" t="n">
        <v>45938</v>
      </c>
      <c r="H2054" s="29" t="n">
        <v>45938</v>
      </c>
      <c r="I2054" s="30" t="n"/>
      <c r="J2054" t="inlineStr">
        <is>
          <t>K80.20</t>
        </is>
      </c>
      <c r="K2054" t="inlineStr">
        <is>
          <t>Calculus of gallbladder without cholecystitis without obstruction</t>
        </is>
      </c>
      <c r="L2054" t="inlineStr">
        <is>
          <t>Digestive</t>
        </is>
      </c>
      <c r="M2054" t="inlineStr">
        <is>
          <t>Home/Self-Care</t>
        </is>
      </c>
      <c r="N2054" t="inlineStr">
        <is>
          <t>Silverline Medicare Advantage</t>
        </is>
      </c>
      <c r="O2054" s="31" t="n">
        <v>209.17</v>
      </c>
    </row>
    <row r="2055">
      <c r="A2055" t="inlineStr">
        <is>
          <t>ENC119102</t>
        </is>
      </c>
      <c r="B2055" t="inlineStr">
        <is>
          <t>PT13340</t>
        </is>
      </c>
      <c r="C2055" t="inlineStr">
        <is>
          <t>Inpatient</t>
        </is>
      </c>
      <c r="D2055" t="inlineStr">
        <is>
          <t>Bluestone Memorial Hospital</t>
        </is>
      </c>
      <c r="E2055" t="inlineStr">
        <is>
          <t>Intensive Care Unit</t>
        </is>
      </c>
      <c r="F2055" t="inlineStr">
        <is>
          <t>Critical Care</t>
        </is>
      </c>
      <c r="G2055" s="29" t="n">
        <v>45938</v>
      </c>
      <c r="H2055" s="29" t="n">
        <v>45946</v>
      </c>
      <c r="I2055" s="30" t="n">
        <v>8</v>
      </c>
      <c r="J2055" t="inlineStr">
        <is>
          <t>J96.01</t>
        </is>
      </c>
      <c r="K2055" t="inlineStr">
        <is>
          <t>Acute respiratory failure with hypoxia</t>
        </is>
      </c>
      <c r="L2055" t="inlineStr">
        <is>
          <t>Respiratory</t>
        </is>
      </c>
      <c r="M2055" t="inlineStr">
        <is>
          <t>Home/Self-Care</t>
        </is>
      </c>
      <c r="N2055" t="inlineStr">
        <is>
          <t>Evergreen Mutual Insurance</t>
        </is>
      </c>
      <c r="O2055" s="31" t="n">
        <v>88714.67</v>
      </c>
      <c r="P2055" t="inlineStr">
        <is>
          <t>N</t>
        </is>
      </c>
    </row>
    <row r="2056">
      <c r="A2056" t="inlineStr">
        <is>
          <t>ENC119103</t>
        </is>
      </c>
      <c r="B2056" t="inlineStr">
        <is>
          <t>PT13484</t>
        </is>
      </c>
      <c r="C2056" t="inlineStr">
        <is>
          <t>Inpatient</t>
        </is>
      </c>
      <c r="D2056" t="inlineStr">
        <is>
          <t>Bluestone Memorial Hospital</t>
        </is>
      </c>
      <c r="E2056" t="inlineStr">
        <is>
          <t>Medical-Surgical 5 East</t>
        </is>
      </c>
      <c r="F2056" t="inlineStr">
        <is>
          <t>Medicine</t>
        </is>
      </c>
      <c r="G2056" s="29" t="n">
        <v>45938</v>
      </c>
      <c r="H2056" s="29" t="n">
        <v>45941</v>
      </c>
      <c r="I2056" s="30" t="n">
        <v>3</v>
      </c>
      <c r="J2056" t="inlineStr">
        <is>
          <t>E11.65</t>
        </is>
      </c>
      <c r="K2056" t="inlineStr">
        <is>
          <t>Type 2 diabetes mellitus with hyperglycemia</t>
        </is>
      </c>
      <c r="L2056" t="inlineStr">
        <is>
          <t>Endocrine</t>
        </is>
      </c>
      <c r="M2056" t="inlineStr">
        <is>
          <t>Home/Self-Care</t>
        </is>
      </c>
      <c r="N2056" t="inlineStr">
        <is>
          <t>Silverline Medicare Advantage</t>
        </is>
      </c>
      <c r="O2056" s="31" t="n">
        <v>12794.3</v>
      </c>
      <c r="P2056" t="inlineStr">
        <is>
          <t>N</t>
        </is>
      </c>
    </row>
    <row r="2057">
      <c r="A2057" t="inlineStr">
        <is>
          <t>ENC119117</t>
        </is>
      </c>
      <c r="B2057" t="inlineStr">
        <is>
          <t>PT13908</t>
        </is>
      </c>
      <c r="C2057" t="inlineStr">
        <is>
          <t>Inpatient</t>
        </is>
      </c>
      <c r="D2057" t="inlineStr">
        <is>
          <t>Bluestone Memorial Hospital</t>
        </is>
      </c>
      <c r="E2057" t="inlineStr">
        <is>
          <t>Medical-Surgical 4 West</t>
        </is>
      </c>
      <c r="F2057" t="inlineStr">
        <is>
          <t>Medicine</t>
        </is>
      </c>
      <c r="G2057" s="29" t="n">
        <v>45938</v>
      </c>
      <c r="H2057" s="29" t="n">
        <v>45940</v>
      </c>
      <c r="I2057" s="30" t="n">
        <v>2</v>
      </c>
      <c r="J2057" t="inlineStr">
        <is>
          <t>E11.65</t>
        </is>
      </c>
      <c r="K2057" t="inlineStr">
        <is>
          <t>Type 2 diabetes mellitus with hyperglycemia</t>
        </is>
      </c>
      <c r="L2057" t="inlineStr">
        <is>
          <t>Endocrine</t>
        </is>
      </c>
      <c r="M2057" t="inlineStr">
        <is>
          <t>Home/Self-Care</t>
        </is>
      </c>
      <c r="N2057" t="inlineStr">
        <is>
          <t>Summit Choice PPO</t>
        </is>
      </c>
      <c r="O2057" s="31" t="n">
        <v>21811.1</v>
      </c>
      <c r="P2057" t="inlineStr">
        <is>
          <t>N</t>
        </is>
      </c>
    </row>
    <row r="2058">
      <c r="A2058" t="inlineStr">
        <is>
          <t>ENC119120</t>
        </is>
      </c>
      <c r="B2058" t="inlineStr">
        <is>
          <t>PT10148</t>
        </is>
      </c>
      <c r="C2058" t="inlineStr">
        <is>
          <t>Inpatient</t>
        </is>
      </c>
      <c r="D2058" t="inlineStr">
        <is>
          <t>Ashby Falls Community Hospital</t>
        </is>
      </c>
      <c r="E2058" t="inlineStr">
        <is>
          <t>Intensive Care Unit</t>
        </is>
      </c>
      <c r="F2058" t="inlineStr">
        <is>
          <t>Critical Care</t>
        </is>
      </c>
      <c r="G2058" s="29" t="n">
        <v>45938</v>
      </c>
      <c r="H2058" s="29" t="n">
        <v>45946</v>
      </c>
      <c r="I2058" s="30" t="n">
        <v>8</v>
      </c>
      <c r="J2058" t="inlineStr">
        <is>
          <t>A41.9</t>
        </is>
      </c>
      <c r="K2058" t="inlineStr">
        <is>
          <t>Sepsis, unspecified organism</t>
        </is>
      </c>
      <c r="L2058" t="inlineStr">
        <is>
          <t>Infectious</t>
        </is>
      </c>
      <c r="M2058" t="inlineStr">
        <is>
          <t>Home/Self-Care</t>
        </is>
      </c>
      <c r="N2058" t="inlineStr">
        <is>
          <t>Silverline Medicare Advantage</t>
        </is>
      </c>
      <c r="O2058" s="31" t="n">
        <v>54451.32</v>
      </c>
      <c r="P2058" t="inlineStr">
        <is>
          <t>Y</t>
        </is>
      </c>
    </row>
    <row r="2059">
      <c r="A2059" t="inlineStr">
        <is>
          <t>ENC119130</t>
        </is>
      </c>
      <c r="B2059" t="inlineStr">
        <is>
          <t>PT12688</t>
        </is>
      </c>
      <c r="C2059" t="inlineStr">
        <is>
          <t>Outpatient</t>
        </is>
      </c>
      <c r="D2059" t="inlineStr">
        <is>
          <t>Bluestone Outpatient Pavilion</t>
        </is>
      </c>
      <c r="E2059" t="inlineStr">
        <is>
          <t>Primary Care Clinic</t>
        </is>
      </c>
      <c r="F2059" t="inlineStr">
        <is>
          <t>Ambulatory</t>
        </is>
      </c>
      <c r="G2059" s="29" t="n">
        <v>45939</v>
      </c>
      <c r="H2059" s="29" t="n">
        <v>45939</v>
      </c>
      <c r="I2059" s="30" t="n"/>
      <c r="J2059" t="inlineStr">
        <is>
          <t>J06.9</t>
        </is>
      </c>
      <c r="K2059" t="inlineStr">
        <is>
          <t>Acute upper respiratory infection, unspecified</t>
        </is>
      </c>
      <c r="L2059" t="inlineStr">
        <is>
          <t>Respiratory</t>
        </is>
      </c>
      <c r="M2059" t="inlineStr">
        <is>
          <t>Home/Self-Care</t>
        </is>
      </c>
      <c r="N2059" t="inlineStr">
        <is>
          <t>State Medicaid</t>
        </is>
      </c>
      <c r="O2059" s="31" t="n">
        <v>286.39</v>
      </c>
    </row>
    <row r="2060">
      <c r="A2060" t="inlineStr">
        <is>
          <t>ENC119131</t>
        </is>
      </c>
      <c r="B2060" t="inlineStr">
        <is>
          <t>PT11700</t>
        </is>
      </c>
      <c r="C2060" t="inlineStr">
        <is>
          <t>Outpatient</t>
        </is>
      </c>
      <c r="D2060" t="inlineStr">
        <is>
          <t>Bluestone Outpatient Pavilion</t>
        </is>
      </c>
      <c r="E2060" t="inlineStr">
        <is>
          <t>Endocrinology &amp; Diabetes Clinic</t>
        </is>
      </c>
      <c r="F2060" t="inlineStr">
        <is>
          <t>Ambulatory</t>
        </is>
      </c>
      <c r="G2060" s="29" t="n">
        <v>45939</v>
      </c>
      <c r="H2060" s="29" t="n">
        <v>45939</v>
      </c>
      <c r="I2060" s="30" t="n"/>
      <c r="J2060" t="inlineStr">
        <is>
          <t>E11.9</t>
        </is>
      </c>
      <c r="K2060" t="inlineStr">
        <is>
          <t>Type 2 diabetes mellitus without complications</t>
        </is>
      </c>
      <c r="L2060" t="inlineStr">
        <is>
          <t>Endocrine</t>
        </is>
      </c>
      <c r="M2060" t="inlineStr">
        <is>
          <t>Home/Self-Care</t>
        </is>
      </c>
      <c r="N2060" t="inlineStr">
        <is>
          <t>State Medicaid</t>
        </is>
      </c>
      <c r="O2060" s="31" t="n">
        <v>142.59</v>
      </c>
    </row>
    <row r="2061">
      <c r="A2061" t="inlineStr">
        <is>
          <t>ENC119132</t>
        </is>
      </c>
      <c r="B2061" t="inlineStr">
        <is>
          <t>PT10064</t>
        </is>
      </c>
      <c r="C2061" t="inlineStr">
        <is>
          <t>Outpatient</t>
        </is>
      </c>
      <c r="D2061" t="inlineStr">
        <is>
          <t>Bluestone Outpatient Pavilion</t>
        </is>
      </c>
      <c r="E2061" t="inlineStr">
        <is>
          <t>Primary Care Clinic</t>
        </is>
      </c>
      <c r="F2061" t="inlineStr">
        <is>
          <t>Ambulatory</t>
        </is>
      </c>
      <c r="G2061" s="29" t="n">
        <v>45939</v>
      </c>
      <c r="H2061" s="29" t="n">
        <v>45939</v>
      </c>
      <c r="I2061" s="30" t="n"/>
      <c r="J2061" t="inlineStr">
        <is>
          <t>I10</t>
        </is>
      </c>
      <c r="K2061" t="inlineStr">
        <is>
          <t>Essential (primary) hypertension</t>
        </is>
      </c>
      <c r="L2061" t="inlineStr">
        <is>
          <t>Circulatory</t>
        </is>
      </c>
      <c r="M2061" t="inlineStr">
        <is>
          <t>Home/Self-Care</t>
        </is>
      </c>
      <c r="N2061" t="inlineStr">
        <is>
          <t>Summit Choice PPO</t>
        </is>
      </c>
      <c r="O2061" s="31" t="n">
        <v>264.96</v>
      </c>
    </row>
    <row r="2062">
      <c r="A2062" t="inlineStr">
        <is>
          <t>ENC119139</t>
        </is>
      </c>
      <c r="B2062" t="inlineStr">
        <is>
          <t>PT10420</t>
        </is>
      </c>
      <c r="C2062" t="inlineStr">
        <is>
          <t>Outpatient</t>
        </is>
      </c>
      <c r="D2062" t="inlineStr">
        <is>
          <t>Bluestone Outpatient Pavilion</t>
        </is>
      </c>
      <c r="E2062" t="inlineStr">
        <is>
          <t>Infusion &amp; Oncology Clinic</t>
        </is>
      </c>
      <c r="F2062" t="inlineStr">
        <is>
          <t>Oncology</t>
        </is>
      </c>
      <c r="G2062" s="29" t="n">
        <v>45939</v>
      </c>
      <c r="H2062" s="29" t="n">
        <v>45939</v>
      </c>
      <c r="I2062" s="30" t="n"/>
      <c r="J2062" t="inlineStr">
        <is>
          <t>Z51.11</t>
        </is>
      </c>
      <c r="K2062" t="inlineStr">
        <is>
          <t>Encounter for antineoplastic chemotherapy</t>
        </is>
      </c>
      <c r="L2062" t="inlineStr">
        <is>
          <t>Factors Influencing Health</t>
        </is>
      </c>
      <c r="M2062" t="inlineStr">
        <is>
          <t>Home/Self-Care</t>
        </is>
      </c>
      <c r="N2062" t="inlineStr">
        <is>
          <t>Evergreen Mutual Insurance</t>
        </is>
      </c>
      <c r="O2062" s="31" t="n">
        <v>11519.33</v>
      </c>
    </row>
    <row r="2063">
      <c r="A2063" t="inlineStr">
        <is>
          <t>ENC119144</t>
        </is>
      </c>
      <c r="B2063" t="inlineStr">
        <is>
          <t>PT12480</t>
        </is>
      </c>
      <c r="C2063" t="inlineStr">
        <is>
          <t>Outpatient</t>
        </is>
      </c>
      <c r="D2063" t="inlineStr">
        <is>
          <t>Bluestone Outpatient Pavilion</t>
        </is>
      </c>
      <c r="E2063" t="inlineStr">
        <is>
          <t>Primary Care Clinic</t>
        </is>
      </c>
      <c r="F2063" t="inlineStr">
        <is>
          <t>Ambulatory</t>
        </is>
      </c>
      <c r="G2063" s="29" t="n">
        <v>45939</v>
      </c>
      <c r="H2063" s="29" t="n">
        <v>45939</v>
      </c>
      <c r="I2063" s="30" t="n"/>
      <c r="J2063" t="inlineStr">
        <is>
          <t>J06.9</t>
        </is>
      </c>
      <c r="K2063" t="inlineStr">
        <is>
          <t>Acute upper respiratory infection, unspecified</t>
        </is>
      </c>
      <c r="L2063" t="inlineStr">
        <is>
          <t>Respiratory</t>
        </is>
      </c>
      <c r="M2063" t="inlineStr">
        <is>
          <t>Home/Self-Care</t>
        </is>
      </c>
      <c r="N2063" t="inlineStr">
        <is>
          <t>State Medicaid</t>
        </is>
      </c>
      <c r="O2063" s="31" t="n">
        <v>207.61</v>
      </c>
    </row>
    <row r="2064">
      <c r="A2064" t="inlineStr">
        <is>
          <t>ENC119145</t>
        </is>
      </c>
      <c r="B2064" t="inlineStr">
        <is>
          <t>PT11192</t>
        </is>
      </c>
      <c r="C2064" t="inlineStr">
        <is>
          <t>Emergency</t>
        </is>
      </c>
      <c r="D2064" t="inlineStr">
        <is>
          <t>Ashby Falls Community Hospital</t>
        </is>
      </c>
      <c r="E2064" t="inlineStr">
        <is>
          <t>Emergency Department</t>
        </is>
      </c>
      <c r="F2064" t="inlineStr">
        <is>
          <t>Emergency</t>
        </is>
      </c>
      <c r="G2064" s="29" t="n">
        <v>45939</v>
      </c>
      <c r="H2064" s="29" t="n">
        <v>45939</v>
      </c>
      <c r="I2064" s="30" t="n"/>
      <c r="J2064" t="inlineStr">
        <is>
          <t>R07.9</t>
        </is>
      </c>
      <c r="K2064" t="inlineStr">
        <is>
          <t>Chest pain, unspecified</t>
        </is>
      </c>
      <c r="L2064" t="inlineStr">
        <is>
          <t>Symptoms &amp; Signs</t>
        </is>
      </c>
      <c r="M2064" t="inlineStr">
        <is>
          <t>Home/Self-Care</t>
        </is>
      </c>
      <c r="N2064" t="inlineStr">
        <is>
          <t>State Medicaid</t>
        </is>
      </c>
      <c r="O2064" s="31" t="n">
        <v>4930.05</v>
      </c>
    </row>
    <row r="2065">
      <c r="A2065" t="inlineStr">
        <is>
          <t>ENC119146</t>
        </is>
      </c>
      <c r="B2065" t="inlineStr">
        <is>
          <t>PT11260</t>
        </is>
      </c>
      <c r="C2065" t="inlineStr">
        <is>
          <t>Outpatient</t>
        </is>
      </c>
      <c r="D2065" t="inlineStr">
        <is>
          <t>Bluestone Outpatient Pavilion</t>
        </is>
      </c>
      <c r="E2065" t="inlineStr">
        <is>
          <t>Infusion &amp; Oncology Clinic</t>
        </is>
      </c>
      <c r="F2065" t="inlineStr">
        <is>
          <t>Oncology</t>
        </is>
      </c>
      <c r="G2065" s="29" t="n">
        <v>45939</v>
      </c>
      <c r="H2065" s="29" t="n">
        <v>45939</v>
      </c>
      <c r="I2065" s="30" t="n"/>
      <c r="J2065" t="inlineStr">
        <is>
          <t>Z51.11</t>
        </is>
      </c>
      <c r="K2065" t="inlineStr">
        <is>
          <t>Encounter for antineoplastic chemotherapy</t>
        </is>
      </c>
      <c r="L2065" t="inlineStr">
        <is>
          <t>Factors Influencing Health</t>
        </is>
      </c>
      <c r="M2065" t="inlineStr">
        <is>
          <t>Home/Self-Care</t>
        </is>
      </c>
      <c r="N2065" t="inlineStr">
        <is>
          <t>State Medicaid</t>
        </is>
      </c>
      <c r="O2065" s="31" t="n">
        <v>9260.950000000001</v>
      </c>
    </row>
    <row r="2066">
      <c r="A2066" t="inlineStr">
        <is>
          <t>ENC119154</t>
        </is>
      </c>
      <c r="B2066" t="inlineStr">
        <is>
          <t>PT10924</t>
        </is>
      </c>
      <c r="C2066" t="inlineStr">
        <is>
          <t>Outpatient</t>
        </is>
      </c>
      <c r="D2066" t="inlineStr">
        <is>
          <t>Bluestone Outpatient Pavilion</t>
        </is>
      </c>
      <c r="E2066" t="inlineStr">
        <is>
          <t>Orthopedic Clinic</t>
        </is>
      </c>
      <c r="F2066" t="inlineStr">
        <is>
          <t>Orthopedics</t>
        </is>
      </c>
      <c r="G2066" s="29" t="n">
        <v>45940</v>
      </c>
      <c r="H2066" s="29" t="n">
        <v>45940</v>
      </c>
      <c r="I2066" s="30" t="n"/>
      <c r="J2066" t="inlineStr">
        <is>
          <t>M16.11</t>
        </is>
      </c>
      <c r="K2066" t="inlineStr">
        <is>
          <t>Unilateral primary osteoarthritis, right hip</t>
        </is>
      </c>
      <c r="L2066" t="inlineStr">
        <is>
          <t>Musculoskeletal</t>
        </is>
      </c>
      <c r="M2066" t="inlineStr">
        <is>
          <t>Home/Self-Care</t>
        </is>
      </c>
      <c r="N2066" t="inlineStr">
        <is>
          <t>Silverline Medicare Advantage</t>
        </is>
      </c>
      <c r="O2066" s="31" t="n">
        <v>321.34</v>
      </c>
    </row>
    <row r="2067">
      <c r="A2067" t="inlineStr">
        <is>
          <t>ENC119157</t>
        </is>
      </c>
      <c r="B2067" t="inlineStr">
        <is>
          <t>PT11188</t>
        </is>
      </c>
      <c r="C2067" t="inlineStr">
        <is>
          <t>Outpatient</t>
        </is>
      </c>
      <c r="D2067" t="inlineStr">
        <is>
          <t>Bluestone Outpatient Pavilion</t>
        </is>
      </c>
      <c r="E2067" t="inlineStr">
        <is>
          <t>Endocrinology &amp; Diabetes Clinic</t>
        </is>
      </c>
      <c r="F2067" t="inlineStr">
        <is>
          <t>Ambulatory</t>
        </is>
      </c>
      <c r="G2067" s="29" t="n">
        <v>45940</v>
      </c>
      <c r="H2067" s="29" t="n">
        <v>45940</v>
      </c>
      <c r="I2067" s="30" t="n"/>
      <c r="J2067" t="inlineStr">
        <is>
          <t>E11.65</t>
        </is>
      </c>
      <c r="K2067" t="inlineStr">
        <is>
          <t>Type 2 diabetes mellitus with hyperglycemia</t>
        </is>
      </c>
      <c r="L2067" t="inlineStr">
        <is>
          <t>Endocrine</t>
        </is>
      </c>
      <c r="M2067" t="inlineStr">
        <is>
          <t>Home/Self-Care</t>
        </is>
      </c>
      <c r="N2067" t="inlineStr">
        <is>
          <t>Medicare</t>
        </is>
      </c>
      <c r="O2067" s="31" t="n">
        <v>511</v>
      </c>
    </row>
    <row r="2068">
      <c r="A2068" t="inlineStr">
        <is>
          <t>ENC119159</t>
        </is>
      </c>
      <c r="B2068" t="inlineStr">
        <is>
          <t>PT13168</t>
        </is>
      </c>
      <c r="C2068" t="inlineStr">
        <is>
          <t>Emergency</t>
        </is>
      </c>
      <c r="D2068" t="inlineStr">
        <is>
          <t>Bluestone Memorial Hospital</t>
        </is>
      </c>
      <c r="E2068" t="inlineStr">
        <is>
          <t>Emergency Department</t>
        </is>
      </c>
      <c r="F2068" t="inlineStr">
        <is>
          <t>Emergency</t>
        </is>
      </c>
      <c r="G2068" s="29" t="n">
        <v>45940</v>
      </c>
      <c r="H2068" s="29" t="n">
        <v>45940</v>
      </c>
      <c r="I2068" s="30" t="n"/>
      <c r="J2068" t="inlineStr">
        <is>
          <t>J06.9</t>
        </is>
      </c>
      <c r="K2068" t="inlineStr">
        <is>
          <t>Acute upper respiratory infection, unspecified</t>
        </is>
      </c>
      <c r="L2068" t="inlineStr">
        <is>
          <t>Respiratory</t>
        </is>
      </c>
      <c r="M2068" t="inlineStr">
        <is>
          <t>Home/Self-Care</t>
        </is>
      </c>
      <c r="N2068" t="inlineStr">
        <is>
          <t>Keystone Health Partners</t>
        </is>
      </c>
      <c r="O2068" s="31" t="n">
        <v>3603.47</v>
      </c>
    </row>
    <row r="2069">
      <c r="A2069" t="inlineStr">
        <is>
          <t>ENC119163</t>
        </is>
      </c>
      <c r="B2069" t="inlineStr">
        <is>
          <t>PT11984</t>
        </is>
      </c>
      <c r="C2069" t="inlineStr">
        <is>
          <t>Outpatient</t>
        </is>
      </c>
      <c r="D2069" t="inlineStr">
        <is>
          <t>Bluestone Outpatient Pavilion</t>
        </is>
      </c>
      <c r="E2069" t="inlineStr">
        <is>
          <t>Primary Care Clinic</t>
        </is>
      </c>
      <c r="F2069" t="inlineStr">
        <is>
          <t>Ambulatory</t>
        </is>
      </c>
      <c r="G2069" s="29" t="n">
        <v>45940</v>
      </c>
      <c r="H2069" s="29" t="n">
        <v>45940</v>
      </c>
      <c r="I2069" s="30" t="n"/>
      <c r="J2069" t="inlineStr">
        <is>
          <t>Z00.00</t>
        </is>
      </c>
      <c r="K2069" t="inlineStr">
        <is>
          <t>Encounter for general adult medical examination without abnormal findings</t>
        </is>
      </c>
      <c r="L2069" t="inlineStr">
        <is>
          <t>Factors Influencing Health</t>
        </is>
      </c>
      <c r="M2069" t="inlineStr">
        <is>
          <t>Home/Self-Care</t>
        </is>
      </c>
      <c r="N2069" t="inlineStr">
        <is>
          <t>Keystone Health Partners</t>
        </is>
      </c>
      <c r="O2069" s="31" t="n">
        <v>409.55</v>
      </c>
    </row>
    <row r="2070">
      <c r="A2070" t="inlineStr">
        <is>
          <t>ENC119164</t>
        </is>
      </c>
      <c r="B2070" t="inlineStr">
        <is>
          <t>PT12256</t>
        </is>
      </c>
      <c r="C2070" t="inlineStr">
        <is>
          <t>Outpatient</t>
        </is>
      </c>
      <c r="D2070" t="inlineStr">
        <is>
          <t>Bluestone Outpatient Pavilion</t>
        </is>
      </c>
      <c r="E2070" t="inlineStr">
        <is>
          <t>Primary Care Clinic</t>
        </is>
      </c>
      <c r="F2070" t="inlineStr">
        <is>
          <t>Ambulatory</t>
        </is>
      </c>
      <c r="G2070" s="29" t="n">
        <v>45940</v>
      </c>
      <c r="H2070" s="29" t="n">
        <v>45940</v>
      </c>
      <c r="I2070" s="30" t="n"/>
      <c r="J2070" t="inlineStr">
        <is>
          <t>J45.909</t>
        </is>
      </c>
      <c r="K2070" t="inlineStr">
        <is>
          <t>Unspecified asthma, uncomplicated</t>
        </is>
      </c>
      <c r="L2070" t="inlineStr">
        <is>
          <t>Respiratory</t>
        </is>
      </c>
      <c r="M2070" t="inlineStr">
        <is>
          <t>Home/Self-Care</t>
        </is>
      </c>
      <c r="N2070" t="inlineStr">
        <is>
          <t>Evergreen Mutual Insurance</t>
        </is>
      </c>
      <c r="O2070" s="31" t="n">
        <v>231.44</v>
      </c>
    </row>
    <row r="2071">
      <c r="A2071" t="inlineStr">
        <is>
          <t>ENC119169</t>
        </is>
      </c>
      <c r="B2071" t="inlineStr">
        <is>
          <t>PT13892</t>
        </is>
      </c>
      <c r="C2071" t="inlineStr">
        <is>
          <t>Observation</t>
        </is>
      </c>
      <c r="D2071" t="inlineStr">
        <is>
          <t>Bluestone Memorial Hospital</t>
        </is>
      </c>
      <c r="E2071" t="inlineStr">
        <is>
          <t>Observation Unit</t>
        </is>
      </c>
      <c r="F2071" t="inlineStr">
        <is>
          <t>Medicine</t>
        </is>
      </c>
      <c r="G2071" s="29" t="n">
        <v>45940</v>
      </c>
      <c r="H2071" s="29" t="n">
        <v>45942</v>
      </c>
      <c r="I2071" s="30" t="n">
        <v>2</v>
      </c>
      <c r="J2071" t="inlineStr">
        <is>
          <t>J18.9</t>
        </is>
      </c>
      <c r="K2071" t="inlineStr">
        <is>
          <t>Pneumonia, unspecified organism</t>
        </is>
      </c>
      <c r="L2071" t="inlineStr">
        <is>
          <t>Respiratory</t>
        </is>
      </c>
      <c r="M2071" t="inlineStr">
        <is>
          <t>Home/Self-Care</t>
        </is>
      </c>
      <c r="N2071" t="inlineStr">
        <is>
          <t>Keystone Health Partners</t>
        </is>
      </c>
      <c r="O2071" s="31" t="n">
        <v>15753.96</v>
      </c>
    </row>
    <row r="2072">
      <c r="A2072" t="inlineStr">
        <is>
          <t>ENC119171</t>
        </is>
      </c>
      <c r="B2072" t="inlineStr">
        <is>
          <t>PT10436</t>
        </is>
      </c>
      <c r="C2072" t="inlineStr">
        <is>
          <t>Outpatient</t>
        </is>
      </c>
      <c r="D2072" t="inlineStr">
        <is>
          <t>Bluestone Outpatient Pavilion</t>
        </is>
      </c>
      <c r="E2072" t="inlineStr">
        <is>
          <t>Primary Care Clinic</t>
        </is>
      </c>
      <c r="F2072" t="inlineStr">
        <is>
          <t>Ambulatory</t>
        </is>
      </c>
      <c r="G2072" s="29" t="n">
        <v>45940</v>
      </c>
      <c r="H2072" s="29" t="n">
        <v>45940</v>
      </c>
      <c r="I2072" s="30" t="n"/>
      <c r="J2072" t="inlineStr">
        <is>
          <t>I10</t>
        </is>
      </c>
      <c r="K2072" t="inlineStr">
        <is>
          <t>Essential (primary) hypertension</t>
        </is>
      </c>
      <c r="L2072" t="inlineStr">
        <is>
          <t>Circulatory</t>
        </is>
      </c>
      <c r="M2072" t="inlineStr">
        <is>
          <t>Home/Self-Care</t>
        </is>
      </c>
      <c r="N2072" t="inlineStr">
        <is>
          <t>Summit Choice PPO</t>
        </is>
      </c>
      <c r="O2072" s="31" t="n">
        <v>298.2</v>
      </c>
    </row>
    <row r="2073">
      <c r="A2073" t="inlineStr">
        <is>
          <t>ENC119175</t>
        </is>
      </c>
      <c r="B2073" t="inlineStr">
        <is>
          <t>PT11776</t>
        </is>
      </c>
      <c r="C2073" t="inlineStr">
        <is>
          <t>Emergency</t>
        </is>
      </c>
      <c r="D2073" t="inlineStr">
        <is>
          <t>Bluestone Memorial Hospital</t>
        </is>
      </c>
      <c r="E2073" t="inlineStr">
        <is>
          <t>Emergency Department</t>
        </is>
      </c>
      <c r="F2073" t="inlineStr">
        <is>
          <t>Emergency</t>
        </is>
      </c>
      <c r="G2073" s="29" t="n">
        <v>45940</v>
      </c>
      <c r="H2073" s="29" t="n">
        <v>45940</v>
      </c>
      <c r="I2073" s="30" t="n"/>
      <c r="J2073" t="inlineStr">
        <is>
          <t>N39.0</t>
        </is>
      </c>
      <c r="K2073" t="inlineStr">
        <is>
          <t>Urinary tract infection, site not specified</t>
        </is>
      </c>
      <c r="L2073" t="inlineStr">
        <is>
          <t>Genitourinary</t>
        </is>
      </c>
      <c r="M2073" t="inlineStr">
        <is>
          <t>Home/Self-Care</t>
        </is>
      </c>
      <c r="N2073" t="inlineStr">
        <is>
          <t>Medicare</t>
        </is>
      </c>
      <c r="O2073" s="31" t="n">
        <v>4281.59</v>
      </c>
    </row>
    <row r="2074">
      <c r="A2074" t="inlineStr">
        <is>
          <t>ENC119181</t>
        </is>
      </c>
      <c r="B2074" t="inlineStr">
        <is>
          <t>PT10556</t>
        </is>
      </c>
      <c r="C2074" t="inlineStr">
        <is>
          <t>Emergency</t>
        </is>
      </c>
      <c r="D2074" t="inlineStr">
        <is>
          <t>Bluestone Memorial Hospital</t>
        </is>
      </c>
      <c r="E2074" t="inlineStr">
        <is>
          <t>Emergency Department</t>
        </is>
      </c>
      <c r="F2074" t="inlineStr">
        <is>
          <t>Emergency</t>
        </is>
      </c>
      <c r="G2074" s="29" t="n">
        <v>45940</v>
      </c>
      <c r="H2074" s="29" t="n">
        <v>45941</v>
      </c>
      <c r="I2074" s="30" t="n"/>
      <c r="J2074" t="inlineStr">
        <is>
          <t>G43.909</t>
        </is>
      </c>
      <c r="K2074" t="inlineStr">
        <is>
          <t>Migraine, unspecified, not intractable, without status migrainosus</t>
        </is>
      </c>
      <c r="L2074" t="inlineStr">
        <is>
          <t>Nervous System</t>
        </is>
      </c>
      <c r="M2074" t="inlineStr">
        <is>
          <t>Home/Self-Care</t>
        </is>
      </c>
      <c r="N2074" t="inlineStr">
        <is>
          <t>State Medicaid</t>
        </is>
      </c>
      <c r="O2074" s="31" t="n">
        <v>1506.95</v>
      </c>
    </row>
    <row r="2075">
      <c r="A2075" t="inlineStr">
        <is>
          <t>ENC119183</t>
        </is>
      </c>
      <c r="B2075" t="inlineStr">
        <is>
          <t>PT13836</t>
        </is>
      </c>
      <c r="C2075" t="inlineStr">
        <is>
          <t>Inpatient</t>
        </is>
      </c>
      <c r="D2075" t="inlineStr">
        <is>
          <t>Bluestone Memorial Hospital</t>
        </is>
      </c>
      <c r="E2075" t="inlineStr">
        <is>
          <t>Labor &amp; Delivery</t>
        </is>
      </c>
      <c r="F2075" t="inlineStr">
        <is>
          <t>Women &amp; Children</t>
        </is>
      </c>
      <c r="G2075" s="29" t="n">
        <v>45941</v>
      </c>
      <c r="H2075" s="29" t="n">
        <v>45943</v>
      </c>
      <c r="I2075" s="30" t="n">
        <v>2</v>
      </c>
      <c r="J2075" t="inlineStr">
        <is>
          <t>O80</t>
        </is>
      </c>
      <c r="K2075" t="inlineStr">
        <is>
          <t>Encounter for full-term uncomplicated delivery</t>
        </is>
      </c>
      <c r="L2075" t="inlineStr">
        <is>
          <t>Pregnancy</t>
        </is>
      </c>
      <c r="M2075" t="inlineStr">
        <is>
          <t>Home/Self-Care</t>
        </is>
      </c>
      <c r="N2075" t="inlineStr">
        <is>
          <t>Keystone Health Partners</t>
        </is>
      </c>
      <c r="O2075" s="31" t="n">
        <v>15694.06</v>
      </c>
      <c r="P2075" t="inlineStr">
        <is>
          <t>N</t>
        </is>
      </c>
    </row>
    <row r="2076">
      <c r="A2076" t="inlineStr">
        <is>
          <t>ENC119185</t>
        </is>
      </c>
      <c r="B2076" t="inlineStr">
        <is>
          <t>PT11824</t>
        </is>
      </c>
      <c r="C2076" t="inlineStr">
        <is>
          <t>Inpatient</t>
        </is>
      </c>
      <c r="D2076" t="inlineStr">
        <is>
          <t>Bluestone Memorial Hospital</t>
        </is>
      </c>
      <c r="E2076" t="inlineStr">
        <is>
          <t>Labor &amp; Delivery</t>
        </is>
      </c>
      <c r="F2076" t="inlineStr">
        <is>
          <t>Women &amp; Children</t>
        </is>
      </c>
      <c r="G2076" s="29" t="n">
        <v>45941</v>
      </c>
      <c r="H2076" s="29" t="n">
        <v>45943</v>
      </c>
      <c r="I2076" s="30" t="n">
        <v>2</v>
      </c>
      <c r="J2076" t="inlineStr">
        <is>
          <t>O80</t>
        </is>
      </c>
      <c r="K2076" t="inlineStr">
        <is>
          <t>Encounter for full-term uncomplicated delivery</t>
        </is>
      </c>
      <c r="L2076" t="inlineStr">
        <is>
          <t>Pregnancy</t>
        </is>
      </c>
      <c r="M2076" t="inlineStr">
        <is>
          <t>Home/Self-Care</t>
        </is>
      </c>
      <c r="N2076" t="inlineStr">
        <is>
          <t>Keystone Health Partners</t>
        </is>
      </c>
      <c r="O2076" s="31" t="n">
        <v>17117.24</v>
      </c>
      <c r="P2076" t="inlineStr">
        <is>
          <t>N</t>
        </is>
      </c>
    </row>
    <row r="2077">
      <c r="A2077" t="inlineStr">
        <is>
          <t>ENC119187</t>
        </is>
      </c>
      <c r="B2077" t="inlineStr">
        <is>
          <t>PT12216</t>
        </is>
      </c>
      <c r="C2077" t="inlineStr">
        <is>
          <t>Emergency</t>
        </is>
      </c>
      <c r="D2077" t="inlineStr">
        <is>
          <t>Cedar Ridge Medical Center</t>
        </is>
      </c>
      <c r="E2077" t="inlineStr">
        <is>
          <t>Emergency Department</t>
        </is>
      </c>
      <c r="F2077" t="inlineStr">
        <is>
          <t>Emergency</t>
        </is>
      </c>
      <c r="G2077" s="29" t="n">
        <v>45941</v>
      </c>
      <c r="H2077" s="29" t="n">
        <v>45941</v>
      </c>
      <c r="I2077" s="30" t="n"/>
      <c r="J2077" t="inlineStr">
        <is>
          <t>N39.0</t>
        </is>
      </c>
      <c r="K2077" t="inlineStr">
        <is>
          <t>Urinary tract infection, site not specified</t>
        </is>
      </c>
      <c r="L2077" t="inlineStr">
        <is>
          <t>Genitourinary</t>
        </is>
      </c>
      <c r="M2077" t="inlineStr">
        <is>
          <t>Home/Self-Care</t>
        </is>
      </c>
      <c r="N2077" t="inlineStr">
        <is>
          <t>State Medicaid</t>
        </is>
      </c>
      <c r="O2077" s="31" t="n">
        <v>1740.12</v>
      </c>
    </row>
    <row r="2078">
      <c r="A2078" t="inlineStr">
        <is>
          <t>ENC119188</t>
        </is>
      </c>
      <c r="B2078" t="inlineStr">
        <is>
          <t>PT12164</t>
        </is>
      </c>
      <c r="C2078" t="inlineStr">
        <is>
          <t>Emergency</t>
        </is>
      </c>
      <c r="D2078" t="inlineStr">
        <is>
          <t>Bluestone Memorial Hospital</t>
        </is>
      </c>
      <c r="E2078" t="inlineStr">
        <is>
          <t>Emergency Department</t>
        </is>
      </c>
      <c r="F2078" t="inlineStr">
        <is>
          <t>Emergency</t>
        </is>
      </c>
      <c r="G2078" s="29" t="n">
        <v>45941</v>
      </c>
      <c r="H2078" s="29" t="n">
        <v>45941</v>
      </c>
      <c r="I2078" s="30" t="n"/>
      <c r="J2078" t="inlineStr">
        <is>
          <t>G40.909</t>
        </is>
      </c>
      <c r="K2078" t="inlineStr">
        <is>
          <t>Epilepsy, unspecified, not intractable, without status epilepticus</t>
        </is>
      </c>
      <c r="L2078" t="inlineStr">
        <is>
          <t>Nervous System</t>
        </is>
      </c>
      <c r="M2078" t="inlineStr">
        <is>
          <t>Home/Self-Care</t>
        </is>
      </c>
      <c r="N2078" t="inlineStr">
        <is>
          <t>Silverline Medicare Advantage</t>
        </is>
      </c>
      <c r="O2078" s="31" t="n">
        <v>2543.92</v>
      </c>
    </row>
    <row r="2079">
      <c r="A2079" t="inlineStr">
        <is>
          <t>ENC119190</t>
        </is>
      </c>
      <c r="B2079" t="inlineStr">
        <is>
          <t>PT11876</t>
        </is>
      </c>
      <c r="C2079" t="inlineStr">
        <is>
          <t>Observation</t>
        </is>
      </c>
      <c r="D2079" t="inlineStr">
        <is>
          <t>Cedar Ridge Medical Center</t>
        </is>
      </c>
      <c r="E2079" t="inlineStr">
        <is>
          <t>Medical-Surgical</t>
        </is>
      </c>
      <c r="F2079" t="inlineStr">
        <is>
          <t>Medicine</t>
        </is>
      </c>
      <c r="G2079" s="29" t="n">
        <v>45941</v>
      </c>
      <c r="H2079" s="29" t="n">
        <v>45942</v>
      </c>
      <c r="I2079" s="30" t="n">
        <v>1</v>
      </c>
      <c r="J2079" t="inlineStr">
        <is>
          <t>S06.0X0A</t>
        </is>
      </c>
      <c r="K2079" t="inlineStr">
        <is>
          <t>Concussion without loss of consciousness, initial encounter</t>
        </is>
      </c>
      <c r="L2079" t="inlineStr">
        <is>
          <t>Injury</t>
        </is>
      </c>
      <c r="M2079" t="inlineStr">
        <is>
          <t>Home/Self-Care</t>
        </is>
      </c>
      <c r="N2079" t="inlineStr">
        <is>
          <t>State Medicaid</t>
        </is>
      </c>
      <c r="O2079" s="31" t="n">
        <v>7848.68</v>
      </c>
    </row>
    <row r="2080">
      <c r="A2080" t="inlineStr">
        <is>
          <t>ENC119191</t>
        </is>
      </c>
      <c r="B2080" t="inlineStr">
        <is>
          <t>PT11348</t>
        </is>
      </c>
      <c r="C2080" t="inlineStr">
        <is>
          <t>Emergency</t>
        </is>
      </c>
      <c r="D2080" t="inlineStr">
        <is>
          <t>Bluestone Memorial Hospital</t>
        </is>
      </c>
      <c r="E2080" t="inlineStr">
        <is>
          <t>Emergency Department</t>
        </is>
      </c>
      <c r="F2080" t="inlineStr">
        <is>
          <t>Emergency</t>
        </is>
      </c>
      <c r="G2080" s="29" t="n">
        <v>45941</v>
      </c>
      <c r="H2080" s="29" t="n">
        <v>45941</v>
      </c>
      <c r="I2080" s="30" t="n"/>
      <c r="J2080" t="inlineStr">
        <is>
          <t>G40.909</t>
        </is>
      </c>
      <c r="K2080" t="inlineStr">
        <is>
          <t>Epilepsy, unspecified, not intractable, without status epilepticus</t>
        </is>
      </c>
      <c r="L2080" t="inlineStr">
        <is>
          <t>Nervous System</t>
        </is>
      </c>
      <c r="M2080" t="inlineStr">
        <is>
          <t>Home/Self-Care</t>
        </is>
      </c>
      <c r="N2080" t="inlineStr">
        <is>
          <t>Evergreen Mutual Insurance</t>
        </is>
      </c>
      <c r="O2080" s="31" t="n">
        <v>3183.17</v>
      </c>
    </row>
    <row r="2081">
      <c r="A2081" t="inlineStr">
        <is>
          <t>ENC119192</t>
        </is>
      </c>
      <c r="B2081" t="inlineStr">
        <is>
          <t>PT13200</t>
        </is>
      </c>
      <c r="C2081" t="inlineStr">
        <is>
          <t>Emergency</t>
        </is>
      </c>
      <c r="D2081" t="inlineStr">
        <is>
          <t>Bluestone Memorial Hospital</t>
        </is>
      </c>
      <c r="E2081" t="inlineStr">
        <is>
          <t>Emergency Department</t>
        </is>
      </c>
      <c r="F2081" t="inlineStr">
        <is>
          <t>Emergency</t>
        </is>
      </c>
      <c r="G2081" s="29" t="n">
        <v>45941</v>
      </c>
      <c r="H2081" s="29" t="n">
        <v>45941</v>
      </c>
      <c r="I2081" s="30" t="n"/>
      <c r="J2081" t="inlineStr">
        <is>
          <t>R10.9</t>
        </is>
      </c>
      <c r="K2081" t="inlineStr">
        <is>
          <t>Unspecified abdominal pain</t>
        </is>
      </c>
      <c r="L2081" t="inlineStr">
        <is>
          <t>Symptoms &amp; Signs</t>
        </is>
      </c>
      <c r="M2081" t="inlineStr">
        <is>
          <t>Home/Self-Care</t>
        </is>
      </c>
      <c r="N2081" t="inlineStr">
        <is>
          <t>Self-Pay</t>
        </is>
      </c>
      <c r="O2081" s="31" t="n">
        <v>4367.73</v>
      </c>
    </row>
    <row r="2082">
      <c r="A2082" t="inlineStr">
        <is>
          <t>ENC119193</t>
        </is>
      </c>
      <c r="B2082" t="inlineStr">
        <is>
          <t>PT11448</t>
        </is>
      </c>
      <c r="C2082" t="inlineStr">
        <is>
          <t>Inpatient</t>
        </is>
      </c>
      <c r="D2082" t="inlineStr">
        <is>
          <t>Bluestone Memorial Hospital</t>
        </is>
      </c>
      <c r="E2082" t="inlineStr">
        <is>
          <t>Labor &amp; Delivery</t>
        </is>
      </c>
      <c r="F2082" t="inlineStr">
        <is>
          <t>Women &amp; Children</t>
        </is>
      </c>
      <c r="G2082" s="29" t="n">
        <v>45941</v>
      </c>
      <c r="H2082" s="29" t="n">
        <v>45943</v>
      </c>
      <c r="I2082" s="30" t="n">
        <v>2</v>
      </c>
      <c r="J2082" t="inlineStr">
        <is>
          <t>O80</t>
        </is>
      </c>
      <c r="K2082" t="inlineStr">
        <is>
          <t>Encounter for full-term uncomplicated delivery</t>
        </is>
      </c>
      <c r="L2082" t="inlineStr">
        <is>
          <t>Pregnancy</t>
        </is>
      </c>
      <c r="M2082" t="inlineStr">
        <is>
          <t>Home/Self-Care</t>
        </is>
      </c>
      <c r="N2082" t="inlineStr">
        <is>
          <t>Medicare</t>
        </is>
      </c>
      <c r="O2082" s="31" t="n">
        <v>13135.87</v>
      </c>
      <c r="P2082" t="inlineStr">
        <is>
          <t>N</t>
        </is>
      </c>
    </row>
    <row r="2083">
      <c r="A2083" t="inlineStr">
        <is>
          <t>ENC119201</t>
        </is>
      </c>
      <c r="B2083" t="inlineStr">
        <is>
          <t>PT13760</t>
        </is>
      </c>
      <c r="C2083" t="inlineStr">
        <is>
          <t>Inpatient</t>
        </is>
      </c>
      <c r="D2083" t="inlineStr">
        <is>
          <t>Cedar Ridge Medical Center</t>
        </is>
      </c>
      <c r="E2083" t="inlineStr">
        <is>
          <t>Cardiac Step-Down</t>
        </is>
      </c>
      <c r="F2083" t="inlineStr">
        <is>
          <t>Cardiovascular</t>
        </is>
      </c>
      <c r="G2083" s="29" t="n">
        <v>45942</v>
      </c>
      <c r="H2083" s="29" t="n">
        <v>45945</v>
      </c>
      <c r="I2083" s="30" t="n">
        <v>3</v>
      </c>
      <c r="J2083" t="inlineStr">
        <is>
          <t>I21.4</t>
        </is>
      </c>
      <c r="K2083" t="inlineStr">
        <is>
          <t>Non-ST elevation (NSTEMI) myocardial infarction</t>
        </is>
      </c>
      <c r="L2083" t="inlineStr">
        <is>
          <t>Circulatory</t>
        </is>
      </c>
      <c r="M2083" t="inlineStr">
        <is>
          <t>Home/Self-Care</t>
        </is>
      </c>
      <c r="N2083" t="inlineStr">
        <is>
          <t>Evergreen Mutual Insurance</t>
        </is>
      </c>
      <c r="O2083" s="31" t="n">
        <v>81054.78</v>
      </c>
      <c r="P2083" t="inlineStr">
        <is>
          <t>N</t>
        </is>
      </c>
    </row>
    <row r="2084">
      <c r="A2084" t="inlineStr">
        <is>
          <t>ENC119210</t>
        </is>
      </c>
      <c r="B2084" t="inlineStr">
        <is>
          <t>PT12408</t>
        </is>
      </c>
      <c r="C2084" t="inlineStr">
        <is>
          <t>Emergency</t>
        </is>
      </c>
      <c r="D2084" t="inlineStr">
        <is>
          <t>Bluestone Memorial Hospital</t>
        </is>
      </c>
      <c r="E2084" t="inlineStr">
        <is>
          <t>Emergency Department</t>
        </is>
      </c>
      <c r="F2084" t="inlineStr">
        <is>
          <t>Emergency</t>
        </is>
      </c>
      <c r="G2084" s="29" t="n">
        <v>45942</v>
      </c>
      <c r="H2084" s="29" t="n">
        <v>45942</v>
      </c>
      <c r="I2084" s="30" t="n"/>
      <c r="J2084" t="inlineStr">
        <is>
          <t>F20.9</t>
        </is>
      </c>
      <c r="K2084" t="inlineStr">
        <is>
          <t>Schizophrenia, unspecified</t>
        </is>
      </c>
      <c r="L2084" t="inlineStr">
        <is>
          <t>Mental &amp; Behavioral</t>
        </is>
      </c>
      <c r="M2084" t="inlineStr">
        <is>
          <t>Home/Self-Care</t>
        </is>
      </c>
      <c r="N2084" t="inlineStr">
        <is>
          <t>State Medicaid</t>
        </is>
      </c>
      <c r="O2084" s="31" t="n">
        <v>1856.29</v>
      </c>
    </row>
    <row r="2085">
      <c r="A2085" t="inlineStr">
        <is>
          <t>ENC119213</t>
        </is>
      </c>
      <c r="B2085" t="inlineStr">
        <is>
          <t>PT11728</t>
        </is>
      </c>
      <c r="C2085" t="inlineStr">
        <is>
          <t>Emergency</t>
        </is>
      </c>
      <c r="D2085" t="inlineStr">
        <is>
          <t>Bluestone Memorial Hospital</t>
        </is>
      </c>
      <c r="E2085" t="inlineStr">
        <is>
          <t>Emergency Department</t>
        </is>
      </c>
      <c r="F2085" t="inlineStr">
        <is>
          <t>Emergency</t>
        </is>
      </c>
      <c r="G2085" s="29" t="n">
        <v>45942</v>
      </c>
      <c r="H2085" s="29" t="n">
        <v>45943</v>
      </c>
      <c r="I2085" s="30" t="n"/>
      <c r="J2085" t="inlineStr">
        <is>
          <t>S93.401A</t>
        </is>
      </c>
      <c r="K2085" t="inlineStr">
        <is>
          <t>Sprain of unspecified ligament of right ankle, initial encounter</t>
        </is>
      </c>
      <c r="L2085" t="inlineStr">
        <is>
          <t>Injury</t>
        </is>
      </c>
      <c r="M2085" t="inlineStr">
        <is>
          <t>Home/Self-Care</t>
        </is>
      </c>
      <c r="N2085" t="inlineStr">
        <is>
          <t>State Medicaid</t>
        </is>
      </c>
      <c r="O2085" s="31" t="n">
        <v>1029.07</v>
      </c>
    </row>
    <row r="2086">
      <c r="A2086" t="inlineStr">
        <is>
          <t>ENC119215</t>
        </is>
      </c>
      <c r="B2086" t="inlineStr">
        <is>
          <t>PT11288</t>
        </is>
      </c>
      <c r="C2086" t="inlineStr">
        <is>
          <t>Inpatient</t>
        </is>
      </c>
      <c r="D2086" t="inlineStr">
        <is>
          <t>Bluestone Memorial Hospital</t>
        </is>
      </c>
      <c r="E2086" t="inlineStr">
        <is>
          <t>Neuroscience &amp; Stroke</t>
        </is>
      </c>
      <c r="F2086" t="inlineStr">
        <is>
          <t>Neuroscience</t>
        </is>
      </c>
      <c r="G2086" s="29" t="n">
        <v>45943</v>
      </c>
      <c r="H2086" s="29" t="n">
        <v>45946</v>
      </c>
      <c r="I2086" s="30" t="n">
        <v>3</v>
      </c>
      <c r="J2086" t="inlineStr">
        <is>
          <t>G40.909</t>
        </is>
      </c>
      <c r="K2086" t="inlineStr">
        <is>
          <t>Epilepsy, unspecified, not intractable, without status epilepticus</t>
        </is>
      </c>
      <c r="L2086" t="inlineStr">
        <is>
          <t>Nervous System</t>
        </is>
      </c>
      <c r="M2086" t="inlineStr">
        <is>
          <t>Home/Self-Care</t>
        </is>
      </c>
      <c r="N2086" t="inlineStr">
        <is>
          <t>State Medicaid</t>
        </is>
      </c>
      <c r="O2086" s="31" t="n">
        <v>20400.05</v>
      </c>
      <c r="P2086" t="inlineStr">
        <is>
          <t>N</t>
        </is>
      </c>
    </row>
    <row r="2087">
      <c r="A2087" t="inlineStr">
        <is>
          <t>ENC119220</t>
        </is>
      </c>
      <c r="B2087" t="inlineStr">
        <is>
          <t>PT10424</t>
        </is>
      </c>
      <c r="C2087" t="inlineStr">
        <is>
          <t>Outpatient</t>
        </is>
      </c>
      <c r="D2087" t="inlineStr">
        <is>
          <t>Bluestone Outpatient Pavilion</t>
        </is>
      </c>
      <c r="E2087" t="inlineStr">
        <is>
          <t>Primary Care Clinic</t>
        </is>
      </c>
      <c r="F2087" t="inlineStr">
        <is>
          <t>Ambulatory</t>
        </is>
      </c>
      <c r="G2087" s="29" t="n">
        <v>45943</v>
      </c>
      <c r="H2087" s="29" t="n">
        <v>45943</v>
      </c>
      <c r="I2087" s="30" t="n"/>
      <c r="J2087" t="inlineStr">
        <is>
          <t>M54.50</t>
        </is>
      </c>
      <c r="K2087" t="inlineStr">
        <is>
          <t>Low back pain, unspecified</t>
        </is>
      </c>
      <c r="L2087" t="inlineStr">
        <is>
          <t>Musculoskeletal</t>
        </is>
      </c>
      <c r="M2087" t="inlineStr">
        <is>
          <t>Home/Self-Care</t>
        </is>
      </c>
      <c r="N2087" t="inlineStr">
        <is>
          <t>Self-Pay</t>
        </is>
      </c>
      <c r="O2087" s="31" t="n">
        <v>280.92</v>
      </c>
    </row>
    <row r="2088">
      <c r="A2088" t="inlineStr">
        <is>
          <t>ENC119224</t>
        </is>
      </c>
      <c r="B2088" t="inlineStr">
        <is>
          <t>PT13980</t>
        </is>
      </c>
      <c r="C2088" t="inlineStr">
        <is>
          <t>Outpatient</t>
        </is>
      </c>
      <c r="D2088" t="inlineStr">
        <is>
          <t>Bluestone Outpatient Pavilion</t>
        </is>
      </c>
      <c r="E2088" t="inlineStr">
        <is>
          <t>Primary Care Clinic</t>
        </is>
      </c>
      <c r="F2088" t="inlineStr">
        <is>
          <t>Ambulatory</t>
        </is>
      </c>
      <c r="G2088" s="29" t="n">
        <v>45943</v>
      </c>
      <c r="H2088" s="29" t="n">
        <v>45943</v>
      </c>
      <c r="I2088" s="30" t="n"/>
      <c r="J2088" t="inlineStr">
        <is>
          <t>Z00.00</t>
        </is>
      </c>
      <c r="K2088" t="inlineStr">
        <is>
          <t>Encounter for general adult medical examination without abnormal findings</t>
        </is>
      </c>
      <c r="L2088" t="inlineStr">
        <is>
          <t>Factors Influencing Health</t>
        </is>
      </c>
      <c r="M2088" t="inlineStr">
        <is>
          <t>Home/Self-Care</t>
        </is>
      </c>
      <c r="N2088" t="inlineStr">
        <is>
          <t>Medicare</t>
        </is>
      </c>
      <c r="O2088" s="31" t="n">
        <v>216.73</v>
      </c>
    </row>
    <row r="2089">
      <c r="A2089" t="inlineStr">
        <is>
          <t>ENC119226</t>
        </is>
      </c>
      <c r="B2089" t="inlineStr">
        <is>
          <t>PT12552</t>
        </is>
      </c>
      <c r="C2089" t="inlineStr">
        <is>
          <t>Outpatient</t>
        </is>
      </c>
      <c r="D2089" t="inlineStr">
        <is>
          <t>Bluestone Outpatient Pavilion</t>
        </is>
      </c>
      <c r="E2089" t="inlineStr">
        <is>
          <t>Primary Care Clinic</t>
        </is>
      </c>
      <c r="F2089" t="inlineStr">
        <is>
          <t>Ambulatory</t>
        </is>
      </c>
      <c r="G2089" s="29" t="n">
        <v>45943</v>
      </c>
      <c r="H2089" s="29" t="n">
        <v>45943</v>
      </c>
      <c r="I2089" s="30" t="n"/>
      <c r="J2089" t="inlineStr">
        <is>
          <t>Z00.00</t>
        </is>
      </c>
      <c r="K2089" t="inlineStr">
        <is>
          <t>Encounter for general adult medical examination without abnormal findings</t>
        </is>
      </c>
      <c r="L2089" t="inlineStr">
        <is>
          <t>Factors Influencing Health</t>
        </is>
      </c>
      <c r="M2089" t="inlineStr">
        <is>
          <t>Home/Self-Care</t>
        </is>
      </c>
      <c r="N2089" t="inlineStr">
        <is>
          <t>Summit Choice PPO</t>
        </is>
      </c>
      <c r="O2089" s="31" t="n">
        <v>405.59</v>
      </c>
    </row>
    <row r="2090">
      <c r="A2090" t="inlineStr">
        <is>
          <t>ENC119229</t>
        </is>
      </c>
      <c r="B2090" t="inlineStr">
        <is>
          <t>PT13936</t>
        </is>
      </c>
      <c r="C2090" t="inlineStr">
        <is>
          <t>Inpatient</t>
        </is>
      </c>
      <c r="D2090" t="inlineStr">
        <is>
          <t>Bluestone Memorial Hospital</t>
        </is>
      </c>
      <c r="E2090" t="inlineStr">
        <is>
          <t>Medical-Surgical 4 West</t>
        </is>
      </c>
      <c r="F2090" t="inlineStr">
        <is>
          <t>Medicine</t>
        </is>
      </c>
      <c r="G2090" s="29" t="n">
        <v>45943</v>
      </c>
      <c r="H2090" s="29" t="n">
        <v>45953</v>
      </c>
      <c r="I2090" s="30" t="n">
        <v>10</v>
      </c>
      <c r="J2090" t="inlineStr">
        <is>
          <t>J44.1</t>
        </is>
      </c>
      <c r="K2090" t="inlineStr">
        <is>
          <t>Chronic obstructive pulmonary disease with (acute) exacerbation</t>
        </is>
      </c>
      <c r="L2090" t="inlineStr">
        <is>
          <t>Respiratory</t>
        </is>
      </c>
      <c r="M2090" t="inlineStr">
        <is>
          <t>Home/Self-Care</t>
        </is>
      </c>
      <c r="N2090" t="inlineStr">
        <is>
          <t>Medicare</t>
        </is>
      </c>
      <c r="O2090" s="31" t="n">
        <v>41905.32</v>
      </c>
      <c r="P2090" t="inlineStr">
        <is>
          <t>Y</t>
        </is>
      </c>
    </row>
    <row r="2091">
      <c r="A2091" t="inlineStr">
        <is>
          <t>ENC119231</t>
        </is>
      </c>
      <c r="B2091" t="inlineStr">
        <is>
          <t>PT10512</t>
        </is>
      </c>
      <c r="C2091" t="inlineStr">
        <is>
          <t>Outpatient</t>
        </is>
      </c>
      <c r="D2091" t="inlineStr">
        <is>
          <t>Bluestone Outpatient Pavilion</t>
        </is>
      </c>
      <c r="E2091" t="inlineStr">
        <is>
          <t>Primary Care Clinic</t>
        </is>
      </c>
      <c r="F2091" t="inlineStr">
        <is>
          <t>Ambulatory</t>
        </is>
      </c>
      <c r="G2091" s="29" t="n">
        <v>45943</v>
      </c>
      <c r="H2091" s="29" t="n">
        <v>45943</v>
      </c>
      <c r="I2091" s="30" t="n"/>
      <c r="J2091" t="inlineStr">
        <is>
          <t>I10</t>
        </is>
      </c>
      <c r="K2091" t="inlineStr">
        <is>
          <t>Essential (primary) hypertension</t>
        </is>
      </c>
      <c r="L2091" t="inlineStr">
        <is>
          <t>Circulatory</t>
        </is>
      </c>
      <c r="M2091" t="inlineStr">
        <is>
          <t>Home/Self-Care</t>
        </is>
      </c>
      <c r="N2091" t="inlineStr">
        <is>
          <t>State Medicaid</t>
        </is>
      </c>
      <c r="O2091" s="31" t="n">
        <v>189.36</v>
      </c>
    </row>
    <row r="2092">
      <c r="A2092" t="inlineStr">
        <is>
          <t>ENC119235</t>
        </is>
      </c>
      <c r="B2092" t="inlineStr">
        <is>
          <t>PT13304</t>
        </is>
      </c>
      <c r="C2092" t="inlineStr">
        <is>
          <t>Outpatient</t>
        </is>
      </c>
      <c r="D2092" t="inlineStr">
        <is>
          <t>Bluestone Outpatient Pavilion</t>
        </is>
      </c>
      <c r="E2092" t="inlineStr">
        <is>
          <t>Infusion &amp; Oncology Clinic</t>
        </is>
      </c>
      <c r="F2092" t="inlineStr">
        <is>
          <t>Oncology</t>
        </is>
      </c>
      <c r="G2092" s="29" t="n">
        <v>45943</v>
      </c>
      <c r="H2092" s="29" t="n">
        <v>45943</v>
      </c>
      <c r="I2092" s="30" t="n"/>
      <c r="J2092" t="inlineStr">
        <is>
          <t>Z51.11</t>
        </is>
      </c>
      <c r="K2092" t="inlineStr">
        <is>
          <t>Encounter for antineoplastic chemotherapy</t>
        </is>
      </c>
      <c r="L2092" t="inlineStr">
        <is>
          <t>Factors Influencing Health</t>
        </is>
      </c>
      <c r="M2092" t="inlineStr">
        <is>
          <t>Home/Self-Care</t>
        </is>
      </c>
      <c r="N2092" t="inlineStr">
        <is>
          <t>Evergreen Mutual Insurance</t>
        </is>
      </c>
      <c r="O2092" s="31" t="n">
        <v>17160.23</v>
      </c>
    </row>
    <row r="2093">
      <c r="A2093" t="inlineStr">
        <is>
          <t>ENC119237</t>
        </is>
      </c>
      <c r="B2093" t="inlineStr">
        <is>
          <t>PT11516</t>
        </is>
      </c>
      <c r="C2093" t="inlineStr">
        <is>
          <t>Emergency</t>
        </is>
      </c>
      <c r="D2093" t="inlineStr">
        <is>
          <t>Ashby Falls Community Hospital</t>
        </is>
      </c>
      <c r="E2093" t="inlineStr">
        <is>
          <t>Emergency Department</t>
        </is>
      </c>
      <c r="F2093" t="inlineStr">
        <is>
          <t>Emergency</t>
        </is>
      </c>
      <c r="G2093" s="29" t="n">
        <v>45943</v>
      </c>
      <c r="H2093" s="29" t="n">
        <v>45943</v>
      </c>
      <c r="I2093" s="30" t="n"/>
      <c r="J2093" t="inlineStr">
        <is>
          <t>J06.9</t>
        </is>
      </c>
      <c r="K2093" t="inlineStr">
        <is>
          <t>Acute upper respiratory infection, unspecified</t>
        </is>
      </c>
      <c r="L2093" t="inlineStr">
        <is>
          <t>Respiratory</t>
        </is>
      </c>
      <c r="M2093" t="inlineStr">
        <is>
          <t>Home/Self-Care</t>
        </is>
      </c>
      <c r="N2093" t="inlineStr">
        <is>
          <t>Keystone Health Partners</t>
        </is>
      </c>
      <c r="O2093" s="31" t="n">
        <v>1438.03</v>
      </c>
    </row>
    <row r="2094">
      <c r="A2094" t="inlineStr">
        <is>
          <t>ENC119244</t>
        </is>
      </c>
      <c r="B2094" t="inlineStr">
        <is>
          <t>PT10172</t>
        </is>
      </c>
      <c r="C2094" t="inlineStr">
        <is>
          <t>Emergency</t>
        </is>
      </c>
      <c r="D2094" t="inlineStr">
        <is>
          <t>Bluestone Memorial Hospital</t>
        </is>
      </c>
      <c r="E2094" t="inlineStr">
        <is>
          <t>Emergency Department</t>
        </is>
      </c>
      <c r="F2094" t="inlineStr">
        <is>
          <t>Emergency</t>
        </is>
      </c>
      <c r="G2094" s="29" t="n">
        <v>45943</v>
      </c>
      <c r="H2094" s="29" t="n">
        <v>45943</v>
      </c>
      <c r="I2094" s="30" t="n"/>
      <c r="J2094" t="inlineStr">
        <is>
          <t>E11.65</t>
        </is>
      </c>
      <c r="K2094" t="inlineStr">
        <is>
          <t>Type 2 diabetes mellitus with hyperglycemia</t>
        </is>
      </c>
      <c r="L2094" t="inlineStr">
        <is>
          <t>Endocrine</t>
        </is>
      </c>
      <c r="M2094" t="inlineStr">
        <is>
          <t>Home/Self-Care</t>
        </is>
      </c>
      <c r="N2094" t="inlineStr">
        <is>
          <t>Medicare</t>
        </is>
      </c>
      <c r="O2094" s="31" t="n">
        <v>2978.43</v>
      </c>
    </row>
    <row r="2095">
      <c r="A2095" t="inlineStr">
        <is>
          <t>ENC119250</t>
        </is>
      </c>
      <c r="B2095" t="inlineStr">
        <is>
          <t>PT12244</t>
        </is>
      </c>
      <c r="C2095" t="inlineStr">
        <is>
          <t>Observation</t>
        </is>
      </c>
      <c r="D2095" t="inlineStr">
        <is>
          <t>Bluestone Memorial Hospital</t>
        </is>
      </c>
      <c r="E2095" t="inlineStr">
        <is>
          <t>Observation Unit</t>
        </is>
      </c>
      <c r="F2095" t="inlineStr">
        <is>
          <t>Medicine</t>
        </is>
      </c>
      <c r="G2095" s="29" t="n">
        <v>45944</v>
      </c>
      <c r="H2095" s="29" t="n">
        <v>45945</v>
      </c>
      <c r="I2095" s="30" t="n">
        <v>1</v>
      </c>
      <c r="J2095" t="inlineStr">
        <is>
          <t>R07.9</t>
        </is>
      </c>
      <c r="K2095" t="inlineStr">
        <is>
          <t>Chest pain, unspecified</t>
        </is>
      </c>
      <c r="L2095" t="inlineStr">
        <is>
          <t>Symptoms &amp; Signs</t>
        </is>
      </c>
      <c r="M2095" t="inlineStr">
        <is>
          <t>Home/Self-Care</t>
        </is>
      </c>
      <c r="N2095" t="inlineStr">
        <is>
          <t>Silverline Medicare Advantage</t>
        </is>
      </c>
      <c r="O2095" s="31" t="n">
        <v>8202.200000000001</v>
      </c>
    </row>
    <row r="2096">
      <c r="A2096" t="inlineStr">
        <is>
          <t>ENC119254</t>
        </is>
      </c>
      <c r="B2096" t="inlineStr">
        <is>
          <t>PT13108</t>
        </is>
      </c>
      <c r="C2096" t="inlineStr">
        <is>
          <t>Outpatient</t>
        </is>
      </c>
      <c r="D2096" t="inlineStr">
        <is>
          <t>Bluestone Outpatient Pavilion</t>
        </is>
      </c>
      <c r="E2096" t="inlineStr">
        <is>
          <t>Pediatric Clinic</t>
        </is>
      </c>
      <c r="F2096" t="inlineStr">
        <is>
          <t>Women &amp; Children</t>
        </is>
      </c>
      <c r="G2096" s="29" t="n">
        <v>45944</v>
      </c>
      <c r="H2096" s="29" t="n">
        <v>45944</v>
      </c>
      <c r="I2096" s="30" t="n"/>
      <c r="J2096" t="inlineStr">
        <is>
          <t>Z00.129</t>
        </is>
      </c>
      <c r="K2096" t="inlineStr">
        <is>
          <t>Encounter for routine child health examination without abnormal findings</t>
        </is>
      </c>
      <c r="L2096" t="inlineStr">
        <is>
          <t>Factors Influencing Health</t>
        </is>
      </c>
      <c r="M2096" t="inlineStr">
        <is>
          <t>Home/Self-Care</t>
        </is>
      </c>
      <c r="N2096" t="inlineStr">
        <is>
          <t>State Medicaid</t>
        </is>
      </c>
      <c r="O2096" s="31" t="n">
        <v>267.57</v>
      </c>
    </row>
    <row r="2097">
      <c r="A2097" t="inlineStr">
        <is>
          <t>ENC119256</t>
        </is>
      </c>
      <c r="B2097" t="inlineStr">
        <is>
          <t>PT11552</t>
        </is>
      </c>
      <c r="C2097" t="inlineStr">
        <is>
          <t>Outpatient</t>
        </is>
      </c>
      <c r="D2097" t="inlineStr">
        <is>
          <t>Bluestone Outpatient Pavilion</t>
        </is>
      </c>
      <c r="E2097" t="inlineStr">
        <is>
          <t>Primary Care Clinic</t>
        </is>
      </c>
      <c r="F2097" t="inlineStr">
        <is>
          <t>Ambulatory</t>
        </is>
      </c>
      <c r="G2097" s="29" t="n">
        <v>45944</v>
      </c>
      <c r="H2097" s="29" t="n">
        <v>45944</v>
      </c>
      <c r="I2097" s="30" t="n"/>
      <c r="J2097" t="inlineStr">
        <is>
          <t>Z00.00</t>
        </is>
      </c>
      <c r="K2097" t="inlineStr">
        <is>
          <t>Encounter for general adult medical examination without abnormal findings</t>
        </is>
      </c>
      <c r="L2097" t="inlineStr">
        <is>
          <t>Factors Influencing Health</t>
        </is>
      </c>
      <c r="M2097" t="inlineStr">
        <is>
          <t>Home/Self-Care</t>
        </is>
      </c>
      <c r="N2097" t="inlineStr">
        <is>
          <t>Evergreen Mutual Insurance</t>
        </is>
      </c>
      <c r="O2097" s="31" t="n">
        <v>382.34</v>
      </c>
    </row>
    <row r="2098">
      <c r="A2098" t="inlineStr">
        <is>
          <t>ENC119257</t>
        </is>
      </c>
      <c r="B2098" t="inlineStr">
        <is>
          <t>PT11380</t>
        </is>
      </c>
      <c r="C2098" t="inlineStr">
        <is>
          <t>Outpatient</t>
        </is>
      </c>
      <c r="D2098" t="inlineStr">
        <is>
          <t>Bluestone Outpatient Pavilion</t>
        </is>
      </c>
      <c r="E2098" t="inlineStr">
        <is>
          <t>Primary Care Clinic</t>
        </is>
      </c>
      <c r="F2098" t="inlineStr">
        <is>
          <t>Ambulatory</t>
        </is>
      </c>
      <c r="G2098" s="29" t="n">
        <v>45944</v>
      </c>
      <c r="H2098" s="29" t="n">
        <v>45944</v>
      </c>
      <c r="I2098" s="30" t="n"/>
      <c r="J2098" t="inlineStr">
        <is>
          <t>I10</t>
        </is>
      </c>
      <c r="K2098" t="inlineStr">
        <is>
          <t>Essential (primary) hypertension</t>
        </is>
      </c>
      <c r="L2098" t="inlineStr">
        <is>
          <t>Circulatory</t>
        </is>
      </c>
      <c r="M2098" t="inlineStr">
        <is>
          <t>Home/Self-Care</t>
        </is>
      </c>
      <c r="N2098" t="inlineStr">
        <is>
          <t>Medicare</t>
        </is>
      </c>
      <c r="O2098" s="31" t="n">
        <v>244.79</v>
      </c>
    </row>
    <row r="2099">
      <c r="A2099" t="inlineStr">
        <is>
          <t>ENC119259</t>
        </is>
      </c>
      <c r="B2099" t="inlineStr">
        <is>
          <t>PT10600</t>
        </is>
      </c>
      <c r="C2099" t="inlineStr">
        <is>
          <t>Inpatient</t>
        </is>
      </c>
      <c r="D2099" t="inlineStr">
        <is>
          <t>Bluestone Memorial Hospital</t>
        </is>
      </c>
      <c r="E2099" t="inlineStr">
        <is>
          <t>Behavioral Health</t>
        </is>
      </c>
      <c r="F2099" t="inlineStr">
        <is>
          <t>Behavioral Health</t>
        </is>
      </c>
      <c r="G2099" s="29" t="n">
        <v>45944</v>
      </c>
      <c r="H2099" s="29" t="n">
        <v>45952</v>
      </c>
      <c r="I2099" s="30" t="n">
        <v>8</v>
      </c>
      <c r="J2099" t="inlineStr">
        <is>
          <t>F20.9</t>
        </is>
      </c>
      <c r="K2099" t="inlineStr">
        <is>
          <t>Schizophrenia, unspecified</t>
        </is>
      </c>
      <c r="L2099" t="inlineStr">
        <is>
          <t>Mental &amp; Behavioral</t>
        </is>
      </c>
      <c r="M2099" t="inlineStr">
        <is>
          <t>Home/Self-Care</t>
        </is>
      </c>
      <c r="N2099" t="inlineStr">
        <is>
          <t>Summit Choice PPO</t>
        </is>
      </c>
      <c r="O2099" s="31" t="n">
        <v>15486.98</v>
      </c>
      <c r="P2099" t="inlineStr">
        <is>
          <t>N</t>
        </is>
      </c>
    </row>
    <row r="2100">
      <c r="A2100" t="inlineStr">
        <is>
          <t>ENC119263</t>
        </is>
      </c>
      <c r="B2100" t="inlineStr">
        <is>
          <t>PT10932</t>
        </is>
      </c>
      <c r="C2100" t="inlineStr">
        <is>
          <t>Outpatient</t>
        </is>
      </c>
      <c r="D2100" t="inlineStr">
        <is>
          <t>Bluestone Outpatient Pavilion</t>
        </is>
      </c>
      <c r="E2100" t="inlineStr">
        <is>
          <t>Primary Care Clinic</t>
        </is>
      </c>
      <c r="F2100" t="inlineStr">
        <is>
          <t>Ambulatory</t>
        </is>
      </c>
      <c r="G2100" s="29" t="n">
        <v>45944</v>
      </c>
      <c r="H2100" s="29" t="n">
        <v>45944</v>
      </c>
      <c r="I2100" s="30" t="n"/>
      <c r="J2100" t="inlineStr">
        <is>
          <t>I10</t>
        </is>
      </c>
      <c r="K2100" t="inlineStr">
        <is>
          <t>Essential (primary) hypertension</t>
        </is>
      </c>
      <c r="L2100" t="inlineStr">
        <is>
          <t>Circulatory</t>
        </is>
      </c>
      <c r="M2100" t="inlineStr">
        <is>
          <t>Home/Self-Care</t>
        </is>
      </c>
      <c r="N2100" t="inlineStr">
        <is>
          <t>Evergreen Mutual Insurance</t>
        </is>
      </c>
      <c r="O2100" s="31" t="n">
        <v>184.03</v>
      </c>
    </row>
    <row r="2101">
      <c r="A2101" t="inlineStr">
        <is>
          <t>ENC119265</t>
        </is>
      </c>
      <c r="B2101" t="inlineStr">
        <is>
          <t>PT10508</t>
        </is>
      </c>
      <c r="C2101" t="inlineStr">
        <is>
          <t>Outpatient</t>
        </is>
      </c>
      <c r="D2101" t="inlineStr">
        <is>
          <t>Bluestone Outpatient Pavilion</t>
        </is>
      </c>
      <c r="E2101" t="inlineStr">
        <is>
          <t>Primary Care Clinic</t>
        </is>
      </c>
      <c r="F2101" t="inlineStr">
        <is>
          <t>Ambulatory</t>
        </is>
      </c>
      <c r="G2101" s="29" t="n">
        <v>45944</v>
      </c>
      <c r="H2101" s="29" t="n">
        <v>45944</v>
      </c>
      <c r="I2101" s="30" t="n"/>
      <c r="J2101" t="inlineStr">
        <is>
          <t>I10</t>
        </is>
      </c>
      <c r="K2101" t="inlineStr">
        <is>
          <t>Essential (primary) hypertension</t>
        </is>
      </c>
      <c r="L2101" t="inlineStr">
        <is>
          <t>Circulatory</t>
        </is>
      </c>
      <c r="M2101" t="inlineStr">
        <is>
          <t>Home/Self-Care</t>
        </is>
      </c>
      <c r="N2101" t="inlineStr">
        <is>
          <t>Silverline Medicare Advantage</t>
        </is>
      </c>
      <c r="O2101" s="31" t="n">
        <v>321.78</v>
      </c>
    </row>
    <row r="2102">
      <c r="A2102" t="inlineStr">
        <is>
          <t>ENC119266</t>
        </is>
      </c>
      <c r="B2102" t="inlineStr">
        <is>
          <t>PT10444</t>
        </is>
      </c>
      <c r="C2102" t="inlineStr">
        <is>
          <t>Outpatient</t>
        </is>
      </c>
      <c r="D2102" t="inlineStr">
        <is>
          <t>Bluestone Outpatient Pavilion</t>
        </is>
      </c>
      <c r="E2102" t="inlineStr">
        <is>
          <t>Primary Care Clinic</t>
        </is>
      </c>
      <c r="F2102" t="inlineStr">
        <is>
          <t>Ambulatory</t>
        </is>
      </c>
      <c r="G2102" s="29" t="n">
        <v>45944</v>
      </c>
      <c r="H2102" s="29" t="n">
        <v>45944</v>
      </c>
      <c r="I2102" s="30" t="n"/>
      <c r="J2102" t="inlineStr">
        <is>
          <t>J06.9</t>
        </is>
      </c>
      <c r="K2102" t="inlineStr">
        <is>
          <t>Acute upper respiratory infection, unspecified</t>
        </is>
      </c>
      <c r="L2102" t="inlineStr">
        <is>
          <t>Respiratory</t>
        </is>
      </c>
      <c r="M2102" t="inlineStr">
        <is>
          <t>Home/Self-Care</t>
        </is>
      </c>
      <c r="N2102" t="inlineStr">
        <is>
          <t>Medicare</t>
        </is>
      </c>
      <c r="O2102" s="31" t="n">
        <v>353.81</v>
      </c>
    </row>
    <row r="2103">
      <c r="A2103" t="inlineStr">
        <is>
          <t>ENC119273</t>
        </is>
      </c>
      <c r="B2103" t="inlineStr">
        <is>
          <t>PT13784</t>
        </is>
      </c>
      <c r="C2103" t="inlineStr">
        <is>
          <t>Outpatient</t>
        </is>
      </c>
      <c r="D2103" t="inlineStr">
        <is>
          <t>Bluestone Outpatient Pavilion</t>
        </is>
      </c>
      <c r="E2103" t="inlineStr">
        <is>
          <t>Primary Care Clinic</t>
        </is>
      </c>
      <c r="F2103" t="inlineStr">
        <is>
          <t>Ambulatory</t>
        </is>
      </c>
      <c r="G2103" s="29" t="n">
        <v>45944</v>
      </c>
      <c r="H2103" s="29" t="n">
        <v>45944</v>
      </c>
      <c r="I2103" s="30" t="n"/>
      <c r="J2103" t="inlineStr">
        <is>
          <t>I10</t>
        </is>
      </c>
      <c r="K2103" t="inlineStr">
        <is>
          <t>Essential (primary) hypertension</t>
        </is>
      </c>
      <c r="L2103" t="inlineStr">
        <is>
          <t>Circulatory</t>
        </is>
      </c>
      <c r="M2103" t="inlineStr">
        <is>
          <t>Home/Self-Care</t>
        </is>
      </c>
      <c r="N2103" t="inlineStr">
        <is>
          <t>Medicare</t>
        </is>
      </c>
      <c r="O2103" s="31" t="n">
        <v>342.05</v>
      </c>
    </row>
    <row r="2104">
      <c r="A2104" t="inlineStr">
        <is>
          <t>ENC119274</t>
        </is>
      </c>
      <c r="B2104" t="inlineStr">
        <is>
          <t>PT10628</t>
        </is>
      </c>
      <c r="C2104" t="inlineStr">
        <is>
          <t>Inpatient</t>
        </is>
      </c>
      <c r="D2104" t="inlineStr">
        <is>
          <t>Bluestone Memorial Hospital</t>
        </is>
      </c>
      <c r="E2104" t="inlineStr">
        <is>
          <t>Medical-Surgical 5 East</t>
        </is>
      </c>
      <c r="F2104" t="inlineStr">
        <is>
          <t>Medicine</t>
        </is>
      </c>
      <c r="G2104" s="29" t="n">
        <v>45944</v>
      </c>
      <c r="H2104" s="29" t="n">
        <v>45949</v>
      </c>
      <c r="I2104" s="30" t="n">
        <v>5</v>
      </c>
      <c r="J2104" t="inlineStr">
        <is>
          <t>N39.0</t>
        </is>
      </c>
      <c r="K2104" t="inlineStr">
        <is>
          <t>Urinary tract infection, site not specified</t>
        </is>
      </c>
      <c r="L2104" t="inlineStr">
        <is>
          <t>Genitourinary</t>
        </is>
      </c>
      <c r="M2104" t="inlineStr">
        <is>
          <t>Home/Self-Care</t>
        </is>
      </c>
      <c r="N2104" t="inlineStr">
        <is>
          <t>Silverline Medicare Advantage</t>
        </is>
      </c>
      <c r="O2104" s="31" t="n">
        <v>21791</v>
      </c>
      <c r="P2104" t="inlineStr">
        <is>
          <t>N</t>
        </is>
      </c>
    </row>
    <row r="2105">
      <c r="A2105" t="inlineStr">
        <is>
          <t>ENC119276</t>
        </is>
      </c>
      <c r="B2105" t="inlineStr">
        <is>
          <t>PT10028</t>
        </is>
      </c>
      <c r="C2105" t="inlineStr">
        <is>
          <t>Emergency</t>
        </is>
      </c>
      <c r="D2105" t="inlineStr">
        <is>
          <t>Bluestone Memorial Hospital</t>
        </is>
      </c>
      <c r="E2105" t="inlineStr">
        <is>
          <t>Emergency Department</t>
        </is>
      </c>
      <c r="F2105" t="inlineStr">
        <is>
          <t>Emergency</t>
        </is>
      </c>
      <c r="G2105" s="29" t="n">
        <v>45944</v>
      </c>
      <c r="H2105" s="29" t="n">
        <v>45944</v>
      </c>
      <c r="I2105" s="30" t="n"/>
      <c r="J2105" t="inlineStr">
        <is>
          <t>H66.90</t>
        </is>
      </c>
      <c r="K2105" t="inlineStr">
        <is>
          <t>Otitis media, unspecified, unspecified ear</t>
        </is>
      </c>
      <c r="L2105" t="inlineStr">
        <is>
          <t>Ear</t>
        </is>
      </c>
      <c r="M2105" t="inlineStr">
        <is>
          <t>Home/Self-Care</t>
        </is>
      </c>
      <c r="N2105" t="inlineStr">
        <is>
          <t>Keystone Health Partners</t>
        </is>
      </c>
      <c r="O2105" s="31" t="n">
        <v>1525.19</v>
      </c>
    </row>
    <row r="2106">
      <c r="A2106" t="inlineStr">
        <is>
          <t>ENC119278</t>
        </is>
      </c>
      <c r="B2106" t="inlineStr">
        <is>
          <t>PT10544</t>
        </is>
      </c>
      <c r="C2106" t="inlineStr">
        <is>
          <t>Emergency</t>
        </is>
      </c>
      <c r="D2106" t="inlineStr">
        <is>
          <t>Ashby Falls Community Hospital</t>
        </is>
      </c>
      <c r="E2106" t="inlineStr">
        <is>
          <t>Emergency Department</t>
        </is>
      </c>
      <c r="F2106" t="inlineStr">
        <is>
          <t>Emergency</t>
        </is>
      </c>
      <c r="G2106" s="29" t="n">
        <v>45944</v>
      </c>
      <c r="H2106" s="29" t="n">
        <v>45944</v>
      </c>
      <c r="I2106" s="30" t="n"/>
      <c r="J2106" t="inlineStr">
        <is>
          <t>N39.0</t>
        </is>
      </c>
      <c r="K2106" t="inlineStr">
        <is>
          <t>Urinary tract infection, site not specified</t>
        </is>
      </c>
      <c r="L2106" t="inlineStr">
        <is>
          <t>Genitourinary</t>
        </is>
      </c>
      <c r="M2106" t="inlineStr">
        <is>
          <t>Home/Self-Care</t>
        </is>
      </c>
      <c r="N2106" t="inlineStr">
        <is>
          <t>Self-Pay</t>
        </is>
      </c>
      <c r="O2106" s="31" t="n">
        <v>2911.9</v>
      </c>
    </row>
    <row r="2107">
      <c r="A2107" t="inlineStr">
        <is>
          <t>ENC119289</t>
        </is>
      </c>
      <c r="B2107" t="inlineStr">
        <is>
          <t>PT12272</t>
        </is>
      </c>
      <c r="C2107" t="inlineStr">
        <is>
          <t>Inpatient</t>
        </is>
      </c>
      <c r="D2107" t="inlineStr">
        <is>
          <t>Bluestone Memorial Hospital</t>
        </is>
      </c>
      <c r="E2107" t="inlineStr">
        <is>
          <t>Medical-Surgical 5 East</t>
        </is>
      </c>
      <c r="F2107" t="inlineStr">
        <is>
          <t>Medicine</t>
        </is>
      </c>
      <c r="G2107" s="29" t="n">
        <v>45944</v>
      </c>
      <c r="H2107" s="29" t="n">
        <v>45951</v>
      </c>
      <c r="I2107" s="30" t="n">
        <v>7</v>
      </c>
      <c r="J2107" t="inlineStr">
        <is>
          <t>A41.9</t>
        </is>
      </c>
      <c r="K2107" t="inlineStr">
        <is>
          <t>Sepsis, unspecified organism</t>
        </is>
      </c>
      <c r="L2107" t="inlineStr">
        <is>
          <t>Infectious</t>
        </is>
      </c>
      <c r="M2107" t="inlineStr">
        <is>
          <t>Home/Self-Care</t>
        </is>
      </c>
      <c r="N2107" t="inlineStr">
        <is>
          <t>Keystone Health Partners</t>
        </is>
      </c>
      <c r="O2107" s="31" t="n">
        <v>70827.64999999999</v>
      </c>
      <c r="P2107" t="inlineStr">
        <is>
          <t>Y</t>
        </is>
      </c>
    </row>
    <row r="2108">
      <c r="A2108" t="inlineStr">
        <is>
          <t>ENC119297</t>
        </is>
      </c>
      <c r="B2108" t="inlineStr">
        <is>
          <t>PT10984</t>
        </is>
      </c>
      <c r="C2108" t="inlineStr">
        <is>
          <t>Emergency</t>
        </is>
      </c>
      <c r="D2108" t="inlineStr">
        <is>
          <t>Bluestone Memorial Hospital</t>
        </is>
      </c>
      <c r="E2108" t="inlineStr">
        <is>
          <t>Emergency Department</t>
        </is>
      </c>
      <c r="F2108" t="inlineStr">
        <is>
          <t>Emergency</t>
        </is>
      </c>
      <c r="G2108" s="29" t="n">
        <v>45945</v>
      </c>
      <c r="H2108" s="29" t="n">
        <v>45945</v>
      </c>
      <c r="I2108" s="30" t="n"/>
      <c r="J2108" t="inlineStr">
        <is>
          <t>I10</t>
        </is>
      </c>
      <c r="K2108" t="inlineStr">
        <is>
          <t>Essential (primary) hypertension</t>
        </is>
      </c>
      <c r="L2108" t="inlineStr">
        <is>
          <t>Circulatory</t>
        </is>
      </c>
      <c r="M2108" t="inlineStr">
        <is>
          <t>Home/Self-Care</t>
        </is>
      </c>
      <c r="N2108" t="inlineStr">
        <is>
          <t>Silverline Medicare Advantage</t>
        </is>
      </c>
      <c r="O2108" s="31" t="n">
        <v>1198.71</v>
      </c>
    </row>
    <row r="2109">
      <c r="A2109" t="inlineStr">
        <is>
          <t>ENC119308</t>
        </is>
      </c>
      <c r="B2109" t="inlineStr">
        <is>
          <t>PT11496</t>
        </is>
      </c>
      <c r="C2109" t="inlineStr">
        <is>
          <t>Outpatient</t>
        </is>
      </c>
      <c r="D2109" t="inlineStr">
        <is>
          <t>Bluestone Outpatient Pavilion</t>
        </is>
      </c>
      <c r="E2109" t="inlineStr">
        <is>
          <t>Infusion &amp; Oncology Clinic</t>
        </is>
      </c>
      <c r="F2109" t="inlineStr">
        <is>
          <t>Oncology</t>
        </is>
      </c>
      <c r="G2109" s="29" t="n">
        <v>45945</v>
      </c>
      <c r="H2109" s="29" t="n">
        <v>45945</v>
      </c>
      <c r="I2109" s="30" t="n"/>
      <c r="J2109" t="inlineStr">
        <is>
          <t>Z51.11</t>
        </is>
      </c>
      <c r="K2109" t="inlineStr">
        <is>
          <t>Encounter for antineoplastic chemotherapy</t>
        </is>
      </c>
      <c r="L2109" t="inlineStr">
        <is>
          <t>Factors Influencing Health</t>
        </is>
      </c>
      <c r="M2109" t="inlineStr">
        <is>
          <t>Home/Self-Care</t>
        </is>
      </c>
      <c r="N2109" t="inlineStr">
        <is>
          <t>Medicare</t>
        </is>
      </c>
      <c r="O2109" s="31" t="n">
        <v>11923.79</v>
      </c>
    </row>
    <row r="2110">
      <c r="A2110" t="inlineStr">
        <is>
          <t>ENC119311</t>
        </is>
      </c>
      <c r="B2110" t="inlineStr">
        <is>
          <t>PT11156</t>
        </is>
      </c>
      <c r="C2110" t="inlineStr">
        <is>
          <t>Outpatient</t>
        </is>
      </c>
      <c r="D2110" t="inlineStr">
        <is>
          <t>Bluestone Outpatient Pavilion</t>
        </is>
      </c>
      <c r="E2110" t="inlineStr">
        <is>
          <t>Endocrinology &amp; Diabetes Clinic</t>
        </is>
      </c>
      <c r="F2110" t="inlineStr">
        <is>
          <t>Ambulatory</t>
        </is>
      </c>
      <c r="G2110" s="29" t="n">
        <v>45945</v>
      </c>
      <c r="H2110" s="29" t="n">
        <v>45945</v>
      </c>
      <c r="I2110" s="30" t="n"/>
      <c r="J2110" t="inlineStr">
        <is>
          <t>E11.9</t>
        </is>
      </c>
      <c r="K2110" t="inlineStr">
        <is>
          <t>Type 2 diabetes mellitus without complications</t>
        </is>
      </c>
      <c r="L2110" t="inlineStr">
        <is>
          <t>Endocrine</t>
        </is>
      </c>
      <c r="M2110" t="inlineStr">
        <is>
          <t>Home/Self-Care</t>
        </is>
      </c>
      <c r="N2110" t="inlineStr">
        <is>
          <t>Evergreen Mutual Insurance</t>
        </is>
      </c>
      <c r="O2110" s="31" t="n">
        <v>357.81</v>
      </c>
    </row>
    <row r="2111">
      <c r="A2111" t="inlineStr">
        <is>
          <t>ENC119312</t>
        </is>
      </c>
      <c r="B2111" t="inlineStr">
        <is>
          <t>PT10480</t>
        </is>
      </c>
      <c r="C2111" t="inlineStr">
        <is>
          <t>Outpatient</t>
        </is>
      </c>
      <c r="D2111" t="inlineStr">
        <is>
          <t>Bluestone Outpatient Pavilion</t>
        </is>
      </c>
      <c r="E2111" t="inlineStr">
        <is>
          <t>Pediatric Clinic</t>
        </is>
      </c>
      <c r="F2111" t="inlineStr">
        <is>
          <t>Women &amp; Children</t>
        </is>
      </c>
      <c r="G2111" s="29" t="n">
        <v>45945</v>
      </c>
      <c r="H2111" s="29" t="n">
        <v>45945</v>
      </c>
      <c r="I2111" s="30" t="n"/>
      <c r="J2111" t="inlineStr">
        <is>
          <t>H66.90</t>
        </is>
      </c>
      <c r="K2111" t="inlineStr">
        <is>
          <t>Otitis media, unspecified, unspecified ear</t>
        </is>
      </c>
      <c r="L2111" t="inlineStr">
        <is>
          <t>Ear</t>
        </is>
      </c>
      <c r="M2111" t="inlineStr">
        <is>
          <t>Home/Self-Care</t>
        </is>
      </c>
      <c r="N2111" t="inlineStr">
        <is>
          <t>State Medicaid</t>
        </is>
      </c>
      <c r="O2111" s="31" t="n">
        <v>377.33</v>
      </c>
    </row>
    <row r="2112">
      <c r="A2112" t="inlineStr">
        <is>
          <t>ENC119319</t>
        </is>
      </c>
      <c r="B2112" t="inlineStr">
        <is>
          <t>PT11904</t>
        </is>
      </c>
      <c r="C2112" t="inlineStr">
        <is>
          <t>Emergency</t>
        </is>
      </c>
      <c r="D2112" t="inlineStr">
        <is>
          <t>Bluestone Memorial Hospital</t>
        </is>
      </c>
      <c r="E2112" t="inlineStr">
        <is>
          <t>Emergency Department</t>
        </is>
      </c>
      <c r="F2112" t="inlineStr">
        <is>
          <t>Emergency</t>
        </is>
      </c>
      <c r="G2112" s="29" t="n">
        <v>45946</v>
      </c>
      <c r="H2112" s="29" t="n">
        <v>45946</v>
      </c>
      <c r="I2112" s="30" t="n"/>
      <c r="J2112" t="inlineStr">
        <is>
          <t>M54.50</t>
        </is>
      </c>
      <c r="K2112" t="inlineStr">
        <is>
          <t>Low back pain, unspecified</t>
        </is>
      </c>
      <c r="L2112" t="inlineStr">
        <is>
          <t>Musculoskeletal</t>
        </is>
      </c>
      <c r="M2112" t="inlineStr">
        <is>
          <t>Home/Self-Care</t>
        </is>
      </c>
      <c r="N2112" t="inlineStr">
        <is>
          <t>Evergreen Mutual Insurance</t>
        </is>
      </c>
      <c r="O2112" s="31" t="n">
        <v>3743.61</v>
      </c>
    </row>
    <row r="2113">
      <c r="A2113" t="inlineStr">
        <is>
          <t>ENC119322</t>
        </is>
      </c>
      <c r="B2113" t="inlineStr">
        <is>
          <t>PT12020</t>
        </is>
      </c>
      <c r="C2113" t="inlineStr">
        <is>
          <t>Emergency</t>
        </is>
      </c>
      <c r="D2113" t="inlineStr">
        <is>
          <t>Bluestone Memorial Hospital</t>
        </is>
      </c>
      <c r="E2113" t="inlineStr">
        <is>
          <t>Emergency Department</t>
        </is>
      </c>
      <c r="F2113" t="inlineStr">
        <is>
          <t>Emergency</t>
        </is>
      </c>
      <c r="G2113" s="29" t="n">
        <v>45946</v>
      </c>
      <c r="H2113" s="29" t="n">
        <v>45946</v>
      </c>
      <c r="I2113" s="30" t="n"/>
      <c r="J2113" t="inlineStr">
        <is>
          <t>J21.9</t>
        </is>
      </c>
      <c r="K2113" t="inlineStr">
        <is>
          <t>Acute bronchiolitis, unspecified</t>
        </is>
      </c>
      <c r="L2113" t="inlineStr">
        <is>
          <t>Respiratory</t>
        </is>
      </c>
      <c r="M2113" t="inlineStr">
        <is>
          <t>Home/Self-Care</t>
        </is>
      </c>
      <c r="N2113" t="inlineStr">
        <is>
          <t>State Medicaid</t>
        </is>
      </c>
      <c r="O2113" s="31" t="n">
        <v>10505.75</v>
      </c>
    </row>
    <row r="2114">
      <c r="A2114" t="inlineStr">
        <is>
          <t>ENC119323</t>
        </is>
      </c>
      <c r="B2114" t="inlineStr">
        <is>
          <t>PT11404</t>
        </is>
      </c>
      <c r="C2114" t="inlineStr">
        <is>
          <t>Outpatient</t>
        </is>
      </c>
      <c r="D2114" t="inlineStr">
        <is>
          <t>Bluestone Outpatient Pavilion</t>
        </is>
      </c>
      <c r="E2114" t="inlineStr">
        <is>
          <t>Primary Care Clinic</t>
        </is>
      </c>
      <c r="F2114" t="inlineStr">
        <is>
          <t>Ambulatory</t>
        </is>
      </c>
      <c r="G2114" s="29" t="n">
        <v>45946</v>
      </c>
      <c r="H2114" s="29" t="n">
        <v>45946</v>
      </c>
      <c r="I2114" s="30" t="n"/>
      <c r="J2114" t="inlineStr">
        <is>
          <t>I10</t>
        </is>
      </c>
      <c r="K2114" t="inlineStr">
        <is>
          <t>Essential (primary) hypertension</t>
        </is>
      </c>
      <c r="L2114" t="inlineStr">
        <is>
          <t>Circulatory</t>
        </is>
      </c>
      <c r="M2114" t="inlineStr">
        <is>
          <t>Home/Self-Care</t>
        </is>
      </c>
      <c r="N2114" t="inlineStr">
        <is>
          <t>Medicare</t>
        </is>
      </c>
      <c r="O2114" s="31" t="n">
        <v>297.83</v>
      </c>
    </row>
    <row r="2115">
      <c r="A2115" t="inlineStr">
        <is>
          <t>ENC119326</t>
        </is>
      </c>
      <c r="B2115" t="inlineStr">
        <is>
          <t>PT13120</t>
        </is>
      </c>
      <c r="C2115" t="inlineStr">
        <is>
          <t>Outpatient</t>
        </is>
      </c>
      <c r="D2115" t="inlineStr">
        <is>
          <t>Bluestone Outpatient Pavilion</t>
        </is>
      </c>
      <c r="E2115" t="inlineStr">
        <is>
          <t>Cardiology Clinic</t>
        </is>
      </c>
      <c r="F2115" t="inlineStr">
        <is>
          <t>Cardiovascular</t>
        </is>
      </c>
      <c r="G2115" s="29" t="n">
        <v>45946</v>
      </c>
      <c r="H2115" s="29" t="n">
        <v>45946</v>
      </c>
      <c r="I2115" s="30" t="n"/>
      <c r="J2115" t="inlineStr">
        <is>
          <t>I48.91</t>
        </is>
      </c>
      <c r="K2115" t="inlineStr">
        <is>
          <t>Unspecified atrial fibrillation</t>
        </is>
      </c>
      <c r="L2115" t="inlineStr">
        <is>
          <t>Circulatory</t>
        </is>
      </c>
      <c r="M2115" t="inlineStr">
        <is>
          <t>Home/Self-Care</t>
        </is>
      </c>
      <c r="N2115" t="inlineStr">
        <is>
          <t>Medicare</t>
        </is>
      </c>
      <c r="O2115" s="31" t="n">
        <v>237.74</v>
      </c>
    </row>
    <row r="2116">
      <c r="A2116" t="inlineStr">
        <is>
          <t>ENC119329</t>
        </is>
      </c>
      <c r="B2116" t="inlineStr">
        <is>
          <t>PT10420</t>
        </is>
      </c>
      <c r="C2116" t="inlineStr">
        <is>
          <t>Emergency</t>
        </is>
      </c>
      <c r="D2116" t="inlineStr">
        <is>
          <t>Bluestone Memorial Hospital</t>
        </is>
      </c>
      <c r="E2116" t="inlineStr">
        <is>
          <t>Emergency Department</t>
        </is>
      </c>
      <c r="F2116" t="inlineStr">
        <is>
          <t>Emergency</t>
        </is>
      </c>
      <c r="G2116" s="29" t="n">
        <v>45946</v>
      </c>
      <c r="H2116" s="29" t="n">
        <v>45946</v>
      </c>
      <c r="I2116" s="30" t="n"/>
      <c r="J2116" t="inlineStr">
        <is>
          <t>N39.0</t>
        </is>
      </c>
      <c r="K2116" t="inlineStr">
        <is>
          <t>Urinary tract infection, site not specified</t>
        </is>
      </c>
      <c r="L2116" t="inlineStr">
        <is>
          <t>Genitourinary</t>
        </is>
      </c>
      <c r="M2116" t="inlineStr">
        <is>
          <t>Home/Self-Care</t>
        </is>
      </c>
      <c r="N2116" t="inlineStr">
        <is>
          <t>Evergreen Mutual Insurance</t>
        </is>
      </c>
      <c r="O2116" s="31" t="n">
        <v>3268.17</v>
      </c>
    </row>
    <row r="2117">
      <c r="A2117" t="inlineStr">
        <is>
          <t>ENC119330</t>
        </is>
      </c>
      <c r="B2117" t="inlineStr">
        <is>
          <t>PT10252</t>
        </is>
      </c>
      <c r="C2117" t="inlineStr">
        <is>
          <t>Outpatient</t>
        </is>
      </c>
      <c r="D2117" t="inlineStr">
        <is>
          <t>Bluestone Outpatient Pavilion</t>
        </is>
      </c>
      <c r="E2117" t="inlineStr">
        <is>
          <t>Primary Care Clinic</t>
        </is>
      </c>
      <c r="F2117" t="inlineStr">
        <is>
          <t>Ambulatory</t>
        </is>
      </c>
      <c r="G2117" s="29" t="n">
        <v>45946</v>
      </c>
      <c r="H2117" s="29" t="n">
        <v>45946</v>
      </c>
      <c r="I2117" s="30" t="n"/>
      <c r="J2117" t="inlineStr">
        <is>
          <t>I10</t>
        </is>
      </c>
      <c r="K2117" t="inlineStr">
        <is>
          <t>Essential (primary) hypertension</t>
        </is>
      </c>
      <c r="L2117" t="inlineStr">
        <is>
          <t>Circulatory</t>
        </is>
      </c>
      <c r="M2117" t="inlineStr">
        <is>
          <t>Home/Self-Care</t>
        </is>
      </c>
      <c r="N2117" t="inlineStr">
        <is>
          <t>Evergreen Mutual Insurance</t>
        </is>
      </c>
      <c r="O2117" s="31" t="n">
        <v>367.95</v>
      </c>
    </row>
    <row r="2118">
      <c r="A2118" t="inlineStr">
        <is>
          <t>ENC119337</t>
        </is>
      </c>
      <c r="B2118" t="inlineStr">
        <is>
          <t>PT13832</t>
        </is>
      </c>
      <c r="C2118" t="inlineStr">
        <is>
          <t>Inpatient</t>
        </is>
      </c>
      <c r="D2118" t="inlineStr">
        <is>
          <t>Bluestone Memorial Hospital</t>
        </is>
      </c>
      <c r="E2118" t="inlineStr">
        <is>
          <t>Medical-Surgical 5 East</t>
        </is>
      </c>
      <c r="F2118" t="inlineStr">
        <is>
          <t>Medicine</t>
        </is>
      </c>
      <c r="G2118" s="29" t="n">
        <v>45946</v>
      </c>
      <c r="H2118" s="29" t="n">
        <v>45955</v>
      </c>
      <c r="I2118" s="30" t="n">
        <v>9</v>
      </c>
      <c r="J2118" t="inlineStr">
        <is>
          <t>N17.9</t>
        </is>
      </c>
      <c r="K2118" t="inlineStr">
        <is>
          <t>Acute kidney failure, unspecified</t>
        </is>
      </c>
      <c r="L2118" t="inlineStr">
        <is>
          <t>Genitourinary</t>
        </is>
      </c>
      <c r="M2118" t="inlineStr">
        <is>
          <t>Home/Self-Care</t>
        </is>
      </c>
      <c r="N2118" t="inlineStr">
        <is>
          <t>Medicare</t>
        </is>
      </c>
      <c r="O2118" s="31" t="n">
        <v>34455.09</v>
      </c>
      <c r="P2118" t="inlineStr">
        <is>
          <t>N</t>
        </is>
      </c>
    </row>
    <row r="2119">
      <c r="A2119" t="inlineStr">
        <is>
          <t>ENC119341</t>
        </is>
      </c>
      <c r="B2119" t="inlineStr">
        <is>
          <t>PT10240</t>
        </is>
      </c>
      <c r="C2119" t="inlineStr">
        <is>
          <t>Outpatient</t>
        </is>
      </c>
      <c r="D2119" t="inlineStr">
        <is>
          <t>Bluestone Outpatient Pavilion</t>
        </is>
      </c>
      <c r="E2119" t="inlineStr">
        <is>
          <t>Pediatric Clinic</t>
        </is>
      </c>
      <c r="F2119" t="inlineStr">
        <is>
          <t>Women &amp; Children</t>
        </is>
      </c>
      <c r="G2119" s="29" t="n">
        <v>45946</v>
      </c>
      <c r="H2119" s="29" t="n">
        <v>45946</v>
      </c>
      <c r="I2119" s="30" t="n"/>
      <c r="J2119" t="inlineStr">
        <is>
          <t>Z00.129</t>
        </is>
      </c>
      <c r="K2119" t="inlineStr">
        <is>
          <t>Encounter for routine child health examination without abnormal findings</t>
        </is>
      </c>
      <c r="L2119" t="inlineStr">
        <is>
          <t>Factors Influencing Health</t>
        </is>
      </c>
      <c r="M2119" t="inlineStr">
        <is>
          <t>Home/Self-Care</t>
        </is>
      </c>
      <c r="N2119" t="inlineStr">
        <is>
          <t>State Medicaid</t>
        </is>
      </c>
      <c r="O2119" s="31" t="n">
        <v>246.06</v>
      </c>
    </row>
    <row r="2120">
      <c r="A2120" t="inlineStr">
        <is>
          <t>ENC119348</t>
        </is>
      </c>
      <c r="B2120" t="inlineStr">
        <is>
          <t>PT13836</t>
        </is>
      </c>
      <c r="C2120" t="inlineStr">
        <is>
          <t>Emergency</t>
        </is>
      </c>
      <c r="D2120" t="inlineStr">
        <is>
          <t>Bluestone Memorial Hospital</t>
        </is>
      </c>
      <c r="E2120" t="inlineStr">
        <is>
          <t>Emergency Department</t>
        </is>
      </c>
      <c r="F2120" t="inlineStr">
        <is>
          <t>Emergency</t>
        </is>
      </c>
      <c r="G2120" s="29" t="n">
        <v>45946</v>
      </c>
      <c r="H2120" s="29" t="n">
        <v>45947</v>
      </c>
      <c r="I2120" s="30" t="n"/>
      <c r="J2120" t="inlineStr">
        <is>
          <t>M54.50</t>
        </is>
      </c>
      <c r="K2120" t="inlineStr">
        <is>
          <t>Low back pain, unspecified</t>
        </is>
      </c>
      <c r="L2120" t="inlineStr">
        <is>
          <t>Musculoskeletal</t>
        </is>
      </c>
      <c r="M2120" t="inlineStr">
        <is>
          <t>Home/Self-Care</t>
        </is>
      </c>
      <c r="N2120" t="inlineStr">
        <is>
          <t>Keystone Health Partners</t>
        </is>
      </c>
      <c r="O2120" s="31" t="n">
        <v>2129.76</v>
      </c>
    </row>
    <row r="2121">
      <c r="A2121" t="inlineStr">
        <is>
          <t>ENC119351</t>
        </is>
      </c>
      <c r="B2121" t="inlineStr">
        <is>
          <t>PT12460</t>
        </is>
      </c>
      <c r="C2121" t="inlineStr">
        <is>
          <t>Inpatient</t>
        </is>
      </c>
      <c r="D2121" t="inlineStr">
        <is>
          <t>Bluestone Memorial Hospital</t>
        </is>
      </c>
      <c r="E2121" t="inlineStr">
        <is>
          <t>Intensive Care Unit</t>
        </is>
      </c>
      <c r="F2121" t="inlineStr">
        <is>
          <t>Critical Care</t>
        </is>
      </c>
      <c r="G2121" s="29" t="n">
        <v>45947</v>
      </c>
      <c r="H2121" s="29" t="n">
        <v>45951</v>
      </c>
      <c r="I2121" s="30" t="n">
        <v>4</v>
      </c>
      <c r="J2121" t="inlineStr">
        <is>
          <t>A41.9</t>
        </is>
      </c>
      <c r="K2121" t="inlineStr">
        <is>
          <t>Sepsis, unspecified organism</t>
        </is>
      </c>
      <c r="L2121" t="inlineStr">
        <is>
          <t>Infectious</t>
        </is>
      </c>
      <c r="M2121" t="inlineStr">
        <is>
          <t>Skilled Nursing Facility</t>
        </is>
      </c>
      <c r="N2121" t="inlineStr">
        <is>
          <t>Keystone Health Partners</t>
        </is>
      </c>
      <c r="O2121" s="31" t="n">
        <v>39547.93</v>
      </c>
      <c r="P2121" t="inlineStr">
        <is>
          <t>N</t>
        </is>
      </c>
    </row>
    <row r="2122">
      <c r="A2122" t="inlineStr">
        <is>
          <t>ENC119353</t>
        </is>
      </c>
      <c r="B2122" t="inlineStr">
        <is>
          <t>PT12432</t>
        </is>
      </c>
      <c r="C2122" t="inlineStr">
        <is>
          <t>Emergency</t>
        </is>
      </c>
      <c r="D2122" t="inlineStr">
        <is>
          <t>Bluestone Memorial Hospital</t>
        </is>
      </c>
      <c r="E2122" t="inlineStr">
        <is>
          <t>Emergency Department</t>
        </is>
      </c>
      <c r="F2122" t="inlineStr">
        <is>
          <t>Emergency</t>
        </is>
      </c>
      <c r="G2122" s="29" t="n">
        <v>45947</v>
      </c>
      <c r="H2122" s="29" t="n">
        <v>45947</v>
      </c>
      <c r="I2122" s="30" t="n"/>
      <c r="J2122" t="inlineStr">
        <is>
          <t>F32.9</t>
        </is>
      </c>
      <c r="K2122" t="inlineStr">
        <is>
          <t>Major depressive disorder, single episode, unspecified</t>
        </is>
      </c>
      <c r="L2122" t="inlineStr">
        <is>
          <t>Mental &amp; Behavioral</t>
        </is>
      </c>
      <c r="M2122" t="inlineStr">
        <is>
          <t>Home/Self-Care</t>
        </is>
      </c>
      <c r="N2122" t="inlineStr">
        <is>
          <t>State Medicaid</t>
        </is>
      </c>
      <c r="O2122" s="31" t="n">
        <v>6109.68</v>
      </c>
    </row>
    <row r="2123">
      <c r="A2123" t="inlineStr">
        <is>
          <t>ENC119364</t>
        </is>
      </c>
      <c r="B2123" t="inlineStr">
        <is>
          <t>PT11568</t>
        </is>
      </c>
      <c r="C2123" t="inlineStr">
        <is>
          <t>Outpatient</t>
        </is>
      </c>
      <c r="D2123" t="inlineStr">
        <is>
          <t>Bluestone Outpatient Pavilion</t>
        </is>
      </c>
      <c r="E2123" t="inlineStr">
        <is>
          <t>Primary Care Clinic</t>
        </is>
      </c>
      <c r="F2123" t="inlineStr">
        <is>
          <t>Ambulatory</t>
        </is>
      </c>
      <c r="G2123" s="29" t="n">
        <v>45947</v>
      </c>
      <c r="H2123" s="29" t="n">
        <v>45947</v>
      </c>
      <c r="I2123" s="30" t="n"/>
      <c r="J2123" t="inlineStr">
        <is>
          <t>M54.50</t>
        </is>
      </c>
      <c r="K2123" t="inlineStr">
        <is>
          <t>Low back pain, unspecified</t>
        </is>
      </c>
      <c r="L2123" t="inlineStr">
        <is>
          <t>Musculoskeletal</t>
        </is>
      </c>
      <c r="M2123" t="inlineStr">
        <is>
          <t>Home/Self-Care</t>
        </is>
      </c>
      <c r="N2123" t="inlineStr">
        <is>
          <t>Self-Pay</t>
        </is>
      </c>
      <c r="O2123" s="31" t="n">
        <v>217.55</v>
      </c>
    </row>
    <row r="2124">
      <c r="A2124" t="inlineStr">
        <is>
          <t>ENC119366</t>
        </is>
      </c>
      <c r="B2124" t="inlineStr">
        <is>
          <t>PT13164</t>
        </is>
      </c>
      <c r="C2124" t="inlineStr">
        <is>
          <t>Outpatient</t>
        </is>
      </c>
      <c r="D2124" t="inlineStr">
        <is>
          <t>Bluestone Outpatient Pavilion</t>
        </is>
      </c>
      <c r="E2124" t="inlineStr">
        <is>
          <t>Primary Care Clinic</t>
        </is>
      </c>
      <c r="F2124" t="inlineStr">
        <is>
          <t>Ambulatory</t>
        </is>
      </c>
      <c r="G2124" s="29" t="n">
        <v>45947</v>
      </c>
      <c r="H2124" s="29" t="n">
        <v>45947</v>
      </c>
      <c r="I2124" s="30" t="n"/>
      <c r="J2124" t="inlineStr">
        <is>
          <t>Z00.00</t>
        </is>
      </c>
      <c r="K2124" t="inlineStr">
        <is>
          <t>Encounter for general adult medical examination without abnormal findings</t>
        </is>
      </c>
      <c r="L2124" t="inlineStr">
        <is>
          <t>Factors Influencing Health</t>
        </is>
      </c>
      <c r="M2124" t="inlineStr">
        <is>
          <t>Home/Self-Care</t>
        </is>
      </c>
      <c r="N2124" t="inlineStr">
        <is>
          <t>Evergreen Mutual Insurance</t>
        </is>
      </c>
      <c r="O2124" s="31" t="n">
        <v>313.45</v>
      </c>
    </row>
    <row r="2125">
      <c r="A2125" t="inlineStr">
        <is>
          <t>ENC119368</t>
        </is>
      </c>
      <c r="B2125" t="inlineStr">
        <is>
          <t>PT10900</t>
        </is>
      </c>
      <c r="C2125" t="inlineStr">
        <is>
          <t>Outpatient</t>
        </is>
      </c>
      <c r="D2125" t="inlineStr">
        <is>
          <t>Bluestone Outpatient Pavilion</t>
        </is>
      </c>
      <c r="E2125" t="inlineStr">
        <is>
          <t>Endocrinology &amp; Diabetes Clinic</t>
        </is>
      </c>
      <c r="F2125" t="inlineStr">
        <is>
          <t>Ambulatory</t>
        </is>
      </c>
      <c r="G2125" s="29" t="n">
        <v>45947</v>
      </c>
      <c r="H2125" s="29" t="n">
        <v>45947</v>
      </c>
      <c r="I2125" s="30" t="n"/>
      <c r="J2125" t="inlineStr">
        <is>
          <t>E11.9</t>
        </is>
      </c>
      <c r="K2125" t="inlineStr">
        <is>
          <t>Type 2 diabetes mellitus without complications</t>
        </is>
      </c>
      <c r="L2125" t="inlineStr">
        <is>
          <t>Endocrine</t>
        </is>
      </c>
      <c r="M2125" t="inlineStr">
        <is>
          <t>Home/Self-Care</t>
        </is>
      </c>
      <c r="N2125" t="inlineStr">
        <is>
          <t>Silverline Medicare Advantage</t>
        </is>
      </c>
      <c r="O2125" s="31" t="n">
        <v>313.49</v>
      </c>
    </row>
    <row r="2126">
      <c r="A2126" t="inlineStr">
        <is>
          <t>ENC119371</t>
        </is>
      </c>
      <c r="B2126" t="inlineStr">
        <is>
          <t>PT12244</t>
        </is>
      </c>
      <c r="C2126" t="inlineStr">
        <is>
          <t>Emergency</t>
        </is>
      </c>
      <c r="D2126" t="inlineStr">
        <is>
          <t>Bluestone Memorial Hospital</t>
        </is>
      </c>
      <c r="E2126" t="inlineStr">
        <is>
          <t>Emergency Department</t>
        </is>
      </c>
      <c r="F2126" t="inlineStr">
        <is>
          <t>Emergency</t>
        </is>
      </c>
      <c r="G2126" s="29" t="n">
        <v>45947</v>
      </c>
      <c r="H2126" s="29" t="n">
        <v>45947</v>
      </c>
      <c r="I2126" s="30" t="n"/>
      <c r="J2126" t="inlineStr">
        <is>
          <t>J18.9</t>
        </is>
      </c>
      <c r="K2126" t="inlineStr">
        <is>
          <t>Pneumonia, unspecified organism</t>
        </is>
      </c>
      <c r="L2126" t="inlineStr">
        <is>
          <t>Respiratory</t>
        </is>
      </c>
      <c r="M2126" t="inlineStr">
        <is>
          <t>Home/Self-Care</t>
        </is>
      </c>
      <c r="N2126" t="inlineStr">
        <is>
          <t>Silverline Medicare Advantage</t>
        </is>
      </c>
      <c r="O2126" s="31" t="n">
        <v>1595.28</v>
      </c>
    </row>
    <row r="2127">
      <c r="A2127" t="inlineStr">
        <is>
          <t>ENC119377</t>
        </is>
      </c>
      <c r="B2127" t="inlineStr">
        <is>
          <t>PT13072</t>
        </is>
      </c>
      <c r="C2127" t="inlineStr">
        <is>
          <t>Emergency</t>
        </is>
      </c>
      <c r="D2127" t="inlineStr">
        <is>
          <t>Ashby Falls Community Hospital</t>
        </is>
      </c>
      <c r="E2127" t="inlineStr">
        <is>
          <t>Emergency Department</t>
        </is>
      </c>
      <c r="F2127" t="inlineStr">
        <is>
          <t>Emergency</t>
        </is>
      </c>
      <c r="G2127" s="29" t="n">
        <v>45947</v>
      </c>
      <c r="H2127" s="29" t="n">
        <v>45947</v>
      </c>
      <c r="I2127" s="30" t="n"/>
      <c r="J2127" t="inlineStr">
        <is>
          <t>K80.20</t>
        </is>
      </c>
      <c r="K2127" t="inlineStr">
        <is>
          <t>Calculus of gallbladder without cholecystitis without obstruction</t>
        </is>
      </c>
      <c r="L2127" t="inlineStr">
        <is>
          <t>Digestive</t>
        </is>
      </c>
      <c r="M2127" t="inlineStr">
        <is>
          <t>Home/Self-Care</t>
        </is>
      </c>
      <c r="N2127" t="inlineStr">
        <is>
          <t>Silverline Medicare Advantage</t>
        </is>
      </c>
      <c r="O2127" s="31" t="n">
        <v>3243.04</v>
      </c>
    </row>
    <row r="2128">
      <c r="A2128" t="inlineStr">
        <is>
          <t>ENC119379</t>
        </is>
      </c>
      <c r="B2128" t="inlineStr">
        <is>
          <t>PT13324</t>
        </is>
      </c>
      <c r="C2128" t="inlineStr">
        <is>
          <t>Inpatient</t>
        </is>
      </c>
      <c r="D2128" t="inlineStr">
        <is>
          <t>Cedar Ridge Medical Center</t>
        </is>
      </c>
      <c r="E2128" t="inlineStr">
        <is>
          <t>Cardiac Step-Down</t>
        </is>
      </c>
      <c r="F2128" t="inlineStr">
        <is>
          <t>Cardiovascular</t>
        </is>
      </c>
      <c r="G2128" s="29" t="n">
        <v>45947</v>
      </c>
      <c r="H2128" s="29" t="n">
        <v>45951</v>
      </c>
      <c r="I2128" s="30" t="n">
        <v>4</v>
      </c>
      <c r="J2128" t="inlineStr">
        <is>
          <t>I48.91</t>
        </is>
      </c>
      <c r="K2128" t="inlineStr">
        <is>
          <t>Unspecified atrial fibrillation</t>
        </is>
      </c>
      <c r="L2128" t="inlineStr">
        <is>
          <t>Circulatory</t>
        </is>
      </c>
      <c r="M2128" t="inlineStr">
        <is>
          <t>Home/Self-Care</t>
        </is>
      </c>
      <c r="N2128" t="inlineStr">
        <is>
          <t>Evergreen Mutual Insurance</t>
        </is>
      </c>
      <c r="O2128" s="31" t="n">
        <v>23281.2</v>
      </c>
      <c r="P2128" t="inlineStr">
        <is>
          <t>N</t>
        </is>
      </c>
    </row>
    <row r="2129">
      <c r="A2129" t="inlineStr">
        <is>
          <t>ENC119387</t>
        </is>
      </c>
      <c r="B2129" t="inlineStr">
        <is>
          <t>PT11112</t>
        </is>
      </c>
      <c r="C2129" t="inlineStr">
        <is>
          <t>Emergency</t>
        </is>
      </c>
      <c r="D2129" t="inlineStr">
        <is>
          <t>Bluestone Memorial Hospital</t>
        </is>
      </c>
      <c r="E2129" t="inlineStr">
        <is>
          <t>Emergency Department</t>
        </is>
      </c>
      <c r="F2129" t="inlineStr">
        <is>
          <t>Emergency</t>
        </is>
      </c>
      <c r="G2129" s="29" t="n">
        <v>45947</v>
      </c>
      <c r="H2129" s="29" t="n">
        <v>45948</v>
      </c>
      <c r="I2129" s="30" t="n"/>
      <c r="J2129" t="inlineStr">
        <is>
          <t>F32.9</t>
        </is>
      </c>
      <c r="K2129" t="inlineStr">
        <is>
          <t>Major depressive disorder, single episode, unspecified</t>
        </is>
      </c>
      <c r="L2129" t="inlineStr">
        <is>
          <t>Mental &amp; Behavioral</t>
        </is>
      </c>
      <c r="M2129" t="inlineStr">
        <is>
          <t>Home/Self-Care</t>
        </is>
      </c>
      <c r="N2129" t="inlineStr">
        <is>
          <t>Summit Choice PPO</t>
        </is>
      </c>
      <c r="O2129" s="31" t="n">
        <v>4517.89</v>
      </c>
    </row>
    <row r="2130">
      <c r="A2130" t="inlineStr">
        <is>
          <t>ENC119399</t>
        </is>
      </c>
      <c r="B2130" t="inlineStr">
        <is>
          <t>PT10476</t>
        </is>
      </c>
      <c r="C2130" t="inlineStr">
        <is>
          <t>Observation</t>
        </is>
      </c>
      <c r="D2130" t="inlineStr">
        <is>
          <t>Cedar Ridge Medical Center</t>
        </is>
      </c>
      <c r="E2130" t="inlineStr">
        <is>
          <t>Medical-Surgical</t>
        </is>
      </c>
      <c r="F2130" t="inlineStr">
        <is>
          <t>Medicine</t>
        </is>
      </c>
      <c r="G2130" s="29" t="n">
        <v>45948</v>
      </c>
      <c r="H2130" s="29" t="n">
        <v>45949</v>
      </c>
      <c r="I2130" s="30" t="n">
        <v>1</v>
      </c>
      <c r="J2130" t="inlineStr">
        <is>
          <t>N39.0</t>
        </is>
      </c>
      <c r="K2130" t="inlineStr">
        <is>
          <t>Urinary tract infection, site not specified</t>
        </is>
      </c>
      <c r="L2130" t="inlineStr">
        <is>
          <t>Genitourinary</t>
        </is>
      </c>
      <c r="M2130" t="inlineStr">
        <is>
          <t>Home/Self-Care</t>
        </is>
      </c>
      <c r="N2130" t="inlineStr">
        <is>
          <t>State Medicaid</t>
        </is>
      </c>
      <c r="O2130" s="31" t="n">
        <v>9673.799999999999</v>
      </c>
    </row>
    <row r="2131">
      <c r="A2131" t="inlineStr">
        <is>
          <t>ENC119400</t>
        </is>
      </c>
      <c r="B2131" t="inlineStr">
        <is>
          <t>PT13400</t>
        </is>
      </c>
      <c r="C2131" t="inlineStr">
        <is>
          <t>Emergency</t>
        </is>
      </c>
      <c r="D2131" t="inlineStr">
        <is>
          <t>Bluestone Memorial Hospital</t>
        </is>
      </c>
      <c r="E2131" t="inlineStr">
        <is>
          <t>Emergency Department</t>
        </is>
      </c>
      <c r="F2131" t="inlineStr">
        <is>
          <t>Emergency</t>
        </is>
      </c>
      <c r="G2131" s="29" t="n">
        <v>45948</v>
      </c>
      <c r="H2131" s="29" t="n">
        <v>45949</v>
      </c>
      <c r="I2131" s="30" t="n"/>
      <c r="J2131" t="inlineStr">
        <is>
          <t>M54.50</t>
        </is>
      </c>
      <c r="K2131" t="inlineStr">
        <is>
          <t>Low back pain, unspecified</t>
        </is>
      </c>
      <c r="L2131" t="inlineStr">
        <is>
          <t>Musculoskeletal</t>
        </is>
      </c>
      <c r="M2131" t="inlineStr">
        <is>
          <t>Home/Self-Care</t>
        </is>
      </c>
      <c r="N2131" t="inlineStr">
        <is>
          <t>Keystone Health Partners</t>
        </is>
      </c>
      <c r="O2131" s="31" t="n">
        <v>1271.06</v>
      </c>
    </row>
    <row r="2132">
      <c r="A2132" t="inlineStr">
        <is>
          <t>ENC119403</t>
        </is>
      </c>
      <c r="B2132" t="inlineStr">
        <is>
          <t>PT10568</t>
        </is>
      </c>
      <c r="C2132" t="inlineStr">
        <is>
          <t>Observation</t>
        </is>
      </c>
      <c r="D2132" t="inlineStr">
        <is>
          <t>Ashby Falls Community Hospital</t>
        </is>
      </c>
      <c r="E2132" t="inlineStr">
        <is>
          <t>Medical-Surgical</t>
        </is>
      </c>
      <c r="F2132" t="inlineStr">
        <is>
          <t>Medicine</t>
        </is>
      </c>
      <c r="G2132" s="29" t="n">
        <v>45949</v>
      </c>
      <c r="H2132" s="29" t="n">
        <v>45950</v>
      </c>
      <c r="I2132" s="30" t="n">
        <v>1</v>
      </c>
      <c r="J2132" t="inlineStr">
        <is>
          <t>I21.4</t>
        </is>
      </c>
      <c r="K2132" t="inlineStr">
        <is>
          <t>Non-ST elevation (NSTEMI) myocardial infarction</t>
        </is>
      </c>
      <c r="L2132" t="inlineStr">
        <is>
          <t>Circulatory</t>
        </is>
      </c>
      <c r="M2132" t="inlineStr">
        <is>
          <t>Home/Self-Care</t>
        </is>
      </c>
      <c r="N2132" t="inlineStr">
        <is>
          <t>Silverline Medicare Advantage</t>
        </is>
      </c>
      <c r="O2132" s="31" t="n">
        <v>11575.38</v>
      </c>
    </row>
    <row r="2133">
      <c r="A2133" t="inlineStr">
        <is>
          <t>ENC119408</t>
        </is>
      </c>
      <c r="B2133" t="inlineStr">
        <is>
          <t>PT12980</t>
        </is>
      </c>
      <c r="C2133" t="inlineStr">
        <is>
          <t>Emergency</t>
        </is>
      </c>
      <c r="D2133" t="inlineStr">
        <is>
          <t>Ashby Falls Community Hospital</t>
        </is>
      </c>
      <c r="E2133" t="inlineStr">
        <is>
          <t>Emergency Department</t>
        </is>
      </c>
      <c r="F2133" t="inlineStr">
        <is>
          <t>Emergency</t>
        </is>
      </c>
      <c r="G2133" s="29" t="n">
        <v>45949</v>
      </c>
      <c r="H2133" s="29" t="n">
        <v>45949</v>
      </c>
      <c r="I2133" s="30" t="n"/>
      <c r="J2133" t="inlineStr">
        <is>
          <t>R55</t>
        </is>
      </c>
      <c r="K2133" t="inlineStr">
        <is>
          <t>Syncope and collapse</t>
        </is>
      </c>
      <c r="L2133" t="inlineStr">
        <is>
          <t>Symptoms &amp; Signs</t>
        </is>
      </c>
      <c r="M2133" t="inlineStr">
        <is>
          <t>Left Without Being Seen</t>
        </is>
      </c>
      <c r="N2133" t="inlineStr">
        <is>
          <t>Medicare</t>
        </is>
      </c>
      <c r="O2133" s="31" t="n">
        <v>1436.93</v>
      </c>
    </row>
    <row r="2134">
      <c r="A2134" t="inlineStr">
        <is>
          <t>ENC119421</t>
        </is>
      </c>
      <c r="B2134" t="inlineStr">
        <is>
          <t>PT13200</t>
        </is>
      </c>
      <c r="C2134" t="inlineStr">
        <is>
          <t>Inpatient</t>
        </is>
      </c>
      <c r="D2134" t="inlineStr">
        <is>
          <t>Bluestone Memorial Hospital</t>
        </is>
      </c>
      <c r="E2134" t="inlineStr">
        <is>
          <t>Medical-Surgical 5 East</t>
        </is>
      </c>
      <c r="F2134" t="inlineStr">
        <is>
          <t>Medicine</t>
        </is>
      </c>
      <c r="G2134" s="29" t="n">
        <v>45950</v>
      </c>
      <c r="H2134" s="29" t="n">
        <v>45954</v>
      </c>
      <c r="I2134" s="30" t="n">
        <v>4</v>
      </c>
      <c r="J2134" t="inlineStr">
        <is>
          <t>A41.9</t>
        </is>
      </c>
      <c r="K2134" t="inlineStr">
        <is>
          <t>Sepsis, unspecified organism</t>
        </is>
      </c>
      <c r="L2134" t="inlineStr">
        <is>
          <t>Infectious</t>
        </is>
      </c>
      <c r="M2134" t="inlineStr">
        <is>
          <t>Home/Self-Care</t>
        </is>
      </c>
      <c r="N2134" t="inlineStr">
        <is>
          <t>Self-Pay</t>
        </is>
      </c>
      <c r="O2134" s="31" t="n">
        <v>43737.93</v>
      </c>
      <c r="P2134" t="inlineStr">
        <is>
          <t>N</t>
        </is>
      </c>
    </row>
    <row r="2135">
      <c r="A2135" t="inlineStr">
        <is>
          <t>ENC119424</t>
        </is>
      </c>
      <c r="B2135" t="inlineStr">
        <is>
          <t>PT13092</t>
        </is>
      </c>
      <c r="C2135" t="inlineStr">
        <is>
          <t>Inpatient</t>
        </is>
      </c>
      <c r="D2135" t="inlineStr">
        <is>
          <t>Bluestone Memorial Hospital</t>
        </is>
      </c>
      <c r="E2135" t="inlineStr">
        <is>
          <t>Medical-Surgical 4 West</t>
        </is>
      </c>
      <c r="F2135" t="inlineStr">
        <is>
          <t>Medicine</t>
        </is>
      </c>
      <c r="G2135" s="29" t="n">
        <v>45950</v>
      </c>
      <c r="H2135" s="29" t="n">
        <v>45954</v>
      </c>
      <c r="I2135" s="30" t="n">
        <v>4</v>
      </c>
      <c r="J2135" t="inlineStr">
        <is>
          <t>N17.9</t>
        </is>
      </c>
      <c r="K2135" t="inlineStr">
        <is>
          <t>Acute kidney failure, unspecified</t>
        </is>
      </c>
      <c r="L2135" t="inlineStr">
        <is>
          <t>Genitourinary</t>
        </is>
      </c>
      <c r="M2135" t="inlineStr">
        <is>
          <t>Home/Self-Care</t>
        </is>
      </c>
      <c r="N2135" t="inlineStr">
        <is>
          <t>Silverline Medicare Advantage</t>
        </is>
      </c>
      <c r="O2135" s="31" t="n">
        <v>16898.93</v>
      </c>
      <c r="P2135" t="inlineStr">
        <is>
          <t>Y</t>
        </is>
      </c>
    </row>
    <row r="2136">
      <c r="A2136" t="inlineStr">
        <is>
          <t>ENC119427</t>
        </is>
      </c>
      <c r="B2136" t="inlineStr">
        <is>
          <t>PT10288</t>
        </is>
      </c>
      <c r="C2136" t="inlineStr">
        <is>
          <t>Outpatient</t>
        </is>
      </c>
      <c r="D2136" t="inlineStr">
        <is>
          <t>Bluestone Outpatient Pavilion</t>
        </is>
      </c>
      <c r="E2136" t="inlineStr">
        <is>
          <t>Primary Care Clinic</t>
        </is>
      </c>
      <c r="F2136" t="inlineStr">
        <is>
          <t>Ambulatory</t>
        </is>
      </c>
      <c r="G2136" s="29" t="n">
        <v>45950</v>
      </c>
      <c r="H2136" s="29" t="n">
        <v>45950</v>
      </c>
      <c r="I2136" s="30" t="n"/>
      <c r="J2136" t="inlineStr">
        <is>
          <t>Z00.00</t>
        </is>
      </c>
      <c r="K2136" t="inlineStr">
        <is>
          <t>Encounter for general adult medical examination without abnormal findings</t>
        </is>
      </c>
      <c r="L2136" t="inlineStr">
        <is>
          <t>Factors Influencing Health</t>
        </is>
      </c>
      <c r="M2136" t="inlineStr">
        <is>
          <t>Home/Self-Care</t>
        </is>
      </c>
      <c r="N2136" t="inlineStr">
        <is>
          <t>Medicare</t>
        </is>
      </c>
      <c r="O2136" s="31" t="n">
        <v>242.7</v>
      </c>
    </row>
    <row r="2137">
      <c r="A2137" t="inlineStr">
        <is>
          <t>ENC119432</t>
        </is>
      </c>
      <c r="B2137" t="inlineStr">
        <is>
          <t>PT12140</t>
        </is>
      </c>
      <c r="C2137" t="inlineStr">
        <is>
          <t>Outpatient</t>
        </is>
      </c>
      <c r="D2137" t="inlineStr">
        <is>
          <t>Bluestone Outpatient Pavilion</t>
        </is>
      </c>
      <c r="E2137" t="inlineStr">
        <is>
          <t>Infusion &amp; Oncology Clinic</t>
        </is>
      </c>
      <c r="F2137" t="inlineStr">
        <is>
          <t>Oncology</t>
        </is>
      </c>
      <c r="G2137" s="29" t="n">
        <v>45950</v>
      </c>
      <c r="H2137" s="29" t="n">
        <v>45950</v>
      </c>
      <c r="I2137" s="30" t="n"/>
      <c r="J2137" t="inlineStr">
        <is>
          <t>Z51.11</t>
        </is>
      </c>
      <c r="K2137" t="inlineStr">
        <is>
          <t>Encounter for antineoplastic chemotherapy</t>
        </is>
      </c>
      <c r="L2137" t="inlineStr">
        <is>
          <t>Factors Influencing Health</t>
        </is>
      </c>
      <c r="M2137" t="inlineStr">
        <is>
          <t>Home/Self-Care</t>
        </is>
      </c>
      <c r="N2137" t="inlineStr">
        <is>
          <t>Keystone Health Partners</t>
        </is>
      </c>
      <c r="O2137" s="31" t="n">
        <v>9628.030000000001</v>
      </c>
    </row>
    <row r="2138">
      <c r="A2138" t="inlineStr">
        <is>
          <t>ENC119433</t>
        </is>
      </c>
      <c r="B2138" t="inlineStr">
        <is>
          <t>PT12600</t>
        </is>
      </c>
      <c r="C2138" t="inlineStr">
        <is>
          <t>Inpatient</t>
        </is>
      </c>
      <c r="D2138" t="inlineStr">
        <is>
          <t>Bluestone Memorial Hospital</t>
        </is>
      </c>
      <c r="E2138" t="inlineStr">
        <is>
          <t>Medical-Surgical 5 East</t>
        </is>
      </c>
      <c r="F2138" t="inlineStr">
        <is>
          <t>Medicine</t>
        </is>
      </c>
      <c r="G2138" s="29" t="n">
        <v>45950</v>
      </c>
      <c r="H2138" s="29" t="n">
        <v>45953</v>
      </c>
      <c r="I2138" s="30" t="n">
        <v>3</v>
      </c>
      <c r="J2138" t="inlineStr">
        <is>
          <t>N17.9</t>
        </is>
      </c>
      <c r="K2138" t="inlineStr">
        <is>
          <t>Acute kidney failure, unspecified</t>
        </is>
      </c>
      <c r="L2138" t="inlineStr">
        <is>
          <t>Genitourinary</t>
        </is>
      </c>
      <c r="M2138" t="inlineStr">
        <is>
          <t>Home/Self-Care</t>
        </is>
      </c>
      <c r="N2138" t="inlineStr">
        <is>
          <t>Silverline Medicare Advantage</t>
        </is>
      </c>
      <c r="O2138" s="31" t="n">
        <v>12170</v>
      </c>
      <c r="P2138" t="inlineStr">
        <is>
          <t>N</t>
        </is>
      </c>
    </row>
    <row r="2139">
      <c r="A2139" t="inlineStr">
        <is>
          <t>ENC119437</t>
        </is>
      </c>
      <c r="B2139" t="inlineStr">
        <is>
          <t>PT13376</t>
        </is>
      </c>
      <c r="C2139" t="inlineStr">
        <is>
          <t>Outpatient</t>
        </is>
      </c>
      <c r="D2139" t="inlineStr">
        <is>
          <t>Bluestone Outpatient Pavilion</t>
        </is>
      </c>
      <c r="E2139" t="inlineStr">
        <is>
          <t>Primary Care Clinic</t>
        </is>
      </c>
      <c r="F2139" t="inlineStr">
        <is>
          <t>Ambulatory</t>
        </is>
      </c>
      <c r="G2139" s="29" t="n">
        <v>45950</v>
      </c>
      <c r="H2139" s="29" t="n">
        <v>45950</v>
      </c>
      <c r="I2139" s="30" t="n"/>
      <c r="J2139" t="inlineStr">
        <is>
          <t>L03.115</t>
        </is>
      </c>
      <c r="K2139" t="inlineStr">
        <is>
          <t>Cellulitis of right lower limb</t>
        </is>
      </c>
      <c r="L2139" t="inlineStr">
        <is>
          <t>Skin</t>
        </is>
      </c>
      <c r="M2139" t="inlineStr">
        <is>
          <t>Home/Self-Care</t>
        </is>
      </c>
      <c r="N2139" t="inlineStr">
        <is>
          <t>State Medicaid</t>
        </is>
      </c>
      <c r="O2139" s="31" t="n">
        <v>671.48</v>
      </c>
    </row>
    <row r="2140">
      <c r="A2140" t="inlineStr">
        <is>
          <t>ENC119438</t>
        </is>
      </c>
      <c r="B2140" t="inlineStr">
        <is>
          <t>PT10856</t>
        </is>
      </c>
      <c r="C2140" t="inlineStr">
        <is>
          <t>Outpatient</t>
        </is>
      </c>
      <c r="D2140" t="inlineStr">
        <is>
          <t>Bluestone Outpatient Pavilion</t>
        </is>
      </c>
      <c r="E2140" t="inlineStr">
        <is>
          <t>Orthopedic Clinic</t>
        </is>
      </c>
      <c r="F2140" t="inlineStr">
        <is>
          <t>Orthopedics</t>
        </is>
      </c>
      <c r="G2140" s="29" t="n">
        <v>45950</v>
      </c>
      <c r="H2140" s="29" t="n">
        <v>45950</v>
      </c>
      <c r="I2140" s="30" t="n"/>
      <c r="J2140" t="inlineStr">
        <is>
          <t>M17.11</t>
        </is>
      </c>
      <c r="K2140" t="inlineStr">
        <is>
          <t>Unilateral primary osteoarthritis, right knee</t>
        </is>
      </c>
      <c r="L2140" t="inlineStr">
        <is>
          <t>Musculoskeletal</t>
        </is>
      </c>
      <c r="M2140" t="inlineStr">
        <is>
          <t>Home/Self-Care</t>
        </is>
      </c>
      <c r="N2140" t="inlineStr">
        <is>
          <t>Medicare</t>
        </is>
      </c>
      <c r="O2140" s="31" t="n">
        <v>201.02</v>
      </c>
    </row>
    <row r="2141">
      <c r="A2141" t="inlineStr">
        <is>
          <t>ENC119442</t>
        </is>
      </c>
      <c r="B2141" t="inlineStr">
        <is>
          <t>PT11260</t>
        </is>
      </c>
      <c r="C2141" t="inlineStr">
        <is>
          <t>Outpatient</t>
        </is>
      </c>
      <c r="D2141" t="inlineStr">
        <is>
          <t>Bluestone Outpatient Pavilion</t>
        </is>
      </c>
      <c r="E2141" t="inlineStr">
        <is>
          <t>Primary Care Clinic</t>
        </is>
      </c>
      <c r="F2141" t="inlineStr">
        <is>
          <t>Ambulatory</t>
        </is>
      </c>
      <c r="G2141" s="29" t="n">
        <v>45950</v>
      </c>
      <c r="H2141" s="29" t="n">
        <v>45950</v>
      </c>
      <c r="I2141" s="30" t="n"/>
      <c r="J2141" t="inlineStr">
        <is>
          <t>J06.9</t>
        </is>
      </c>
      <c r="K2141" t="inlineStr">
        <is>
          <t>Acute upper respiratory infection, unspecified</t>
        </is>
      </c>
      <c r="L2141" t="inlineStr">
        <is>
          <t>Respiratory</t>
        </is>
      </c>
      <c r="M2141" t="inlineStr">
        <is>
          <t>Home/Self-Care</t>
        </is>
      </c>
      <c r="N2141" t="inlineStr">
        <is>
          <t>State Medicaid</t>
        </is>
      </c>
      <c r="O2141" s="31" t="n">
        <v>392.82</v>
      </c>
    </row>
    <row r="2142">
      <c r="A2142" t="inlineStr">
        <is>
          <t>ENC119447</t>
        </is>
      </c>
      <c r="B2142" t="inlineStr">
        <is>
          <t>PT11632</t>
        </is>
      </c>
      <c r="C2142" t="inlineStr">
        <is>
          <t>Observation</t>
        </is>
      </c>
      <c r="D2142" t="inlineStr">
        <is>
          <t>Bluestone Memorial Hospital</t>
        </is>
      </c>
      <c r="E2142" t="inlineStr">
        <is>
          <t>Observation Unit</t>
        </is>
      </c>
      <c r="F2142" t="inlineStr">
        <is>
          <t>Medicine</t>
        </is>
      </c>
      <c r="G2142" s="29" t="n">
        <v>45950</v>
      </c>
      <c r="H2142" s="29" t="n">
        <v>45951</v>
      </c>
      <c r="I2142" s="30" t="n">
        <v>1</v>
      </c>
      <c r="J2142" t="inlineStr">
        <is>
          <t>F41.9</t>
        </is>
      </c>
      <c r="K2142" t="inlineStr">
        <is>
          <t>Anxiety disorder, unspecified</t>
        </is>
      </c>
      <c r="L2142" t="inlineStr">
        <is>
          <t>Mental &amp; Behavioral</t>
        </is>
      </c>
      <c r="M2142" t="inlineStr">
        <is>
          <t>Home/Self-Care</t>
        </is>
      </c>
      <c r="N2142" t="inlineStr">
        <is>
          <t>State Medicaid</t>
        </is>
      </c>
      <c r="O2142" s="31" t="n">
        <v>6273.59</v>
      </c>
    </row>
    <row r="2143">
      <c r="A2143" t="inlineStr">
        <is>
          <t>ENC119448</t>
        </is>
      </c>
      <c r="B2143" t="inlineStr">
        <is>
          <t>PT12816</t>
        </is>
      </c>
      <c r="C2143" t="inlineStr">
        <is>
          <t>Emergency</t>
        </is>
      </c>
      <c r="D2143" t="inlineStr">
        <is>
          <t>Bluestone Memorial Hospital</t>
        </is>
      </c>
      <c r="E2143" t="inlineStr">
        <is>
          <t>Emergency Department</t>
        </is>
      </c>
      <c r="F2143" t="inlineStr">
        <is>
          <t>Emergency</t>
        </is>
      </c>
      <c r="G2143" s="29" t="n">
        <v>45950</v>
      </c>
      <c r="H2143" s="29" t="n">
        <v>45950</v>
      </c>
      <c r="I2143" s="30" t="n"/>
      <c r="J2143" t="inlineStr">
        <is>
          <t>K80.20</t>
        </is>
      </c>
      <c r="K2143" t="inlineStr">
        <is>
          <t>Calculus of gallbladder without cholecystitis without obstruction</t>
        </is>
      </c>
      <c r="L2143" t="inlineStr">
        <is>
          <t>Digestive</t>
        </is>
      </c>
      <c r="M2143" t="inlineStr">
        <is>
          <t>Home/Self-Care</t>
        </is>
      </c>
      <c r="N2143" t="inlineStr">
        <is>
          <t>State Medicaid</t>
        </is>
      </c>
      <c r="O2143" s="31" t="n">
        <v>1363.92</v>
      </c>
    </row>
    <row r="2144">
      <c r="A2144" t="inlineStr">
        <is>
          <t>ENC119450</t>
        </is>
      </c>
      <c r="B2144" t="inlineStr">
        <is>
          <t>PT13932</t>
        </is>
      </c>
      <c r="C2144" t="inlineStr">
        <is>
          <t>Emergency</t>
        </is>
      </c>
      <c r="D2144" t="inlineStr">
        <is>
          <t>Cedar Ridge Medical Center</t>
        </is>
      </c>
      <c r="E2144" t="inlineStr">
        <is>
          <t>Emergency Department</t>
        </is>
      </c>
      <c r="F2144" t="inlineStr">
        <is>
          <t>Emergency</t>
        </is>
      </c>
      <c r="G2144" s="29" t="n">
        <v>45950</v>
      </c>
      <c r="H2144" s="29" t="n">
        <v>45951</v>
      </c>
      <c r="I2144" s="30" t="n"/>
      <c r="J2144" t="inlineStr">
        <is>
          <t>J06.9</t>
        </is>
      </c>
      <c r="K2144" t="inlineStr">
        <is>
          <t>Acute upper respiratory infection, unspecified</t>
        </is>
      </c>
      <c r="L2144" t="inlineStr">
        <is>
          <t>Respiratory</t>
        </is>
      </c>
      <c r="M2144" t="inlineStr">
        <is>
          <t>Home/Self-Care</t>
        </is>
      </c>
      <c r="N2144" t="inlineStr">
        <is>
          <t>State Medicaid</t>
        </is>
      </c>
      <c r="O2144" s="31" t="n">
        <v>734.55</v>
      </c>
    </row>
    <row r="2145">
      <c r="A2145" t="inlineStr">
        <is>
          <t>ENC119452</t>
        </is>
      </c>
      <c r="B2145" t="inlineStr">
        <is>
          <t>PT12096</t>
        </is>
      </c>
      <c r="C2145" t="inlineStr">
        <is>
          <t>Emergency</t>
        </is>
      </c>
      <c r="D2145" t="inlineStr">
        <is>
          <t>Bluestone Memorial Hospital</t>
        </is>
      </c>
      <c r="E2145" t="inlineStr">
        <is>
          <t>Emergency Department</t>
        </is>
      </c>
      <c r="F2145" t="inlineStr">
        <is>
          <t>Emergency</t>
        </is>
      </c>
      <c r="G2145" s="29" t="n">
        <v>45951</v>
      </c>
      <c r="H2145" s="29" t="n">
        <v>45951</v>
      </c>
      <c r="I2145" s="30" t="n"/>
      <c r="J2145" t="inlineStr">
        <is>
          <t>G40.909</t>
        </is>
      </c>
      <c r="K2145" t="inlineStr">
        <is>
          <t>Epilepsy, unspecified, not intractable, without status epilepticus</t>
        </is>
      </c>
      <c r="L2145" t="inlineStr">
        <is>
          <t>Nervous System</t>
        </is>
      </c>
      <c r="M2145" t="inlineStr">
        <is>
          <t>Home/Self-Care</t>
        </is>
      </c>
      <c r="N2145" t="inlineStr">
        <is>
          <t>Keystone Health Partners</t>
        </is>
      </c>
      <c r="O2145" s="31" t="n">
        <v>3933.55</v>
      </c>
    </row>
    <row r="2146">
      <c r="A2146" t="inlineStr">
        <is>
          <t>ENC119454</t>
        </is>
      </c>
      <c r="B2146" t="inlineStr">
        <is>
          <t>PT12864</t>
        </is>
      </c>
      <c r="C2146" t="inlineStr">
        <is>
          <t>Outpatient</t>
        </is>
      </c>
      <c r="D2146" t="inlineStr">
        <is>
          <t>Bluestone Outpatient Pavilion</t>
        </is>
      </c>
      <c r="E2146" t="inlineStr">
        <is>
          <t>Endocrinology &amp; Diabetes Clinic</t>
        </is>
      </c>
      <c r="F2146" t="inlineStr">
        <is>
          <t>Ambulatory</t>
        </is>
      </c>
      <c r="G2146" s="29" t="n">
        <v>45951</v>
      </c>
      <c r="H2146" s="29" t="n">
        <v>45951</v>
      </c>
      <c r="I2146" s="30" t="n"/>
      <c r="J2146" t="inlineStr">
        <is>
          <t>E11.65</t>
        </is>
      </c>
      <c r="K2146" t="inlineStr">
        <is>
          <t>Type 2 diabetes mellitus with hyperglycemia</t>
        </is>
      </c>
      <c r="L2146" t="inlineStr">
        <is>
          <t>Endocrine</t>
        </is>
      </c>
      <c r="M2146" t="inlineStr">
        <is>
          <t>Home/Self-Care</t>
        </is>
      </c>
      <c r="N2146" t="inlineStr">
        <is>
          <t>Silverline Medicare Advantage</t>
        </is>
      </c>
      <c r="O2146" s="31" t="n">
        <v>199.19</v>
      </c>
    </row>
    <row r="2147">
      <c r="A2147" t="inlineStr">
        <is>
          <t>ENC119460</t>
        </is>
      </c>
      <c r="B2147" t="inlineStr">
        <is>
          <t>PT12112</t>
        </is>
      </c>
      <c r="C2147" t="inlineStr">
        <is>
          <t>Outpatient</t>
        </is>
      </c>
      <c r="D2147" t="inlineStr">
        <is>
          <t>Bluestone Outpatient Pavilion</t>
        </is>
      </c>
      <c r="E2147" t="inlineStr">
        <is>
          <t>Primary Care Clinic</t>
        </is>
      </c>
      <c r="F2147" t="inlineStr">
        <is>
          <t>Ambulatory</t>
        </is>
      </c>
      <c r="G2147" s="29" t="n">
        <v>45951</v>
      </c>
      <c r="H2147" s="29" t="n">
        <v>45951</v>
      </c>
      <c r="I2147" s="30" t="n"/>
      <c r="J2147" t="inlineStr">
        <is>
          <t>Z00.00</t>
        </is>
      </c>
      <c r="K2147" t="inlineStr">
        <is>
          <t>Encounter for general adult medical examination without abnormal findings</t>
        </is>
      </c>
      <c r="L2147" t="inlineStr">
        <is>
          <t>Factors Influencing Health</t>
        </is>
      </c>
      <c r="M2147" t="inlineStr">
        <is>
          <t>Home/Self-Care</t>
        </is>
      </c>
      <c r="N2147" t="inlineStr">
        <is>
          <t>Silverline Medicare Advantage</t>
        </is>
      </c>
      <c r="O2147" s="31" t="n">
        <v>473.32</v>
      </c>
    </row>
    <row r="2148">
      <c r="A2148" t="inlineStr">
        <is>
          <t>ENC119467</t>
        </is>
      </c>
      <c r="B2148" t="inlineStr">
        <is>
          <t>PT11628</t>
        </is>
      </c>
      <c r="C2148" t="inlineStr">
        <is>
          <t>Inpatient</t>
        </is>
      </c>
      <c r="D2148" t="inlineStr">
        <is>
          <t>Bluestone Memorial Hospital</t>
        </is>
      </c>
      <c r="E2148" t="inlineStr">
        <is>
          <t>Cardiac Step-Down</t>
        </is>
      </c>
      <c r="F2148" t="inlineStr">
        <is>
          <t>Cardiovascular</t>
        </is>
      </c>
      <c r="G2148" s="29" t="n">
        <v>45951</v>
      </c>
      <c r="H2148" s="29" t="n">
        <v>45960</v>
      </c>
      <c r="I2148" s="30" t="n">
        <v>9</v>
      </c>
      <c r="J2148" t="inlineStr">
        <is>
          <t>I50.9</t>
        </is>
      </c>
      <c r="K2148" t="inlineStr">
        <is>
          <t>Heart failure, unspecified</t>
        </is>
      </c>
      <c r="L2148" t="inlineStr">
        <is>
          <t>Circulatory</t>
        </is>
      </c>
      <c r="M2148" t="inlineStr">
        <is>
          <t>Home/Self-Care</t>
        </is>
      </c>
      <c r="N2148" t="inlineStr">
        <is>
          <t>Silverline Medicare Advantage</t>
        </is>
      </c>
      <c r="O2148" s="31" t="n">
        <v>75980.69</v>
      </c>
      <c r="P2148" t="inlineStr">
        <is>
          <t>N</t>
        </is>
      </c>
    </row>
    <row r="2149">
      <c r="A2149" t="inlineStr">
        <is>
          <t>ENC119468</t>
        </is>
      </c>
      <c r="B2149" t="inlineStr">
        <is>
          <t>PT12176</t>
        </is>
      </c>
      <c r="C2149" t="inlineStr">
        <is>
          <t>Outpatient</t>
        </is>
      </c>
      <c r="D2149" t="inlineStr">
        <is>
          <t>Bluestone Outpatient Pavilion</t>
        </is>
      </c>
      <c r="E2149" t="inlineStr">
        <is>
          <t>Infusion &amp; Oncology Clinic</t>
        </is>
      </c>
      <c r="F2149" t="inlineStr">
        <is>
          <t>Oncology</t>
        </is>
      </c>
      <c r="G2149" s="29" t="n">
        <v>45951</v>
      </c>
      <c r="H2149" s="29" t="n">
        <v>45951</v>
      </c>
      <c r="I2149" s="30" t="n"/>
      <c r="J2149" t="inlineStr">
        <is>
          <t>C34.90</t>
        </is>
      </c>
      <c r="K2149" t="inlineStr">
        <is>
          <t>Malignant neoplasm of unspecified part of unspecified bronchus or lung</t>
        </is>
      </c>
      <c r="L2149" t="inlineStr">
        <is>
          <t>Neoplasms</t>
        </is>
      </c>
      <c r="M2149" t="inlineStr">
        <is>
          <t>Home/Self-Care</t>
        </is>
      </c>
      <c r="N2149" t="inlineStr">
        <is>
          <t>Silverline Medicare Advantage</t>
        </is>
      </c>
      <c r="O2149" s="31" t="n">
        <v>1221.93</v>
      </c>
    </row>
    <row r="2150">
      <c r="A2150" t="inlineStr">
        <is>
          <t>ENC119471</t>
        </is>
      </c>
      <c r="B2150" t="inlineStr">
        <is>
          <t>PT12864</t>
        </is>
      </c>
      <c r="C2150" t="inlineStr">
        <is>
          <t>Outpatient</t>
        </is>
      </c>
      <c r="D2150" t="inlineStr">
        <is>
          <t>Bluestone Outpatient Pavilion</t>
        </is>
      </c>
      <c r="E2150" t="inlineStr">
        <is>
          <t>Infusion &amp; Oncology Clinic</t>
        </is>
      </c>
      <c r="F2150" t="inlineStr">
        <is>
          <t>Oncology</t>
        </is>
      </c>
      <c r="G2150" s="29" t="n">
        <v>45951</v>
      </c>
      <c r="H2150" s="29" t="n">
        <v>45951</v>
      </c>
      <c r="I2150" s="30" t="n"/>
      <c r="J2150" t="inlineStr">
        <is>
          <t>C50.911</t>
        </is>
      </c>
      <c r="K2150" t="inlineStr">
        <is>
          <t>Malignant neoplasm of unspecified site of right female breast</t>
        </is>
      </c>
      <c r="L2150" t="inlineStr">
        <is>
          <t>Neoplasms</t>
        </is>
      </c>
      <c r="M2150" t="inlineStr">
        <is>
          <t>Home/Self-Care</t>
        </is>
      </c>
      <c r="N2150" t="inlineStr">
        <is>
          <t>Silverline Medicare Advantage</t>
        </is>
      </c>
      <c r="O2150" s="31" t="n">
        <v>664.9400000000001</v>
      </c>
    </row>
    <row r="2151">
      <c r="A2151" t="inlineStr">
        <is>
          <t>ENC119473</t>
        </is>
      </c>
      <c r="B2151" t="inlineStr">
        <is>
          <t>PT12968</t>
        </is>
      </c>
      <c r="C2151" t="inlineStr">
        <is>
          <t>Outpatient</t>
        </is>
      </c>
      <c r="D2151" t="inlineStr">
        <is>
          <t>Bluestone Outpatient Pavilion</t>
        </is>
      </c>
      <c r="E2151" t="inlineStr">
        <is>
          <t>Infusion &amp; Oncology Clinic</t>
        </is>
      </c>
      <c r="F2151" t="inlineStr">
        <is>
          <t>Oncology</t>
        </is>
      </c>
      <c r="G2151" s="29" t="n">
        <v>45951</v>
      </c>
      <c r="H2151" s="29" t="n">
        <v>45951</v>
      </c>
      <c r="I2151" s="30" t="n"/>
      <c r="J2151" t="inlineStr">
        <is>
          <t>Z51.11</t>
        </is>
      </c>
      <c r="K2151" t="inlineStr">
        <is>
          <t>Encounter for antineoplastic chemotherapy</t>
        </is>
      </c>
      <c r="L2151" t="inlineStr">
        <is>
          <t>Factors Influencing Health</t>
        </is>
      </c>
      <c r="M2151" t="inlineStr">
        <is>
          <t>Home/Self-Care</t>
        </is>
      </c>
      <c r="N2151" t="inlineStr">
        <is>
          <t>Silverline Medicare Advantage</t>
        </is>
      </c>
      <c r="O2151" s="31" t="n">
        <v>17397.59</v>
      </c>
    </row>
    <row r="2152">
      <c r="A2152" t="inlineStr">
        <is>
          <t>ENC119474</t>
        </is>
      </c>
      <c r="B2152" t="inlineStr">
        <is>
          <t>PT12576</t>
        </is>
      </c>
      <c r="C2152" t="inlineStr">
        <is>
          <t>Emergency</t>
        </is>
      </c>
      <c r="D2152" t="inlineStr">
        <is>
          <t>Bluestone Memorial Hospital</t>
        </is>
      </c>
      <c r="E2152" t="inlineStr">
        <is>
          <t>Emergency Department</t>
        </is>
      </c>
      <c r="F2152" t="inlineStr">
        <is>
          <t>Emergency</t>
        </is>
      </c>
      <c r="G2152" s="29" t="n">
        <v>45951</v>
      </c>
      <c r="H2152" s="29" t="n">
        <v>45951</v>
      </c>
      <c r="I2152" s="30" t="n"/>
      <c r="J2152" t="inlineStr">
        <is>
          <t>R55</t>
        </is>
      </c>
      <c r="K2152" t="inlineStr">
        <is>
          <t>Syncope and collapse</t>
        </is>
      </c>
      <c r="L2152" t="inlineStr">
        <is>
          <t>Symptoms &amp; Signs</t>
        </is>
      </c>
      <c r="M2152" t="inlineStr">
        <is>
          <t>Home/Self-Care</t>
        </is>
      </c>
      <c r="N2152" t="inlineStr">
        <is>
          <t>Medicare</t>
        </is>
      </c>
      <c r="O2152" s="31" t="n">
        <v>3411.93</v>
      </c>
    </row>
    <row r="2153">
      <c r="A2153" t="inlineStr">
        <is>
          <t>ENC119477</t>
        </is>
      </c>
      <c r="B2153" t="inlineStr">
        <is>
          <t>PT13664</t>
        </is>
      </c>
      <c r="C2153" t="inlineStr">
        <is>
          <t>Inpatient</t>
        </is>
      </c>
      <c r="D2153" t="inlineStr">
        <is>
          <t>Bluestone Memorial Hospital</t>
        </is>
      </c>
      <c r="E2153" t="inlineStr">
        <is>
          <t>Medical-Surgical 4 West</t>
        </is>
      </c>
      <c r="F2153" t="inlineStr">
        <is>
          <t>Medicine</t>
        </is>
      </c>
      <c r="G2153" s="29" t="n">
        <v>45951</v>
      </c>
      <c r="H2153" s="29" t="n">
        <v>45953</v>
      </c>
      <c r="I2153" s="30" t="n">
        <v>2</v>
      </c>
      <c r="J2153" t="inlineStr">
        <is>
          <t>E11.65</t>
        </is>
      </c>
      <c r="K2153" t="inlineStr">
        <is>
          <t>Type 2 diabetes mellitus with hyperglycemia</t>
        </is>
      </c>
      <c r="L2153" t="inlineStr">
        <is>
          <t>Endocrine</t>
        </is>
      </c>
      <c r="M2153" t="inlineStr">
        <is>
          <t>Home/Self-Care</t>
        </is>
      </c>
      <c r="N2153" t="inlineStr">
        <is>
          <t>Silverline Medicare Advantage</t>
        </is>
      </c>
      <c r="O2153" s="31" t="n">
        <v>11202.23</v>
      </c>
      <c r="P2153" t="inlineStr">
        <is>
          <t>N</t>
        </is>
      </c>
    </row>
    <row r="2154">
      <c r="A2154" t="inlineStr">
        <is>
          <t>ENC119480</t>
        </is>
      </c>
      <c r="B2154" t="inlineStr">
        <is>
          <t>PT12552</t>
        </is>
      </c>
      <c r="C2154" t="inlineStr">
        <is>
          <t>Inpatient</t>
        </is>
      </c>
      <c r="D2154" t="inlineStr">
        <is>
          <t>Bluestone Memorial Hospital</t>
        </is>
      </c>
      <c r="E2154" t="inlineStr">
        <is>
          <t>Intensive Care Unit</t>
        </is>
      </c>
      <c r="F2154" t="inlineStr">
        <is>
          <t>Critical Care</t>
        </is>
      </c>
      <c r="G2154" s="29" t="n">
        <v>45952</v>
      </c>
      <c r="H2154" s="29" t="n">
        <v>45959</v>
      </c>
      <c r="I2154" s="30" t="n">
        <v>7</v>
      </c>
      <c r="J2154" t="inlineStr">
        <is>
          <t>J96.01</t>
        </is>
      </c>
      <c r="K2154" t="inlineStr">
        <is>
          <t>Acute respiratory failure with hypoxia</t>
        </is>
      </c>
      <c r="L2154" t="inlineStr">
        <is>
          <t>Respiratory</t>
        </is>
      </c>
      <c r="M2154" t="inlineStr">
        <is>
          <t>Home/Self-Care</t>
        </is>
      </c>
      <c r="N2154" t="inlineStr">
        <is>
          <t>Summit Choice PPO</t>
        </is>
      </c>
      <c r="O2154" s="31" t="n">
        <v>60667.62</v>
      </c>
      <c r="P2154" t="inlineStr">
        <is>
          <t>N</t>
        </is>
      </c>
    </row>
    <row r="2155">
      <c r="A2155" t="inlineStr">
        <is>
          <t>ENC119483</t>
        </is>
      </c>
      <c r="B2155" t="inlineStr">
        <is>
          <t>PT10496</t>
        </is>
      </c>
      <c r="C2155" t="inlineStr">
        <is>
          <t>Emergency</t>
        </is>
      </c>
      <c r="D2155" t="inlineStr">
        <is>
          <t>Bluestone Memorial Hospital</t>
        </is>
      </c>
      <c r="E2155" t="inlineStr">
        <is>
          <t>Emergency Department</t>
        </is>
      </c>
      <c r="F2155" t="inlineStr">
        <is>
          <t>Emergency</t>
        </is>
      </c>
      <c r="G2155" s="29" t="n">
        <v>45952</v>
      </c>
      <c r="H2155" s="29" t="n">
        <v>45952</v>
      </c>
      <c r="I2155" s="30" t="n"/>
      <c r="J2155" t="inlineStr">
        <is>
          <t>R10.9</t>
        </is>
      </c>
      <c r="K2155" t="inlineStr">
        <is>
          <t>Unspecified abdominal pain</t>
        </is>
      </c>
      <c r="L2155" t="inlineStr">
        <is>
          <t>Symptoms &amp; Signs</t>
        </is>
      </c>
      <c r="M2155" t="inlineStr">
        <is>
          <t>Home/Self-Care</t>
        </is>
      </c>
      <c r="N2155" t="inlineStr">
        <is>
          <t>Silverline Medicare Advantage</t>
        </is>
      </c>
      <c r="O2155" s="31" t="n">
        <v>4166.6</v>
      </c>
    </row>
    <row r="2156">
      <c r="A2156" t="inlineStr">
        <is>
          <t>ENC119484</t>
        </is>
      </c>
      <c r="B2156" t="inlineStr">
        <is>
          <t>PT10116</t>
        </is>
      </c>
      <c r="C2156" t="inlineStr">
        <is>
          <t>Outpatient</t>
        </is>
      </c>
      <c r="D2156" t="inlineStr">
        <is>
          <t>Bluestone Outpatient Pavilion</t>
        </is>
      </c>
      <c r="E2156" t="inlineStr">
        <is>
          <t>Primary Care Clinic</t>
        </is>
      </c>
      <c r="F2156" t="inlineStr">
        <is>
          <t>Ambulatory</t>
        </is>
      </c>
      <c r="G2156" s="29" t="n">
        <v>45952</v>
      </c>
      <c r="H2156" s="29" t="n">
        <v>45952</v>
      </c>
      <c r="I2156" s="30" t="n"/>
      <c r="J2156" t="inlineStr">
        <is>
          <t>I10</t>
        </is>
      </c>
      <c r="K2156" t="inlineStr">
        <is>
          <t>Essential (primary) hypertension</t>
        </is>
      </c>
      <c r="L2156" t="inlineStr">
        <is>
          <t>Circulatory</t>
        </is>
      </c>
      <c r="M2156" t="inlineStr">
        <is>
          <t>Home/Self-Care</t>
        </is>
      </c>
      <c r="N2156" t="inlineStr">
        <is>
          <t>Silverline Medicare Advantage</t>
        </is>
      </c>
      <c r="O2156" s="31" t="n">
        <v>429.44</v>
      </c>
    </row>
    <row r="2157">
      <c r="A2157" t="inlineStr">
        <is>
          <t>ENC119488</t>
        </is>
      </c>
      <c r="B2157" t="inlineStr">
        <is>
          <t>PT11892</t>
        </is>
      </c>
      <c r="C2157" t="inlineStr">
        <is>
          <t>Inpatient</t>
        </is>
      </c>
      <c r="D2157" t="inlineStr">
        <is>
          <t>Bluestone Memorial Hospital</t>
        </is>
      </c>
      <c r="E2157" t="inlineStr">
        <is>
          <t>Medical-Surgical 4 West</t>
        </is>
      </c>
      <c r="F2157" t="inlineStr">
        <is>
          <t>Medicine</t>
        </is>
      </c>
      <c r="G2157" s="29" t="n">
        <v>45952</v>
      </c>
      <c r="H2157" s="29" t="n">
        <v>45959</v>
      </c>
      <c r="I2157" s="30" t="n">
        <v>7</v>
      </c>
      <c r="J2157" t="inlineStr">
        <is>
          <t>A41.9</t>
        </is>
      </c>
      <c r="K2157" t="inlineStr">
        <is>
          <t>Sepsis, unspecified organism</t>
        </is>
      </c>
      <c r="L2157" t="inlineStr">
        <is>
          <t>Infectious</t>
        </is>
      </c>
      <c r="M2157" t="inlineStr">
        <is>
          <t>Home/Self-Care</t>
        </is>
      </c>
      <c r="N2157" t="inlineStr">
        <is>
          <t>State Medicaid</t>
        </is>
      </c>
      <c r="O2157" s="31" t="n">
        <v>78093.03999999999</v>
      </c>
      <c r="P2157" t="inlineStr">
        <is>
          <t>N</t>
        </is>
      </c>
    </row>
    <row r="2158">
      <c r="A2158" t="inlineStr">
        <is>
          <t>ENC119489</t>
        </is>
      </c>
      <c r="B2158" t="inlineStr">
        <is>
          <t>PT11448</t>
        </is>
      </c>
      <c r="C2158" t="inlineStr">
        <is>
          <t>Emergency</t>
        </is>
      </c>
      <c r="D2158" t="inlineStr">
        <is>
          <t>Bluestone Memorial Hospital</t>
        </is>
      </c>
      <c r="E2158" t="inlineStr">
        <is>
          <t>Emergency Department</t>
        </is>
      </c>
      <c r="F2158" t="inlineStr">
        <is>
          <t>Emergency</t>
        </is>
      </c>
      <c r="G2158" s="29" t="n">
        <v>45952</v>
      </c>
      <c r="H2158" s="29" t="n">
        <v>45952</v>
      </c>
      <c r="I2158" s="30" t="n"/>
      <c r="J2158" t="inlineStr">
        <is>
          <t>F32.9</t>
        </is>
      </c>
      <c r="K2158" t="inlineStr">
        <is>
          <t>Major depressive disorder, single episode, unspecified</t>
        </is>
      </c>
      <c r="L2158" t="inlineStr">
        <is>
          <t>Mental &amp; Behavioral</t>
        </is>
      </c>
      <c r="M2158" t="inlineStr">
        <is>
          <t>Home/Self-Care</t>
        </is>
      </c>
      <c r="N2158" t="inlineStr">
        <is>
          <t>Medicare</t>
        </is>
      </c>
      <c r="O2158" s="31" t="n">
        <v>6424.44</v>
      </c>
    </row>
    <row r="2159">
      <c r="A2159" t="inlineStr">
        <is>
          <t>ENC119502</t>
        </is>
      </c>
      <c r="B2159" t="inlineStr">
        <is>
          <t>PT10132</t>
        </is>
      </c>
      <c r="C2159" t="inlineStr">
        <is>
          <t>Inpatient</t>
        </is>
      </c>
      <c r="D2159" t="inlineStr">
        <is>
          <t>Bluestone Memorial Hospital</t>
        </is>
      </c>
      <c r="E2159" t="inlineStr">
        <is>
          <t>Medical-Surgical 5 East</t>
        </is>
      </c>
      <c r="F2159" t="inlineStr">
        <is>
          <t>Medicine</t>
        </is>
      </c>
      <c r="G2159" s="29" t="n">
        <v>45952</v>
      </c>
      <c r="H2159" s="29" t="n">
        <v>45954</v>
      </c>
      <c r="I2159" s="30" t="n">
        <v>2</v>
      </c>
      <c r="J2159" t="inlineStr">
        <is>
          <t>E11.65</t>
        </is>
      </c>
      <c r="K2159" t="inlineStr">
        <is>
          <t>Type 2 diabetes mellitus with hyperglycemia</t>
        </is>
      </c>
      <c r="L2159" t="inlineStr">
        <is>
          <t>Endocrine</t>
        </is>
      </c>
      <c r="M2159" t="inlineStr">
        <is>
          <t>Home/Self-Care</t>
        </is>
      </c>
      <c r="N2159" t="inlineStr">
        <is>
          <t>Medicare</t>
        </is>
      </c>
      <c r="O2159" s="31" t="n">
        <v>13185.11</v>
      </c>
      <c r="P2159" t="inlineStr">
        <is>
          <t>Y</t>
        </is>
      </c>
    </row>
    <row r="2160">
      <c r="A2160" t="inlineStr">
        <is>
          <t>ENC119503</t>
        </is>
      </c>
      <c r="B2160" t="inlineStr">
        <is>
          <t>PT12016</t>
        </is>
      </c>
      <c r="C2160" t="inlineStr">
        <is>
          <t>Outpatient</t>
        </is>
      </c>
      <c r="D2160" t="inlineStr">
        <is>
          <t>Bluestone Outpatient Pavilion</t>
        </is>
      </c>
      <c r="E2160" t="inlineStr">
        <is>
          <t>Primary Care Clinic</t>
        </is>
      </c>
      <c r="F2160" t="inlineStr">
        <is>
          <t>Ambulatory</t>
        </is>
      </c>
      <c r="G2160" s="29" t="n">
        <v>45952</v>
      </c>
      <c r="H2160" s="29" t="n">
        <v>45952</v>
      </c>
      <c r="I2160" s="30" t="n"/>
      <c r="J2160" t="inlineStr">
        <is>
          <t>M54.50</t>
        </is>
      </c>
      <c r="K2160" t="inlineStr">
        <is>
          <t>Low back pain, unspecified</t>
        </is>
      </c>
      <c r="L2160" t="inlineStr">
        <is>
          <t>Musculoskeletal</t>
        </is>
      </c>
      <c r="M2160" t="inlineStr">
        <is>
          <t>Home/Self-Care</t>
        </is>
      </c>
      <c r="N2160" t="inlineStr">
        <is>
          <t>State Medicaid</t>
        </is>
      </c>
      <c r="O2160" s="31" t="n">
        <v>378.33</v>
      </c>
    </row>
    <row r="2161">
      <c r="A2161" t="inlineStr">
        <is>
          <t>ENC119506</t>
        </is>
      </c>
      <c r="B2161" t="inlineStr">
        <is>
          <t>PT11712</t>
        </is>
      </c>
      <c r="C2161" t="inlineStr">
        <is>
          <t>Emergency</t>
        </is>
      </c>
      <c r="D2161" t="inlineStr">
        <is>
          <t>Bluestone Memorial Hospital</t>
        </is>
      </c>
      <c r="E2161" t="inlineStr">
        <is>
          <t>Emergency Department</t>
        </is>
      </c>
      <c r="F2161" t="inlineStr">
        <is>
          <t>Emergency</t>
        </is>
      </c>
      <c r="G2161" s="29" t="n">
        <v>45952</v>
      </c>
      <c r="H2161" s="29" t="n">
        <v>45952</v>
      </c>
      <c r="I2161" s="30" t="n"/>
      <c r="J2161" t="inlineStr">
        <is>
          <t>F32.9</t>
        </is>
      </c>
      <c r="K2161" t="inlineStr">
        <is>
          <t>Major depressive disorder, single episode, unspecified</t>
        </is>
      </c>
      <c r="L2161" t="inlineStr">
        <is>
          <t>Mental &amp; Behavioral</t>
        </is>
      </c>
      <c r="M2161" t="inlineStr">
        <is>
          <t>Home/Self-Care</t>
        </is>
      </c>
      <c r="N2161" t="inlineStr">
        <is>
          <t>Medicare</t>
        </is>
      </c>
      <c r="O2161" s="31" t="n">
        <v>3234.42</v>
      </c>
    </row>
    <row r="2162">
      <c r="A2162" t="inlineStr">
        <is>
          <t>ENC119513</t>
        </is>
      </c>
      <c r="B2162" t="inlineStr">
        <is>
          <t>PT11076</t>
        </is>
      </c>
      <c r="C2162" t="inlineStr">
        <is>
          <t>Emergency</t>
        </is>
      </c>
      <c r="D2162" t="inlineStr">
        <is>
          <t>Bluestone Memorial Hospital</t>
        </is>
      </c>
      <c r="E2162" t="inlineStr">
        <is>
          <t>Emergency Department</t>
        </is>
      </c>
      <c r="F2162" t="inlineStr">
        <is>
          <t>Emergency</t>
        </is>
      </c>
      <c r="G2162" s="29" t="n">
        <v>45952</v>
      </c>
      <c r="H2162" s="29" t="n">
        <v>45952</v>
      </c>
      <c r="I2162" s="30" t="n"/>
      <c r="J2162" t="inlineStr">
        <is>
          <t>J06.9</t>
        </is>
      </c>
      <c r="K2162" t="inlineStr">
        <is>
          <t>Acute upper respiratory infection, unspecified</t>
        </is>
      </c>
      <c r="L2162" t="inlineStr">
        <is>
          <t>Respiratory</t>
        </is>
      </c>
      <c r="M2162" t="inlineStr">
        <is>
          <t>Home/Self-Care</t>
        </is>
      </c>
      <c r="N2162" t="inlineStr">
        <is>
          <t>Summit Choice PPO</t>
        </is>
      </c>
      <c r="O2162" s="31" t="n">
        <v>2096.74</v>
      </c>
    </row>
    <row r="2163">
      <c r="A2163" t="inlineStr">
        <is>
          <t>ENC119516</t>
        </is>
      </c>
      <c r="B2163" t="inlineStr">
        <is>
          <t>PT13516</t>
        </is>
      </c>
      <c r="C2163" t="inlineStr">
        <is>
          <t>Inpatient</t>
        </is>
      </c>
      <c r="D2163" t="inlineStr">
        <is>
          <t>Cedar Ridge Medical Center</t>
        </is>
      </c>
      <c r="E2163" t="inlineStr">
        <is>
          <t>Medical-Surgical</t>
        </is>
      </c>
      <c r="F2163" t="inlineStr">
        <is>
          <t>Medicine</t>
        </is>
      </c>
      <c r="G2163" s="29" t="n">
        <v>45953</v>
      </c>
      <c r="H2163" s="29" t="n">
        <v>45955</v>
      </c>
      <c r="I2163" s="30" t="n">
        <v>2</v>
      </c>
      <c r="J2163" t="inlineStr">
        <is>
          <t>K56.609</t>
        </is>
      </c>
      <c r="K2163" t="inlineStr">
        <is>
          <t>Unspecified intestinal obstruction</t>
        </is>
      </c>
      <c r="L2163" t="inlineStr">
        <is>
          <t>Digestive</t>
        </is>
      </c>
      <c r="M2163" t="inlineStr">
        <is>
          <t>Home/Self-Care</t>
        </is>
      </c>
      <c r="N2163" t="inlineStr">
        <is>
          <t>Medicare</t>
        </is>
      </c>
      <c r="O2163" s="31" t="n">
        <v>12721.05</v>
      </c>
      <c r="P2163" t="inlineStr">
        <is>
          <t>N</t>
        </is>
      </c>
    </row>
    <row r="2164">
      <c r="A2164" t="inlineStr">
        <is>
          <t>ENC119520</t>
        </is>
      </c>
      <c r="B2164" t="inlineStr">
        <is>
          <t>PT10932</t>
        </is>
      </c>
      <c r="C2164" t="inlineStr">
        <is>
          <t>Outpatient</t>
        </is>
      </c>
      <c r="D2164" t="inlineStr">
        <is>
          <t>Bluestone Outpatient Pavilion</t>
        </is>
      </c>
      <c r="E2164" t="inlineStr">
        <is>
          <t>Infusion &amp; Oncology Clinic</t>
        </is>
      </c>
      <c r="F2164" t="inlineStr">
        <is>
          <t>Oncology</t>
        </is>
      </c>
      <c r="G2164" s="29" t="n">
        <v>45953</v>
      </c>
      <c r="H2164" s="29" t="n">
        <v>45953</v>
      </c>
      <c r="I2164" s="30" t="n"/>
      <c r="J2164" t="inlineStr">
        <is>
          <t>Z51.11</t>
        </is>
      </c>
      <c r="K2164" t="inlineStr">
        <is>
          <t>Encounter for antineoplastic chemotherapy</t>
        </is>
      </c>
      <c r="L2164" t="inlineStr">
        <is>
          <t>Factors Influencing Health</t>
        </is>
      </c>
      <c r="M2164" t="inlineStr">
        <is>
          <t>Home/Self-Care</t>
        </is>
      </c>
      <c r="N2164" t="inlineStr">
        <is>
          <t>Evergreen Mutual Insurance</t>
        </is>
      </c>
      <c r="O2164" s="31" t="n">
        <v>9016.870000000001</v>
      </c>
    </row>
    <row r="2165">
      <c r="A2165" t="inlineStr">
        <is>
          <t>ENC119525</t>
        </is>
      </c>
      <c r="B2165" t="inlineStr">
        <is>
          <t>PT13360</t>
        </is>
      </c>
      <c r="C2165" t="inlineStr">
        <is>
          <t>Emergency</t>
        </is>
      </c>
      <c r="D2165" t="inlineStr">
        <is>
          <t>Bluestone Memorial Hospital</t>
        </is>
      </c>
      <c r="E2165" t="inlineStr">
        <is>
          <t>Emergency Department</t>
        </is>
      </c>
      <c r="F2165" t="inlineStr">
        <is>
          <t>Emergency</t>
        </is>
      </c>
      <c r="G2165" s="29" t="n">
        <v>45953</v>
      </c>
      <c r="H2165" s="29" t="n">
        <v>45953</v>
      </c>
      <c r="I2165" s="30" t="n"/>
      <c r="J2165" t="inlineStr">
        <is>
          <t>R07.9</t>
        </is>
      </c>
      <c r="K2165" t="inlineStr">
        <is>
          <t>Chest pain, unspecified</t>
        </is>
      </c>
      <c r="L2165" t="inlineStr">
        <is>
          <t>Symptoms &amp; Signs</t>
        </is>
      </c>
      <c r="M2165" t="inlineStr">
        <is>
          <t>Home/Self-Care</t>
        </is>
      </c>
      <c r="N2165" t="inlineStr">
        <is>
          <t>Keystone Health Partners</t>
        </is>
      </c>
      <c r="O2165" s="31" t="n">
        <v>1647.67</v>
      </c>
    </row>
    <row r="2166">
      <c r="A2166" t="inlineStr">
        <is>
          <t>ENC119528</t>
        </is>
      </c>
      <c r="B2166" t="inlineStr">
        <is>
          <t>PT11732</t>
        </is>
      </c>
      <c r="C2166" t="inlineStr">
        <is>
          <t>Outpatient</t>
        </is>
      </c>
      <c r="D2166" t="inlineStr">
        <is>
          <t>Bluestone Outpatient Pavilion</t>
        </is>
      </c>
      <c r="E2166" t="inlineStr">
        <is>
          <t>Pediatric Clinic</t>
        </is>
      </c>
      <c r="F2166" t="inlineStr">
        <is>
          <t>Women &amp; Children</t>
        </is>
      </c>
      <c r="G2166" s="29" t="n">
        <v>45953</v>
      </c>
      <c r="H2166" s="29" t="n">
        <v>45953</v>
      </c>
      <c r="I2166" s="30" t="n"/>
      <c r="J2166" t="inlineStr">
        <is>
          <t>Z00.129</t>
        </is>
      </c>
      <c r="K2166" t="inlineStr">
        <is>
          <t>Encounter for routine child health examination without abnormal findings</t>
        </is>
      </c>
      <c r="L2166" t="inlineStr">
        <is>
          <t>Factors Influencing Health</t>
        </is>
      </c>
      <c r="M2166" t="inlineStr">
        <is>
          <t>Home/Self-Care</t>
        </is>
      </c>
      <c r="N2166" t="inlineStr">
        <is>
          <t>State Medicaid</t>
        </is>
      </c>
      <c r="O2166" s="31" t="n">
        <v>365.17</v>
      </c>
    </row>
    <row r="2167">
      <c r="A2167" t="inlineStr">
        <is>
          <t>ENC119529</t>
        </is>
      </c>
      <c r="B2167" t="inlineStr">
        <is>
          <t>PT10600</t>
        </is>
      </c>
      <c r="C2167" t="inlineStr">
        <is>
          <t>Emergency</t>
        </is>
      </c>
      <c r="D2167" t="inlineStr">
        <is>
          <t>Bluestone Memorial Hospital</t>
        </is>
      </c>
      <c r="E2167" t="inlineStr">
        <is>
          <t>Emergency Department</t>
        </is>
      </c>
      <c r="F2167" t="inlineStr">
        <is>
          <t>Emergency</t>
        </is>
      </c>
      <c r="G2167" s="29" t="n">
        <v>45953</v>
      </c>
      <c r="H2167" s="29" t="n">
        <v>45953</v>
      </c>
      <c r="I2167" s="30" t="n"/>
      <c r="J2167" t="inlineStr">
        <is>
          <t>G43.909</t>
        </is>
      </c>
      <c r="K2167" t="inlineStr">
        <is>
          <t>Migraine, unspecified, not intractable, without status migrainosus</t>
        </is>
      </c>
      <c r="L2167" t="inlineStr">
        <is>
          <t>Nervous System</t>
        </is>
      </c>
      <c r="M2167" t="inlineStr">
        <is>
          <t>Home/Self-Care</t>
        </is>
      </c>
      <c r="N2167" t="inlineStr">
        <is>
          <t>Summit Choice PPO</t>
        </is>
      </c>
      <c r="O2167" s="31" t="n">
        <v>5127.59</v>
      </c>
    </row>
    <row r="2168">
      <c r="A2168" t="inlineStr">
        <is>
          <t>ENC119530</t>
        </is>
      </c>
      <c r="B2168" t="inlineStr">
        <is>
          <t>PT13908</t>
        </is>
      </c>
      <c r="C2168" t="inlineStr">
        <is>
          <t>Emergency</t>
        </is>
      </c>
      <c r="D2168" t="inlineStr">
        <is>
          <t>Bluestone Memorial Hospital</t>
        </is>
      </c>
      <c r="E2168" t="inlineStr">
        <is>
          <t>Emergency Department</t>
        </is>
      </c>
      <c r="F2168" t="inlineStr">
        <is>
          <t>Emergency</t>
        </is>
      </c>
      <c r="G2168" s="29" t="n">
        <v>45953</v>
      </c>
      <c r="H2168" s="29" t="n">
        <v>45953</v>
      </c>
      <c r="I2168" s="30" t="n"/>
      <c r="J2168" t="inlineStr">
        <is>
          <t>M54.50</t>
        </is>
      </c>
      <c r="K2168" t="inlineStr">
        <is>
          <t>Low back pain, unspecified</t>
        </is>
      </c>
      <c r="L2168" t="inlineStr">
        <is>
          <t>Musculoskeletal</t>
        </is>
      </c>
      <c r="M2168" t="inlineStr">
        <is>
          <t>Home/Self-Care</t>
        </is>
      </c>
      <c r="N2168" t="inlineStr">
        <is>
          <t>Summit Choice PPO</t>
        </is>
      </c>
      <c r="O2168" s="31" t="n">
        <v>808.33</v>
      </c>
    </row>
    <row r="2169">
      <c r="A2169" t="inlineStr">
        <is>
          <t>ENC119533</t>
        </is>
      </c>
      <c r="B2169" t="inlineStr">
        <is>
          <t>PT12360</t>
        </is>
      </c>
      <c r="C2169" t="inlineStr">
        <is>
          <t>Outpatient</t>
        </is>
      </c>
      <c r="D2169" t="inlineStr">
        <is>
          <t>Bluestone Outpatient Pavilion</t>
        </is>
      </c>
      <c r="E2169" t="inlineStr">
        <is>
          <t>Primary Care Clinic</t>
        </is>
      </c>
      <c r="F2169" t="inlineStr">
        <is>
          <t>Ambulatory</t>
        </is>
      </c>
      <c r="G2169" s="29" t="n">
        <v>45953</v>
      </c>
      <c r="H2169" s="29" t="n">
        <v>45953</v>
      </c>
      <c r="I2169" s="30" t="n"/>
      <c r="J2169" t="inlineStr">
        <is>
          <t>J06.9</t>
        </is>
      </c>
      <c r="K2169" t="inlineStr">
        <is>
          <t>Acute upper respiratory infection, unspecified</t>
        </is>
      </c>
      <c r="L2169" t="inlineStr">
        <is>
          <t>Respiratory</t>
        </is>
      </c>
      <c r="M2169" t="inlineStr">
        <is>
          <t>Home/Self-Care</t>
        </is>
      </c>
      <c r="N2169" t="inlineStr">
        <is>
          <t>Evergreen Mutual Insurance</t>
        </is>
      </c>
      <c r="O2169" s="31" t="n">
        <v>247.86</v>
      </c>
    </row>
    <row r="2170">
      <c r="A2170" t="inlineStr">
        <is>
          <t>ENC119534</t>
        </is>
      </c>
      <c r="B2170" t="inlineStr">
        <is>
          <t>PT12864</t>
        </is>
      </c>
      <c r="C2170" t="inlineStr">
        <is>
          <t>Outpatient</t>
        </is>
      </c>
      <c r="D2170" t="inlineStr">
        <is>
          <t>Bluestone Outpatient Pavilion</t>
        </is>
      </c>
      <c r="E2170" t="inlineStr">
        <is>
          <t>Cardiology Clinic</t>
        </is>
      </c>
      <c r="F2170" t="inlineStr">
        <is>
          <t>Cardiovascular</t>
        </is>
      </c>
      <c r="G2170" s="29" t="n">
        <v>45953</v>
      </c>
      <c r="H2170" s="29" t="n">
        <v>45953</v>
      </c>
      <c r="I2170" s="30" t="n"/>
      <c r="J2170" t="inlineStr">
        <is>
          <t>I48.91</t>
        </is>
      </c>
      <c r="K2170" t="inlineStr">
        <is>
          <t>Unspecified atrial fibrillation</t>
        </is>
      </c>
      <c r="L2170" t="inlineStr">
        <is>
          <t>Circulatory</t>
        </is>
      </c>
      <c r="M2170" t="inlineStr">
        <is>
          <t>Home/Self-Care</t>
        </is>
      </c>
      <c r="N2170" t="inlineStr">
        <is>
          <t>Silverline Medicare Advantage</t>
        </is>
      </c>
      <c r="O2170" s="31" t="n">
        <v>196.58</v>
      </c>
    </row>
    <row r="2171">
      <c r="A2171" t="inlineStr">
        <is>
          <t>ENC119541</t>
        </is>
      </c>
      <c r="B2171" t="inlineStr">
        <is>
          <t>PT11276</t>
        </is>
      </c>
      <c r="C2171" t="inlineStr">
        <is>
          <t>Outpatient</t>
        </is>
      </c>
      <c r="D2171" t="inlineStr">
        <is>
          <t>Bluestone Outpatient Pavilion</t>
        </is>
      </c>
      <c r="E2171" t="inlineStr">
        <is>
          <t>Primary Care Clinic</t>
        </is>
      </c>
      <c r="F2171" t="inlineStr">
        <is>
          <t>Ambulatory</t>
        </is>
      </c>
      <c r="G2171" s="29" t="n">
        <v>45953</v>
      </c>
      <c r="H2171" s="29" t="n">
        <v>45953</v>
      </c>
      <c r="I2171" s="30" t="n"/>
      <c r="J2171" t="inlineStr">
        <is>
          <t>I10</t>
        </is>
      </c>
      <c r="K2171" t="inlineStr">
        <is>
          <t>Essential (primary) hypertension</t>
        </is>
      </c>
      <c r="L2171" t="inlineStr">
        <is>
          <t>Circulatory</t>
        </is>
      </c>
      <c r="M2171" t="inlineStr">
        <is>
          <t>Home/Self-Care</t>
        </is>
      </c>
      <c r="N2171" t="inlineStr">
        <is>
          <t>Medicare</t>
        </is>
      </c>
      <c r="O2171" s="31" t="n">
        <v>492.76</v>
      </c>
    </row>
    <row r="2172">
      <c r="A2172" t="inlineStr">
        <is>
          <t>ENC119549</t>
        </is>
      </c>
      <c r="B2172" t="inlineStr">
        <is>
          <t>PT12272</t>
        </is>
      </c>
      <c r="C2172" t="inlineStr">
        <is>
          <t>Inpatient</t>
        </is>
      </c>
      <c r="D2172" t="inlineStr">
        <is>
          <t>Bluestone Memorial Hospital</t>
        </is>
      </c>
      <c r="E2172" t="inlineStr">
        <is>
          <t>Medical-Surgical 5 East</t>
        </is>
      </c>
      <c r="F2172" t="inlineStr">
        <is>
          <t>Medicine</t>
        </is>
      </c>
      <c r="G2172" s="29" t="n">
        <v>45953</v>
      </c>
      <c r="H2172" s="29" t="n">
        <v>45956</v>
      </c>
      <c r="I2172" s="30" t="n">
        <v>3</v>
      </c>
      <c r="J2172" t="inlineStr">
        <is>
          <t>K92.2</t>
        </is>
      </c>
      <c r="K2172" t="inlineStr">
        <is>
          <t>Gastrointestinal hemorrhage, unspecified</t>
        </is>
      </c>
      <c r="L2172" t="inlineStr">
        <is>
          <t>Digestive</t>
        </is>
      </c>
      <c r="M2172" t="inlineStr">
        <is>
          <t>Home/Self-Care</t>
        </is>
      </c>
      <c r="N2172" t="inlineStr">
        <is>
          <t>Keystone Health Partners</t>
        </is>
      </c>
      <c r="O2172" s="31" t="n">
        <v>20382</v>
      </c>
      <c r="P2172" t="inlineStr">
        <is>
          <t>N</t>
        </is>
      </c>
    </row>
    <row r="2173">
      <c r="A2173" t="inlineStr">
        <is>
          <t>ENC119550</t>
        </is>
      </c>
      <c r="B2173" t="inlineStr">
        <is>
          <t>PT10968</t>
        </is>
      </c>
      <c r="C2173" t="inlineStr">
        <is>
          <t>Emergency</t>
        </is>
      </c>
      <c r="D2173" t="inlineStr">
        <is>
          <t>Bluestone Memorial Hospital</t>
        </is>
      </c>
      <c r="E2173" t="inlineStr">
        <is>
          <t>Emergency Department</t>
        </is>
      </c>
      <c r="F2173" t="inlineStr">
        <is>
          <t>Emergency</t>
        </is>
      </c>
      <c r="G2173" s="29" t="n">
        <v>45953</v>
      </c>
      <c r="H2173" s="29" t="n">
        <v>45953</v>
      </c>
      <c r="I2173" s="30" t="n"/>
      <c r="J2173" t="inlineStr">
        <is>
          <t>R10.9</t>
        </is>
      </c>
      <c r="K2173" t="inlineStr">
        <is>
          <t>Unspecified abdominal pain</t>
        </is>
      </c>
      <c r="L2173" t="inlineStr">
        <is>
          <t>Symptoms &amp; Signs</t>
        </is>
      </c>
      <c r="M2173" t="inlineStr">
        <is>
          <t>Home/Self-Care</t>
        </is>
      </c>
      <c r="N2173" t="inlineStr">
        <is>
          <t>Medicare</t>
        </is>
      </c>
      <c r="O2173" s="31" t="n">
        <v>4277.13</v>
      </c>
    </row>
    <row r="2174">
      <c r="A2174" t="inlineStr">
        <is>
          <t>ENC119551</t>
        </is>
      </c>
      <c r="B2174" t="inlineStr">
        <is>
          <t>PT13960</t>
        </is>
      </c>
      <c r="C2174" t="inlineStr">
        <is>
          <t>Emergency</t>
        </is>
      </c>
      <c r="D2174" t="inlineStr">
        <is>
          <t>Bluestone Memorial Hospital</t>
        </is>
      </c>
      <c r="E2174" t="inlineStr">
        <is>
          <t>Emergency Department</t>
        </is>
      </c>
      <c r="F2174" t="inlineStr">
        <is>
          <t>Emergency</t>
        </is>
      </c>
      <c r="G2174" s="29" t="n">
        <v>45953</v>
      </c>
      <c r="H2174" s="29" t="n">
        <v>45954</v>
      </c>
      <c r="I2174" s="30" t="n"/>
      <c r="J2174" t="inlineStr">
        <is>
          <t>J45.909</t>
        </is>
      </c>
      <c r="K2174" t="inlineStr">
        <is>
          <t>Unspecified asthma, uncomplicated</t>
        </is>
      </c>
      <c r="L2174" t="inlineStr">
        <is>
          <t>Respiratory</t>
        </is>
      </c>
      <c r="M2174" t="inlineStr">
        <is>
          <t>Home/Self-Care</t>
        </is>
      </c>
      <c r="N2174" t="inlineStr">
        <is>
          <t>Medicare</t>
        </is>
      </c>
      <c r="O2174" s="31" t="n">
        <v>3674.18</v>
      </c>
    </row>
    <row r="2175">
      <c r="A2175" t="inlineStr">
        <is>
          <t>ENC119553</t>
        </is>
      </c>
      <c r="B2175" t="inlineStr">
        <is>
          <t>PT11836</t>
        </is>
      </c>
      <c r="C2175" t="inlineStr">
        <is>
          <t>Emergency</t>
        </is>
      </c>
      <c r="D2175" t="inlineStr">
        <is>
          <t>Bluestone Memorial Hospital</t>
        </is>
      </c>
      <c r="E2175" t="inlineStr">
        <is>
          <t>Emergency Department</t>
        </is>
      </c>
      <c r="F2175" t="inlineStr">
        <is>
          <t>Emergency</t>
        </is>
      </c>
      <c r="G2175" s="29" t="n">
        <v>45953</v>
      </c>
      <c r="H2175" s="29" t="n">
        <v>45954</v>
      </c>
      <c r="I2175" s="30" t="n"/>
      <c r="J2175" t="inlineStr">
        <is>
          <t>R10.9</t>
        </is>
      </c>
      <c r="K2175" t="inlineStr">
        <is>
          <t>Unspecified abdominal pain</t>
        </is>
      </c>
      <c r="L2175" t="inlineStr">
        <is>
          <t>Symptoms &amp; Signs</t>
        </is>
      </c>
      <c r="M2175" t="inlineStr">
        <is>
          <t>Home/Self-Care</t>
        </is>
      </c>
      <c r="N2175" t="inlineStr">
        <is>
          <t>Evergreen Mutual Insurance</t>
        </is>
      </c>
      <c r="O2175" s="31" t="n">
        <v>1326.61</v>
      </c>
    </row>
    <row r="2176">
      <c r="A2176" t="inlineStr">
        <is>
          <t>ENC119561</t>
        </is>
      </c>
      <c r="B2176" t="inlineStr">
        <is>
          <t>PT13808</t>
        </is>
      </c>
      <c r="C2176" t="inlineStr">
        <is>
          <t>Outpatient</t>
        </is>
      </c>
      <c r="D2176" t="inlineStr">
        <is>
          <t>Bluestone Outpatient Pavilion</t>
        </is>
      </c>
      <c r="E2176" t="inlineStr">
        <is>
          <t>Primary Care Clinic</t>
        </is>
      </c>
      <c r="F2176" t="inlineStr">
        <is>
          <t>Ambulatory</t>
        </is>
      </c>
      <c r="G2176" s="29" t="n">
        <v>45954</v>
      </c>
      <c r="H2176" s="29" t="n">
        <v>45954</v>
      </c>
      <c r="I2176" s="30" t="n"/>
      <c r="J2176" t="inlineStr">
        <is>
          <t>I10</t>
        </is>
      </c>
      <c r="K2176" t="inlineStr">
        <is>
          <t>Essential (primary) hypertension</t>
        </is>
      </c>
      <c r="L2176" t="inlineStr">
        <is>
          <t>Circulatory</t>
        </is>
      </c>
      <c r="M2176" t="inlineStr">
        <is>
          <t>Home/Self-Care</t>
        </is>
      </c>
      <c r="N2176" t="inlineStr">
        <is>
          <t>Medicare</t>
        </is>
      </c>
      <c r="O2176" s="31" t="n">
        <v>234.48</v>
      </c>
    </row>
    <row r="2177">
      <c r="A2177" t="inlineStr">
        <is>
          <t>ENC119562</t>
        </is>
      </c>
      <c r="B2177" t="inlineStr">
        <is>
          <t>PT12380</t>
        </is>
      </c>
      <c r="C2177" t="inlineStr">
        <is>
          <t>Emergency</t>
        </is>
      </c>
      <c r="D2177" t="inlineStr">
        <is>
          <t>Bluestone Memorial Hospital</t>
        </is>
      </c>
      <c r="E2177" t="inlineStr">
        <is>
          <t>Emergency Department</t>
        </is>
      </c>
      <c r="F2177" t="inlineStr">
        <is>
          <t>Emergency</t>
        </is>
      </c>
      <c r="G2177" s="29" t="n">
        <v>45954</v>
      </c>
      <c r="H2177" s="29" t="n">
        <v>45954</v>
      </c>
      <c r="I2177" s="30" t="n"/>
      <c r="J2177" t="inlineStr">
        <is>
          <t>R55</t>
        </is>
      </c>
      <c r="K2177" t="inlineStr">
        <is>
          <t>Syncope and collapse</t>
        </is>
      </c>
      <c r="L2177" t="inlineStr">
        <is>
          <t>Symptoms &amp; Signs</t>
        </is>
      </c>
      <c r="M2177" t="inlineStr">
        <is>
          <t>Home/Self-Care</t>
        </is>
      </c>
      <c r="N2177" t="inlineStr">
        <is>
          <t>Keystone Health Partners</t>
        </is>
      </c>
      <c r="O2177" s="31" t="n">
        <v>463.69</v>
      </c>
    </row>
    <row r="2178">
      <c r="A2178" t="inlineStr">
        <is>
          <t>ENC119577</t>
        </is>
      </c>
      <c r="B2178" t="inlineStr">
        <is>
          <t>PT13336</t>
        </is>
      </c>
      <c r="C2178" t="inlineStr">
        <is>
          <t>Outpatient</t>
        </is>
      </c>
      <c r="D2178" t="inlineStr">
        <is>
          <t>Bluestone Outpatient Pavilion</t>
        </is>
      </c>
      <c r="E2178" t="inlineStr">
        <is>
          <t>Primary Care Clinic</t>
        </is>
      </c>
      <c r="F2178" t="inlineStr">
        <is>
          <t>Ambulatory</t>
        </is>
      </c>
      <c r="G2178" s="29" t="n">
        <v>45954</v>
      </c>
      <c r="H2178" s="29" t="n">
        <v>45954</v>
      </c>
      <c r="I2178" s="30" t="n"/>
      <c r="J2178" t="inlineStr">
        <is>
          <t>F41.9</t>
        </is>
      </c>
      <c r="K2178" t="inlineStr">
        <is>
          <t>Anxiety disorder, unspecified</t>
        </is>
      </c>
      <c r="L2178" t="inlineStr">
        <is>
          <t>Mental &amp; Behavioral</t>
        </is>
      </c>
      <c r="M2178" t="inlineStr">
        <is>
          <t>Home/Self-Care</t>
        </is>
      </c>
      <c r="N2178" t="inlineStr">
        <is>
          <t>Keystone Health Partners</t>
        </is>
      </c>
      <c r="O2178" s="31" t="n">
        <v>496.61</v>
      </c>
    </row>
    <row r="2179">
      <c r="A2179" t="inlineStr">
        <is>
          <t>ENC119579</t>
        </is>
      </c>
      <c r="B2179" t="inlineStr">
        <is>
          <t>PT10116</t>
        </is>
      </c>
      <c r="C2179" t="inlineStr">
        <is>
          <t>Emergency</t>
        </is>
      </c>
      <c r="D2179" t="inlineStr">
        <is>
          <t>Bluestone Memorial Hospital</t>
        </is>
      </c>
      <c r="E2179" t="inlineStr">
        <is>
          <t>Emergency Department</t>
        </is>
      </c>
      <c r="F2179" t="inlineStr">
        <is>
          <t>Emergency</t>
        </is>
      </c>
      <c r="G2179" s="29" t="n">
        <v>45954</v>
      </c>
      <c r="H2179" s="29" t="n">
        <v>45954</v>
      </c>
      <c r="I2179" s="30" t="n"/>
      <c r="J2179" t="inlineStr">
        <is>
          <t>J06.9</t>
        </is>
      </c>
      <c r="K2179" t="inlineStr">
        <is>
          <t>Acute upper respiratory infection, unspecified</t>
        </is>
      </c>
      <c r="L2179" t="inlineStr">
        <is>
          <t>Respiratory</t>
        </is>
      </c>
      <c r="M2179" t="inlineStr">
        <is>
          <t>Home/Self-Care</t>
        </is>
      </c>
      <c r="N2179" t="inlineStr">
        <is>
          <t>Silverline Medicare Advantage</t>
        </is>
      </c>
      <c r="O2179" s="31" t="n">
        <v>1132.95</v>
      </c>
    </row>
    <row r="2180">
      <c r="A2180" t="inlineStr">
        <is>
          <t>ENC119585</t>
        </is>
      </c>
      <c r="B2180" t="inlineStr">
        <is>
          <t>PT12280</t>
        </is>
      </c>
      <c r="C2180" t="inlineStr">
        <is>
          <t>Emergency</t>
        </is>
      </c>
      <c r="D2180" t="inlineStr">
        <is>
          <t>Bluestone Memorial Hospital</t>
        </is>
      </c>
      <c r="E2180" t="inlineStr">
        <is>
          <t>Emergency Department</t>
        </is>
      </c>
      <c r="F2180" t="inlineStr">
        <is>
          <t>Emergency</t>
        </is>
      </c>
      <c r="G2180" s="29" t="n">
        <v>45954</v>
      </c>
      <c r="H2180" s="29" t="n">
        <v>45955</v>
      </c>
      <c r="I2180" s="30" t="n"/>
      <c r="J2180" t="inlineStr">
        <is>
          <t>R55</t>
        </is>
      </c>
      <c r="K2180" t="inlineStr">
        <is>
          <t>Syncope and collapse</t>
        </is>
      </c>
      <c r="L2180" t="inlineStr">
        <is>
          <t>Symptoms &amp; Signs</t>
        </is>
      </c>
      <c r="M2180" t="inlineStr">
        <is>
          <t>Home/Self-Care</t>
        </is>
      </c>
      <c r="N2180" t="inlineStr">
        <is>
          <t>Self-Pay</t>
        </is>
      </c>
      <c r="O2180" s="31" t="n">
        <v>3276.65</v>
      </c>
    </row>
    <row r="2181">
      <c r="A2181" t="inlineStr">
        <is>
          <t>ENC119587</t>
        </is>
      </c>
      <c r="B2181" t="inlineStr">
        <is>
          <t>PT12980</t>
        </is>
      </c>
      <c r="C2181" t="inlineStr">
        <is>
          <t>Inpatient</t>
        </is>
      </c>
      <c r="D2181" t="inlineStr">
        <is>
          <t>Ashby Falls Community Hospital</t>
        </is>
      </c>
      <c r="E2181" t="inlineStr">
        <is>
          <t>Medical-Surgical</t>
        </is>
      </c>
      <c r="F2181" t="inlineStr">
        <is>
          <t>Medicine</t>
        </is>
      </c>
      <c r="G2181" s="29" t="n">
        <v>45955</v>
      </c>
      <c r="H2181" s="29" t="n">
        <v>45961</v>
      </c>
      <c r="I2181" s="30" t="n">
        <v>6</v>
      </c>
      <c r="J2181" t="inlineStr">
        <is>
          <t>I21.4</t>
        </is>
      </c>
      <c r="K2181" t="inlineStr">
        <is>
          <t>Non-ST elevation (NSTEMI) myocardial infarction</t>
        </is>
      </c>
      <c r="L2181" t="inlineStr">
        <is>
          <t>Circulatory</t>
        </is>
      </c>
      <c r="M2181" t="inlineStr">
        <is>
          <t>Home/Self-Care</t>
        </is>
      </c>
      <c r="N2181" t="inlineStr">
        <is>
          <t>Medicare</t>
        </is>
      </c>
      <c r="O2181" s="31" t="n">
        <v>59767.7</v>
      </c>
      <c r="P2181" t="inlineStr">
        <is>
          <t>N</t>
        </is>
      </c>
    </row>
    <row r="2182">
      <c r="A2182" t="inlineStr">
        <is>
          <t>ENC119588</t>
        </is>
      </c>
      <c r="B2182" t="inlineStr">
        <is>
          <t>PT10788</t>
        </is>
      </c>
      <c r="C2182" t="inlineStr">
        <is>
          <t>Emergency</t>
        </is>
      </c>
      <c r="D2182" t="inlineStr">
        <is>
          <t>Cedar Ridge Medical Center</t>
        </is>
      </c>
      <c r="E2182" t="inlineStr">
        <is>
          <t>Emergency Department</t>
        </is>
      </c>
      <c r="F2182" t="inlineStr">
        <is>
          <t>Emergency</t>
        </is>
      </c>
      <c r="G2182" s="29" t="n">
        <v>45955</v>
      </c>
      <c r="H2182" s="29" t="n">
        <v>45955</v>
      </c>
      <c r="I2182" s="30" t="n"/>
      <c r="J2182" t="inlineStr">
        <is>
          <t>N39.0</t>
        </is>
      </c>
      <c r="K2182" t="inlineStr">
        <is>
          <t>Urinary tract infection, site not specified</t>
        </is>
      </c>
      <c r="L2182" t="inlineStr">
        <is>
          <t>Genitourinary</t>
        </is>
      </c>
      <c r="M2182" t="inlineStr">
        <is>
          <t>Home/Self-Care</t>
        </is>
      </c>
      <c r="N2182" t="inlineStr">
        <is>
          <t>Keystone Health Partners</t>
        </is>
      </c>
      <c r="O2182" s="31" t="n">
        <v>4227.46</v>
      </c>
    </row>
    <row r="2183">
      <c r="A2183" t="inlineStr">
        <is>
          <t>ENC119593</t>
        </is>
      </c>
      <c r="B2183" t="inlineStr">
        <is>
          <t>PT13420</t>
        </is>
      </c>
      <c r="C2183" t="inlineStr">
        <is>
          <t>Emergency</t>
        </is>
      </c>
      <c r="D2183" t="inlineStr">
        <is>
          <t>Bluestone Memorial Hospital</t>
        </is>
      </c>
      <c r="E2183" t="inlineStr">
        <is>
          <t>Emergency Department</t>
        </is>
      </c>
      <c r="F2183" t="inlineStr">
        <is>
          <t>Emergency</t>
        </is>
      </c>
      <c r="G2183" s="29" t="n">
        <v>45955</v>
      </c>
      <c r="H2183" s="29" t="n">
        <v>45955</v>
      </c>
      <c r="I2183" s="30" t="n"/>
      <c r="J2183" t="inlineStr">
        <is>
          <t>N39.0</t>
        </is>
      </c>
      <c r="K2183" t="inlineStr">
        <is>
          <t>Urinary tract infection, site not specified</t>
        </is>
      </c>
      <c r="L2183" t="inlineStr">
        <is>
          <t>Genitourinary</t>
        </is>
      </c>
      <c r="M2183" t="inlineStr">
        <is>
          <t>Home/Self-Care</t>
        </is>
      </c>
      <c r="N2183" t="inlineStr">
        <is>
          <t>Keystone Health Partners</t>
        </is>
      </c>
      <c r="O2183" s="31" t="n">
        <v>5855.55</v>
      </c>
    </row>
    <row r="2184">
      <c r="A2184" t="inlineStr">
        <is>
          <t>ENC119600</t>
        </is>
      </c>
      <c r="B2184" t="inlineStr">
        <is>
          <t>PT11656</t>
        </is>
      </c>
      <c r="C2184" t="inlineStr">
        <is>
          <t>Inpatient</t>
        </is>
      </c>
      <c r="D2184" t="inlineStr">
        <is>
          <t>Bluestone Memorial Hospital</t>
        </is>
      </c>
      <c r="E2184" t="inlineStr">
        <is>
          <t>Cardiac Step-Down</t>
        </is>
      </c>
      <c r="F2184" t="inlineStr">
        <is>
          <t>Cardiovascular</t>
        </is>
      </c>
      <c r="G2184" s="29" t="n">
        <v>45956</v>
      </c>
      <c r="H2184" s="29" t="n">
        <v>45958</v>
      </c>
      <c r="I2184" s="30" t="n">
        <v>2</v>
      </c>
      <c r="J2184" t="inlineStr">
        <is>
          <t>I50.9</t>
        </is>
      </c>
      <c r="K2184" t="inlineStr">
        <is>
          <t>Heart failure, unspecified</t>
        </is>
      </c>
      <c r="L2184" t="inlineStr">
        <is>
          <t>Circulatory</t>
        </is>
      </c>
      <c r="M2184" t="inlineStr">
        <is>
          <t>Home/Self-Care</t>
        </is>
      </c>
      <c r="N2184" t="inlineStr">
        <is>
          <t>Self-Pay</t>
        </is>
      </c>
      <c r="O2184" s="31" t="n">
        <v>12410.87</v>
      </c>
      <c r="P2184" t="inlineStr">
        <is>
          <t>Y</t>
        </is>
      </c>
    </row>
    <row r="2185">
      <c r="A2185" t="inlineStr">
        <is>
          <t>ENC119605</t>
        </is>
      </c>
      <c r="B2185" t="inlineStr">
        <is>
          <t>PT12872</t>
        </is>
      </c>
      <c r="C2185" t="inlineStr">
        <is>
          <t>Emergency</t>
        </is>
      </c>
      <c r="D2185" t="inlineStr">
        <is>
          <t>Cedar Ridge Medical Center</t>
        </is>
      </c>
      <c r="E2185" t="inlineStr">
        <is>
          <t>Emergency Department</t>
        </is>
      </c>
      <c r="F2185" t="inlineStr">
        <is>
          <t>Emergency</t>
        </is>
      </c>
      <c r="G2185" s="29" t="n">
        <v>45956</v>
      </c>
      <c r="H2185" s="29" t="n">
        <v>45956</v>
      </c>
      <c r="I2185" s="30" t="n"/>
      <c r="J2185" t="inlineStr">
        <is>
          <t>J44.1</t>
        </is>
      </c>
      <c r="K2185" t="inlineStr">
        <is>
          <t>Chronic obstructive pulmonary disease with (acute) exacerbation</t>
        </is>
      </c>
      <c r="L2185" t="inlineStr">
        <is>
          <t>Respiratory</t>
        </is>
      </c>
      <c r="M2185" t="inlineStr">
        <is>
          <t>Home/Self-Care</t>
        </is>
      </c>
      <c r="N2185" t="inlineStr">
        <is>
          <t>State Medicaid</t>
        </is>
      </c>
      <c r="O2185" s="31" t="n">
        <v>3241.83</v>
      </c>
    </row>
    <row r="2186">
      <c r="A2186" t="inlineStr">
        <is>
          <t>ENC119618</t>
        </is>
      </c>
      <c r="B2186" t="inlineStr">
        <is>
          <t>PT11996</t>
        </is>
      </c>
      <c r="C2186" t="inlineStr">
        <is>
          <t>Inpatient</t>
        </is>
      </c>
      <c r="D2186" t="inlineStr">
        <is>
          <t>Bluestone Memorial Hospital</t>
        </is>
      </c>
      <c r="E2186" t="inlineStr">
        <is>
          <t>Orthopedics &amp; Spine</t>
        </is>
      </c>
      <c r="F2186" t="inlineStr">
        <is>
          <t>Orthopedics</t>
        </is>
      </c>
      <c r="G2186" s="29" t="n">
        <v>45957</v>
      </c>
      <c r="H2186" s="29" t="n">
        <v>45959</v>
      </c>
      <c r="I2186" s="30" t="n">
        <v>2</v>
      </c>
      <c r="J2186" t="inlineStr">
        <is>
          <t>M17.11</t>
        </is>
      </c>
      <c r="K2186" t="inlineStr">
        <is>
          <t>Unilateral primary osteoarthritis, right knee</t>
        </is>
      </c>
      <c r="L2186" t="inlineStr">
        <is>
          <t>Musculoskeletal</t>
        </is>
      </c>
      <c r="M2186" t="inlineStr">
        <is>
          <t>Home/Self-Care</t>
        </is>
      </c>
      <c r="N2186" t="inlineStr">
        <is>
          <t>Self-Pay</t>
        </is>
      </c>
      <c r="O2186" s="31" t="n">
        <v>46570.37</v>
      </c>
      <c r="P2186" t="inlineStr">
        <is>
          <t>N</t>
        </is>
      </c>
    </row>
    <row r="2187">
      <c r="A2187" t="inlineStr">
        <is>
          <t>ENC119620</t>
        </is>
      </c>
      <c r="B2187" t="inlineStr">
        <is>
          <t>PT13936</t>
        </is>
      </c>
      <c r="C2187" t="inlineStr">
        <is>
          <t>Inpatient</t>
        </is>
      </c>
      <c r="D2187" t="inlineStr">
        <is>
          <t>Bluestone Memorial Hospital</t>
        </is>
      </c>
      <c r="E2187" t="inlineStr">
        <is>
          <t>Medical-Surgical 4 West</t>
        </is>
      </c>
      <c r="F2187" t="inlineStr">
        <is>
          <t>Medicine</t>
        </is>
      </c>
      <c r="G2187" s="29" t="n">
        <v>45957</v>
      </c>
      <c r="H2187" s="29" t="n">
        <v>45964</v>
      </c>
      <c r="I2187" s="30" t="n">
        <v>7</v>
      </c>
      <c r="J2187" t="inlineStr">
        <is>
          <t>J44.1</t>
        </is>
      </c>
      <c r="K2187" t="inlineStr">
        <is>
          <t>Chronic obstructive pulmonary disease with (acute) exacerbation</t>
        </is>
      </c>
      <c r="L2187" t="inlineStr">
        <is>
          <t>Respiratory</t>
        </is>
      </c>
      <c r="M2187" t="inlineStr">
        <is>
          <t>Skilled Nursing Facility</t>
        </is>
      </c>
      <c r="N2187" t="inlineStr">
        <is>
          <t>Medicare</t>
        </is>
      </c>
      <c r="O2187" s="31" t="n">
        <v>30567.28</v>
      </c>
      <c r="P2187" t="inlineStr">
        <is>
          <t>N</t>
        </is>
      </c>
    </row>
    <row r="2188">
      <c r="A2188" t="inlineStr">
        <is>
          <t>ENC119624</t>
        </is>
      </c>
      <c r="B2188" t="inlineStr">
        <is>
          <t>PT13948</t>
        </is>
      </c>
      <c r="C2188" t="inlineStr">
        <is>
          <t>Outpatient</t>
        </is>
      </c>
      <c r="D2188" t="inlineStr">
        <is>
          <t>Bluestone Outpatient Pavilion</t>
        </is>
      </c>
      <c r="E2188" t="inlineStr">
        <is>
          <t>Primary Care Clinic</t>
        </is>
      </c>
      <c r="F2188" t="inlineStr">
        <is>
          <t>Ambulatory</t>
        </is>
      </c>
      <c r="G2188" s="29" t="n">
        <v>45957</v>
      </c>
      <c r="H2188" s="29" t="n">
        <v>45957</v>
      </c>
      <c r="I2188" s="30" t="n"/>
      <c r="J2188" t="inlineStr">
        <is>
          <t>E78.5</t>
        </is>
      </c>
      <c r="K2188" t="inlineStr">
        <is>
          <t>Hyperlipidemia, unspecified</t>
        </is>
      </c>
      <c r="L2188" t="inlineStr">
        <is>
          <t>Endocrine</t>
        </is>
      </c>
      <c r="M2188" t="inlineStr">
        <is>
          <t>Home/Self-Care</t>
        </is>
      </c>
      <c r="N2188" t="inlineStr">
        <is>
          <t>Evergreen Mutual Insurance</t>
        </is>
      </c>
      <c r="O2188" s="31" t="n">
        <v>224.49</v>
      </c>
    </row>
    <row r="2189">
      <c r="A2189" t="inlineStr">
        <is>
          <t>ENC119627</t>
        </is>
      </c>
      <c r="B2189" t="inlineStr">
        <is>
          <t>PT12484</t>
        </is>
      </c>
      <c r="C2189" t="inlineStr">
        <is>
          <t>Outpatient</t>
        </is>
      </c>
      <c r="D2189" t="inlineStr">
        <is>
          <t>Bluestone Outpatient Pavilion</t>
        </is>
      </c>
      <c r="E2189" t="inlineStr">
        <is>
          <t>Endocrinology &amp; Diabetes Clinic</t>
        </is>
      </c>
      <c r="F2189" t="inlineStr">
        <is>
          <t>Ambulatory</t>
        </is>
      </c>
      <c r="G2189" s="29" t="n">
        <v>45957</v>
      </c>
      <c r="H2189" s="29" t="n">
        <v>45957</v>
      </c>
      <c r="I2189" s="30" t="n"/>
      <c r="J2189" t="inlineStr">
        <is>
          <t>E11.9</t>
        </is>
      </c>
      <c r="K2189" t="inlineStr">
        <is>
          <t>Type 2 diabetes mellitus without complications</t>
        </is>
      </c>
      <c r="L2189" t="inlineStr">
        <is>
          <t>Endocrine</t>
        </is>
      </c>
      <c r="M2189" t="inlineStr">
        <is>
          <t>Home/Self-Care</t>
        </is>
      </c>
      <c r="N2189" t="inlineStr">
        <is>
          <t>Medicare</t>
        </is>
      </c>
      <c r="O2189" s="31" t="n">
        <v>326.99</v>
      </c>
    </row>
    <row r="2190">
      <c r="A2190" t="inlineStr">
        <is>
          <t>ENC119631</t>
        </is>
      </c>
      <c r="B2190" t="inlineStr">
        <is>
          <t>PT13276</t>
        </is>
      </c>
      <c r="C2190" t="inlineStr">
        <is>
          <t>Emergency</t>
        </is>
      </c>
      <c r="D2190" t="inlineStr">
        <is>
          <t>Bluestone Memorial Hospital</t>
        </is>
      </c>
      <c r="E2190" t="inlineStr">
        <is>
          <t>Emergency Department</t>
        </is>
      </c>
      <c r="F2190" t="inlineStr">
        <is>
          <t>Emergency</t>
        </is>
      </c>
      <c r="G2190" s="29" t="n">
        <v>45957</v>
      </c>
      <c r="H2190" s="29" t="n">
        <v>45957</v>
      </c>
      <c r="I2190" s="30" t="n"/>
      <c r="J2190" t="inlineStr">
        <is>
          <t>J21.9</t>
        </is>
      </c>
      <c r="K2190" t="inlineStr">
        <is>
          <t>Acute bronchiolitis, unspecified</t>
        </is>
      </c>
      <c r="L2190" t="inlineStr">
        <is>
          <t>Respiratory</t>
        </is>
      </c>
      <c r="M2190" t="inlineStr">
        <is>
          <t>Home/Self-Care</t>
        </is>
      </c>
      <c r="N2190" t="inlineStr">
        <is>
          <t>Keystone Health Partners</t>
        </is>
      </c>
      <c r="O2190" s="31" t="n">
        <v>4374.55</v>
      </c>
    </row>
    <row r="2191">
      <c r="A2191" t="inlineStr">
        <is>
          <t>ENC119633</t>
        </is>
      </c>
      <c r="B2191" t="inlineStr">
        <is>
          <t>PT11316</t>
        </is>
      </c>
      <c r="C2191" t="inlineStr">
        <is>
          <t>Emergency</t>
        </is>
      </c>
      <c r="D2191" t="inlineStr">
        <is>
          <t>Bluestone Memorial Hospital</t>
        </is>
      </c>
      <c r="E2191" t="inlineStr">
        <is>
          <t>Emergency Department</t>
        </is>
      </c>
      <c r="F2191" t="inlineStr">
        <is>
          <t>Emergency</t>
        </is>
      </c>
      <c r="G2191" s="29" t="n">
        <v>45957</v>
      </c>
      <c r="H2191" s="29" t="n">
        <v>45957</v>
      </c>
      <c r="I2191" s="30" t="n"/>
      <c r="J2191" t="inlineStr">
        <is>
          <t>R07.9</t>
        </is>
      </c>
      <c r="K2191" t="inlineStr">
        <is>
          <t>Chest pain, unspecified</t>
        </is>
      </c>
      <c r="L2191" t="inlineStr">
        <is>
          <t>Symptoms &amp; Signs</t>
        </is>
      </c>
      <c r="M2191" t="inlineStr">
        <is>
          <t>Home/Self-Care</t>
        </is>
      </c>
      <c r="N2191" t="inlineStr">
        <is>
          <t>State Medicaid</t>
        </is>
      </c>
      <c r="O2191" s="31" t="n">
        <v>5688.29</v>
      </c>
    </row>
    <row r="2192">
      <c r="A2192" t="inlineStr">
        <is>
          <t>ENC119634</t>
        </is>
      </c>
      <c r="B2192" t="inlineStr">
        <is>
          <t>PT11692</t>
        </is>
      </c>
      <c r="C2192" t="inlineStr">
        <is>
          <t>Emergency</t>
        </is>
      </c>
      <c r="D2192" t="inlineStr">
        <is>
          <t>Bluestone Memorial Hospital</t>
        </is>
      </c>
      <c r="E2192" t="inlineStr">
        <is>
          <t>Emergency Department</t>
        </is>
      </c>
      <c r="F2192" t="inlineStr">
        <is>
          <t>Emergency</t>
        </is>
      </c>
      <c r="G2192" s="29" t="n">
        <v>45957</v>
      </c>
      <c r="H2192" s="29" t="n">
        <v>45957</v>
      </c>
      <c r="I2192" s="30" t="n"/>
      <c r="J2192" t="inlineStr">
        <is>
          <t>S93.401A</t>
        </is>
      </c>
      <c r="K2192" t="inlineStr">
        <is>
          <t>Sprain of unspecified ligament of right ankle, initial encounter</t>
        </is>
      </c>
      <c r="L2192" t="inlineStr">
        <is>
          <t>Injury</t>
        </is>
      </c>
      <c r="M2192" t="inlineStr">
        <is>
          <t>Home/Self-Care</t>
        </is>
      </c>
      <c r="N2192" t="inlineStr">
        <is>
          <t>Evergreen Mutual Insurance</t>
        </is>
      </c>
      <c r="O2192" s="31" t="n">
        <v>791.22</v>
      </c>
    </row>
    <row r="2193">
      <c r="A2193" t="inlineStr">
        <is>
          <t>ENC119635</t>
        </is>
      </c>
      <c r="B2193" t="inlineStr">
        <is>
          <t>PT10520</t>
        </is>
      </c>
      <c r="C2193" t="inlineStr">
        <is>
          <t>Emergency</t>
        </is>
      </c>
      <c r="D2193" t="inlineStr">
        <is>
          <t>Bluestone Memorial Hospital</t>
        </is>
      </c>
      <c r="E2193" t="inlineStr">
        <is>
          <t>Emergency Department</t>
        </is>
      </c>
      <c r="F2193" t="inlineStr">
        <is>
          <t>Emergency</t>
        </is>
      </c>
      <c r="G2193" s="29" t="n">
        <v>45957</v>
      </c>
      <c r="H2193" s="29" t="n">
        <v>45957</v>
      </c>
      <c r="I2193" s="30" t="n"/>
      <c r="J2193" t="inlineStr">
        <is>
          <t>J44.1</t>
        </is>
      </c>
      <c r="K2193" t="inlineStr">
        <is>
          <t>Chronic obstructive pulmonary disease with (acute) exacerbation</t>
        </is>
      </c>
      <c r="L2193" t="inlineStr">
        <is>
          <t>Respiratory</t>
        </is>
      </c>
      <c r="M2193" t="inlineStr">
        <is>
          <t>Home/Self-Care</t>
        </is>
      </c>
      <c r="N2193" t="inlineStr">
        <is>
          <t>Silverline Medicare Advantage</t>
        </is>
      </c>
      <c r="O2193" s="31" t="n">
        <v>4797.85</v>
      </c>
    </row>
    <row r="2194">
      <c r="A2194" t="inlineStr">
        <is>
          <t>ENC119642</t>
        </is>
      </c>
      <c r="B2194" t="inlineStr">
        <is>
          <t>PT13264</t>
        </is>
      </c>
      <c r="C2194" t="inlineStr">
        <is>
          <t>Inpatient</t>
        </is>
      </c>
      <c r="D2194" t="inlineStr">
        <is>
          <t>Ashby Falls Community Hospital</t>
        </is>
      </c>
      <c r="E2194" t="inlineStr">
        <is>
          <t>Medical-Surgical</t>
        </is>
      </c>
      <c r="F2194" t="inlineStr">
        <is>
          <t>Medicine</t>
        </is>
      </c>
      <c r="G2194" s="29" t="n">
        <v>45957</v>
      </c>
      <c r="H2194" s="29" t="n">
        <v>45961</v>
      </c>
      <c r="I2194" s="30" t="n">
        <v>4</v>
      </c>
      <c r="J2194" t="inlineStr">
        <is>
          <t>L03.115</t>
        </is>
      </c>
      <c r="K2194" t="inlineStr">
        <is>
          <t>Cellulitis of right lower limb</t>
        </is>
      </c>
      <c r="L2194" t="inlineStr">
        <is>
          <t>Skin</t>
        </is>
      </c>
      <c r="M2194" t="inlineStr">
        <is>
          <t>Home/Self-Care</t>
        </is>
      </c>
      <c r="N2194" t="inlineStr">
        <is>
          <t>Keystone Health Partners</t>
        </is>
      </c>
      <c r="O2194" s="31" t="n">
        <v>21470.43</v>
      </c>
      <c r="P2194" t="inlineStr">
        <is>
          <t>N</t>
        </is>
      </c>
    </row>
    <row r="2195">
      <c r="A2195" t="inlineStr">
        <is>
          <t>ENC119651</t>
        </is>
      </c>
      <c r="B2195" t="inlineStr">
        <is>
          <t>PT13508</t>
        </is>
      </c>
      <c r="C2195" t="inlineStr">
        <is>
          <t>Outpatient</t>
        </is>
      </c>
      <c r="D2195" t="inlineStr">
        <is>
          <t>Bluestone Outpatient Pavilion</t>
        </is>
      </c>
      <c r="E2195" t="inlineStr">
        <is>
          <t>Orthopedic Clinic</t>
        </is>
      </c>
      <c r="F2195" t="inlineStr">
        <is>
          <t>Orthopedics</t>
        </is>
      </c>
      <c r="G2195" s="29" t="n">
        <v>45958</v>
      </c>
      <c r="H2195" s="29" t="n">
        <v>45958</v>
      </c>
      <c r="I2195" s="30" t="n"/>
      <c r="J2195" t="inlineStr">
        <is>
          <t>M16.11</t>
        </is>
      </c>
      <c r="K2195" t="inlineStr">
        <is>
          <t>Unilateral primary osteoarthritis, right hip</t>
        </is>
      </c>
      <c r="L2195" t="inlineStr">
        <is>
          <t>Musculoskeletal</t>
        </is>
      </c>
      <c r="M2195" t="inlineStr">
        <is>
          <t>Home/Self-Care</t>
        </is>
      </c>
      <c r="N2195" t="inlineStr">
        <is>
          <t>Medicare</t>
        </is>
      </c>
      <c r="O2195" s="31" t="n">
        <v>322.96</v>
      </c>
    </row>
    <row r="2196">
      <c r="A2196" t="inlineStr">
        <is>
          <t>ENC119652</t>
        </is>
      </c>
      <c r="B2196" t="inlineStr">
        <is>
          <t>PT13588</t>
        </is>
      </c>
      <c r="C2196" t="inlineStr">
        <is>
          <t>Inpatient</t>
        </is>
      </c>
      <c r="D2196" t="inlineStr">
        <is>
          <t>Ashby Falls Community Hospital</t>
        </is>
      </c>
      <c r="E2196" t="inlineStr">
        <is>
          <t>Medical-Surgical</t>
        </is>
      </c>
      <c r="F2196" t="inlineStr">
        <is>
          <t>Medicine</t>
        </is>
      </c>
      <c r="G2196" s="29" t="n">
        <v>45958</v>
      </c>
      <c r="H2196" s="29" t="n">
        <v>45962</v>
      </c>
      <c r="I2196" s="30" t="n">
        <v>4</v>
      </c>
      <c r="J2196" t="inlineStr">
        <is>
          <t>J18.9</t>
        </is>
      </c>
      <c r="K2196" t="inlineStr">
        <is>
          <t>Pneumonia, unspecified organism</t>
        </is>
      </c>
      <c r="L2196" t="inlineStr">
        <is>
          <t>Respiratory</t>
        </is>
      </c>
      <c r="M2196" t="inlineStr">
        <is>
          <t>Home/Self-Care</t>
        </is>
      </c>
      <c r="N2196" t="inlineStr">
        <is>
          <t>State Medicaid</t>
        </is>
      </c>
      <c r="O2196" s="31" t="n">
        <v>29531.4</v>
      </c>
      <c r="P2196" t="inlineStr">
        <is>
          <t>N</t>
        </is>
      </c>
    </row>
    <row r="2197">
      <c r="A2197" t="inlineStr">
        <is>
          <t>ENC119657</t>
        </is>
      </c>
      <c r="B2197" t="inlineStr">
        <is>
          <t>PT13732</t>
        </is>
      </c>
      <c r="C2197" t="inlineStr">
        <is>
          <t>Outpatient</t>
        </is>
      </c>
      <c r="D2197" t="inlineStr">
        <is>
          <t>Bluestone Outpatient Pavilion</t>
        </is>
      </c>
      <c r="E2197" t="inlineStr">
        <is>
          <t>Endocrinology &amp; Diabetes Clinic</t>
        </is>
      </c>
      <c r="F2197" t="inlineStr">
        <is>
          <t>Ambulatory</t>
        </is>
      </c>
      <c r="G2197" s="29" t="n">
        <v>45958</v>
      </c>
      <c r="H2197" s="29" t="n">
        <v>45958</v>
      </c>
      <c r="I2197" s="30" t="n"/>
      <c r="J2197" t="inlineStr">
        <is>
          <t>E11.65</t>
        </is>
      </c>
      <c r="K2197" t="inlineStr">
        <is>
          <t>Type 2 diabetes mellitus with hyperglycemia</t>
        </is>
      </c>
      <c r="L2197" t="inlineStr">
        <is>
          <t>Endocrine</t>
        </is>
      </c>
      <c r="M2197" t="inlineStr">
        <is>
          <t>Home/Self-Care</t>
        </is>
      </c>
      <c r="N2197" t="inlineStr">
        <is>
          <t>Evergreen Mutual Insurance</t>
        </is>
      </c>
      <c r="O2197" s="31" t="n">
        <v>264.51</v>
      </c>
    </row>
    <row r="2198">
      <c r="A2198" t="inlineStr">
        <is>
          <t>ENC119659</t>
        </is>
      </c>
      <c r="B2198" t="inlineStr">
        <is>
          <t>PT12628</t>
        </is>
      </c>
      <c r="C2198" t="inlineStr">
        <is>
          <t>Outpatient</t>
        </is>
      </c>
      <c r="D2198" t="inlineStr">
        <is>
          <t>Bluestone Outpatient Pavilion</t>
        </is>
      </c>
      <c r="E2198" t="inlineStr">
        <is>
          <t>Primary Care Clinic</t>
        </is>
      </c>
      <c r="F2198" t="inlineStr">
        <is>
          <t>Ambulatory</t>
        </is>
      </c>
      <c r="G2198" s="29" t="n">
        <v>45958</v>
      </c>
      <c r="H2198" s="29" t="n">
        <v>45958</v>
      </c>
      <c r="I2198" s="30" t="n"/>
      <c r="J2198" t="inlineStr">
        <is>
          <t>J45.909</t>
        </is>
      </c>
      <c r="K2198" t="inlineStr">
        <is>
          <t>Unspecified asthma, uncomplicated</t>
        </is>
      </c>
      <c r="L2198" t="inlineStr">
        <is>
          <t>Respiratory</t>
        </is>
      </c>
      <c r="M2198" t="inlineStr">
        <is>
          <t>Home/Self-Care</t>
        </is>
      </c>
      <c r="N2198" t="inlineStr">
        <is>
          <t>Evergreen Mutual Insurance</t>
        </is>
      </c>
      <c r="O2198" s="31" t="n">
        <v>203.47</v>
      </c>
    </row>
    <row r="2199">
      <c r="A2199" t="inlineStr">
        <is>
          <t>ENC119662</t>
        </is>
      </c>
      <c r="B2199" t="inlineStr">
        <is>
          <t>PT13468</t>
        </is>
      </c>
      <c r="C2199" t="inlineStr">
        <is>
          <t>Outpatient</t>
        </is>
      </c>
      <c r="D2199" t="inlineStr">
        <is>
          <t>Bluestone Outpatient Pavilion</t>
        </is>
      </c>
      <c r="E2199" t="inlineStr">
        <is>
          <t>Endocrinology &amp; Diabetes Clinic</t>
        </is>
      </c>
      <c r="F2199" t="inlineStr">
        <is>
          <t>Ambulatory</t>
        </is>
      </c>
      <c r="G2199" s="29" t="n">
        <v>45958</v>
      </c>
      <c r="H2199" s="29" t="n">
        <v>45958</v>
      </c>
      <c r="I2199" s="30" t="n"/>
      <c r="J2199" t="inlineStr">
        <is>
          <t>E11.9</t>
        </is>
      </c>
      <c r="K2199" t="inlineStr">
        <is>
          <t>Type 2 diabetes mellitus without complications</t>
        </is>
      </c>
      <c r="L2199" t="inlineStr">
        <is>
          <t>Endocrine</t>
        </is>
      </c>
      <c r="M2199" t="inlineStr">
        <is>
          <t>Home/Self-Care</t>
        </is>
      </c>
      <c r="N2199" t="inlineStr">
        <is>
          <t>Keystone Health Partners</t>
        </is>
      </c>
      <c r="O2199" s="31" t="n">
        <v>251.72</v>
      </c>
    </row>
    <row r="2200">
      <c r="A2200" t="inlineStr">
        <is>
          <t>ENC119671</t>
        </is>
      </c>
      <c r="B2200" t="inlineStr">
        <is>
          <t>PT11684</t>
        </is>
      </c>
      <c r="C2200" t="inlineStr">
        <is>
          <t>Outpatient</t>
        </is>
      </c>
      <c r="D2200" t="inlineStr">
        <is>
          <t>Bluestone Outpatient Pavilion</t>
        </is>
      </c>
      <c r="E2200" t="inlineStr">
        <is>
          <t>Pediatric Clinic</t>
        </is>
      </c>
      <c r="F2200" t="inlineStr">
        <is>
          <t>Women &amp; Children</t>
        </is>
      </c>
      <c r="G2200" s="29" t="n">
        <v>45958</v>
      </c>
      <c r="H2200" s="29" t="n">
        <v>45958</v>
      </c>
      <c r="I2200" s="30" t="n"/>
      <c r="J2200" t="inlineStr">
        <is>
          <t>Z00.129</t>
        </is>
      </c>
      <c r="K2200" t="inlineStr">
        <is>
          <t>Encounter for routine child health examination without abnormal findings</t>
        </is>
      </c>
      <c r="L2200" t="inlineStr">
        <is>
          <t>Factors Influencing Health</t>
        </is>
      </c>
      <c r="M2200" t="inlineStr">
        <is>
          <t>Home/Self-Care</t>
        </is>
      </c>
      <c r="N2200" t="inlineStr">
        <is>
          <t>Evergreen Mutual Insurance</t>
        </is>
      </c>
      <c r="O2200" s="31" t="n">
        <v>342.69</v>
      </c>
    </row>
    <row r="2201">
      <c r="A2201" t="inlineStr">
        <is>
          <t>ENC119672</t>
        </is>
      </c>
      <c r="B2201" t="inlineStr">
        <is>
          <t>PT12696</t>
        </is>
      </c>
      <c r="C2201" t="inlineStr">
        <is>
          <t>Outpatient</t>
        </is>
      </c>
      <c r="D2201" t="inlineStr">
        <is>
          <t>Bluestone Outpatient Pavilion</t>
        </is>
      </c>
      <c r="E2201" t="inlineStr">
        <is>
          <t>Endocrinology &amp; Diabetes Clinic</t>
        </is>
      </c>
      <c r="F2201" t="inlineStr">
        <is>
          <t>Ambulatory</t>
        </is>
      </c>
      <c r="G2201" s="29" t="n">
        <v>45958</v>
      </c>
      <c r="H2201" s="29" t="n">
        <v>45958</v>
      </c>
      <c r="I2201" s="30" t="n"/>
      <c r="J2201" t="inlineStr">
        <is>
          <t>E11.9</t>
        </is>
      </c>
      <c r="K2201" t="inlineStr">
        <is>
          <t>Type 2 diabetes mellitus without complications</t>
        </is>
      </c>
      <c r="L2201" t="inlineStr">
        <is>
          <t>Endocrine</t>
        </is>
      </c>
      <c r="M2201" t="inlineStr">
        <is>
          <t>Home/Self-Care</t>
        </is>
      </c>
      <c r="N2201" t="inlineStr">
        <is>
          <t>Medicare</t>
        </is>
      </c>
      <c r="O2201" s="31" t="n">
        <v>283.19</v>
      </c>
    </row>
    <row r="2202">
      <c r="A2202" t="inlineStr">
        <is>
          <t>ENC119673</t>
        </is>
      </c>
      <c r="B2202" t="inlineStr">
        <is>
          <t>PT12312</t>
        </is>
      </c>
      <c r="C2202" t="inlineStr">
        <is>
          <t>Outpatient</t>
        </is>
      </c>
      <c r="D2202" t="inlineStr">
        <is>
          <t>Bluestone Outpatient Pavilion</t>
        </is>
      </c>
      <c r="E2202" t="inlineStr">
        <is>
          <t>Endocrinology &amp; Diabetes Clinic</t>
        </is>
      </c>
      <c r="F2202" t="inlineStr">
        <is>
          <t>Ambulatory</t>
        </is>
      </c>
      <c r="G2202" s="29" t="n">
        <v>45958</v>
      </c>
      <c r="H2202" s="29" t="n">
        <v>45958</v>
      </c>
      <c r="I2202" s="30" t="n"/>
      <c r="J2202" t="inlineStr">
        <is>
          <t>E11.65</t>
        </is>
      </c>
      <c r="K2202" t="inlineStr">
        <is>
          <t>Type 2 diabetes mellitus with hyperglycemia</t>
        </is>
      </c>
      <c r="L2202" t="inlineStr">
        <is>
          <t>Endocrine</t>
        </is>
      </c>
      <c r="M2202" t="inlineStr">
        <is>
          <t>Home/Self-Care</t>
        </is>
      </c>
      <c r="N2202" t="inlineStr">
        <is>
          <t>Medicare</t>
        </is>
      </c>
      <c r="O2202" s="31" t="n">
        <v>458.87</v>
      </c>
    </row>
    <row r="2203">
      <c r="A2203" t="inlineStr">
        <is>
          <t>ENC119676</t>
        </is>
      </c>
      <c r="B2203" t="inlineStr">
        <is>
          <t>PT13184</t>
        </is>
      </c>
      <c r="C2203" t="inlineStr">
        <is>
          <t>Emergency</t>
        </is>
      </c>
      <c r="D2203" t="inlineStr">
        <is>
          <t>Bluestone Memorial Hospital</t>
        </is>
      </c>
      <c r="E2203" t="inlineStr">
        <is>
          <t>Emergency Department</t>
        </is>
      </c>
      <c r="F2203" t="inlineStr">
        <is>
          <t>Emergency</t>
        </is>
      </c>
      <c r="G2203" s="29" t="n">
        <v>45958</v>
      </c>
      <c r="H2203" s="29" t="n">
        <v>45958</v>
      </c>
      <c r="I2203" s="30" t="n"/>
      <c r="J2203" t="inlineStr">
        <is>
          <t>R10.9</t>
        </is>
      </c>
      <c r="K2203" t="inlineStr">
        <is>
          <t>Unspecified abdominal pain</t>
        </is>
      </c>
      <c r="L2203" t="inlineStr">
        <is>
          <t>Symptoms &amp; Signs</t>
        </is>
      </c>
      <c r="M2203" t="inlineStr">
        <is>
          <t>Home/Self-Care</t>
        </is>
      </c>
      <c r="N2203" t="inlineStr">
        <is>
          <t>Self-Pay</t>
        </is>
      </c>
      <c r="O2203" s="31" t="n">
        <v>4754</v>
      </c>
    </row>
    <row r="2204">
      <c r="A2204" t="inlineStr">
        <is>
          <t>ENC119677</t>
        </is>
      </c>
      <c r="B2204" t="inlineStr">
        <is>
          <t>PT12300</t>
        </is>
      </c>
      <c r="C2204" t="inlineStr">
        <is>
          <t>Inpatient</t>
        </is>
      </c>
      <c r="D2204" t="inlineStr">
        <is>
          <t>Bluestone Memorial Hospital</t>
        </is>
      </c>
      <c r="E2204" t="inlineStr">
        <is>
          <t>Neuroscience &amp; Stroke</t>
        </is>
      </c>
      <c r="F2204" t="inlineStr">
        <is>
          <t>Neuroscience</t>
        </is>
      </c>
      <c r="G2204" s="29" t="n">
        <v>45958</v>
      </c>
      <c r="H2204" s="29" t="n">
        <v>45960</v>
      </c>
      <c r="I2204" s="30" t="n">
        <v>2</v>
      </c>
      <c r="J2204" t="inlineStr">
        <is>
          <t>G40.909</t>
        </is>
      </c>
      <c r="K2204" t="inlineStr">
        <is>
          <t>Epilepsy, unspecified, not intractable, without status epilepticus</t>
        </is>
      </c>
      <c r="L2204" t="inlineStr">
        <is>
          <t>Nervous System</t>
        </is>
      </c>
      <c r="M2204" t="inlineStr">
        <is>
          <t>Home/Self-Care</t>
        </is>
      </c>
      <c r="N2204" t="inlineStr">
        <is>
          <t>Summit Choice PPO</t>
        </is>
      </c>
      <c r="O2204" s="31" t="n">
        <v>17228.74</v>
      </c>
      <c r="P2204" t="inlineStr">
        <is>
          <t>N</t>
        </is>
      </c>
    </row>
    <row r="2205">
      <c r="A2205" t="inlineStr">
        <is>
          <t>ENC119685</t>
        </is>
      </c>
      <c r="B2205" t="inlineStr">
        <is>
          <t>PT12524</t>
        </is>
      </c>
      <c r="C2205" t="inlineStr">
        <is>
          <t>Inpatient</t>
        </is>
      </c>
      <c r="D2205" t="inlineStr">
        <is>
          <t>Bluestone Memorial Hospital</t>
        </is>
      </c>
      <c r="E2205" t="inlineStr">
        <is>
          <t>Medical-Surgical 5 East</t>
        </is>
      </c>
      <c r="F2205" t="inlineStr">
        <is>
          <t>Medicine</t>
        </is>
      </c>
      <c r="G2205" s="29" t="n">
        <v>45958</v>
      </c>
      <c r="H2205" s="29" t="n">
        <v>45963</v>
      </c>
      <c r="I2205" s="30" t="n">
        <v>5</v>
      </c>
      <c r="J2205" t="inlineStr">
        <is>
          <t>K92.2</t>
        </is>
      </c>
      <c r="K2205" t="inlineStr">
        <is>
          <t>Gastrointestinal hemorrhage, unspecified</t>
        </is>
      </c>
      <c r="L2205" t="inlineStr">
        <is>
          <t>Digestive</t>
        </is>
      </c>
      <c r="M2205" t="inlineStr">
        <is>
          <t>Home/Self-Care</t>
        </is>
      </c>
      <c r="N2205" t="inlineStr">
        <is>
          <t>Medicare</t>
        </is>
      </c>
      <c r="O2205" s="31" t="n">
        <v>18289.11</v>
      </c>
      <c r="P2205" t="inlineStr">
        <is>
          <t>N</t>
        </is>
      </c>
    </row>
    <row r="2206">
      <c r="A2206" t="inlineStr">
        <is>
          <t>ENC119686</t>
        </is>
      </c>
      <c r="B2206" t="inlineStr">
        <is>
          <t>PT10588</t>
        </is>
      </c>
      <c r="C2206" t="inlineStr">
        <is>
          <t>Emergency</t>
        </is>
      </c>
      <c r="D2206" t="inlineStr">
        <is>
          <t>Ashby Falls Community Hospital</t>
        </is>
      </c>
      <c r="E2206" t="inlineStr">
        <is>
          <t>Emergency Department</t>
        </is>
      </c>
      <c r="F2206" t="inlineStr">
        <is>
          <t>Emergency</t>
        </is>
      </c>
      <c r="G2206" s="29" t="n">
        <v>45958</v>
      </c>
      <c r="H2206" s="29" t="n">
        <v>45958</v>
      </c>
      <c r="I2206" s="30" t="n"/>
      <c r="J2206" t="inlineStr">
        <is>
          <t>F41.9</t>
        </is>
      </c>
      <c r="K2206" t="inlineStr">
        <is>
          <t>Anxiety disorder, unspecified</t>
        </is>
      </c>
      <c r="L2206" t="inlineStr">
        <is>
          <t>Mental &amp; Behavioral</t>
        </is>
      </c>
      <c r="M2206" t="inlineStr">
        <is>
          <t>Home/Self-Care</t>
        </is>
      </c>
      <c r="N2206" t="inlineStr">
        <is>
          <t>Medicare</t>
        </is>
      </c>
      <c r="O2206" s="31" t="n">
        <v>1372.49</v>
      </c>
    </row>
    <row r="2207">
      <c r="A2207" t="inlineStr">
        <is>
          <t>ENC119691</t>
        </is>
      </c>
      <c r="B2207" t="inlineStr">
        <is>
          <t>PT10320</t>
        </is>
      </c>
      <c r="C2207" t="inlineStr">
        <is>
          <t>Inpatient</t>
        </is>
      </c>
      <c r="D2207" t="inlineStr">
        <is>
          <t>Ashby Falls Community Hospital</t>
        </is>
      </c>
      <c r="E2207" t="inlineStr">
        <is>
          <t>Medical-Surgical</t>
        </is>
      </c>
      <c r="F2207" t="inlineStr">
        <is>
          <t>Medicine</t>
        </is>
      </c>
      <c r="G2207" s="29" t="n">
        <v>45959</v>
      </c>
      <c r="H2207" s="29" t="n">
        <v>45967</v>
      </c>
      <c r="I2207" s="30" t="n">
        <v>8</v>
      </c>
      <c r="J2207" t="inlineStr">
        <is>
          <t>I48.91</t>
        </is>
      </c>
      <c r="K2207" t="inlineStr">
        <is>
          <t>Unspecified atrial fibrillation</t>
        </is>
      </c>
      <c r="L2207" t="inlineStr">
        <is>
          <t>Circulatory</t>
        </is>
      </c>
      <c r="M2207" t="inlineStr">
        <is>
          <t>Home/Self-Care</t>
        </is>
      </c>
      <c r="N2207" t="inlineStr">
        <is>
          <t>Medicare</t>
        </is>
      </c>
      <c r="O2207" s="31" t="n">
        <v>42880.08</v>
      </c>
      <c r="P2207" t="inlineStr">
        <is>
          <t>N</t>
        </is>
      </c>
    </row>
    <row r="2208">
      <c r="A2208" t="inlineStr">
        <is>
          <t>ENC119696</t>
        </is>
      </c>
      <c r="B2208" t="inlineStr">
        <is>
          <t>PT12416</t>
        </is>
      </c>
      <c r="C2208" t="inlineStr">
        <is>
          <t>Outpatient</t>
        </is>
      </c>
      <c r="D2208" t="inlineStr">
        <is>
          <t>Bluestone Outpatient Pavilion</t>
        </is>
      </c>
      <c r="E2208" t="inlineStr">
        <is>
          <t>Pediatric Clinic</t>
        </is>
      </c>
      <c r="F2208" t="inlineStr">
        <is>
          <t>Women &amp; Children</t>
        </is>
      </c>
      <c r="G2208" s="29" t="n">
        <v>45959</v>
      </c>
      <c r="H2208" s="29" t="n">
        <v>45959</v>
      </c>
      <c r="I2208" s="30" t="n"/>
      <c r="J2208" t="inlineStr">
        <is>
          <t>Z00.129</t>
        </is>
      </c>
      <c r="K2208" t="inlineStr">
        <is>
          <t>Encounter for routine child health examination without abnormal findings</t>
        </is>
      </c>
      <c r="L2208" t="inlineStr">
        <is>
          <t>Factors Influencing Health</t>
        </is>
      </c>
      <c r="M2208" t="inlineStr">
        <is>
          <t>Home/Self-Care</t>
        </is>
      </c>
      <c r="N2208" t="inlineStr">
        <is>
          <t>Summit Choice PPO</t>
        </is>
      </c>
      <c r="O2208" s="31" t="n">
        <v>436.61</v>
      </c>
    </row>
    <row r="2209">
      <c r="A2209" t="inlineStr">
        <is>
          <t>ENC119704</t>
        </is>
      </c>
      <c r="B2209" t="inlineStr">
        <is>
          <t>PT10132</t>
        </is>
      </c>
      <c r="C2209" t="inlineStr">
        <is>
          <t>Inpatient</t>
        </is>
      </c>
      <c r="D2209" t="inlineStr">
        <is>
          <t>Bluestone Memorial Hospital</t>
        </is>
      </c>
      <c r="E2209" t="inlineStr">
        <is>
          <t>Medical-Surgical 5 East</t>
        </is>
      </c>
      <c r="F2209" t="inlineStr">
        <is>
          <t>Medicine</t>
        </is>
      </c>
      <c r="G2209" s="29" t="n">
        <v>45959</v>
      </c>
      <c r="H2209" s="29" t="n">
        <v>45962</v>
      </c>
      <c r="I2209" s="30" t="n">
        <v>3</v>
      </c>
      <c r="J2209" t="inlineStr">
        <is>
          <t>J44.1</t>
        </is>
      </c>
      <c r="K2209" t="inlineStr">
        <is>
          <t>Chronic obstructive pulmonary disease with (acute) exacerbation</t>
        </is>
      </c>
      <c r="L2209" t="inlineStr">
        <is>
          <t>Respiratory</t>
        </is>
      </c>
      <c r="M2209" t="inlineStr">
        <is>
          <t>Skilled Nursing Facility</t>
        </is>
      </c>
      <c r="N2209" t="inlineStr">
        <is>
          <t>Medicare</t>
        </is>
      </c>
      <c r="O2209" s="31" t="n">
        <v>21626.53</v>
      </c>
      <c r="P2209" t="inlineStr">
        <is>
          <t>N</t>
        </is>
      </c>
    </row>
    <row r="2210">
      <c r="A2210" t="inlineStr">
        <is>
          <t>ENC119707</t>
        </is>
      </c>
      <c r="B2210" t="inlineStr">
        <is>
          <t>PT13616</t>
        </is>
      </c>
      <c r="C2210" t="inlineStr">
        <is>
          <t>Outpatient</t>
        </is>
      </c>
      <c r="D2210" t="inlineStr">
        <is>
          <t>Bluestone Outpatient Pavilion</t>
        </is>
      </c>
      <c r="E2210" t="inlineStr">
        <is>
          <t>Primary Care Clinic</t>
        </is>
      </c>
      <c r="F2210" t="inlineStr">
        <is>
          <t>Ambulatory</t>
        </is>
      </c>
      <c r="G2210" s="29" t="n">
        <v>45959</v>
      </c>
      <c r="H2210" s="29" t="n">
        <v>45959</v>
      </c>
      <c r="I2210" s="30" t="n"/>
      <c r="J2210" t="inlineStr">
        <is>
          <t>Z00.00</t>
        </is>
      </c>
      <c r="K2210" t="inlineStr">
        <is>
          <t>Encounter for general adult medical examination without abnormal findings</t>
        </is>
      </c>
      <c r="L2210" t="inlineStr">
        <is>
          <t>Factors Influencing Health</t>
        </is>
      </c>
      <c r="M2210" t="inlineStr">
        <is>
          <t>Home/Self-Care</t>
        </is>
      </c>
      <c r="N2210" t="inlineStr">
        <is>
          <t>State Medicaid</t>
        </is>
      </c>
      <c r="O2210" s="31" t="n">
        <v>354.81</v>
      </c>
    </row>
    <row r="2211">
      <c r="A2211" t="inlineStr">
        <is>
          <t>ENC119709</t>
        </is>
      </c>
      <c r="B2211" t="inlineStr">
        <is>
          <t>PT11688</t>
        </is>
      </c>
      <c r="C2211" t="inlineStr">
        <is>
          <t>Outpatient</t>
        </is>
      </c>
      <c r="D2211" t="inlineStr">
        <is>
          <t>Bluestone Outpatient Pavilion</t>
        </is>
      </c>
      <c r="E2211" t="inlineStr">
        <is>
          <t>Primary Care Clinic</t>
        </is>
      </c>
      <c r="F2211" t="inlineStr">
        <is>
          <t>Ambulatory</t>
        </is>
      </c>
      <c r="G2211" s="29" t="n">
        <v>45959</v>
      </c>
      <c r="H2211" s="29" t="n">
        <v>45959</v>
      </c>
      <c r="I2211" s="30" t="n"/>
      <c r="J2211" t="inlineStr">
        <is>
          <t>M54.50</t>
        </is>
      </c>
      <c r="K2211" t="inlineStr">
        <is>
          <t>Low back pain, unspecified</t>
        </is>
      </c>
      <c r="L2211" t="inlineStr">
        <is>
          <t>Musculoskeletal</t>
        </is>
      </c>
      <c r="M2211" t="inlineStr">
        <is>
          <t>Home/Self-Care</t>
        </is>
      </c>
      <c r="N2211" t="inlineStr">
        <is>
          <t>Silverline Medicare Advantage</t>
        </is>
      </c>
      <c r="O2211" s="31" t="n">
        <v>335.5</v>
      </c>
    </row>
    <row r="2212">
      <c r="A2212" t="inlineStr">
        <is>
          <t>ENC119717</t>
        </is>
      </c>
      <c r="B2212" t="inlineStr">
        <is>
          <t>PT12440</t>
        </is>
      </c>
      <c r="C2212" t="inlineStr">
        <is>
          <t>Emergency</t>
        </is>
      </c>
      <c r="D2212" t="inlineStr">
        <is>
          <t>Ashby Falls Community Hospital</t>
        </is>
      </c>
      <c r="E2212" t="inlineStr">
        <is>
          <t>Emergency Department</t>
        </is>
      </c>
      <c r="F2212" t="inlineStr">
        <is>
          <t>Emergency</t>
        </is>
      </c>
      <c r="G2212" s="29" t="n">
        <v>45959</v>
      </c>
      <c r="H2212" s="29" t="n">
        <v>45959</v>
      </c>
      <c r="I2212" s="30" t="n"/>
      <c r="J2212" t="inlineStr">
        <is>
          <t>R10.9</t>
        </is>
      </c>
      <c r="K2212" t="inlineStr">
        <is>
          <t>Unspecified abdominal pain</t>
        </is>
      </c>
      <c r="L2212" t="inlineStr">
        <is>
          <t>Symptoms &amp; Signs</t>
        </is>
      </c>
      <c r="M2212" t="inlineStr">
        <is>
          <t>Home/Self-Care</t>
        </is>
      </c>
      <c r="N2212" t="inlineStr">
        <is>
          <t>Medicare</t>
        </is>
      </c>
      <c r="O2212" s="31" t="n">
        <v>2565.88</v>
      </c>
    </row>
    <row r="2213">
      <c r="A2213" t="inlineStr">
        <is>
          <t>ENC119718</t>
        </is>
      </c>
      <c r="B2213" t="inlineStr">
        <is>
          <t>PT12732</t>
        </is>
      </c>
      <c r="C2213" t="inlineStr">
        <is>
          <t>Inpatient</t>
        </is>
      </c>
      <c r="D2213" t="inlineStr">
        <is>
          <t>Bluestone Memorial Hospital</t>
        </is>
      </c>
      <c r="E2213" t="inlineStr">
        <is>
          <t>Neuroscience &amp; Stroke</t>
        </is>
      </c>
      <c r="F2213" t="inlineStr">
        <is>
          <t>Neuroscience</t>
        </is>
      </c>
      <c r="G2213" s="29" t="n">
        <v>45959</v>
      </c>
      <c r="H2213" s="29" t="n">
        <v>45970</v>
      </c>
      <c r="I2213" s="30" t="n">
        <v>11</v>
      </c>
      <c r="J2213" t="inlineStr">
        <is>
          <t>I63.9</t>
        </is>
      </c>
      <c r="K2213" t="inlineStr">
        <is>
          <t>Cerebral infarction, unspecified</t>
        </is>
      </c>
      <c r="L2213" t="inlineStr">
        <is>
          <t>Circulatory</t>
        </is>
      </c>
      <c r="M2213" t="inlineStr">
        <is>
          <t>Skilled Nursing Facility</t>
        </is>
      </c>
      <c r="N2213" t="inlineStr">
        <is>
          <t>Silverline Medicare Advantage</t>
        </is>
      </c>
      <c r="O2213" s="31" t="n">
        <v>64673.13</v>
      </c>
      <c r="P2213" t="inlineStr">
        <is>
          <t>N</t>
        </is>
      </c>
    </row>
    <row r="2214">
      <c r="A2214" t="inlineStr">
        <is>
          <t>ENC119723</t>
        </is>
      </c>
      <c r="B2214" t="inlineStr">
        <is>
          <t>PT10236</t>
        </is>
      </c>
      <c r="C2214" t="inlineStr">
        <is>
          <t>Emergency</t>
        </is>
      </c>
      <c r="D2214" t="inlineStr">
        <is>
          <t>Cedar Ridge Medical Center</t>
        </is>
      </c>
      <c r="E2214" t="inlineStr">
        <is>
          <t>Emergency Department</t>
        </is>
      </c>
      <c r="F2214" t="inlineStr">
        <is>
          <t>Emergency</t>
        </is>
      </c>
      <c r="G2214" s="29" t="n">
        <v>45959</v>
      </c>
      <c r="H2214" s="29" t="n">
        <v>45960</v>
      </c>
      <c r="I2214" s="30" t="n"/>
      <c r="J2214" t="inlineStr">
        <is>
          <t>A08.4</t>
        </is>
      </c>
      <c r="K2214" t="inlineStr">
        <is>
          <t>Viral intestinal infection, unspecified</t>
        </is>
      </c>
      <c r="L2214" t="inlineStr">
        <is>
          <t>Infectious</t>
        </is>
      </c>
      <c r="M2214" t="inlineStr">
        <is>
          <t>Home/Self-Care</t>
        </is>
      </c>
      <c r="N2214" t="inlineStr">
        <is>
          <t>Keystone Health Partners</t>
        </is>
      </c>
      <c r="O2214" s="31" t="n">
        <v>1187.8</v>
      </c>
    </row>
    <row r="2215">
      <c r="A2215" t="inlineStr">
        <is>
          <t>ENC119724</t>
        </is>
      </c>
      <c r="B2215" t="inlineStr">
        <is>
          <t>PT12436</t>
        </is>
      </c>
      <c r="C2215" t="inlineStr">
        <is>
          <t>Emergency</t>
        </is>
      </c>
      <c r="D2215" t="inlineStr">
        <is>
          <t>Bluestone Memorial Hospital</t>
        </is>
      </c>
      <c r="E2215" t="inlineStr">
        <is>
          <t>Emergency Department</t>
        </is>
      </c>
      <c r="F2215" t="inlineStr">
        <is>
          <t>Emergency</t>
        </is>
      </c>
      <c r="G2215" s="29" t="n">
        <v>45960</v>
      </c>
      <c r="H2215" s="29" t="n">
        <v>45960</v>
      </c>
      <c r="I2215" s="30" t="n"/>
      <c r="J2215" t="inlineStr">
        <is>
          <t>S06.0X0A</t>
        </is>
      </c>
      <c r="K2215" t="inlineStr">
        <is>
          <t>Concussion without loss of consciousness, initial encounter</t>
        </is>
      </c>
      <c r="L2215" t="inlineStr">
        <is>
          <t>Injury</t>
        </is>
      </c>
      <c r="M2215" t="inlineStr">
        <is>
          <t>Home/Self-Care</t>
        </is>
      </c>
      <c r="N2215" t="inlineStr">
        <is>
          <t>Medicare</t>
        </is>
      </c>
      <c r="O2215" s="31" t="n">
        <v>2849.02</v>
      </c>
    </row>
    <row r="2216">
      <c r="A2216" t="inlineStr">
        <is>
          <t>ENC119729</t>
        </is>
      </c>
      <c r="B2216" t="inlineStr">
        <is>
          <t>PT13616</t>
        </is>
      </c>
      <c r="C2216" t="inlineStr">
        <is>
          <t>Inpatient</t>
        </is>
      </c>
      <c r="D2216" t="inlineStr">
        <is>
          <t>Bluestone Memorial Hospital</t>
        </is>
      </c>
      <c r="E2216" t="inlineStr">
        <is>
          <t>Medical-Surgical 5 East</t>
        </is>
      </c>
      <c r="F2216" t="inlineStr">
        <is>
          <t>Medicine</t>
        </is>
      </c>
      <c r="G2216" s="29" t="n">
        <v>45960</v>
      </c>
      <c r="H2216" s="29" t="n">
        <v>45963</v>
      </c>
      <c r="I2216" s="30" t="n">
        <v>3</v>
      </c>
      <c r="J2216" t="inlineStr">
        <is>
          <t>F10.239</t>
        </is>
      </c>
      <c r="K2216" t="inlineStr">
        <is>
          <t>Alcohol dependence with withdrawal, unspecified</t>
        </is>
      </c>
      <c r="L2216" t="inlineStr">
        <is>
          <t>Mental &amp; Behavioral</t>
        </is>
      </c>
      <c r="M2216" t="inlineStr">
        <is>
          <t>Home/Self-Care</t>
        </is>
      </c>
      <c r="N2216" t="inlineStr">
        <is>
          <t>State Medicaid</t>
        </is>
      </c>
      <c r="O2216" s="31" t="n">
        <v>16541.44</v>
      </c>
      <c r="P2216" t="inlineStr">
        <is>
          <t>N</t>
        </is>
      </c>
    </row>
    <row r="2217">
      <c r="A2217" t="inlineStr">
        <is>
          <t>ENC119735</t>
        </is>
      </c>
      <c r="B2217" t="inlineStr">
        <is>
          <t>PT10140</t>
        </is>
      </c>
      <c r="C2217" t="inlineStr">
        <is>
          <t>Emergency</t>
        </is>
      </c>
      <c r="D2217" t="inlineStr">
        <is>
          <t>Bluestone Memorial Hospital</t>
        </is>
      </c>
      <c r="E2217" t="inlineStr">
        <is>
          <t>Emergency Department</t>
        </is>
      </c>
      <c r="F2217" t="inlineStr">
        <is>
          <t>Emergency</t>
        </is>
      </c>
      <c r="G2217" s="29" t="n">
        <v>45960</v>
      </c>
      <c r="H2217" s="29" t="n">
        <v>45960</v>
      </c>
      <c r="I2217" s="30" t="n"/>
      <c r="J2217" t="inlineStr">
        <is>
          <t>J21.9</t>
        </is>
      </c>
      <c r="K2217" t="inlineStr">
        <is>
          <t>Acute bronchiolitis, unspecified</t>
        </is>
      </c>
      <c r="L2217" t="inlineStr">
        <is>
          <t>Respiratory</t>
        </is>
      </c>
      <c r="M2217" t="inlineStr">
        <is>
          <t>Home/Self-Care</t>
        </is>
      </c>
      <c r="N2217" t="inlineStr">
        <is>
          <t>Summit Choice PPO</t>
        </is>
      </c>
      <c r="O2217" s="31" t="n">
        <v>1928.57</v>
      </c>
    </row>
    <row r="2218">
      <c r="A2218" t="inlineStr">
        <is>
          <t>ENC119744</t>
        </is>
      </c>
      <c r="B2218" t="inlineStr">
        <is>
          <t>PT13100</t>
        </is>
      </c>
      <c r="C2218" t="inlineStr">
        <is>
          <t>Outpatient</t>
        </is>
      </c>
      <c r="D2218" t="inlineStr">
        <is>
          <t>Bluestone Outpatient Pavilion</t>
        </is>
      </c>
      <c r="E2218" t="inlineStr">
        <is>
          <t>Primary Care Clinic</t>
        </is>
      </c>
      <c r="F2218" t="inlineStr">
        <is>
          <t>Ambulatory</t>
        </is>
      </c>
      <c r="G2218" s="29" t="n">
        <v>45960</v>
      </c>
      <c r="H2218" s="29" t="n">
        <v>45960</v>
      </c>
      <c r="I2218" s="30" t="n"/>
      <c r="J2218" t="inlineStr">
        <is>
          <t>I10</t>
        </is>
      </c>
      <c r="K2218" t="inlineStr">
        <is>
          <t>Essential (primary) hypertension</t>
        </is>
      </c>
      <c r="L2218" t="inlineStr">
        <is>
          <t>Circulatory</t>
        </is>
      </c>
      <c r="M2218" t="inlineStr">
        <is>
          <t>Home/Self-Care</t>
        </is>
      </c>
      <c r="N2218" t="inlineStr">
        <is>
          <t>Medicare</t>
        </is>
      </c>
      <c r="O2218" s="31" t="n">
        <v>390.26</v>
      </c>
    </row>
    <row r="2219">
      <c r="A2219" t="inlineStr">
        <is>
          <t>ENC119752</t>
        </is>
      </c>
      <c r="B2219" t="inlineStr">
        <is>
          <t>PT10652</t>
        </is>
      </c>
      <c r="C2219" t="inlineStr">
        <is>
          <t>Emergency</t>
        </is>
      </c>
      <c r="D2219" t="inlineStr">
        <is>
          <t>Bluestone Memorial Hospital</t>
        </is>
      </c>
      <c r="E2219" t="inlineStr">
        <is>
          <t>Emergency Department</t>
        </is>
      </c>
      <c r="F2219" t="inlineStr">
        <is>
          <t>Emergency</t>
        </is>
      </c>
      <c r="G2219" s="29" t="n">
        <v>45960</v>
      </c>
      <c r="H2219" s="29" t="n">
        <v>45960</v>
      </c>
      <c r="I2219" s="30" t="n"/>
      <c r="J2219" t="inlineStr">
        <is>
          <t>J21.9</t>
        </is>
      </c>
      <c r="K2219" t="inlineStr">
        <is>
          <t>Acute bronchiolitis, unspecified</t>
        </is>
      </c>
      <c r="L2219" t="inlineStr">
        <is>
          <t>Respiratory</t>
        </is>
      </c>
      <c r="M2219" t="inlineStr">
        <is>
          <t>Home/Self-Care</t>
        </is>
      </c>
      <c r="N2219" t="inlineStr">
        <is>
          <t>Evergreen Mutual Insurance</t>
        </is>
      </c>
      <c r="O2219" s="31" t="n">
        <v>3507.22</v>
      </c>
    </row>
    <row r="2220">
      <c r="A2220" t="inlineStr">
        <is>
          <t>ENC119761</t>
        </is>
      </c>
      <c r="B2220" t="inlineStr">
        <is>
          <t>PT10436</t>
        </is>
      </c>
      <c r="C2220" t="inlineStr">
        <is>
          <t>Emergency</t>
        </is>
      </c>
      <c r="D2220" t="inlineStr">
        <is>
          <t>Bluestone Memorial Hospital</t>
        </is>
      </c>
      <c r="E2220" t="inlineStr">
        <is>
          <t>Emergency Department</t>
        </is>
      </c>
      <c r="F2220" t="inlineStr">
        <is>
          <t>Emergency</t>
        </is>
      </c>
      <c r="G2220" s="29" t="n">
        <v>45961</v>
      </c>
      <c r="H2220" s="29" t="n">
        <v>45961</v>
      </c>
      <c r="I2220" s="30" t="n"/>
      <c r="J2220" t="inlineStr">
        <is>
          <t>S06.0X0A</t>
        </is>
      </c>
      <c r="K2220" t="inlineStr">
        <is>
          <t>Concussion without loss of consciousness, initial encounter</t>
        </is>
      </c>
      <c r="L2220" t="inlineStr">
        <is>
          <t>Injury</t>
        </is>
      </c>
      <c r="M2220" t="inlineStr">
        <is>
          <t>Home/Self-Care</t>
        </is>
      </c>
      <c r="N2220" t="inlineStr">
        <is>
          <t>Summit Choice PPO</t>
        </is>
      </c>
      <c r="O2220" s="31" t="n">
        <v>2526.79</v>
      </c>
    </row>
    <row r="2221">
      <c r="A2221" t="inlineStr">
        <is>
          <t>ENC119763</t>
        </is>
      </c>
      <c r="B2221" t="inlineStr">
        <is>
          <t>PT13648</t>
        </is>
      </c>
      <c r="C2221" t="inlineStr">
        <is>
          <t>Inpatient</t>
        </is>
      </c>
      <c r="D2221" t="inlineStr">
        <is>
          <t>Bluestone Memorial Hospital</t>
        </is>
      </c>
      <c r="E2221" t="inlineStr">
        <is>
          <t>Orthopedics &amp; Spine</t>
        </is>
      </c>
      <c r="F2221" t="inlineStr">
        <is>
          <t>Orthopedics</t>
        </is>
      </c>
      <c r="G2221" s="29" t="n">
        <v>45961</v>
      </c>
      <c r="H2221" s="29" t="n">
        <v>45963</v>
      </c>
      <c r="I2221" s="30" t="n">
        <v>2</v>
      </c>
      <c r="J2221" t="inlineStr">
        <is>
          <t>M17.11</t>
        </is>
      </c>
      <c r="K2221" t="inlineStr">
        <is>
          <t>Unilateral primary osteoarthritis, right knee</t>
        </is>
      </c>
      <c r="L2221" t="inlineStr">
        <is>
          <t>Musculoskeletal</t>
        </is>
      </c>
      <c r="M2221" t="inlineStr">
        <is>
          <t>Skilled Nursing Facility</t>
        </is>
      </c>
      <c r="N2221" t="inlineStr">
        <is>
          <t>Silverline Medicare Advantage</t>
        </is>
      </c>
      <c r="O2221" s="31" t="n">
        <v>52881.07</v>
      </c>
      <c r="P2221" t="inlineStr">
        <is>
          <t>N</t>
        </is>
      </c>
    </row>
    <row r="2222">
      <c r="A2222" t="inlineStr">
        <is>
          <t>ENC119766</t>
        </is>
      </c>
      <c r="B2222" t="inlineStr">
        <is>
          <t>PT11628</t>
        </is>
      </c>
      <c r="C2222" t="inlineStr">
        <is>
          <t>Outpatient</t>
        </is>
      </c>
      <c r="D2222" t="inlineStr">
        <is>
          <t>Bluestone Outpatient Pavilion</t>
        </is>
      </c>
      <c r="E2222" t="inlineStr">
        <is>
          <t>Primary Care Clinic</t>
        </is>
      </c>
      <c r="F2222" t="inlineStr">
        <is>
          <t>Ambulatory</t>
        </is>
      </c>
      <c r="G2222" s="29" t="n">
        <v>45961</v>
      </c>
      <c r="H2222" s="29" t="n">
        <v>45961</v>
      </c>
      <c r="I2222" s="30" t="n"/>
      <c r="J2222" t="inlineStr">
        <is>
          <t>I10</t>
        </is>
      </c>
      <c r="K2222" t="inlineStr">
        <is>
          <t>Essential (primary) hypertension</t>
        </is>
      </c>
      <c r="L2222" t="inlineStr">
        <is>
          <t>Circulatory</t>
        </is>
      </c>
      <c r="M2222" t="inlineStr">
        <is>
          <t>Home/Self-Care</t>
        </is>
      </c>
      <c r="N2222" t="inlineStr">
        <is>
          <t>Silverline Medicare Advantage</t>
        </is>
      </c>
      <c r="O2222" s="31" t="n">
        <v>438.36</v>
      </c>
    </row>
    <row r="2223">
      <c r="A2223" t="inlineStr">
        <is>
          <t>ENC119768</t>
        </is>
      </c>
      <c r="B2223" t="inlineStr">
        <is>
          <t>PT13300</t>
        </is>
      </c>
      <c r="C2223" t="inlineStr">
        <is>
          <t>Outpatient</t>
        </is>
      </c>
      <c r="D2223" t="inlineStr">
        <is>
          <t>Bluestone Outpatient Pavilion</t>
        </is>
      </c>
      <c r="E2223" t="inlineStr">
        <is>
          <t>Primary Care Clinic</t>
        </is>
      </c>
      <c r="F2223" t="inlineStr">
        <is>
          <t>Ambulatory</t>
        </is>
      </c>
      <c r="G2223" s="29" t="n">
        <v>45961</v>
      </c>
      <c r="H2223" s="29" t="n">
        <v>45961</v>
      </c>
      <c r="I2223" s="30" t="n"/>
      <c r="J2223" t="inlineStr">
        <is>
          <t>M54.50</t>
        </is>
      </c>
      <c r="K2223" t="inlineStr">
        <is>
          <t>Low back pain, unspecified</t>
        </is>
      </c>
      <c r="L2223" t="inlineStr">
        <is>
          <t>Musculoskeletal</t>
        </is>
      </c>
      <c r="M2223" t="inlineStr">
        <is>
          <t>Home/Self-Care</t>
        </is>
      </c>
      <c r="N2223" t="inlineStr">
        <is>
          <t>Evergreen Mutual Insurance</t>
        </is>
      </c>
      <c r="O2223" s="31" t="n">
        <v>350.77</v>
      </c>
    </row>
    <row r="2224">
      <c r="A2224" t="inlineStr">
        <is>
          <t>ENC119771</t>
        </is>
      </c>
      <c r="B2224" t="inlineStr">
        <is>
          <t>PT10768</t>
        </is>
      </c>
      <c r="C2224" t="inlineStr">
        <is>
          <t>Outpatient</t>
        </is>
      </c>
      <c r="D2224" t="inlineStr">
        <is>
          <t>Bluestone Outpatient Pavilion</t>
        </is>
      </c>
      <c r="E2224" t="inlineStr">
        <is>
          <t>Primary Care Clinic</t>
        </is>
      </c>
      <c r="F2224" t="inlineStr">
        <is>
          <t>Ambulatory</t>
        </is>
      </c>
      <c r="G2224" s="29" t="n">
        <v>45961</v>
      </c>
      <c r="H2224" s="29" t="n">
        <v>45961</v>
      </c>
      <c r="I2224" s="30" t="n"/>
      <c r="J2224" t="inlineStr">
        <is>
          <t>F32.9</t>
        </is>
      </c>
      <c r="K2224" t="inlineStr">
        <is>
          <t>Major depressive disorder, single episode, unspecified</t>
        </is>
      </c>
      <c r="L2224" t="inlineStr">
        <is>
          <t>Mental &amp; Behavioral</t>
        </is>
      </c>
      <c r="M2224" t="inlineStr">
        <is>
          <t>Home/Self-Care</t>
        </is>
      </c>
      <c r="N2224" t="inlineStr">
        <is>
          <t>Evergreen Mutual Insurance</t>
        </is>
      </c>
      <c r="O2224" s="31" t="n">
        <v>490.16</v>
      </c>
    </row>
    <row r="2225">
      <c r="A2225" t="inlineStr">
        <is>
          <t>ENC119772</t>
        </is>
      </c>
      <c r="B2225" t="inlineStr">
        <is>
          <t>PT12444</t>
        </is>
      </c>
      <c r="C2225" t="inlineStr">
        <is>
          <t>Inpatient</t>
        </is>
      </c>
      <c r="D2225" t="inlineStr">
        <is>
          <t>Bluestone Memorial Hospital</t>
        </is>
      </c>
      <c r="E2225" t="inlineStr">
        <is>
          <t>Labor &amp; Delivery</t>
        </is>
      </c>
      <c r="F2225" t="inlineStr">
        <is>
          <t>Women &amp; Children</t>
        </is>
      </c>
      <c r="G2225" s="29" t="n">
        <v>45961</v>
      </c>
      <c r="H2225" s="29" t="n">
        <v>45963</v>
      </c>
      <c r="I2225" s="30" t="n">
        <v>2</v>
      </c>
      <c r="J2225" t="inlineStr">
        <is>
          <t>O80</t>
        </is>
      </c>
      <c r="K2225" t="inlineStr">
        <is>
          <t>Encounter for full-term uncomplicated delivery</t>
        </is>
      </c>
      <c r="L2225" t="inlineStr">
        <is>
          <t>Pregnancy</t>
        </is>
      </c>
      <c r="M2225" t="inlineStr">
        <is>
          <t>Home/Self-Care</t>
        </is>
      </c>
      <c r="N2225" t="inlineStr">
        <is>
          <t>Keystone Health Partners</t>
        </is>
      </c>
      <c r="O2225" s="31" t="n">
        <v>16690.57</v>
      </c>
      <c r="P2225" t="inlineStr">
        <is>
          <t>N</t>
        </is>
      </c>
    </row>
    <row r="2226">
      <c r="A2226" t="inlineStr">
        <is>
          <t>ENC119779</t>
        </is>
      </c>
      <c r="B2226" t="inlineStr">
        <is>
          <t>PT10260</t>
        </is>
      </c>
      <c r="C2226" t="inlineStr">
        <is>
          <t>Outpatient</t>
        </is>
      </c>
      <c r="D2226" t="inlineStr">
        <is>
          <t>Bluestone Outpatient Pavilion</t>
        </is>
      </c>
      <c r="E2226" t="inlineStr">
        <is>
          <t>Primary Care Clinic</t>
        </is>
      </c>
      <c r="F2226" t="inlineStr">
        <is>
          <t>Ambulatory</t>
        </is>
      </c>
      <c r="G2226" s="29" t="n">
        <v>45961</v>
      </c>
      <c r="H2226" s="29" t="n">
        <v>45961</v>
      </c>
      <c r="I2226" s="30" t="n"/>
      <c r="J2226" t="inlineStr">
        <is>
          <t>Z00.00</t>
        </is>
      </c>
      <c r="K2226" t="inlineStr">
        <is>
          <t>Encounter for general adult medical examination without abnormal findings</t>
        </is>
      </c>
      <c r="L2226" t="inlineStr">
        <is>
          <t>Factors Influencing Health</t>
        </is>
      </c>
      <c r="M2226" t="inlineStr">
        <is>
          <t>Home/Self-Care</t>
        </is>
      </c>
      <c r="N2226" t="inlineStr">
        <is>
          <t>Summit Choice PPO</t>
        </is>
      </c>
      <c r="O2226" s="31" t="n">
        <v>257.29</v>
      </c>
    </row>
    <row r="2227">
      <c r="A2227" t="inlineStr">
        <is>
          <t>ENC119780</t>
        </is>
      </c>
      <c r="B2227" t="inlineStr">
        <is>
          <t>PT11832</t>
        </is>
      </c>
      <c r="C2227" t="inlineStr">
        <is>
          <t>Outpatient</t>
        </is>
      </c>
      <c r="D2227" t="inlineStr">
        <is>
          <t>Bluestone Outpatient Pavilion</t>
        </is>
      </c>
      <c r="E2227" t="inlineStr">
        <is>
          <t>Endocrinology &amp; Diabetes Clinic</t>
        </is>
      </c>
      <c r="F2227" t="inlineStr">
        <is>
          <t>Ambulatory</t>
        </is>
      </c>
      <c r="G2227" s="29" t="n">
        <v>45961</v>
      </c>
      <c r="H2227" s="29" t="n">
        <v>45961</v>
      </c>
      <c r="I2227" s="30" t="n"/>
      <c r="J2227" t="inlineStr">
        <is>
          <t>E11.65</t>
        </is>
      </c>
      <c r="K2227" t="inlineStr">
        <is>
          <t>Type 2 diabetes mellitus with hyperglycemia</t>
        </is>
      </c>
      <c r="L2227" t="inlineStr">
        <is>
          <t>Endocrine</t>
        </is>
      </c>
      <c r="M2227" t="inlineStr">
        <is>
          <t>Home/Self-Care</t>
        </is>
      </c>
      <c r="N2227" t="inlineStr">
        <is>
          <t>State Medicaid</t>
        </is>
      </c>
      <c r="O2227" s="31" t="n">
        <v>221.46</v>
      </c>
    </row>
    <row r="2228">
      <c r="A2228" t="inlineStr">
        <is>
          <t>ENC119784</t>
        </is>
      </c>
      <c r="B2228" t="inlineStr">
        <is>
          <t>PT11828</t>
        </is>
      </c>
      <c r="C2228" t="inlineStr">
        <is>
          <t>Outpatient</t>
        </is>
      </c>
      <c r="D2228" t="inlineStr">
        <is>
          <t>Bluestone Outpatient Pavilion</t>
        </is>
      </c>
      <c r="E2228" t="inlineStr">
        <is>
          <t>Primary Care Clinic</t>
        </is>
      </c>
      <c r="F2228" t="inlineStr">
        <is>
          <t>Ambulatory</t>
        </is>
      </c>
      <c r="G2228" s="29" t="n">
        <v>45961</v>
      </c>
      <c r="H2228" s="29" t="n">
        <v>45961</v>
      </c>
      <c r="I2228" s="30" t="n"/>
      <c r="J2228" t="inlineStr">
        <is>
          <t>M54.50</t>
        </is>
      </c>
      <c r="K2228" t="inlineStr">
        <is>
          <t>Low back pain, unspecified</t>
        </is>
      </c>
      <c r="L2228" t="inlineStr">
        <is>
          <t>Musculoskeletal</t>
        </is>
      </c>
      <c r="M2228" t="inlineStr">
        <is>
          <t>Home/Self-Care</t>
        </is>
      </c>
      <c r="N2228" t="inlineStr">
        <is>
          <t>Summit Choice PPO</t>
        </is>
      </c>
      <c r="O2228" s="31" t="n">
        <v>174.99</v>
      </c>
    </row>
    <row r="2229">
      <c r="A2229" t="inlineStr">
        <is>
          <t>ENC119786</t>
        </is>
      </c>
      <c r="B2229" t="inlineStr">
        <is>
          <t>PT10540</t>
        </is>
      </c>
      <c r="C2229" t="inlineStr">
        <is>
          <t>Inpatient</t>
        </is>
      </c>
      <c r="D2229" t="inlineStr">
        <is>
          <t>Bluestone Memorial Hospital</t>
        </is>
      </c>
      <c r="E2229" t="inlineStr">
        <is>
          <t>Oncology</t>
        </is>
      </c>
      <c r="F2229" t="inlineStr">
        <is>
          <t>Oncology</t>
        </is>
      </c>
      <c r="G2229" s="29" t="n">
        <v>45961</v>
      </c>
      <c r="H2229" s="29" t="n">
        <v>45964</v>
      </c>
      <c r="I2229" s="30" t="n">
        <v>3</v>
      </c>
      <c r="J2229" t="inlineStr">
        <is>
          <t>C34.90</t>
        </is>
      </c>
      <c r="K2229" t="inlineStr">
        <is>
          <t>Malignant neoplasm of unspecified part of unspecified bronchus or lung</t>
        </is>
      </c>
      <c r="L2229" t="inlineStr">
        <is>
          <t>Neoplasms</t>
        </is>
      </c>
      <c r="M2229" t="inlineStr">
        <is>
          <t>Home/Self-Care</t>
        </is>
      </c>
      <c r="N2229" t="inlineStr">
        <is>
          <t>Evergreen Mutual Insurance</t>
        </is>
      </c>
      <c r="O2229" s="31" t="n">
        <v>17056.46</v>
      </c>
      <c r="P2229" t="inlineStr">
        <is>
          <t>N</t>
        </is>
      </c>
    </row>
    <row r="2230">
      <c r="A2230" t="inlineStr">
        <is>
          <t>ENC119787</t>
        </is>
      </c>
      <c r="B2230" t="inlineStr">
        <is>
          <t>PT12060</t>
        </is>
      </c>
      <c r="C2230" t="inlineStr">
        <is>
          <t>Emergency</t>
        </is>
      </c>
      <c r="D2230" t="inlineStr">
        <is>
          <t>Cedar Ridge Medical Center</t>
        </is>
      </c>
      <c r="E2230" t="inlineStr">
        <is>
          <t>Emergency Department</t>
        </is>
      </c>
      <c r="F2230" t="inlineStr">
        <is>
          <t>Emergency</t>
        </is>
      </c>
      <c r="G2230" s="29" t="n">
        <v>45961</v>
      </c>
      <c r="H2230" s="29" t="n">
        <v>45961</v>
      </c>
      <c r="I2230" s="30" t="n"/>
      <c r="J2230" t="inlineStr">
        <is>
          <t>A08.4</t>
        </is>
      </c>
      <c r="K2230" t="inlineStr">
        <is>
          <t>Viral intestinal infection, unspecified</t>
        </is>
      </c>
      <c r="L2230" t="inlineStr">
        <is>
          <t>Infectious</t>
        </is>
      </c>
      <c r="M2230" t="inlineStr">
        <is>
          <t>Home/Self-Care</t>
        </is>
      </c>
      <c r="N2230" t="inlineStr">
        <is>
          <t>Summit Choice PPO</t>
        </is>
      </c>
      <c r="O2230" s="31" t="n">
        <v>1288.83</v>
      </c>
    </row>
    <row r="2231">
      <c r="A2231" t="inlineStr">
        <is>
          <t>ENC119792</t>
        </is>
      </c>
      <c r="B2231" t="inlineStr">
        <is>
          <t>PT10648</t>
        </is>
      </c>
      <c r="C2231" t="inlineStr">
        <is>
          <t>Emergency</t>
        </is>
      </c>
      <c r="D2231" t="inlineStr">
        <is>
          <t>Bluestone Memorial Hospital</t>
        </is>
      </c>
      <c r="E2231" t="inlineStr">
        <is>
          <t>Emergency Department</t>
        </is>
      </c>
      <c r="F2231" t="inlineStr">
        <is>
          <t>Emergency</t>
        </is>
      </c>
      <c r="G2231" s="29" t="n">
        <v>45961</v>
      </c>
      <c r="H2231" s="29" t="n">
        <v>45961</v>
      </c>
      <c r="I2231" s="30" t="n"/>
      <c r="J2231" t="inlineStr">
        <is>
          <t>G40.909</t>
        </is>
      </c>
      <c r="K2231" t="inlineStr">
        <is>
          <t>Epilepsy, unspecified, not intractable, without status epilepticus</t>
        </is>
      </c>
      <c r="L2231" t="inlineStr">
        <is>
          <t>Nervous System</t>
        </is>
      </c>
      <c r="M2231" t="inlineStr">
        <is>
          <t>Home/Self-Care</t>
        </is>
      </c>
      <c r="N2231" t="inlineStr">
        <is>
          <t>Self-Pay</t>
        </is>
      </c>
      <c r="O2231" s="31" t="n">
        <v>4890.99</v>
      </c>
    </row>
    <row r="2232">
      <c r="A2232" t="inlineStr">
        <is>
          <t>ENC119800</t>
        </is>
      </c>
      <c r="B2232" t="inlineStr">
        <is>
          <t>PT12272</t>
        </is>
      </c>
      <c r="C2232" t="inlineStr">
        <is>
          <t>Emergency</t>
        </is>
      </c>
      <c r="D2232" t="inlineStr">
        <is>
          <t>Bluestone Memorial Hospital</t>
        </is>
      </c>
      <c r="E2232" t="inlineStr">
        <is>
          <t>Emergency Department</t>
        </is>
      </c>
      <c r="F2232" t="inlineStr">
        <is>
          <t>Emergency</t>
        </is>
      </c>
      <c r="G2232" s="29" t="n">
        <v>45961</v>
      </c>
      <c r="H2232" s="29" t="n">
        <v>45961</v>
      </c>
      <c r="I2232" s="30" t="n"/>
      <c r="J2232" t="inlineStr">
        <is>
          <t>J06.9</t>
        </is>
      </c>
      <c r="K2232" t="inlineStr">
        <is>
          <t>Acute upper respiratory infection, unspecified</t>
        </is>
      </c>
      <c r="L2232" t="inlineStr">
        <is>
          <t>Respiratory</t>
        </is>
      </c>
      <c r="M2232" t="inlineStr">
        <is>
          <t>Home/Self-Care</t>
        </is>
      </c>
      <c r="N2232" t="inlineStr">
        <is>
          <t>Keystone Health Partners</t>
        </is>
      </c>
      <c r="O2232" s="31" t="n">
        <v>1055.03</v>
      </c>
    </row>
    <row r="2233">
      <c r="A2233" t="inlineStr">
        <is>
          <t>ENC119804</t>
        </is>
      </c>
      <c r="B2233" t="inlineStr">
        <is>
          <t>PT12860</t>
        </is>
      </c>
      <c r="C2233" t="inlineStr">
        <is>
          <t>Inpatient</t>
        </is>
      </c>
      <c r="D2233" t="inlineStr">
        <is>
          <t>Cedar Ridge Medical Center</t>
        </is>
      </c>
      <c r="E2233" t="inlineStr">
        <is>
          <t>Medical-Surgical</t>
        </is>
      </c>
      <c r="F2233" t="inlineStr">
        <is>
          <t>Medicine</t>
        </is>
      </c>
      <c r="G2233" s="29" t="n">
        <v>45961</v>
      </c>
      <c r="H2233" s="29" t="n">
        <v>45966</v>
      </c>
      <c r="I2233" s="30" t="n">
        <v>5</v>
      </c>
      <c r="J2233" t="inlineStr">
        <is>
          <t>J44.1</t>
        </is>
      </c>
      <c r="K2233" t="inlineStr">
        <is>
          <t>Chronic obstructive pulmonary disease with (acute) exacerbation</t>
        </is>
      </c>
      <c r="L2233" t="inlineStr">
        <is>
          <t>Respiratory</t>
        </is>
      </c>
      <c r="M2233" t="inlineStr">
        <is>
          <t>Home/Self-Care</t>
        </is>
      </c>
      <c r="N2233" t="inlineStr">
        <is>
          <t>Self-Pay</t>
        </is>
      </c>
      <c r="O2233" s="31" t="n">
        <v>27848.13</v>
      </c>
      <c r="P2233" t="inlineStr">
        <is>
          <t>N</t>
        </is>
      </c>
    </row>
    <row r="2234">
      <c r="A2234" t="inlineStr">
        <is>
          <t>ENC119807</t>
        </is>
      </c>
      <c r="B2234" t="inlineStr">
        <is>
          <t>PT10140</t>
        </is>
      </c>
      <c r="C2234" t="inlineStr">
        <is>
          <t>Emergency</t>
        </is>
      </c>
      <c r="D2234" t="inlineStr">
        <is>
          <t>Bluestone Memorial Hospital</t>
        </is>
      </c>
      <c r="E2234" t="inlineStr">
        <is>
          <t>Emergency Department</t>
        </is>
      </c>
      <c r="F2234" t="inlineStr">
        <is>
          <t>Emergency</t>
        </is>
      </c>
      <c r="G2234" s="29" t="n">
        <v>45962</v>
      </c>
      <c r="H2234" s="29" t="n">
        <v>45962</v>
      </c>
      <c r="I2234" s="30" t="n"/>
      <c r="J2234" t="inlineStr">
        <is>
          <t>J21.9</t>
        </is>
      </c>
      <c r="K2234" t="inlineStr">
        <is>
          <t>Acute bronchiolitis, unspecified</t>
        </is>
      </c>
      <c r="L2234" t="inlineStr">
        <is>
          <t>Respiratory</t>
        </is>
      </c>
      <c r="M2234" t="inlineStr">
        <is>
          <t>Home/Self-Care</t>
        </is>
      </c>
      <c r="N2234" t="inlineStr">
        <is>
          <t>Summit Choice PPO</t>
        </is>
      </c>
      <c r="O2234" s="31" t="n">
        <v>3023.42</v>
      </c>
    </row>
    <row r="2235">
      <c r="A2235" t="inlineStr">
        <is>
          <t>ENC119810</t>
        </is>
      </c>
      <c r="B2235" t="inlineStr">
        <is>
          <t>PT13692</t>
        </is>
      </c>
      <c r="C2235" t="inlineStr">
        <is>
          <t>Inpatient</t>
        </is>
      </c>
      <c r="D2235" t="inlineStr">
        <is>
          <t>Ashby Falls Community Hospital</t>
        </is>
      </c>
      <c r="E2235" t="inlineStr">
        <is>
          <t>Medical-Surgical</t>
        </is>
      </c>
      <c r="F2235" t="inlineStr">
        <is>
          <t>Medicine</t>
        </is>
      </c>
      <c r="G2235" s="29" t="n">
        <v>45962</v>
      </c>
      <c r="H2235" s="29" t="n">
        <v>45966</v>
      </c>
      <c r="I2235" s="30" t="n">
        <v>4</v>
      </c>
      <c r="J2235" t="inlineStr">
        <is>
          <t>I50.9</t>
        </is>
      </c>
      <c r="K2235" t="inlineStr">
        <is>
          <t>Heart failure, unspecified</t>
        </is>
      </c>
      <c r="L2235" t="inlineStr">
        <is>
          <t>Circulatory</t>
        </is>
      </c>
      <c r="M2235" t="inlineStr">
        <is>
          <t>Home/Self-Care</t>
        </is>
      </c>
      <c r="N2235" t="inlineStr">
        <is>
          <t>State Medicaid</t>
        </is>
      </c>
      <c r="O2235" s="31" t="n">
        <v>19140.34</v>
      </c>
      <c r="P2235" t="inlineStr">
        <is>
          <t>N</t>
        </is>
      </c>
    </row>
    <row r="2236">
      <c r="A2236" t="inlineStr">
        <is>
          <t>ENC119815</t>
        </is>
      </c>
      <c r="B2236" t="inlineStr">
        <is>
          <t>PT10048</t>
        </is>
      </c>
      <c r="C2236" t="inlineStr">
        <is>
          <t>Emergency</t>
        </is>
      </c>
      <c r="D2236" t="inlineStr">
        <is>
          <t>Ashby Falls Community Hospital</t>
        </is>
      </c>
      <c r="E2236" t="inlineStr">
        <is>
          <t>Emergency Department</t>
        </is>
      </c>
      <c r="F2236" t="inlineStr">
        <is>
          <t>Emergency</t>
        </is>
      </c>
      <c r="G2236" s="29" t="n">
        <v>45962</v>
      </c>
      <c r="H2236" s="29" t="n">
        <v>45962</v>
      </c>
      <c r="I2236" s="30" t="n"/>
      <c r="J2236" t="inlineStr">
        <is>
          <t>J06.9</t>
        </is>
      </c>
      <c r="K2236" t="inlineStr">
        <is>
          <t>Acute upper respiratory infection, unspecified</t>
        </is>
      </c>
      <c r="L2236" t="inlineStr">
        <is>
          <t>Respiratory</t>
        </is>
      </c>
      <c r="M2236" t="inlineStr">
        <is>
          <t>Home/Self-Care</t>
        </is>
      </c>
      <c r="N2236" t="inlineStr">
        <is>
          <t>State Medicaid</t>
        </is>
      </c>
      <c r="O2236" s="31" t="n">
        <v>971.66</v>
      </c>
    </row>
    <row r="2237">
      <c r="A2237" t="inlineStr">
        <is>
          <t>ENC119819</t>
        </is>
      </c>
      <c r="B2237" t="inlineStr">
        <is>
          <t>PT11328</t>
        </is>
      </c>
      <c r="C2237" t="inlineStr">
        <is>
          <t>Emergency</t>
        </is>
      </c>
      <c r="D2237" t="inlineStr">
        <is>
          <t>Bluestone Memorial Hospital</t>
        </is>
      </c>
      <c r="E2237" t="inlineStr">
        <is>
          <t>Emergency Department</t>
        </is>
      </c>
      <c r="F2237" t="inlineStr">
        <is>
          <t>Emergency</t>
        </is>
      </c>
      <c r="G2237" s="29" t="n">
        <v>45963</v>
      </c>
      <c r="H2237" s="29" t="n">
        <v>45963</v>
      </c>
      <c r="I2237" s="30" t="n"/>
      <c r="J2237" t="inlineStr">
        <is>
          <t>G40.909</t>
        </is>
      </c>
      <c r="K2237" t="inlineStr">
        <is>
          <t>Epilepsy, unspecified, not intractable, without status epilepticus</t>
        </is>
      </c>
      <c r="L2237" t="inlineStr">
        <is>
          <t>Nervous System</t>
        </is>
      </c>
      <c r="M2237" t="inlineStr">
        <is>
          <t>Home/Self-Care</t>
        </is>
      </c>
      <c r="N2237" t="inlineStr">
        <is>
          <t>Medicare</t>
        </is>
      </c>
      <c r="O2237" s="31" t="n">
        <v>2551.48</v>
      </c>
    </row>
    <row r="2238">
      <c r="A2238" t="inlineStr">
        <is>
          <t>ENC119822</t>
        </is>
      </c>
      <c r="B2238" t="inlineStr">
        <is>
          <t>PT13940</t>
        </is>
      </c>
      <c r="C2238" t="inlineStr">
        <is>
          <t>Observation</t>
        </is>
      </c>
      <c r="D2238" t="inlineStr">
        <is>
          <t>Cedar Ridge Medical Center</t>
        </is>
      </c>
      <c r="E2238" t="inlineStr">
        <is>
          <t>Medical-Surgical</t>
        </is>
      </c>
      <c r="F2238" t="inlineStr">
        <is>
          <t>Medicine</t>
        </is>
      </c>
      <c r="G2238" s="29" t="n">
        <v>45963</v>
      </c>
      <c r="H2238" s="29" t="n">
        <v>45964</v>
      </c>
      <c r="I2238" s="30" t="n">
        <v>1</v>
      </c>
      <c r="J2238" t="inlineStr">
        <is>
          <t>L03.115</t>
        </is>
      </c>
      <c r="K2238" t="inlineStr">
        <is>
          <t>Cellulitis of right lower limb</t>
        </is>
      </c>
      <c r="L2238" t="inlineStr">
        <is>
          <t>Skin</t>
        </is>
      </c>
      <c r="M2238" t="inlineStr">
        <is>
          <t>Home/Self-Care</t>
        </is>
      </c>
      <c r="N2238" t="inlineStr">
        <is>
          <t>Evergreen Mutual Insurance</t>
        </is>
      </c>
      <c r="O2238" s="31" t="n">
        <v>5834.29</v>
      </c>
    </row>
    <row r="2239">
      <c r="A2239" t="inlineStr">
        <is>
          <t>ENC119823</t>
        </is>
      </c>
      <c r="B2239" t="inlineStr">
        <is>
          <t>PT12896</t>
        </is>
      </c>
      <c r="C2239" t="inlineStr">
        <is>
          <t>Inpatient</t>
        </is>
      </c>
      <c r="D2239" t="inlineStr">
        <is>
          <t>Cedar Ridge Medical Center</t>
        </is>
      </c>
      <c r="E2239" t="inlineStr">
        <is>
          <t>Medical-Surgical</t>
        </is>
      </c>
      <c r="F2239" t="inlineStr">
        <is>
          <t>Medicine</t>
        </is>
      </c>
      <c r="G2239" s="29" t="n">
        <v>45963</v>
      </c>
      <c r="H2239" s="29" t="n">
        <v>45968</v>
      </c>
      <c r="I2239" s="30" t="n">
        <v>5</v>
      </c>
      <c r="J2239" t="inlineStr">
        <is>
          <t>L03.115</t>
        </is>
      </c>
      <c r="K2239" t="inlineStr">
        <is>
          <t>Cellulitis of right lower limb</t>
        </is>
      </c>
      <c r="L2239" t="inlineStr">
        <is>
          <t>Skin</t>
        </is>
      </c>
      <c r="M2239" t="inlineStr">
        <is>
          <t>Home/Self-Care</t>
        </is>
      </c>
      <c r="N2239" t="inlineStr">
        <is>
          <t>Silverline Medicare Advantage</t>
        </is>
      </c>
      <c r="O2239" s="31" t="n">
        <v>16070.33</v>
      </c>
      <c r="P2239" t="inlineStr">
        <is>
          <t>Y</t>
        </is>
      </c>
    </row>
    <row r="2240">
      <c r="A2240" t="inlineStr">
        <is>
          <t>ENC119824</t>
        </is>
      </c>
      <c r="B2240" t="inlineStr">
        <is>
          <t>PT13092</t>
        </is>
      </c>
      <c r="C2240" t="inlineStr">
        <is>
          <t>Inpatient</t>
        </is>
      </c>
      <c r="D2240" t="inlineStr">
        <is>
          <t>Bluestone Memorial Hospital</t>
        </is>
      </c>
      <c r="E2240" t="inlineStr">
        <is>
          <t>Medical-Surgical 4 West</t>
        </is>
      </c>
      <c r="F2240" t="inlineStr">
        <is>
          <t>Medicine</t>
        </is>
      </c>
      <c r="G2240" s="29" t="n">
        <v>45963</v>
      </c>
      <c r="H2240" s="29" t="n">
        <v>45966</v>
      </c>
      <c r="I2240" s="30" t="n">
        <v>3</v>
      </c>
      <c r="J2240" t="inlineStr">
        <is>
          <t>A41.9</t>
        </is>
      </c>
      <c r="K2240" t="inlineStr">
        <is>
          <t>Sepsis, unspecified organism</t>
        </is>
      </c>
      <c r="L2240" t="inlineStr">
        <is>
          <t>Infectious</t>
        </is>
      </c>
      <c r="M2240" t="inlineStr">
        <is>
          <t>Home/Self-Care</t>
        </is>
      </c>
      <c r="N2240" t="inlineStr">
        <is>
          <t>Silverline Medicare Advantage</t>
        </is>
      </c>
      <c r="O2240" s="31" t="n">
        <v>41999.67</v>
      </c>
      <c r="P2240" t="inlineStr">
        <is>
          <t>Y</t>
        </is>
      </c>
    </row>
    <row r="2241">
      <c r="A2241" t="inlineStr">
        <is>
          <t>ENC119828</t>
        </is>
      </c>
      <c r="B2241" t="inlineStr">
        <is>
          <t>PT12176</t>
        </is>
      </c>
      <c r="C2241" t="inlineStr">
        <is>
          <t>Emergency</t>
        </is>
      </c>
      <c r="D2241" t="inlineStr">
        <is>
          <t>Bluestone Memorial Hospital</t>
        </is>
      </c>
      <c r="E2241" t="inlineStr">
        <is>
          <t>Emergency Department</t>
        </is>
      </c>
      <c r="F2241" t="inlineStr">
        <is>
          <t>Emergency</t>
        </is>
      </c>
      <c r="G2241" s="29" t="n">
        <v>45963</v>
      </c>
      <c r="H2241" s="29" t="n">
        <v>45964</v>
      </c>
      <c r="I2241" s="30" t="n"/>
      <c r="J2241" t="inlineStr">
        <is>
          <t>E11.9</t>
        </is>
      </c>
      <c r="K2241" t="inlineStr">
        <is>
          <t>Type 2 diabetes mellitus without complications</t>
        </is>
      </c>
      <c r="L2241" t="inlineStr">
        <is>
          <t>Endocrine</t>
        </is>
      </c>
      <c r="M2241" t="inlineStr">
        <is>
          <t>Home/Self-Care</t>
        </is>
      </c>
      <c r="N2241" t="inlineStr">
        <is>
          <t>Silverline Medicare Advantage</t>
        </is>
      </c>
      <c r="O2241" s="31" t="n">
        <v>1605.99</v>
      </c>
    </row>
    <row r="2242">
      <c r="A2242" t="inlineStr">
        <is>
          <t>ENC119835</t>
        </is>
      </c>
      <c r="B2242" t="inlineStr">
        <is>
          <t>PT11076</t>
        </is>
      </c>
      <c r="C2242" t="inlineStr">
        <is>
          <t>Inpatient</t>
        </is>
      </c>
      <c r="D2242" t="inlineStr">
        <is>
          <t>Bluestone Memorial Hospital</t>
        </is>
      </c>
      <c r="E2242" t="inlineStr">
        <is>
          <t>Labor &amp; Delivery</t>
        </is>
      </c>
      <c r="F2242" t="inlineStr">
        <is>
          <t>Women &amp; Children</t>
        </is>
      </c>
      <c r="G2242" s="29" t="n">
        <v>45964</v>
      </c>
      <c r="H2242" s="29" t="n">
        <v>45967</v>
      </c>
      <c r="I2242" s="30" t="n">
        <v>3</v>
      </c>
      <c r="J2242" t="inlineStr">
        <is>
          <t>O82</t>
        </is>
      </c>
      <c r="K2242" t="inlineStr">
        <is>
          <t>Encounter for cesarean delivery without indication</t>
        </is>
      </c>
      <c r="L2242" t="inlineStr">
        <is>
          <t>Pregnancy</t>
        </is>
      </c>
      <c r="M2242" t="inlineStr">
        <is>
          <t>Home/Self-Care</t>
        </is>
      </c>
      <c r="N2242" t="inlineStr">
        <is>
          <t>Summit Choice PPO</t>
        </is>
      </c>
      <c r="O2242" s="31" t="n">
        <v>25888.75</v>
      </c>
      <c r="P2242" t="inlineStr">
        <is>
          <t>N</t>
        </is>
      </c>
    </row>
    <row r="2243">
      <c r="A2243" t="inlineStr">
        <is>
          <t>ENC119837</t>
        </is>
      </c>
      <c r="B2243" t="inlineStr">
        <is>
          <t>PT13456</t>
        </is>
      </c>
      <c r="C2243" t="inlineStr">
        <is>
          <t>Outpatient</t>
        </is>
      </c>
      <c r="D2243" t="inlineStr">
        <is>
          <t>Bluestone Outpatient Pavilion</t>
        </is>
      </c>
      <c r="E2243" t="inlineStr">
        <is>
          <t>Primary Care Clinic</t>
        </is>
      </c>
      <c r="F2243" t="inlineStr">
        <is>
          <t>Ambulatory</t>
        </is>
      </c>
      <c r="G2243" s="29" t="n">
        <v>45964</v>
      </c>
      <c r="H2243" s="29" t="n">
        <v>45964</v>
      </c>
      <c r="I2243" s="30" t="n"/>
      <c r="J2243" t="inlineStr">
        <is>
          <t>J45.909</t>
        </is>
      </c>
      <c r="K2243" t="inlineStr">
        <is>
          <t>Unspecified asthma, uncomplicated</t>
        </is>
      </c>
      <c r="L2243" t="inlineStr">
        <is>
          <t>Respiratory</t>
        </is>
      </c>
      <c r="M2243" t="inlineStr">
        <is>
          <t>Home/Self-Care</t>
        </is>
      </c>
      <c r="N2243" t="inlineStr">
        <is>
          <t>Summit Choice PPO</t>
        </is>
      </c>
      <c r="O2243" s="31" t="n">
        <v>352.56</v>
      </c>
    </row>
    <row r="2244">
      <c r="A2244" t="inlineStr">
        <is>
          <t>ENC119838</t>
        </is>
      </c>
      <c r="B2244" t="inlineStr">
        <is>
          <t>PT11508</t>
        </is>
      </c>
      <c r="C2244" t="inlineStr">
        <is>
          <t>Outpatient</t>
        </is>
      </c>
      <c r="D2244" t="inlineStr">
        <is>
          <t>Bluestone Outpatient Pavilion</t>
        </is>
      </c>
      <c r="E2244" t="inlineStr">
        <is>
          <t>Primary Care Clinic</t>
        </is>
      </c>
      <c r="F2244" t="inlineStr">
        <is>
          <t>Ambulatory</t>
        </is>
      </c>
      <c r="G2244" s="29" t="n">
        <v>45964</v>
      </c>
      <c r="H2244" s="29" t="n">
        <v>45964</v>
      </c>
      <c r="I2244" s="30" t="n"/>
      <c r="J2244" t="inlineStr">
        <is>
          <t>J06.9</t>
        </is>
      </c>
      <c r="K2244" t="inlineStr">
        <is>
          <t>Acute upper respiratory infection, unspecified</t>
        </is>
      </c>
      <c r="L2244" t="inlineStr">
        <is>
          <t>Respiratory</t>
        </is>
      </c>
      <c r="M2244" t="inlineStr">
        <is>
          <t>Home/Self-Care</t>
        </is>
      </c>
      <c r="N2244" t="inlineStr">
        <is>
          <t>Evergreen Mutual Insurance</t>
        </is>
      </c>
      <c r="O2244" s="31" t="n">
        <v>180.21</v>
      </c>
    </row>
    <row r="2245">
      <c r="A2245" t="inlineStr">
        <is>
          <t>ENC119841</t>
        </is>
      </c>
      <c r="B2245" t="inlineStr">
        <is>
          <t>PT12304</t>
        </is>
      </c>
      <c r="C2245" t="inlineStr">
        <is>
          <t>Emergency</t>
        </is>
      </c>
      <c r="D2245" t="inlineStr">
        <is>
          <t>Bluestone Memorial Hospital</t>
        </is>
      </c>
      <c r="E2245" t="inlineStr">
        <is>
          <t>Emergency Department</t>
        </is>
      </c>
      <c r="F2245" t="inlineStr">
        <is>
          <t>Emergency</t>
        </is>
      </c>
      <c r="G2245" s="29" t="n">
        <v>45964</v>
      </c>
      <c r="H2245" s="29" t="n">
        <v>45964</v>
      </c>
      <c r="I2245" s="30" t="n"/>
      <c r="J2245" t="inlineStr">
        <is>
          <t>M54.50</t>
        </is>
      </c>
      <c r="K2245" t="inlineStr">
        <is>
          <t>Low back pain, unspecified</t>
        </is>
      </c>
      <c r="L2245" t="inlineStr">
        <is>
          <t>Musculoskeletal</t>
        </is>
      </c>
      <c r="M2245" t="inlineStr">
        <is>
          <t>Home/Self-Care</t>
        </is>
      </c>
      <c r="N2245" t="inlineStr">
        <is>
          <t>Medicare</t>
        </is>
      </c>
      <c r="O2245" s="31" t="n">
        <v>953.5700000000001</v>
      </c>
    </row>
    <row r="2246">
      <c r="A2246" t="inlineStr">
        <is>
          <t>ENC119847</t>
        </is>
      </c>
      <c r="B2246" t="inlineStr">
        <is>
          <t>PT11016</t>
        </is>
      </c>
      <c r="C2246" t="inlineStr">
        <is>
          <t>Outpatient</t>
        </is>
      </c>
      <c r="D2246" t="inlineStr">
        <is>
          <t>Bluestone Outpatient Pavilion</t>
        </is>
      </c>
      <c r="E2246" t="inlineStr">
        <is>
          <t>Primary Care Clinic</t>
        </is>
      </c>
      <c r="F2246" t="inlineStr">
        <is>
          <t>Ambulatory</t>
        </is>
      </c>
      <c r="G2246" s="29" t="n">
        <v>45964</v>
      </c>
      <c r="H2246" s="29" t="n">
        <v>45964</v>
      </c>
      <c r="I2246" s="30" t="n"/>
      <c r="J2246" t="inlineStr">
        <is>
          <t>Z00.00</t>
        </is>
      </c>
      <c r="K2246" t="inlineStr">
        <is>
          <t>Encounter for general adult medical examination without abnormal findings</t>
        </is>
      </c>
      <c r="L2246" t="inlineStr">
        <is>
          <t>Factors Influencing Health</t>
        </is>
      </c>
      <c r="M2246" t="inlineStr">
        <is>
          <t>Home/Self-Care</t>
        </is>
      </c>
      <c r="N2246" t="inlineStr">
        <is>
          <t>Keystone Health Partners</t>
        </is>
      </c>
      <c r="O2246" s="31" t="n">
        <v>324.27</v>
      </c>
    </row>
    <row r="2247">
      <c r="A2247" t="inlineStr">
        <is>
          <t>ENC119849</t>
        </is>
      </c>
      <c r="B2247" t="inlineStr">
        <is>
          <t>PT11592</t>
        </is>
      </c>
      <c r="C2247" t="inlineStr">
        <is>
          <t>Observation</t>
        </is>
      </c>
      <c r="D2247" t="inlineStr">
        <is>
          <t>Ashby Falls Community Hospital</t>
        </is>
      </c>
      <c r="E2247" t="inlineStr">
        <is>
          <t>Medical-Surgical</t>
        </is>
      </c>
      <c r="F2247" t="inlineStr">
        <is>
          <t>Medicine</t>
        </is>
      </c>
      <c r="G2247" s="29" t="n">
        <v>45964</v>
      </c>
      <c r="H2247" s="29" t="n">
        <v>45965</v>
      </c>
      <c r="I2247" s="30" t="n">
        <v>1</v>
      </c>
      <c r="J2247" t="inlineStr">
        <is>
          <t>R07.9</t>
        </is>
      </c>
      <c r="K2247" t="inlineStr">
        <is>
          <t>Chest pain, unspecified</t>
        </is>
      </c>
      <c r="L2247" t="inlineStr">
        <is>
          <t>Symptoms &amp; Signs</t>
        </is>
      </c>
      <c r="M2247" t="inlineStr">
        <is>
          <t>Home/Self-Care</t>
        </is>
      </c>
      <c r="N2247" t="inlineStr">
        <is>
          <t>Medicare</t>
        </is>
      </c>
      <c r="O2247" s="31" t="n">
        <v>10639.95</v>
      </c>
    </row>
    <row r="2248">
      <c r="A2248" t="inlineStr">
        <is>
          <t>ENC119859</t>
        </is>
      </c>
      <c r="B2248" t="inlineStr">
        <is>
          <t>PT11444</t>
        </is>
      </c>
      <c r="C2248" t="inlineStr">
        <is>
          <t>Emergency</t>
        </is>
      </c>
      <c r="D2248" t="inlineStr">
        <is>
          <t>Bluestone Memorial Hospital</t>
        </is>
      </c>
      <c r="E2248" t="inlineStr">
        <is>
          <t>Emergency Department</t>
        </is>
      </c>
      <c r="F2248" t="inlineStr">
        <is>
          <t>Emergency</t>
        </is>
      </c>
      <c r="G2248" s="29" t="n">
        <v>45964</v>
      </c>
      <c r="H2248" s="29" t="n">
        <v>45964</v>
      </c>
      <c r="I2248" s="30" t="n"/>
      <c r="J2248" t="inlineStr">
        <is>
          <t>M54.50</t>
        </is>
      </c>
      <c r="K2248" t="inlineStr">
        <is>
          <t>Low back pain, unspecified</t>
        </is>
      </c>
      <c r="L2248" t="inlineStr">
        <is>
          <t>Musculoskeletal</t>
        </is>
      </c>
      <c r="M2248" t="inlineStr">
        <is>
          <t>Left Without Being Seen</t>
        </is>
      </c>
      <c r="N2248" t="inlineStr">
        <is>
          <t>State Medicaid</t>
        </is>
      </c>
      <c r="O2248" s="31" t="n">
        <v>1376.86</v>
      </c>
    </row>
    <row r="2249">
      <c r="A2249" t="inlineStr">
        <is>
          <t>ENC119860</t>
        </is>
      </c>
      <c r="B2249" t="inlineStr">
        <is>
          <t>PT11664</t>
        </is>
      </c>
      <c r="C2249" t="inlineStr">
        <is>
          <t>Outpatient</t>
        </is>
      </c>
      <c r="D2249" t="inlineStr">
        <is>
          <t>Bluestone Outpatient Pavilion</t>
        </is>
      </c>
      <c r="E2249" t="inlineStr">
        <is>
          <t>Primary Care Clinic</t>
        </is>
      </c>
      <c r="F2249" t="inlineStr">
        <is>
          <t>Ambulatory</t>
        </is>
      </c>
      <c r="G2249" s="29" t="n">
        <v>45964</v>
      </c>
      <c r="H2249" s="29" t="n">
        <v>45964</v>
      </c>
      <c r="I2249" s="30" t="n"/>
      <c r="J2249" t="inlineStr">
        <is>
          <t>J06.9</t>
        </is>
      </c>
      <c r="K2249" t="inlineStr">
        <is>
          <t>Acute upper respiratory infection, unspecified</t>
        </is>
      </c>
      <c r="L2249" t="inlineStr">
        <is>
          <t>Respiratory</t>
        </is>
      </c>
      <c r="M2249" t="inlineStr">
        <is>
          <t>Home/Self-Care</t>
        </is>
      </c>
      <c r="N2249" t="inlineStr">
        <is>
          <t>State Medicaid</t>
        </is>
      </c>
      <c r="O2249" s="31" t="n">
        <v>294.97</v>
      </c>
    </row>
    <row r="2250">
      <c r="A2250" t="inlineStr">
        <is>
          <t>ENC119866</t>
        </is>
      </c>
      <c r="B2250" t="inlineStr">
        <is>
          <t>PT10464</t>
        </is>
      </c>
      <c r="C2250" t="inlineStr">
        <is>
          <t>Outpatient</t>
        </is>
      </c>
      <c r="D2250" t="inlineStr">
        <is>
          <t>Bluestone Outpatient Pavilion</t>
        </is>
      </c>
      <c r="E2250" t="inlineStr">
        <is>
          <t>Primary Care Clinic</t>
        </is>
      </c>
      <c r="F2250" t="inlineStr">
        <is>
          <t>Ambulatory</t>
        </is>
      </c>
      <c r="G2250" s="29" t="n">
        <v>45964</v>
      </c>
      <c r="H2250" s="29" t="n">
        <v>45964</v>
      </c>
      <c r="I2250" s="30" t="n"/>
      <c r="J2250" t="inlineStr">
        <is>
          <t>J44.1</t>
        </is>
      </c>
      <c r="K2250" t="inlineStr">
        <is>
          <t>Chronic obstructive pulmonary disease with (acute) exacerbation</t>
        </is>
      </c>
      <c r="L2250" t="inlineStr">
        <is>
          <t>Respiratory</t>
        </is>
      </c>
      <c r="M2250" t="inlineStr">
        <is>
          <t>Home/Self-Care</t>
        </is>
      </c>
      <c r="N2250" t="inlineStr">
        <is>
          <t>Evergreen Mutual Insurance</t>
        </is>
      </c>
      <c r="O2250" s="31" t="n">
        <v>269.51</v>
      </c>
    </row>
    <row r="2251">
      <c r="A2251" t="inlineStr">
        <is>
          <t>ENC119878</t>
        </is>
      </c>
      <c r="B2251" t="inlineStr">
        <is>
          <t>PT10364</t>
        </is>
      </c>
      <c r="C2251" t="inlineStr">
        <is>
          <t>Emergency</t>
        </is>
      </c>
      <c r="D2251" t="inlineStr">
        <is>
          <t>Bluestone Memorial Hospital</t>
        </is>
      </c>
      <c r="E2251" t="inlineStr">
        <is>
          <t>Emergency Department</t>
        </is>
      </c>
      <c r="F2251" t="inlineStr">
        <is>
          <t>Emergency</t>
        </is>
      </c>
      <c r="G2251" s="29" t="n">
        <v>45965</v>
      </c>
      <c r="H2251" s="29" t="n">
        <v>45965</v>
      </c>
      <c r="I2251" s="30" t="n"/>
      <c r="J2251" t="inlineStr">
        <is>
          <t>L03.115</t>
        </is>
      </c>
      <c r="K2251" t="inlineStr">
        <is>
          <t>Cellulitis of right lower limb</t>
        </is>
      </c>
      <c r="L2251" t="inlineStr">
        <is>
          <t>Skin</t>
        </is>
      </c>
      <c r="M2251" t="inlineStr">
        <is>
          <t>Home/Self-Care</t>
        </is>
      </c>
      <c r="N2251" t="inlineStr">
        <is>
          <t>Medicare</t>
        </is>
      </c>
      <c r="O2251" s="31" t="n">
        <v>2739.36</v>
      </c>
    </row>
    <row r="2252">
      <c r="A2252" t="inlineStr">
        <is>
          <t>ENC119881</t>
        </is>
      </c>
      <c r="B2252" t="inlineStr">
        <is>
          <t>PT11624</t>
        </is>
      </c>
      <c r="C2252" t="inlineStr">
        <is>
          <t>Outpatient</t>
        </is>
      </c>
      <c r="D2252" t="inlineStr">
        <is>
          <t>Bluestone Outpatient Pavilion</t>
        </is>
      </c>
      <c r="E2252" t="inlineStr">
        <is>
          <t>Endocrinology &amp; Diabetes Clinic</t>
        </is>
      </c>
      <c r="F2252" t="inlineStr">
        <is>
          <t>Ambulatory</t>
        </is>
      </c>
      <c r="G2252" s="29" t="n">
        <v>45965</v>
      </c>
      <c r="H2252" s="29" t="n">
        <v>45965</v>
      </c>
      <c r="I2252" s="30" t="n"/>
      <c r="J2252" t="inlineStr">
        <is>
          <t>E11.65</t>
        </is>
      </c>
      <c r="K2252" t="inlineStr">
        <is>
          <t>Type 2 diabetes mellitus with hyperglycemia</t>
        </is>
      </c>
      <c r="L2252" t="inlineStr">
        <is>
          <t>Endocrine</t>
        </is>
      </c>
      <c r="M2252" t="inlineStr">
        <is>
          <t>Home/Self-Care</t>
        </is>
      </c>
      <c r="N2252" t="inlineStr">
        <is>
          <t>State Medicaid</t>
        </is>
      </c>
      <c r="O2252" s="31" t="n">
        <v>242.73</v>
      </c>
    </row>
    <row r="2253">
      <c r="A2253" t="inlineStr">
        <is>
          <t>ENC119882</t>
        </is>
      </c>
      <c r="B2253" t="inlineStr">
        <is>
          <t>PT12888</t>
        </is>
      </c>
      <c r="C2253" t="inlineStr">
        <is>
          <t>Outpatient</t>
        </is>
      </c>
      <c r="D2253" t="inlineStr">
        <is>
          <t>Bluestone Outpatient Pavilion</t>
        </is>
      </c>
      <c r="E2253" t="inlineStr">
        <is>
          <t>Endocrinology &amp; Diabetes Clinic</t>
        </is>
      </c>
      <c r="F2253" t="inlineStr">
        <is>
          <t>Ambulatory</t>
        </is>
      </c>
      <c r="G2253" s="29" t="n">
        <v>45965</v>
      </c>
      <c r="H2253" s="29" t="n">
        <v>45965</v>
      </c>
      <c r="I2253" s="30" t="n"/>
      <c r="J2253" t="inlineStr">
        <is>
          <t>E11.65</t>
        </is>
      </c>
      <c r="K2253" t="inlineStr">
        <is>
          <t>Type 2 diabetes mellitus with hyperglycemia</t>
        </is>
      </c>
      <c r="L2253" t="inlineStr">
        <is>
          <t>Endocrine</t>
        </is>
      </c>
      <c r="M2253" t="inlineStr">
        <is>
          <t>Home/Self-Care</t>
        </is>
      </c>
      <c r="N2253" t="inlineStr">
        <is>
          <t>Evergreen Mutual Insurance</t>
        </is>
      </c>
      <c r="O2253" s="31" t="n">
        <v>128.73</v>
      </c>
    </row>
    <row r="2254">
      <c r="A2254" t="inlineStr">
        <is>
          <t>ENC119883</t>
        </is>
      </c>
      <c r="B2254" t="inlineStr">
        <is>
          <t>PT13476</t>
        </is>
      </c>
      <c r="C2254" t="inlineStr">
        <is>
          <t>Outpatient</t>
        </is>
      </c>
      <c r="D2254" t="inlineStr">
        <is>
          <t>Bluestone Outpatient Pavilion</t>
        </is>
      </c>
      <c r="E2254" t="inlineStr">
        <is>
          <t>Endocrinology &amp; Diabetes Clinic</t>
        </is>
      </c>
      <c r="F2254" t="inlineStr">
        <is>
          <t>Ambulatory</t>
        </is>
      </c>
      <c r="G2254" s="29" t="n">
        <v>45965</v>
      </c>
      <c r="H2254" s="29" t="n">
        <v>45965</v>
      </c>
      <c r="I2254" s="30" t="n"/>
      <c r="J2254" t="inlineStr">
        <is>
          <t>E11.9</t>
        </is>
      </c>
      <c r="K2254" t="inlineStr">
        <is>
          <t>Type 2 diabetes mellitus without complications</t>
        </is>
      </c>
      <c r="L2254" t="inlineStr">
        <is>
          <t>Endocrine</t>
        </is>
      </c>
      <c r="M2254" t="inlineStr">
        <is>
          <t>Home/Self-Care</t>
        </is>
      </c>
      <c r="N2254" t="inlineStr">
        <is>
          <t>Medicare</t>
        </is>
      </c>
      <c r="O2254" s="31" t="n">
        <v>127.5</v>
      </c>
    </row>
    <row r="2255">
      <c r="A2255" t="inlineStr">
        <is>
          <t>ENC119886</t>
        </is>
      </c>
      <c r="B2255" t="inlineStr">
        <is>
          <t>PT13016</t>
        </is>
      </c>
      <c r="C2255" t="inlineStr">
        <is>
          <t>Emergency</t>
        </is>
      </c>
      <c r="D2255" t="inlineStr">
        <is>
          <t>Ashby Falls Community Hospital</t>
        </is>
      </c>
      <c r="E2255" t="inlineStr">
        <is>
          <t>Emergency Department</t>
        </is>
      </c>
      <c r="F2255" t="inlineStr">
        <is>
          <t>Emergency</t>
        </is>
      </c>
      <c r="G2255" s="29" t="n">
        <v>45965</v>
      </c>
      <c r="H2255" s="29" t="n">
        <v>45965</v>
      </c>
      <c r="I2255" s="30" t="n"/>
      <c r="J2255" t="inlineStr">
        <is>
          <t>N39.0</t>
        </is>
      </c>
      <c r="K2255" t="inlineStr">
        <is>
          <t>Urinary tract infection, site not specified</t>
        </is>
      </c>
      <c r="L2255" t="inlineStr">
        <is>
          <t>Genitourinary</t>
        </is>
      </c>
      <c r="M2255" t="inlineStr">
        <is>
          <t>Home/Self-Care</t>
        </is>
      </c>
      <c r="N2255" t="inlineStr">
        <is>
          <t>Evergreen Mutual Insurance</t>
        </is>
      </c>
      <c r="O2255" s="31" t="n">
        <v>2655.08</v>
      </c>
    </row>
    <row r="2256">
      <c r="A2256" t="inlineStr">
        <is>
          <t>ENC119887</t>
        </is>
      </c>
      <c r="B2256" t="inlineStr">
        <is>
          <t>PT11844</t>
        </is>
      </c>
      <c r="C2256" t="inlineStr">
        <is>
          <t>Outpatient</t>
        </is>
      </c>
      <c r="D2256" t="inlineStr">
        <is>
          <t>Bluestone Outpatient Pavilion</t>
        </is>
      </c>
      <c r="E2256" t="inlineStr">
        <is>
          <t>Primary Care Clinic</t>
        </is>
      </c>
      <c r="F2256" t="inlineStr">
        <is>
          <t>Ambulatory</t>
        </is>
      </c>
      <c r="G2256" s="29" t="n">
        <v>45965</v>
      </c>
      <c r="H2256" s="29" t="n">
        <v>45965</v>
      </c>
      <c r="I2256" s="30" t="n"/>
      <c r="J2256" t="inlineStr">
        <is>
          <t>I10</t>
        </is>
      </c>
      <c r="K2256" t="inlineStr">
        <is>
          <t>Essential (primary) hypertension</t>
        </is>
      </c>
      <c r="L2256" t="inlineStr">
        <is>
          <t>Circulatory</t>
        </is>
      </c>
      <c r="M2256" t="inlineStr">
        <is>
          <t>Home/Self-Care</t>
        </is>
      </c>
      <c r="N2256" t="inlineStr">
        <is>
          <t>State Medicaid</t>
        </is>
      </c>
      <c r="O2256" s="31" t="n">
        <v>276.06</v>
      </c>
    </row>
    <row r="2257">
      <c r="A2257" t="inlineStr">
        <is>
          <t>ENC119890</t>
        </is>
      </c>
      <c r="B2257" t="inlineStr">
        <is>
          <t>PT10808</t>
        </is>
      </c>
      <c r="C2257" t="inlineStr">
        <is>
          <t>Emergency</t>
        </is>
      </c>
      <c r="D2257" t="inlineStr">
        <is>
          <t>Ashby Falls Community Hospital</t>
        </is>
      </c>
      <c r="E2257" t="inlineStr">
        <is>
          <t>Emergency Department</t>
        </is>
      </c>
      <c r="F2257" t="inlineStr">
        <is>
          <t>Emergency</t>
        </is>
      </c>
      <c r="G2257" s="29" t="n">
        <v>45965</v>
      </c>
      <c r="H2257" s="29" t="n">
        <v>45965</v>
      </c>
      <c r="I2257" s="30" t="n"/>
      <c r="J2257" t="inlineStr">
        <is>
          <t>R55</t>
        </is>
      </c>
      <c r="K2257" t="inlineStr">
        <is>
          <t>Syncope and collapse</t>
        </is>
      </c>
      <c r="L2257" t="inlineStr">
        <is>
          <t>Symptoms &amp; Signs</t>
        </is>
      </c>
      <c r="M2257" t="inlineStr">
        <is>
          <t>Home/Self-Care</t>
        </is>
      </c>
      <c r="N2257" t="inlineStr">
        <is>
          <t>Medicare</t>
        </is>
      </c>
      <c r="O2257" s="31" t="n">
        <v>3992.48</v>
      </c>
    </row>
    <row r="2258">
      <c r="A2258" t="inlineStr">
        <is>
          <t>ENC119895</t>
        </is>
      </c>
      <c r="B2258" t="inlineStr">
        <is>
          <t>PT13876</t>
        </is>
      </c>
      <c r="C2258" t="inlineStr">
        <is>
          <t>Outpatient</t>
        </is>
      </c>
      <c r="D2258" t="inlineStr">
        <is>
          <t>Bluestone Outpatient Pavilion</t>
        </is>
      </c>
      <c r="E2258" t="inlineStr">
        <is>
          <t>Primary Care Clinic</t>
        </is>
      </c>
      <c r="F2258" t="inlineStr">
        <is>
          <t>Ambulatory</t>
        </is>
      </c>
      <c r="G2258" s="29" t="n">
        <v>45965</v>
      </c>
      <c r="H2258" s="29" t="n">
        <v>45965</v>
      </c>
      <c r="I2258" s="30" t="n"/>
      <c r="J2258" t="inlineStr">
        <is>
          <t>J06.9</t>
        </is>
      </c>
      <c r="K2258" t="inlineStr">
        <is>
          <t>Acute upper respiratory infection, unspecified</t>
        </is>
      </c>
      <c r="L2258" t="inlineStr">
        <is>
          <t>Respiratory</t>
        </is>
      </c>
      <c r="M2258" t="inlineStr">
        <is>
          <t>Home/Self-Care</t>
        </is>
      </c>
      <c r="N2258" t="inlineStr">
        <is>
          <t>Silverline Medicare Advantage</t>
        </is>
      </c>
      <c r="O2258" s="31" t="n">
        <v>323.08</v>
      </c>
    </row>
    <row r="2259">
      <c r="A2259" t="inlineStr">
        <is>
          <t>ENC119897</t>
        </is>
      </c>
      <c r="B2259" t="inlineStr">
        <is>
          <t>PT13960</t>
        </is>
      </c>
      <c r="C2259" t="inlineStr">
        <is>
          <t>Outpatient</t>
        </is>
      </c>
      <c r="D2259" t="inlineStr">
        <is>
          <t>Bluestone Outpatient Pavilion</t>
        </is>
      </c>
      <c r="E2259" t="inlineStr">
        <is>
          <t>Primary Care Clinic</t>
        </is>
      </c>
      <c r="F2259" t="inlineStr">
        <is>
          <t>Ambulatory</t>
        </is>
      </c>
      <c r="G2259" s="29" t="n">
        <v>45965</v>
      </c>
      <c r="H2259" s="29" t="n">
        <v>45965</v>
      </c>
      <c r="I2259" s="30" t="n"/>
      <c r="J2259" t="inlineStr">
        <is>
          <t>J06.9</t>
        </is>
      </c>
      <c r="K2259" t="inlineStr">
        <is>
          <t>Acute upper respiratory infection, unspecified</t>
        </is>
      </c>
      <c r="L2259" t="inlineStr">
        <is>
          <t>Respiratory</t>
        </is>
      </c>
      <c r="M2259" t="inlineStr">
        <is>
          <t>Home/Self-Care</t>
        </is>
      </c>
      <c r="N2259" t="inlineStr">
        <is>
          <t>Medicare</t>
        </is>
      </c>
      <c r="O2259" s="31" t="n">
        <v>193.93</v>
      </c>
    </row>
    <row r="2260">
      <c r="A2260" t="inlineStr">
        <is>
          <t>ENC119905</t>
        </is>
      </c>
      <c r="B2260" t="inlineStr">
        <is>
          <t>PT11896</t>
        </is>
      </c>
      <c r="C2260" t="inlineStr">
        <is>
          <t>Outpatient</t>
        </is>
      </c>
      <c r="D2260" t="inlineStr">
        <is>
          <t>Bluestone Outpatient Pavilion</t>
        </is>
      </c>
      <c r="E2260" t="inlineStr">
        <is>
          <t>Orthopedic Clinic</t>
        </is>
      </c>
      <c r="F2260" t="inlineStr">
        <is>
          <t>Orthopedics</t>
        </is>
      </c>
      <c r="G2260" s="29" t="n">
        <v>45965</v>
      </c>
      <c r="H2260" s="29" t="n">
        <v>45965</v>
      </c>
      <c r="I2260" s="30" t="n"/>
      <c r="J2260" t="inlineStr">
        <is>
          <t>M16.11</t>
        </is>
      </c>
      <c r="K2260" t="inlineStr">
        <is>
          <t>Unilateral primary osteoarthritis, right hip</t>
        </is>
      </c>
      <c r="L2260" t="inlineStr">
        <is>
          <t>Musculoskeletal</t>
        </is>
      </c>
      <c r="M2260" t="inlineStr">
        <is>
          <t>Home/Self-Care</t>
        </is>
      </c>
      <c r="N2260" t="inlineStr">
        <is>
          <t>State Medicaid</t>
        </is>
      </c>
      <c r="O2260" s="31" t="n">
        <v>474.53</v>
      </c>
    </row>
    <row r="2261">
      <c r="A2261" t="inlineStr">
        <is>
          <t>ENC119911</t>
        </is>
      </c>
      <c r="B2261" t="inlineStr">
        <is>
          <t>PT11864</t>
        </is>
      </c>
      <c r="C2261" t="inlineStr">
        <is>
          <t>Emergency</t>
        </is>
      </c>
      <c r="D2261" t="inlineStr">
        <is>
          <t>Ashby Falls Community Hospital</t>
        </is>
      </c>
      <c r="E2261" t="inlineStr">
        <is>
          <t>Emergency Department</t>
        </is>
      </c>
      <c r="F2261" t="inlineStr">
        <is>
          <t>Emergency</t>
        </is>
      </c>
      <c r="G2261" s="29" t="n">
        <v>45965</v>
      </c>
      <c r="H2261" s="29" t="n">
        <v>45966</v>
      </c>
      <c r="I2261" s="30" t="n"/>
      <c r="J2261" t="inlineStr">
        <is>
          <t>R07.9</t>
        </is>
      </c>
      <c r="K2261" t="inlineStr">
        <is>
          <t>Chest pain, unspecified</t>
        </is>
      </c>
      <c r="L2261" t="inlineStr">
        <is>
          <t>Symptoms &amp; Signs</t>
        </is>
      </c>
      <c r="M2261" t="inlineStr">
        <is>
          <t>Home/Self-Care</t>
        </is>
      </c>
      <c r="N2261" t="inlineStr">
        <is>
          <t>State Medicaid</t>
        </is>
      </c>
      <c r="O2261" s="31" t="n">
        <v>3854.68</v>
      </c>
    </row>
    <row r="2262">
      <c r="A2262" t="inlineStr">
        <is>
          <t>ENC119918</t>
        </is>
      </c>
      <c r="B2262" t="inlineStr">
        <is>
          <t>PT10428</t>
        </is>
      </c>
      <c r="C2262" t="inlineStr">
        <is>
          <t>Outpatient</t>
        </is>
      </c>
      <c r="D2262" t="inlineStr">
        <is>
          <t>Bluestone Outpatient Pavilion</t>
        </is>
      </c>
      <c r="E2262" t="inlineStr">
        <is>
          <t>Orthopedic Clinic</t>
        </is>
      </c>
      <c r="F2262" t="inlineStr">
        <is>
          <t>Orthopedics</t>
        </is>
      </c>
      <c r="G2262" s="29" t="n">
        <v>45966</v>
      </c>
      <c r="H2262" s="29" t="n">
        <v>45966</v>
      </c>
      <c r="I2262" s="30" t="n"/>
      <c r="J2262" t="inlineStr">
        <is>
          <t>M17.11</t>
        </is>
      </c>
      <c r="K2262" t="inlineStr">
        <is>
          <t>Unilateral primary osteoarthritis, right knee</t>
        </is>
      </c>
      <c r="L2262" t="inlineStr">
        <is>
          <t>Musculoskeletal</t>
        </is>
      </c>
      <c r="M2262" t="inlineStr">
        <is>
          <t>Home/Self-Care</t>
        </is>
      </c>
      <c r="N2262" t="inlineStr">
        <is>
          <t>Medicare</t>
        </is>
      </c>
      <c r="O2262" s="31" t="n">
        <v>333.5</v>
      </c>
    </row>
    <row r="2263">
      <c r="A2263" t="inlineStr">
        <is>
          <t>ENC119929</t>
        </is>
      </c>
      <c r="B2263" t="inlineStr">
        <is>
          <t>PT12852</t>
        </is>
      </c>
      <c r="C2263" t="inlineStr">
        <is>
          <t>Emergency</t>
        </is>
      </c>
      <c r="D2263" t="inlineStr">
        <is>
          <t>Bluestone Memorial Hospital</t>
        </is>
      </c>
      <c r="E2263" t="inlineStr">
        <is>
          <t>Emergency Department</t>
        </is>
      </c>
      <c r="F2263" t="inlineStr">
        <is>
          <t>Emergency</t>
        </is>
      </c>
      <c r="G2263" s="29" t="n">
        <v>45966</v>
      </c>
      <c r="H2263" s="29" t="n">
        <v>45966</v>
      </c>
      <c r="I2263" s="30" t="n"/>
      <c r="J2263" t="inlineStr">
        <is>
          <t>L03.115</t>
        </is>
      </c>
      <c r="K2263" t="inlineStr">
        <is>
          <t>Cellulitis of right lower limb</t>
        </is>
      </c>
      <c r="L2263" t="inlineStr">
        <is>
          <t>Skin</t>
        </is>
      </c>
      <c r="M2263" t="inlineStr">
        <is>
          <t>Home/Self-Care</t>
        </is>
      </c>
      <c r="N2263" t="inlineStr">
        <is>
          <t>State Medicaid</t>
        </is>
      </c>
      <c r="O2263" s="31" t="n">
        <v>4477.44</v>
      </c>
    </row>
    <row r="2264">
      <c r="A2264" t="inlineStr">
        <is>
          <t>ENC119932</t>
        </is>
      </c>
      <c r="B2264" t="inlineStr">
        <is>
          <t>PT10600</t>
        </is>
      </c>
      <c r="C2264" t="inlineStr">
        <is>
          <t>Outpatient</t>
        </is>
      </c>
      <c r="D2264" t="inlineStr">
        <is>
          <t>Bluestone Outpatient Pavilion</t>
        </is>
      </c>
      <c r="E2264" t="inlineStr">
        <is>
          <t>Primary Care Clinic</t>
        </is>
      </c>
      <c r="F2264" t="inlineStr">
        <is>
          <t>Ambulatory</t>
        </is>
      </c>
      <c r="G2264" s="29" t="n">
        <v>45966</v>
      </c>
      <c r="H2264" s="29" t="n">
        <v>45966</v>
      </c>
      <c r="I2264" s="30" t="n"/>
      <c r="J2264" t="inlineStr">
        <is>
          <t>F32.9</t>
        </is>
      </c>
      <c r="K2264" t="inlineStr">
        <is>
          <t>Major depressive disorder, single episode, unspecified</t>
        </is>
      </c>
      <c r="L2264" t="inlineStr">
        <is>
          <t>Mental &amp; Behavioral</t>
        </is>
      </c>
      <c r="M2264" t="inlineStr">
        <is>
          <t>Home/Self-Care</t>
        </is>
      </c>
      <c r="N2264" t="inlineStr">
        <is>
          <t>Summit Choice PPO</t>
        </is>
      </c>
      <c r="O2264" s="31" t="n">
        <v>589.0599999999999</v>
      </c>
    </row>
    <row r="2265">
      <c r="A2265" t="inlineStr">
        <is>
          <t>ENC119934</t>
        </is>
      </c>
      <c r="B2265" t="inlineStr">
        <is>
          <t>PT10096</t>
        </is>
      </c>
      <c r="C2265" t="inlineStr">
        <is>
          <t>Outpatient</t>
        </is>
      </c>
      <c r="D2265" t="inlineStr">
        <is>
          <t>Bluestone Outpatient Pavilion</t>
        </is>
      </c>
      <c r="E2265" t="inlineStr">
        <is>
          <t>Infusion &amp; Oncology Clinic</t>
        </is>
      </c>
      <c r="F2265" t="inlineStr">
        <is>
          <t>Oncology</t>
        </is>
      </c>
      <c r="G2265" s="29" t="n">
        <v>45966</v>
      </c>
      <c r="H2265" s="29" t="n">
        <v>45966</v>
      </c>
      <c r="I2265" s="30" t="n"/>
      <c r="J2265" t="inlineStr">
        <is>
          <t>Z51.11</t>
        </is>
      </c>
      <c r="K2265" t="inlineStr">
        <is>
          <t>Encounter for antineoplastic chemotherapy</t>
        </is>
      </c>
      <c r="L2265" t="inlineStr">
        <is>
          <t>Factors Influencing Health</t>
        </is>
      </c>
      <c r="M2265" t="inlineStr">
        <is>
          <t>Home/Self-Care</t>
        </is>
      </c>
      <c r="N2265" t="inlineStr">
        <is>
          <t>Evergreen Mutual Insurance</t>
        </is>
      </c>
      <c r="O2265" s="31" t="n">
        <v>13833.35</v>
      </c>
    </row>
    <row r="2266">
      <c r="A2266" t="inlineStr">
        <is>
          <t>ENC119951</t>
        </is>
      </c>
      <c r="B2266" t="inlineStr">
        <is>
          <t>PT11008</t>
        </is>
      </c>
      <c r="C2266" t="inlineStr">
        <is>
          <t>Inpatient</t>
        </is>
      </c>
      <c r="D2266" t="inlineStr">
        <is>
          <t>Bluestone Memorial Hospital</t>
        </is>
      </c>
      <c r="E2266" t="inlineStr">
        <is>
          <t>Labor &amp; Delivery</t>
        </is>
      </c>
      <c r="F2266" t="inlineStr">
        <is>
          <t>Women &amp; Children</t>
        </is>
      </c>
      <c r="G2266" s="29" t="n">
        <v>45966</v>
      </c>
      <c r="H2266" s="29" t="n">
        <v>45968</v>
      </c>
      <c r="I2266" s="30" t="n">
        <v>2</v>
      </c>
      <c r="J2266" t="inlineStr">
        <is>
          <t>O80</t>
        </is>
      </c>
      <c r="K2266" t="inlineStr">
        <is>
          <t>Encounter for full-term uncomplicated delivery</t>
        </is>
      </c>
      <c r="L2266" t="inlineStr">
        <is>
          <t>Pregnancy</t>
        </is>
      </c>
      <c r="M2266" t="inlineStr">
        <is>
          <t>Home/Self-Care</t>
        </is>
      </c>
      <c r="N2266" t="inlineStr">
        <is>
          <t>State Medicaid</t>
        </is>
      </c>
      <c r="O2266" s="31" t="n">
        <v>11939.37</v>
      </c>
      <c r="P2266" t="inlineStr">
        <is>
          <t>N</t>
        </is>
      </c>
    </row>
    <row r="2267">
      <c r="A2267" t="inlineStr">
        <is>
          <t>ENC119953</t>
        </is>
      </c>
      <c r="B2267" t="inlineStr">
        <is>
          <t>PT13156</t>
        </is>
      </c>
      <c r="C2267" t="inlineStr">
        <is>
          <t>Inpatient</t>
        </is>
      </c>
      <c r="D2267" t="inlineStr">
        <is>
          <t>Bluestone Memorial Hospital</t>
        </is>
      </c>
      <c r="E2267" t="inlineStr">
        <is>
          <t>Labor &amp; Delivery</t>
        </is>
      </c>
      <c r="F2267" t="inlineStr">
        <is>
          <t>Women &amp; Children</t>
        </is>
      </c>
      <c r="G2267" s="29" t="n">
        <v>45966</v>
      </c>
      <c r="H2267" s="29" t="n">
        <v>45968</v>
      </c>
      <c r="I2267" s="30" t="n">
        <v>2</v>
      </c>
      <c r="J2267" t="inlineStr">
        <is>
          <t>O80</t>
        </is>
      </c>
      <c r="K2267" t="inlineStr">
        <is>
          <t>Encounter for full-term uncomplicated delivery</t>
        </is>
      </c>
      <c r="L2267" t="inlineStr">
        <is>
          <t>Pregnancy</t>
        </is>
      </c>
      <c r="M2267" t="inlineStr">
        <is>
          <t>Home/Self-Care</t>
        </is>
      </c>
      <c r="N2267" t="inlineStr">
        <is>
          <t>Summit Choice PPO</t>
        </is>
      </c>
      <c r="O2267" s="31" t="n">
        <v>19295.99</v>
      </c>
      <c r="P2267" t="inlineStr">
        <is>
          <t>N</t>
        </is>
      </c>
    </row>
    <row r="2268">
      <c r="A2268" t="inlineStr">
        <is>
          <t>ENC119954</t>
        </is>
      </c>
      <c r="B2268" t="inlineStr">
        <is>
          <t>PT10200</t>
        </is>
      </c>
      <c r="C2268" t="inlineStr">
        <is>
          <t>Emergency</t>
        </is>
      </c>
      <c r="D2268" t="inlineStr">
        <is>
          <t>Bluestone Memorial Hospital</t>
        </is>
      </c>
      <c r="E2268" t="inlineStr">
        <is>
          <t>Emergency Department</t>
        </is>
      </c>
      <c r="F2268" t="inlineStr">
        <is>
          <t>Emergency</t>
        </is>
      </c>
      <c r="G2268" s="29" t="n">
        <v>45966</v>
      </c>
      <c r="H2268" s="29" t="n">
        <v>45966</v>
      </c>
      <c r="I2268" s="30" t="n"/>
      <c r="J2268" t="inlineStr">
        <is>
          <t>J18.9</t>
        </is>
      </c>
      <c r="K2268" t="inlineStr">
        <is>
          <t>Pneumonia, unspecified organism</t>
        </is>
      </c>
      <c r="L2268" t="inlineStr">
        <is>
          <t>Respiratory</t>
        </is>
      </c>
      <c r="M2268" t="inlineStr">
        <is>
          <t>Home/Self-Care</t>
        </is>
      </c>
      <c r="N2268" t="inlineStr">
        <is>
          <t>State Medicaid</t>
        </is>
      </c>
      <c r="O2268" s="31" t="n">
        <v>2752.16</v>
      </c>
    </row>
    <row r="2269">
      <c r="A2269" t="inlineStr">
        <is>
          <t>ENC119956</t>
        </is>
      </c>
      <c r="B2269" t="inlineStr">
        <is>
          <t>PT10912</t>
        </is>
      </c>
      <c r="C2269" t="inlineStr">
        <is>
          <t>Inpatient</t>
        </is>
      </c>
      <c r="D2269" t="inlineStr">
        <is>
          <t>Bluestone Memorial Hospital</t>
        </is>
      </c>
      <c r="E2269" t="inlineStr">
        <is>
          <t>Intensive Care Unit</t>
        </is>
      </c>
      <c r="F2269" t="inlineStr">
        <is>
          <t>Critical Care</t>
        </is>
      </c>
      <c r="G2269" s="29" t="n">
        <v>45966</v>
      </c>
      <c r="H2269" s="29" t="n">
        <v>45972</v>
      </c>
      <c r="I2269" s="30" t="n">
        <v>6</v>
      </c>
      <c r="J2269" t="inlineStr">
        <is>
          <t>J96.01</t>
        </is>
      </c>
      <c r="K2269" t="inlineStr">
        <is>
          <t>Acute respiratory failure with hypoxia</t>
        </is>
      </c>
      <c r="L2269" t="inlineStr">
        <is>
          <t>Respiratory</t>
        </is>
      </c>
      <c r="M2269" t="inlineStr">
        <is>
          <t>Home/Self-Care</t>
        </is>
      </c>
      <c r="N2269" t="inlineStr">
        <is>
          <t>Keystone Health Partners</t>
        </is>
      </c>
      <c r="O2269" s="31" t="n">
        <v>87110.78999999999</v>
      </c>
      <c r="P2269" t="inlineStr">
        <is>
          <t>Y</t>
        </is>
      </c>
    </row>
    <row r="2270">
      <c r="A2270" t="inlineStr">
        <is>
          <t>ENC119965</t>
        </is>
      </c>
      <c r="B2270" t="inlineStr">
        <is>
          <t>PT12244</t>
        </is>
      </c>
      <c r="C2270" t="inlineStr">
        <is>
          <t>Outpatient</t>
        </is>
      </c>
      <c r="D2270" t="inlineStr">
        <is>
          <t>Bluestone Outpatient Pavilion</t>
        </is>
      </c>
      <c r="E2270" t="inlineStr">
        <is>
          <t>Primary Care Clinic</t>
        </is>
      </c>
      <c r="F2270" t="inlineStr">
        <is>
          <t>Ambulatory</t>
        </is>
      </c>
      <c r="G2270" s="29" t="n">
        <v>45967</v>
      </c>
      <c r="H2270" s="29" t="n">
        <v>45967</v>
      </c>
      <c r="I2270" s="30" t="n"/>
      <c r="J2270" t="inlineStr">
        <is>
          <t>Z23</t>
        </is>
      </c>
      <c r="K2270" t="inlineStr">
        <is>
          <t>Encounter for immunization</t>
        </is>
      </c>
      <c r="L2270" t="inlineStr">
        <is>
          <t>Factors Influencing Health</t>
        </is>
      </c>
      <c r="M2270" t="inlineStr">
        <is>
          <t>Home/Self-Care</t>
        </is>
      </c>
      <c r="N2270" t="inlineStr">
        <is>
          <t>Silverline Medicare Advantage</t>
        </is>
      </c>
      <c r="O2270" s="31" t="n">
        <v>130.86</v>
      </c>
    </row>
    <row r="2271">
      <c r="A2271" t="inlineStr">
        <is>
          <t>ENC119968</t>
        </is>
      </c>
      <c r="B2271" t="inlineStr">
        <is>
          <t>PT10956</t>
        </is>
      </c>
      <c r="C2271" t="inlineStr">
        <is>
          <t>Inpatient</t>
        </is>
      </c>
      <c r="D2271" t="inlineStr">
        <is>
          <t>Cedar Ridge Medical Center</t>
        </is>
      </c>
      <c r="E2271" t="inlineStr">
        <is>
          <t>Orthopedics</t>
        </is>
      </c>
      <c r="F2271" t="inlineStr">
        <is>
          <t>Orthopedics</t>
        </is>
      </c>
      <c r="G2271" s="29" t="n">
        <v>45967</v>
      </c>
      <c r="H2271" s="29" t="n">
        <v>45974</v>
      </c>
      <c r="I2271" s="30" t="n">
        <v>7</v>
      </c>
      <c r="J2271" t="inlineStr">
        <is>
          <t>S72.001A</t>
        </is>
      </c>
      <c r="K2271" t="inlineStr">
        <is>
          <t>Fracture of unspecified part of neck of right femur, initial encounter</t>
        </is>
      </c>
      <c r="L2271" t="inlineStr">
        <is>
          <t>Injury</t>
        </is>
      </c>
      <c r="M2271" t="inlineStr">
        <is>
          <t>Skilled Nursing Facility</t>
        </is>
      </c>
      <c r="N2271" t="inlineStr">
        <is>
          <t>Keystone Health Partners</t>
        </is>
      </c>
      <c r="O2271" s="31" t="n">
        <v>59838.18</v>
      </c>
      <c r="P2271" t="inlineStr">
        <is>
          <t>N</t>
        </is>
      </c>
    </row>
    <row r="2272">
      <c r="A2272" t="inlineStr">
        <is>
          <t>ENC119969</t>
        </is>
      </c>
      <c r="B2272" t="inlineStr">
        <is>
          <t>PT12264</t>
        </is>
      </c>
      <c r="C2272" t="inlineStr">
        <is>
          <t>Outpatient</t>
        </is>
      </c>
      <c r="D2272" t="inlineStr">
        <is>
          <t>Bluestone Outpatient Pavilion</t>
        </is>
      </c>
      <c r="E2272" t="inlineStr">
        <is>
          <t>Primary Care Clinic</t>
        </is>
      </c>
      <c r="F2272" t="inlineStr">
        <is>
          <t>Ambulatory</t>
        </is>
      </c>
      <c r="G2272" s="29" t="n">
        <v>45967</v>
      </c>
      <c r="H2272" s="29" t="n">
        <v>45967</v>
      </c>
      <c r="I2272" s="30" t="n"/>
      <c r="J2272" t="inlineStr">
        <is>
          <t>I10</t>
        </is>
      </c>
      <c r="K2272" t="inlineStr">
        <is>
          <t>Essential (primary) hypertension</t>
        </is>
      </c>
      <c r="L2272" t="inlineStr">
        <is>
          <t>Circulatory</t>
        </is>
      </c>
      <c r="M2272" t="inlineStr">
        <is>
          <t>Home/Self-Care</t>
        </is>
      </c>
      <c r="N2272" t="inlineStr">
        <is>
          <t>Medicare</t>
        </is>
      </c>
      <c r="O2272" s="31" t="n">
        <v>275.61</v>
      </c>
    </row>
    <row r="2273">
      <c r="A2273" t="inlineStr">
        <is>
          <t>ENC119973</t>
        </is>
      </c>
      <c r="B2273" t="inlineStr">
        <is>
          <t>PT11456</t>
        </is>
      </c>
      <c r="C2273" t="inlineStr">
        <is>
          <t>Inpatient</t>
        </is>
      </c>
      <c r="D2273" t="inlineStr">
        <is>
          <t>Cedar Ridge Medical Center</t>
        </is>
      </c>
      <c r="E2273" t="inlineStr">
        <is>
          <t>Medical-Surgical</t>
        </is>
      </c>
      <c r="F2273" t="inlineStr">
        <is>
          <t>Medicine</t>
        </is>
      </c>
      <c r="G2273" s="29" t="n">
        <v>45967</v>
      </c>
      <c r="H2273" s="29" t="n">
        <v>45971</v>
      </c>
      <c r="I2273" s="30" t="n">
        <v>4</v>
      </c>
      <c r="J2273" t="inlineStr">
        <is>
          <t>J44.1</t>
        </is>
      </c>
      <c r="K2273" t="inlineStr">
        <is>
          <t>Chronic obstructive pulmonary disease with (acute) exacerbation</t>
        </is>
      </c>
      <c r="L2273" t="inlineStr">
        <is>
          <t>Respiratory</t>
        </is>
      </c>
      <c r="M2273" t="inlineStr">
        <is>
          <t>Home/Self-Care</t>
        </is>
      </c>
      <c r="N2273" t="inlineStr">
        <is>
          <t>Evergreen Mutual Insurance</t>
        </is>
      </c>
      <c r="O2273" s="31" t="n">
        <v>18362.37</v>
      </c>
      <c r="P2273" t="inlineStr">
        <is>
          <t>N</t>
        </is>
      </c>
    </row>
    <row r="2274">
      <c r="A2274" t="inlineStr">
        <is>
          <t>ENC119977</t>
        </is>
      </c>
      <c r="B2274" t="inlineStr">
        <is>
          <t>PT13520</t>
        </is>
      </c>
      <c r="C2274" t="inlineStr">
        <is>
          <t>Outpatient</t>
        </is>
      </c>
      <c r="D2274" t="inlineStr">
        <is>
          <t>Bluestone Outpatient Pavilion</t>
        </is>
      </c>
      <c r="E2274" t="inlineStr">
        <is>
          <t>Pediatric Clinic</t>
        </is>
      </c>
      <c r="F2274" t="inlineStr">
        <is>
          <t>Women &amp; Children</t>
        </is>
      </c>
      <c r="G2274" s="29" t="n">
        <v>45967</v>
      </c>
      <c r="H2274" s="29" t="n">
        <v>45967</v>
      </c>
      <c r="I2274" s="30" t="n"/>
      <c r="J2274" t="inlineStr">
        <is>
          <t>Z23</t>
        </is>
      </c>
      <c r="K2274" t="inlineStr">
        <is>
          <t>Encounter for immunization</t>
        </is>
      </c>
      <c r="L2274" t="inlineStr">
        <is>
          <t>Factors Influencing Health</t>
        </is>
      </c>
      <c r="M2274" t="inlineStr">
        <is>
          <t>Home/Self-Care</t>
        </is>
      </c>
      <c r="N2274" t="inlineStr">
        <is>
          <t>State Medicaid</t>
        </is>
      </c>
      <c r="O2274" s="31" t="n">
        <v>122.18</v>
      </c>
    </row>
    <row r="2275">
      <c r="A2275" t="inlineStr">
        <is>
          <t>ENC119988</t>
        </is>
      </c>
      <c r="B2275" t="inlineStr">
        <is>
          <t>PT11644</t>
        </is>
      </c>
      <c r="C2275" t="inlineStr">
        <is>
          <t>Emergency</t>
        </is>
      </c>
      <c r="D2275" t="inlineStr">
        <is>
          <t>Bluestone Memorial Hospital</t>
        </is>
      </c>
      <c r="E2275" t="inlineStr">
        <is>
          <t>Emergency Department</t>
        </is>
      </c>
      <c r="F2275" t="inlineStr">
        <is>
          <t>Emergency</t>
        </is>
      </c>
      <c r="G2275" s="29" t="n">
        <v>45967</v>
      </c>
      <c r="H2275" s="29" t="n">
        <v>45967</v>
      </c>
      <c r="I2275" s="30" t="n"/>
      <c r="J2275" t="inlineStr">
        <is>
          <t>F32.9</t>
        </is>
      </c>
      <c r="K2275" t="inlineStr">
        <is>
          <t>Major depressive disorder, single episode, unspecified</t>
        </is>
      </c>
      <c r="L2275" t="inlineStr">
        <is>
          <t>Mental &amp; Behavioral</t>
        </is>
      </c>
      <c r="M2275" t="inlineStr">
        <is>
          <t>Home/Self-Care</t>
        </is>
      </c>
      <c r="N2275" t="inlineStr">
        <is>
          <t>Summit Choice PPO</t>
        </is>
      </c>
      <c r="O2275" s="31" t="n">
        <v>6868.43</v>
      </c>
    </row>
    <row r="2276">
      <c r="A2276" t="inlineStr">
        <is>
          <t>ENC119989</t>
        </is>
      </c>
      <c r="B2276" t="inlineStr">
        <is>
          <t>PT11956</t>
        </is>
      </c>
      <c r="C2276" t="inlineStr">
        <is>
          <t>Observation</t>
        </is>
      </c>
      <c r="D2276" t="inlineStr">
        <is>
          <t>Bluestone Memorial Hospital</t>
        </is>
      </c>
      <c r="E2276" t="inlineStr">
        <is>
          <t>Observation Unit</t>
        </is>
      </c>
      <c r="F2276" t="inlineStr">
        <is>
          <t>Medicine</t>
        </is>
      </c>
      <c r="G2276" s="29" t="n">
        <v>45968</v>
      </c>
      <c r="H2276" s="29" t="n">
        <v>45969</v>
      </c>
      <c r="I2276" s="30" t="n">
        <v>1</v>
      </c>
      <c r="J2276" t="inlineStr">
        <is>
          <t>R07.9</t>
        </is>
      </c>
      <c r="K2276" t="inlineStr">
        <is>
          <t>Chest pain, unspecified</t>
        </is>
      </c>
      <c r="L2276" t="inlineStr">
        <is>
          <t>Symptoms &amp; Signs</t>
        </is>
      </c>
      <c r="M2276" t="inlineStr">
        <is>
          <t>Left AMA</t>
        </is>
      </c>
      <c r="N2276" t="inlineStr">
        <is>
          <t>Summit Choice PPO</t>
        </is>
      </c>
      <c r="O2276" s="31" t="n">
        <v>6973</v>
      </c>
    </row>
    <row r="2277">
      <c r="A2277" t="inlineStr">
        <is>
          <t>ENC120003</t>
        </is>
      </c>
      <c r="B2277" t="inlineStr">
        <is>
          <t>PT12408</t>
        </is>
      </c>
      <c r="C2277" t="inlineStr">
        <is>
          <t>Observation</t>
        </is>
      </c>
      <c r="D2277" t="inlineStr">
        <is>
          <t>Bluestone Memorial Hospital</t>
        </is>
      </c>
      <c r="E2277" t="inlineStr">
        <is>
          <t>Observation Unit</t>
        </is>
      </c>
      <c r="F2277" t="inlineStr">
        <is>
          <t>Medicine</t>
        </is>
      </c>
      <c r="G2277" s="29" t="n">
        <v>45968</v>
      </c>
      <c r="H2277" s="29" t="n">
        <v>45969</v>
      </c>
      <c r="I2277" s="30" t="n">
        <v>1</v>
      </c>
      <c r="J2277" t="inlineStr">
        <is>
          <t>R07.9</t>
        </is>
      </c>
      <c r="K2277" t="inlineStr">
        <is>
          <t>Chest pain, unspecified</t>
        </is>
      </c>
      <c r="L2277" t="inlineStr">
        <is>
          <t>Symptoms &amp; Signs</t>
        </is>
      </c>
      <c r="M2277" t="inlineStr">
        <is>
          <t>Home/Self-Care</t>
        </is>
      </c>
      <c r="N2277" t="inlineStr">
        <is>
          <t>State Medicaid</t>
        </is>
      </c>
      <c r="O2277" s="31" t="n">
        <v>8979.299999999999</v>
      </c>
    </row>
    <row r="2278">
      <c r="A2278" t="inlineStr">
        <is>
          <t>ENC120007</t>
        </is>
      </c>
      <c r="B2278" t="inlineStr">
        <is>
          <t>PT11616</t>
        </is>
      </c>
      <c r="C2278" t="inlineStr">
        <is>
          <t>Inpatient</t>
        </is>
      </c>
      <c r="D2278" t="inlineStr">
        <is>
          <t>Bluestone Memorial Hospital</t>
        </is>
      </c>
      <c r="E2278" t="inlineStr">
        <is>
          <t>Medical-Surgical 4 West</t>
        </is>
      </c>
      <c r="F2278" t="inlineStr">
        <is>
          <t>Medicine</t>
        </is>
      </c>
      <c r="G2278" s="29" t="n">
        <v>45968</v>
      </c>
      <c r="H2278" s="29" t="n">
        <v>45976</v>
      </c>
      <c r="I2278" s="30" t="n">
        <v>8</v>
      </c>
      <c r="J2278" t="inlineStr">
        <is>
          <t>N17.9</t>
        </is>
      </c>
      <c r="K2278" t="inlineStr">
        <is>
          <t>Acute kidney failure, unspecified</t>
        </is>
      </c>
      <c r="L2278" t="inlineStr">
        <is>
          <t>Genitourinary</t>
        </is>
      </c>
      <c r="M2278" t="inlineStr">
        <is>
          <t>Skilled Nursing Facility</t>
        </is>
      </c>
      <c r="N2278" t="inlineStr">
        <is>
          <t>State Medicaid</t>
        </is>
      </c>
      <c r="O2278" s="31" t="n">
        <v>30149.72</v>
      </c>
      <c r="P2278" t="inlineStr">
        <is>
          <t>Y</t>
        </is>
      </c>
    </row>
    <row r="2279">
      <c r="A2279" t="inlineStr">
        <is>
          <t>ENC120009</t>
        </is>
      </c>
      <c r="B2279" t="inlineStr">
        <is>
          <t>PT12060</t>
        </is>
      </c>
      <c r="C2279" t="inlineStr">
        <is>
          <t>Inpatient</t>
        </is>
      </c>
      <c r="D2279" t="inlineStr">
        <is>
          <t>Cedar Ridge Medical Center</t>
        </is>
      </c>
      <c r="E2279" t="inlineStr">
        <is>
          <t>Medical-Surgical</t>
        </is>
      </c>
      <c r="F2279" t="inlineStr">
        <is>
          <t>Medicine</t>
        </is>
      </c>
      <c r="G2279" s="29" t="n">
        <v>45968</v>
      </c>
      <c r="H2279" s="29" t="n">
        <v>45973</v>
      </c>
      <c r="I2279" s="30" t="n">
        <v>5</v>
      </c>
      <c r="J2279" t="inlineStr">
        <is>
          <t>J18.9</t>
        </is>
      </c>
      <c r="K2279" t="inlineStr">
        <is>
          <t>Pneumonia, unspecified organism</t>
        </is>
      </c>
      <c r="L2279" t="inlineStr">
        <is>
          <t>Respiratory</t>
        </is>
      </c>
      <c r="M2279" t="inlineStr">
        <is>
          <t>Home/Self-Care</t>
        </is>
      </c>
      <c r="N2279" t="inlineStr">
        <is>
          <t>Summit Choice PPO</t>
        </is>
      </c>
      <c r="O2279" s="31" t="n">
        <v>23633.97</v>
      </c>
      <c r="P2279" t="inlineStr">
        <is>
          <t>N</t>
        </is>
      </c>
    </row>
    <row r="2280">
      <c r="A2280" t="inlineStr">
        <is>
          <t>ENC120011</t>
        </is>
      </c>
      <c r="B2280" t="inlineStr">
        <is>
          <t>PT12220</t>
        </is>
      </c>
      <c r="C2280" t="inlineStr">
        <is>
          <t>Inpatient</t>
        </is>
      </c>
      <c r="D2280" t="inlineStr">
        <is>
          <t>Bluestone Memorial Hospital</t>
        </is>
      </c>
      <c r="E2280" t="inlineStr">
        <is>
          <t>Medical-Surgical 4 West</t>
        </is>
      </c>
      <c r="F2280" t="inlineStr">
        <is>
          <t>Medicine</t>
        </is>
      </c>
      <c r="G2280" s="29" t="n">
        <v>45969</v>
      </c>
      <c r="H2280" s="29" t="n">
        <v>45972</v>
      </c>
      <c r="I2280" s="30" t="n">
        <v>3</v>
      </c>
      <c r="J2280" t="inlineStr">
        <is>
          <t>J44.1</t>
        </is>
      </c>
      <c r="K2280" t="inlineStr">
        <is>
          <t>Chronic obstructive pulmonary disease with (acute) exacerbation</t>
        </is>
      </c>
      <c r="L2280" t="inlineStr">
        <is>
          <t>Respiratory</t>
        </is>
      </c>
      <c r="M2280" t="inlineStr">
        <is>
          <t>Home/Self-Care</t>
        </is>
      </c>
      <c r="N2280" t="inlineStr">
        <is>
          <t>Keystone Health Partners</t>
        </is>
      </c>
      <c r="O2280" s="31" t="n">
        <v>20820.36</v>
      </c>
      <c r="P2280" t="inlineStr">
        <is>
          <t>N</t>
        </is>
      </c>
    </row>
    <row r="2281">
      <c r="A2281" t="inlineStr">
        <is>
          <t>ENC120012</t>
        </is>
      </c>
      <c r="B2281" t="inlineStr">
        <is>
          <t>PT12488</t>
        </is>
      </c>
      <c r="C2281" t="inlineStr">
        <is>
          <t>Inpatient</t>
        </is>
      </c>
      <c r="D2281" t="inlineStr">
        <is>
          <t>Bluestone Memorial Hospital</t>
        </is>
      </c>
      <c r="E2281" t="inlineStr">
        <is>
          <t>Medical-Surgical 5 East</t>
        </is>
      </c>
      <c r="F2281" t="inlineStr">
        <is>
          <t>Medicine</t>
        </is>
      </c>
      <c r="G2281" s="29" t="n">
        <v>45968</v>
      </c>
      <c r="H2281" s="29" t="n">
        <v>45972</v>
      </c>
      <c r="I2281" s="30" t="n">
        <v>4</v>
      </c>
      <c r="J2281" t="inlineStr">
        <is>
          <t>A41.9</t>
        </is>
      </c>
      <c r="K2281" t="inlineStr">
        <is>
          <t>Sepsis, unspecified organism</t>
        </is>
      </c>
      <c r="L2281" t="inlineStr">
        <is>
          <t>Infectious</t>
        </is>
      </c>
      <c r="M2281" t="inlineStr">
        <is>
          <t>Home/Self-Care</t>
        </is>
      </c>
      <c r="N2281" t="inlineStr">
        <is>
          <t>Summit Choice PPO</t>
        </is>
      </c>
      <c r="O2281" s="31" t="n">
        <v>48517.39</v>
      </c>
      <c r="P2281" t="inlineStr">
        <is>
          <t>N</t>
        </is>
      </c>
    </row>
    <row r="2282">
      <c r="A2282" t="inlineStr">
        <is>
          <t>ENC120014</t>
        </is>
      </c>
      <c r="B2282" t="inlineStr">
        <is>
          <t>PT10620</t>
        </is>
      </c>
      <c r="C2282" t="inlineStr">
        <is>
          <t>Observation</t>
        </is>
      </c>
      <c r="D2282" t="inlineStr">
        <is>
          <t>Ashby Falls Community Hospital</t>
        </is>
      </c>
      <c r="E2282" t="inlineStr">
        <is>
          <t>Medical-Surgical</t>
        </is>
      </c>
      <c r="F2282" t="inlineStr">
        <is>
          <t>Medicine</t>
        </is>
      </c>
      <c r="G2282" s="29" t="n">
        <v>45969</v>
      </c>
      <c r="H2282" s="29" t="n">
        <v>45970</v>
      </c>
      <c r="I2282" s="30" t="n">
        <v>1</v>
      </c>
      <c r="J2282" t="inlineStr">
        <is>
          <t>J44.1</t>
        </is>
      </c>
      <c r="K2282" t="inlineStr">
        <is>
          <t>Chronic obstructive pulmonary disease with (acute) exacerbation</t>
        </is>
      </c>
      <c r="L2282" t="inlineStr">
        <is>
          <t>Respiratory</t>
        </is>
      </c>
      <c r="M2282" t="inlineStr">
        <is>
          <t>Expired</t>
        </is>
      </c>
      <c r="N2282" t="inlineStr">
        <is>
          <t>State Medicaid</t>
        </is>
      </c>
      <c r="O2282" s="31" t="n">
        <v>7623.06</v>
      </c>
    </row>
    <row r="2283">
      <c r="A2283" t="inlineStr">
        <is>
          <t>ENC120023</t>
        </is>
      </c>
      <c r="B2283" t="inlineStr">
        <is>
          <t>PT12988</t>
        </is>
      </c>
      <c r="C2283" t="inlineStr">
        <is>
          <t>Emergency</t>
        </is>
      </c>
      <c r="D2283" t="inlineStr">
        <is>
          <t>Bluestone Memorial Hospital</t>
        </is>
      </c>
      <c r="E2283" t="inlineStr">
        <is>
          <t>Emergency Department</t>
        </is>
      </c>
      <c r="F2283" t="inlineStr">
        <is>
          <t>Emergency</t>
        </is>
      </c>
      <c r="G2283" s="29" t="n">
        <v>45969</v>
      </c>
      <c r="H2283" s="29" t="n">
        <v>45969</v>
      </c>
      <c r="I2283" s="30" t="n"/>
      <c r="J2283" t="inlineStr">
        <is>
          <t>M54.50</t>
        </is>
      </c>
      <c r="K2283" t="inlineStr">
        <is>
          <t>Low back pain, unspecified</t>
        </is>
      </c>
      <c r="L2283" t="inlineStr">
        <is>
          <t>Musculoskeletal</t>
        </is>
      </c>
      <c r="M2283" t="inlineStr">
        <is>
          <t>Home/Self-Care</t>
        </is>
      </c>
      <c r="N2283" t="inlineStr">
        <is>
          <t>Self-Pay</t>
        </is>
      </c>
      <c r="O2283" s="31" t="n">
        <v>1322.9</v>
      </c>
    </row>
    <row r="2284">
      <c r="A2284" t="inlineStr">
        <is>
          <t>ENC120024</t>
        </is>
      </c>
      <c r="B2284" t="inlineStr">
        <is>
          <t>PT13904</t>
        </is>
      </c>
      <c r="C2284" t="inlineStr">
        <is>
          <t>Inpatient</t>
        </is>
      </c>
      <c r="D2284" t="inlineStr">
        <is>
          <t>Bluestone Memorial Hospital</t>
        </is>
      </c>
      <c r="E2284" t="inlineStr">
        <is>
          <t>Medical-Surgical 5 East</t>
        </is>
      </c>
      <c r="F2284" t="inlineStr">
        <is>
          <t>Medicine</t>
        </is>
      </c>
      <c r="G2284" s="29" t="n">
        <v>45969</v>
      </c>
      <c r="H2284" s="29" t="n">
        <v>45974</v>
      </c>
      <c r="I2284" s="30" t="n">
        <v>5</v>
      </c>
      <c r="J2284" t="inlineStr">
        <is>
          <t>J18.9</t>
        </is>
      </c>
      <c r="K2284" t="inlineStr">
        <is>
          <t>Pneumonia, unspecified organism</t>
        </is>
      </c>
      <c r="L2284" t="inlineStr">
        <is>
          <t>Respiratory</t>
        </is>
      </c>
      <c r="M2284" t="inlineStr">
        <is>
          <t>Home/Self-Care</t>
        </is>
      </c>
      <c r="N2284" t="inlineStr">
        <is>
          <t>Silverline Medicare Advantage</t>
        </is>
      </c>
      <c r="O2284" s="31" t="n">
        <v>29291.28</v>
      </c>
      <c r="P2284" t="inlineStr">
        <is>
          <t>N</t>
        </is>
      </c>
    </row>
    <row r="2285">
      <c r="A2285" t="inlineStr">
        <is>
          <t>ENC120029</t>
        </is>
      </c>
      <c r="B2285" t="inlineStr">
        <is>
          <t>PT10448</t>
        </is>
      </c>
      <c r="C2285" t="inlineStr">
        <is>
          <t>Emergency</t>
        </is>
      </c>
      <c r="D2285" t="inlineStr">
        <is>
          <t>Ashby Falls Community Hospital</t>
        </is>
      </c>
      <c r="E2285" t="inlineStr">
        <is>
          <t>Emergency Department</t>
        </is>
      </c>
      <c r="F2285" t="inlineStr">
        <is>
          <t>Emergency</t>
        </is>
      </c>
      <c r="G2285" s="29" t="n">
        <v>45969</v>
      </c>
      <c r="H2285" s="29" t="n">
        <v>45969</v>
      </c>
      <c r="I2285" s="30" t="n"/>
      <c r="J2285" t="inlineStr">
        <is>
          <t>R10.9</t>
        </is>
      </c>
      <c r="K2285" t="inlineStr">
        <is>
          <t>Unspecified abdominal pain</t>
        </is>
      </c>
      <c r="L2285" t="inlineStr">
        <is>
          <t>Symptoms &amp; Signs</t>
        </is>
      </c>
      <c r="M2285" t="inlineStr">
        <is>
          <t>Home/Self-Care</t>
        </is>
      </c>
      <c r="N2285" t="inlineStr">
        <is>
          <t>Summit Choice PPO</t>
        </is>
      </c>
      <c r="O2285" s="31" t="n">
        <v>2430.38</v>
      </c>
    </row>
    <row r="2286">
      <c r="A2286" t="inlineStr">
        <is>
          <t>ENC120031</t>
        </is>
      </c>
      <c r="B2286" t="inlineStr">
        <is>
          <t>PT10372</t>
        </is>
      </c>
      <c r="C2286" t="inlineStr">
        <is>
          <t>Emergency</t>
        </is>
      </c>
      <c r="D2286" t="inlineStr">
        <is>
          <t>Bluestone Memorial Hospital</t>
        </is>
      </c>
      <c r="E2286" t="inlineStr">
        <is>
          <t>Emergency Department</t>
        </is>
      </c>
      <c r="F2286" t="inlineStr">
        <is>
          <t>Emergency</t>
        </is>
      </c>
      <c r="G2286" s="29" t="n">
        <v>45969</v>
      </c>
      <c r="H2286" s="29" t="n">
        <v>45969</v>
      </c>
      <c r="I2286" s="30" t="n"/>
      <c r="J2286" t="inlineStr">
        <is>
          <t>R07.9</t>
        </is>
      </c>
      <c r="K2286" t="inlineStr">
        <is>
          <t>Chest pain, unspecified</t>
        </is>
      </c>
      <c r="L2286" t="inlineStr">
        <is>
          <t>Symptoms &amp; Signs</t>
        </is>
      </c>
      <c r="M2286" t="inlineStr">
        <is>
          <t>Home/Self-Care</t>
        </is>
      </c>
      <c r="N2286" t="inlineStr">
        <is>
          <t>Medicare</t>
        </is>
      </c>
      <c r="O2286" s="31" t="n">
        <v>2294.77</v>
      </c>
    </row>
    <row r="2287">
      <c r="A2287" t="inlineStr">
        <is>
          <t>ENC120032</t>
        </is>
      </c>
      <c r="B2287" t="inlineStr">
        <is>
          <t>PT13548</t>
        </is>
      </c>
      <c r="C2287" t="inlineStr">
        <is>
          <t>Inpatient</t>
        </is>
      </c>
      <c r="D2287" t="inlineStr">
        <is>
          <t>Bluestone Memorial Hospital</t>
        </is>
      </c>
      <c r="E2287" t="inlineStr">
        <is>
          <t>Cardiac Step-Down</t>
        </is>
      </c>
      <c r="F2287" t="inlineStr">
        <is>
          <t>Cardiovascular</t>
        </is>
      </c>
      <c r="G2287" s="29" t="n">
        <v>45969</v>
      </c>
      <c r="H2287" s="29" t="n">
        <v>45979</v>
      </c>
      <c r="I2287" s="30" t="n">
        <v>10</v>
      </c>
      <c r="J2287" t="inlineStr">
        <is>
          <t>I50.9</t>
        </is>
      </c>
      <c r="K2287" t="inlineStr">
        <is>
          <t>Heart failure, unspecified</t>
        </is>
      </c>
      <c r="L2287" t="inlineStr">
        <is>
          <t>Circulatory</t>
        </is>
      </c>
      <c r="M2287" t="inlineStr">
        <is>
          <t>Home/Self-Care</t>
        </is>
      </c>
      <c r="N2287" t="inlineStr">
        <is>
          <t>Silverline Medicare Advantage</t>
        </is>
      </c>
      <c r="O2287" s="31" t="n">
        <v>53222.14</v>
      </c>
      <c r="P2287" t="inlineStr">
        <is>
          <t>Y</t>
        </is>
      </c>
    </row>
    <row r="2288">
      <c r="A2288" t="inlineStr">
        <is>
          <t>ENC120037</t>
        </is>
      </c>
      <c r="B2288" t="inlineStr">
        <is>
          <t>PT13220</t>
        </is>
      </c>
      <c r="C2288" t="inlineStr">
        <is>
          <t>Emergency</t>
        </is>
      </c>
      <c r="D2288" t="inlineStr">
        <is>
          <t>Bluestone Memorial Hospital</t>
        </is>
      </c>
      <c r="E2288" t="inlineStr">
        <is>
          <t>Emergency Department</t>
        </is>
      </c>
      <c r="F2288" t="inlineStr">
        <is>
          <t>Emergency</t>
        </is>
      </c>
      <c r="G2288" s="29" t="n">
        <v>45970</v>
      </c>
      <c r="H2288" s="29" t="n">
        <v>45970</v>
      </c>
      <c r="I2288" s="30" t="n"/>
      <c r="J2288" t="inlineStr">
        <is>
          <t>G43.909</t>
        </is>
      </c>
      <c r="K2288" t="inlineStr">
        <is>
          <t>Migraine, unspecified, not intractable, without status migrainosus</t>
        </is>
      </c>
      <c r="L2288" t="inlineStr">
        <is>
          <t>Nervous System</t>
        </is>
      </c>
      <c r="M2288" t="inlineStr">
        <is>
          <t>Home/Self-Care</t>
        </is>
      </c>
      <c r="N2288" t="inlineStr">
        <is>
          <t>Self-Pay</t>
        </is>
      </c>
      <c r="O2288" s="31" t="n">
        <v>3874.8</v>
      </c>
    </row>
    <row r="2289">
      <c r="A2289" t="inlineStr">
        <is>
          <t>ENC120042</t>
        </is>
      </c>
      <c r="B2289" t="inlineStr">
        <is>
          <t>PT13092</t>
        </is>
      </c>
      <c r="C2289" t="inlineStr">
        <is>
          <t>Inpatient</t>
        </is>
      </c>
      <c r="D2289" t="inlineStr">
        <is>
          <t>Bluestone Memorial Hospital</t>
        </is>
      </c>
      <c r="E2289" t="inlineStr">
        <is>
          <t>Cardiac Step-Down</t>
        </is>
      </c>
      <c r="F2289" t="inlineStr">
        <is>
          <t>Cardiovascular</t>
        </is>
      </c>
      <c r="G2289" s="29" t="n">
        <v>45970</v>
      </c>
      <c r="H2289" s="29" t="n">
        <v>45973</v>
      </c>
      <c r="I2289" s="30" t="n">
        <v>3</v>
      </c>
      <c r="J2289" t="inlineStr">
        <is>
          <t>I50.9</t>
        </is>
      </c>
      <c r="K2289" t="inlineStr">
        <is>
          <t>Heart failure, unspecified</t>
        </is>
      </c>
      <c r="L2289" t="inlineStr">
        <is>
          <t>Circulatory</t>
        </is>
      </c>
      <c r="M2289" t="inlineStr">
        <is>
          <t>Home/Self-Care</t>
        </is>
      </c>
      <c r="N2289" t="inlineStr">
        <is>
          <t>Silverline Medicare Advantage</t>
        </is>
      </c>
      <c r="O2289" s="31" t="n">
        <v>26807.81</v>
      </c>
      <c r="P2289" t="inlineStr">
        <is>
          <t>Y</t>
        </is>
      </c>
    </row>
    <row r="2290">
      <c r="A2290" t="inlineStr">
        <is>
          <t>ENC120044</t>
        </is>
      </c>
      <c r="B2290" t="inlineStr">
        <is>
          <t>PT11344</t>
        </is>
      </c>
      <c r="C2290" t="inlineStr">
        <is>
          <t>Observation</t>
        </is>
      </c>
      <c r="D2290" t="inlineStr">
        <is>
          <t>Bluestone Memorial Hospital</t>
        </is>
      </c>
      <c r="E2290" t="inlineStr">
        <is>
          <t>Observation Unit</t>
        </is>
      </c>
      <c r="F2290" t="inlineStr">
        <is>
          <t>Medicine</t>
        </is>
      </c>
      <c r="G2290" s="29" t="n">
        <v>45970</v>
      </c>
      <c r="H2290" s="29" t="n">
        <v>45971</v>
      </c>
      <c r="I2290" s="30" t="n">
        <v>1</v>
      </c>
      <c r="J2290" t="inlineStr">
        <is>
          <t>R55</t>
        </is>
      </c>
      <c r="K2290" t="inlineStr">
        <is>
          <t>Syncope and collapse</t>
        </is>
      </c>
      <c r="L2290" t="inlineStr">
        <is>
          <t>Symptoms &amp; Signs</t>
        </is>
      </c>
      <c r="M2290" t="inlineStr">
        <is>
          <t>Home/Self-Care</t>
        </is>
      </c>
      <c r="N2290" t="inlineStr">
        <is>
          <t>State Medicaid</t>
        </is>
      </c>
      <c r="O2290" s="31" t="n">
        <v>7965.37</v>
      </c>
    </row>
    <row r="2291">
      <c r="A2291" t="inlineStr">
        <is>
          <t>ENC120045</t>
        </is>
      </c>
      <c r="B2291" t="inlineStr">
        <is>
          <t>PT11760</t>
        </is>
      </c>
      <c r="C2291" t="inlineStr">
        <is>
          <t>Inpatient</t>
        </is>
      </c>
      <c r="D2291" t="inlineStr">
        <is>
          <t>Bluestone Memorial Hospital</t>
        </is>
      </c>
      <c r="E2291" t="inlineStr">
        <is>
          <t>Medical-Surgical 5 East</t>
        </is>
      </c>
      <c r="F2291" t="inlineStr">
        <is>
          <t>Medicine</t>
        </is>
      </c>
      <c r="G2291" s="29" t="n">
        <v>45970</v>
      </c>
      <c r="H2291" s="29" t="n">
        <v>45974</v>
      </c>
      <c r="I2291" s="30" t="n">
        <v>4</v>
      </c>
      <c r="J2291" t="inlineStr">
        <is>
          <t>J18.9</t>
        </is>
      </c>
      <c r="K2291" t="inlineStr">
        <is>
          <t>Pneumonia, unspecified organism</t>
        </is>
      </c>
      <c r="L2291" t="inlineStr">
        <is>
          <t>Respiratory</t>
        </is>
      </c>
      <c r="M2291" t="inlineStr">
        <is>
          <t>Home/Self-Care</t>
        </is>
      </c>
      <c r="N2291" t="inlineStr">
        <is>
          <t>State Medicaid</t>
        </is>
      </c>
      <c r="O2291" s="31" t="n">
        <v>13734.68</v>
      </c>
      <c r="P2291" t="inlineStr">
        <is>
          <t>N</t>
        </is>
      </c>
    </row>
    <row r="2292">
      <c r="A2292" t="inlineStr">
        <is>
          <t>ENC120046</t>
        </is>
      </c>
      <c r="B2292" t="inlineStr">
        <is>
          <t>PT12564</t>
        </is>
      </c>
      <c r="C2292" t="inlineStr">
        <is>
          <t>Emergency</t>
        </is>
      </c>
      <c r="D2292" t="inlineStr">
        <is>
          <t>Ashby Falls Community Hospital</t>
        </is>
      </c>
      <c r="E2292" t="inlineStr">
        <is>
          <t>Emergency Department</t>
        </is>
      </c>
      <c r="F2292" t="inlineStr">
        <is>
          <t>Emergency</t>
        </is>
      </c>
      <c r="G2292" s="29" t="n">
        <v>45970</v>
      </c>
      <c r="H2292" s="29" t="n">
        <v>45970</v>
      </c>
      <c r="I2292" s="30" t="n"/>
      <c r="J2292" t="inlineStr">
        <is>
          <t>J06.9</t>
        </is>
      </c>
      <c r="K2292" t="inlineStr">
        <is>
          <t>Acute upper respiratory infection, unspecified</t>
        </is>
      </c>
      <c r="L2292" t="inlineStr">
        <is>
          <t>Respiratory</t>
        </is>
      </c>
      <c r="M2292" t="inlineStr">
        <is>
          <t>Home/Self-Care</t>
        </is>
      </c>
      <c r="N2292" t="inlineStr">
        <is>
          <t>Summit Choice PPO</t>
        </is>
      </c>
      <c r="O2292" s="31" t="n">
        <v>652.62</v>
      </c>
    </row>
    <row r="2293">
      <c r="A2293" t="inlineStr">
        <is>
          <t>ENC120051</t>
        </is>
      </c>
      <c r="B2293" t="inlineStr">
        <is>
          <t>PT13968</t>
        </is>
      </c>
      <c r="C2293" t="inlineStr">
        <is>
          <t>Inpatient</t>
        </is>
      </c>
      <c r="D2293" t="inlineStr">
        <is>
          <t>Bluestone Memorial Hospital</t>
        </is>
      </c>
      <c r="E2293" t="inlineStr">
        <is>
          <t>Medical-Surgical 4 West</t>
        </is>
      </c>
      <c r="F2293" t="inlineStr">
        <is>
          <t>Medicine</t>
        </is>
      </c>
      <c r="G2293" s="29" t="n">
        <v>45970</v>
      </c>
      <c r="H2293" s="29" t="n">
        <v>45975</v>
      </c>
      <c r="I2293" s="30" t="n">
        <v>5</v>
      </c>
      <c r="J2293" t="inlineStr">
        <is>
          <t>J18.9</t>
        </is>
      </c>
      <c r="K2293" t="inlineStr">
        <is>
          <t>Pneumonia, unspecified organism</t>
        </is>
      </c>
      <c r="L2293" t="inlineStr">
        <is>
          <t>Respiratory</t>
        </is>
      </c>
      <c r="M2293" t="inlineStr">
        <is>
          <t>Home/Self-Care</t>
        </is>
      </c>
      <c r="N2293" t="inlineStr">
        <is>
          <t>Medicare</t>
        </is>
      </c>
      <c r="O2293" s="31" t="n">
        <v>19977.46</v>
      </c>
      <c r="P2293" t="inlineStr">
        <is>
          <t>N</t>
        </is>
      </c>
    </row>
    <row r="2294">
      <c r="A2294" t="inlineStr">
        <is>
          <t>ENC120053</t>
        </is>
      </c>
      <c r="B2294" t="inlineStr">
        <is>
          <t>PT11776</t>
        </is>
      </c>
      <c r="C2294" t="inlineStr">
        <is>
          <t>Inpatient</t>
        </is>
      </c>
      <c r="D2294" t="inlineStr">
        <is>
          <t>Bluestone Memorial Hospital</t>
        </is>
      </c>
      <c r="E2294" t="inlineStr">
        <is>
          <t>Medical-Surgical 5 East</t>
        </is>
      </c>
      <c r="F2294" t="inlineStr">
        <is>
          <t>Medicine</t>
        </is>
      </c>
      <c r="G2294" s="29" t="n">
        <v>45970</v>
      </c>
      <c r="H2294" s="29" t="n">
        <v>45972</v>
      </c>
      <c r="I2294" s="30" t="n">
        <v>2</v>
      </c>
      <c r="J2294" t="inlineStr">
        <is>
          <t>E11.65</t>
        </is>
      </c>
      <c r="K2294" t="inlineStr">
        <is>
          <t>Type 2 diabetes mellitus with hyperglycemia</t>
        </is>
      </c>
      <c r="L2294" t="inlineStr">
        <is>
          <t>Endocrine</t>
        </is>
      </c>
      <c r="M2294" t="inlineStr">
        <is>
          <t>Home/Self-Care</t>
        </is>
      </c>
      <c r="N2294" t="inlineStr">
        <is>
          <t>Medicare</t>
        </is>
      </c>
      <c r="O2294" s="31" t="n">
        <v>12837.92</v>
      </c>
      <c r="P2294" t="inlineStr">
        <is>
          <t>N</t>
        </is>
      </c>
    </row>
    <row r="2295">
      <c r="A2295" t="inlineStr">
        <is>
          <t>ENC120054</t>
        </is>
      </c>
      <c r="B2295" t="inlineStr">
        <is>
          <t>PT11240</t>
        </is>
      </c>
      <c r="C2295" t="inlineStr">
        <is>
          <t>Inpatient</t>
        </is>
      </c>
      <c r="D2295" t="inlineStr">
        <is>
          <t>Bluestone Memorial Hospital</t>
        </is>
      </c>
      <c r="E2295" t="inlineStr">
        <is>
          <t>Labor &amp; Delivery</t>
        </is>
      </c>
      <c r="F2295" t="inlineStr">
        <is>
          <t>Women &amp; Children</t>
        </is>
      </c>
      <c r="G2295" s="29" t="n">
        <v>45970</v>
      </c>
      <c r="H2295" s="29" t="n">
        <v>45975</v>
      </c>
      <c r="I2295" s="30" t="n">
        <v>5</v>
      </c>
      <c r="J2295" t="inlineStr">
        <is>
          <t>O80</t>
        </is>
      </c>
      <c r="K2295" t="inlineStr">
        <is>
          <t>Encounter for full-term uncomplicated delivery</t>
        </is>
      </c>
      <c r="L2295" t="inlineStr">
        <is>
          <t>Pregnancy</t>
        </is>
      </c>
      <c r="M2295" t="inlineStr">
        <is>
          <t>Home/Self-Care</t>
        </is>
      </c>
      <c r="N2295" t="inlineStr">
        <is>
          <t>Evergreen Mutual Insurance</t>
        </is>
      </c>
      <c r="O2295" s="31" t="n">
        <v>26695.91</v>
      </c>
      <c r="P2295" t="inlineStr">
        <is>
          <t>N</t>
        </is>
      </c>
    </row>
    <row r="2296">
      <c r="A2296" t="inlineStr">
        <is>
          <t>ENC120055</t>
        </is>
      </c>
      <c r="B2296" t="inlineStr">
        <is>
          <t>PT11788</t>
        </is>
      </c>
      <c r="C2296" t="inlineStr">
        <is>
          <t>Inpatient</t>
        </is>
      </c>
      <c r="D2296" t="inlineStr">
        <is>
          <t>Bluestone Memorial Hospital</t>
        </is>
      </c>
      <c r="E2296" t="inlineStr">
        <is>
          <t>Orthopedics &amp; Spine</t>
        </is>
      </c>
      <c r="F2296" t="inlineStr">
        <is>
          <t>Orthopedics</t>
        </is>
      </c>
      <c r="G2296" s="29" t="n">
        <v>45971</v>
      </c>
      <c r="H2296" s="29" t="n">
        <v>45973</v>
      </c>
      <c r="I2296" s="30" t="n">
        <v>2</v>
      </c>
      <c r="J2296" t="inlineStr">
        <is>
          <t>M16.11</t>
        </is>
      </c>
      <c r="K2296" t="inlineStr">
        <is>
          <t>Unilateral primary osteoarthritis, right hip</t>
        </is>
      </c>
      <c r="L2296" t="inlineStr">
        <is>
          <t>Musculoskeletal</t>
        </is>
      </c>
      <c r="M2296" t="inlineStr">
        <is>
          <t>Home Health</t>
        </is>
      </c>
      <c r="N2296" t="inlineStr">
        <is>
          <t>Silverline Medicare Advantage</t>
        </is>
      </c>
      <c r="O2296" s="31" t="n">
        <v>89046.84</v>
      </c>
      <c r="P2296" t="inlineStr">
        <is>
          <t>N</t>
        </is>
      </c>
    </row>
    <row r="2297">
      <c r="A2297" t="inlineStr">
        <is>
          <t>ENC120060</t>
        </is>
      </c>
      <c r="B2297" t="inlineStr">
        <is>
          <t>PT10204</t>
        </is>
      </c>
      <c r="C2297" t="inlineStr">
        <is>
          <t>Emergency</t>
        </is>
      </c>
      <c r="D2297" t="inlineStr">
        <is>
          <t>Bluestone Memorial Hospital</t>
        </is>
      </c>
      <c r="E2297" t="inlineStr">
        <is>
          <t>Emergency Department</t>
        </is>
      </c>
      <c r="F2297" t="inlineStr">
        <is>
          <t>Emergency</t>
        </is>
      </c>
      <c r="G2297" s="29" t="n">
        <v>45971</v>
      </c>
      <c r="H2297" s="29" t="n">
        <v>45971</v>
      </c>
      <c r="I2297" s="30" t="n"/>
      <c r="J2297" t="inlineStr">
        <is>
          <t>R10.9</t>
        </is>
      </c>
      <c r="K2297" t="inlineStr">
        <is>
          <t>Unspecified abdominal pain</t>
        </is>
      </c>
      <c r="L2297" t="inlineStr">
        <is>
          <t>Symptoms &amp; Signs</t>
        </is>
      </c>
      <c r="M2297" t="inlineStr">
        <is>
          <t>Home/Self-Care</t>
        </is>
      </c>
      <c r="N2297" t="inlineStr">
        <is>
          <t>Keystone Health Partners</t>
        </is>
      </c>
      <c r="O2297" s="31" t="n">
        <v>3035.54</v>
      </c>
    </row>
    <row r="2298">
      <c r="A2298" t="inlineStr">
        <is>
          <t>ENC120081</t>
        </is>
      </c>
      <c r="B2298" t="inlineStr">
        <is>
          <t>PT10460</t>
        </is>
      </c>
      <c r="C2298" t="inlineStr">
        <is>
          <t>Outpatient</t>
        </is>
      </c>
      <c r="D2298" t="inlineStr">
        <is>
          <t>Bluestone Outpatient Pavilion</t>
        </is>
      </c>
      <c r="E2298" t="inlineStr">
        <is>
          <t>Primary Care Clinic</t>
        </is>
      </c>
      <c r="F2298" t="inlineStr">
        <is>
          <t>Ambulatory</t>
        </is>
      </c>
      <c r="G2298" s="29" t="n">
        <v>45971</v>
      </c>
      <c r="H2298" s="29" t="n">
        <v>45971</v>
      </c>
      <c r="I2298" s="30" t="n"/>
      <c r="J2298" t="inlineStr">
        <is>
          <t>E78.5</t>
        </is>
      </c>
      <c r="K2298" t="inlineStr">
        <is>
          <t>Hyperlipidemia, unspecified</t>
        </is>
      </c>
      <c r="L2298" t="inlineStr">
        <is>
          <t>Endocrine</t>
        </is>
      </c>
      <c r="M2298" t="inlineStr">
        <is>
          <t>Home/Self-Care</t>
        </is>
      </c>
      <c r="N2298" t="inlineStr">
        <is>
          <t>Keystone Health Partners</t>
        </is>
      </c>
      <c r="O2298" s="31" t="n">
        <v>388.26</v>
      </c>
    </row>
    <row r="2299">
      <c r="A2299" t="inlineStr">
        <is>
          <t>ENC120082</t>
        </is>
      </c>
      <c r="B2299" t="inlineStr">
        <is>
          <t>PT10536</t>
        </is>
      </c>
      <c r="C2299" t="inlineStr">
        <is>
          <t>Emergency</t>
        </is>
      </c>
      <c r="D2299" t="inlineStr">
        <is>
          <t>Ashby Falls Community Hospital</t>
        </is>
      </c>
      <c r="E2299" t="inlineStr">
        <is>
          <t>Emergency Department</t>
        </is>
      </c>
      <c r="F2299" t="inlineStr">
        <is>
          <t>Emergency</t>
        </is>
      </c>
      <c r="G2299" s="29" t="n">
        <v>45971</v>
      </c>
      <c r="H2299" s="29" t="n">
        <v>45971</v>
      </c>
      <c r="I2299" s="30" t="n"/>
      <c r="J2299" t="inlineStr">
        <is>
          <t>R07.9</t>
        </is>
      </c>
      <c r="K2299" t="inlineStr">
        <is>
          <t>Chest pain, unspecified</t>
        </is>
      </c>
      <c r="L2299" t="inlineStr">
        <is>
          <t>Symptoms &amp; Signs</t>
        </is>
      </c>
      <c r="M2299" t="inlineStr">
        <is>
          <t>Home/Self-Care</t>
        </is>
      </c>
      <c r="N2299" t="inlineStr">
        <is>
          <t>Keystone Health Partners</t>
        </is>
      </c>
      <c r="O2299" s="31" t="n">
        <v>1491.38</v>
      </c>
    </row>
    <row r="2300">
      <c r="A2300" t="inlineStr">
        <is>
          <t>ENC120088</t>
        </is>
      </c>
      <c r="B2300" t="inlineStr">
        <is>
          <t>PT10288</t>
        </is>
      </c>
      <c r="C2300" t="inlineStr">
        <is>
          <t>Inpatient</t>
        </is>
      </c>
      <c r="D2300" t="inlineStr">
        <is>
          <t>Bluestone Memorial Hospital</t>
        </is>
      </c>
      <c r="E2300" t="inlineStr">
        <is>
          <t>Medical-Surgical 5 East</t>
        </is>
      </c>
      <c r="F2300" t="inlineStr">
        <is>
          <t>Medicine</t>
        </is>
      </c>
      <c r="G2300" s="29" t="n">
        <v>45971</v>
      </c>
      <c r="H2300" s="29" t="n">
        <v>45994</v>
      </c>
      <c r="I2300" s="30" t="n">
        <v>23</v>
      </c>
      <c r="J2300" t="inlineStr">
        <is>
          <t>J18.9</t>
        </is>
      </c>
      <c r="K2300" t="inlineStr">
        <is>
          <t>Pneumonia, unspecified organism</t>
        </is>
      </c>
      <c r="L2300" t="inlineStr">
        <is>
          <t>Respiratory</t>
        </is>
      </c>
      <c r="M2300" t="inlineStr">
        <is>
          <t>Home/Self-Care</t>
        </is>
      </c>
      <c r="N2300" t="inlineStr">
        <is>
          <t>Medicare</t>
        </is>
      </c>
      <c r="O2300" s="31" t="n">
        <v>80275.45</v>
      </c>
      <c r="P2300" t="inlineStr">
        <is>
          <t>N</t>
        </is>
      </c>
    </row>
    <row r="2301">
      <c r="A2301" t="inlineStr">
        <is>
          <t>ENC120094</t>
        </is>
      </c>
      <c r="B2301" t="inlineStr">
        <is>
          <t>PT11408</t>
        </is>
      </c>
      <c r="C2301" t="inlineStr">
        <is>
          <t>Emergency</t>
        </is>
      </c>
      <c r="D2301" t="inlineStr">
        <is>
          <t>Bluestone Memorial Hospital</t>
        </is>
      </c>
      <c r="E2301" t="inlineStr">
        <is>
          <t>Emergency Department</t>
        </is>
      </c>
      <c r="F2301" t="inlineStr">
        <is>
          <t>Emergency</t>
        </is>
      </c>
      <c r="G2301" s="29" t="n">
        <v>45971</v>
      </c>
      <c r="H2301" s="29" t="n">
        <v>45971</v>
      </c>
      <c r="I2301" s="30" t="n"/>
      <c r="J2301" t="inlineStr">
        <is>
          <t>J21.9</t>
        </is>
      </c>
      <c r="K2301" t="inlineStr">
        <is>
          <t>Acute bronchiolitis, unspecified</t>
        </is>
      </c>
      <c r="L2301" t="inlineStr">
        <is>
          <t>Respiratory</t>
        </is>
      </c>
      <c r="M2301" t="inlineStr">
        <is>
          <t>Home/Self-Care</t>
        </is>
      </c>
      <c r="N2301" t="inlineStr">
        <is>
          <t>State Medicaid</t>
        </is>
      </c>
      <c r="O2301" s="31" t="n">
        <v>4333.7</v>
      </c>
    </row>
    <row r="2302">
      <c r="A2302" t="inlineStr">
        <is>
          <t>ENC120100</t>
        </is>
      </c>
      <c r="B2302" t="inlineStr">
        <is>
          <t>PT11412</t>
        </is>
      </c>
      <c r="C2302" t="inlineStr">
        <is>
          <t>Inpatient</t>
        </is>
      </c>
      <c r="D2302" t="inlineStr">
        <is>
          <t>Cedar Ridge Medical Center</t>
        </is>
      </c>
      <c r="E2302" t="inlineStr">
        <is>
          <t>Cardiac Step-Down</t>
        </is>
      </c>
      <c r="F2302" t="inlineStr">
        <is>
          <t>Cardiovascular</t>
        </is>
      </c>
      <c r="G2302" s="29" t="n">
        <v>45972</v>
      </c>
      <c r="H2302" s="29" t="n">
        <v>45976</v>
      </c>
      <c r="I2302" s="30" t="n">
        <v>4</v>
      </c>
      <c r="J2302" t="inlineStr">
        <is>
          <t>I50.9</t>
        </is>
      </c>
      <c r="K2302" t="inlineStr">
        <is>
          <t>Heart failure, unspecified</t>
        </is>
      </c>
      <c r="L2302" t="inlineStr">
        <is>
          <t>Circulatory</t>
        </is>
      </c>
      <c r="M2302" t="inlineStr">
        <is>
          <t>Home/Self-Care</t>
        </is>
      </c>
      <c r="N2302" t="inlineStr">
        <is>
          <t>Medicare</t>
        </is>
      </c>
      <c r="O2302" s="31" t="n">
        <v>31058.6</v>
      </c>
      <c r="P2302" t="inlineStr">
        <is>
          <t>N</t>
        </is>
      </c>
    </row>
    <row r="2303">
      <c r="A2303" t="inlineStr">
        <is>
          <t>ENC120103</t>
        </is>
      </c>
      <c r="B2303" t="inlineStr">
        <is>
          <t>PT10444</t>
        </is>
      </c>
      <c r="C2303" t="inlineStr">
        <is>
          <t>Inpatient</t>
        </is>
      </c>
      <c r="D2303" t="inlineStr">
        <is>
          <t>Bluestone Memorial Hospital</t>
        </is>
      </c>
      <c r="E2303" t="inlineStr">
        <is>
          <t>Orthopedics &amp; Spine</t>
        </is>
      </c>
      <c r="F2303" t="inlineStr">
        <is>
          <t>Orthopedics</t>
        </is>
      </c>
      <c r="G2303" s="29" t="n">
        <v>45972</v>
      </c>
      <c r="H2303" s="29" t="n">
        <v>45973</v>
      </c>
      <c r="I2303" s="30" t="n">
        <v>1</v>
      </c>
      <c r="J2303" t="inlineStr">
        <is>
          <t>M16.11</t>
        </is>
      </c>
      <c r="K2303" t="inlineStr">
        <is>
          <t>Unilateral primary osteoarthritis, right hip</t>
        </is>
      </c>
      <c r="L2303" t="inlineStr">
        <is>
          <t>Musculoskeletal</t>
        </is>
      </c>
      <c r="M2303" t="inlineStr">
        <is>
          <t>Home/Self-Care</t>
        </is>
      </c>
      <c r="N2303" t="inlineStr">
        <is>
          <t>Medicare</t>
        </is>
      </c>
      <c r="O2303" s="31" t="n">
        <v>49661.81</v>
      </c>
      <c r="P2303" t="inlineStr">
        <is>
          <t>N</t>
        </is>
      </c>
    </row>
    <row r="2304">
      <c r="A2304" t="inlineStr">
        <is>
          <t>ENC120104</t>
        </is>
      </c>
      <c r="B2304" t="inlineStr">
        <is>
          <t>PT13400</t>
        </is>
      </c>
      <c r="C2304" t="inlineStr">
        <is>
          <t>Outpatient</t>
        </is>
      </c>
      <c r="D2304" t="inlineStr">
        <is>
          <t>Bluestone Outpatient Pavilion</t>
        </is>
      </c>
      <c r="E2304" t="inlineStr">
        <is>
          <t>Cardiology Clinic</t>
        </is>
      </c>
      <c r="F2304" t="inlineStr">
        <is>
          <t>Cardiovascular</t>
        </is>
      </c>
      <c r="G2304" s="29" t="n">
        <v>45972</v>
      </c>
      <c r="H2304" s="29" t="n">
        <v>45972</v>
      </c>
      <c r="I2304" s="30" t="n"/>
      <c r="J2304" t="inlineStr">
        <is>
          <t>I48.91</t>
        </is>
      </c>
      <c r="K2304" t="inlineStr">
        <is>
          <t>Unspecified atrial fibrillation</t>
        </is>
      </c>
      <c r="L2304" t="inlineStr">
        <is>
          <t>Circulatory</t>
        </is>
      </c>
      <c r="M2304" t="inlineStr">
        <is>
          <t>Home/Self-Care</t>
        </is>
      </c>
      <c r="N2304" t="inlineStr">
        <is>
          <t>Keystone Health Partners</t>
        </is>
      </c>
      <c r="O2304" s="31" t="n">
        <v>212.35</v>
      </c>
    </row>
    <row r="2305">
      <c r="A2305" t="inlineStr">
        <is>
          <t>ENC120105</t>
        </is>
      </c>
      <c r="B2305" t="inlineStr">
        <is>
          <t>PT12292</t>
        </is>
      </c>
      <c r="C2305" t="inlineStr">
        <is>
          <t>Outpatient</t>
        </is>
      </c>
      <c r="D2305" t="inlineStr">
        <is>
          <t>Bluestone Outpatient Pavilion</t>
        </is>
      </c>
      <c r="E2305" t="inlineStr">
        <is>
          <t>Cardiology Clinic</t>
        </is>
      </c>
      <c r="F2305" t="inlineStr">
        <is>
          <t>Cardiovascular</t>
        </is>
      </c>
      <c r="G2305" s="29" t="n">
        <v>45972</v>
      </c>
      <c r="H2305" s="29" t="n">
        <v>45972</v>
      </c>
      <c r="I2305" s="30" t="n"/>
      <c r="J2305" t="inlineStr">
        <is>
          <t>I48.91</t>
        </is>
      </c>
      <c r="K2305" t="inlineStr">
        <is>
          <t>Unspecified atrial fibrillation</t>
        </is>
      </c>
      <c r="L2305" t="inlineStr">
        <is>
          <t>Circulatory</t>
        </is>
      </c>
      <c r="M2305" t="inlineStr">
        <is>
          <t>Home/Self-Care</t>
        </is>
      </c>
      <c r="N2305" t="inlineStr">
        <is>
          <t>Silverline Medicare Advantage</t>
        </is>
      </c>
      <c r="O2305" s="31" t="n">
        <v>305.44</v>
      </c>
    </row>
    <row r="2306">
      <c r="A2306" t="inlineStr">
        <is>
          <t>ENC120114</t>
        </is>
      </c>
      <c r="B2306" t="inlineStr">
        <is>
          <t>PT10452</t>
        </is>
      </c>
      <c r="C2306" t="inlineStr">
        <is>
          <t>Inpatient</t>
        </is>
      </c>
      <c r="D2306" t="inlineStr">
        <is>
          <t>Bluestone Memorial Hospital</t>
        </is>
      </c>
      <c r="E2306" t="inlineStr">
        <is>
          <t>Medical-Surgical 4 West</t>
        </is>
      </c>
      <c r="F2306" t="inlineStr">
        <is>
          <t>Medicine</t>
        </is>
      </c>
      <c r="G2306" s="29" t="n">
        <v>45972</v>
      </c>
      <c r="H2306" s="29" t="n">
        <v>45981</v>
      </c>
      <c r="I2306" s="30" t="n">
        <v>9</v>
      </c>
      <c r="J2306" t="inlineStr">
        <is>
          <t>A41.9</t>
        </is>
      </c>
      <c r="K2306" t="inlineStr">
        <is>
          <t>Sepsis, unspecified organism</t>
        </is>
      </c>
      <c r="L2306" t="inlineStr">
        <is>
          <t>Infectious</t>
        </is>
      </c>
      <c r="M2306" t="inlineStr">
        <is>
          <t>Home/Self-Care</t>
        </is>
      </c>
      <c r="N2306" t="inlineStr">
        <is>
          <t>Medicare</t>
        </is>
      </c>
      <c r="O2306" s="31" t="n">
        <v>118837.48</v>
      </c>
      <c r="P2306" t="inlineStr">
        <is>
          <t>Y</t>
        </is>
      </c>
    </row>
    <row r="2307">
      <c r="A2307" t="inlineStr">
        <is>
          <t>ENC120124</t>
        </is>
      </c>
      <c r="B2307" t="inlineStr">
        <is>
          <t>PT11088</t>
        </is>
      </c>
      <c r="C2307" t="inlineStr">
        <is>
          <t>Emergency</t>
        </is>
      </c>
      <c r="D2307" t="inlineStr">
        <is>
          <t>Ashby Falls Community Hospital</t>
        </is>
      </c>
      <c r="E2307" t="inlineStr">
        <is>
          <t>Emergency Department</t>
        </is>
      </c>
      <c r="F2307" t="inlineStr">
        <is>
          <t>Emergency</t>
        </is>
      </c>
      <c r="G2307" s="29" t="n">
        <v>45972</v>
      </c>
      <c r="H2307" s="29" t="n">
        <v>45972</v>
      </c>
      <c r="I2307" s="30" t="n"/>
      <c r="J2307" t="inlineStr">
        <is>
          <t>M54.50</t>
        </is>
      </c>
      <c r="K2307" t="inlineStr">
        <is>
          <t>Low back pain, unspecified</t>
        </is>
      </c>
      <c r="L2307" t="inlineStr">
        <is>
          <t>Musculoskeletal</t>
        </is>
      </c>
      <c r="M2307" t="inlineStr">
        <is>
          <t>Home/Self-Care</t>
        </is>
      </c>
      <c r="N2307" t="inlineStr">
        <is>
          <t>Keystone Health Partners</t>
        </is>
      </c>
      <c r="O2307" s="31" t="n">
        <v>811.39</v>
      </c>
    </row>
    <row r="2308">
      <c r="A2308" t="inlineStr">
        <is>
          <t>ENC120125</t>
        </is>
      </c>
      <c r="B2308" t="inlineStr">
        <is>
          <t>PT10528</t>
        </is>
      </c>
      <c r="C2308" t="inlineStr">
        <is>
          <t>Outpatient</t>
        </is>
      </c>
      <c r="D2308" t="inlineStr">
        <is>
          <t>Bluestone Outpatient Pavilion</t>
        </is>
      </c>
      <c r="E2308" t="inlineStr">
        <is>
          <t>Primary Care Clinic</t>
        </is>
      </c>
      <c r="F2308" t="inlineStr">
        <is>
          <t>Ambulatory</t>
        </is>
      </c>
      <c r="G2308" s="29" t="n">
        <v>45972</v>
      </c>
      <c r="H2308" s="29" t="n">
        <v>45972</v>
      </c>
      <c r="I2308" s="30" t="n"/>
      <c r="J2308" t="inlineStr">
        <is>
          <t>J06.9</t>
        </is>
      </c>
      <c r="K2308" t="inlineStr">
        <is>
          <t>Acute upper respiratory infection, unspecified</t>
        </is>
      </c>
      <c r="L2308" t="inlineStr">
        <is>
          <t>Respiratory</t>
        </is>
      </c>
      <c r="M2308" t="inlineStr">
        <is>
          <t>Home/Self-Care</t>
        </is>
      </c>
      <c r="N2308" t="inlineStr">
        <is>
          <t>Medicare</t>
        </is>
      </c>
      <c r="O2308" s="31" t="n">
        <v>313.42</v>
      </c>
    </row>
    <row r="2309">
      <c r="A2309" t="inlineStr">
        <is>
          <t>ENC120126</t>
        </is>
      </c>
      <c r="B2309" t="inlineStr">
        <is>
          <t>PT11320</t>
        </is>
      </c>
      <c r="C2309" t="inlineStr">
        <is>
          <t>Outpatient</t>
        </is>
      </c>
      <c r="D2309" t="inlineStr">
        <is>
          <t>Bluestone Outpatient Pavilion</t>
        </is>
      </c>
      <c r="E2309" t="inlineStr">
        <is>
          <t>Primary Care Clinic</t>
        </is>
      </c>
      <c r="F2309" t="inlineStr">
        <is>
          <t>Ambulatory</t>
        </is>
      </c>
      <c r="G2309" s="29" t="n">
        <v>45972</v>
      </c>
      <c r="H2309" s="29" t="n">
        <v>45972</v>
      </c>
      <c r="I2309" s="30" t="n"/>
      <c r="J2309" t="inlineStr">
        <is>
          <t>I10</t>
        </is>
      </c>
      <c r="K2309" t="inlineStr">
        <is>
          <t>Essential (primary) hypertension</t>
        </is>
      </c>
      <c r="L2309" t="inlineStr">
        <is>
          <t>Circulatory</t>
        </is>
      </c>
      <c r="M2309" t="inlineStr">
        <is>
          <t>Home/Self-Care</t>
        </is>
      </c>
      <c r="N2309" t="inlineStr">
        <is>
          <t>Medicare</t>
        </is>
      </c>
      <c r="O2309" s="31" t="n">
        <v>294.81</v>
      </c>
    </row>
    <row r="2310">
      <c r="A2310" t="inlineStr">
        <is>
          <t>ENC120131</t>
        </is>
      </c>
      <c r="B2310" t="inlineStr">
        <is>
          <t>PT10196</t>
        </is>
      </c>
      <c r="C2310" t="inlineStr">
        <is>
          <t>Outpatient</t>
        </is>
      </c>
      <c r="D2310" t="inlineStr">
        <is>
          <t>Bluestone Outpatient Pavilion</t>
        </is>
      </c>
      <c r="E2310" t="inlineStr">
        <is>
          <t>Infusion &amp; Oncology Clinic</t>
        </is>
      </c>
      <c r="F2310" t="inlineStr">
        <is>
          <t>Oncology</t>
        </is>
      </c>
      <c r="G2310" s="29" t="n">
        <v>45972</v>
      </c>
      <c r="H2310" s="29" t="n">
        <v>45972</v>
      </c>
      <c r="I2310" s="30" t="n"/>
      <c r="J2310" t="inlineStr">
        <is>
          <t>Z51.11</t>
        </is>
      </c>
      <c r="K2310" t="inlineStr">
        <is>
          <t>Encounter for antineoplastic chemotherapy</t>
        </is>
      </c>
      <c r="L2310" t="inlineStr">
        <is>
          <t>Factors Influencing Health</t>
        </is>
      </c>
      <c r="M2310" t="inlineStr">
        <is>
          <t>Home/Self-Care</t>
        </is>
      </c>
      <c r="N2310" t="inlineStr">
        <is>
          <t>Silverline Medicare Advantage</t>
        </is>
      </c>
      <c r="O2310" s="31" t="n">
        <v>13864.16</v>
      </c>
    </row>
    <row r="2311">
      <c r="A2311" t="inlineStr">
        <is>
          <t>ENC120139</t>
        </is>
      </c>
      <c r="B2311" t="inlineStr">
        <is>
          <t>PT10112</t>
        </is>
      </c>
      <c r="C2311" t="inlineStr">
        <is>
          <t>Inpatient</t>
        </is>
      </c>
      <c r="D2311" t="inlineStr">
        <is>
          <t>Bluestone Memorial Hospital</t>
        </is>
      </c>
      <c r="E2311" t="inlineStr">
        <is>
          <t>Medical-Surgical 5 East</t>
        </is>
      </c>
      <c r="F2311" t="inlineStr">
        <is>
          <t>Medicine</t>
        </is>
      </c>
      <c r="G2311" s="29" t="n">
        <v>45973</v>
      </c>
      <c r="H2311" s="29" t="n">
        <v>45975</v>
      </c>
      <c r="I2311" s="30" t="n">
        <v>2</v>
      </c>
      <c r="J2311" t="inlineStr">
        <is>
          <t>J18.9</t>
        </is>
      </c>
      <c r="K2311" t="inlineStr">
        <is>
          <t>Pneumonia, unspecified organism</t>
        </is>
      </c>
      <c r="L2311" t="inlineStr">
        <is>
          <t>Respiratory</t>
        </is>
      </c>
      <c r="M2311" t="inlineStr">
        <is>
          <t>Home/Self-Care</t>
        </is>
      </c>
      <c r="N2311" t="inlineStr">
        <is>
          <t>Silverline Medicare Advantage</t>
        </is>
      </c>
      <c r="O2311" s="31" t="n">
        <v>8303.68</v>
      </c>
      <c r="P2311" t="inlineStr">
        <is>
          <t>N</t>
        </is>
      </c>
    </row>
    <row r="2312">
      <c r="A2312" t="inlineStr">
        <is>
          <t>ENC120152</t>
        </is>
      </c>
      <c r="B2312" t="inlineStr">
        <is>
          <t>PT10932</t>
        </is>
      </c>
      <c r="C2312" t="inlineStr">
        <is>
          <t>Emergency</t>
        </is>
      </c>
      <c r="D2312" t="inlineStr">
        <is>
          <t>Cedar Ridge Medical Center</t>
        </is>
      </c>
      <c r="E2312" t="inlineStr">
        <is>
          <t>Emergency Department</t>
        </is>
      </c>
      <c r="F2312" t="inlineStr">
        <is>
          <t>Emergency</t>
        </is>
      </c>
      <c r="G2312" s="29" t="n">
        <v>45973</v>
      </c>
      <c r="H2312" s="29" t="n">
        <v>45973</v>
      </c>
      <c r="I2312" s="30" t="n"/>
      <c r="J2312" t="inlineStr">
        <is>
          <t>I10</t>
        </is>
      </c>
      <c r="K2312" t="inlineStr">
        <is>
          <t>Essential (primary) hypertension</t>
        </is>
      </c>
      <c r="L2312" t="inlineStr">
        <is>
          <t>Circulatory</t>
        </is>
      </c>
      <c r="M2312" t="inlineStr">
        <is>
          <t>Home/Self-Care</t>
        </is>
      </c>
      <c r="N2312" t="inlineStr">
        <is>
          <t>Evergreen Mutual Insurance</t>
        </is>
      </c>
      <c r="O2312" s="31" t="n">
        <v>3759.52</v>
      </c>
    </row>
    <row r="2313">
      <c r="A2313" t="inlineStr">
        <is>
          <t>ENC120154</t>
        </is>
      </c>
      <c r="B2313" t="inlineStr">
        <is>
          <t>PT11188</t>
        </is>
      </c>
      <c r="C2313" t="inlineStr">
        <is>
          <t>Emergency</t>
        </is>
      </c>
      <c r="D2313" t="inlineStr">
        <is>
          <t>Cedar Ridge Medical Center</t>
        </is>
      </c>
      <c r="E2313" t="inlineStr">
        <is>
          <t>Emergency Department</t>
        </is>
      </c>
      <c r="F2313" t="inlineStr">
        <is>
          <t>Emergency</t>
        </is>
      </c>
      <c r="G2313" s="29" t="n">
        <v>45973</v>
      </c>
      <c r="H2313" s="29" t="n">
        <v>45973</v>
      </c>
      <c r="I2313" s="30" t="n"/>
      <c r="J2313" t="inlineStr">
        <is>
          <t>U07.1</t>
        </is>
      </c>
      <c r="K2313" t="inlineStr">
        <is>
          <t>COVID-19</t>
        </is>
      </c>
      <c r="L2313" t="inlineStr">
        <is>
          <t>Respiratory</t>
        </is>
      </c>
      <c r="M2313" t="inlineStr">
        <is>
          <t>Home/Self-Care</t>
        </is>
      </c>
      <c r="N2313" t="inlineStr">
        <is>
          <t>Medicare</t>
        </is>
      </c>
      <c r="O2313" s="31" t="n">
        <v>3991.17</v>
      </c>
    </row>
    <row r="2314">
      <c r="A2314" t="inlineStr">
        <is>
          <t>ENC120156</t>
        </is>
      </c>
      <c r="B2314" t="inlineStr">
        <is>
          <t>PT12488</t>
        </is>
      </c>
      <c r="C2314" t="inlineStr">
        <is>
          <t>Outpatient</t>
        </is>
      </c>
      <c r="D2314" t="inlineStr">
        <is>
          <t>Bluestone Outpatient Pavilion</t>
        </is>
      </c>
      <c r="E2314" t="inlineStr">
        <is>
          <t>Primary Care Clinic</t>
        </is>
      </c>
      <c r="F2314" t="inlineStr">
        <is>
          <t>Ambulatory</t>
        </is>
      </c>
      <c r="G2314" s="29" t="n">
        <v>45973</v>
      </c>
      <c r="H2314" s="29" t="n">
        <v>45973</v>
      </c>
      <c r="I2314" s="30" t="n"/>
      <c r="J2314" t="inlineStr">
        <is>
          <t>Z23</t>
        </is>
      </c>
      <c r="K2314" t="inlineStr">
        <is>
          <t>Encounter for immunization</t>
        </is>
      </c>
      <c r="L2314" t="inlineStr">
        <is>
          <t>Factors Influencing Health</t>
        </is>
      </c>
      <c r="M2314" t="inlineStr">
        <is>
          <t>Home/Self-Care</t>
        </is>
      </c>
      <c r="N2314" t="inlineStr">
        <is>
          <t>Summit Choice PPO</t>
        </is>
      </c>
      <c r="O2314" s="31" t="n">
        <v>106.73</v>
      </c>
    </row>
    <row r="2315">
      <c r="A2315" t="inlineStr">
        <is>
          <t>ENC120162</t>
        </is>
      </c>
      <c r="B2315" t="inlineStr">
        <is>
          <t>PT13440</t>
        </is>
      </c>
      <c r="C2315" t="inlineStr">
        <is>
          <t>Inpatient</t>
        </is>
      </c>
      <c r="D2315" t="inlineStr">
        <is>
          <t>Bluestone Memorial Hospital</t>
        </is>
      </c>
      <c r="E2315" t="inlineStr">
        <is>
          <t>Behavioral Health</t>
        </is>
      </c>
      <c r="F2315" t="inlineStr">
        <is>
          <t>Behavioral Health</t>
        </is>
      </c>
      <c r="G2315" s="29" t="n">
        <v>45973</v>
      </c>
      <c r="H2315" s="29" t="n">
        <v>45986</v>
      </c>
      <c r="I2315" s="30" t="n">
        <v>13</v>
      </c>
      <c r="J2315" t="inlineStr">
        <is>
          <t>F32.9</t>
        </is>
      </c>
      <c r="K2315" t="inlineStr">
        <is>
          <t>Major depressive disorder, single episode, unspecified</t>
        </is>
      </c>
      <c r="L2315" t="inlineStr">
        <is>
          <t>Mental &amp; Behavioral</t>
        </is>
      </c>
      <c r="M2315" t="inlineStr">
        <is>
          <t>Home/Self-Care</t>
        </is>
      </c>
      <c r="N2315" t="inlineStr">
        <is>
          <t>Medicare</t>
        </is>
      </c>
      <c r="O2315" s="31" t="n">
        <v>32870.43</v>
      </c>
      <c r="P2315" t="inlineStr">
        <is>
          <t>N</t>
        </is>
      </c>
    </row>
    <row r="2316">
      <c r="A2316" t="inlineStr">
        <is>
          <t>ENC120172</t>
        </is>
      </c>
      <c r="B2316" t="inlineStr">
        <is>
          <t>PT13636</t>
        </is>
      </c>
      <c r="C2316" t="inlineStr">
        <is>
          <t>Inpatient</t>
        </is>
      </c>
      <c r="D2316" t="inlineStr">
        <is>
          <t>Bluestone Memorial Hospital</t>
        </is>
      </c>
      <c r="E2316" t="inlineStr">
        <is>
          <t>Behavioral Health</t>
        </is>
      </c>
      <c r="F2316" t="inlineStr">
        <is>
          <t>Behavioral Health</t>
        </is>
      </c>
      <c r="G2316" s="29" t="n">
        <v>45973</v>
      </c>
      <c r="H2316" s="29" t="n">
        <v>46007</v>
      </c>
      <c r="I2316" s="30" t="n">
        <v>34</v>
      </c>
      <c r="J2316" t="inlineStr">
        <is>
          <t>F20.9</t>
        </is>
      </c>
      <c r="K2316" t="inlineStr">
        <is>
          <t>Schizophrenia, unspecified</t>
        </is>
      </c>
      <c r="L2316" t="inlineStr">
        <is>
          <t>Mental &amp; Behavioral</t>
        </is>
      </c>
      <c r="M2316" t="inlineStr">
        <is>
          <t>Home/Self-Care</t>
        </is>
      </c>
      <c r="N2316" t="inlineStr">
        <is>
          <t>Keystone Health Partners</t>
        </is>
      </c>
      <c r="O2316" s="31" t="n">
        <v>109181.2</v>
      </c>
      <c r="P2316" t="inlineStr">
        <is>
          <t>Y</t>
        </is>
      </c>
    </row>
    <row r="2317">
      <c r="A2317" t="inlineStr">
        <is>
          <t>ENC120174</t>
        </is>
      </c>
      <c r="B2317" t="inlineStr">
        <is>
          <t>PT13092</t>
        </is>
      </c>
      <c r="C2317" t="inlineStr">
        <is>
          <t>Inpatient</t>
        </is>
      </c>
      <c r="D2317" t="inlineStr">
        <is>
          <t>Bluestone Memorial Hospital</t>
        </is>
      </c>
      <c r="E2317" t="inlineStr">
        <is>
          <t>Medical-Surgical 4 West</t>
        </is>
      </c>
      <c r="F2317" t="inlineStr">
        <is>
          <t>Medicine</t>
        </is>
      </c>
      <c r="G2317" s="29" t="n">
        <v>45974</v>
      </c>
      <c r="H2317" s="29" t="n">
        <v>45977</v>
      </c>
      <c r="I2317" s="30" t="n">
        <v>3</v>
      </c>
      <c r="J2317" t="inlineStr">
        <is>
          <t>A41.9</t>
        </is>
      </c>
      <c r="K2317" t="inlineStr">
        <is>
          <t>Sepsis, unspecified organism</t>
        </is>
      </c>
      <c r="L2317" t="inlineStr">
        <is>
          <t>Infectious</t>
        </is>
      </c>
      <c r="M2317" t="inlineStr">
        <is>
          <t>Home Health</t>
        </is>
      </c>
      <c r="N2317" t="inlineStr">
        <is>
          <t>Silverline Medicare Advantage</t>
        </is>
      </c>
      <c r="O2317" s="31" t="n">
        <v>29547.35</v>
      </c>
      <c r="P2317" t="inlineStr">
        <is>
          <t>Y</t>
        </is>
      </c>
    </row>
    <row r="2318">
      <c r="A2318" t="inlineStr">
        <is>
          <t>ENC120175</t>
        </is>
      </c>
      <c r="B2318" t="inlineStr">
        <is>
          <t>PT10148</t>
        </is>
      </c>
      <c r="C2318" t="inlineStr">
        <is>
          <t>Inpatient</t>
        </is>
      </c>
      <c r="D2318" t="inlineStr">
        <is>
          <t>Ashby Falls Community Hospital</t>
        </is>
      </c>
      <c r="E2318" t="inlineStr">
        <is>
          <t>Medical-Surgical</t>
        </is>
      </c>
      <c r="F2318" t="inlineStr">
        <is>
          <t>Medicine</t>
        </is>
      </c>
      <c r="G2318" s="29" t="n">
        <v>45974</v>
      </c>
      <c r="H2318" s="29" t="n">
        <v>45984</v>
      </c>
      <c r="I2318" s="30" t="n">
        <v>10</v>
      </c>
      <c r="J2318" t="inlineStr">
        <is>
          <t>J18.9</t>
        </is>
      </c>
      <c r="K2318" t="inlineStr">
        <is>
          <t>Pneumonia, unspecified organism</t>
        </is>
      </c>
      <c r="L2318" t="inlineStr">
        <is>
          <t>Respiratory</t>
        </is>
      </c>
      <c r="M2318" t="inlineStr">
        <is>
          <t>Home/Self-Care</t>
        </is>
      </c>
      <c r="N2318" t="inlineStr">
        <is>
          <t>Silverline Medicare Advantage</t>
        </is>
      </c>
      <c r="O2318" s="31" t="n">
        <v>43866.5</v>
      </c>
      <c r="P2318" t="inlineStr">
        <is>
          <t>N</t>
        </is>
      </c>
    </row>
    <row r="2319">
      <c r="A2319" t="inlineStr">
        <is>
          <t>ENC120176</t>
        </is>
      </c>
      <c r="B2319" t="inlineStr">
        <is>
          <t>PT13096</t>
        </is>
      </c>
      <c r="C2319" t="inlineStr">
        <is>
          <t>Inpatient</t>
        </is>
      </c>
      <c r="D2319" t="inlineStr">
        <is>
          <t>Bluestone Memorial Hospital</t>
        </is>
      </c>
      <c r="E2319" t="inlineStr">
        <is>
          <t>Behavioral Health</t>
        </is>
      </c>
      <c r="F2319" t="inlineStr">
        <is>
          <t>Behavioral Health</t>
        </is>
      </c>
      <c r="G2319" s="29" t="n">
        <v>45974</v>
      </c>
      <c r="H2319" s="29" t="n">
        <v>45982</v>
      </c>
      <c r="I2319" s="30" t="n">
        <v>8</v>
      </c>
      <c r="J2319" t="inlineStr">
        <is>
          <t>F20.9</t>
        </is>
      </c>
      <c r="K2319" t="inlineStr">
        <is>
          <t>Schizophrenia, unspecified</t>
        </is>
      </c>
      <c r="L2319" t="inlineStr">
        <is>
          <t>Mental &amp; Behavioral</t>
        </is>
      </c>
      <c r="M2319" t="inlineStr">
        <is>
          <t>Home/Self-Care</t>
        </is>
      </c>
      <c r="N2319" t="inlineStr">
        <is>
          <t>Medicare</t>
        </is>
      </c>
      <c r="O2319" s="31" t="n">
        <v>26938.04</v>
      </c>
      <c r="P2319" t="inlineStr">
        <is>
          <t>N</t>
        </is>
      </c>
    </row>
    <row r="2320">
      <c r="A2320" t="inlineStr">
        <is>
          <t>ENC120183</t>
        </is>
      </c>
      <c r="B2320" t="inlineStr">
        <is>
          <t>PT12896</t>
        </is>
      </c>
      <c r="C2320" t="inlineStr">
        <is>
          <t>Inpatient</t>
        </is>
      </c>
      <c r="D2320" t="inlineStr">
        <is>
          <t>Cedar Ridge Medical Center</t>
        </is>
      </c>
      <c r="E2320" t="inlineStr">
        <is>
          <t>Medical-Surgical</t>
        </is>
      </c>
      <c r="F2320" t="inlineStr">
        <is>
          <t>Medicine</t>
        </is>
      </c>
      <c r="G2320" s="29" t="n">
        <v>45974</v>
      </c>
      <c r="H2320" s="29" t="n">
        <v>45976</v>
      </c>
      <c r="I2320" s="30" t="n">
        <v>2</v>
      </c>
      <c r="J2320" t="inlineStr">
        <is>
          <t>L03.115</t>
        </is>
      </c>
      <c r="K2320" t="inlineStr">
        <is>
          <t>Cellulitis of right lower limb</t>
        </is>
      </c>
      <c r="L2320" t="inlineStr">
        <is>
          <t>Skin</t>
        </is>
      </c>
      <c r="M2320" t="inlineStr">
        <is>
          <t>Home/Self-Care</t>
        </is>
      </c>
      <c r="N2320" t="inlineStr">
        <is>
          <t>Silverline Medicare Advantage</t>
        </is>
      </c>
      <c r="O2320" s="31" t="n">
        <v>12145.75</v>
      </c>
      <c r="P2320" t="inlineStr">
        <is>
          <t>N</t>
        </is>
      </c>
    </row>
    <row r="2321">
      <c r="A2321" t="inlineStr">
        <is>
          <t>ENC120184</t>
        </is>
      </c>
      <c r="B2321" t="inlineStr">
        <is>
          <t>PT10204</t>
        </is>
      </c>
      <c r="C2321" t="inlineStr">
        <is>
          <t>Outpatient</t>
        </is>
      </c>
      <c r="D2321" t="inlineStr">
        <is>
          <t>Bluestone Outpatient Pavilion</t>
        </is>
      </c>
      <c r="E2321" t="inlineStr">
        <is>
          <t>Endocrinology &amp; Diabetes Clinic</t>
        </is>
      </c>
      <c r="F2321" t="inlineStr">
        <is>
          <t>Ambulatory</t>
        </is>
      </c>
      <c r="G2321" s="29" t="n">
        <v>45974</v>
      </c>
      <c r="H2321" s="29" t="n">
        <v>45974</v>
      </c>
      <c r="I2321" s="30" t="n"/>
      <c r="J2321" t="inlineStr">
        <is>
          <t>E11.65</t>
        </is>
      </c>
      <c r="K2321" t="inlineStr">
        <is>
          <t>Type 2 diabetes mellitus with hyperglycemia</t>
        </is>
      </c>
      <c r="L2321" t="inlineStr">
        <is>
          <t>Endocrine</t>
        </is>
      </c>
      <c r="M2321" t="inlineStr">
        <is>
          <t>Home/Self-Care</t>
        </is>
      </c>
      <c r="N2321" t="inlineStr">
        <is>
          <t>Keystone Health Partners</t>
        </is>
      </c>
      <c r="O2321" s="31" t="n">
        <v>279.79</v>
      </c>
    </row>
    <row r="2322">
      <c r="A2322" t="inlineStr">
        <is>
          <t>ENC120185</t>
        </is>
      </c>
      <c r="B2322" t="inlineStr">
        <is>
          <t>PT11132</t>
        </is>
      </c>
      <c r="C2322" t="inlineStr">
        <is>
          <t>Outpatient</t>
        </is>
      </c>
      <c r="D2322" t="inlineStr">
        <is>
          <t>Bluestone Outpatient Pavilion</t>
        </is>
      </c>
      <c r="E2322" t="inlineStr">
        <is>
          <t>Pediatric Clinic</t>
        </is>
      </c>
      <c r="F2322" t="inlineStr">
        <is>
          <t>Women &amp; Children</t>
        </is>
      </c>
      <c r="G2322" s="29" t="n">
        <v>45974</v>
      </c>
      <c r="H2322" s="29" t="n">
        <v>45974</v>
      </c>
      <c r="I2322" s="30" t="n"/>
      <c r="J2322" t="inlineStr">
        <is>
          <t>H66.90</t>
        </is>
      </c>
      <c r="K2322" t="inlineStr">
        <is>
          <t>Otitis media, unspecified, unspecified ear</t>
        </is>
      </c>
      <c r="L2322" t="inlineStr">
        <is>
          <t>Ear</t>
        </is>
      </c>
      <c r="M2322" t="inlineStr">
        <is>
          <t>Home/Self-Care</t>
        </is>
      </c>
      <c r="N2322" t="inlineStr">
        <is>
          <t>State Medicaid</t>
        </is>
      </c>
      <c r="O2322" s="31" t="n">
        <v>509.88</v>
      </c>
    </row>
    <row r="2323">
      <c r="A2323" t="inlineStr">
        <is>
          <t>ENC120187</t>
        </is>
      </c>
      <c r="B2323" t="inlineStr">
        <is>
          <t>PT12832</t>
        </is>
      </c>
      <c r="C2323" t="inlineStr">
        <is>
          <t>Emergency</t>
        </is>
      </c>
      <c r="D2323" t="inlineStr">
        <is>
          <t>Bluestone Memorial Hospital</t>
        </is>
      </c>
      <c r="E2323" t="inlineStr">
        <is>
          <t>Emergency Department</t>
        </is>
      </c>
      <c r="F2323" t="inlineStr">
        <is>
          <t>Emergency</t>
        </is>
      </c>
      <c r="G2323" s="29" t="n">
        <v>45974</v>
      </c>
      <c r="H2323" s="29" t="n">
        <v>45974</v>
      </c>
      <c r="I2323" s="30" t="n"/>
      <c r="J2323" t="inlineStr">
        <is>
          <t>S06.0X0A</t>
        </is>
      </c>
      <c r="K2323" t="inlineStr">
        <is>
          <t>Concussion without loss of consciousness, initial encounter</t>
        </is>
      </c>
      <c r="L2323" t="inlineStr">
        <is>
          <t>Injury</t>
        </is>
      </c>
      <c r="M2323" t="inlineStr">
        <is>
          <t>Home/Self-Care</t>
        </is>
      </c>
      <c r="N2323" t="inlineStr">
        <is>
          <t>Medicare</t>
        </is>
      </c>
      <c r="O2323" s="31" t="n">
        <v>4235.59</v>
      </c>
    </row>
    <row r="2324">
      <c r="A2324" t="inlineStr">
        <is>
          <t>ENC120192</t>
        </is>
      </c>
      <c r="B2324" t="inlineStr">
        <is>
          <t>PT10624</t>
        </is>
      </c>
      <c r="C2324" t="inlineStr">
        <is>
          <t>Outpatient</t>
        </is>
      </c>
      <c r="D2324" t="inlineStr">
        <is>
          <t>Bluestone Outpatient Pavilion</t>
        </is>
      </c>
      <c r="E2324" t="inlineStr">
        <is>
          <t>Cardiology Clinic</t>
        </is>
      </c>
      <c r="F2324" t="inlineStr">
        <is>
          <t>Cardiovascular</t>
        </is>
      </c>
      <c r="G2324" s="29" t="n">
        <v>45974</v>
      </c>
      <c r="H2324" s="29" t="n">
        <v>45974</v>
      </c>
      <c r="I2324" s="30" t="n"/>
      <c r="J2324" t="inlineStr">
        <is>
          <t>I50.9</t>
        </is>
      </c>
      <c r="K2324" t="inlineStr">
        <is>
          <t>Heart failure, unspecified</t>
        </is>
      </c>
      <c r="L2324" t="inlineStr">
        <is>
          <t>Circulatory</t>
        </is>
      </c>
      <c r="M2324" t="inlineStr">
        <is>
          <t>Home/Self-Care</t>
        </is>
      </c>
      <c r="N2324" t="inlineStr">
        <is>
          <t>Medicare</t>
        </is>
      </c>
      <c r="O2324" s="31" t="n">
        <v>278.58</v>
      </c>
    </row>
    <row r="2325">
      <c r="A2325" t="inlineStr">
        <is>
          <t>ENC120195</t>
        </is>
      </c>
      <c r="B2325" t="inlineStr">
        <is>
          <t>PT13436</t>
        </is>
      </c>
      <c r="C2325" t="inlineStr">
        <is>
          <t>Emergency</t>
        </is>
      </c>
      <c r="D2325" t="inlineStr">
        <is>
          <t>Bluestone Memorial Hospital</t>
        </is>
      </c>
      <c r="E2325" t="inlineStr">
        <is>
          <t>Emergency Department</t>
        </is>
      </c>
      <c r="F2325" t="inlineStr">
        <is>
          <t>Emergency</t>
        </is>
      </c>
      <c r="G2325" s="29" t="n">
        <v>45974</v>
      </c>
      <c r="H2325" s="29" t="n">
        <v>45974</v>
      </c>
      <c r="I2325" s="30" t="n"/>
      <c r="J2325" t="inlineStr">
        <is>
          <t>E86.0</t>
        </is>
      </c>
      <c r="K2325" t="inlineStr">
        <is>
          <t>Dehydration</t>
        </is>
      </c>
      <c r="L2325" t="inlineStr">
        <is>
          <t>Endocrine</t>
        </is>
      </c>
      <c r="M2325" t="inlineStr">
        <is>
          <t>Home/Self-Care</t>
        </is>
      </c>
      <c r="N2325" t="inlineStr">
        <is>
          <t>Silverline Medicare Advantage</t>
        </is>
      </c>
      <c r="O2325" s="31" t="n">
        <v>3687.57</v>
      </c>
    </row>
    <row r="2326">
      <c r="A2326" t="inlineStr">
        <is>
          <t>ENC120202</t>
        </is>
      </c>
      <c r="B2326" t="inlineStr">
        <is>
          <t>PT12244</t>
        </is>
      </c>
      <c r="C2326" t="inlineStr">
        <is>
          <t>Outpatient</t>
        </is>
      </c>
      <c r="D2326" t="inlineStr">
        <is>
          <t>Bluestone Outpatient Pavilion</t>
        </is>
      </c>
      <c r="E2326" t="inlineStr">
        <is>
          <t>Primary Care Clinic</t>
        </is>
      </c>
      <c r="F2326" t="inlineStr">
        <is>
          <t>Ambulatory</t>
        </is>
      </c>
      <c r="G2326" s="29" t="n">
        <v>45974</v>
      </c>
      <c r="H2326" s="29" t="n">
        <v>45974</v>
      </c>
      <c r="I2326" s="30" t="n"/>
      <c r="J2326" t="inlineStr">
        <is>
          <t>M54.50</t>
        </is>
      </c>
      <c r="K2326" t="inlineStr">
        <is>
          <t>Low back pain, unspecified</t>
        </is>
      </c>
      <c r="L2326" t="inlineStr">
        <is>
          <t>Musculoskeletal</t>
        </is>
      </c>
      <c r="M2326" t="inlineStr">
        <is>
          <t>Home/Self-Care</t>
        </is>
      </c>
      <c r="N2326" t="inlineStr">
        <is>
          <t>Silverline Medicare Advantage</t>
        </is>
      </c>
      <c r="O2326" s="31" t="n">
        <v>204.08</v>
      </c>
    </row>
    <row r="2327">
      <c r="A2327" t="inlineStr">
        <is>
          <t>ENC120203</t>
        </is>
      </c>
      <c r="B2327" t="inlineStr">
        <is>
          <t>PT12992</t>
        </is>
      </c>
      <c r="C2327" t="inlineStr">
        <is>
          <t>Inpatient</t>
        </is>
      </c>
      <c r="D2327" t="inlineStr">
        <is>
          <t>Bluestone Memorial Hospital</t>
        </is>
      </c>
      <c r="E2327" t="inlineStr">
        <is>
          <t>Medical-Surgical 5 East</t>
        </is>
      </c>
      <c r="F2327" t="inlineStr">
        <is>
          <t>Medicine</t>
        </is>
      </c>
      <c r="G2327" s="29" t="n">
        <v>45974</v>
      </c>
      <c r="H2327" s="29" t="n">
        <v>45977</v>
      </c>
      <c r="I2327" s="30" t="n">
        <v>3</v>
      </c>
      <c r="J2327" t="inlineStr">
        <is>
          <t>N39.0</t>
        </is>
      </c>
      <c r="K2327" t="inlineStr">
        <is>
          <t>Urinary tract infection, site not specified</t>
        </is>
      </c>
      <c r="L2327" t="inlineStr">
        <is>
          <t>Genitourinary</t>
        </is>
      </c>
      <c r="M2327" t="inlineStr">
        <is>
          <t>Home/Self-Care</t>
        </is>
      </c>
      <c r="N2327" t="inlineStr">
        <is>
          <t>State Medicaid</t>
        </is>
      </c>
      <c r="O2327" s="31" t="n">
        <v>24418.98</v>
      </c>
      <c r="P2327" t="inlineStr">
        <is>
          <t>N</t>
        </is>
      </c>
    </row>
    <row r="2328">
      <c r="A2328" t="inlineStr">
        <is>
          <t>ENC120209</t>
        </is>
      </c>
      <c r="B2328" t="inlineStr">
        <is>
          <t>PT13008</t>
        </is>
      </c>
      <c r="C2328" t="inlineStr">
        <is>
          <t>Inpatient</t>
        </is>
      </c>
      <c r="D2328" t="inlineStr">
        <is>
          <t>Bluestone Memorial Hospital</t>
        </is>
      </c>
      <c r="E2328" t="inlineStr">
        <is>
          <t>Oncology</t>
        </is>
      </c>
      <c r="F2328" t="inlineStr">
        <is>
          <t>Oncology</t>
        </is>
      </c>
      <c r="G2328" s="29" t="n">
        <v>45974</v>
      </c>
      <c r="H2328" s="29" t="n">
        <v>45979</v>
      </c>
      <c r="I2328" s="30" t="n">
        <v>5</v>
      </c>
      <c r="J2328" t="inlineStr">
        <is>
          <t>C34.90</t>
        </is>
      </c>
      <c r="K2328" t="inlineStr">
        <is>
          <t>Malignant neoplasm of unspecified part of unspecified bronchus or lung</t>
        </is>
      </c>
      <c r="L2328" t="inlineStr">
        <is>
          <t>Neoplasms</t>
        </is>
      </c>
      <c r="M2328" t="inlineStr">
        <is>
          <t>Home/Self-Care</t>
        </is>
      </c>
      <c r="N2328" t="inlineStr">
        <is>
          <t>Self-Pay</t>
        </is>
      </c>
      <c r="O2328" s="31" t="n">
        <v>25595.67</v>
      </c>
      <c r="P2328" t="inlineStr">
        <is>
          <t>N</t>
        </is>
      </c>
    </row>
    <row r="2329">
      <c r="A2329" t="inlineStr">
        <is>
          <t>ENC120211</t>
        </is>
      </c>
      <c r="B2329" t="inlineStr">
        <is>
          <t>PT11888</t>
        </is>
      </c>
      <c r="C2329" t="inlineStr">
        <is>
          <t>Inpatient</t>
        </is>
      </c>
      <c r="D2329" t="inlineStr">
        <is>
          <t>Bluestone Memorial Hospital</t>
        </is>
      </c>
      <c r="E2329" t="inlineStr">
        <is>
          <t>Medical-Surgical 4 West</t>
        </is>
      </c>
      <c r="F2329" t="inlineStr">
        <is>
          <t>Medicine</t>
        </is>
      </c>
      <c r="G2329" s="29" t="n">
        <v>45974</v>
      </c>
      <c r="H2329" s="29" t="n">
        <v>45976</v>
      </c>
      <c r="I2329" s="30" t="n">
        <v>2</v>
      </c>
      <c r="J2329" t="inlineStr">
        <is>
          <t>J18.9</t>
        </is>
      </c>
      <c r="K2329" t="inlineStr">
        <is>
          <t>Pneumonia, unspecified organism</t>
        </is>
      </c>
      <c r="L2329" t="inlineStr">
        <is>
          <t>Respiratory</t>
        </is>
      </c>
      <c r="M2329" t="inlineStr">
        <is>
          <t>Home/Self-Care</t>
        </is>
      </c>
      <c r="N2329" t="inlineStr">
        <is>
          <t>Keystone Health Partners</t>
        </is>
      </c>
      <c r="O2329" s="31" t="n">
        <v>15881.16</v>
      </c>
      <c r="P2329" t="inlineStr">
        <is>
          <t>N</t>
        </is>
      </c>
    </row>
    <row r="2330">
      <c r="A2330" t="inlineStr">
        <is>
          <t>ENC120213</t>
        </is>
      </c>
      <c r="B2330" t="inlineStr">
        <is>
          <t>PT12120</t>
        </is>
      </c>
      <c r="C2330" t="inlineStr">
        <is>
          <t>Inpatient</t>
        </is>
      </c>
      <c r="D2330" t="inlineStr">
        <is>
          <t>Bluestone Memorial Hospital</t>
        </is>
      </c>
      <c r="E2330" t="inlineStr">
        <is>
          <t>Orthopedics &amp; Spine</t>
        </is>
      </c>
      <c r="F2330" t="inlineStr">
        <is>
          <t>Orthopedics</t>
        </is>
      </c>
      <c r="G2330" s="29" t="n">
        <v>45975</v>
      </c>
      <c r="H2330" s="29" t="n">
        <v>45977</v>
      </c>
      <c r="I2330" s="30" t="n">
        <v>2</v>
      </c>
      <c r="J2330" t="inlineStr">
        <is>
          <t>M16.11</t>
        </is>
      </c>
      <c r="K2330" t="inlineStr">
        <is>
          <t>Unilateral primary osteoarthritis, right hip</t>
        </is>
      </c>
      <c r="L2330" t="inlineStr">
        <is>
          <t>Musculoskeletal</t>
        </is>
      </c>
      <c r="M2330" t="inlineStr">
        <is>
          <t>Home/Self-Care</t>
        </is>
      </c>
      <c r="N2330" t="inlineStr">
        <is>
          <t>State Medicaid</t>
        </is>
      </c>
      <c r="O2330" s="31" t="n">
        <v>62751.62</v>
      </c>
      <c r="P2330" t="inlineStr">
        <is>
          <t>N</t>
        </is>
      </c>
    </row>
    <row r="2331">
      <c r="A2331" t="inlineStr">
        <is>
          <t>ENC120214</t>
        </is>
      </c>
      <c r="B2331" t="inlineStr">
        <is>
          <t>PT12140</t>
        </is>
      </c>
      <c r="C2331" t="inlineStr">
        <is>
          <t>Inpatient</t>
        </is>
      </c>
      <c r="D2331" t="inlineStr">
        <is>
          <t>Bluestone Memorial Hospital</t>
        </is>
      </c>
      <c r="E2331" t="inlineStr">
        <is>
          <t>Orthopedics &amp; Spine</t>
        </is>
      </c>
      <c r="F2331" t="inlineStr">
        <is>
          <t>Orthopedics</t>
        </is>
      </c>
      <c r="G2331" s="29" t="n">
        <v>45975</v>
      </c>
      <c r="H2331" s="29" t="n">
        <v>45977</v>
      </c>
      <c r="I2331" s="30" t="n">
        <v>2</v>
      </c>
      <c r="J2331" t="inlineStr">
        <is>
          <t>M17.11</t>
        </is>
      </c>
      <c r="K2331" t="inlineStr">
        <is>
          <t>Unilateral primary osteoarthritis, right knee</t>
        </is>
      </c>
      <c r="L2331" t="inlineStr">
        <is>
          <t>Musculoskeletal</t>
        </is>
      </c>
      <c r="M2331" t="inlineStr">
        <is>
          <t>Home/Self-Care</t>
        </is>
      </c>
      <c r="N2331" t="inlineStr">
        <is>
          <t>Keystone Health Partners</t>
        </is>
      </c>
      <c r="O2331" s="31" t="n">
        <v>55698.39</v>
      </c>
      <c r="P2331" t="inlineStr">
        <is>
          <t>N</t>
        </is>
      </c>
    </row>
    <row r="2332">
      <c r="A2332" t="inlineStr">
        <is>
          <t>ENC120219</t>
        </is>
      </c>
      <c r="B2332" t="inlineStr">
        <is>
          <t>PT10484</t>
        </is>
      </c>
      <c r="C2332" t="inlineStr">
        <is>
          <t>Outpatient</t>
        </is>
      </c>
      <c r="D2332" t="inlineStr">
        <is>
          <t>Bluestone Outpatient Pavilion</t>
        </is>
      </c>
      <c r="E2332" t="inlineStr">
        <is>
          <t>Primary Care Clinic</t>
        </is>
      </c>
      <c r="F2332" t="inlineStr">
        <is>
          <t>Ambulatory</t>
        </is>
      </c>
      <c r="G2332" s="29" t="n">
        <v>45975</v>
      </c>
      <c r="H2332" s="29" t="n">
        <v>45975</v>
      </c>
      <c r="I2332" s="30" t="n"/>
      <c r="J2332" t="inlineStr">
        <is>
          <t>J06.9</t>
        </is>
      </c>
      <c r="K2332" t="inlineStr">
        <is>
          <t>Acute upper respiratory infection, unspecified</t>
        </is>
      </c>
      <c r="L2332" t="inlineStr">
        <is>
          <t>Respiratory</t>
        </is>
      </c>
      <c r="M2332" t="inlineStr">
        <is>
          <t>Home/Self-Care</t>
        </is>
      </c>
      <c r="N2332" t="inlineStr">
        <is>
          <t>Medicare</t>
        </is>
      </c>
      <c r="O2332" s="31" t="n">
        <v>168.4</v>
      </c>
    </row>
    <row r="2333">
      <c r="A2333" t="inlineStr">
        <is>
          <t>ENC120224</t>
        </is>
      </c>
      <c r="B2333" t="inlineStr">
        <is>
          <t>PT13076</t>
        </is>
      </c>
      <c r="C2333" t="inlineStr">
        <is>
          <t>Outpatient</t>
        </is>
      </c>
      <c r="D2333" t="inlineStr">
        <is>
          <t>Bluestone Outpatient Pavilion</t>
        </is>
      </c>
      <c r="E2333" t="inlineStr">
        <is>
          <t>Primary Care Clinic</t>
        </is>
      </c>
      <c r="F2333" t="inlineStr">
        <is>
          <t>Ambulatory</t>
        </is>
      </c>
      <c r="G2333" s="29" t="n">
        <v>45975</v>
      </c>
      <c r="H2333" s="29" t="n">
        <v>45975</v>
      </c>
      <c r="I2333" s="30" t="n"/>
      <c r="J2333" t="inlineStr">
        <is>
          <t>Z00.00</t>
        </is>
      </c>
      <c r="K2333" t="inlineStr">
        <is>
          <t>Encounter for general adult medical examination without abnormal findings</t>
        </is>
      </c>
      <c r="L2333" t="inlineStr">
        <is>
          <t>Factors Influencing Health</t>
        </is>
      </c>
      <c r="M2333" t="inlineStr">
        <is>
          <t>Home/Self-Care</t>
        </is>
      </c>
      <c r="N2333" t="inlineStr">
        <is>
          <t>Keystone Health Partners</t>
        </is>
      </c>
      <c r="O2333" s="31" t="n">
        <v>500.79</v>
      </c>
    </row>
    <row r="2334">
      <c r="A2334" t="inlineStr">
        <is>
          <t>ENC120235</t>
        </is>
      </c>
      <c r="B2334" t="inlineStr">
        <is>
          <t>PT12532</t>
        </is>
      </c>
      <c r="C2334" t="inlineStr">
        <is>
          <t>Observation</t>
        </is>
      </c>
      <c r="D2334" t="inlineStr">
        <is>
          <t>Bluestone Memorial Hospital</t>
        </is>
      </c>
      <c r="E2334" t="inlineStr">
        <is>
          <t>Observation Unit</t>
        </is>
      </c>
      <c r="F2334" t="inlineStr">
        <is>
          <t>Medicine</t>
        </is>
      </c>
      <c r="G2334" s="29" t="n">
        <v>45975</v>
      </c>
      <c r="H2334" s="29" t="n">
        <v>45976</v>
      </c>
      <c r="I2334" s="30" t="n">
        <v>1</v>
      </c>
      <c r="J2334" t="inlineStr">
        <is>
          <t>R55</t>
        </is>
      </c>
      <c r="K2334" t="inlineStr">
        <is>
          <t>Syncope and collapse</t>
        </is>
      </c>
      <c r="L2334" t="inlineStr">
        <is>
          <t>Symptoms &amp; Signs</t>
        </is>
      </c>
      <c r="M2334" t="inlineStr">
        <is>
          <t>Home/Self-Care</t>
        </is>
      </c>
      <c r="N2334" t="inlineStr">
        <is>
          <t>Keystone Health Partners</t>
        </is>
      </c>
      <c r="O2334" s="31" t="n">
        <v>8724.200000000001</v>
      </c>
    </row>
    <row r="2335">
      <c r="A2335" t="inlineStr">
        <is>
          <t>ENC120238</t>
        </is>
      </c>
      <c r="B2335" t="inlineStr">
        <is>
          <t>PT10044</t>
        </is>
      </c>
      <c r="C2335" t="inlineStr">
        <is>
          <t>Emergency</t>
        </is>
      </c>
      <c r="D2335" t="inlineStr">
        <is>
          <t>Ashby Falls Community Hospital</t>
        </is>
      </c>
      <c r="E2335" t="inlineStr">
        <is>
          <t>Emergency Department</t>
        </is>
      </c>
      <c r="F2335" t="inlineStr">
        <is>
          <t>Emergency</t>
        </is>
      </c>
      <c r="G2335" s="29" t="n">
        <v>45976</v>
      </c>
      <c r="H2335" s="29" t="n">
        <v>45976</v>
      </c>
      <c r="I2335" s="30" t="n"/>
      <c r="J2335" t="inlineStr">
        <is>
          <t>A08.4</t>
        </is>
      </c>
      <c r="K2335" t="inlineStr">
        <is>
          <t>Viral intestinal infection, unspecified</t>
        </is>
      </c>
      <c r="L2335" t="inlineStr">
        <is>
          <t>Infectious</t>
        </is>
      </c>
      <c r="M2335" t="inlineStr">
        <is>
          <t>Home/Self-Care</t>
        </is>
      </c>
      <c r="N2335" t="inlineStr">
        <is>
          <t>Keystone Health Partners</t>
        </is>
      </c>
      <c r="O2335" s="31" t="n">
        <v>2448.4</v>
      </c>
    </row>
    <row r="2336">
      <c r="A2336" t="inlineStr">
        <is>
          <t>ENC120250</t>
        </is>
      </c>
      <c r="B2336" t="inlineStr">
        <is>
          <t>PT12428</t>
        </is>
      </c>
      <c r="C2336" t="inlineStr">
        <is>
          <t>Inpatient</t>
        </is>
      </c>
      <c r="D2336" t="inlineStr">
        <is>
          <t>Ashby Falls Community Hospital</t>
        </is>
      </c>
      <c r="E2336" t="inlineStr">
        <is>
          <t>Labor &amp; Delivery</t>
        </is>
      </c>
      <c r="F2336" t="inlineStr">
        <is>
          <t>Women &amp; Children</t>
        </is>
      </c>
      <c r="G2336" s="29" t="n">
        <v>45976</v>
      </c>
      <c r="H2336" s="29" t="n">
        <v>45980</v>
      </c>
      <c r="I2336" s="30" t="n">
        <v>4</v>
      </c>
      <c r="J2336" t="inlineStr">
        <is>
          <t>O80</t>
        </is>
      </c>
      <c r="K2336" t="inlineStr">
        <is>
          <t>Encounter for full-term uncomplicated delivery</t>
        </is>
      </c>
      <c r="L2336" t="inlineStr">
        <is>
          <t>Pregnancy</t>
        </is>
      </c>
      <c r="M2336" t="inlineStr">
        <is>
          <t>Home/Self-Care</t>
        </is>
      </c>
      <c r="N2336" t="inlineStr">
        <is>
          <t>Summit Choice PPO</t>
        </is>
      </c>
      <c r="O2336" s="31" t="n">
        <v>27681.25</v>
      </c>
      <c r="P2336" t="inlineStr">
        <is>
          <t>N</t>
        </is>
      </c>
    </row>
    <row r="2337">
      <c r="A2337" t="inlineStr">
        <is>
          <t>ENC120251</t>
        </is>
      </c>
      <c r="B2337" t="inlineStr">
        <is>
          <t>PT12312</t>
        </is>
      </c>
      <c r="C2337" t="inlineStr">
        <is>
          <t>Inpatient</t>
        </is>
      </c>
      <c r="D2337" t="inlineStr">
        <is>
          <t>Bluestone Memorial Hospital</t>
        </is>
      </c>
      <c r="E2337" t="inlineStr">
        <is>
          <t>Oncology</t>
        </is>
      </c>
      <c r="F2337" t="inlineStr">
        <is>
          <t>Oncology</t>
        </is>
      </c>
      <c r="G2337" s="29" t="n">
        <v>45976</v>
      </c>
      <c r="H2337" s="29" t="n">
        <v>45982</v>
      </c>
      <c r="I2337" s="30" t="n">
        <v>6</v>
      </c>
      <c r="J2337" t="inlineStr">
        <is>
          <t>D70.1</t>
        </is>
      </c>
      <c r="K2337" t="inlineStr">
        <is>
          <t>Agranulocytosis secondary to cancer chemotherapy</t>
        </is>
      </c>
      <c r="L2337" t="inlineStr">
        <is>
          <t>Blood</t>
        </is>
      </c>
      <c r="M2337" t="inlineStr">
        <is>
          <t>Expired</t>
        </is>
      </c>
      <c r="N2337" t="inlineStr">
        <is>
          <t>Medicare</t>
        </is>
      </c>
      <c r="O2337" s="31" t="n">
        <v>39628.05</v>
      </c>
      <c r="P2337" t="inlineStr">
        <is>
          <t>N</t>
        </is>
      </c>
    </row>
    <row r="2338">
      <c r="A2338" t="inlineStr">
        <is>
          <t>ENC120262</t>
        </is>
      </c>
      <c r="B2338" t="inlineStr">
        <is>
          <t>PT12020</t>
        </is>
      </c>
      <c r="C2338" t="inlineStr">
        <is>
          <t>Emergency</t>
        </is>
      </c>
      <c r="D2338" t="inlineStr">
        <is>
          <t>Bluestone Memorial Hospital</t>
        </is>
      </c>
      <c r="E2338" t="inlineStr">
        <is>
          <t>Emergency Department</t>
        </is>
      </c>
      <c r="F2338" t="inlineStr">
        <is>
          <t>Emergency</t>
        </is>
      </c>
      <c r="G2338" s="29" t="n">
        <v>45977</v>
      </c>
      <c r="H2338" s="29" t="n">
        <v>45977</v>
      </c>
      <c r="I2338" s="30" t="n"/>
      <c r="J2338" t="inlineStr">
        <is>
          <t>J21.9</t>
        </is>
      </c>
      <c r="K2338" t="inlineStr">
        <is>
          <t>Acute bronchiolitis, unspecified</t>
        </is>
      </c>
      <c r="L2338" t="inlineStr">
        <is>
          <t>Respiratory</t>
        </is>
      </c>
      <c r="M2338" t="inlineStr">
        <is>
          <t>Home/Self-Care</t>
        </is>
      </c>
      <c r="N2338" t="inlineStr">
        <is>
          <t>State Medicaid</t>
        </is>
      </c>
      <c r="O2338" s="31" t="n">
        <v>2735.51</v>
      </c>
    </row>
    <row r="2339">
      <c r="A2339" t="inlineStr">
        <is>
          <t>ENC120264</t>
        </is>
      </c>
      <c r="B2339" t="inlineStr">
        <is>
          <t>PT10944</t>
        </is>
      </c>
      <c r="C2339" t="inlineStr">
        <is>
          <t>Emergency</t>
        </is>
      </c>
      <c r="D2339" t="inlineStr">
        <is>
          <t>Ashby Falls Community Hospital</t>
        </is>
      </c>
      <c r="E2339" t="inlineStr">
        <is>
          <t>Emergency Department</t>
        </is>
      </c>
      <c r="F2339" t="inlineStr">
        <is>
          <t>Emergency</t>
        </is>
      </c>
      <c r="G2339" s="29" t="n">
        <v>45977</v>
      </c>
      <c r="H2339" s="29" t="n">
        <v>45977</v>
      </c>
      <c r="I2339" s="30" t="n"/>
      <c r="J2339" t="inlineStr">
        <is>
          <t>J06.9</t>
        </is>
      </c>
      <c r="K2339" t="inlineStr">
        <is>
          <t>Acute upper respiratory infection, unspecified</t>
        </is>
      </c>
      <c r="L2339" t="inlineStr">
        <is>
          <t>Respiratory</t>
        </is>
      </c>
      <c r="M2339" t="inlineStr">
        <is>
          <t>Home/Self-Care</t>
        </is>
      </c>
      <c r="N2339" t="inlineStr">
        <is>
          <t>State Medicaid</t>
        </is>
      </c>
      <c r="O2339" s="31" t="n">
        <v>1704.12</v>
      </c>
    </row>
    <row r="2340">
      <c r="A2340" t="inlineStr">
        <is>
          <t>ENC120265</t>
        </is>
      </c>
      <c r="B2340" t="inlineStr">
        <is>
          <t>PT11656</t>
        </is>
      </c>
      <c r="C2340" t="inlineStr">
        <is>
          <t>Inpatient</t>
        </is>
      </c>
      <c r="D2340" t="inlineStr">
        <is>
          <t>Bluestone Memorial Hospital</t>
        </is>
      </c>
      <c r="E2340" t="inlineStr">
        <is>
          <t>Medical-Surgical 4 West</t>
        </is>
      </c>
      <c r="F2340" t="inlineStr">
        <is>
          <t>Medicine</t>
        </is>
      </c>
      <c r="G2340" s="29" t="n">
        <v>45977</v>
      </c>
      <c r="H2340" s="29" t="n">
        <v>45979</v>
      </c>
      <c r="I2340" s="30" t="n">
        <v>2</v>
      </c>
      <c r="J2340" t="inlineStr">
        <is>
          <t>E87.1</t>
        </is>
      </c>
      <c r="K2340" t="inlineStr">
        <is>
          <t>Hypo-osmolality and hyponatremia</t>
        </is>
      </c>
      <c r="L2340" t="inlineStr">
        <is>
          <t>Endocrine</t>
        </is>
      </c>
      <c r="M2340" t="inlineStr">
        <is>
          <t>Home/Self-Care</t>
        </is>
      </c>
      <c r="N2340" t="inlineStr">
        <is>
          <t>Self-Pay</t>
        </is>
      </c>
      <c r="O2340" s="31" t="n">
        <v>8107.81</v>
      </c>
      <c r="P2340" t="inlineStr">
        <is>
          <t>N</t>
        </is>
      </c>
    </row>
    <row r="2341">
      <c r="A2341" t="inlineStr">
        <is>
          <t>ENC120276</t>
        </is>
      </c>
      <c r="B2341" t="inlineStr">
        <is>
          <t>PT12296</t>
        </is>
      </c>
      <c r="C2341" t="inlineStr">
        <is>
          <t>Inpatient</t>
        </is>
      </c>
      <c r="D2341" t="inlineStr">
        <is>
          <t>Bluestone Memorial Hospital</t>
        </is>
      </c>
      <c r="E2341" t="inlineStr">
        <is>
          <t>Neuroscience &amp; Stroke</t>
        </is>
      </c>
      <c r="F2341" t="inlineStr">
        <is>
          <t>Neuroscience</t>
        </is>
      </c>
      <c r="G2341" s="29" t="n">
        <v>45977</v>
      </c>
      <c r="H2341" s="29" t="n">
        <v>45980</v>
      </c>
      <c r="I2341" s="30" t="n">
        <v>3</v>
      </c>
      <c r="J2341" t="inlineStr">
        <is>
          <t>G40.909</t>
        </is>
      </c>
      <c r="K2341" t="inlineStr">
        <is>
          <t>Epilepsy, unspecified, not intractable, without status epilepticus</t>
        </is>
      </c>
      <c r="L2341" t="inlineStr">
        <is>
          <t>Nervous System</t>
        </is>
      </c>
      <c r="M2341" t="inlineStr">
        <is>
          <t>Home/Self-Care</t>
        </is>
      </c>
      <c r="N2341" t="inlineStr">
        <is>
          <t>Keystone Health Partners</t>
        </is>
      </c>
      <c r="O2341" s="31" t="n">
        <v>16683.21</v>
      </c>
      <c r="P2341" t="inlineStr">
        <is>
          <t>N</t>
        </is>
      </c>
    </row>
    <row r="2342">
      <c r="A2342" t="inlineStr">
        <is>
          <t>ENC120281</t>
        </is>
      </c>
      <c r="B2342" t="inlineStr">
        <is>
          <t>PT12484</t>
        </is>
      </c>
      <c r="C2342" t="inlineStr">
        <is>
          <t>Emergency</t>
        </is>
      </c>
      <c r="D2342" t="inlineStr">
        <is>
          <t>Bluestone Memorial Hospital</t>
        </is>
      </c>
      <c r="E2342" t="inlineStr">
        <is>
          <t>Emergency Department</t>
        </is>
      </c>
      <c r="F2342" t="inlineStr">
        <is>
          <t>Emergency</t>
        </is>
      </c>
      <c r="G2342" s="29" t="n">
        <v>45978</v>
      </c>
      <c r="H2342" s="29" t="n">
        <v>45978</v>
      </c>
      <c r="I2342" s="30" t="n"/>
      <c r="J2342" t="inlineStr">
        <is>
          <t>R07.9</t>
        </is>
      </c>
      <c r="K2342" t="inlineStr">
        <is>
          <t>Chest pain, unspecified</t>
        </is>
      </c>
      <c r="L2342" t="inlineStr">
        <is>
          <t>Symptoms &amp; Signs</t>
        </is>
      </c>
      <c r="M2342" t="inlineStr">
        <is>
          <t>Home/Self-Care</t>
        </is>
      </c>
      <c r="N2342" t="inlineStr">
        <is>
          <t>Medicare</t>
        </is>
      </c>
      <c r="O2342" s="31" t="n">
        <v>2487.4</v>
      </c>
    </row>
    <row r="2343">
      <c r="A2343" t="inlineStr">
        <is>
          <t>ENC120282</t>
        </is>
      </c>
      <c r="B2343" t="inlineStr">
        <is>
          <t>PT10568</t>
        </is>
      </c>
      <c r="C2343" t="inlineStr">
        <is>
          <t>Emergency</t>
        </is>
      </c>
      <c r="D2343" t="inlineStr">
        <is>
          <t>Cedar Ridge Medical Center</t>
        </is>
      </c>
      <c r="E2343" t="inlineStr">
        <is>
          <t>Emergency Department</t>
        </is>
      </c>
      <c r="F2343" t="inlineStr">
        <is>
          <t>Emergency</t>
        </is>
      </c>
      <c r="G2343" s="29" t="n">
        <v>45978</v>
      </c>
      <c r="H2343" s="29" t="n">
        <v>45978</v>
      </c>
      <c r="I2343" s="30" t="n"/>
      <c r="J2343" t="inlineStr">
        <is>
          <t>U07.1</t>
        </is>
      </c>
      <c r="K2343" t="inlineStr">
        <is>
          <t>COVID-19</t>
        </is>
      </c>
      <c r="L2343" t="inlineStr">
        <is>
          <t>Respiratory</t>
        </is>
      </c>
      <c r="M2343" t="inlineStr">
        <is>
          <t>Home/Self-Care</t>
        </is>
      </c>
      <c r="N2343" t="inlineStr">
        <is>
          <t>Silverline Medicare Advantage</t>
        </is>
      </c>
      <c r="O2343" s="31" t="n">
        <v>3303.32</v>
      </c>
    </row>
    <row r="2344">
      <c r="A2344" t="inlineStr">
        <is>
          <t>ENC120288</t>
        </is>
      </c>
      <c r="B2344" t="inlineStr">
        <is>
          <t>PT11024</t>
        </is>
      </c>
      <c r="C2344" t="inlineStr">
        <is>
          <t>Outpatient</t>
        </is>
      </c>
      <c r="D2344" t="inlineStr">
        <is>
          <t>Bluestone Outpatient Pavilion</t>
        </is>
      </c>
      <c r="E2344" t="inlineStr">
        <is>
          <t>Endocrinology &amp; Diabetes Clinic</t>
        </is>
      </c>
      <c r="F2344" t="inlineStr">
        <is>
          <t>Ambulatory</t>
        </is>
      </c>
      <c r="G2344" s="29" t="n">
        <v>45978</v>
      </c>
      <c r="H2344" s="29" t="n">
        <v>45978</v>
      </c>
      <c r="I2344" s="30" t="n"/>
      <c r="J2344" t="inlineStr">
        <is>
          <t>E11.9</t>
        </is>
      </c>
      <c r="K2344" t="inlineStr">
        <is>
          <t>Type 2 diabetes mellitus without complications</t>
        </is>
      </c>
      <c r="L2344" t="inlineStr">
        <is>
          <t>Endocrine</t>
        </is>
      </c>
      <c r="M2344" t="inlineStr">
        <is>
          <t>Home/Self-Care</t>
        </is>
      </c>
      <c r="N2344" t="inlineStr">
        <is>
          <t>Evergreen Mutual Insurance</t>
        </is>
      </c>
      <c r="O2344" s="31" t="n">
        <v>339.95</v>
      </c>
    </row>
    <row r="2345">
      <c r="A2345" t="inlineStr">
        <is>
          <t>ENC120290</t>
        </is>
      </c>
      <c r="B2345" t="inlineStr">
        <is>
          <t>PT10952</t>
        </is>
      </c>
      <c r="C2345" t="inlineStr">
        <is>
          <t>Emergency</t>
        </is>
      </c>
      <c r="D2345" t="inlineStr">
        <is>
          <t>Bluestone Memorial Hospital</t>
        </is>
      </c>
      <c r="E2345" t="inlineStr">
        <is>
          <t>Emergency Department</t>
        </is>
      </c>
      <c r="F2345" t="inlineStr">
        <is>
          <t>Emergency</t>
        </is>
      </c>
      <c r="G2345" s="29" t="n">
        <v>45978</v>
      </c>
      <c r="H2345" s="29" t="n">
        <v>45978</v>
      </c>
      <c r="I2345" s="30" t="n"/>
      <c r="J2345" t="inlineStr">
        <is>
          <t>N39.0</t>
        </is>
      </c>
      <c r="K2345" t="inlineStr">
        <is>
          <t>Urinary tract infection, site not specified</t>
        </is>
      </c>
      <c r="L2345" t="inlineStr">
        <is>
          <t>Genitourinary</t>
        </is>
      </c>
      <c r="M2345" t="inlineStr">
        <is>
          <t>Home/Self-Care</t>
        </is>
      </c>
      <c r="N2345" t="inlineStr">
        <is>
          <t>State Medicaid</t>
        </is>
      </c>
      <c r="O2345" s="31" t="n">
        <v>1326.77</v>
      </c>
    </row>
    <row r="2346">
      <c r="A2346" t="inlineStr">
        <is>
          <t>ENC120294</t>
        </is>
      </c>
      <c r="B2346" t="inlineStr">
        <is>
          <t>PT12924</t>
        </is>
      </c>
      <c r="C2346" t="inlineStr">
        <is>
          <t>Inpatient</t>
        </is>
      </c>
      <c r="D2346" t="inlineStr">
        <is>
          <t>Bluestone Memorial Hospital</t>
        </is>
      </c>
      <c r="E2346" t="inlineStr">
        <is>
          <t>Intensive Care Unit</t>
        </is>
      </c>
      <c r="F2346" t="inlineStr">
        <is>
          <t>Critical Care</t>
        </is>
      </c>
      <c r="G2346" s="29" t="n">
        <v>45978</v>
      </c>
      <c r="H2346" s="29" t="n">
        <v>45984</v>
      </c>
      <c r="I2346" s="30" t="n">
        <v>6</v>
      </c>
      <c r="J2346" t="inlineStr">
        <is>
          <t>J96.01</t>
        </is>
      </c>
      <c r="K2346" t="inlineStr">
        <is>
          <t>Acute respiratory failure with hypoxia</t>
        </is>
      </c>
      <c r="L2346" t="inlineStr">
        <is>
          <t>Respiratory</t>
        </is>
      </c>
      <c r="M2346" t="inlineStr">
        <is>
          <t>Expired</t>
        </is>
      </c>
      <c r="N2346" t="inlineStr">
        <is>
          <t>Medicare</t>
        </is>
      </c>
      <c r="O2346" s="31" t="n">
        <v>94149.39999999999</v>
      </c>
      <c r="P2346" t="inlineStr">
        <is>
          <t>N</t>
        </is>
      </c>
    </row>
    <row r="2347">
      <c r="A2347" t="inlineStr">
        <is>
          <t>ENC120295</t>
        </is>
      </c>
      <c r="B2347" t="inlineStr">
        <is>
          <t>PT12148</t>
        </is>
      </c>
      <c r="C2347" t="inlineStr">
        <is>
          <t>Outpatient</t>
        </is>
      </c>
      <c r="D2347" t="inlineStr">
        <is>
          <t>Bluestone Outpatient Pavilion</t>
        </is>
      </c>
      <c r="E2347" t="inlineStr">
        <is>
          <t>Primary Care Clinic</t>
        </is>
      </c>
      <c r="F2347" t="inlineStr">
        <is>
          <t>Ambulatory</t>
        </is>
      </c>
      <c r="G2347" s="29" t="n">
        <v>45978</v>
      </c>
      <c r="H2347" s="29" t="n">
        <v>45978</v>
      </c>
      <c r="I2347" s="30" t="n"/>
      <c r="J2347" t="inlineStr">
        <is>
          <t>J06.9</t>
        </is>
      </c>
      <c r="K2347" t="inlineStr">
        <is>
          <t>Acute upper respiratory infection, unspecified</t>
        </is>
      </c>
      <c r="L2347" t="inlineStr">
        <is>
          <t>Respiratory</t>
        </is>
      </c>
      <c r="M2347" t="inlineStr">
        <is>
          <t>Home/Self-Care</t>
        </is>
      </c>
      <c r="N2347" t="inlineStr">
        <is>
          <t>Medicare</t>
        </is>
      </c>
      <c r="O2347" s="31" t="n">
        <v>235.77</v>
      </c>
    </row>
    <row r="2348">
      <c r="A2348" t="inlineStr">
        <is>
          <t>ENC120298</t>
        </is>
      </c>
      <c r="B2348" t="inlineStr">
        <is>
          <t>PT13680</t>
        </is>
      </c>
      <c r="C2348" t="inlineStr">
        <is>
          <t>Outpatient</t>
        </is>
      </c>
      <c r="D2348" t="inlineStr">
        <is>
          <t>Bluestone Outpatient Pavilion</t>
        </is>
      </c>
      <c r="E2348" t="inlineStr">
        <is>
          <t>Primary Care Clinic</t>
        </is>
      </c>
      <c r="F2348" t="inlineStr">
        <is>
          <t>Ambulatory</t>
        </is>
      </c>
      <c r="G2348" s="29" t="n">
        <v>45978</v>
      </c>
      <c r="H2348" s="29" t="n">
        <v>45978</v>
      </c>
      <c r="I2348" s="30" t="n"/>
      <c r="J2348" t="inlineStr">
        <is>
          <t>Z23</t>
        </is>
      </c>
      <c r="K2348" t="inlineStr">
        <is>
          <t>Encounter for immunization</t>
        </is>
      </c>
      <c r="L2348" t="inlineStr">
        <is>
          <t>Factors Influencing Health</t>
        </is>
      </c>
      <c r="M2348" t="inlineStr">
        <is>
          <t>Home/Self-Care</t>
        </is>
      </c>
      <c r="N2348" t="inlineStr">
        <is>
          <t>Evergreen Mutual Insurance</t>
        </is>
      </c>
      <c r="O2348" s="31" t="n">
        <v>119.28</v>
      </c>
    </row>
    <row r="2349">
      <c r="A2349" t="inlineStr">
        <is>
          <t>ENC120299</t>
        </is>
      </c>
      <c r="B2349" t="inlineStr">
        <is>
          <t>PT12968</t>
        </is>
      </c>
      <c r="C2349" t="inlineStr">
        <is>
          <t>Outpatient</t>
        </is>
      </c>
      <c r="D2349" t="inlineStr">
        <is>
          <t>Bluestone Outpatient Pavilion</t>
        </is>
      </c>
      <c r="E2349" t="inlineStr">
        <is>
          <t>Infusion &amp; Oncology Clinic</t>
        </is>
      </c>
      <c r="F2349" t="inlineStr">
        <is>
          <t>Oncology</t>
        </is>
      </c>
      <c r="G2349" s="29" t="n">
        <v>45978</v>
      </c>
      <c r="H2349" s="29" t="n">
        <v>45978</v>
      </c>
      <c r="I2349" s="30" t="n"/>
      <c r="J2349" t="inlineStr">
        <is>
          <t>Z51.11</t>
        </is>
      </c>
      <c r="K2349" t="inlineStr">
        <is>
          <t>Encounter for antineoplastic chemotherapy</t>
        </is>
      </c>
      <c r="L2349" t="inlineStr">
        <is>
          <t>Factors Influencing Health</t>
        </is>
      </c>
      <c r="M2349" t="inlineStr">
        <is>
          <t>Home/Self-Care</t>
        </is>
      </c>
      <c r="N2349" t="inlineStr">
        <is>
          <t>Silverline Medicare Advantage</t>
        </is>
      </c>
      <c r="O2349" s="31" t="n">
        <v>9103.870000000001</v>
      </c>
    </row>
    <row r="2350">
      <c r="A2350" t="inlineStr">
        <is>
          <t>ENC120302</t>
        </is>
      </c>
      <c r="B2350" t="inlineStr">
        <is>
          <t>PT11600</t>
        </is>
      </c>
      <c r="C2350" t="inlineStr">
        <is>
          <t>Observation</t>
        </is>
      </c>
      <c r="D2350" t="inlineStr">
        <is>
          <t>Bluestone Memorial Hospital</t>
        </is>
      </c>
      <c r="E2350" t="inlineStr">
        <is>
          <t>Observation Unit</t>
        </is>
      </c>
      <c r="F2350" t="inlineStr">
        <is>
          <t>Medicine</t>
        </is>
      </c>
      <c r="G2350" s="29" t="n">
        <v>45978</v>
      </c>
      <c r="H2350" s="29" t="n">
        <v>45980</v>
      </c>
      <c r="I2350" s="30" t="n">
        <v>2</v>
      </c>
      <c r="J2350" t="inlineStr">
        <is>
          <t>E86.0</t>
        </is>
      </c>
      <c r="K2350" t="inlineStr">
        <is>
          <t>Dehydration</t>
        </is>
      </c>
      <c r="L2350" t="inlineStr">
        <is>
          <t>Endocrine</t>
        </is>
      </c>
      <c r="M2350" t="inlineStr">
        <is>
          <t>Home/Self-Care</t>
        </is>
      </c>
      <c r="N2350" t="inlineStr">
        <is>
          <t>State Medicaid</t>
        </is>
      </c>
      <c r="O2350" s="31" t="n">
        <v>3737.4</v>
      </c>
    </row>
    <row r="2351">
      <c r="A2351" t="inlineStr">
        <is>
          <t>ENC120306</t>
        </is>
      </c>
      <c r="B2351" t="inlineStr">
        <is>
          <t>PT13428</t>
        </is>
      </c>
      <c r="C2351" t="inlineStr">
        <is>
          <t>Outpatient</t>
        </is>
      </c>
      <c r="D2351" t="inlineStr">
        <is>
          <t>Bluestone Outpatient Pavilion</t>
        </is>
      </c>
      <c r="E2351" t="inlineStr">
        <is>
          <t>Primary Care Clinic</t>
        </is>
      </c>
      <c r="F2351" t="inlineStr">
        <is>
          <t>Ambulatory</t>
        </is>
      </c>
      <c r="G2351" s="29" t="n">
        <v>45978</v>
      </c>
      <c r="H2351" s="29" t="n">
        <v>45978</v>
      </c>
      <c r="I2351" s="30" t="n"/>
      <c r="J2351" t="inlineStr">
        <is>
          <t>Z23</t>
        </is>
      </c>
      <c r="K2351" t="inlineStr">
        <is>
          <t>Encounter for immunization</t>
        </is>
      </c>
      <c r="L2351" t="inlineStr">
        <is>
          <t>Factors Influencing Health</t>
        </is>
      </c>
      <c r="M2351" t="inlineStr">
        <is>
          <t>Home/Self-Care</t>
        </is>
      </c>
      <c r="N2351" t="inlineStr">
        <is>
          <t>Keystone Health Partners</t>
        </is>
      </c>
      <c r="O2351" s="31" t="n">
        <v>98.65000000000001</v>
      </c>
    </row>
    <row r="2352">
      <c r="A2352" t="inlineStr">
        <is>
          <t>ENC120313</t>
        </is>
      </c>
      <c r="B2352" t="inlineStr">
        <is>
          <t>PT11216</t>
        </is>
      </c>
      <c r="C2352" t="inlineStr">
        <is>
          <t>Outpatient</t>
        </is>
      </c>
      <c r="D2352" t="inlineStr">
        <is>
          <t>Bluestone Outpatient Pavilion</t>
        </is>
      </c>
      <c r="E2352" t="inlineStr">
        <is>
          <t>Orthopedic Clinic</t>
        </is>
      </c>
      <c r="F2352" t="inlineStr">
        <is>
          <t>Orthopedics</t>
        </is>
      </c>
      <c r="G2352" s="29" t="n">
        <v>45978</v>
      </c>
      <c r="H2352" s="29" t="n">
        <v>45978</v>
      </c>
      <c r="I2352" s="30" t="n"/>
      <c r="J2352" t="inlineStr">
        <is>
          <t>M17.11</t>
        </is>
      </c>
      <c r="K2352" t="inlineStr">
        <is>
          <t>Unilateral primary osteoarthritis, right knee</t>
        </is>
      </c>
      <c r="L2352" t="inlineStr">
        <is>
          <t>Musculoskeletal</t>
        </is>
      </c>
      <c r="M2352" t="inlineStr">
        <is>
          <t>Home/Self-Care</t>
        </is>
      </c>
      <c r="N2352" t="inlineStr">
        <is>
          <t>Medicare</t>
        </is>
      </c>
      <c r="O2352" s="31" t="n">
        <v>238.39</v>
      </c>
    </row>
    <row r="2353">
      <c r="A2353" t="inlineStr">
        <is>
          <t>ENC120315</t>
        </is>
      </c>
      <c r="B2353" t="inlineStr">
        <is>
          <t>PT12716</t>
        </is>
      </c>
      <c r="C2353" t="inlineStr">
        <is>
          <t>Outpatient</t>
        </is>
      </c>
      <c r="D2353" t="inlineStr">
        <is>
          <t>Bluestone Outpatient Pavilion</t>
        </is>
      </c>
      <c r="E2353" t="inlineStr">
        <is>
          <t>Primary Care Clinic</t>
        </is>
      </c>
      <c r="F2353" t="inlineStr">
        <is>
          <t>Ambulatory</t>
        </is>
      </c>
      <c r="G2353" s="29" t="n">
        <v>45978</v>
      </c>
      <c r="H2353" s="29" t="n">
        <v>45978</v>
      </c>
      <c r="I2353" s="30" t="n"/>
      <c r="J2353" t="inlineStr">
        <is>
          <t>J06.9</t>
        </is>
      </c>
      <c r="K2353" t="inlineStr">
        <is>
          <t>Acute upper respiratory infection, unspecified</t>
        </is>
      </c>
      <c r="L2353" t="inlineStr">
        <is>
          <t>Respiratory</t>
        </is>
      </c>
      <c r="M2353" t="inlineStr">
        <is>
          <t>Home/Self-Care</t>
        </is>
      </c>
      <c r="N2353" t="inlineStr">
        <is>
          <t>Self-Pay</t>
        </is>
      </c>
      <c r="O2353" s="31" t="n">
        <v>199.44</v>
      </c>
    </row>
    <row r="2354">
      <c r="A2354" t="inlineStr">
        <is>
          <t>ENC120317</t>
        </is>
      </c>
      <c r="B2354" t="inlineStr">
        <is>
          <t>PT11316</t>
        </is>
      </c>
      <c r="C2354" t="inlineStr">
        <is>
          <t>Emergency</t>
        </is>
      </c>
      <c r="D2354" t="inlineStr">
        <is>
          <t>Bluestone Memorial Hospital</t>
        </is>
      </c>
      <c r="E2354" t="inlineStr">
        <is>
          <t>Emergency Department</t>
        </is>
      </c>
      <c r="F2354" t="inlineStr">
        <is>
          <t>Emergency</t>
        </is>
      </c>
      <c r="G2354" s="29" t="n">
        <v>45978</v>
      </c>
      <c r="H2354" s="29" t="n">
        <v>45978</v>
      </c>
      <c r="I2354" s="30" t="n"/>
      <c r="J2354" t="inlineStr">
        <is>
          <t>R07.9</t>
        </is>
      </c>
      <c r="K2354" t="inlineStr">
        <is>
          <t>Chest pain, unspecified</t>
        </is>
      </c>
      <c r="L2354" t="inlineStr">
        <is>
          <t>Symptoms &amp; Signs</t>
        </is>
      </c>
      <c r="M2354" t="inlineStr">
        <is>
          <t>Home/Self-Care</t>
        </is>
      </c>
      <c r="N2354" t="inlineStr">
        <is>
          <t>State Medicaid</t>
        </is>
      </c>
      <c r="O2354" s="31" t="n">
        <v>2914.77</v>
      </c>
    </row>
    <row r="2355">
      <c r="A2355" t="inlineStr">
        <is>
          <t>ENC120318</t>
        </is>
      </c>
      <c r="B2355" t="inlineStr">
        <is>
          <t>PT13560</t>
        </is>
      </c>
      <c r="C2355" t="inlineStr">
        <is>
          <t>Emergency</t>
        </is>
      </c>
      <c r="D2355" t="inlineStr">
        <is>
          <t>Cedar Ridge Medical Center</t>
        </is>
      </c>
      <c r="E2355" t="inlineStr">
        <is>
          <t>Emergency Department</t>
        </is>
      </c>
      <c r="F2355" t="inlineStr">
        <is>
          <t>Emergency</t>
        </is>
      </c>
      <c r="G2355" s="29" t="n">
        <v>45978</v>
      </c>
      <c r="H2355" s="29" t="n">
        <v>45978</v>
      </c>
      <c r="I2355" s="30" t="n"/>
      <c r="J2355" t="inlineStr">
        <is>
          <t>I50.9</t>
        </is>
      </c>
      <c r="K2355" t="inlineStr">
        <is>
          <t>Heart failure, unspecified</t>
        </is>
      </c>
      <c r="L2355" t="inlineStr">
        <is>
          <t>Circulatory</t>
        </is>
      </c>
      <c r="M2355" t="inlineStr">
        <is>
          <t>Left Without Being Seen</t>
        </is>
      </c>
      <c r="N2355" t="inlineStr">
        <is>
          <t>Silverline Medicare Advantage</t>
        </is>
      </c>
      <c r="O2355" s="31" t="n">
        <v>3440.43</v>
      </c>
    </row>
    <row r="2356">
      <c r="A2356" t="inlineStr">
        <is>
          <t>ENC120322</t>
        </is>
      </c>
      <c r="B2356" t="inlineStr">
        <is>
          <t>PT12744</t>
        </is>
      </c>
      <c r="C2356" t="inlineStr">
        <is>
          <t>Emergency</t>
        </is>
      </c>
      <c r="D2356" t="inlineStr">
        <is>
          <t>Bluestone Memorial Hospital</t>
        </is>
      </c>
      <c r="E2356" t="inlineStr">
        <is>
          <t>Emergency Department</t>
        </is>
      </c>
      <c r="F2356" t="inlineStr">
        <is>
          <t>Emergency</t>
        </is>
      </c>
      <c r="G2356" s="29" t="n">
        <v>45979</v>
      </c>
      <c r="H2356" s="29" t="n">
        <v>45979</v>
      </c>
      <c r="I2356" s="30" t="n"/>
      <c r="J2356" t="inlineStr">
        <is>
          <t>R55</t>
        </is>
      </c>
      <c r="K2356" t="inlineStr">
        <is>
          <t>Syncope and collapse</t>
        </is>
      </c>
      <c r="L2356" t="inlineStr">
        <is>
          <t>Symptoms &amp; Signs</t>
        </is>
      </c>
      <c r="M2356" t="inlineStr">
        <is>
          <t>Home/Self-Care</t>
        </is>
      </c>
      <c r="N2356" t="inlineStr">
        <is>
          <t>State Medicaid</t>
        </is>
      </c>
      <c r="O2356" s="31" t="n">
        <v>1196.22</v>
      </c>
    </row>
    <row r="2357">
      <c r="A2357" t="inlineStr">
        <is>
          <t>ENC120334</t>
        </is>
      </c>
      <c r="B2357" t="inlineStr">
        <is>
          <t>PT13948</t>
        </is>
      </c>
      <c r="C2357" t="inlineStr">
        <is>
          <t>Emergency</t>
        </is>
      </c>
      <c r="D2357" t="inlineStr">
        <is>
          <t>Bluestone Memorial Hospital</t>
        </is>
      </c>
      <c r="E2357" t="inlineStr">
        <is>
          <t>Emergency Department</t>
        </is>
      </c>
      <c r="F2357" t="inlineStr">
        <is>
          <t>Emergency</t>
        </is>
      </c>
      <c r="G2357" s="29" t="n">
        <v>45979</v>
      </c>
      <c r="H2357" s="29" t="n">
        <v>45979</v>
      </c>
      <c r="I2357" s="30" t="n"/>
      <c r="J2357" t="inlineStr">
        <is>
          <t>R10.9</t>
        </is>
      </c>
      <c r="K2357" t="inlineStr">
        <is>
          <t>Unspecified abdominal pain</t>
        </is>
      </c>
      <c r="L2357" t="inlineStr">
        <is>
          <t>Symptoms &amp; Signs</t>
        </is>
      </c>
      <c r="M2357" t="inlineStr">
        <is>
          <t>Home/Self-Care</t>
        </is>
      </c>
      <c r="N2357" t="inlineStr">
        <is>
          <t>Evergreen Mutual Insurance</t>
        </is>
      </c>
      <c r="O2357" s="31" t="n">
        <v>1990.05</v>
      </c>
    </row>
    <row r="2358">
      <c r="A2358" t="inlineStr">
        <is>
          <t>ENC120341</t>
        </is>
      </c>
      <c r="B2358" t="inlineStr">
        <is>
          <t>PT13456</t>
        </is>
      </c>
      <c r="C2358" t="inlineStr">
        <is>
          <t>Outpatient</t>
        </is>
      </c>
      <c r="D2358" t="inlineStr">
        <is>
          <t>Bluestone Outpatient Pavilion</t>
        </is>
      </c>
      <c r="E2358" t="inlineStr">
        <is>
          <t>Primary Care Clinic</t>
        </is>
      </c>
      <c r="F2358" t="inlineStr">
        <is>
          <t>Ambulatory</t>
        </is>
      </c>
      <c r="G2358" s="29" t="n">
        <v>45979</v>
      </c>
      <c r="H2358" s="29" t="n">
        <v>45979</v>
      </c>
      <c r="I2358" s="30" t="n"/>
      <c r="J2358" t="inlineStr">
        <is>
          <t>E78.5</t>
        </is>
      </c>
      <c r="K2358" t="inlineStr">
        <is>
          <t>Hyperlipidemia, unspecified</t>
        </is>
      </c>
      <c r="L2358" t="inlineStr">
        <is>
          <t>Endocrine</t>
        </is>
      </c>
      <c r="M2358" t="inlineStr">
        <is>
          <t>Home/Self-Care</t>
        </is>
      </c>
      <c r="N2358" t="inlineStr">
        <is>
          <t>Summit Choice PPO</t>
        </is>
      </c>
      <c r="O2358" s="31" t="n">
        <v>225.21</v>
      </c>
    </row>
    <row r="2359">
      <c r="A2359" t="inlineStr">
        <is>
          <t>ENC120342</t>
        </is>
      </c>
      <c r="B2359" t="inlineStr">
        <is>
          <t>PT13124</t>
        </is>
      </c>
      <c r="C2359" t="inlineStr">
        <is>
          <t>Outpatient</t>
        </is>
      </c>
      <c r="D2359" t="inlineStr">
        <is>
          <t>Bluestone Outpatient Pavilion</t>
        </is>
      </c>
      <c r="E2359" t="inlineStr">
        <is>
          <t>Pediatric Clinic</t>
        </is>
      </c>
      <c r="F2359" t="inlineStr">
        <is>
          <t>Women &amp; Children</t>
        </is>
      </c>
      <c r="G2359" s="29" t="n">
        <v>45979</v>
      </c>
      <c r="H2359" s="29" t="n">
        <v>45979</v>
      </c>
      <c r="I2359" s="30" t="n"/>
      <c r="J2359" t="inlineStr">
        <is>
          <t>Z00.129</t>
        </is>
      </c>
      <c r="K2359" t="inlineStr">
        <is>
          <t>Encounter for routine child health examination without abnormal findings</t>
        </is>
      </c>
      <c r="L2359" t="inlineStr">
        <is>
          <t>Factors Influencing Health</t>
        </is>
      </c>
      <c r="M2359" t="inlineStr">
        <is>
          <t>Home/Self-Care</t>
        </is>
      </c>
      <c r="N2359" t="inlineStr">
        <is>
          <t>State Medicaid</t>
        </is>
      </c>
      <c r="O2359" s="31" t="n">
        <v>222.96</v>
      </c>
    </row>
    <row r="2360">
      <c r="A2360" t="inlineStr">
        <is>
          <t>ENC120355</t>
        </is>
      </c>
      <c r="B2360" t="inlineStr">
        <is>
          <t>PT13880</t>
        </is>
      </c>
      <c r="C2360" t="inlineStr">
        <is>
          <t>Inpatient</t>
        </is>
      </c>
      <c r="D2360" t="inlineStr">
        <is>
          <t>Bluestone Memorial Hospital</t>
        </is>
      </c>
      <c r="E2360" t="inlineStr">
        <is>
          <t>Medical-Surgical 4 West</t>
        </is>
      </c>
      <c r="F2360" t="inlineStr">
        <is>
          <t>Medicine</t>
        </is>
      </c>
      <c r="G2360" s="29" t="n">
        <v>45979</v>
      </c>
      <c r="H2360" s="29" t="n">
        <v>45983</v>
      </c>
      <c r="I2360" s="30" t="n">
        <v>4</v>
      </c>
      <c r="J2360" t="inlineStr">
        <is>
          <t>J18.9</t>
        </is>
      </c>
      <c r="K2360" t="inlineStr">
        <is>
          <t>Pneumonia, unspecified organism</t>
        </is>
      </c>
      <c r="L2360" t="inlineStr">
        <is>
          <t>Respiratory</t>
        </is>
      </c>
      <c r="M2360" t="inlineStr">
        <is>
          <t>Home/Self-Care</t>
        </is>
      </c>
      <c r="N2360" t="inlineStr">
        <is>
          <t>Silverline Medicare Advantage</t>
        </is>
      </c>
      <c r="O2360" s="31" t="n">
        <v>16511.45</v>
      </c>
      <c r="P2360" t="inlineStr">
        <is>
          <t>N</t>
        </is>
      </c>
    </row>
    <row r="2361">
      <c r="A2361" t="inlineStr">
        <is>
          <t>ENC120359</t>
        </is>
      </c>
      <c r="B2361" t="inlineStr">
        <is>
          <t>PT13916</t>
        </is>
      </c>
      <c r="C2361" t="inlineStr">
        <is>
          <t>Inpatient</t>
        </is>
      </c>
      <c r="D2361" t="inlineStr">
        <is>
          <t>Ashby Falls Community Hospital</t>
        </is>
      </c>
      <c r="E2361" t="inlineStr">
        <is>
          <t>Medical-Surgical</t>
        </is>
      </c>
      <c r="F2361" t="inlineStr">
        <is>
          <t>Medicine</t>
        </is>
      </c>
      <c r="G2361" s="29" t="n">
        <v>45979</v>
      </c>
      <c r="H2361" s="29" t="n">
        <v>45985</v>
      </c>
      <c r="I2361" s="30" t="n">
        <v>6</v>
      </c>
      <c r="J2361" t="inlineStr">
        <is>
          <t>J44.1</t>
        </is>
      </c>
      <c r="K2361" t="inlineStr">
        <is>
          <t>Chronic obstructive pulmonary disease with (acute) exacerbation</t>
        </is>
      </c>
      <c r="L2361" t="inlineStr">
        <is>
          <t>Respiratory</t>
        </is>
      </c>
      <c r="M2361" t="inlineStr">
        <is>
          <t>Home/Self-Care</t>
        </is>
      </c>
      <c r="N2361" t="inlineStr">
        <is>
          <t>Evergreen Mutual Insurance</t>
        </is>
      </c>
      <c r="O2361" s="31" t="n">
        <v>23550.3</v>
      </c>
      <c r="P2361" t="inlineStr">
        <is>
          <t>N</t>
        </is>
      </c>
    </row>
    <row r="2362">
      <c r="A2362" t="inlineStr">
        <is>
          <t>ENC120361</t>
        </is>
      </c>
      <c r="B2362" t="inlineStr">
        <is>
          <t>PT13068</t>
        </is>
      </c>
      <c r="C2362" t="inlineStr">
        <is>
          <t>Inpatient</t>
        </is>
      </c>
      <c r="D2362" t="inlineStr">
        <is>
          <t>Bluestone Memorial Hospital</t>
        </is>
      </c>
      <c r="E2362" t="inlineStr">
        <is>
          <t>Medical-Surgical 4 West</t>
        </is>
      </c>
      <c r="F2362" t="inlineStr">
        <is>
          <t>Medicine</t>
        </is>
      </c>
      <c r="G2362" s="29" t="n">
        <v>45979</v>
      </c>
      <c r="H2362" s="29" t="n">
        <v>45988</v>
      </c>
      <c r="I2362" s="30" t="n">
        <v>9</v>
      </c>
      <c r="J2362" t="inlineStr">
        <is>
          <t>A41.9</t>
        </is>
      </c>
      <c r="K2362" t="inlineStr">
        <is>
          <t>Sepsis, unspecified organism</t>
        </is>
      </c>
      <c r="L2362" t="inlineStr">
        <is>
          <t>Infectious</t>
        </is>
      </c>
      <c r="M2362" t="inlineStr">
        <is>
          <t>Home/Self-Care</t>
        </is>
      </c>
      <c r="N2362" t="inlineStr">
        <is>
          <t>Keystone Health Partners</t>
        </is>
      </c>
      <c r="O2362" s="31" t="n">
        <v>71314.78</v>
      </c>
      <c r="P2362" t="inlineStr">
        <is>
          <t>Y</t>
        </is>
      </c>
    </row>
    <row r="2363">
      <c r="A2363" t="inlineStr">
        <is>
          <t>ENC120369</t>
        </is>
      </c>
      <c r="B2363" t="inlineStr">
        <is>
          <t>PT10188</t>
        </is>
      </c>
      <c r="C2363" t="inlineStr">
        <is>
          <t>Emergency</t>
        </is>
      </c>
      <c r="D2363" t="inlineStr">
        <is>
          <t>Ashby Falls Community Hospital</t>
        </is>
      </c>
      <c r="E2363" t="inlineStr">
        <is>
          <t>Emergency Department</t>
        </is>
      </c>
      <c r="F2363" t="inlineStr">
        <is>
          <t>Emergency</t>
        </is>
      </c>
      <c r="G2363" s="29" t="n">
        <v>45980</v>
      </c>
      <c r="H2363" s="29" t="n">
        <v>45980</v>
      </c>
      <c r="I2363" s="30" t="n"/>
      <c r="J2363" t="inlineStr">
        <is>
          <t>J06.9</t>
        </is>
      </c>
      <c r="K2363" t="inlineStr">
        <is>
          <t>Acute upper respiratory infection, unspecified</t>
        </is>
      </c>
      <c r="L2363" t="inlineStr">
        <is>
          <t>Respiratory</t>
        </is>
      </c>
      <c r="M2363" t="inlineStr">
        <is>
          <t>Home/Self-Care</t>
        </is>
      </c>
      <c r="N2363" t="inlineStr">
        <is>
          <t>State Medicaid</t>
        </is>
      </c>
      <c r="O2363" s="31" t="n">
        <v>1453.62</v>
      </c>
    </row>
    <row r="2364">
      <c r="A2364" t="inlineStr">
        <is>
          <t>ENC120372</t>
        </is>
      </c>
      <c r="B2364" t="inlineStr">
        <is>
          <t>PT13720</t>
        </is>
      </c>
      <c r="C2364" t="inlineStr">
        <is>
          <t>Inpatient</t>
        </is>
      </c>
      <c r="D2364" t="inlineStr">
        <is>
          <t>Bluestone Memorial Hospital</t>
        </is>
      </c>
      <c r="E2364" t="inlineStr">
        <is>
          <t>Cardiac Step-Down</t>
        </is>
      </c>
      <c r="F2364" t="inlineStr">
        <is>
          <t>Cardiovascular</t>
        </is>
      </c>
      <c r="G2364" s="29" t="n">
        <v>45980</v>
      </c>
      <c r="H2364" s="29" t="n">
        <v>45986</v>
      </c>
      <c r="I2364" s="30" t="n">
        <v>6</v>
      </c>
      <c r="J2364" t="inlineStr">
        <is>
          <t>I50.9</t>
        </is>
      </c>
      <c r="K2364" t="inlineStr">
        <is>
          <t>Heart failure, unspecified</t>
        </is>
      </c>
      <c r="L2364" t="inlineStr">
        <is>
          <t>Circulatory</t>
        </is>
      </c>
      <c r="M2364" t="inlineStr">
        <is>
          <t>Home/Self-Care</t>
        </is>
      </c>
      <c r="N2364" t="inlineStr">
        <is>
          <t>Medicare</t>
        </is>
      </c>
      <c r="O2364" s="31" t="n">
        <v>31937.15</v>
      </c>
      <c r="P2364" t="inlineStr">
        <is>
          <t>N</t>
        </is>
      </c>
    </row>
    <row r="2365">
      <c r="A2365" t="inlineStr">
        <is>
          <t>ENC120378</t>
        </is>
      </c>
      <c r="B2365" t="inlineStr">
        <is>
          <t>PT12860</t>
        </is>
      </c>
      <c r="C2365" t="inlineStr">
        <is>
          <t>Outpatient</t>
        </is>
      </c>
      <c r="D2365" t="inlineStr">
        <is>
          <t>Bluestone Outpatient Pavilion</t>
        </is>
      </c>
      <c r="E2365" t="inlineStr">
        <is>
          <t>Primary Care Clinic</t>
        </is>
      </c>
      <c r="F2365" t="inlineStr">
        <is>
          <t>Ambulatory</t>
        </is>
      </c>
      <c r="G2365" s="29" t="n">
        <v>45980</v>
      </c>
      <c r="H2365" s="29" t="n">
        <v>45980</v>
      </c>
      <c r="I2365" s="30" t="n"/>
      <c r="J2365" t="inlineStr">
        <is>
          <t>F41.9</t>
        </is>
      </c>
      <c r="K2365" t="inlineStr">
        <is>
          <t>Anxiety disorder, unspecified</t>
        </is>
      </c>
      <c r="L2365" t="inlineStr">
        <is>
          <t>Mental &amp; Behavioral</t>
        </is>
      </c>
      <c r="M2365" t="inlineStr">
        <is>
          <t>Home/Self-Care</t>
        </is>
      </c>
      <c r="N2365" t="inlineStr">
        <is>
          <t>Self-Pay</t>
        </is>
      </c>
      <c r="O2365" s="31" t="n">
        <v>253.47</v>
      </c>
    </row>
    <row r="2366">
      <c r="A2366" t="inlineStr">
        <is>
          <t>ENC120381</t>
        </is>
      </c>
      <c r="B2366" t="inlineStr">
        <is>
          <t>PT11640</t>
        </is>
      </c>
      <c r="C2366" t="inlineStr">
        <is>
          <t>Outpatient</t>
        </is>
      </c>
      <c r="D2366" t="inlineStr">
        <is>
          <t>Bluestone Outpatient Pavilion</t>
        </is>
      </c>
      <c r="E2366" t="inlineStr">
        <is>
          <t>Pediatric Clinic</t>
        </is>
      </c>
      <c r="F2366" t="inlineStr">
        <is>
          <t>Women &amp; Children</t>
        </is>
      </c>
      <c r="G2366" s="29" t="n">
        <v>45980</v>
      </c>
      <c r="H2366" s="29" t="n">
        <v>45980</v>
      </c>
      <c r="I2366" s="30" t="n"/>
      <c r="J2366" t="inlineStr">
        <is>
          <t>H66.90</t>
        </is>
      </c>
      <c r="K2366" t="inlineStr">
        <is>
          <t>Otitis media, unspecified, unspecified ear</t>
        </is>
      </c>
      <c r="L2366" t="inlineStr">
        <is>
          <t>Ear</t>
        </is>
      </c>
      <c r="M2366" t="inlineStr">
        <is>
          <t>Home/Self-Care</t>
        </is>
      </c>
      <c r="N2366" t="inlineStr">
        <is>
          <t>State Medicaid</t>
        </is>
      </c>
      <c r="O2366" s="31" t="n">
        <v>228.61</v>
      </c>
    </row>
    <row r="2367">
      <c r="A2367" t="inlineStr">
        <is>
          <t>ENC120385</t>
        </is>
      </c>
      <c r="B2367" t="inlineStr">
        <is>
          <t>PT12156</t>
        </is>
      </c>
      <c r="C2367" t="inlineStr">
        <is>
          <t>Outpatient</t>
        </is>
      </c>
      <c r="D2367" t="inlineStr">
        <is>
          <t>Bluestone Outpatient Pavilion</t>
        </is>
      </c>
      <c r="E2367" t="inlineStr">
        <is>
          <t>Infusion &amp; Oncology Clinic</t>
        </is>
      </c>
      <c r="F2367" t="inlineStr">
        <is>
          <t>Oncology</t>
        </is>
      </c>
      <c r="G2367" s="29" t="n">
        <v>45980</v>
      </c>
      <c r="H2367" s="29" t="n">
        <v>45980</v>
      </c>
      <c r="I2367" s="30" t="n"/>
      <c r="J2367" t="inlineStr">
        <is>
          <t>Z51.11</t>
        </is>
      </c>
      <c r="K2367" t="inlineStr">
        <is>
          <t>Encounter for antineoplastic chemotherapy</t>
        </is>
      </c>
      <c r="L2367" t="inlineStr">
        <is>
          <t>Factors Influencing Health</t>
        </is>
      </c>
      <c r="M2367" t="inlineStr">
        <is>
          <t>Home/Self-Care</t>
        </is>
      </c>
      <c r="N2367" t="inlineStr">
        <is>
          <t>State Medicaid</t>
        </is>
      </c>
      <c r="O2367" s="31" t="n">
        <v>14646.79</v>
      </c>
    </row>
    <row r="2368">
      <c r="A2368" t="inlineStr">
        <is>
          <t>ENC120386</t>
        </is>
      </c>
      <c r="B2368" t="inlineStr">
        <is>
          <t>PT11408</t>
        </is>
      </c>
      <c r="C2368" t="inlineStr">
        <is>
          <t>Inpatient</t>
        </is>
      </c>
      <c r="D2368" t="inlineStr">
        <is>
          <t>Bluestone Memorial Hospital</t>
        </is>
      </c>
      <c r="E2368" t="inlineStr">
        <is>
          <t>Pediatrics</t>
        </is>
      </c>
      <c r="F2368" t="inlineStr">
        <is>
          <t>Women &amp; Children</t>
        </is>
      </c>
      <c r="G2368" s="29" t="n">
        <v>45980</v>
      </c>
      <c r="H2368" s="29" t="n">
        <v>45982</v>
      </c>
      <c r="I2368" s="30" t="n">
        <v>2</v>
      </c>
      <c r="J2368" t="inlineStr">
        <is>
          <t>J21.9</t>
        </is>
      </c>
      <c r="K2368" t="inlineStr">
        <is>
          <t>Acute bronchiolitis, unspecified</t>
        </is>
      </c>
      <c r="L2368" t="inlineStr">
        <is>
          <t>Respiratory</t>
        </is>
      </c>
      <c r="M2368" t="inlineStr">
        <is>
          <t>Home/Self-Care</t>
        </is>
      </c>
      <c r="N2368" t="inlineStr">
        <is>
          <t>State Medicaid</t>
        </is>
      </c>
      <c r="O2368" s="31" t="n">
        <v>9073.719999999999</v>
      </c>
      <c r="P2368" t="inlineStr">
        <is>
          <t>N</t>
        </is>
      </c>
    </row>
    <row r="2369">
      <c r="A2369" t="inlineStr">
        <is>
          <t>ENC120387</t>
        </is>
      </c>
      <c r="B2369" t="inlineStr">
        <is>
          <t>PT13848</t>
        </is>
      </c>
      <c r="C2369" t="inlineStr">
        <is>
          <t>Inpatient</t>
        </is>
      </c>
      <c r="D2369" t="inlineStr">
        <is>
          <t>Bluestone Memorial Hospital</t>
        </is>
      </c>
      <c r="E2369" t="inlineStr">
        <is>
          <t>Behavioral Health</t>
        </is>
      </c>
      <c r="F2369" t="inlineStr">
        <is>
          <t>Behavioral Health</t>
        </is>
      </c>
      <c r="G2369" s="29" t="n">
        <v>45980</v>
      </c>
      <c r="H2369" s="29" t="n">
        <v>45987</v>
      </c>
      <c r="I2369" s="30" t="n">
        <v>7</v>
      </c>
      <c r="J2369" t="inlineStr">
        <is>
          <t>F32.9</t>
        </is>
      </c>
      <c r="K2369" t="inlineStr">
        <is>
          <t>Major depressive disorder, single episode, unspecified</t>
        </is>
      </c>
      <c r="L2369" t="inlineStr">
        <is>
          <t>Mental &amp; Behavioral</t>
        </is>
      </c>
      <c r="M2369" t="inlineStr">
        <is>
          <t>Home/Self-Care</t>
        </is>
      </c>
      <c r="N2369" t="inlineStr">
        <is>
          <t>Medicare</t>
        </is>
      </c>
      <c r="O2369" s="31" t="n">
        <v>22399.13</v>
      </c>
      <c r="P2369" t="inlineStr">
        <is>
          <t>N</t>
        </is>
      </c>
    </row>
    <row r="2370">
      <c r="A2370" t="inlineStr">
        <is>
          <t>ENC120390</t>
        </is>
      </c>
      <c r="B2370" t="inlineStr">
        <is>
          <t>PT11200</t>
        </is>
      </c>
      <c r="C2370" t="inlineStr">
        <is>
          <t>Outpatient</t>
        </is>
      </c>
      <c r="D2370" t="inlineStr">
        <is>
          <t>Bluestone Outpatient Pavilion</t>
        </is>
      </c>
      <c r="E2370" t="inlineStr">
        <is>
          <t>Primary Care Clinic</t>
        </is>
      </c>
      <c r="F2370" t="inlineStr">
        <is>
          <t>Ambulatory</t>
        </is>
      </c>
      <c r="G2370" s="29" t="n">
        <v>45980</v>
      </c>
      <c r="H2370" s="29" t="n">
        <v>45980</v>
      </c>
      <c r="I2370" s="30" t="n"/>
      <c r="J2370" t="inlineStr">
        <is>
          <t>J44.1</t>
        </is>
      </c>
      <c r="K2370" t="inlineStr">
        <is>
          <t>Chronic obstructive pulmonary disease with (acute) exacerbation</t>
        </is>
      </c>
      <c r="L2370" t="inlineStr">
        <is>
          <t>Respiratory</t>
        </is>
      </c>
      <c r="M2370" t="inlineStr">
        <is>
          <t>Home/Self-Care</t>
        </is>
      </c>
      <c r="N2370" t="inlineStr">
        <is>
          <t>State Medicaid</t>
        </is>
      </c>
      <c r="O2370" s="31" t="n">
        <v>292.82</v>
      </c>
    </row>
    <row r="2371">
      <c r="A2371" t="inlineStr">
        <is>
          <t>ENC120396</t>
        </is>
      </c>
      <c r="B2371" t="inlineStr">
        <is>
          <t>PT11816</t>
        </is>
      </c>
      <c r="C2371" t="inlineStr">
        <is>
          <t>Emergency</t>
        </is>
      </c>
      <c r="D2371" t="inlineStr">
        <is>
          <t>Cedar Ridge Medical Center</t>
        </is>
      </c>
      <c r="E2371" t="inlineStr">
        <is>
          <t>Emergency Department</t>
        </is>
      </c>
      <c r="F2371" t="inlineStr">
        <is>
          <t>Emergency</t>
        </is>
      </c>
      <c r="G2371" s="29" t="n">
        <v>45980</v>
      </c>
      <c r="H2371" s="29" t="n">
        <v>45980</v>
      </c>
      <c r="I2371" s="30" t="n"/>
      <c r="J2371" t="inlineStr">
        <is>
          <t>I10</t>
        </is>
      </c>
      <c r="K2371" t="inlineStr">
        <is>
          <t>Essential (primary) hypertension</t>
        </is>
      </c>
      <c r="L2371" t="inlineStr">
        <is>
          <t>Circulatory</t>
        </is>
      </c>
      <c r="M2371" t="inlineStr">
        <is>
          <t>Home/Self-Care</t>
        </is>
      </c>
      <c r="N2371" t="inlineStr">
        <is>
          <t>Medicare</t>
        </is>
      </c>
      <c r="O2371" s="31" t="n">
        <v>1124.36</v>
      </c>
    </row>
    <row r="2372">
      <c r="A2372" t="inlineStr">
        <is>
          <t>ENC120398</t>
        </is>
      </c>
      <c r="B2372" t="inlineStr">
        <is>
          <t>PT10196</t>
        </is>
      </c>
      <c r="C2372" t="inlineStr">
        <is>
          <t>Emergency</t>
        </is>
      </c>
      <c r="D2372" t="inlineStr">
        <is>
          <t>Bluestone Memorial Hospital</t>
        </is>
      </c>
      <c r="E2372" t="inlineStr">
        <is>
          <t>Emergency Department</t>
        </is>
      </c>
      <c r="F2372" t="inlineStr">
        <is>
          <t>Emergency</t>
        </is>
      </c>
      <c r="G2372" s="29" t="n">
        <v>45980</v>
      </c>
      <c r="H2372" s="29" t="n">
        <v>45980</v>
      </c>
      <c r="I2372" s="30" t="n"/>
      <c r="J2372" t="inlineStr">
        <is>
          <t>J06.9</t>
        </is>
      </c>
      <c r="K2372" t="inlineStr">
        <is>
          <t>Acute upper respiratory infection, unspecified</t>
        </is>
      </c>
      <c r="L2372" t="inlineStr">
        <is>
          <t>Respiratory</t>
        </is>
      </c>
      <c r="M2372" t="inlineStr">
        <is>
          <t>Home/Self-Care</t>
        </is>
      </c>
      <c r="N2372" t="inlineStr">
        <is>
          <t>Silverline Medicare Advantage</t>
        </is>
      </c>
      <c r="O2372" s="31" t="n">
        <v>1126.26</v>
      </c>
    </row>
    <row r="2373">
      <c r="A2373" t="inlineStr">
        <is>
          <t>ENC120401</t>
        </is>
      </c>
      <c r="B2373" t="inlineStr">
        <is>
          <t>PT13380</t>
        </is>
      </c>
      <c r="C2373" t="inlineStr">
        <is>
          <t>Observation</t>
        </is>
      </c>
      <c r="D2373" t="inlineStr">
        <is>
          <t>Ashby Falls Community Hospital</t>
        </is>
      </c>
      <c r="E2373" t="inlineStr">
        <is>
          <t>Medical-Surgical</t>
        </is>
      </c>
      <c r="F2373" t="inlineStr">
        <is>
          <t>Medicine</t>
        </is>
      </c>
      <c r="G2373" s="29" t="n">
        <v>45981</v>
      </c>
      <c r="H2373" s="29" t="n">
        <v>45982</v>
      </c>
      <c r="I2373" s="30" t="n">
        <v>1</v>
      </c>
      <c r="J2373" t="inlineStr">
        <is>
          <t>K92.2</t>
        </is>
      </c>
      <c r="K2373" t="inlineStr">
        <is>
          <t>Gastrointestinal hemorrhage, unspecified</t>
        </is>
      </c>
      <c r="L2373" t="inlineStr">
        <is>
          <t>Digestive</t>
        </is>
      </c>
      <c r="M2373" t="inlineStr">
        <is>
          <t>Home/Self-Care</t>
        </is>
      </c>
      <c r="N2373" t="inlineStr">
        <is>
          <t>Summit Choice PPO</t>
        </is>
      </c>
      <c r="O2373" s="31" t="n">
        <v>10372.53</v>
      </c>
    </row>
    <row r="2374">
      <c r="A2374" t="inlineStr">
        <is>
          <t>ENC120405</t>
        </is>
      </c>
      <c r="B2374" t="inlineStr">
        <is>
          <t>PT13228</t>
        </is>
      </c>
      <c r="C2374" t="inlineStr">
        <is>
          <t>Emergency</t>
        </is>
      </c>
      <c r="D2374" t="inlineStr">
        <is>
          <t>Bluestone Memorial Hospital</t>
        </is>
      </c>
      <c r="E2374" t="inlineStr">
        <is>
          <t>Emergency Department</t>
        </is>
      </c>
      <c r="F2374" t="inlineStr">
        <is>
          <t>Emergency</t>
        </is>
      </c>
      <c r="G2374" s="29" t="n">
        <v>45981</v>
      </c>
      <c r="H2374" s="29" t="n">
        <v>45981</v>
      </c>
      <c r="I2374" s="30" t="n"/>
      <c r="J2374" t="inlineStr">
        <is>
          <t>J21.9</t>
        </is>
      </c>
      <c r="K2374" t="inlineStr">
        <is>
          <t>Acute bronchiolitis, unspecified</t>
        </is>
      </c>
      <c r="L2374" t="inlineStr">
        <is>
          <t>Respiratory</t>
        </is>
      </c>
      <c r="M2374" t="inlineStr">
        <is>
          <t>Home/Self-Care</t>
        </is>
      </c>
      <c r="N2374" t="inlineStr">
        <is>
          <t>Evergreen Mutual Insurance</t>
        </is>
      </c>
      <c r="O2374" s="31" t="n">
        <v>2236.31</v>
      </c>
    </row>
    <row r="2375">
      <c r="A2375" t="inlineStr">
        <is>
          <t>ENC120406</t>
        </is>
      </c>
      <c r="B2375" t="inlineStr">
        <is>
          <t>PT11048</t>
        </is>
      </c>
      <c r="C2375" t="inlineStr">
        <is>
          <t>Inpatient</t>
        </is>
      </c>
      <c r="D2375" t="inlineStr">
        <is>
          <t>Bluestone Memorial Hospital</t>
        </is>
      </c>
      <c r="E2375" t="inlineStr">
        <is>
          <t>Labor &amp; Delivery</t>
        </is>
      </c>
      <c r="F2375" t="inlineStr">
        <is>
          <t>Women &amp; Children</t>
        </is>
      </c>
      <c r="G2375" s="29" t="n">
        <v>45981</v>
      </c>
      <c r="H2375" s="29" t="n">
        <v>45984</v>
      </c>
      <c r="I2375" s="30" t="n">
        <v>3</v>
      </c>
      <c r="J2375" t="inlineStr">
        <is>
          <t>O80</t>
        </is>
      </c>
      <c r="K2375" t="inlineStr">
        <is>
          <t>Encounter for full-term uncomplicated delivery</t>
        </is>
      </c>
      <c r="L2375" t="inlineStr">
        <is>
          <t>Pregnancy</t>
        </is>
      </c>
      <c r="M2375" t="inlineStr">
        <is>
          <t>Home/Self-Care</t>
        </is>
      </c>
      <c r="N2375" t="inlineStr">
        <is>
          <t>Evergreen Mutual Insurance</t>
        </is>
      </c>
      <c r="O2375" s="31" t="n">
        <v>19136.34</v>
      </c>
      <c r="P2375" t="inlineStr">
        <is>
          <t>N</t>
        </is>
      </c>
    </row>
    <row r="2376">
      <c r="A2376" t="inlineStr">
        <is>
          <t>ENC120407</t>
        </is>
      </c>
      <c r="B2376" t="inlineStr">
        <is>
          <t>PT10252</t>
        </is>
      </c>
      <c r="C2376" t="inlineStr">
        <is>
          <t>Inpatient</t>
        </is>
      </c>
      <c r="D2376" t="inlineStr">
        <is>
          <t>Ashby Falls Community Hospital</t>
        </is>
      </c>
      <c r="E2376" t="inlineStr">
        <is>
          <t>Medical-Surgical</t>
        </is>
      </c>
      <c r="F2376" t="inlineStr">
        <is>
          <t>Medicine</t>
        </is>
      </c>
      <c r="G2376" s="29" t="n">
        <v>45981</v>
      </c>
      <c r="H2376" s="29" t="n">
        <v>45985</v>
      </c>
      <c r="I2376" s="30" t="n">
        <v>4</v>
      </c>
      <c r="J2376" t="inlineStr">
        <is>
          <t>J18.9</t>
        </is>
      </c>
      <c r="K2376" t="inlineStr">
        <is>
          <t>Pneumonia, unspecified organism</t>
        </is>
      </c>
      <c r="L2376" t="inlineStr">
        <is>
          <t>Respiratory</t>
        </is>
      </c>
      <c r="M2376" t="inlineStr">
        <is>
          <t>Home Health</t>
        </is>
      </c>
      <c r="N2376" t="inlineStr">
        <is>
          <t>Evergreen Mutual Insurance</t>
        </is>
      </c>
      <c r="O2376" s="31" t="n">
        <v>17451.75</v>
      </c>
      <c r="P2376" t="inlineStr">
        <is>
          <t>N</t>
        </is>
      </c>
    </row>
    <row r="2377">
      <c r="A2377" t="inlineStr">
        <is>
          <t>ENC120408</t>
        </is>
      </c>
      <c r="B2377" t="inlineStr">
        <is>
          <t>PT13300</t>
        </is>
      </c>
      <c r="C2377" t="inlineStr">
        <is>
          <t>Emergency</t>
        </is>
      </c>
      <c r="D2377" t="inlineStr">
        <is>
          <t>Bluestone Memorial Hospital</t>
        </is>
      </c>
      <c r="E2377" t="inlineStr">
        <is>
          <t>Emergency Department</t>
        </is>
      </c>
      <c r="F2377" t="inlineStr">
        <is>
          <t>Emergency</t>
        </is>
      </c>
      <c r="G2377" s="29" t="n">
        <v>45981</v>
      </c>
      <c r="H2377" s="29" t="n">
        <v>45981</v>
      </c>
      <c r="I2377" s="30" t="n"/>
      <c r="J2377" t="inlineStr">
        <is>
          <t>R10.9</t>
        </is>
      </c>
      <c r="K2377" t="inlineStr">
        <is>
          <t>Unspecified abdominal pain</t>
        </is>
      </c>
      <c r="L2377" t="inlineStr">
        <is>
          <t>Symptoms &amp; Signs</t>
        </is>
      </c>
      <c r="M2377" t="inlineStr">
        <is>
          <t>Home/Self-Care</t>
        </is>
      </c>
      <c r="N2377" t="inlineStr">
        <is>
          <t>Evergreen Mutual Insurance</t>
        </is>
      </c>
      <c r="O2377" s="31" t="n">
        <v>1452.48</v>
      </c>
    </row>
    <row r="2378">
      <c r="A2378" t="inlineStr">
        <is>
          <t>ENC120418</t>
        </is>
      </c>
      <c r="B2378" t="inlineStr">
        <is>
          <t>PT13804</t>
        </is>
      </c>
      <c r="C2378" t="inlineStr">
        <is>
          <t>Inpatient</t>
        </is>
      </c>
      <c r="D2378" t="inlineStr">
        <is>
          <t>Bluestone Memorial Hospital</t>
        </is>
      </c>
      <c r="E2378" t="inlineStr">
        <is>
          <t>Behavioral Health</t>
        </is>
      </c>
      <c r="F2378" t="inlineStr">
        <is>
          <t>Behavioral Health</t>
        </is>
      </c>
      <c r="G2378" s="29" t="n">
        <v>45981</v>
      </c>
      <c r="H2378" s="29" t="n">
        <v>45989</v>
      </c>
      <c r="I2378" s="30" t="n">
        <v>8</v>
      </c>
      <c r="J2378" t="inlineStr">
        <is>
          <t>F32.9</t>
        </is>
      </c>
      <c r="K2378" t="inlineStr">
        <is>
          <t>Major depressive disorder, single episode, unspecified</t>
        </is>
      </c>
      <c r="L2378" t="inlineStr">
        <is>
          <t>Mental &amp; Behavioral</t>
        </is>
      </c>
      <c r="M2378" t="inlineStr">
        <is>
          <t>Home/Self-Care</t>
        </is>
      </c>
      <c r="N2378" t="inlineStr">
        <is>
          <t>Self-Pay</t>
        </is>
      </c>
      <c r="O2378" s="31" t="n">
        <v>37597.45</v>
      </c>
      <c r="P2378" t="inlineStr">
        <is>
          <t>N</t>
        </is>
      </c>
    </row>
    <row r="2379">
      <c r="A2379" t="inlineStr">
        <is>
          <t>ENC120420</t>
        </is>
      </c>
      <c r="B2379" t="inlineStr">
        <is>
          <t>PT10340</t>
        </is>
      </c>
      <c r="C2379" t="inlineStr">
        <is>
          <t>Emergency</t>
        </is>
      </c>
      <c r="D2379" t="inlineStr">
        <is>
          <t>Ashby Falls Community Hospital</t>
        </is>
      </c>
      <c r="E2379" t="inlineStr">
        <is>
          <t>Emergency Department</t>
        </is>
      </c>
      <c r="F2379" t="inlineStr">
        <is>
          <t>Emergency</t>
        </is>
      </c>
      <c r="G2379" s="29" t="n">
        <v>45981</v>
      </c>
      <c r="H2379" s="29" t="n">
        <v>45981</v>
      </c>
      <c r="I2379" s="30" t="n"/>
      <c r="J2379" t="inlineStr">
        <is>
          <t>R10.9</t>
        </is>
      </c>
      <c r="K2379" t="inlineStr">
        <is>
          <t>Unspecified abdominal pain</t>
        </is>
      </c>
      <c r="L2379" t="inlineStr">
        <is>
          <t>Symptoms &amp; Signs</t>
        </is>
      </c>
      <c r="M2379" t="inlineStr">
        <is>
          <t>Home/Self-Care</t>
        </is>
      </c>
      <c r="N2379" t="inlineStr">
        <is>
          <t>Evergreen Mutual Insurance</t>
        </is>
      </c>
      <c r="O2379" s="31" t="n">
        <v>3264.1</v>
      </c>
    </row>
    <row r="2380">
      <c r="A2380" t="inlineStr">
        <is>
          <t>ENC120424</t>
        </is>
      </c>
      <c r="B2380" t="inlineStr">
        <is>
          <t>PT10640</t>
        </is>
      </c>
      <c r="C2380" t="inlineStr">
        <is>
          <t>Inpatient</t>
        </is>
      </c>
      <c r="D2380" t="inlineStr">
        <is>
          <t>Bluestone Memorial Hospital</t>
        </is>
      </c>
      <c r="E2380" t="inlineStr">
        <is>
          <t>Medical-Surgical 5 East</t>
        </is>
      </c>
      <c r="F2380" t="inlineStr">
        <is>
          <t>Medicine</t>
        </is>
      </c>
      <c r="G2380" s="29" t="n">
        <v>45981</v>
      </c>
      <c r="H2380" s="29" t="n">
        <v>45983</v>
      </c>
      <c r="I2380" s="30" t="n">
        <v>2</v>
      </c>
      <c r="J2380" t="inlineStr">
        <is>
          <t>J18.9</t>
        </is>
      </c>
      <c r="K2380" t="inlineStr">
        <is>
          <t>Pneumonia, unspecified organism</t>
        </is>
      </c>
      <c r="L2380" t="inlineStr">
        <is>
          <t>Respiratory</t>
        </is>
      </c>
      <c r="M2380" t="inlineStr">
        <is>
          <t>Home/Self-Care</t>
        </is>
      </c>
      <c r="N2380" t="inlineStr">
        <is>
          <t>Self-Pay</t>
        </is>
      </c>
      <c r="O2380" s="31" t="n">
        <v>12051.23</v>
      </c>
      <c r="P2380" t="inlineStr">
        <is>
          <t>N</t>
        </is>
      </c>
    </row>
    <row r="2381">
      <c r="A2381" t="inlineStr">
        <is>
          <t>ENC120428</t>
        </is>
      </c>
      <c r="B2381" t="inlineStr">
        <is>
          <t>PT10364</t>
        </is>
      </c>
      <c r="C2381" t="inlineStr">
        <is>
          <t>Outpatient</t>
        </is>
      </c>
      <c r="D2381" t="inlineStr">
        <is>
          <t>Bluestone Outpatient Pavilion</t>
        </is>
      </c>
      <c r="E2381" t="inlineStr">
        <is>
          <t>Primary Care Clinic</t>
        </is>
      </c>
      <c r="F2381" t="inlineStr">
        <is>
          <t>Ambulatory</t>
        </is>
      </c>
      <c r="G2381" s="29" t="n">
        <v>45981</v>
      </c>
      <c r="H2381" s="29" t="n">
        <v>45981</v>
      </c>
      <c r="I2381" s="30" t="n"/>
      <c r="J2381" t="inlineStr">
        <is>
          <t>J06.9</t>
        </is>
      </c>
      <c r="K2381" t="inlineStr">
        <is>
          <t>Acute upper respiratory infection, unspecified</t>
        </is>
      </c>
      <c r="L2381" t="inlineStr">
        <is>
          <t>Respiratory</t>
        </is>
      </c>
      <c r="M2381" t="inlineStr">
        <is>
          <t>Home/Self-Care</t>
        </is>
      </c>
      <c r="N2381" t="inlineStr">
        <is>
          <t>Medicare</t>
        </is>
      </c>
      <c r="O2381" s="31" t="n">
        <v>311.36</v>
      </c>
    </row>
    <row r="2382">
      <c r="A2382" t="inlineStr">
        <is>
          <t>ENC120430</t>
        </is>
      </c>
      <c r="B2382" t="inlineStr">
        <is>
          <t>PT12324</t>
        </is>
      </c>
      <c r="C2382" t="inlineStr">
        <is>
          <t>Inpatient</t>
        </is>
      </c>
      <c r="D2382" t="inlineStr">
        <is>
          <t>Bluestone Memorial Hospital</t>
        </is>
      </c>
      <c r="E2382" t="inlineStr">
        <is>
          <t>Medical-Surgical 4 West</t>
        </is>
      </c>
      <c r="F2382" t="inlineStr">
        <is>
          <t>Medicine</t>
        </is>
      </c>
      <c r="G2382" s="29" t="n">
        <v>45981</v>
      </c>
      <c r="H2382" s="29" t="n">
        <v>45983</v>
      </c>
      <c r="I2382" s="30" t="n">
        <v>2</v>
      </c>
      <c r="J2382" t="inlineStr">
        <is>
          <t>J18.9</t>
        </is>
      </c>
      <c r="K2382" t="inlineStr">
        <is>
          <t>Pneumonia, unspecified organism</t>
        </is>
      </c>
      <c r="L2382" t="inlineStr">
        <is>
          <t>Respiratory</t>
        </is>
      </c>
      <c r="M2382" t="inlineStr">
        <is>
          <t>Transfer to Another Hospital</t>
        </is>
      </c>
      <c r="N2382" t="inlineStr">
        <is>
          <t>State Medicaid</t>
        </is>
      </c>
      <c r="O2382" s="31" t="n">
        <v>23664.31</v>
      </c>
      <c r="P2382" t="inlineStr">
        <is>
          <t>N</t>
        </is>
      </c>
    </row>
    <row r="2383">
      <c r="A2383" t="inlineStr">
        <is>
          <t>ENC120432</t>
        </is>
      </c>
      <c r="B2383" t="inlineStr">
        <is>
          <t>PT10592</t>
        </is>
      </c>
      <c r="C2383" t="inlineStr">
        <is>
          <t>Outpatient</t>
        </is>
      </c>
      <c r="D2383" t="inlineStr">
        <is>
          <t>Bluestone Outpatient Pavilion</t>
        </is>
      </c>
      <c r="E2383" t="inlineStr">
        <is>
          <t>Primary Care Clinic</t>
        </is>
      </c>
      <c r="F2383" t="inlineStr">
        <is>
          <t>Ambulatory</t>
        </is>
      </c>
      <c r="G2383" s="29" t="n">
        <v>45981</v>
      </c>
      <c r="H2383" s="29" t="n">
        <v>45981</v>
      </c>
      <c r="I2383" s="30" t="n"/>
      <c r="J2383" t="inlineStr">
        <is>
          <t>J44.1</t>
        </is>
      </c>
      <c r="K2383" t="inlineStr">
        <is>
          <t>Chronic obstructive pulmonary disease with (acute) exacerbation</t>
        </is>
      </c>
      <c r="L2383" t="inlineStr">
        <is>
          <t>Respiratory</t>
        </is>
      </c>
      <c r="M2383" t="inlineStr">
        <is>
          <t>Home/Self-Care</t>
        </is>
      </c>
      <c r="N2383" t="inlineStr">
        <is>
          <t>Silverline Medicare Advantage</t>
        </is>
      </c>
      <c r="O2383" s="31" t="n">
        <v>319.24</v>
      </c>
    </row>
    <row r="2384">
      <c r="A2384" t="inlineStr">
        <is>
          <t>ENC120436</t>
        </is>
      </c>
      <c r="B2384" t="inlineStr">
        <is>
          <t>PT11440</t>
        </is>
      </c>
      <c r="C2384" t="inlineStr">
        <is>
          <t>Outpatient</t>
        </is>
      </c>
      <c r="D2384" t="inlineStr">
        <is>
          <t>Bluestone Outpatient Pavilion</t>
        </is>
      </c>
      <c r="E2384" t="inlineStr">
        <is>
          <t>Pediatric Clinic</t>
        </is>
      </c>
      <c r="F2384" t="inlineStr">
        <is>
          <t>Women &amp; Children</t>
        </is>
      </c>
      <c r="G2384" s="29" t="n">
        <v>45981</v>
      </c>
      <c r="H2384" s="29" t="n">
        <v>45981</v>
      </c>
      <c r="I2384" s="30" t="n"/>
      <c r="J2384" t="inlineStr">
        <is>
          <t>Z00.129</t>
        </is>
      </c>
      <c r="K2384" t="inlineStr">
        <is>
          <t>Encounter for routine child health examination without abnormal findings</t>
        </is>
      </c>
      <c r="L2384" t="inlineStr">
        <is>
          <t>Factors Influencing Health</t>
        </is>
      </c>
      <c r="M2384" t="inlineStr">
        <is>
          <t>Home/Self-Care</t>
        </is>
      </c>
      <c r="N2384" t="inlineStr">
        <is>
          <t>State Medicaid</t>
        </is>
      </c>
      <c r="O2384" s="31" t="n">
        <v>287.77</v>
      </c>
    </row>
    <row r="2385">
      <c r="A2385" t="inlineStr">
        <is>
          <t>ENC120437</t>
        </is>
      </c>
      <c r="B2385" t="inlineStr">
        <is>
          <t>PT10436</t>
        </is>
      </c>
      <c r="C2385" t="inlineStr">
        <is>
          <t>Emergency</t>
        </is>
      </c>
      <c r="D2385" t="inlineStr">
        <is>
          <t>Bluestone Memorial Hospital</t>
        </is>
      </c>
      <c r="E2385" t="inlineStr">
        <is>
          <t>Emergency Department</t>
        </is>
      </c>
      <c r="F2385" t="inlineStr">
        <is>
          <t>Emergency</t>
        </is>
      </c>
      <c r="G2385" s="29" t="n">
        <v>45981</v>
      </c>
      <c r="H2385" s="29" t="n">
        <v>45981</v>
      </c>
      <c r="I2385" s="30" t="n"/>
      <c r="J2385" t="inlineStr">
        <is>
          <t>J18.9</t>
        </is>
      </c>
      <c r="K2385" t="inlineStr">
        <is>
          <t>Pneumonia, unspecified organism</t>
        </is>
      </c>
      <c r="L2385" t="inlineStr">
        <is>
          <t>Respiratory</t>
        </is>
      </c>
      <c r="M2385" t="inlineStr">
        <is>
          <t>Home/Self-Care</t>
        </is>
      </c>
      <c r="N2385" t="inlineStr">
        <is>
          <t>Summit Choice PPO</t>
        </is>
      </c>
      <c r="O2385" s="31" t="n">
        <v>6229.99</v>
      </c>
    </row>
    <row r="2386">
      <c r="A2386" t="inlineStr">
        <is>
          <t>ENC120439</t>
        </is>
      </c>
      <c r="B2386" t="inlineStr">
        <is>
          <t>PT11832</t>
        </is>
      </c>
      <c r="C2386" t="inlineStr">
        <is>
          <t>Outpatient</t>
        </is>
      </c>
      <c r="D2386" t="inlineStr">
        <is>
          <t>Bluestone Outpatient Pavilion</t>
        </is>
      </c>
      <c r="E2386" t="inlineStr">
        <is>
          <t>Endocrinology &amp; Diabetes Clinic</t>
        </is>
      </c>
      <c r="F2386" t="inlineStr">
        <is>
          <t>Ambulatory</t>
        </is>
      </c>
      <c r="G2386" s="29" t="n">
        <v>45981</v>
      </c>
      <c r="H2386" s="29" t="n">
        <v>45981</v>
      </c>
      <c r="I2386" s="30" t="n"/>
      <c r="J2386" t="inlineStr">
        <is>
          <t>E11.65</t>
        </is>
      </c>
      <c r="K2386" t="inlineStr">
        <is>
          <t>Type 2 diabetes mellitus with hyperglycemia</t>
        </is>
      </c>
      <c r="L2386" t="inlineStr">
        <is>
          <t>Endocrine</t>
        </is>
      </c>
      <c r="M2386" t="inlineStr">
        <is>
          <t>Home/Self-Care</t>
        </is>
      </c>
      <c r="N2386" t="inlineStr">
        <is>
          <t>State Medicaid</t>
        </is>
      </c>
      <c r="O2386" s="31" t="n">
        <v>369.56</v>
      </c>
    </row>
    <row r="2387">
      <c r="A2387" t="inlineStr">
        <is>
          <t>ENC120459</t>
        </is>
      </c>
      <c r="B2387" t="inlineStr">
        <is>
          <t>PT11896</t>
        </is>
      </c>
      <c r="C2387" t="inlineStr">
        <is>
          <t>Emergency</t>
        </is>
      </c>
      <c r="D2387" t="inlineStr">
        <is>
          <t>Bluestone Memorial Hospital</t>
        </is>
      </c>
      <c r="E2387" t="inlineStr">
        <is>
          <t>Emergency Department</t>
        </is>
      </c>
      <c r="F2387" t="inlineStr">
        <is>
          <t>Emergency</t>
        </is>
      </c>
      <c r="G2387" s="29" t="n">
        <v>45982</v>
      </c>
      <c r="H2387" s="29" t="n">
        <v>45982</v>
      </c>
      <c r="I2387" s="30" t="n"/>
      <c r="J2387" t="inlineStr">
        <is>
          <t>A08.4</t>
        </is>
      </c>
      <c r="K2387" t="inlineStr">
        <is>
          <t>Viral intestinal infection, unspecified</t>
        </is>
      </c>
      <c r="L2387" t="inlineStr">
        <is>
          <t>Infectious</t>
        </is>
      </c>
      <c r="M2387" t="inlineStr">
        <is>
          <t>Home/Self-Care</t>
        </is>
      </c>
      <c r="N2387" t="inlineStr">
        <is>
          <t>State Medicaid</t>
        </is>
      </c>
      <c r="O2387" s="31" t="n">
        <v>4212.11</v>
      </c>
    </row>
    <row r="2388">
      <c r="A2388" t="inlineStr">
        <is>
          <t>ENC120462</t>
        </is>
      </c>
      <c r="B2388" t="inlineStr">
        <is>
          <t>PT11300</t>
        </is>
      </c>
      <c r="C2388" t="inlineStr">
        <is>
          <t>Outpatient</t>
        </is>
      </c>
      <c r="D2388" t="inlineStr">
        <is>
          <t>Bluestone Outpatient Pavilion</t>
        </is>
      </c>
      <c r="E2388" t="inlineStr">
        <is>
          <t>Primary Care Clinic</t>
        </is>
      </c>
      <c r="F2388" t="inlineStr">
        <is>
          <t>Ambulatory</t>
        </is>
      </c>
      <c r="G2388" s="29" t="n">
        <v>45982</v>
      </c>
      <c r="H2388" s="29" t="n">
        <v>45982</v>
      </c>
      <c r="I2388" s="30" t="n"/>
      <c r="J2388" t="inlineStr">
        <is>
          <t>E78.5</t>
        </is>
      </c>
      <c r="K2388" t="inlineStr">
        <is>
          <t>Hyperlipidemia, unspecified</t>
        </is>
      </c>
      <c r="L2388" t="inlineStr">
        <is>
          <t>Endocrine</t>
        </is>
      </c>
      <c r="M2388" t="inlineStr">
        <is>
          <t>Home/Self-Care</t>
        </is>
      </c>
      <c r="N2388" t="inlineStr">
        <is>
          <t>Keystone Health Partners</t>
        </is>
      </c>
      <c r="O2388" s="31" t="n">
        <v>316.53</v>
      </c>
    </row>
    <row r="2389">
      <c r="A2389" t="inlineStr">
        <is>
          <t>ENC120470</t>
        </is>
      </c>
      <c r="B2389" t="inlineStr">
        <is>
          <t>PT11584</t>
        </is>
      </c>
      <c r="C2389" t="inlineStr">
        <is>
          <t>Emergency</t>
        </is>
      </c>
      <c r="D2389" t="inlineStr">
        <is>
          <t>Bluestone Memorial Hospital</t>
        </is>
      </c>
      <c r="E2389" t="inlineStr">
        <is>
          <t>Emergency Department</t>
        </is>
      </c>
      <c r="F2389" t="inlineStr">
        <is>
          <t>Emergency</t>
        </is>
      </c>
      <c r="G2389" s="29" t="n">
        <v>45982</v>
      </c>
      <c r="H2389" s="29" t="n">
        <v>45982</v>
      </c>
      <c r="I2389" s="30" t="n"/>
      <c r="J2389" t="inlineStr">
        <is>
          <t>J18.9</t>
        </is>
      </c>
      <c r="K2389" t="inlineStr">
        <is>
          <t>Pneumonia, unspecified organism</t>
        </is>
      </c>
      <c r="L2389" t="inlineStr">
        <is>
          <t>Respiratory</t>
        </is>
      </c>
      <c r="M2389" t="inlineStr">
        <is>
          <t>Home/Self-Care</t>
        </is>
      </c>
      <c r="N2389" t="inlineStr">
        <is>
          <t>Keystone Health Partners</t>
        </is>
      </c>
      <c r="O2389" s="31" t="n">
        <v>4729.31</v>
      </c>
    </row>
    <row r="2390">
      <c r="A2390" t="inlineStr">
        <is>
          <t>ENC120471</t>
        </is>
      </c>
      <c r="B2390" t="inlineStr">
        <is>
          <t>PT10460</t>
        </is>
      </c>
      <c r="C2390" t="inlineStr">
        <is>
          <t>Emergency</t>
        </is>
      </c>
      <c r="D2390" t="inlineStr">
        <is>
          <t>Cedar Ridge Medical Center</t>
        </is>
      </c>
      <c r="E2390" t="inlineStr">
        <is>
          <t>Emergency Department</t>
        </is>
      </c>
      <c r="F2390" t="inlineStr">
        <is>
          <t>Emergency</t>
        </is>
      </c>
      <c r="G2390" s="29" t="n">
        <v>45982</v>
      </c>
      <c r="H2390" s="29" t="n">
        <v>45982</v>
      </c>
      <c r="I2390" s="30" t="n"/>
      <c r="J2390" t="inlineStr">
        <is>
          <t>J44.1</t>
        </is>
      </c>
      <c r="K2390" t="inlineStr">
        <is>
          <t>Chronic obstructive pulmonary disease with (acute) exacerbation</t>
        </is>
      </c>
      <c r="L2390" t="inlineStr">
        <is>
          <t>Respiratory</t>
        </is>
      </c>
      <c r="M2390" t="inlineStr">
        <is>
          <t>Home/Self-Care</t>
        </is>
      </c>
      <c r="N2390" t="inlineStr">
        <is>
          <t>Keystone Health Partners</t>
        </is>
      </c>
      <c r="O2390" s="31" t="n">
        <v>2747.29</v>
      </c>
    </row>
    <row r="2391">
      <c r="A2391" t="inlineStr">
        <is>
          <t>ENC120472</t>
        </is>
      </c>
      <c r="B2391" t="inlineStr">
        <is>
          <t>PT11188</t>
        </is>
      </c>
      <c r="C2391" t="inlineStr">
        <is>
          <t>Emergency</t>
        </is>
      </c>
      <c r="D2391" t="inlineStr">
        <is>
          <t>Cedar Ridge Medical Center</t>
        </is>
      </c>
      <c r="E2391" t="inlineStr">
        <is>
          <t>Emergency Department</t>
        </is>
      </c>
      <c r="F2391" t="inlineStr">
        <is>
          <t>Emergency</t>
        </is>
      </c>
      <c r="G2391" s="29" t="n">
        <v>45982</v>
      </c>
      <c r="H2391" s="29" t="n">
        <v>45982</v>
      </c>
      <c r="I2391" s="30" t="n"/>
      <c r="J2391" t="inlineStr">
        <is>
          <t>R55</t>
        </is>
      </c>
      <c r="K2391" t="inlineStr">
        <is>
          <t>Syncope and collapse</t>
        </is>
      </c>
      <c r="L2391" t="inlineStr">
        <is>
          <t>Symptoms &amp; Signs</t>
        </is>
      </c>
      <c r="M2391" t="inlineStr">
        <is>
          <t>Home/Self-Care</t>
        </is>
      </c>
      <c r="N2391" t="inlineStr">
        <is>
          <t>Medicare</t>
        </is>
      </c>
      <c r="O2391" s="31" t="n">
        <v>3413.47</v>
      </c>
    </row>
    <row r="2392">
      <c r="A2392" t="inlineStr">
        <is>
          <t>ENC120473</t>
        </is>
      </c>
      <c r="B2392" t="inlineStr">
        <is>
          <t>PT13204</t>
        </is>
      </c>
      <c r="C2392" t="inlineStr">
        <is>
          <t>Emergency</t>
        </is>
      </c>
      <c r="D2392" t="inlineStr">
        <is>
          <t>Bluestone Memorial Hospital</t>
        </is>
      </c>
      <c r="E2392" t="inlineStr">
        <is>
          <t>Emergency Department</t>
        </is>
      </c>
      <c r="F2392" t="inlineStr">
        <is>
          <t>Emergency</t>
        </is>
      </c>
      <c r="G2392" s="29" t="n">
        <v>45982</v>
      </c>
      <c r="H2392" s="29" t="n">
        <v>45982</v>
      </c>
      <c r="I2392" s="30" t="n"/>
      <c r="J2392" t="inlineStr">
        <is>
          <t>A08.4</t>
        </is>
      </c>
      <c r="K2392" t="inlineStr">
        <is>
          <t>Viral intestinal infection, unspecified</t>
        </is>
      </c>
      <c r="L2392" t="inlineStr">
        <is>
          <t>Infectious</t>
        </is>
      </c>
      <c r="M2392" t="inlineStr">
        <is>
          <t>Home/Self-Care</t>
        </is>
      </c>
      <c r="N2392" t="inlineStr">
        <is>
          <t>Silverline Medicare Advantage</t>
        </is>
      </c>
      <c r="O2392" s="31" t="n">
        <v>1713.66</v>
      </c>
    </row>
    <row r="2393">
      <c r="A2393" t="inlineStr">
        <is>
          <t>ENC120474</t>
        </is>
      </c>
      <c r="B2393" t="inlineStr">
        <is>
          <t>PT13628</t>
        </is>
      </c>
      <c r="C2393" t="inlineStr">
        <is>
          <t>Emergency</t>
        </is>
      </c>
      <c r="D2393" t="inlineStr">
        <is>
          <t>Cedar Ridge Medical Center</t>
        </is>
      </c>
      <c r="E2393" t="inlineStr">
        <is>
          <t>Emergency Department</t>
        </is>
      </c>
      <c r="F2393" t="inlineStr">
        <is>
          <t>Emergency</t>
        </is>
      </c>
      <c r="G2393" s="29" t="n">
        <v>45982</v>
      </c>
      <c r="H2393" s="29" t="n">
        <v>45982</v>
      </c>
      <c r="I2393" s="30" t="n"/>
      <c r="J2393" t="inlineStr">
        <is>
          <t>R10.9</t>
        </is>
      </c>
      <c r="K2393" t="inlineStr">
        <is>
          <t>Unspecified abdominal pain</t>
        </is>
      </c>
      <c r="L2393" t="inlineStr">
        <is>
          <t>Symptoms &amp; Signs</t>
        </is>
      </c>
      <c r="M2393" t="inlineStr">
        <is>
          <t>Home/Self-Care</t>
        </is>
      </c>
      <c r="N2393" t="inlineStr">
        <is>
          <t>Self-Pay</t>
        </is>
      </c>
      <c r="O2393" s="31" t="n">
        <v>1659.7</v>
      </c>
    </row>
    <row r="2394">
      <c r="A2394" t="inlineStr">
        <is>
          <t>ENC120475</t>
        </is>
      </c>
      <c r="B2394" t="inlineStr">
        <is>
          <t>PT12396</t>
        </is>
      </c>
      <c r="C2394" t="inlineStr">
        <is>
          <t>Inpatient</t>
        </is>
      </c>
      <c r="D2394" t="inlineStr">
        <is>
          <t>Bluestone Memorial Hospital</t>
        </is>
      </c>
      <c r="E2394" t="inlineStr">
        <is>
          <t>Neuroscience &amp; Stroke</t>
        </is>
      </c>
      <c r="F2394" t="inlineStr">
        <is>
          <t>Neuroscience</t>
        </is>
      </c>
      <c r="G2394" s="29" t="n">
        <v>45983</v>
      </c>
      <c r="H2394" s="29" t="n">
        <v>45987</v>
      </c>
      <c r="I2394" s="30" t="n">
        <v>4</v>
      </c>
      <c r="J2394" t="inlineStr">
        <is>
          <t>G40.909</t>
        </is>
      </c>
      <c r="K2394" t="inlineStr">
        <is>
          <t>Epilepsy, unspecified, not intractable, without status epilepticus</t>
        </is>
      </c>
      <c r="L2394" t="inlineStr">
        <is>
          <t>Nervous System</t>
        </is>
      </c>
      <c r="M2394" t="inlineStr">
        <is>
          <t>Home/Self-Care</t>
        </is>
      </c>
      <c r="N2394" t="inlineStr">
        <is>
          <t>State Medicaid</t>
        </is>
      </c>
      <c r="O2394" s="31" t="n">
        <v>26693.74</v>
      </c>
      <c r="P2394" t="inlineStr">
        <is>
          <t>N</t>
        </is>
      </c>
    </row>
    <row r="2395">
      <c r="A2395" t="inlineStr">
        <is>
          <t>ENC120504</t>
        </is>
      </c>
      <c r="B2395" t="inlineStr">
        <is>
          <t>PT12764</t>
        </is>
      </c>
      <c r="C2395" t="inlineStr">
        <is>
          <t>Inpatient</t>
        </is>
      </c>
      <c r="D2395" t="inlineStr">
        <is>
          <t>Bluestone Memorial Hospital</t>
        </is>
      </c>
      <c r="E2395" t="inlineStr">
        <is>
          <t>Medical-Surgical 5 East</t>
        </is>
      </c>
      <c r="F2395" t="inlineStr">
        <is>
          <t>Medicine</t>
        </is>
      </c>
      <c r="G2395" s="29" t="n">
        <v>45984</v>
      </c>
      <c r="H2395" s="29" t="n">
        <v>45987</v>
      </c>
      <c r="I2395" s="30" t="n">
        <v>3</v>
      </c>
      <c r="J2395" t="inlineStr">
        <is>
          <t>J18.9</t>
        </is>
      </c>
      <c r="K2395" t="inlineStr">
        <is>
          <t>Pneumonia, unspecified organism</t>
        </is>
      </c>
      <c r="L2395" t="inlineStr">
        <is>
          <t>Respiratory</t>
        </is>
      </c>
      <c r="M2395" t="inlineStr">
        <is>
          <t>Home Health</t>
        </is>
      </c>
      <c r="N2395" t="inlineStr">
        <is>
          <t>Keystone Health Partners</t>
        </is>
      </c>
      <c r="O2395" s="31" t="n">
        <v>11951.44</v>
      </c>
      <c r="P2395" t="inlineStr">
        <is>
          <t>N</t>
        </is>
      </c>
    </row>
    <row r="2396">
      <c r="A2396" t="inlineStr">
        <is>
          <t>ENC120507</t>
        </is>
      </c>
      <c r="B2396" t="inlineStr">
        <is>
          <t>PT13648</t>
        </is>
      </c>
      <c r="C2396" t="inlineStr">
        <is>
          <t>Observation</t>
        </is>
      </c>
      <c r="D2396" t="inlineStr">
        <is>
          <t>Bluestone Memorial Hospital</t>
        </is>
      </c>
      <c r="E2396" t="inlineStr">
        <is>
          <t>Observation Unit</t>
        </is>
      </c>
      <c r="F2396" t="inlineStr">
        <is>
          <t>Medicine</t>
        </is>
      </c>
      <c r="G2396" s="29" t="n">
        <v>45984</v>
      </c>
      <c r="H2396" s="29" t="n">
        <v>45985</v>
      </c>
      <c r="I2396" s="30" t="n">
        <v>1</v>
      </c>
      <c r="J2396" t="inlineStr">
        <is>
          <t>L03.115</t>
        </is>
      </c>
      <c r="K2396" t="inlineStr">
        <is>
          <t>Cellulitis of right lower limb</t>
        </is>
      </c>
      <c r="L2396" t="inlineStr">
        <is>
          <t>Skin</t>
        </is>
      </c>
      <c r="M2396" t="inlineStr">
        <is>
          <t>Home/Self-Care</t>
        </is>
      </c>
      <c r="N2396" t="inlineStr">
        <is>
          <t>Silverline Medicare Advantage</t>
        </is>
      </c>
      <c r="O2396" s="31" t="n">
        <v>9572.280000000001</v>
      </c>
    </row>
    <row r="2397">
      <c r="A2397" t="inlineStr">
        <is>
          <t>ENC120510</t>
        </is>
      </c>
      <c r="B2397" t="inlineStr">
        <is>
          <t>PT10080</t>
        </is>
      </c>
      <c r="C2397" t="inlineStr">
        <is>
          <t>Inpatient</t>
        </is>
      </c>
      <c r="D2397" t="inlineStr">
        <is>
          <t>Bluestone Memorial Hospital</t>
        </is>
      </c>
      <c r="E2397" t="inlineStr">
        <is>
          <t>Medical-Surgical 4 West</t>
        </is>
      </c>
      <c r="F2397" t="inlineStr">
        <is>
          <t>Medicine</t>
        </is>
      </c>
      <c r="G2397" s="29" t="n">
        <v>45984</v>
      </c>
      <c r="H2397" s="29" t="n">
        <v>45989</v>
      </c>
      <c r="I2397" s="30" t="n">
        <v>5</v>
      </c>
      <c r="J2397" t="inlineStr">
        <is>
          <t>J18.9</t>
        </is>
      </c>
      <c r="K2397" t="inlineStr">
        <is>
          <t>Pneumonia, unspecified organism</t>
        </is>
      </c>
      <c r="L2397" t="inlineStr">
        <is>
          <t>Respiratory</t>
        </is>
      </c>
      <c r="M2397" t="inlineStr">
        <is>
          <t>Home/Self-Care</t>
        </is>
      </c>
      <c r="N2397" t="inlineStr">
        <is>
          <t>State Medicaid</t>
        </is>
      </c>
      <c r="O2397" s="31" t="n">
        <v>15186.03</v>
      </c>
      <c r="P2397" t="inlineStr">
        <is>
          <t>Y</t>
        </is>
      </c>
    </row>
    <row r="2398">
      <c r="A2398" t="inlineStr">
        <is>
          <t>ENC120521</t>
        </is>
      </c>
      <c r="B2398" t="inlineStr">
        <is>
          <t>PT13172</t>
        </is>
      </c>
      <c r="C2398" t="inlineStr">
        <is>
          <t>Emergency</t>
        </is>
      </c>
      <c r="D2398" t="inlineStr">
        <is>
          <t>Bluestone Memorial Hospital</t>
        </is>
      </c>
      <c r="E2398" t="inlineStr">
        <is>
          <t>Emergency Department</t>
        </is>
      </c>
      <c r="F2398" t="inlineStr">
        <is>
          <t>Emergency</t>
        </is>
      </c>
      <c r="G2398" s="29" t="n">
        <v>45985</v>
      </c>
      <c r="H2398" s="29" t="n">
        <v>45985</v>
      </c>
      <c r="I2398" s="30" t="n"/>
      <c r="J2398" t="inlineStr">
        <is>
          <t>M54.50</t>
        </is>
      </c>
      <c r="K2398" t="inlineStr">
        <is>
          <t>Low back pain, unspecified</t>
        </is>
      </c>
      <c r="L2398" t="inlineStr">
        <is>
          <t>Musculoskeletal</t>
        </is>
      </c>
      <c r="M2398" t="inlineStr">
        <is>
          <t>Home/Self-Care</t>
        </is>
      </c>
      <c r="N2398" t="inlineStr">
        <is>
          <t>Self-Pay</t>
        </is>
      </c>
      <c r="O2398" s="31" t="n">
        <v>2736.8</v>
      </c>
    </row>
    <row r="2399">
      <c r="A2399" t="inlineStr">
        <is>
          <t>ENC120524</t>
        </is>
      </c>
      <c r="B2399" t="inlineStr">
        <is>
          <t>PT12948</t>
        </is>
      </c>
      <c r="C2399" t="inlineStr">
        <is>
          <t>Emergency</t>
        </is>
      </c>
      <c r="D2399" t="inlineStr">
        <is>
          <t>Bluestone Memorial Hospital</t>
        </is>
      </c>
      <c r="E2399" t="inlineStr">
        <is>
          <t>Emergency Department</t>
        </is>
      </c>
      <c r="F2399" t="inlineStr">
        <is>
          <t>Emergency</t>
        </is>
      </c>
      <c r="G2399" s="29" t="n">
        <v>45985</v>
      </c>
      <c r="H2399" s="29" t="n">
        <v>45985</v>
      </c>
      <c r="I2399" s="30" t="n"/>
      <c r="J2399" t="inlineStr">
        <is>
          <t>U07.1</t>
        </is>
      </c>
      <c r="K2399" t="inlineStr">
        <is>
          <t>COVID-19</t>
        </is>
      </c>
      <c r="L2399" t="inlineStr">
        <is>
          <t>Respiratory</t>
        </is>
      </c>
      <c r="M2399" t="inlineStr">
        <is>
          <t>Home/Self-Care</t>
        </is>
      </c>
      <c r="N2399" t="inlineStr">
        <is>
          <t>Summit Choice PPO</t>
        </is>
      </c>
      <c r="O2399" s="31" t="n">
        <v>2416.84</v>
      </c>
    </row>
    <row r="2400">
      <c r="A2400" t="inlineStr">
        <is>
          <t>ENC120527</t>
        </is>
      </c>
      <c r="B2400" t="inlineStr">
        <is>
          <t>PT11220</t>
        </is>
      </c>
      <c r="C2400" t="inlineStr">
        <is>
          <t>Outpatient</t>
        </is>
      </c>
      <c r="D2400" t="inlineStr">
        <is>
          <t>Bluestone Outpatient Pavilion</t>
        </is>
      </c>
      <c r="E2400" t="inlineStr">
        <is>
          <t>Cardiology Clinic</t>
        </is>
      </c>
      <c r="F2400" t="inlineStr">
        <is>
          <t>Cardiovascular</t>
        </is>
      </c>
      <c r="G2400" s="29" t="n">
        <v>45985</v>
      </c>
      <c r="H2400" s="29" t="n">
        <v>45985</v>
      </c>
      <c r="I2400" s="30" t="n"/>
      <c r="J2400" t="inlineStr">
        <is>
          <t>I50.9</t>
        </is>
      </c>
      <c r="K2400" t="inlineStr">
        <is>
          <t>Heart failure, unspecified</t>
        </is>
      </c>
      <c r="L2400" t="inlineStr">
        <is>
          <t>Circulatory</t>
        </is>
      </c>
      <c r="M2400" t="inlineStr">
        <is>
          <t>Home/Self-Care</t>
        </is>
      </c>
      <c r="N2400" t="inlineStr">
        <is>
          <t>Evergreen Mutual Insurance</t>
        </is>
      </c>
      <c r="O2400" s="31" t="n">
        <v>538.55</v>
      </c>
    </row>
    <row r="2401">
      <c r="A2401" t="inlineStr">
        <is>
          <t>ENC120529</t>
        </is>
      </c>
      <c r="B2401" t="inlineStr">
        <is>
          <t>PT10932</t>
        </is>
      </c>
      <c r="C2401" t="inlineStr">
        <is>
          <t>Outpatient</t>
        </is>
      </c>
      <c r="D2401" t="inlineStr">
        <is>
          <t>Bluestone Outpatient Pavilion</t>
        </is>
      </c>
      <c r="E2401" t="inlineStr">
        <is>
          <t>Primary Care Clinic</t>
        </is>
      </c>
      <c r="F2401" t="inlineStr">
        <is>
          <t>Ambulatory</t>
        </is>
      </c>
      <c r="G2401" s="29" t="n">
        <v>45985</v>
      </c>
      <c r="H2401" s="29" t="n">
        <v>45985</v>
      </c>
      <c r="I2401" s="30" t="n"/>
      <c r="J2401" t="inlineStr">
        <is>
          <t>Z23</t>
        </is>
      </c>
      <c r="K2401" t="inlineStr">
        <is>
          <t>Encounter for immunization</t>
        </is>
      </c>
      <c r="L2401" t="inlineStr">
        <is>
          <t>Factors Influencing Health</t>
        </is>
      </c>
      <c r="M2401" t="inlineStr">
        <is>
          <t>Home/Self-Care</t>
        </is>
      </c>
      <c r="N2401" t="inlineStr">
        <is>
          <t>Evergreen Mutual Insurance</t>
        </is>
      </c>
      <c r="O2401" s="31" t="n">
        <v>125.83</v>
      </c>
    </row>
    <row r="2402">
      <c r="A2402" t="inlineStr">
        <is>
          <t>ENC120542</t>
        </is>
      </c>
      <c r="B2402" t="inlineStr">
        <is>
          <t>PT10104</t>
        </is>
      </c>
      <c r="C2402" t="inlineStr">
        <is>
          <t>Outpatient</t>
        </is>
      </c>
      <c r="D2402" t="inlineStr">
        <is>
          <t>Bluestone Outpatient Pavilion</t>
        </is>
      </c>
      <c r="E2402" t="inlineStr">
        <is>
          <t>Infusion &amp; Oncology Clinic</t>
        </is>
      </c>
      <c r="F2402" t="inlineStr">
        <is>
          <t>Oncology</t>
        </is>
      </c>
      <c r="G2402" s="29" t="n">
        <v>45985</v>
      </c>
      <c r="H2402" s="29" t="n">
        <v>45985</v>
      </c>
      <c r="I2402" s="30" t="n"/>
      <c r="J2402" t="inlineStr">
        <is>
          <t>Z51.11</t>
        </is>
      </c>
      <c r="K2402" t="inlineStr">
        <is>
          <t>Encounter for antineoplastic chemotherapy</t>
        </is>
      </c>
      <c r="L2402" t="inlineStr">
        <is>
          <t>Factors Influencing Health</t>
        </is>
      </c>
      <c r="M2402" t="inlineStr">
        <is>
          <t>Home/Self-Care</t>
        </is>
      </c>
      <c r="N2402" t="inlineStr">
        <is>
          <t>State Medicaid</t>
        </is>
      </c>
      <c r="O2402" s="31" t="n">
        <v>6805.34</v>
      </c>
    </row>
    <row r="2403">
      <c r="A2403" t="inlineStr">
        <is>
          <t>ENC120545</t>
        </is>
      </c>
      <c r="B2403" t="inlineStr">
        <is>
          <t>PT11868</t>
        </is>
      </c>
      <c r="C2403" t="inlineStr">
        <is>
          <t>Outpatient</t>
        </is>
      </c>
      <c r="D2403" t="inlineStr">
        <is>
          <t>Bluestone Outpatient Pavilion</t>
        </is>
      </c>
      <c r="E2403" t="inlineStr">
        <is>
          <t>Primary Care Clinic</t>
        </is>
      </c>
      <c r="F2403" t="inlineStr">
        <is>
          <t>Ambulatory</t>
        </is>
      </c>
      <c r="G2403" s="29" t="n">
        <v>45985</v>
      </c>
      <c r="H2403" s="29" t="n">
        <v>45985</v>
      </c>
      <c r="I2403" s="30" t="n"/>
      <c r="J2403" t="inlineStr">
        <is>
          <t>J06.9</t>
        </is>
      </c>
      <c r="K2403" t="inlineStr">
        <is>
          <t>Acute upper respiratory infection, unspecified</t>
        </is>
      </c>
      <c r="L2403" t="inlineStr">
        <is>
          <t>Respiratory</t>
        </is>
      </c>
      <c r="M2403" t="inlineStr">
        <is>
          <t>Home/Self-Care</t>
        </is>
      </c>
      <c r="N2403" t="inlineStr">
        <is>
          <t>State Medicaid</t>
        </is>
      </c>
      <c r="O2403" s="31" t="n">
        <v>288.08</v>
      </c>
    </row>
    <row r="2404">
      <c r="A2404" t="inlineStr">
        <is>
          <t>ENC120561</t>
        </is>
      </c>
      <c r="B2404" t="inlineStr">
        <is>
          <t>PT10476</t>
        </is>
      </c>
      <c r="C2404" t="inlineStr">
        <is>
          <t>Outpatient</t>
        </is>
      </c>
      <c r="D2404" t="inlineStr">
        <is>
          <t>Bluestone Outpatient Pavilion</t>
        </is>
      </c>
      <c r="E2404" t="inlineStr">
        <is>
          <t>Endocrinology &amp; Diabetes Clinic</t>
        </is>
      </c>
      <c r="F2404" t="inlineStr">
        <is>
          <t>Ambulatory</t>
        </is>
      </c>
      <c r="G2404" s="29" t="n">
        <v>45986</v>
      </c>
      <c r="H2404" s="29" t="n">
        <v>45986</v>
      </c>
      <c r="I2404" s="30" t="n"/>
      <c r="J2404" t="inlineStr">
        <is>
          <t>E11.9</t>
        </is>
      </c>
      <c r="K2404" t="inlineStr">
        <is>
          <t>Type 2 diabetes mellitus without complications</t>
        </is>
      </c>
      <c r="L2404" t="inlineStr">
        <is>
          <t>Endocrine</t>
        </is>
      </c>
      <c r="M2404" t="inlineStr">
        <is>
          <t>Home/Self-Care</t>
        </is>
      </c>
      <c r="N2404" t="inlineStr">
        <is>
          <t>State Medicaid</t>
        </is>
      </c>
      <c r="O2404" s="31" t="n">
        <v>355.37</v>
      </c>
    </row>
    <row r="2405">
      <c r="A2405" t="inlineStr">
        <is>
          <t>ENC120566</t>
        </is>
      </c>
      <c r="B2405" t="inlineStr">
        <is>
          <t>PT13452</t>
        </is>
      </c>
      <c r="C2405" t="inlineStr">
        <is>
          <t>Emergency</t>
        </is>
      </c>
      <c r="D2405" t="inlineStr">
        <is>
          <t>Bluestone Memorial Hospital</t>
        </is>
      </c>
      <c r="E2405" t="inlineStr">
        <is>
          <t>Emergency Department</t>
        </is>
      </c>
      <c r="F2405" t="inlineStr">
        <is>
          <t>Emergency</t>
        </is>
      </c>
      <c r="G2405" s="29" t="n">
        <v>45986</v>
      </c>
      <c r="H2405" s="29" t="n">
        <v>45986</v>
      </c>
      <c r="I2405" s="30" t="n"/>
      <c r="J2405" t="inlineStr">
        <is>
          <t>R10.9</t>
        </is>
      </c>
      <c r="K2405" t="inlineStr">
        <is>
          <t>Unspecified abdominal pain</t>
        </is>
      </c>
      <c r="L2405" t="inlineStr">
        <is>
          <t>Symptoms &amp; Signs</t>
        </is>
      </c>
      <c r="M2405" t="inlineStr">
        <is>
          <t>Home/Self-Care</t>
        </is>
      </c>
      <c r="N2405" t="inlineStr">
        <is>
          <t>State Medicaid</t>
        </is>
      </c>
      <c r="O2405" s="31" t="n">
        <v>1748.85</v>
      </c>
    </row>
    <row r="2406">
      <c r="A2406" t="inlineStr">
        <is>
          <t>ENC120569</t>
        </is>
      </c>
      <c r="B2406" t="inlineStr">
        <is>
          <t>PT11948</t>
        </is>
      </c>
      <c r="C2406" t="inlineStr">
        <is>
          <t>Emergency</t>
        </is>
      </c>
      <c r="D2406" t="inlineStr">
        <is>
          <t>Ashby Falls Community Hospital</t>
        </is>
      </c>
      <c r="E2406" t="inlineStr">
        <is>
          <t>Emergency Department</t>
        </is>
      </c>
      <c r="F2406" t="inlineStr">
        <is>
          <t>Emergency</t>
        </is>
      </c>
      <c r="G2406" s="29" t="n">
        <v>45986</v>
      </c>
      <c r="H2406" s="29" t="n">
        <v>45986</v>
      </c>
      <c r="I2406" s="30" t="n"/>
      <c r="J2406" t="inlineStr">
        <is>
          <t>J06.9</t>
        </is>
      </c>
      <c r="K2406" t="inlineStr">
        <is>
          <t>Acute upper respiratory infection, unspecified</t>
        </is>
      </c>
      <c r="L2406" t="inlineStr">
        <is>
          <t>Respiratory</t>
        </is>
      </c>
      <c r="M2406" t="inlineStr">
        <is>
          <t>Home/Self-Care</t>
        </is>
      </c>
      <c r="N2406" t="inlineStr">
        <is>
          <t>Medicare</t>
        </is>
      </c>
      <c r="O2406" s="31" t="n">
        <v>1556.5</v>
      </c>
    </row>
    <row r="2407">
      <c r="A2407" t="inlineStr">
        <is>
          <t>ENC120574</t>
        </is>
      </c>
      <c r="B2407" t="inlineStr">
        <is>
          <t>PT11832</t>
        </is>
      </c>
      <c r="C2407" t="inlineStr">
        <is>
          <t>Emergency</t>
        </is>
      </c>
      <c r="D2407" t="inlineStr">
        <is>
          <t>Cedar Ridge Medical Center</t>
        </is>
      </c>
      <c r="E2407" t="inlineStr">
        <is>
          <t>Emergency Department</t>
        </is>
      </c>
      <c r="F2407" t="inlineStr">
        <is>
          <t>Emergency</t>
        </is>
      </c>
      <c r="G2407" s="29" t="n">
        <v>45986</v>
      </c>
      <c r="H2407" s="29" t="n">
        <v>45986</v>
      </c>
      <c r="I2407" s="30" t="n"/>
      <c r="J2407" t="inlineStr">
        <is>
          <t>R07.9</t>
        </is>
      </c>
      <c r="K2407" t="inlineStr">
        <is>
          <t>Chest pain, unspecified</t>
        </is>
      </c>
      <c r="L2407" t="inlineStr">
        <is>
          <t>Symptoms &amp; Signs</t>
        </is>
      </c>
      <c r="M2407" t="inlineStr">
        <is>
          <t>Home/Self-Care</t>
        </is>
      </c>
      <c r="N2407" t="inlineStr">
        <is>
          <t>State Medicaid</t>
        </is>
      </c>
      <c r="O2407" s="31" t="n">
        <v>2997.87</v>
      </c>
    </row>
    <row r="2408">
      <c r="A2408" t="inlineStr">
        <is>
          <t>ENC120580</t>
        </is>
      </c>
      <c r="B2408" t="inlineStr">
        <is>
          <t>PT10520</t>
        </is>
      </c>
      <c r="C2408" t="inlineStr">
        <is>
          <t>Outpatient</t>
        </is>
      </c>
      <c r="D2408" t="inlineStr">
        <is>
          <t>Bluestone Outpatient Pavilion</t>
        </is>
      </c>
      <c r="E2408" t="inlineStr">
        <is>
          <t>Primary Care Clinic</t>
        </is>
      </c>
      <c r="F2408" t="inlineStr">
        <is>
          <t>Ambulatory</t>
        </is>
      </c>
      <c r="G2408" s="29" t="n">
        <v>45986</v>
      </c>
      <c r="H2408" s="29" t="n">
        <v>45986</v>
      </c>
      <c r="I2408" s="30" t="n"/>
      <c r="J2408" t="inlineStr">
        <is>
          <t>A08.4</t>
        </is>
      </c>
      <c r="K2408" t="inlineStr">
        <is>
          <t>Viral intestinal infection, unspecified</t>
        </is>
      </c>
      <c r="L2408" t="inlineStr">
        <is>
          <t>Infectious</t>
        </is>
      </c>
      <c r="M2408" t="inlineStr">
        <is>
          <t>Home/Self-Care</t>
        </is>
      </c>
      <c r="N2408" t="inlineStr">
        <is>
          <t>Silverline Medicare Advantage</t>
        </is>
      </c>
      <c r="O2408" s="31" t="n">
        <v>168.21</v>
      </c>
    </row>
    <row r="2409">
      <c r="A2409" t="inlineStr">
        <is>
          <t>ENC120581</t>
        </is>
      </c>
      <c r="B2409" t="inlineStr">
        <is>
          <t>PT11800</t>
        </is>
      </c>
      <c r="C2409" t="inlineStr">
        <is>
          <t>Outpatient</t>
        </is>
      </c>
      <c r="D2409" t="inlineStr">
        <is>
          <t>Bluestone Outpatient Pavilion</t>
        </is>
      </c>
      <c r="E2409" t="inlineStr">
        <is>
          <t>Primary Care Clinic</t>
        </is>
      </c>
      <c r="F2409" t="inlineStr">
        <is>
          <t>Ambulatory</t>
        </is>
      </c>
      <c r="G2409" s="29" t="n">
        <v>45986</v>
      </c>
      <c r="H2409" s="29" t="n">
        <v>45986</v>
      </c>
      <c r="I2409" s="30" t="n"/>
      <c r="J2409" t="inlineStr">
        <is>
          <t>E78.5</t>
        </is>
      </c>
      <c r="K2409" t="inlineStr">
        <is>
          <t>Hyperlipidemia, unspecified</t>
        </is>
      </c>
      <c r="L2409" t="inlineStr">
        <is>
          <t>Endocrine</t>
        </is>
      </c>
      <c r="M2409" t="inlineStr">
        <is>
          <t>Home/Self-Care</t>
        </is>
      </c>
      <c r="N2409" t="inlineStr">
        <is>
          <t>Medicare</t>
        </is>
      </c>
      <c r="O2409" s="31" t="n">
        <v>303.76</v>
      </c>
    </row>
    <row r="2410">
      <c r="A2410" t="inlineStr">
        <is>
          <t>ENC120583</t>
        </is>
      </c>
      <c r="B2410" t="inlineStr">
        <is>
          <t>PT10900</t>
        </is>
      </c>
      <c r="C2410" t="inlineStr">
        <is>
          <t>Outpatient</t>
        </is>
      </c>
      <c r="D2410" t="inlineStr">
        <is>
          <t>Bluestone Outpatient Pavilion</t>
        </is>
      </c>
      <c r="E2410" t="inlineStr">
        <is>
          <t>Primary Care Clinic</t>
        </is>
      </c>
      <c r="F2410" t="inlineStr">
        <is>
          <t>Ambulatory</t>
        </is>
      </c>
      <c r="G2410" s="29" t="n">
        <v>45986</v>
      </c>
      <c r="H2410" s="29" t="n">
        <v>45986</v>
      </c>
      <c r="I2410" s="30" t="n"/>
      <c r="J2410" t="inlineStr">
        <is>
          <t>I10</t>
        </is>
      </c>
      <c r="K2410" t="inlineStr">
        <is>
          <t>Essential (primary) hypertension</t>
        </is>
      </c>
      <c r="L2410" t="inlineStr">
        <is>
          <t>Circulatory</t>
        </is>
      </c>
      <c r="M2410" t="inlineStr">
        <is>
          <t>Home/Self-Care</t>
        </is>
      </c>
      <c r="N2410" t="inlineStr">
        <is>
          <t>Silverline Medicare Advantage</t>
        </is>
      </c>
      <c r="O2410" s="31" t="n">
        <v>227.37</v>
      </c>
    </row>
    <row r="2411">
      <c r="A2411" t="inlineStr">
        <is>
          <t>ENC120584</t>
        </is>
      </c>
      <c r="B2411" t="inlineStr">
        <is>
          <t>PT10364</t>
        </is>
      </c>
      <c r="C2411" t="inlineStr">
        <is>
          <t>Inpatient</t>
        </is>
      </c>
      <c r="D2411" t="inlineStr">
        <is>
          <t>Bluestone Memorial Hospital</t>
        </is>
      </c>
      <c r="E2411" t="inlineStr">
        <is>
          <t>Medical-Surgical 4 West</t>
        </is>
      </c>
      <c r="F2411" t="inlineStr">
        <is>
          <t>Medicine</t>
        </is>
      </c>
      <c r="G2411" s="29" t="n">
        <v>45986</v>
      </c>
      <c r="H2411" s="29" t="n">
        <v>45991</v>
      </c>
      <c r="I2411" s="30" t="n">
        <v>5</v>
      </c>
      <c r="J2411" t="inlineStr">
        <is>
          <t>J44.1</t>
        </is>
      </c>
      <c r="K2411" t="inlineStr">
        <is>
          <t>Chronic obstructive pulmonary disease with (acute) exacerbation</t>
        </is>
      </c>
      <c r="L2411" t="inlineStr">
        <is>
          <t>Respiratory</t>
        </is>
      </c>
      <c r="M2411" t="inlineStr">
        <is>
          <t>Home/Self-Care</t>
        </is>
      </c>
      <c r="N2411" t="inlineStr">
        <is>
          <t>Medicare</t>
        </is>
      </c>
      <c r="O2411" s="31" t="n">
        <v>20355.66</v>
      </c>
      <c r="P2411" t="inlineStr">
        <is>
          <t>N</t>
        </is>
      </c>
    </row>
    <row r="2412">
      <c r="A2412" t="inlineStr">
        <is>
          <t>ENC120591</t>
        </is>
      </c>
      <c r="B2412" t="inlineStr">
        <is>
          <t>PT11820</t>
        </is>
      </c>
      <c r="C2412" t="inlineStr">
        <is>
          <t>Outpatient</t>
        </is>
      </c>
      <c r="D2412" t="inlineStr">
        <is>
          <t>Bluestone Outpatient Pavilion</t>
        </is>
      </c>
      <c r="E2412" t="inlineStr">
        <is>
          <t>Endocrinology &amp; Diabetes Clinic</t>
        </is>
      </c>
      <c r="F2412" t="inlineStr">
        <is>
          <t>Ambulatory</t>
        </is>
      </c>
      <c r="G2412" s="29" t="n">
        <v>45987</v>
      </c>
      <c r="H2412" s="29" t="n">
        <v>45987</v>
      </c>
      <c r="I2412" s="30" t="n"/>
      <c r="J2412" t="inlineStr">
        <is>
          <t>E11.9</t>
        </is>
      </c>
      <c r="K2412" t="inlineStr">
        <is>
          <t>Type 2 diabetes mellitus without complications</t>
        </is>
      </c>
      <c r="L2412" t="inlineStr">
        <is>
          <t>Endocrine</t>
        </is>
      </c>
      <c r="M2412" t="inlineStr">
        <is>
          <t>Home/Self-Care</t>
        </is>
      </c>
      <c r="N2412" t="inlineStr">
        <is>
          <t>Silverline Medicare Advantage</t>
        </is>
      </c>
      <c r="O2412" s="31" t="n">
        <v>617.14</v>
      </c>
    </row>
    <row r="2413">
      <c r="A2413" t="inlineStr">
        <is>
          <t>ENC120597</t>
        </is>
      </c>
      <c r="B2413" t="inlineStr">
        <is>
          <t>PT11488</t>
        </is>
      </c>
      <c r="C2413" t="inlineStr">
        <is>
          <t>Outpatient</t>
        </is>
      </c>
      <c r="D2413" t="inlineStr">
        <is>
          <t>Bluestone Outpatient Pavilion</t>
        </is>
      </c>
      <c r="E2413" t="inlineStr">
        <is>
          <t>Orthopedic Clinic</t>
        </is>
      </c>
      <c r="F2413" t="inlineStr">
        <is>
          <t>Orthopedics</t>
        </is>
      </c>
      <c r="G2413" s="29" t="n">
        <v>45987</v>
      </c>
      <c r="H2413" s="29" t="n">
        <v>45987</v>
      </c>
      <c r="I2413" s="30" t="n"/>
      <c r="J2413" t="inlineStr">
        <is>
          <t>M16.11</t>
        </is>
      </c>
      <c r="K2413" t="inlineStr">
        <is>
          <t>Unilateral primary osteoarthritis, right hip</t>
        </is>
      </c>
      <c r="L2413" t="inlineStr">
        <is>
          <t>Musculoskeletal</t>
        </is>
      </c>
      <c r="M2413" t="inlineStr">
        <is>
          <t>Home/Self-Care</t>
        </is>
      </c>
      <c r="N2413" t="inlineStr">
        <is>
          <t>Self-Pay</t>
        </is>
      </c>
      <c r="O2413" s="31" t="n">
        <v>383.94</v>
      </c>
    </row>
    <row r="2414">
      <c r="A2414" t="inlineStr">
        <is>
          <t>ENC120599</t>
        </is>
      </c>
      <c r="B2414" t="inlineStr">
        <is>
          <t>PT13844</t>
        </is>
      </c>
      <c r="C2414" t="inlineStr">
        <is>
          <t>Outpatient</t>
        </is>
      </c>
      <c r="D2414" t="inlineStr">
        <is>
          <t>Bluestone Outpatient Pavilion</t>
        </is>
      </c>
      <c r="E2414" t="inlineStr">
        <is>
          <t>Orthopedic Clinic</t>
        </is>
      </c>
      <c r="F2414" t="inlineStr">
        <is>
          <t>Orthopedics</t>
        </is>
      </c>
      <c r="G2414" s="29" t="n">
        <v>45987</v>
      </c>
      <c r="H2414" s="29" t="n">
        <v>45987</v>
      </c>
      <c r="I2414" s="30" t="n"/>
      <c r="J2414" t="inlineStr">
        <is>
          <t>M17.11</t>
        </is>
      </c>
      <c r="K2414" t="inlineStr">
        <is>
          <t>Unilateral primary osteoarthritis, right knee</t>
        </is>
      </c>
      <c r="L2414" t="inlineStr">
        <is>
          <t>Musculoskeletal</t>
        </is>
      </c>
      <c r="M2414" t="inlineStr">
        <is>
          <t>Home/Self-Care</t>
        </is>
      </c>
      <c r="N2414" t="inlineStr">
        <is>
          <t>State Medicaid</t>
        </is>
      </c>
      <c r="O2414" s="31" t="n">
        <v>194.08</v>
      </c>
    </row>
    <row r="2415">
      <c r="A2415" t="inlineStr">
        <is>
          <t>ENC120606</t>
        </is>
      </c>
      <c r="B2415" t="inlineStr">
        <is>
          <t>PT12888</t>
        </is>
      </c>
      <c r="C2415" t="inlineStr">
        <is>
          <t>Outpatient</t>
        </is>
      </c>
      <c r="D2415" t="inlineStr">
        <is>
          <t>Bluestone Outpatient Pavilion</t>
        </is>
      </c>
      <c r="E2415" t="inlineStr">
        <is>
          <t>Cardiology Clinic</t>
        </is>
      </c>
      <c r="F2415" t="inlineStr">
        <is>
          <t>Cardiovascular</t>
        </is>
      </c>
      <c r="G2415" s="29" t="n">
        <v>45987</v>
      </c>
      <c r="H2415" s="29" t="n">
        <v>45987</v>
      </c>
      <c r="I2415" s="30" t="n"/>
      <c r="J2415" t="inlineStr">
        <is>
          <t>I48.91</t>
        </is>
      </c>
      <c r="K2415" t="inlineStr">
        <is>
          <t>Unspecified atrial fibrillation</t>
        </is>
      </c>
      <c r="L2415" t="inlineStr">
        <is>
          <t>Circulatory</t>
        </is>
      </c>
      <c r="M2415" t="inlineStr">
        <is>
          <t>Home/Self-Care</t>
        </is>
      </c>
      <c r="N2415" t="inlineStr">
        <is>
          <t>Evergreen Mutual Insurance</t>
        </is>
      </c>
      <c r="O2415" s="31" t="n">
        <v>197.85</v>
      </c>
    </row>
    <row r="2416">
      <c r="A2416" t="inlineStr">
        <is>
          <t>ENC120609</t>
        </is>
      </c>
      <c r="B2416" t="inlineStr">
        <is>
          <t>PT13788</t>
        </is>
      </c>
      <c r="C2416" t="inlineStr">
        <is>
          <t>Emergency</t>
        </is>
      </c>
      <c r="D2416" t="inlineStr">
        <is>
          <t>Bluestone Memorial Hospital</t>
        </is>
      </c>
      <c r="E2416" t="inlineStr">
        <is>
          <t>Emergency Department</t>
        </is>
      </c>
      <c r="F2416" t="inlineStr">
        <is>
          <t>Emergency</t>
        </is>
      </c>
      <c r="G2416" s="29" t="n">
        <v>45987</v>
      </c>
      <c r="H2416" s="29" t="n">
        <v>45987</v>
      </c>
      <c r="I2416" s="30" t="n"/>
      <c r="J2416" t="inlineStr">
        <is>
          <t>I48.91</t>
        </is>
      </c>
      <c r="K2416" t="inlineStr">
        <is>
          <t>Unspecified atrial fibrillation</t>
        </is>
      </c>
      <c r="L2416" t="inlineStr">
        <is>
          <t>Circulatory</t>
        </is>
      </c>
      <c r="M2416" t="inlineStr">
        <is>
          <t>Home/Self-Care</t>
        </is>
      </c>
      <c r="N2416" t="inlineStr">
        <is>
          <t>Silverline Medicare Advantage</t>
        </is>
      </c>
      <c r="O2416" s="31" t="n">
        <v>3563.44</v>
      </c>
    </row>
    <row r="2417">
      <c r="A2417" t="inlineStr">
        <is>
          <t>ENC120619</t>
        </is>
      </c>
      <c r="B2417" t="inlineStr">
        <is>
          <t>PT12212</t>
        </is>
      </c>
      <c r="C2417" t="inlineStr">
        <is>
          <t>Outpatient</t>
        </is>
      </c>
      <c r="D2417" t="inlineStr">
        <is>
          <t>Bluestone Outpatient Pavilion</t>
        </is>
      </c>
      <c r="E2417" t="inlineStr">
        <is>
          <t>Pediatric Clinic</t>
        </is>
      </c>
      <c r="F2417" t="inlineStr">
        <is>
          <t>Women &amp; Children</t>
        </is>
      </c>
      <c r="G2417" s="29" t="n">
        <v>45988</v>
      </c>
      <c r="H2417" s="29" t="n">
        <v>45988</v>
      </c>
      <c r="I2417" s="30" t="n"/>
      <c r="J2417" t="inlineStr">
        <is>
          <t>Z00.129</t>
        </is>
      </c>
      <c r="K2417" t="inlineStr">
        <is>
          <t>Encounter for routine child health examination without abnormal findings</t>
        </is>
      </c>
      <c r="L2417" t="inlineStr">
        <is>
          <t>Factors Influencing Health</t>
        </is>
      </c>
      <c r="M2417" t="inlineStr">
        <is>
          <t>Home/Self-Care</t>
        </is>
      </c>
      <c r="N2417" t="inlineStr">
        <is>
          <t>State Medicaid</t>
        </is>
      </c>
      <c r="O2417" s="31" t="n">
        <v>363.05</v>
      </c>
    </row>
    <row r="2418">
      <c r="A2418" t="inlineStr">
        <is>
          <t>ENC120622</t>
        </is>
      </c>
      <c r="B2418" t="inlineStr">
        <is>
          <t>PT13912</t>
        </is>
      </c>
      <c r="C2418" t="inlineStr">
        <is>
          <t>Outpatient</t>
        </is>
      </c>
      <c r="D2418" t="inlineStr">
        <is>
          <t>Bluestone Outpatient Pavilion</t>
        </is>
      </c>
      <c r="E2418" t="inlineStr">
        <is>
          <t>Pediatric Clinic</t>
        </is>
      </c>
      <c r="F2418" t="inlineStr">
        <is>
          <t>Women &amp; Children</t>
        </is>
      </c>
      <c r="G2418" s="29" t="n">
        <v>45988</v>
      </c>
      <c r="H2418" s="29" t="n">
        <v>45988</v>
      </c>
      <c r="I2418" s="30" t="n"/>
      <c r="J2418" t="inlineStr">
        <is>
          <t>Z00.129</t>
        </is>
      </c>
      <c r="K2418" t="inlineStr">
        <is>
          <t>Encounter for routine child health examination without abnormal findings</t>
        </is>
      </c>
      <c r="L2418" t="inlineStr">
        <is>
          <t>Factors Influencing Health</t>
        </is>
      </c>
      <c r="M2418" t="inlineStr">
        <is>
          <t>Home/Self-Care</t>
        </is>
      </c>
      <c r="N2418" t="inlineStr">
        <is>
          <t>State Medicaid</t>
        </is>
      </c>
      <c r="O2418" s="31" t="n">
        <v>209.9</v>
      </c>
    </row>
    <row r="2419">
      <c r="A2419" t="inlineStr">
        <is>
          <t>ENC120625</t>
        </is>
      </c>
      <c r="B2419" t="inlineStr">
        <is>
          <t>PT12744</t>
        </is>
      </c>
      <c r="C2419" t="inlineStr">
        <is>
          <t>Outpatient</t>
        </is>
      </c>
      <c r="D2419" t="inlineStr">
        <is>
          <t>Bluestone Outpatient Pavilion</t>
        </is>
      </c>
      <c r="E2419" t="inlineStr">
        <is>
          <t>Infusion &amp; Oncology Clinic</t>
        </is>
      </c>
      <c r="F2419" t="inlineStr">
        <is>
          <t>Oncology</t>
        </is>
      </c>
      <c r="G2419" s="29" t="n">
        <v>45988</v>
      </c>
      <c r="H2419" s="29" t="n">
        <v>45988</v>
      </c>
      <c r="I2419" s="30" t="n"/>
      <c r="J2419" t="inlineStr">
        <is>
          <t>C50.911</t>
        </is>
      </c>
      <c r="K2419" t="inlineStr">
        <is>
          <t>Malignant neoplasm of unspecified site of right female breast</t>
        </is>
      </c>
      <c r="L2419" t="inlineStr">
        <is>
          <t>Neoplasms</t>
        </is>
      </c>
      <c r="M2419" t="inlineStr">
        <is>
          <t>Home/Self-Care</t>
        </is>
      </c>
      <c r="N2419" t="inlineStr">
        <is>
          <t>State Medicaid</t>
        </is>
      </c>
      <c r="O2419" s="31" t="n">
        <v>573.12</v>
      </c>
    </row>
    <row r="2420">
      <c r="A2420" t="inlineStr">
        <is>
          <t>ENC120630</t>
        </is>
      </c>
      <c r="B2420" t="inlineStr">
        <is>
          <t>PT12180</t>
        </is>
      </c>
      <c r="C2420" t="inlineStr">
        <is>
          <t>Emergency</t>
        </is>
      </c>
      <c r="D2420" t="inlineStr">
        <is>
          <t>Bluestone Memorial Hospital</t>
        </is>
      </c>
      <c r="E2420" t="inlineStr">
        <is>
          <t>Emergency Department</t>
        </is>
      </c>
      <c r="F2420" t="inlineStr">
        <is>
          <t>Emergency</t>
        </is>
      </c>
      <c r="G2420" s="29" t="n">
        <v>45988</v>
      </c>
      <c r="H2420" s="29" t="n">
        <v>45988</v>
      </c>
      <c r="I2420" s="30" t="n"/>
      <c r="J2420" t="inlineStr">
        <is>
          <t>R10.9</t>
        </is>
      </c>
      <c r="K2420" t="inlineStr">
        <is>
          <t>Unspecified abdominal pain</t>
        </is>
      </c>
      <c r="L2420" t="inlineStr">
        <is>
          <t>Symptoms &amp; Signs</t>
        </is>
      </c>
      <c r="M2420" t="inlineStr">
        <is>
          <t>Home/Self-Care</t>
        </is>
      </c>
      <c r="N2420" t="inlineStr">
        <is>
          <t>Silverline Medicare Advantage</t>
        </is>
      </c>
      <c r="O2420" s="31" t="n">
        <v>3796.39</v>
      </c>
    </row>
    <row r="2421">
      <c r="A2421" t="inlineStr">
        <is>
          <t>ENC120632</t>
        </is>
      </c>
      <c r="B2421" t="inlineStr">
        <is>
          <t>PT12616</t>
        </is>
      </c>
      <c r="C2421" t="inlineStr">
        <is>
          <t>Outpatient</t>
        </is>
      </c>
      <c r="D2421" t="inlineStr">
        <is>
          <t>Bluestone Outpatient Pavilion</t>
        </is>
      </c>
      <c r="E2421" t="inlineStr">
        <is>
          <t>Primary Care Clinic</t>
        </is>
      </c>
      <c r="F2421" t="inlineStr">
        <is>
          <t>Ambulatory</t>
        </is>
      </c>
      <c r="G2421" s="29" t="n">
        <v>45988</v>
      </c>
      <c r="H2421" s="29" t="n">
        <v>45988</v>
      </c>
      <c r="I2421" s="30" t="n"/>
      <c r="J2421" t="inlineStr">
        <is>
          <t>Z23</t>
        </is>
      </c>
      <c r="K2421" t="inlineStr">
        <is>
          <t>Encounter for immunization</t>
        </is>
      </c>
      <c r="L2421" t="inlineStr">
        <is>
          <t>Factors Influencing Health</t>
        </is>
      </c>
      <c r="M2421" t="inlineStr">
        <is>
          <t>Home/Self-Care</t>
        </is>
      </c>
      <c r="N2421" t="inlineStr">
        <is>
          <t>State Medicaid</t>
        </is>
      </c>
      <c r="O2421" s="31" t="n">
        <v>128.83</v>
      </c>
    </row>
    <row r="2422">
      <c r="A2422" t="inlineStr">
        <is>
          <t>ENC120647</t>
        </is>
      </c>
      <c r="B2422" t="inlineStr">
        <is>
          <t>PT11464</t>
        </is>
      </c>
      <c r="C2422" t="inlineStr">
        <is>
          <t>Emergency</t>
        </is>
      </c>
      <c r="D2422" t="inlineStr">
        <is>
          <t>Bluestone Memorial Hospital</t>
        </is>
      </c>
      <c r="E2422" t="inlineStr">
        <is>
          <t>Emergency Department</t>
        </is>
      </c>
      <c r="F2422" t="inlineStr">
        <is>
          <t>Emergency</t>
        </is>
      </c>
      <c r="G2422" s="29" t="n">
        <v>45988</v>
      </c>
      <c r="H2422" s="29" t="n">
        <v>45988</v>
      </c>
      <c r="I2422" s="30" t="n"/>
      <c r="J2422" t="inlineStr">
        <is>
          <t>S93.401A</t>
        </is>
      </c>
      <c r="K2422" t="inlineStr">
        <is>
          <t>Sprain of unspecified ligament of right ankle, initial encounter</t>
        </is>
      </c>
      <c r="L2422" t="inlineStr">
        <is>
          <t>Injury</t>
        </is>
      </c>
      <c r="M2422" t="inlineStr">
        <is>
          <t>Home/Self-Care</t>
        </is>
      </c>
      <c r="N2422" t="inlineStr">
        <is>
          <t>Summit Choice PPO</t>
        </is>
      </c>
      <c r="O2422" s="31" t="n">
        <v>647.42</v>
      </c>
    </row>
    <row r="2423">
      <c r="A2423" t="inlineStr">
        <is>
          <t>ENC120648</t>
        </is>
      </c>
      <c r="B2423" t="inlineStr">
        <is>
          <t>PT12624</t>
        </is>
      </c>
      <c r="C2423" t="inlineStr">
        <is>
          <t>Inpatient</t>
        </is>
      </c>
      <c r="D2423" t="inlineStr">
        <is>
          <t>Ashby Falls Community Hospital</t>
        </is>
      </c>
      <c r="E2423" t="inlineStr">
        <is>
          <t>Medical-Surgical</t>
        </is>
      </c>
      <c r="F2423" t="inlineStr">
        <is>
          <t>Medicine</t>
        </is>
      </c>
      <c r="G2423" s="29" t="n">
        <v>45988</v>
      </c>
      <c r="H2423" s="29" t="n">
        <v>45998</v>
      </c>
      <c r="I2423" s="30" t="n">
        <v>10</v>
      </c>
      <c r="J2423" t="inlineStr">
        <is>
          <t>J44.1</t>
        </is>
      </c>
      <c r="K2423" t="inlineStr">
        <is>
          <t>Chronic obstructive pulmonary disease with (acute) exacerbation</t>
        </is>
      </c>
      <c r="L2423" t="inlineStr">
        <is>
          <t>Respiratory</t>
        </is>
      </c>
      <c r="M2423" t="inlineStr">
        <is>
          <t>Home/Self-Care</t>
        </is>
      </c>
      <c r="N2423" t="inlineStr">
        <is>
          <t>Medicare</t>
        </is>
      </c>
      <c r="O2423" s="31" t="n">
        <v>28386.47</v>
      </c>
      <c r="P2423" t="inlineStr">
        <is>
          <t>N</t>
        </is>
      </c>
    </row>
    <row r="2424">
      <c r="A2424" t="inlineStr">
        <is>
          <t>ENC120651</t>
        </is>
      </c>
      <c r="B2424" t="inlineStr">
        <is>
          <t>PT10856</t>
        </is>
      </c>
      <c r="C2424" t="inlineStr">
        <is>
          <t>Inpatient</t>
        </is>
      </c>
      <c r="D2424" t="inlineStr">
        <is>
          <t>Bluestone Memorial Hospital</t>
        </is>
      </c>
      <c r="E2424" t="inlineStr">
        <is>
          <t>Intensive Care Unit</t>
        </is>
      </c>
      <c r="F2424" t="inlineStr">
        <is>
          <t>Critical Care</t>
        </is>
      </c>
      <c r="G2424" s="29" t="n">
        <v>45989</v>
      </c>
      <c r="H2424" s="29" t="n">
        <v>45998</v>
      </c>
      <c r="I2424" s="30" t="n">
        <v>9</v>
      </c>
      <c r="J2424" t="inlineStr">
        <is>
          <t>J96.01</t>
        </is>
      </c>
      <c r="K2424" t="inlineStr">
        <is>
          <t>Acute respiratory failure with hypoxia</t>
        </is>
      </c>
      <c r="L2424" t="inlineStr">
        <is>
          <t>Respiratory</t>
        </is>
      </c>
      <c r="M2424" t="inlineStr">
        <is>
          <t>Home/Self-Care</t>
        </is>
      </c>
      <c r="N2424" t="inlineStr">
        <is>
          <t>Medicare</t>
        </is>
      </c>
      <c r="O2424" s="31" t="n">
        <v>90551.12</v>
      </c>
      <c r="P2424" t="inlineStr">
        <is>
          <t>N</t>
        </is>
      </c>
    </row>
    <row r="2425">
      <c r="A2425" t="inlineStr">
        <is>
          <t>ENC120653</t>
        </is>
      </c>
      <c r="B2425" t="inlineStr">
        <is>
          <t>PT10652</t>
        </is>
      </c>
      <c r="C2425" t="inlineStr">
        <is>
          <t>Inpatient</t>
        </is>
      </c>
      <c r="D2425" t="inlineStr">
        <is>
          <t>Bluestone Memorial Hospital</t>
        </is>
      </c>
      <c r="E2425" t="inlineStr">
        <is>
          <t>Pediatrics</t>
        </is>
      </c>
      <c r="F2425" t="inlineStr">
        <is>
          <t>Women &amp; Children</t>
        </is>
      </c>
      <c r="G2425" s="29" t="n">
        <v>45989</v>
      </c>
      <c r="H2425" s="29" t="n">
        <v>45992</v>
      </c>
      <c r="I2425" s="30" t="n">
        <v>3</v>
      </c>
      <c r="J2425" t="inlineStr">
        <is>
          <t>J21.9</t>
        </is>
      </c>
      <c r="K2425" t="inlineStr">
        <is>
          <t>Acute bronchiolitis, unspecified</t>
        </is>
      </c>
      <c r="L2425" t="inlineStr">
        <is>
          <t>Respiratory</t>
        </is>
      </c>
      <c r="M2425" t="inlineStr">
        <is>
          <t>Home/Self-Care</t>
        </is>
      </c>
      <c r="N2425" t="inlineStr">
        <is>
          <t>Evergreen Mutual Insurance</t>
        </is>
      </c>
      <c r="O2425" s="31" t="n">
        <v>22757.18</v>
      </c>
      <c r="P2425" t="inlineStr">
        <is>
          <t>N</t>
        </is>
      </c>
    </row>
    <row r="2426">
      <c r="A2426" t="inlineStr">
        <is>
          <t>ENC120654</t>
        </is>
      </c>
      <c r="B2426" t="inlineStr">
        <is>
          <t>PT12012</t>
        </is>
      </c>
      <c r="C2426" t="inlineStr">
        <is>
          <t>Inpatient</t>
        </is>
      </c>
      <c r="D2426" t="inlineStr">
        <is>
          <t>Bluestone Memorial Hospital</t>
        </is>
      </c>
      <c r="E2426" t="inlineStr">
        <is>
          <t>Medical-Surgical 4 West</t>
        </is>
      </c>
      <c r="F2426" t="inlineStr">
        <is>
          <t>Medicine</t>
        </is>
      </c>
      <c r="G2426" s="29" t="n">
        <v>45989</v>
      </c>
      <c r="H2426" s="29" t="n">
        <v>45990</v>
      </c>
      <c r="I2426" s="30" t="n">
        <v>1</v>
      </c>
      <c r="J2426" t="inlineStr">
        <is>
          <t>J18.9</t>
        </is>
      </c>
      <c r="K2426" t="inlineStr">
        <is>
          <t>Pneumonia, unspecified organism</t>
        </is>
      </c>
      <c r="L2426" t="inlineStr">
        <is>
          <t>Respiratory</t>
        </is>
      </c>
      <c r="M2426" t="inlineStr">
        <is>
          <t>Home Health</t>
        </is>
      </c>
      <c r="N2426" t="inlineStr">
        <is>
          <t>Evergreen Mutual Insurance</t>
        </is>
      </c>
      <c r="O2426" s="31" t="n">
        <v>9884.24</v>
      </c>
      <c r="P2426" t="inlineStr">
        <is>
          <t>N</t>
        </is>
      </c>
    </row>
    <row r="2427">
      <c r="A2427" t="inlineStr">
        <is>
          <t>ENC120656</t>
        </is>
      </c>
      <c r="B2427" t="inlineStr">
        <is>
          <t>PT13116</t>
        </is>
      </c>
      <c r="C2427" t="inlineStr">
        <is>
          <t>Inpatient</t>
        </is>
      </c>
      <c r="D2427" t="inlineStr">
        <is>
          <t>Cedar Ridge Medical Center</t>
        </is>
      </c>
      <c r="E2427" t="inlineStr">
        <is>
          <t>Medical-Surgical</t>
        </is>
      </c>
      <c r="F2427" t="inlineStr">
        <is>
          <t>Medicine</t>
        </is>
      </c>
      <c r="G2427" s="29" t="n">
        <v>45989</v>
      </c>
      <c r="H2427" s="29" t="n">
        <v>45992</v>
      </c>
      <c r="I2427" s="30" t="n">
        <v>3</v>
      </c>
      <c r="J2427" t="inlineStr">
        <is>
          <t>E87.1</t>
        </is>
      </c>
      <c r="K2427" t="inlineStr">
        <is>
          <t>Hypo-osmolality and hyponatremia</t>
        </is>
      </c>
      <c r="L2427" t="inlineStr">
        <is>
          <t>Endocrine</t>
        </is>
      </c>
      <c r="M2427" t="inlineStr">
        <is>
          <t>Home/Self-Care</t>
        </is>
      </c>
      <c r="N2427" t="inlineStr">
        <is>
          <t>Medicare</t>
        </is>
      </c>
      <c r="O2427" s="31" t="n">
        <v>13865</v>
      </c>
      <c r="P2427" t="inlineStr">
        <is>
          <t>N</t>
        </is>
      </c>
    </row>
    <row r="2428">
      <c r="A2428" t="inlineStr">
        <is>
          <t>ENC120657</t>
        </is>
      </c>
      <c r="B2428" t="inlineStr">
        <is>
          <t>PT11636</t>
        </is>
      </c>
      <c r="C2428" t="inlineStr">
        <is>
          <t>Outpatient</t>
        </is>
      </c>
      <c r="D2428" t="inlineStr">
        <is>
          <t>Bluestone Outpatient Pavilion</t>
        </is>
      </c>
      <c r="E2428" t="inlineStr">
        <is>
          <t>Cardiology Clinic</t>
        </is>
      </c>
      <c r="F2428" t="inlineStr">
        <is>
          <t>Cardiovascular</t>
        </is>
      </c>
      <c r="G2428" s="29" t="n">
        <v>45989</v>
      </c>
      <c r="H2428" s="29" t="n">
        <v>45989</v>
      </c>
      <c r="I2428" s="30" t="n"/>
      <c r="J2428" t="inlineStr">
        <is>
          <t>I50.9</t>
        </is>
      </c>
      <c r="K2428" t="inlineStr">
        <is>
          <t>Heart failure, unspecified</t>
        </is>
      </c>
      <c r="L2428" t="inlineStr">
        <is>
          <t>Circulatory</t>
        </is>
      </c>
      <c r="M2428" t="inlineStr">
        <is>
          <t>Home/Self-Care</t>
        </is>
      </c>
      <c r="N2428" t="inlineStr">
        <is>
          <t>Medicare</t>
        </is>
      </c>
      <c r="O2428" s="31" t="n">
        <v>218.61</v>
      </c>
    </row>
    <row r="2429">
      <c r="A2429" t="inlineStr">
        <is>
          <t>ENC120661</t>
        </is>
      </c>
      <c r="B2429" t="inlineStr">
        <is>
          <t>PT12888</t>
        </is>
      </c>
      <c r="C2429" t="inlineStr">
        <is>
          <t>Outpatient</t>
        </is>
      </c>
      <c r="D2429" t="inlineStr">
        <is>
          <t>Bluestone Outpatient Pavilion</t>
        </is>
      </c>
      <c r="E2429" t="inlineStr">
        <is>
          <t>Infusion &amp; Oncology Clinic</t>
        </is>
      </c>
      <c r="F2429" t="inlineStr">
        <is>
          <t>Oncology</t>
        </is>
      </c>
      <c r="G2429" s="29" t="n">
        <v>45989</v>
      </c>
      <c r="H2429" s="29" t="n">
        <v>45989</v>
      </c>
      <c r="I2429" s="30" t="n"/>
      <c r="J2429" t="inlineStr">
        <is>
          <t>Z51.11</t>
        </is>
      </c>
      <c r="K2429" t="inlineStr">
        <is>
          <t>Encounter for antineoplastic chemotherapy</t>
        </is>
      </c>
      <c r="L2429" t="inlineStr">
        <is>
          <t>Factors Influencing Health</t>
        </is>
      </c>
      <c r="M2429" t="inlineStr">
        <is>
          <t>Home/Self-Care</t>
        </is>
      </c>
      <c r="N2429" t="inlineStr">
        <is>
          <t>Evergreen Mutual Insurance</t>
        </is>
      </c>
      <c r="O2429" s="31" t="n">
        <v>12421.23</v>
      </c>
    </row>
    <row r="2430">
      <c r="A2430" t="inlineStr">
        <is>
          <t>ENC120669</t>
        </is>
      </c>
      <c r="B2430" t="inlineStr">
        <is>
          <t>PT11020</t>
        </is>
      </c>
      <c r="C2430" t="inlineStr">
        <is>
          <t>Outpatient</t>
        </is>
      </c>
      <c r="D2430" t="inlineStr">
        <is>
          <t>Bluestone Outpatient Pavilion</t>
        </is>
      </c>
      <c r="E2430" t="inlineStr">
        <is>
          <t>Pediatric Clinic</t>
        </is>
      </c>
      <c r="F2430" t="inlineStr">
        <is>
          <t>Women &amp; Children</t>
        </is>
      </c>
      <c r="G2430" s="29" t="n">
        <v>45989</v>
      </c>
      <c r="H2430" s="29" t="n">
        <v>45989</v>
      </c>
      <c r="I2430" s="30" t="n"/>
      <c r="J2430" t="inlineStr">
        <is>
          <t>Z00.129</t>
        </is>
      </c>
      <c r="K2430" t="inlineStr">
        <is>
          <t>Encounter for routine child health examination without abnormal findings</t>
        </is>
      </c>
      <c r="L2430" t="inlineStr">
        <is>
          <t>Factors Influencing Health</t>
        </is>
      </c>
      <c r="M2430" t="inlineStr">
        <is>
          <t>Home/Self-Care</t>
        </is>
      </c>
      <c r="N2430" t="inlineStr">
        <is>
          <t>State Medicaid</t>
        </is>
      </c>
      <c r="O2430" s="31" t="n">
        <v>206.7</v>
      </c>
    </row>
    <row r="2431">
      <c r="A2431" t="inlineStr">
        <is>
          <t>ENC120673</t>
        </is>
      </c>
      <c r="B2431" t="inlineStr">
        <is>
          <t>PT10764</t>
        </is>
      </c>
      <c r="C2431" t="inlineStr">
        <is>
          <t>Emergency</t>
        </is>
      </c>
      <c r="D2431" t="inlineStr">
        <is>
          <t>Bluestone Memorial Hospital</t>
        </is>
      </c>
      <c r="E2431" t="inlineStr">
        <is>
          <t>Emergency Department</t>
        </is>
      </c>
      <c r="F2431" t="inlineStr">
        <is>
          <t>Emergency</t>
        </is>
      </c>
      <c r="G2431" s="29" t="n">
        <v>45989</v>
      </c>
      <c r="H2431" s="29" t="n">
        <v>45989</v>
      </c>
      <c r="I2431" s="30" t="n"/>
      <c r="J2431" t="inlineStr">
        <is>
          <t>F32.9</t>
        </is>
      </c>
      <c r="K2431" t="inlineStr">
        <is>
          <t>Major depressive disorder, single episode, unspecified</t>
        </is>
      </c>
      <c r="L2431" t="inlineStr">
        <is>
          <t>Mental &amp; Behavioral</t>
        </is>
      </c>
      <c r="M2431" t="inlineStr">
        <is>
          <t>Home/Self-Care</t>
        </is>
      </c>
      <c r="N2431" t="inlineStr">
        <is>
          <t>Summit Choice PPO</t>
        </is>
      </c>
      <c r="O2431" s="31" t="n">
        <v>1425.36</v>
      </c>
    </row>
    <row r="2432">
      <c r="A2432" t="inlineStr">
        <is>
          <t>ENC120676</t>
        </is>
      </c>
      <c r="B2432" t="inlineStr">
        <is>
          <t>PT11884</t>
        </is>
      </c>
      <c r="C2432" t="inlineStr">
        <is>
          <t>Outpatient</t>
        </is>
      </c>
      <c r="D2432" t="inlineStr">
        <is>
          <t>Bluestone Outpatient Pavilion</t>
        </is>
      </c>
      <c r="E2432" t="inlineStr">
        <is>
          <t>Infusion &amp; Oncology Clinic</t>
        </is>
      </c>
      <c r="F2432" t="inlineStr">
        <is>
          <t>Oncology</t>
        </is>
      </c>
      <c r="G2432" s="29" t="n">
        <v>45989</v>
      </c>
      <c r="H2432" s="29" t="n">
        <v>45989</v>
      </c>
      <c r="I2432" s="30" t="n"/>
      <c r="J2432" t="inlineStr">
        <is>
          <t>C50.911</t>
        </is>
      </c>
      <c r="K2432" t="inlineStr">
        <is>
          <t>Malignant neoplasm of unspecified site of right female breast</t>
        </is>
      </c>
      <c r="L2432" t="inlineStr">
        <is>
          <t>Neoplasms</t>
        </is>
      </c>
      <c r="M2432" t="inlineStr">
        <is>
          <t>Home/Self-Care</t>
        </is>
      </c>
      <c r="N2432" t="inlineStr">
        <is>
          <t>Silverline Medicare Advantage</t>
        </is>
      </c>
      <c r="O2432" s="31" t="n">
        <v>702.9400000000001</v>
      </c>
    </row>
    <row r="2433">
      <c r="A2433" t="inlineStr">
        <is>
          <t>ENC120677</t>
        </is>
      </c>
      <c r="B2433" t="inlineStr">
        <is>
          <t>PT12288</t>
        </is>
      </c>
      <c r="C2433" t="inlineStr">
        <is>
          <t>Outpatient</t>
        </is>
      </c>
      <c r="D2433" t="inlineStr">
        <is>
          <t>Bluestone Outpatient Pavilion</t>
        </is>
      </c>
      <c r="E2433" t="inlineStr">
        <is>
          <t>Primary Care Clinic</t>
        </is>
      </c>
      <c r="F2433" t="inlineStr">
        <is>
          <t>Ambulatory</t>
        </is>
      </c>
      <c r="G2433" s="29" t="n">
        <v>45989</v>
      </c>
      <c r="H2433" s="29" t="n">
        <v>45989</v>
      </c>
      <c r="I2433" s="30" t="n"/>
      <c r="J2433" t="inlineStr">
        <is>
          <t>I10</t>
        </is>
      </c>
      <c r="K2433" t="inlineStr">
        <is>
          <t>Essential (primary) hypertension</t>
        </is>
      </c>
      <c r="L2433" t="inlineStr">
        <is>
          <t>Circulatory</t>
        </is>
      </c>
      <c r="M2433" t="inlineStr">
        <is>
          <t>Home/Self-Care</t>
        </is>
      </c>
      <c r="N2433" t="inlineStr">
        <is>
          <t>Summit Choice PPO</t>
        </is>
      </c>
      <c r="O2433" s="31" t="n">
        <v>407.32</v>
      </c>
    </row>
    <row r="2434">
      <c r="A2434" t="inlineStr">
        <is>
          <t>ENC120681</t>
        </is>
      </c>
      <c r="B2434" t="inlineStr">
        <is>
          <t>PT13548</t>
        </is>
      </c>
      <c r="C2434" t="inlineStr">
        <is>
          <t>Inpatient</t>
        </is>
      </c>
      <c r="D2434" t="inlineStr">
        <is>
          <t>Bluestone Memorial Hospital</t>
        </is>
      </c>
      <c r="E2434" t="inlineStr">
        <is>
          <t>Medical-Surgical 4 West</t>
        </is>
      </c>
      <c r="F2434" t="inlineStr">
        <is>
          <t>Medicine</t>
        </is>
      </c>
      <c r="G2434" s="29" t="n">
        <v>45989</v>
      </c>
      <c r="H2434" s="29" t="n">
        <v>45997</v>
      </c>
      <c r="I2434" s="30" t="n">
        <v>8</v>
      </c>
      <c r="J2434" t="inlineStr">
        <is>
          <t>J18.9</t>
        </is>
      </c>
      <c r="K2434" t="inlineStr">
        <is>
          <t>Pneumonia, unspecified organism</t>
        </is>
      </c>
      <c r="L2434" t="inlineStr">
        <is>
          <t>Respiratory</t>
        </is>
      </c>
      <c r="M2434" t="inlineStr">
        <is>
          <t>Home/Self-Care</t>
        </is>
      </c>
      <c r="N2434" t="inlineStr">
        <is>
          <t>Silverline Medicare Advantage</t>
        </is>
      </c>
      <c r="O2434" s="31" t="n">
        <v>42962.4</v>
      </c>
      <c r="P2434" t="inlineStr">
        <is>
          <t>N</t>
        </is>
      </c>
    </row>
    <row r="2435">
      <c r="A2435" t="inlineStr">
        <is>
          <t>ENC120682</t>
        </is>
      </c>
      <c r="B2435" t="inlineStr">
        <is>
          <t>PT12972</t>
        </is>
      </c>
      <c r="C2435" t="inlineStr">
        <is>
          <t>Inpatient</t>
        </is>
      </c>
      <c r="D2435" t="inlineStr">
        <is>
          <t>Bluestone Memorial Hospital</t>
        </is>
      </c>
      <c r="E2435" t="inlineStr">
        <is>
          <t>Medical-Surgical 5 East</t>
        </is>
      </c>
      <c r="F2435" t="inlineStr">
        <is>
          <t>Medicine</t>
        </is>
      </c>
      <c r="G2435" s="29" t="n">
        <v>45989</v>
      </c>
      <c r="H2435" s="29" t="n">
        <v>45993</v>
      </c>
      <c r="I2435" s="30" t="n">
        <v>4</v>
      </c>
      <c r="J2435" t="inlineStr">
        <is>
          <t>K35.80</t>
        </is>
      </c>
      <c r="K2435" t="inlineStr">
        <is>
          <t>Unspecified acute appendicitis</t>
        </is>
      </c>
      <c r="L2435" t="inlineStr">
        <is>
          <t>Digestive</t>
        </is>
      </c>
      <c r="M2435" t="inlineStr">
        <is>
          <t>Home/Self-Care</t>
        </is>
      </c>
      <c r="N2435" t="inlineStr">
        <is>
          <t>Medicare</t>
        </is>
      </c>
      <c r="O2435" s="31" t="n">
        <v>41805.71</v>
      </c>
      <c r="P2435" t="inlineStr">
        <is>
          <t>N</t>
        </is>
      </c>
    </row>
    <row r="2436">
      <c r="A2436" t="inlineStr">
        <is>
          <t>ENC120683</t>
        </is>
      </c>
      <c r="B2436" t="inlineStr">
        <is>
          <t>PT11952</t>
        </is>
      </c>
      <c r="C2436" t="inlineStr">
        <is>
          <t>Inpatient</t>
        </is>
      </c>
      <c r="D2436" t="inlineStr">
        <is>
          <t>Ashby Falls Community Hospital</t>
        </is>
      </c>
      <c r="E2436" t="inlineStr">
        <is>
          <t>Medical-Surgical</t>
        </is>
      </c>
      <c r="F2436" t="inlineStr">
        <is>
          <t>Medicine</t>
        </is>
      </c>
      <c r="G2436" s="29" t="n">
        <v>45989</v>
      </c>
      <c r="H2436" s="29" t="n">
        <v>45997</v>
      </c>
      <c r="I2436" s="30" t="n">
        <v>8</v>
      </c>
      <c r="J2436" t="inlineStr">
        <is>
          <t>K56.609</t>
        </is>
      </c>
      <c r="K2436" t="inlineStr">
        <is>
          <t>Unspecified intestinal obstruction</t>
        </is>
      </c>
      <c r="L2436" t="inlineStr">
        <is>
          <t>Digestive</t>
        </is>
      </c>
      <c r="M2436" t="inlineStr">
        <is>
          <t>Home Health</t>
        </is>
      </c>
      <c r="N2436" t="inlineStr">
        <is>
          <t>Silverline Medicare Advantage</t>
        </is>
      </c>
      <c r="O2436" s="31" t="n">
        <v>39568.78</v>
      </c>
      <c r="P2436" t="inlineStr">
        <is>
          <t>N</t>
        </is>
      </c>
    </row>
    <row r="2437">
      <c r="A2437" t="inlineStr">
        <is>
          <t>ENC120684</t>
        </is>
      </c>
      <c r="B2437" t="inlineStr">
        <is>
          <t>PT11228</t>
        </is>
      </c>
      <c r="C2437" t="inlineStr">
        <is>
          <t>Emergency</t>
        </is>
      </c>
      <c r="D2437" t="inlineStr">
        <is>
          <t>Bluestone Memorial Hospital</t>
        </is>
      </c>
      <c r="E2437" t="inlineStr">
        <is>
          <t>Emergency Department</t>
        </is>
      </c>
      <c r="F2437" t="inlineStr">
        <is>
          <t>Emergency</t>
        </is>
      </c>
      <c r="G2437" s="29" t="n">
        <v>45989</v>
      </c>
      <c r="H2437" s="29" t="n">
        <v>45989</v>
      </c>
      <c r="I2437" s="30" t="n"/>
      <c r="J2437" t="inlineStr">
        <is>
          <t>G43.909</t>
        </is>
      </c>
      <c r="K2437" t="inlineStr">
        <is>
          <t>Migraine, unspecified, not intractable, without status migrainosus</t>
        </is>
      </c>
      <c r="L2437" t="inlineStr">
        <is>
          <t>Nervous System</t>
        </is>
      </c>
      <c r="M2437" t="inlineStr">
        <is>
          <t>Home/Self-Care</t>
        </is>
      </c>
      <c r="N2437" t="inlineStr">
        <is>
          <t>Silverline Medicare Advantage</t>
        </is>
      </c>
      <c r="O2437" s="31" t="n">
        <v>2023.02</v>
      </c>
    </row>
    <row r="2438">
      <c r="A2438" t="inlineStr">
        <is>
          <t>ENC120688</t>
        </is>
      </c>
      <c r="B2438" t="inlineStr">
        <is>
          <t>PT11344</t>
        </is>
      </c>
      <c r="C2438" t="inlineStr">
        <is>
          <t>Inpatient</t>
        </is>
      </c>
      <c r="D2438" t="inlineStr">
        <is>
          <t>Bluestone Memorial Hospital</t>
        </is>
      </c>
      <c r="E2438" t="inlineStr">
        <is>
          <t>Medical-Surgical 5 East</t>
        </is>
      </c>
      <c r="F2438" t="inlineStr">
        <is>
          <t>Medicine</t>
        </is>
      </c>
      <c r="G2438" s="29" t="n">
        <v>45989</v>
      </c>
      <c r="H2438" s="29" t="n">
        <v>45995</v>
      </c>
      <c r="I2438" s="30" t="n">
        <v>6</v>
      </c>
      <c r="J2438" t="inlineStr">
        <is>
          <t>J44.1</t>
        </is>
      </c>
      <c r="K2438" t="inlineStr">
        <is>
          <t>Chronic obstructive pulmonary disease with (acute) exacerbation</t>
        </is>
      </c>
      <c r="L2438" t="inlineStr">
        <is>
          <t>Respiratory</t>
        </is>
      </c>
      <c r="M2438" t="inlineStr">
        <is>
          <t>Home Health</t>
        </is>
      </c>
      <c r="N2438" t="inlineStr">
        <is>
          <t>State Medicaid</t>
        </is>
      </c>
      <c r="O2438" s="31" t="n">
        <v>22356.16</v>
      </c>
      <c r="P2438" t="inlineStr">
        <is>
          <t>N</t>
        </is>
      </c>
    </row>
    <row r="2439">
      <c r="A2439" t="inlineStr">
        <is>
          <t>ENC120691</t>
        </is>
      </c>
      <c r="B2439" t="inlineStr">
        <is>
          <t>PT12432</t>
        </is>
      </c>
      <c r="C2439" t="inlineStr">
        <is>
          <t>Inpatient</t>
        </is>
      </c>
      <c r="D2439" t="inlineStr">
        <is>
          <t>Bluestone Memorial Hospital</t>
        </is>
      </c>
      <c r="E2439" t="inlineStr">
        <is>
          <t>Labor &amp; Delivery</t>
        </is>
      </c>
      <c r="F2439" t="inlineStr">
        <is>
          <t>Women &amp; Children</t>
        </is>
      </c>
      <c r="G2439" s="29" t="n">
        <v>45990</v>
      </c>
      <c r="H2439" s="29" t="n">
        <v>45992</v>
      </c>
      <c r="I2439" s="30" t="n">
        <v>2</v>
      </c>
      <c r="J2439" t="inlineStr">
        <is>
          <t>O82</t>
        </is>
      </c>
      <c r="K2439" t="inlineStr">
        <is>
          <t>Encounter for cesarean delivery without indication</t>
        </is>
      </c>
      <c r="L2439" t="inlineStr">
        <is>
          <t>Pregnancy</t>
        </is>
      </c>
      <c r="M2439" t="inlineStr">
        <is>
          <t>Home/Self-Care</t>
        </is>
      </c>
      <c r="N2439" t="inlineStr">
        <is>
          <t>State Medicaid</t>
        </is>
      </c>
      <c r="O2439" s="31" t="n">
        <v>13574.18</v>
      </c>
      <c r="P2439" t="inlineStr">
        <is>
          <t>N</t>
        </is>
      </c>
    </row>
    <row r="2440">
      <c r="A2440" t="inlineStr">
        <is>
          <t>ENC120707</t>
        </is>
      </c>
      <c r="B2440" t="inlineStr">
        <is>
          <t>PT11096</t>
        </is>
      </c>
      <c r="C2440" t="inlineStr">
        <is>
          <t>Inpatient</t>
        </is>
      </c>
      <c r="D2440" t="inlineStr">
        <is>
          <t>Bluestone Memorial Hospital</t>
        </is>
      </c>
      <c r="E2440" t="inlineStr">
        <is>
          <t>Cardiac Step-Down</t>
        </is>
      </c>
      <c r="F2440" t="inlineStr">
        <is>
          <t>Cardiovascular</t>
        </is>
      </c>
      <c r="G2440" s="29" t="n">
        <v>45990</v>
      </c>
      <c r="H2440" s="29" t="n">
        <v>45995</v>
      </c>
      <c r="I2440" s="30" t="n">
        <v>5</v>
      </c>
      <c r="J2440" t="inlineStr">
        <is>
          <t>I48.91</t>
        </is>
      </c>
      <c r="K2440" t="inlineStr">
        <is>
          <t>Unspecified atrial fibrillation</t>
        </is>
      </c>
      <c r="L2440" t="inlineStr">
        <is>
          <t>Circulatory</t>
        </is>
      </c>
      <c r="M2440" t="inlineStr">
        <is>
          <t>Home/Self-Care</t>
        </is>
      </c>
      <c r="N2440" t="inlineStr">
        <is>
          <t>Medicare</t>
        </is>
      </c>
      <c r="O2440" s="31" t="n">
        <v>30153.04</v>
      </c>
      <c r="P2440" t="inlineStr">
        <is>
          <t>N</t>
        </is>
      </c>
    </row>
    <row r="2441">
      <c r="A2441" t="inlineStr">
        <is>
          <t>ENC120710</t>
        </is>
      </c>
      <c r="B2441" t="inlineStr">
        <is>
          <t>PT11844</t>
        </is>
      </c>
      <c r="C2441" t="inlineStr">
        <is>
          <t>Emergency</t>
        </is>
      </c>
      <c r="D2441" t="inlineStr">
        <is>
          <t>Bluestone Memorial Hospital</t>
        </is>
      </c>
      <c r="E2441" t="inlineStr">
        <is>
          <t>Emergency Department</t>
        </is>
      </c>
      <c r="F2441" t="inlineStr">
        <is>
          <t>Emergency</t>
        </is>
      </c>
      <c r="G2441" s="29" t="n">
        <v>45991</v>
      </c>
      <c r="H2441" s="29" t="n">
        <v>45991</v>
      </c>
      <c r="I2441" s="30" t="n"/>
      <c r="J2441" t="inlineStr">
        <is>
          <t>R55</t>
        </is>
      </c>
      <c r="K2441" t="inlineStr">
        <is>
          <t>Syncope and collapse</t>
        </is>
      </c>
      <c r="L2441" t="inlineStr">
        <is>
          <t>Symptoms &amp; Signs</t>
        </is>
      </c>
      <c r="M2441" t="inlineStr">
        <is>
          <t>Home/Self-Care</t>
        </is>
      </c>
      <c r="N2441" t="inlineStr">
        <is>
          <t>State Medicaid</t>
        </is>
      </c>
      <c r="O2441" s="31" t="n">
        <v>1428.03</v>
      </c>
    </row>
    <row r="2442">
      <c r="A2442" t="inlineStr">
        <is>
          <t>ENC120712</t>
        </is>
      </c>
      <c r="B2442" t="inlineStr">
        <is>
          <t>PT10764</t>
        </is>
      </c>
      <c r="C2442" t="inlineStr">
        <is>
          <t>Inpatient</t>
        </is>
      </c>
      <c r="D2442" t="inlineStr">
        <is>
          <t>Bluestone Memorial Hospital</t>
        </is>
      </c>
      <c r="E2442" t="inlineStr">
        <is>
          <t>Labor &amp; Delivery</t>
        </is>
      </c>
      <c r="F2442" t="inlineStr">
        <is>
          <t>Women &amp; Children</t>
        </is>
      </c>
      <c r="G2442" s="29" t="n">
        <v>45991</v>
      </c>
      <c r="H2442" s="29" t="n">
        <v>45998</v>
      </c>
      <c r="I2442" s="30" t="n">
        <v>7</v>
      </c>
      <c r="J2442" t="inlineStr">
        <is>
          <t>O82</t>
        </is>
      </c>
      <c r="K2442" t="inlineStr">
        <is>
          <t>Encounter for cesarean delivery without indication</t>
        </is>
      </c>
      <c r="L2442" t="inlineStr">
        <is>
          <t>Pregnancy</t>
        </is>
      </c>
      <c r="M2442" t="inlineStr">
        <is>
          <t>Transfer to Another Hospital</t>
        </is>
      </c>
      <c r="N2442" t="inlineStr">
        <is>
          <t>Summit Choice PPO</t>
        </is>
      </c>
      <c r="O2442" s="31" t="n">
        <v>40674.74</v>
      </c>
      <c r="P2442" t="inlineStr">
        <is>
          <t>N</t>
        </is>
      </c>
    </row>
    <row r="2443">
      <c r="A2443" t="inlineStr">
        <is>
          <t>ENC120713</t>
        </is>
      </c>
      <c r="B2443" t="inlineStr">
        <is>
          <t>PT10784</t>
        </is>
      </c>
      <c r="C2443" t="inlineStr">
        <is>
          <t>Emergency</t>
        </is>
      </c>
      <c r="D2443" t="inlineStr">
        <is>
          <t>Bluestone Memorial Hospital</t>
        </is>
      </c>
      <c r="E2443" t="inlineStr">
        <is>
          <t>Emergency Department</t>
        </is>
      </c>
      <c r="F2443" t="inlineStr">
        <is>
          <t>Emergency</t>
        </is>
      </c>
      <c r="G2443" s="29" t="n">
        <v>45991</v>
      </c>
      <c r="H2443" s="29" t="n">
        <v>45991</v>
      </c>
      <c r="I2443" s="30" t="n"/>
      <c r="J2443" t="inlineStr">
        <is>
          <t>J18.9</t>
        </is>
      </c>
      <c r="K2443" t="inlineStr">
        <is>
          <t>Pneumonia, unspecified organism</t>
        </is>
      </c>
      <c r="L2443" t="inlineStr">
        <is>
          <t>Respiratory</t>
        </is>
      </c>
      <c r="M2443" t="inlineStr">
        <is>
          <t>Home/Self-Care</t>
        </is>
      </c>
      <c r="N2443" t="inlineStr">
        <is>
          <t>Silverline Medicare Advantage</t>
        </is>
      </c>
      <c r="O2443" s="31" t="n">
        <v>2283.05</v>
      </c>
    </row>
    <row r="2444">
      <c r="A2444" t="inlineStr">
        <is>
          <t>ENC120723</t>
        </is>
      </c>
      <c r="B2444" t="inlineStr">
        <is>
          <t>PT12928</t>
        </is>
      </c>
      <c r="C2444" t="inlineStr">
        <is>
          <t>Emergency</t>
        </is>
      </c>
      <c r="D2444" t="inlineStr">
        <is>
          <t>Bluestone Memorial Hospital</t>
        </is>
      </c>
      <c r="E2444" t="inlineStr">
        <is>
          <t>Emergency Department</t>
        </is>
      </c>
      <c r="F2444" t="inlineStr">
        <is>
          <t>Emergency</t>
        </is>
      </c>
      <c r="G2444" s="29" t="n">
        <v>45991</v>
      </c>
      <c r="H2444" s="29" t="n">
        <v>45991</v>
      </c>
      <c r="I2444" s="30" t="n"/>
      <c r="J2444" t="inlineStr">
        <is>
          <t>R07.9</t>
        </is>
      </c>
      <c r="K2444" t="inlineStr">
        <is>
          <t>Chest pain, unspecified</t>
        </is>
      </c>
      <c r="L2444" t="inlineStr">
        <is>
          <t>Symptoms &amp; Signs</t>
        </is>
      </c>
      <c r="M2444" t="inlineStr">
        <is>
          <t>Home/Self-Care</t>
        </is>
      </c>
      <c r="N2444" t="inlineStr">
        <is>
          <t>Silverline Medicare Advantage</t>
        </is>
      </c>
      <c r="O2444" s="31" t="n">
        <v>3532.11</v>
      </c>
    </row>
    <row r="2445">
      <c r="A2445" t="inlineStr">
        <is>
          <t>ENC120726</t>
        </is>
      </c>
      <c r="B2445" t="inlineStr">
        <is>
          <t>PT10080</t>
        </is>
      </c>
      <c r="C2445" t="inlineStr">
        <is>
          <t>Inpatient</t>
        </is>
      </c>
      <c r="D2445" t="inlineStr">
        <is>
          <t>Bluestone Memorial Hospital</t>
        </is>
      </c>
      <c r="E2445" t="inlineStr">
        <is>
          <t>Medical-Surgical 5 East</t>
        </is>
      </c>
      <c r="F2445" t="inlineStr">
        <is>
          <t>Medicine</t>
        </is>
      </c>
      <c r="G2445" s="29" t="n">
        <v>45991</v>
      </c>
      <c r="H2445" s="29" t="n">
        <v>45995</v>
      </c>
      <c r="I2445" s="30" t="n">
        <v>4</v>
      </c>
      <c r="J2445" t="inlineStr">
        <is>
          <t>J18.9</t>
        </is>
      </c>
      <c r="K2445" t="inlineStr">
        <is>
          <t>Pneumonia, unspecified organism</t>
        </is>
      </c>
      <c r="L2445" t="inlineStr">
        <is>
          <t>Respiratory</t>
        </is>
      </c>
      <c r="M2445" t="inlineStr">
        <is>
          <t>Home/Self-Care</t>
        </is>
      </c>
      <c r="N2445" t="inlineStr">
        <is>
          <t>State Medicaid</t>
        </is>
      </c>
      <c r="O2445" s="31" t="n">
        <v>24170.55</v>
      </c>
      <c r="P2445" t="inlineStr">
        <is>
          <t>N</t>
        </is>
      </c>
    </row>
    <row r="2446">
      <c r="A2446" t="inlineStr">
        <is>
          <t>ENC120733</t>
        </is>
      </c>
      <c r="B2446" t="inlineStr">
        <is>
          <t>PT13060</t>
        </is>
      </c>
      <c r="C2446" t="inlineStr">
        <is>
          <t>Inpatient</t>
        </is>
      </c>
      <c r="D2446" t="inlineStr">
        <is>
          <t>Bluestone Memorial Hospital</t>
        </is>
      </c>
      <c r="E2446" t="inlineStr">
        <is>
          <t>Labor &amp; Delivery</t>
        </is>
      </c>
      <c r="F2446" t="inlineStr">
        <is>
          <t>Women &amp; Children</t>
        </is>
      </c>
      <c r="G2446" s="29" t="n">
        <v>45992</v>
      </c>
      <c r="H2446" s="29" t="n">
        <v>45993</v>
      </c>
      <c r="I2446" s="30" t="n">
        <v>1</v>
      </c>
      <c r="J2446" t="inlineStr">
        <is>
          <t>O82</t>
        </is>
      </c>
      <c r="K2446" t="inlineStr">
        <is>
          <t>Encounter for cesarean delivery without indication</t>
        </is>
      </c>
      <c r="L2446" t="inlineStr">
        <is>
          <t>Pregnancy</t>
        </is>
      </c>
      <c r="M2446" t="inlineStr">
        <is>
          <t>Home/Self-Care</t>
        </is>
      </c>
      <c r="N2446" t="inlineStr">
        <is>
          <t>State Medicaid</t>
        </is>
      </c>
      <c r="O2446" s="31" t="n">
        <v>14044.44</v>
      </c>
      <c r="P2446" t="inlineStr">
        <is>
          <t>N</t>
        </is>
      </c>
    </row>
    <row r="2447">
      <c r="A2447" t="inlineStr">
        <is>
          <t>ENC120735</t>
        </is>
      </c>
      <c r="B2447" t="inlineStr">
        <is>
          <t>PT10428</t>
        </is>
      </c>
      <c r="C2447" t="inlineStr">
        <is>
          <t>Outpatient</t>
        </is>
      </c>
      <c r="D2447" t="inlineStr">
        <is>
          <t>Bluestone Outpatient Pavilion</t>
        </is>
      </c>
      <c r="E2447" t="inlineStr">
        <is>
          <t>Orthopedic Clinic</t>
        </is>
      </c>
      <c r="F2447" t="inlineStr">
        <is>
          <t>Orthopedics</t>
        </is>
      </c>
      <c r="G2447" s="29" t="n">
        <v>45992</v>
      </c>
      <c r="H2447" s="29" t="n">
        <v>45992</v>
      </c>
      <c r="I2447" s="30" t="n"/>
      <c r="J2447" t="inlineStr">
        <is>
          <t>M17.11</t>
        </is>
      </c>
      <c r="K2447" t="inlineStr">
        <is>
          <t>Unilateral primary osteoarthritis, right knee</t>
        </is>
      </c>
      <c r="L2447" t="inlineStr">
        <is>
          <t>Musculoskeletal</t>
        </is>
      </c>
      <c r="M2447" t="inlineStr">
        <is>
          <t>Home/Self-Care</t>
        </is>
      </c>
      <c r="N2447" t="inlineStr">
        <is>
          <t>Medicare</t>
        </is>
      </c>
      <c r="O2447" s="31" t="n">
        <v>210.24</v>
      </c>
    </row>
    <row r="2448">
      <c r="A2448" t="inlineStr">
        <is>
          <t>ENC120736</t>
        </is>
      </c>
      <c r="B2448" t="inlineStr">
        <is>
          <t>PT14000</t>
        </is>
      </c>
      <c r="C2448" t="inlineStr">
        <is>
          <t>Emergency</t>
        </is>
      </c>
      <c r="D2448" t="inlineStr">
        <is>
          <t>Bluestone Memorial Hospital</t>
        </is>
      </c>
      <c r="E2448" t="inlineStr">
        <is>
          <t>Emergency Department</t>
        </is>
      </c>
      <c r="F2448" t="inlineStr">
        <is>
          <t>Emergency</t>
        </is>
      </c>
      <c r="G2448" s="29" t="n">
        <v>45992</v>
      </c>
      <c r="H2448" s="29" t="n">
        <v>45992</v>
      </c>
      <c r="I2448" s="30" t="n"/>
      <c r="J2448" t="inlineStr">
        <is>
          <t>R55</t>
        </is>
      </c>
      <c r="K2448" t="inlineStr">
        <is>
          <t>Syncope and collapse</t>
        </is>
      </c>
      <c r="L2448" t="inlineStr">
        <is>
          <t>Symptoms &amp; Signs</t>
        </is>
      </c>
      <c r="M2448" t="inlineStr">
        <is>
          <t>Home/Self-Care</t>
        </is>
      </c>
      <c r="N2448" t="inlineStr">
        <is>
          <t>Silverline Medicare Advantage</t>
        </is>
      </c>
      <c r="O2448" s="31" t="n">
        <v>2258.22</v>
      </c>
    </row>
    <row r="2449">
      <c r="A2449" t="inlineStr">
        <is>
          <t>ENC120738</t>
        </is>
      </c>
      <c r="B2449" t="inlineStr">
        <is>
          <t>PT13788</t>
        </is>
      </c>
      <c r="C2449" t="inlineStr">
        <is>
          <t>Outpatient</t>
        </is>
      </c>
      <c r="D2449" t="inlineStr">
        <is>
          <t>Bluestone Outpatient Pavilion</t>
        </is>
      </c>
      <c r="E2449" t="inlineStr">
        <is>
          <t>Orthopedic Clinic</t>
        </is>
      </c>
      <c r="F2449" t="inlineStr">
        <is>
          <t>Orthopedics</t>
        </is>
      </c>
      <c r="G2449" s="29" t="n">
        <v>45992</v>
      </c>
      <c r="H2449" s="29" t="n">
        <v>45992</v>
      </c>
      <c r="I2449" s="30" t="n"/>
      <c r="J2449" t="inlineStr">
        <is>
          <t>M16.11</t>
        </is>
      </c>
      <c r="K2449" t="inlineStr">
        <is>
          <t>Unilateral primary osteoarthritis, right hip</t>
        </is>
      </c>
      <c r="L2449" t="inlineStr">
        <is>
          <t>Musculoskeletal</t>
        </is>
      </c>
      <c r="M2449" t="inlineStr">
        <is>
          <t>Home/Self-Care</t>
        </is>
      </c>
      <c r="N2449" t="inlineStr">
        <is>
          <t>Silverline Medicare Advantage</t>
        </is>
      </c>
      <c r="O2449" s="31" t="n">
        <v>214.76</v>
      </c>
    </row>
    <row r="2450">
      <c r="A2450" t="inlineStr">
        <is>
          <t>ENC120740</t>
        </is>
      </c>
      <c r="B2450" t="inlineStr">
        <is>
          <t>PT12844</t>
        </is>
      </c>
      <c r="C2450" t="inlineStr">
        <is>
          <t>Inpatient</t>
        </is>
      </c>
      <c r="D2450" t="inlineStr">
        <is>
          <t>Bluestone Memorial Hospital</t>
        </is>
      </c>
      <c r="E2450" t="inlineStr">
        <is>
          <t>Medical-Surgical 5 East</t>
        </is>
      </c>
      <c r="F2450" t="inlineStr">
        <is>
          <t>Medicine</t>
        </is>
      </c>
      <c r="G2450" s="29" t="n">
        <v>45992</v>
      </c>
      <c r="H2450" s="29" t="n">
        <v>45994</v>
      </c>
      <c r="I2450" s="30" t="n">
        <v>2</v>
      </c>
      <c r="J2450" t="inlineStr">
        <is>
          <t>N39.0</t>
        </is>
      </c>
      <c r="K2450" t="inlineStr">
        <is>
          <t>Urinary tract infection, site not specified</t>
        </is>
      </c>
      <c r="L2450" t="inlineStr">
        <is>
          <t>Genitourinary</t>
        </is>
      </c>
      <c r="M2450" t="inlineStr">
        <is>
          <t>Left AMA</t>
        </is>
      </c>
      <c r="N2450" t="inlineStr">
        <is>
          <t>State Medicaid</t>
        </is>
      </c>
      <c r="O2450" s="31" t="n">
        <v>12385.25</v>
      </c>
      <c r="P2450" t="inlineStr">
        <is>
          <t>N</t>
        </is>
      </c>
    </row>
    <row r="2451">
      <c r="A2451" t="inlineStr">
        <is>
          <t>ENC120742</t>
        </is>
      </c>
      <c r="B2451" t="inlineStr">
        <is>
          <t>PT12472</t>
        </is>
      </c>
      <c r="C2451" t="inlineStr">
        <is>
          <t>Inpatient</t>
        </is>
      </c>
      <c r="D2451" t="inlineStr">
        <is>
          <t>Bluestone Memorial Hospital</t>
        </is>
      </c>
      <c r="E2451" t="inlineStr">
        <is>
          <t>Cardiac Step-Down</t>
        </is>
      </c>
      <c r="F2451" t="inlineStr">
        <is>
          <t>Cardiovascular</t>
        </is>
      </c>
      <c r="G2451" s="29" t="n">
        <v>45992</v>
      </c>
      <c r="H2451" s="29" t="n">
        <v>45995</v>
      </c>
      <c r="I2451" s="30" t="n">
        <v>3</v>
      </c>
      <c r="J2451" t="inlineStr">
        <is>
          <t>I48.91</t>
        </is>
      </c>
      <c r="K2451" t="inlineStr">
        <is>
          <t>Unspecified atrial fibrillation</t>
        </is>
      </c>
      <c r="L2451" t="inlineStr">
        <is>
          <t>Circulatory</t>
        </is>
      </c>
      <c r="M2451" t="inlineStr">
        <is>
          <t>Home Health</t>
        </is>
      </c>
      <c r="N2451" t="inlineStr">
        <is>
          <t>Medicare</t>
        </is>
      </c>
      <c r="O2451" s="31" t="n">
        <v>18076.75</v>
      </c>
      <c r="P2451" t="inlineStr">
        <is>
          <t>N</t>
        </is>
      </c>
    </row>
    <row r="2452">
      <c r="A2452" t="inlineStr">
        <is>
          <t>ENC120744</t>
        </is>
      </c>
      <c r="B2452" t="inlineStr">
        <is>
          <t>PT10860</t>
        </is>
      </c>
      <c r="C2452" t="inlineStr">
        <is>
          <t>Outpatient</t>
        </is>
      </c>
      <c r="D2452" t="inlineStr">
        <is>
          <t>Bluestone Outpatient Pavilion</t>
        </is>
      </c>
      <c r="E2452" t="inlineStr">
        <is>
          <t>Orthopedic Clinic</t>
        </is>
      </c>
      <c r="F2452" t="inlineStr">
        <is>
          <t>Orthopedics</t>
        </is>
      </c>
      <c r="G2452" s="29" t="n">
        <v>45992</v>
      </c>
      <c r="H2452" s="29" t="n">
        <v>45992</v>
      </c>
      <c r="I2452" s="30" t="n"/>
      <c r="J2452" t="inlineStr">
        <is>
          <t>M16.11</t>
        </is>
      </c>
      <c r="K2452" t="inlineStr">
        <is>
          <t>Unilateral primary osteoarthritis, right hip</t>
        </is>
      </c>
      <c r="L2452" t="inlineStr">
        <is>
          <t>Musculoskeletal</t>
        </is>
      </c>
      <c r="M2452" t="inlineStr">
        <is>
          <t>Home/Self-Care</t>
        </is>
      </c>
      <c r="N2452" t="inlineStr">
        <is>
          <t>Silverline Medicare Advantage</t>
        </is>
      </c>
      <c r="O2452" s="31" t="n">
        <v>253.69</v>
      </c>
    </row>
    <row r="2453">
      <c r="A2453" t="inlineStr">
        <is>
          <t>ENC120750</t>
        </is>
      </c>
      <c r="B2453" t="inlineStr">
        <is>
          <t>PT13676</t>
        </is>
      </c>
      <c r="C2453" t="inlineStr">
        <is>
          <t>Emergency</t>
        </is>
      </c>
      <c r="D2453" t="inlineStr">
        <is>
          <t>Bluestone Memorial Hospital</t>
        </is>
      </c>
      <c r="E2453" t="inlineStr">
        <is>
          <t>Emergency Department</t>
        </is>
      </c>
      <c r="F2453" t="inlineStr">
        <is>
          <t>Emergency</t>
        </is>
      </c>
      <c r="G2453" s="29" t="n">
        <v>45992</v>
      </c>
      <c r="H2453" s="29" t="n">
        <v>45992</v>
      </c>
      <c r="I2453" s="30" t="n"/>
      <c r="J2453" t="inlineStr">
        <is>
          <t>J21.9</t>
        </is>
      </c>
      <c r="K2453" t="inlineStr">
        <is>
          <t>Acute bronchiolitis, unspecified</t>
        </is>
      </c>
      <c r="L2453" t="inlineStr">
        <is>
          <t>Respiratory</t>
        </is>
      </c>
      <c r="M2453" t="inlineStr">
        <is>
          <t>Home/Self-Care</t>
        </is>
      </c>
      <c r="N2453" t="inlineStr">
        <is>
          <t>Evergreen Mutual Insurance</t>
        </is>
      </c>
      <c r="O2453" s="31" t="n">
        <v>2152.88</v>
      </c>
    </row>
    <row r="2454">
      <c r="A2454" t="inlineStr">
        <is>
          <t>ENC120754</t>
        </is>
      </c>
      <c r="B2454" t="inlineStr">
        <is>
          <t>PT11828</t>
        </is>
      </c>
      <c r="C2454" t="inlineStr">
        <is>
          <t>Emergency</t>
        </is>
      </c>
      <c r="D2454" t="inlineStr">
        <is>
          <t>Bluestone Memorial Hospital</t>
        </is>
      </c>
      <c r="E2454" t="inlineStr">
        <is>
          <t>Emergency Department</t>
        </is>
      </c>
      <c r="F2454" t="inlineStr">
        <is>
          <t>Emergency</t>
        </is>
      </c>
      <c r="G2454" s="29" t="n">
        <v>45992</v>
      </c>
      <c r="H2454" s="29" t="n">
        <v>45992</v>
      </c>
      <c r="I2454" s="30" t="n"/>
      <c r="J2454" t="inlineStr">
        <is>
          <t>R07.9</t>
        </is>
      </c>
      <c r="K2454" t="inlineStr">
        <is>
          <t>Chest pain, unspecified</t>
        </is>
      </c>
      <c r="L2454" t="inlineStr">
        <is>
          <t>Symptoms &amp; Signs</t>
        </is>
      </c>
      <c r="M2454" t="inlineStr">
        <is>
          <t>Home/Self-Care</t>
        </is>
      </c>
      <c r="N2454" t="inlineStr">
        <is>
          <t>Summit Choice PPO</t>
        </is>
      </c>
      <c r="O2454" s="31" t="n">
        <v>3179.86</v>
      </c>
    </row>
    <row r="2455">
      <c r="A2455" t="inlineStr">
        <is>
          <t>ENC120759</t>
        </is>
      </c>
      <c r="B2455" t="inlineStr">
        <is>
          <t>PT10120</t>
        </is>
      </c>
      <c r="C2455" t="inlineStr">
        <is>
          <t>Inpatient</t>
        </is>
      </c>
      <c r="D2455" t="inlineStr">
        <is>
          <t>Bluestone Memorial Hospital</t>
        </is>
      </c>
      <c r="E2455" t="inlineStr">
        <is>
          <t>Behavioral Health</t>
        </is>
      </c>
      <c r="F2455" t="inlineStr">
        <is>
          <t>Behavioral Health</t>
        </is>
      </c>
      <c r="G2455" s="29" t="n">
        <v>45992</v>
      </c>
      <c r="H2455" s="29" t="n">
        <v>46003</v>
      </c>
      <c r="I2455" s="30" t="n">
        <v>11</v>
      </c>
      <c r="J2455" t="inlineStr">
        <is>
          <t>F32.9</t>
        </is>
      </c>
      <c r="K2455" t="inlineStr">
        <is>
          <t>Major depressive disorder, single episode, unspecified</t>
        </is>
      </c>
      <c r="L2455" t="inlineStr">
        <is>
          <t>Mental &amp; Behavioral</t>
        </is>
      </c>
      <c r="M2455" t="inlineStr">
        <is>
          <t>Home/Self-Care</t>
        </is>
      </c>
      <c r="N2455" t="inlineStr">
        <is>
          <t>Evergreen Mutual Insurance</t>
        </is>
      </c>
      <c r="O2455" s="31" t="n">
        <v>40309.31</v>
      </c>
      <c r="P2455" t="inlineStr">
        <is>
          <t>N</t>
        </is>
      </c>
    </row>
    <row r="2456">
      <c r="A2456" t="inlineStr">
        <is>
          <t>ENC120760</t>
        </is>
      </c>
      <c r="B2456" t="inlineStr">
        <is>
          <t>PT11168</t>
        </is>
      </c>
      <c r="C2456" t="inlineStr">
        <is>
          <t>Emergency</t>
        </is>
      </c>
      <c r="D2456" t="inlineStr">
        <is>
          <t>Cedar Ridge Medical Center</t>
        </is>
      </c>
      <c r="E2456" t="inlineStr">
        <is>
          <t>Emergency Department</t>
        </is>
      </c>
      <c r="F2456" t="inlineStr">
        <is>
          <t>Emergency</t>
        </is>
      </c>
      <c r="G2456" s="29" t="n">
        <v>45992</v>
      </c>
      <c r="H2456" s="29" t="n">
        <v>45992</v>
      </c>
      <c r="I2456" s="30" t="n"/>
      <c r="J2456" t="inlineStr">
        <is>
          <t>J06.9</t>
        </is>
      </c>
      <c r="K2456" t="inlineStr">
        <is>
          <t>Acute upper respiratory infection, unspecified</t>
        </is>
      </c>
      <c r="L2456" t="inlineStr">
        <is>
          <t>Respiratory</t>
        </is>
      </c>
      <c r="M2456" t="inlineStr">
        <is>
          <t>Home/Self-Care</t>
        </is>
      </c>
      <c r="N2456" t="inlineStr">
        <is>
          <t>Medicare</t>
        </is>
      </c>
      <c r="O2456" s="31" t="n">
        <v>1410.74</v>
      </c>
    </row>
    <row r="2457">
      <c r="A2457" t="inlineStr">
        <is>
          <t>ENC120770</t>
        </is>
      </c>
      <c r="B2457" t="inlineStr">
        <is>
          <t>PT11616</t>
        </is>
      </c>
      <c r="C2457" t="inlineStr">
        <is>
          <t>Inpatient</t>
        </is>
      </c>
      <c r="D2457" t="inlineStr">
        <is>
          <t>Bluestone Memorial Hospital</t>
        </is>
      </c>
      <c r="E2457" t="inlineStr">
        <is>
          <t>Medical-Surgical 5 East</t>
        </is>
      </c>
      <c r="F2457" t="inlineStr">
        <is>
          <t>Medicine</t>
        </is>
      </c>
      <c r="G2457" s="29" t="n">
        <v>45992</v>
      </c>
      <c r="H2457" s="29" t="n">
        <v>45999</v>
      </c>
      <c r="I2457" s="30" t="n">
        <v>7</v>
      </c>
      <c r="J2457" t="inlineStr">
        <is>
          <t>J44.1</t>
        </is>
      </c>
      <c r="K2457" t="inlineStr">
        <is>
          <t>Chronic obstructive pulmonary disease with (acute) exacerbation</t>
        </is>
      </c>
      <c r="L2457" t="inlineStr">
        <is>
          <t>Respiratory</t>
        </is>
      </c>
      <c r="M2457" t="inlineStr">
        <is>
          <t>Home/Self-Care</t>
        </is>
      </c>
      <c r="N2457" t="inlineStr">
        <is>
          <t>State Medicaid</t>
        </is>
      </c>
      <c r="O2457" s="31" t="n">
        <v>36539.47</v>
      </c>
      <c r="P2457" t="inlineStr">
        <is>
          <t>N</t>
        </is>
      </c>
    </row>
    <row r="2458">
      <c r="A2458" t="inlineStr">
        <is>
          <t>ENC120778</t>
        </is>
      </c>
      <c r="B2458" t="inlineStr">
        <is>
          <t>PT11072</t>
        </is>
      </c>
      <c r="C2458" t="inlineStr">
        <is>
          <t>Emergency</t>
        </is>
      </c>
      <c r="D2458" t="inlineStr">
        <is>
          <t>Bluestone Memorial Hospital</t>
        </is>
      </c>
      <c r="E2458" t="inlineStr">
        <is>
          <t>Emergency Department</t>
        </is>
      </c>
      <c r="F2458" t="inlineStr">
        <is>
          <t>Emergency</t>
        </is>
      </c>
      <c r="G2458" s="29" t="n">
        <v>45992</v>
      </c>
      <c r="H2458" s="29" t="n">
        <v>45993</v>
      </c>
      <c r="I2458" s="30" t="n"/>
      <c r="J2458" t="inlineStr">
        <is>
          <t>S93.401A</t>
        </is>
      </c>
      <c r="K2458" t="inlineStr">
        <is>
          <t>Sprain of unspecified ligament of right ankle, initial encounter</t>
        </is>
      </c>
      <c r="L2458" t="inlineStr">
        <is>
          <t>Injury</t>
        </is>
      </c>
      <c r="M2458" t="inlineStr">
        <is>
          <t>Home/Self-Care</t>
        </is>
      </c>
      <c r="N2458" t="inlineStr">
        <is>
          <t>Summit Choice PPO</t>
        </is>
      </c>
      <c r="O2458" s="31" t="n">
        <v>994.6799999999999</v>
      </c>
    </row>
    <row r="2459">
      <c r="A2459" t="inlineStr">
        <is>
          <t>ENC120795</t>
        </is>
      </c>
      <c r="B2459" t="inlineStr">
        <is>
          <t>PT12124</t>
        </is>
      </c>
      <c r="C2459" t="inlineStr">
        <is>
          <t>Outpatient</t>
        </is>
      </c>
      <c r="D2459" t="inlineStr">
        <is>
          <t>Bluestone Outpatient Pavilion</t>
        </is>
      </c>
      <c r="E2459" t="inlineStr">
        <is>
          <t>Primary Care Clinic</t>
        </is>
      </c>
      <c r="F2459" t="inlineStr">
        <is>
          <t>Ambulatory</t>
        </is>
      </c>
      <c r="G2459" s="29" t="n">
        <v>45993</v>
      </c>
      <c r="H2459" s="29" t="n">
        <v>45993</v>
      </c>
      <c r="I2459" s="30" t="n"/>
      <c r="J2459" t="inlineStr">
        <is>
          <t>J44.1</t>
        </is>
      </c>
      <c r="K2459" t="inlineStr">
        <is>
          <t>Chronic obstructive pulmonary disease with (acute) exacerbation</t>
        </is>
      </c>
      <c r="L2459" t="inlineStr">
        <is>
          <t>Respiratory</t>
        </is>
      </c>
      <c r="M2459" t="inlineStr">
        <is>
          <t>Home/Self-Care</t>
        </is>
      </c>
      <c r="N2459" t="inlineStr">
        <is>
          <t>Keystone Health Partners</t>
        </is>
      </c>
      <c r="O2459" s="31" t="n">
        <v>306.39</v>
      </c>
    </row>
    <row r="2460">
      <c r="A2460" t="inlineStr">
        <is>
          <t>ENC120803</t>
        </is>
      </c>
      <c r="B2460" t="inlineStr">
        <is>
          <t>PT13440</t>
        </is>
      </c>
      <c r="C2460" t="inlineStr">
        <is>
          <t>Outpatient</t>
        </is>
      </c>
      <c r="D2460" t="inlineStr">
        <is>
          <t>Bluestone Outpatient Pavilion</t>
        </is>
      </c>
      <c r="E2460" t="inlineStr">
        <is>
          <t>Endocrinology &amp; Diabetes Clinic</t>
        </is>
      </c>
      <c r="F2460" t="inlineStr">
        <is>
          <t>Ambulatory</t>
        </is>
      </c>
      <c r="G2460" s="29" t="n">
        <v>45993</v>
      </c>
      <c r="H2460" s="29" t="n">
        <v>45993</v>
      </c>
      <c r="I2460" s="30" t="n"/>
      <c r="J2460" t="inlineStr">
        <is>
          <t>E11.65</t>
        </is>
      </c>
      <c r="K2460" t="inlineStr">
        <is>
          <t>Type 2 diabetes mellitus with hyperglycemia</t>
        </is>
      </c>
      <c r="L2460" t="inlineStr">
        <is>
          <t>Endocrine</t>
        </is>
      </c>
      <c r="M2460" t="inlineStr">
        <is>
          <t>Home/Self-Care</t>
        </is>
      </c>
      <c r="N2460" t="inlineStr">
        <is>
          <t>Medicare</t>
        </is>
      </c>
      <c r="O2460" s="31" t="n">
        <v>292.96</v>
      </c>
    </row>
    <row r="2461">
      <c r="A2461" t="inlineStr">
        <is>
          <t>ENC120804</t>
        </is>
      </c>
      <c r="B2461" t="inlineStr">
        <is>
          <t>PT12744</t>
        </is>
      </c>
      <c r="C2461" t="inlineStr">
        <is>
          <t>Inpatient</t>
        </is>
      </c>
      <c r="D2461" t="inlineStr">
        <is>
          <t>Bluestone Memorial Hospital</t>
        </is>
      </c>
      <c r="E2461" t="inlineStr">
        <is>
          <t>Medical-Surgical 4 West</t>
        </is>
      </c>
      <c r="F2461" t="inlineStr">
        <is>
          <t>Medicine</t>
        </is>
      </c>
      <c r="G2461" s="29" t="n">
        <v>45993</v>
      </c>
      <c r="H2461" s="29" t="n">
        <v>45996</v>
      </c>
      <c r="I2461" s="30" t="n">
        <v>3</v>
      </c>
      <c r="J2461" t="inlineStr">
        <is>
          <t>J18.9</t>
        </is>
      </c>
      <c r="K2461" t="inlineStr">
        <is>
          <t>Pneumonia, unspecified organism</t>
        </is>
      </c>
      <c r="L2461" t="inlineStr">
        <is>
          <t>Respiratory</t>
        </is>
      </c>
      <c r="M2461" t="inlineStr">
        <is>
          <t>Home/Self-Care</t>
        </is>
      </c>
      <c r="N2461" t="inlineStr">
        <is>
          <t>State Medicaid</t>
        </is>
      </c>
      <c r="O2461" s="31" t="n">
        <v>19391.83</v>
      </c>
      <c r="P2461" t="inlineStr">
        <is>
          <t>N</t>
        </is>
      </c>
    </row>
    <row r="2462">
      <c r="A2462" t="inlineStr">
        <is>
          <t>ENC120805</t>
        </is>
      </c>
      <c r="B2462" t="inlineStr">
        <is>
          <t>PT12300</t>
        </is>
      </c>
      <c r="C2462" t="inlineStr">
        <is>
          <t>Outpatient</t>
        </is>
      </c>
      <c r="D2462" t="inlineStr">
        <is>
          <t>Bluestone Outpatient Pavilion</t>
        </is>
      </c>
      <c r="E2462" t="inlineStr">
        <is>
          <t>Primary Care Clinic</t>
        </is>
      </c>
      <c r="F2462" t="inlineStr">
        <is>
          <t>Ambulatory</t>
        </is>
      </c>
      <c r="G2462" s="29" t="n">
        <v>45993</v>
      </c>
      <c r="H2462" s="29" t="n">
        <v>45993</v>
      </c>
      <c r="I2462" s="30" t="n"/>
      <c r="J2462" t="inlineStr">
        <is>
          <t>I10</t>
        </is>
      </c>
      <c r="K2462" t="inlineStr">
        <is>
          <t>Essential (primary) hypertension</t>
        </is>
      </c>
      <c r="L2462" t="inlineStr">
        <is>
          <t>Circulatory</t>
        </is>
      </c>
      <c r="M2462" t="inlineStr">
        <is>
          <t>Home/Self-Care</t>
        </is>
      </c>
      <c r="N2462" t="inlineStr">
        <is>
          <t>Summit Choice PPO</t>
        </is>
      </c>
      <c r="O2462" s="31" t="n">
        <v>467.76</v>
      </c>
    </row>
    <row r="2463">
      <c r="A2463" t="inlineStr">
        <is>
          <t>ENC120807</t>
        </is>
      </c>
      <c r="B2463" t="inlineStr">
        <is>
          <t>PT13488</t>
        </is>
      </c>
      <c r="C2463" t="inlineStr">
        <is>
          <t>Outpatient</t>
        </is>
      </c>
      <c r="D2463" t="inlineStr">
        <is>
          <t>Bluestone Outpatient Pavilion</t>
        </is>
      </c>
      <c r="E2463" t="inlineStr">
        <is>
          <t>Primary Care Clinic</t>
        </is>
      </c>
      <c r="F2463" t="inlineStr">
        <is>
          <t>Ambulatory</t>
        </is>
      </c>
      <c r="G2463" s="29" t="n">
        <v>45993</v>
      </c>
      <c r="H2463" s="29" t="n">
        <v>45993</v>
      </c>
      <c r="I2463" s="30" t="n"/>
      <c r="J2463" t="inlineStr">
        <is>
          <t>E78.5</t>
        </is>
      </c>
      <c r="K2463" t="inlineStr">
        <is>
          <t>Hyperlipidemia, unspecified</t>
        </is>
      </c>
      <c r="L2463" t="inlineStr">
        <is>
          <t>Endocrine</t>
        </is>
      </c>
      <c r="M2463" t="inlineStr">
        <is>
          <t>Home/Self-Care</t>
        </is>
      </c>
      <c r="N2463" t="inlineStr">
        <is>
          <t>Summit Choice PPO</t>
        </is>
      </c>
      <c r="O2463" s="31" t="n">
        <v>689.1</v>
      </c>
    </row>
    <row r="2464">
      <c r="A2464" t="inlineStr">
        <is>
          <t>ENC120808</t>
        </is>
      </c>
      <c r="B2464" t="inlineStr">
        <is>
          <t>PT11256</t>
        </is>
      </c>
      <c r="C2464" t="inlineStr">
        <is>
          <t>Emergency</t>
        </is>
      </c>
      <c r="D2464" t="inlineStr">
        <is>
          <t>Bluestone Memorial Hospital</t>
        </is>
      </c>
      <c r="E2464" t="inlineStr">
        <is>
          <t>Emergency Department</t>
        </is>
      </c>
      <c r="F2464" t="inlineStr">
        <is>
          <t>Emergency</t>
        </is>
      </c>
      <c r="G2464" s="29" t="n">
        <v>45993</v>
      </c>
      <c r="H2464" s="29" t="n">
        <v>45993</v>
      </c>
      <c r="I2464" s="30" t="n"/>
      <c r="J2464" t="inlineStr">
        <is>
          <t>J44.1</t>
        </is>
      </c>
      <c r="K2464" t="inlineStr">
        <is>
          <t>Chronic obstructive pulmonary disease with (acute) exacerbation</t>
        </is>
      </c>
      <c r="L2464" t="inlineStr">
        <is>
          <t>Respiratory</t>
        </is>
      </c>
      <c r="M2464" t="inlineStr">
        <is>
          <t>Home/Self-Care</t>
        </is>
      </c>
      <c r="N2464" t="inlineStr">
        <is>
          <t>Keystone Health Partners</t>
        </is>
      </c>
      <c r="O2464" s="31" t="n">
        <v>4784.85</v>
      </c>
    </row>
    <row r="2465">
      <c r="A2465" t="inlineStr">
        <is>
          <t>ENC120811</t>
        </is>
      </c>
      <c r="B2465" t="inlineStr">
        <is>
          <t>PT12252</t>
        </is>
      </c>
      <c r="C2465" t="inlineStr">
        <is>
          <t>Outpatient</t>
        </is>
      </c>
      <c r="D2465" t="inlineStr">
        <is>
          <t>Bluestone Outpatient Pavilion</t>
        </is>
      </c>
      <c r="E2465" t="inlineStr">
        <is>
          <t>Pediatric Clinic</t>
        </is>
      </c>
      <c r="F2465" t="inlineStr">
        <is>
          <t>Women &amp; Children</t>
        </is>
      </c>
      <c r="G2465" s="29" t="n">
        <v>45993</v>
      </c>
      <c r="H2465" s="29" t="n">
        <v>45993</v>
      </c>
      <c r="I2465" s="30" t="n"/>
      <c r="J2465" t="inlineStr">
        <is>
          <t>Z00.129</t>
        </is>
      </c>
      <c r="K2465" t="inlineStr">
        <is>
          <t>Encounter for routine child health examination without abnormal findings</t>
        </is>
      </c>
      <c r="L2465" t="inlineStr">
        <is>
          <t>Factors Influencing Health</t>
        </is>
      </c>
      <c r="M2465" t="inlineStr">
        <is>
          <t>Home/Self-Care</t>
        </is>
      </c>
      <c r="N2465" t="inlineStr">
        <is>
          <t>State Medicaid</t>
        </is>
      </c>
      <c r="O2465" s="31" t="n">
        <v>289.99</v>
      </c>
    </row>
    <row r="2466">
      <c r="A2466" t="inlineStr">
        <is>
          <t>ENC120812</t>
        </is>
      </c>
      <c r="B2466" t="inlineStr">
        <is>
          <t>PT12592</t>
        </is>
      </c>
      <c r="C2466" t="inlineStr">
        <is>
          <t>Outpatient</t>
        </is>
      </c>
      <c r="D2466" t="inlineStr">
        <is>
          <t>Bluestone Outpatient Pavilion</t>
        </is>
      </c>
      <c r="E2466" t="inlineStr">
        <is>
          <t>Pediatric Clinic</t>
        </is>
      </c>
      <c r="F2466" t="inlineStr">
        <is>
          <t>Women &amp; Children</t>
        </is>
      </c>
      <c r="G2466" s="29" t="n">
        <v>45993</v>
      </c>
      <c r="H2466" s="29" t="n">
        <v>45993</v>
      </c>
      <c r="I2466" s="30" t="n"/>
      <c r="J2466" t="inlineStr">
        <is>
          <t>Z00.129</t>
        </is>
      </c>
      <c r="K2466" t="inlineStr">
        <is>
          <t>Encounter for routine child health examination without abnormal findings</t>
        </is>
      </c>
      <c r="L2466" t="inlineStr">
        <is>
          <t>Factors Influencing Health</t>
        </is>
      </c>
      <c r="M2466" t="inlineStr">
        <is>
          <t>Home/Self-Care</t>
        </is>
      </c>
      <c r="N2466" t="inlineStr">
        <is>
          <t>Evergreen Mutual Insurance</t>
        </is>
      </c>
      <c r="O2466" s="31" t="n">
        <v>254.42</v>
      </c>
    </row>
    <row r="2467">
      <c r="A2467" t="inlineStr">
        <is>
          <t>ENC120815</t>
        </is>
      </c>
      <c r="B2467" t="inlineStr">
        <is>
          <t>PT10460</t>
        </is>
      </c>
      <c r="C2467" t="inlineStr">
        <is>
          <t>Inpatient</t>
        </is>
      </c>
      <c r="D2467" t="inlineStr">
        <is>
          <t>Cedar Ridge Medical Center</t>
        </is>
      </c>
      <c r="E2467" t="inlineStr">
        <is>
          <t>Orthopedics</t>
        </is>
      </c>
      <c r="F2467" t="inlineStr">
        <is>
          <t>Orthopedics</t>
        </is>
      </c>
      <c r="G2467" s="29" t="n">
        <v>45993</v>
      </c>
      <c r="H2467" s="29" t="n">
        <v>45996</v>
      </c>
      <c r="I2467" s="30" t="n">
        <v>3</v>
      </c>
      <c r="J2467" t="inlineStr">
        <is>
          <t>S72.001A</t>
        </is>
      </c>
      <c r="K2467" t="inlineStr">
        <is>
          <t>Fracture of unspecified part of neck of right femur, initial encounter</t>
        </is>
      </c>
      <c r="L2467" t="inlineStr">
        <is>
          <t>Injury</t>
        </is>
      </c>
      <c r="M2467" t="inlineStr">
        <is>
          <t>Home Health</t>
        </is>
      </c>
      <c r="N2467" t="inlineStr">
        <is>
          <t>Keystone Health Partners</t>
        </is>
      </c>
      <c r="O2467" s="31" t="n">
        <v>46456.88</v>
      </c>
      <c r="P2467" t="inlineStr">
        <is>
          <t>N</t>
        </is>
      </c>
    </row>
    <row r="2468">
      <c r="A2468" t="inlineStr">
        <is>
          <t>ENC120820</t>
        </is>
      </c>
      <c r="B2468" t="inlineStr">
        <is>
          <t>PT10452</t>
        </is>
      </c>
      <c r="C2468" t="inlineStr">
        <is>
          <t>Inpatient</t>
        </is>
      </c>
      <c r="D2468" t="inlineStr">
        <is>
          <t>Bluestone Memorial Hospital</t>
        </is>
      </c>
      <c r="E2468" t="inlineStr">
        <is>
          <t>Medical-Surgical 5 East</t>
        </is>
      </c>
      <c r="F2468" t="inlineStr">
        <is>
          <t>Medicine</t>
        </is>
      </c>
      <c r="G2468" s="29" t="n">
        <v>45993</v>
      </c>
      <c r="H2468" s="29" t="n">
        <v>45997</v>
      </c>
      <c r="I2468" s="30" t="n">
        <v>4</v>
      </c>
      <c r="J2468" t="inlineStr">
        <is>
          <t>J44.1</t>
        </is>
      </c>
      <c r="K2468" t="inlineStr">
        <is>
          <t>Chronic obstructive pulmonary disease with (acute) exacerbation</t>
        </is>
      </c>
      <c r="L2468" t="inlineStr">
        <is>
          <t>Respiratory</t>
        </is>
      </c>
      <c r="M2468" t="inlineStr">
        <is>
          <t>Skilled Nursing Facility</t>
        </is>
      </c>
      <c r="N2468" t="inlineStr">
        <is>
          <t>Medicare</t>
        </is>
      </c>
      <c r="O2468" s="31" t="n">
        <v>15297.83</v>
      </c>
      <c r="P2468" t="inlineStr">
        <is>
          <t>N</t>
        </is>
      </c>
    </row>
    <row r="2469">
      <c r="A2469" t="inlineStr">
        <is>
          <t>ENC120825</t>
        </is>
      </c>
      <c r="B2469" t="inlineStr">
        <is>
          <t>PT10788</t>
        </is>
      </c>
      <c r="C2469" t="inlineStr">
        <is>
          <t>Inpatient</t>
        </is>
      </c>
      <c r="D2469" t="inlineStr">
        <is>
          <t>Ashby Falls Community Hospital</t>
        </is>
      </c>
      <c r="E2469" t="inlineStr">
        <is>
          <t>Medical-Surgical</t>
        </is>
      </c>
      <c r="F2469" t="inlineStr">
        <is>
          <t>Medicine</t>
        </is>
      </c>
      <c r="G2469" s="29" t="n">
        <v>45994</v>
      </c>
      <c r="H2469" s="29" t="n">
        <v>45998</v>
      </c>
      <c r="I2469" s="30" t="n">
        <v>4</v>
      </c>
      <c r="J2469" t="inlineStr">
        <is>
          <t>J18.9</t>
        </is>
      </c>
      <c r="K2469" t="inlineStr">
        <is>
          <t>Pneumonia, unspecified organism</t>
        </is>
      </c>
      <c r="L2469" t="inlineStr">
        <is>
          <t>Respiratory</t>
        </is>
      </c>
      <c r="M2469" t="inlineStr">
        <is>
          <t>Home/Self-Care</t>
        </is>
      </c>
      <c r="N2469" t="inlineStr">
        <is>
          <t>Keystone Health Partners</t>
        </is>
      </c>
      <c r="O2469" s="31" t="n">
        <v>16015.75</v>
      </c>
      <c r="P2469" t="inlineStr">
        <is>
          <t>N</t>
        </is>
      </c>
    </row>
    <row r="2470">
      <c r="A2470" t="inlineStr">
        <is>
          <t>ENC120826</t>
        </is>
      </c>
      <c r="B2470" t="inlineStr">
        <is>
          <t>PT10268</t>
        </is>
      </c>
      <c r="C2470" t="inlineStr">
        <is>
          <t>Observation</t>
        </is>
      </c>
      <c r="D2470" t="inlineStr">
        <is>
          <t>Bluestone Memorial Hospital</t>
        </is>
      </c>
      <c r="E2470" t="inlineStr">
        <is>
          <t>Observation Unit</t>
        </is>
      </c>
      <c r="F2470" t="inlineStr">
        <is>
          <t>Medicine</t>
        </is>
      </c>
      <c r="G2470" s="29" t="n">
        <v>45994</v>
      </c>
      <c r="H2470" s="29" t="n">
        <v>45995</v>
      </c>
      <c r="I2470" s="30" t="n">
        <v>1</v>
      </c>
      <c r="J2470" t="inlineStr">
        <is>
          <t>N39.0</t>
        </is>
      </c>
      <c r="K2470" t="inlineStr">
        <is>
          <t>Urinary tract infection, site not specified</t>
        </is>
      </c>
      <c r="L2470" t="inlineStr">
        <is>
          <t>Genitourinary</t>
        </is>
      </c>
      <c r="M2470" t="inlineStr">
        <is>
          <t>Transfer to Another Hospital</t>
        </is>
      </c>
      <c r="N2470" t="inlineStr">
        <is>
          <t>Evergreen Mutual Insurance</t>
        </is>
      </c>
      <c r="O2470" s="31" t="n">
        <v>10911.28</v>
      </c>
    </row>
    <row r="2471">
      <c r="A2471" t="inlineStr">
        <is>
          <t>ENC120828</t>
        </is>
      </c>
      <c r="B2471" t="inlineStr">
        <is>
          <t>PT10884</t>
        </is>
      </c>
      <c r="C2471" t="inlineStr">
        <is>
          <t>Inpatient</t>
        </is>
      </c>
      <c r="D2471" t="inlineStr">
        <is>
          <t>Bluestone Memorial Hospital</t>
        </is>
      </c>
      <c r="E2471" t="inlineStr">
        <is>
          <t>Orthopedics &amp; Spine</t>
        </is>
      </c>
      <c r="F2471" t="inlineStr">
        <is>
          <t>Orthopedics</t>
        </is>
      </c>
      <c r="G2471" s="29" t="n">
        <v>45994</v>
      </c>
      <c r="H2471" s="29" t="n">
        <v>45996</v>
      </c>
      <c r="I2471" s="30" t="n">
        <v>2</v>
      </c>
      <c r="J2471" t="inlineStr">
        <is>
          <t>M17.11</t>
        </is>
      </c>
      <c r="K2471" t="inlineStr">
        <is>
          <t>Unilateral primary osteoarthritis, right knee</t>
        </is>
      </c>
      <c r="L2471" t="inlineStr">
        <is>
          <t>Musculoskeletal</t>
        </is>
      </c>
      <c r="M2471" t="inlineStr">
        <is>
          <t>Home Health</t>
        </is>
      </c>
      <c r="N2471" t="inlineStr">
        <is>
          <t>Silverline Medicare Advantage</t>
        </is>
      </c>
      <c r="O2471" s="31" t="n">
        <v>51675.39</v>
      </c>
      <c r="P2471" t="inlineStr">
        <is>
          <t>N</t>
        </is>
      </c>
    </row>
    <row r="2472">
      <c r="A2472" t="inlineStr">
        <is>
          <t>ENC120832</t>
        </is>
      </c>
      <c r="B2472" t="inlineStr">
        <is>
          <t>PT13632</t>
        </is>
      </c>
      <c r="C2472" t="inlineStr">
        <is>
          <t>Inpatient</t>
        </is>
      </c>
      <c r="D2472" t="inlineStr">
        <is>
          <t>Cedar Ridge Medical Center</t>
        </is>
      </c>
      <c r="E2472" t="inlineStr">
        <is>
          <t>Medical-Surgical</t>
        </is>
      </c>
      <c r="F2472" t="inlineStr">
        <is>
          <t>Medicine</t>
        </is>
      </c>
      <c r="G2472" s="29" t="n">
        <v>45994</v>
      </c>
      <c r="H2472" s="29" t="n">
        <v>45997</v>
      </c>
      <c r="I2472" s="30" t="n">
        <v>3</v>
      </c>
      <c r="J2472" t="inlineStr">
        <is>
          <t>J18.9</t>
        </is>
      </c>
      <c r="K2472" t="inlineStr">
        <is>
          <t>Pneumonia, unspecified organism</t>
        </is>
      </c>
      <c r="L2472" t="inlineStr">
        <is>
          <t>Respiratory</t>
        </is>
      </c>
      <c r="M2472" t="inlineStr">
        <is>
          <t>Home Health</t>
        </is>
      </c>
      <c r="N2472" t="inlineStr">
        <is>
          <t>Silverline Medicare Advantage</t>
        </is>
      </c>
      <c r="O2472" s="31" t="n">
        <v>7130.02</v>
      </c>
      <c r="P2472" t="inlineStr">
        <is>
          <t>N</t>
        </is>
      </c>
    </row>
    <row r="2473">
      <c r="A2473" t="inlineStr">
        <is>
          <t>ENC120833</t>
        </is>
      </c>
      <c r="B2473" t="inlineStr">
        <is>
          <t>PT10404</t>
        </is>
      </c>
      <c r="C2473" t="inlineStr">
        <is>
          <t>Inpatient</t>
        </is>
      </c>
      <c r="D2473" t="inlineStr">
        <is>
          <t>Bluestone Memorial Hospital</t>
        </is>
      </c>
      <c r="E2473" t="inlineStr">
        <is>
          <t>Cardiac Step-Down</t>
        </is>
      </c>
      <c r="F2473" t="inlineStr">
        <is>
          <t>Cardiovascular</t>
        </is>
      </c>
      <c r="G2473" s="29" t="n">
        <v>45994</v>
      </c>
      <c r="H2473" s="29" t="n">
        <v>45997</v>
      </c>
      <c r="I2473" s="30" t="n">
        <v>3</v>
      </c>
      <c r="J2473" t="inlineStr">
        <is>
          <t>I21.4</t>
        </is>
      </c>
      <c r="K2473" t="inlineStr">
        <is>
          <t>Non-ST elevation (NSTEMI) myocardial infarction</t>
        </is>
      </c>
      <c r="L2473" t="inlineStr">
        <is>
          <t>Circulatory</t>
        </is>
      </c>
      <c r="M2473" t="inlineStr">
        <is>
          <t>Home/Self-Care</t>
        </is>
      </c>
      <c r="N2473" t="inlineStr">
        <is>
          <t>Keystone Health Partners</t>
        </is>
      </c>
      <c r="O2473" s="31" t="n">
        <v>62660.37</v>
      </c>
      <c r="P2473" t="inlineStr">
        <is>
          <t>Y</t>
        </is>
      </c>
    </row>
    <row r="2474">
      <c r="A2474" t="inlineStr">
        <is>
          <t>ENC120838</t>
        </is>
      </c>
      <c r="B2474" t="inlineStr">
        <is>
          <t>PT13672</t>
        </is>
      </c>
      <c r="C2474" t="inlineStr">
        <is>
          <t>Inpatient</t>
        </is>
      </c>
      <c r="D2474" t="inlineStr">
        <is>
          <t>Cedar Ridge Medical Center</t>
        </is>
      </c>
      <c r="E2474" t="inlineStr">
        <is>
          <t>Medical-Surgical</t>
        </is>
      </c>
      <c r="F2474" t="inlineStr">
        <is>
          <t>Medicine</t>
        </is>
      </c>
      <c r="G2474" s="29" t="n">
        <v>45994</v>
      </c>
      <c r="H2474" s="29" t="n">
        <v>45997</v>
      </c>
      <c r="I2474" s="30" t="n">
        <v>3</v>
      </c>
      <c r="J2474" t="inlineStr">
        <is>
          <t>J44.1</t>
        </is>
      </c>
      <c r="K2474" t="inlineStr">
        <is>
          <t>Chronic obstructive pulmonary disease with (acute) exacerbation</t>
        </is>
      </c>
      <c r="L2474" t="inlineStr">
        <is>
          <t>Respiratory</t>
        </is>
      </c>
      <c r="M2474" t="inlineStr">
        <is>
          <t>Home/Self-Care</t>
        </is>
      </c>
      <c r="N2474" t="inlineStr">
        <is>
          <t>Silverline Medicare Advantage</t>
        </is>
      </c>
      <c r="O2474" s="31" t="n">
        <v>13541.03</v>
      </c>
      <c r="P2474" t="inlineStr">
        <is>
          <t>N</t>
        </is>
      </c>
    </row>
    <row r="2475">
      <c r="A2475" t="inlineStr">
        <is>
          <t>ENC120843</t>
        </is>
      </c>
      <c r="B2475" t="inlineStr">
        <is>
          <t>PT11548</t>
        </is>
      </c>
      <c r="C2475" t="inlineStr">
        <is>
          <t>Outpatient</t>
        </is>
      </c>
      <c r="D2475" t="inlineStr">
        <is>
          <t>Bluestone Outpatient Pavilion</t>
        </is>
      </c>
      <c r="E2475" t="inlineStr">
        <is>
          <t>Endocrinology &amp; Diabetes Clinic</t>
        </is>
      </c>
      <c r="F2475" t="inlineStr">
        <is>
          <t>Ambulatory</t>
        </is>
      </c>
      <c r="G2475" s="29" t="n">
        <v>45994</v>
      </c>
      <c r="H2475" s="29" t="n">
        <v>45994</v>
      </c>
      <c r="I2475" s="30" t="n"/>
      <c r="J2475" t="inlineStr">
        <is>
          <t>E11.9</t>
        </is>
      </c>
      <c r="K2475" t="inlineStr">
        <is>
          <t>Type 2 diabetes mellitus without complications</t>
        </is>
      </c>
      <c r="L2475" t="inlineStr">
        <is>
          <t>Endocrine</t>
        </is>
      </c>
      <c r="M2475" t="inlineStr">
        <is>
          <t>Home/Self-Care</t>
        </is>
      </c>
      <c r="N2475" t="inlineStr">
        <is>
          <t>Evergreen Mutual Insurance</t>
        </is>
      </c>
      <c r="O2475" s="31" t="n">
        <v>295.03</v>
      </c>
    </row>
    <row r="2476">
      <c r="A2476" t="inlineStr">
        <is>
          <t>ENC120848</t>
        </is>
      </c>
      <c r="B2476" t="inlineStr">
        <is>
          <t>PT11156</t>
        </is>
      </c>
      <c r="C2476" t="inlineStr">
        <is>
          <t>Inpatient</t>
        </is>
      </c>
      <c r="D2476" t="inlineStr">
        <is>
          <t>Bluestone Memorial Hospital</t>
        </is>
      </c>
      <c r="E2476" t="inlineStr">
        <is>
          <t>Medical-Surgical 4 West</t>
        </is>
      </c>
      <c r="F2476" t="inlineStr">
        <is>
          <t>Medicine</t>
        </is>
      </c>
      <c r="G2476" s="29" t="n">
        <v>45994</v>
      </c>
      <c r="H2476" s="29" t="n">
        <v>45997</v>
      </c>
      <c r="I2476" s="30" t="n">
        <v>3</v>
      </c>
      <c r="J2476" t="inlineStr">
        <is>
          <t>K35.80</t>
        </is>
      </c>
      <c r="K2476" t="inlineStr">
        <is>
          <t>Unspecified acute appendicitis</t>
        </is>
      </c>
      <c r="L2476" t="inlineStr">
        <is>
          <t>Digestive</t>
        </is>
      </c>
      <c r="M2476" t="inlineStr">
        <is>
          <t>Home/Self-Care</t>
        </is>
      </c>
      <c r="N2476" t="inlineStr">
        <is>
          <t>Evergreen Mutual Insurance</t>
        </is>
      </c>
      <c r="O2476" s="31" t="n">
        <v>43062.37</v>
      </c>
      <c r="P2476" t="inlineStr">
        <is>
          <t>N</t>
        </is>
      </c>
    </row>
    <row r="2477">
      <c r="A2477" t="inlineStr">
        <is>
          <t>ENC120849</t>
        </is>
      </c>
      <c r="B2477" t="inlineStr">
        <is>
          <t>PT10668</t>
        </is>
      </c>
      <c r="C2477" t="inlineStr">
        <is>
          <t>Inpatient</t>
        </is>
      </c>
      <c r="D2477" t="inlineStr">
        <is>
          <t>Cedar Ridge Medical Center</t>
        </is>
      </c>
      <c r="E2477" t="inlineStr">
        <is>
          <t>Intensive Care Unit</t>
        </is>
      </c>
      <c r="F2477" t="inlineStr">
        <is>
          <t>Critical Care</t>
        </is>
      </c>
      <c r="G2477" s="29" t="n">
        <v>45994</v>
      </c>
      <c r="H2477" s="29" t="n">
        <v>46003</v>
      </c>
      <c r="I2477" s="30" t="n">
        <v>9</v>
      </c>
      <c r="J2477" t="inlineStr">
        <is>
          <t>A41.9</t>
        </is>
      </c>
      <c r="K2477" t="inlineStr">
        <is>
          <t>Sepsis, unspecified organism</t>
        </is>
      </c>
      <c r="L2477" t="inlineStr">
        <is>
          <t>Infectious</t>
        </is>
      </c>
      <c r="M2477" t="inlineStr">
        <is>
          <t>Home/Self-Care</t>
        </is>
      </c>
      <c r="N2477" t="inlineStr">
        <is>
          <t>Silverline Medicare Advantage</t>
        </is>
      </c>
      <c r="O2477" s="31" t="n">
        <v>81476.33</v>
      </c>
      <c r="P2477" t="inlineStr">
        <is>
          <t>N</t>
        </is>
      </c>
    </row>
    <row r="2478">
      <c r="A2478" t="inlineStr">
        <is>
          <t>ENC120858</t>
        </is>
      </c>
      <c r="B2478" t="inlineStr">
        <is>
          <t>PT12628</t>
        </is>
      </c>
      <c r="C2478" t="inlineStr">
        <is>
          <t>Emergency</t>
        </is>
      </c>
      <c r="D2478" t="inlineStr">
        <is>
          <t>Bluestone Memorial Hospital</t>
        </is>
      </c>
      <c r="E2478" t="inlineStr">
        <is>
          <t>Emergency Department</t>
        </is>
      </c>
      <c r="F2478" t="inlineStr">
        <is>
          <t>Emergency</t>
        </is>
      </c>
      <c r="G2478" s="29" t="n">
        <v>45994</v>
      </c>
      <c r="H2478" s="29" t="n">
        <v>45994</v>
      </c>
      <c r="I2478" s="30" t="n"/>
      <c r="J2478" t="inlineStr">
        <is>
          <t>F32.9</t>
        </is>
      </c>
      <c r="K2478" t="inlineStr">
        <is>
          <t>Major depressive disorder, single episode, unspecified</t>
        </is>
      </c>
      <c r="L2478" t="inlineStr">
        <is>
          <t>Mental &amp; Behavioral</t>
        </is>
      </c>
      <c r="M2478" t="inlineStr">
        <is>
          <t>Transfer to Another Hospital</t>
        </is>
      </c>
      <c r="N2478" t="inlineStr">
        <is>
          <t>Evergreen Mutual Insurance</t>
        </is>
      </c>
      <c r="O2478" s="31" t="n">
        <v>5135.49</v>
      </c>
    </row>
    <row r="2479">
      <c r="A2479" t="inlineStr">
        <is>
          <t>ENC120863</t>
        </is>
      </c>
      <c r="B2479" t="inlineStr">
        <is>
          <t>PT12908</t>
        </is>
      </c>
      <c r="C2479" t="inlineStr">
        <is>
          <t>Emergency</t>
        </is>
      </c>
      <c r="D2479" t="inlineStr">
        <is>
          <t>Bluestone Memorial Hospital</t>
        </is>
      </c>
      <c r="E2479" t="inlineStr">
        <is>
          <t>Emergency Department</t>
        </is>
      </c>
      <c r="F2479" t="inlineStr">
        <is>
          <t>Emergency</t>
        </is>
      </c>
      <c r="G2479" s="29" t="n">
        <v>45994</v>
      </c>
      <c r="H2479" s="29" t="n">
        <v>45995</v>
      </c>
      <c r="I2479" s="30" t="n"/>
      <c r="J2479" t="inlineStr">
        <is>
          <t>J06.9</t>
        </is>
      </c>
      <c r="K2479" t="inlineStr">
        <is>
          <t>Acute upper respiratory infection, unspecified</t>
        </is>
      </c>
      <c r="L2479" t="inlineStr">
        <is>
          <t>Respiratory</t>
        </is>
      </c>
      <c r="M2479" t="inlineStr">
        <is>
          <t>Home/Self-Care</t>
        </is>
      </c>
      <c r="N2479" t="inlineStr">
        <is>
          <t>Evergreen Mutual Insurance</t>
        </is>
      </c>
      <c r="O2479" s="31" t="n">
        <v>1689.16</v>
      </c>
    </row>
    <row r="2480">
      <c r="A2480" t="inlineStr">
        <is>
          <t>ENC120864</t>
        </is>
      </c>
      <c r="B2480" t="inlineStr">
        <is>
          <t>PT13708</t>
        </is>
      </c>
      <c r="C2480" t="inlineStr">
        <is>
          <t>Emergency</t>
        </is>
      </c>
      <c r="D2480" t="inlineStr">
        <is>
          <t>Bluestone Memorial Hospital</t>
        </is>
      </c>
      <c r="E2480" t="inlineStr">
        <is>
          <t>Emergency Department</t>
        </is>
      </c>
      <c r="F2480" t="inlineStr">
        <is>
          <t>Emergency</t>
        </is>
      </c>
      <c r="G2480" s="29" t="n">
        <v>45994</v>
      </c>
      <c r="H2480" s="29" t="n">
        <v>45995</v>
      </c>
      <c r="I2480" s="30" t="n"/>
      <c r="J2480" t="inlineStr">
        <is>
          <t>G43.909</t>
        </is>
      </c>
      <c r="K2480" t="inlineStr">
        <is>
          <t>Migraine, unspecified, not intractable, without status migrainosus</t>
        </is>
      </c>
      <c r="L2480" t="inlineStr">
        <is>
          <t>Nervous System</t>
        </is>
      </c>
      <c r="M2480" t="inlineStr">
        <is>
          <t>Home/Self-Care</t>
        </is>
      </c>
      <c r="N2480" t="inlineStr">
        <is>
          <t>Summit Choice PPO</t>
        </is>
      </c>
      <c r="O2480" s="31" t="n">
        <v>1328.03</v>
      </c>
    </row>
    <row r="2481">
      <c r="A2481" t="inlineStr">
        <is>
          <t>ENC120876</t>
        </is>
      </c>
      <c r="B2481" t="inlineStr">
        <is>
          <t>PT10184</t>
        </is>
      </c>
      <c r="C2481" t="inlineStr">
        <is>
          <t>Outpatient</t>
        </is>
      </c>
      <c r="D2481" t="inlineStr">
        <is>
          <t>Bluestone Outpatient Pavilion</t>
        </is>
      </c>
      <c r="E2481" t="inlineStr">
        <is>
          <t>Primary Care Clinic</t>
        </is>
      </c>
      <c r="F2481" t="inlineStr">
        <is>
          <t>Ambulatory</t>
        </is>
      </c>
      <c r="G2481" s="29" t="n">
        <v>45995</v>
      </c>
      <c r="H2481" s="29" t="n">
        <v>45995</v>
      </c>
      <c r="I2481" s="30" t="n"/>
      <c r="J2481" t="inlineStr">
        <is>
          <t>J06.9</t>
        </is>
      </c>
      <c r="K2481" t="inlineStr">
        <is>
          <t>Acute upper respiratory infection, unspecified</t>
        </is>
      </c>
      <c r="L2481" t="inlineStr">
        <is>
          <t>Respiratory</t>
        </is>
      </c>
      <c r="M2481" t="inlineStr">
        <is>
          <t>Home/Self-Care</t>
        </is>
      </c>
      <c r="N2481" t="inlineStr">
        <is>
          <t>Keystone Health Partners</t>
        </is>
      </c>
      <c r="O2481" s="31" t="n">
        <v>266.22</v>
      </c>
    </row>
    <row r="2482">
      <c r="A2482" t="inlineStr">
        <is>
          <t>ENC120878</t>
        </is>
      </c>
      <c r="B2482" t="inlineStr">
        <is>
          <t>PT10032</t>
        </is>
      </c>
      <c r="C2482" t="inlineStr">
        <is>
          <t>Emergency</t>
        </is>
      </c>
      <c r="D2482" t="inlineStr">
        <is>
          <t>Cedar Ridge Medical Center</t>
        </is>
      </c>
      <c r="E2482" t="inlineStr">
        <is>
          <t>Emergency Department</t>
        </is>
      </c>
      <c r="F2482" t="inlineStr">
        <is>
          <t>Emergency</t>
        </is>
      </c>
      <c r="G2482" s="29" t="n">
        <v>45995</v>
      </c>
      <c r="H2482" s="29" t="n">
        <v>45995</v>
      </c>
      <c r="I2482" s="30" t="n"/>
      <c r="J2482" t="inlineStr">
        <is>
          <t>S93.401A</t>
        </is>
      </c>
      <c r="K2482" t="inlineStr">
        <is>
          <t>Sprain of unspecified ligament of right ankle, initial encounter</t>
        </is>
      </c>
      <c r="L2482" t="inlineStr">
        <is>
          <t>Injury</t>
        </is>
      </c>
      <c r="M2482" t="inlineStr">
        <is>
          <t>Home/Self-Care</t>
        </is>
      </c>
      <c r="N2482" t="inlineStr">
        <is>
          <t>State Medicaid</t>
        </is>
      </c>
      <c r="O2482" s="31" t="n">
        <v>717.2</v>
      </c>
    </row>
    <row r="2483">
      <c r="A2483" t="inlineStr">
        <is>
          <t>ENC120889</t>
        </is>
      </c>
      <c r="B2483" t="inlineStr">
        <is>
          <t>PT13476</t>
        </is>
      </c>
      <c r="C2483" t="inlineStr">
        <is>
          <t>Outpatient</t>
        </is>
      </c>
      <c r="D2483" t="inlineStr">
        <is>
          <t>Bluestone Outpatient Pavilion</t>
        </is>
      </c>
      <c r="E2483" t="inlineStr">
        <is>
          <t>Primary Care Clinic</t>
        </is>
      </c>
      <c r="F2483" t="inlineStr">
        <is>
          <t>Ambulatory</t>
        </is>
      </c>
      <c r="G2483" s="29" t="n">
        <v>45995</v>
      </c>
      <c r="H2483" s="29" t="n">
        <v>45995</v>
      </c>
      <c r="I2483" s="30" t="n"/>
      <c r="J2483" t="inlineStr">
        <is>
          <t>I10</t>
        </is>
      </c>
      <c r="K2483" t="inlineStr">
        <is>
          <t>Essential (primary) hypertension</t>
        </is>
      </c>
      <c r="L2483" t="inlineStr">
        <is>
          <t>Circulatory</t>
        </is>
      </c>
      <c r="M2483" t="inlineStr">
        <is>
          <t>Home/Self-Care</t>
        </is>
      </c>
      <c r="N2483" t="inlineStr">
        <is>
          <t>Medicare</t>
        </is>
      </c>
      <c r="O2483" s="31" t="n">
        <v>361.02</v>
      </c>
    </row>
    <row r="2484">
      <c r="A2484" t="inlineStr">
        <is>
          <t>ENC120890</t>
        </is>
      </c>
      <c r="B2484" t="inlineStr">
        <is>
          <t>PT11412</t>
        </is>
      </c>
      <c r="C2484" t="inlineStr">
        <is>
          <t>Outpatient</t>
        </is>
      </c>
      <c r="D2484" t="inlineStr">
        <is>
          <t>Bluestone Outpatient Pavilion</t>
        </is>
      </c>
      <c r="E2484" t="inlineStr">
        <is>
          <t>Primary Care Clinic</t>
        </is>
      </c>
      <c r="F2484" t="inlineStr">
        <is>
          <t>Ambulatory</t>
        </is>
      </c>
      <c r="G2484" s="29" t="n">
        <v>45995</v>
      </c>
      <c r="H2484" s="29" t="n">
        <v>45995</v>
      </c>
      <c r="I2484" s="30" t="n"/>
      <c r="J2484" t="inlineStr">
        <is>
          <t>J44.1</t>
        </is>
      </c>
      <c r="K2484" t="inlineStr">
        <is>
          <t>Chronic obstructive pulmonary disease with (acute) exacerbation</t>
        </is>
      </c>
      <c r="L2484" t="inlineStr">
        <is>
          <t>Respiratory</t>
        </is>
      </c>
      <c r="M2484" t="inlineStr">
        <is>
          <t>Home/Self-Care</t>
        </is>
      </c>
      <c r="N2484" t="inlineStr">
        <is>
          <t>Medicare</t>
        </is>
      </c>
      <c r="O2484" s="31" t="n">
        <v>433.97</v>
      </c>
    </row>
    <row r="2485">
      <c r="A2485" t="inlineStr">
        <is>
          <t>ENC120898</t>
        </is>
      </c>
      <c r="B2485" t="inlineStr">
        <is>
          <t>PT13992</t>
        </is>
      </c>
      <c r="C2485" t="inlineStr">
        <is>
          <t>Outpatient</t>
        </is>
      </c>
      <c r="D2485" t="inlineStr">
        <is>
          <t>Bluestone Outpatient Pavilion</t>
        </is>
      </c>
      <c r="E2485" t="inlineStr">
        <is>
          <t>Pediatric Clinic</t>
        </is>
      </c>
      <c r="F2485" t="inlineStr">
        <is>
          <t>Women &amp; Children</t>
        </is>
      </c>
      <c r="G2485" s="29" t="n">
        <v>45995</v>
      </c>
      <c r="H2485" s="29" t="n">
        <v>45995</v>
      </c>
      <c r="I2485" s="30" t="n"/>
      <c r="J2485" t="inlineStr">
        <is>
          <t>Z23</t>
        </is>
      </c>
      <c r="K2485" t="inlineStr">
        <is>
          <t>Encounter for immunization</t>
        </is>
      </c>
      <c r="L2485" t="inlineStr">
        <is>
          <t>Factors Influencing Health</t>
        </is>
      </c>
      <c r="M2485" t="inlineStr">
        <is>
          <t>Home/Self-Care</t>
        </is>
      </c>
      <c r="N2485" t="inlineStr">
        <is>
          <t>State Medicaid</t>
        </is>
      </c>
      <c r="O2485" s="31" t="n">
        <v>124.34</v>
      </c>
    </row>
    <row r="2486">
      <c r="A2486" t="inlineStr">
        <is>
          <t>ENC120900</t>
        </is>
      </c>
      <c r="B2486" t="inlineStr">
        <is>
          <t>PT13500</t>
        </is>
      </c>
      <c r="C2486" t="inlineStr">
        <is>
          <t>Outpatient</t>
        </is>
      </c>
      <c r="D2486" t="inlineStr">
        <is>
          <t>Bluestone Outpatient Pavilion</t>
        </is>
      </c>
      <c r="E2486" t="inlineStr">
        <is>
          <t>Primary Care Clinic</t>
        </is>
      </c>
      <c r="F2486" t="inlineStr">
        <is>
          <t>Ambulatory</t>
        </is>
      </c>
      <c r="G2486" s="29" t="n">
        <v>45995</v>
      </c>
      <c r="H2486" s="29" t="n">
        <v>45995</v>
      </c>
      <c r="I2486" s="30" t="n"/>
      <c r="J2486" t="inlineStr">
        <is>
          <t>I10</t>
        </is>
      </c>
      <c r="K2486" t="inlineStr">
        <is>
          <t>Essential (primary) hypertension</t>
        </is>
      </c>
      <c r="L2486" t="inlineStr">
        <is>
          <t>Circulatory</t>
        </is>
      </c>
      <c r="M2486" t="inlineStr">
        <is>
          <t>Home/Self-Care</t>
        </is>
      </c>
      <c r="N2486" t="inlineStr">
        <is>
          <t>Medicare</t>
        </is>
      </c>
      <c r="O2486" s="31" t="n">
        <v>263.73</v>
      </c>
    </row>
    <row r="2487">
      <c r="A2487" t="inlineStr">
        <is>
          <t>ENC120902</t>
        </is>
      </c>
      <c r="B2487" t="inlineStr">
        <is>
          <t>PT12412</t>
        </is>
      </c>
      <c r="C2487" t="inlineStr">
        <is>
          <t>Inpatient</t>
        </is>
      </c>
      <c r="D2487" t="inlineStr">
        <is>
          <t>Bluestone Memorial Hospital</t>
        </is>
      </c>
      <c r="E2487" t="inlineStr">
        <is>
          <t>Neuroscience &amp; Stroke</t>
        </is>
      </c>
      <c r="F2487" t="inlineStr">
        <is>
          <t>Neuroscience</t>
        </is>
      </c>
      <c r="G2487" s="29" t="n">
        <v>45995</v>
      </c>
      <c r="H2487" s="29" t="n">
        <v>45997</v>
      </c>
      <c r="I2487" s="30" t="n">
        <v>2</v>
      </c>
      <c r="J2487" t="inlineStr">
        <is>
          <t>I63.9</t>
        </is>
      </c>
      <c r="K2487" t="inlineStr">
        <is>
          <t>Cerebral infarction, unspecified</t>
        </is>
      </c>
      <c r="L2487" t="inlineStr">
        <is>
          <t>Circulatory</t>
        </is>
      </c>
      <c r="M2487" t="inlineStr">
        <is>
          <t>Skilled Nursing Facility</t>
        </is>
      </c>
      <c r="N2487" t="inlineStr">
        <is>
          <t>State Medicaid</t>
        </is>
      </c>
      <c r="O2487" s="31" t="n">
        <v>14684.29</v>
      </c>
      <c r="P2487" t="inlineStr">
        <is>
          <t>N</t>
        </is>
      </c>
    </row>
    <row r="2488">
      <c r="A2488" t="inlineStr">
        <is>
          <t>ENC120910</t>
        </is>
      </c>
      <c r="B2488" t="inlineStr">
        <is>
          <t>PT10912</t>
        </is>
      </c>
      <c r="C2488" t="inlineStr">
        <is>
          <t>Inpatient</t>
        </is>
      </c>
      <c r="D2488" t="inlineStr">
        <is>
          <t>Bluestone Memorial Hospital</t>
        </is>
      </c>
      <c r="E2488" t="inlineStr">
        <is>
          <t>Medical-Surgical 4 West</t>
        </is>
      </c>
      <c r="F2488" t="inlineStr">
        <is>
          <t>Medicine</t>
        </is>
      </c>
      <c r="G2488" s="29" t="n">
        <v>45996</v>
      </c>
      <c r="H2488" s="29" t="n">
        <v>45998</v>
      </c>
      <c r="I2488" s="30" t="n">
        <v>2</v>
      </c>
      <c r="J2488" t="inlineStr">
        <is>
          <t>J45.909</t>
        </is>
      </c>
      <c r="K2488" t="inlineStr">
        <is>
          <t>Unspecified asthma, uncomplicated</t>
        </is>
      </c>
      <c r="L2488" t="inlineStr">
        <is>
          <t>Respiratory</t>
        </is>
      </c>
      <c r="M2488" t="inlineStr">
        <is>
          <t>Home/Self-Care</t>
        </is>
      </c>
      <c r="N2488" t="inlineStr">
        <is>
          <t>Keystone Health Partners</t>
        </is>
      </c>
      <c r="O2488" s="31" t="n">
        <v>11609.9</v>
      </c>
      <c r="P2488" t="inlineStr">
        <is>
          <t>N</t>
        </is>
      </c>
    </row>
    <row r="2489">
      <c r="A2489" t="inlineStr">
        <is>
          <t>ENC120914</t>
        </is>
      </c>
      <c r="B2489" t="inlineStr">
        <is>
          <t>PT13492</t>
        </is>
      </c>
      <c r="C2489" t="inlineStr">
        <is>
          <t>Outpatient</t>
        </is>
      </c>
      <c r="D2489" t="inlineStr">
        <is>
          <t>Bluestone Outpatient Pavilion</t>
        </is>
      </c>
      <c r="E2489" t="inlineStr">
        <is>
          <t>Cardiology Clinic</t>
        </is>
      </c>
      <c r="F2489" t="inlineStr">
        <is>
          <t>Cardiovascular</t>
        </is>
      </c>
      <c r="G2489" s="29" t="n">
        <v>45996</v>
      </c>
      <c r="H2489" s="29" t="n">
        <v>45996</v>
      </c>
      <c r="I2489" s="30" t="n"/>
      <c r="J2489" t="inlineStr">
        <is>
          <t>I50.9</t>
        </is>
      </c>
      <c r="K2489" t="inlineStr">
        <is>
          <t>Heart failure, unspecified</t>
        </is>
      </c>
      <c r="L2489" t="inlineStr">
        <is>
          <t>Circulatory</t>
        </is>
      </c>
      <c r="M2489" t="inlineStr">
        <is>
          <t>Home/Self-Care</t>
        </is>
      </c>
      <c r="N2489" t="inlineStr">
        <is>
          <t>Self-Pay</t>
        </is>
      </c>
      <c r="O2489" s="31" t="n">
        <v>597.05</v>
      </c>
    </row>
    <row r="2490">
      <c r="A2490" t="inlineStr">
        <is>
          <t>ENC120921</t>
        </is>
      </c>
      <c r="B2490" t="inlineStr">
        <is>
          <t>PT12444</t>
        </is>
      </c>
      <c r="C2490" t="inlineStr">
        <is>
          <t>Emergency</t>
        </is>
      </c>
      <c r="D2490" t="inlineStr">
        <is>
          <t>Bluestone Memorial Hospital</t>
        </is>
      </c>
      <c r="E2490" t="inlineStr">
        <is>
          <t>Emergency Department</t>
        </is>
      </c>
      <c r="F2490" t="inlineStr">
        <is>
          <t>Emergency</t>
        </is>
      </c>
      <c r="G2490" s="29" t="n">
        <v>45996</v>
      </c>
      <c r="H2490" s="29" t="n">
        <v>45996</v>
      </c>
      <c r="I2490" s="30" t="n"/>
      <c r="J2490" t="inlineStr">
        <is>
          <t>M54.50</t>
        </is>
      </c>
      <c r="K2490" t="inlineStr">
        <is>
          <t>Low back pain, unspecified</t>
        </is>
      </c>
      <c r="L2490" t="inlineStr">
        <is>
          <t>Musculoskeletal</t>
        </is>
      </c>
      <c r="M2490" t="inlineStr">
        <is>
          <t>Home/Self-Care</t>
        </is>
      </c>
      <c r="N2490" t="inlineStr">
        <is>
          <t>Keystone Health Partners</t>
        </is>
      </c>
      <c r="O2490" s="31" t="n">
        <v>1686.25</v>
      </c>
    </row>
    <row r="2491">
      <c r="A2491" t="inlineStr">
        <is>
          <t>ENC120922</t>
        </is>
      </c>
      <c r="B2491" t="inlineStr">
        <is>
          <t>PT12120</t>
        </is>
      </c>
      <c r="C2491" t="inlineStr">
        <is>
          <t>Outpatient</t>
        </is>
      </c>
      <c r="D2491" t="inlineStr">
        <is>
          <t>Bluestone Outpatient Pavilion</t>
        </is>
      </c>
      <c r="E2491" t="inlineStr">
        <is>
          <t>Orthopedic Clinic</t>
        </is>
      </c>
      <c r="F2491" t="inlineStr">
        <is>
          <t>Orthopedics</t>
        </is>
      </c>
      <c r="G2491" s="29" t="n">
        <v>45996</v>
      </c>
      <c r="H2491" s="29" t="n">
        <v>45996</v>
      </c>
      <c r="I2491" s="30" t="n"/>
      <c r="J2491" t="inlineStr">
        <is>
          <t>M17.11</t>
        </is>
      </c>
      <c r="K2491" t="inlineStr">
        <is>
          <t>Unilateral primary osteoarthritis, right knee</t>
        </is>
      </c>
      <c r="L2491" t="inlineStr">
        <is>
          <t>Musculoskeletal</t>
        </is>
      </c>
      <c r="M2491" t="inlineStr">
        <is>
          <t>Home/Self-Care</t>
        </is>
      </c>
      <c r="N2491" t="inlineStr">
        <is>
          <t>State Medicaid</t>
        </is>
      </c>
      <c r="O2491" s="31" t="n">
        <v>103.77</v>
      </c>
    </row>
    <row r="2492">
      <c r="A2492" t="inlineStr">
        <is>
          <t>ENC120923</t>
        </is>
      </c>
      <c r="B2492" t="inlineStr">
        <is>
          <t>PT12156</t>
        </is>
      </c>
      <c r="C2492" t="inlineStr">
        <is>
          <t>Outpatient</t>
        </is>
      </c>
      <c r="D2492" t="inlineStr">
        <is>
          <t>Bluestone Outpatient Pavilion</t>
        </is>
      </c>
      <c r="E2492" t="inlineStr">
        <is>
          <t>Infusion &amp; Oncology Clinic</t>
        </is>
      </c>
      <c r="F2492" t="inlineStr">
        <is>
          <t>Oncology</t>
        </is>
      </c>
      <c r="G2492" s="29" t="n">
        <v>45996</v>
      </c>
      <c r="H2492" s="29" t="n">
        <v>45996</v>
      </c>
      <c r="I2492" s="30" t="n"/>
      <c r="J2492" t="inlineStr">
        <is>
          <t>C50.911</t>
        </is>
      </c>
      <c r="K2492" t="inlineStr">
        <is>
          <t>Malignant neoplasm of unspecified site of right female breast</t>
        </is>
      </c>
      <c r="L2492" t="inlineStr">
        <is>
          <t>Neoplasms</t>
        </is>
      </c>
      <c r="M2492" t="inlineStr">
        <is>
          <t>Home/Self-Care</t>
        </is>
      </c>
      <c r="N2492" t="inlineStr">
        <is>
          <t>State Medicaid</t>
        </is>
      </c>
      <c r="O2492" s="31" t="n">
        <v>738.16</v>
      </c>
    </row>
    <row r="2493">
      <c r="A2493" t="inlineStr">
        <is>
          <t>ENC120931</t>
        </is>
      </c>
      <c r="B2493" t="inlineStr">
        <is>
          <t>PT10868</t>
        </is>
      </c>
      <c r="C2493" t="inlineStr">
        <is>
          <t>Outpatient</t>
        </is>
      </c>
      <c r="D2493" t="inlineStr">
        <is>
          <t>Bluestone Outpatient Pavilion</t>
        </is>
      </c>
      <c r="E2493" t="inlineStr">
        <is>
          <t>Primary Care Clinic</t>
        </is>
      </c>
      <c r="F2493" t="inlineStr">
        <is>
          <t>Ambulatory</t>
        </is>
      </c>
      <c r="G2493" s="29" t="n">
        <v>45996</v>
      </c>
      <c r="H2493" s="29" t="n">
        <v>45996</v>
      </c>
      <c r="I2493" s="30" t="n"/>
      <c r="J2493" t="inlineStr">
        <is>
          <t>Z23</t>
        </is>
      </c>
      <c r="K2493" t="inlineStr">
        <is>
          <t>Encounter for immunization</t>
        </is>
      </c>
      <c r="L2493" t="inlineStr">
        <is>
          <t>Factors Influencing Health</t>
        </is>
      </c>
      <c r="M2493" t="inlineStr">
        <is>
          <t>Home/Self-Care</t>
        </is>
      </c>
      <c r="N2493" t="inlineStr">
        <is>
          <t>Keystone Health Partners</t>
        </is>
      </c>
      <c r="O2493" s="31" t="n">
        <v>107.01</v>
      </c>
    </row>
    <row r="2494">
      <c r="A2494" t="inlineStr">
        <is>
          <t>ENC120933</t>
        </is>
      </c>
      <c r="B2494" t="inlineStr">
        <is>
          <t>PT13412</t>
        </is>
      </c>
      <c r="C2494" t="inlineStr">
        <is>
          <t>Outpatient</t>
        </is>
      </c>
      <c r="D2494" t="inlineStr">
        <is>
          <t>Bluestone Outpatient Pavilion</t>
        </is>
      </c>
      <c r="E2494" t="inlineStr">
        <is>
          <t>Endocrinology &amp; Diabetes Clinic</t>
        </is>
      </c>
      <c r="F2494" t="inlineStr">
        <is>
          <t>Ambulatory</t>
        </is>
      </c>
      <c r="G2494" s="29" t="n">
        <v>45996</v>
      </c>
      <c r="H2494" s="29" t="n">
        <v>45996</v>
      </c>
      <c r="I2494" s="30" t="n"/>
      <c r="J2494" t="inlineStr">
        <is>
          <t>E11.9</t>
        </is>
      </c>
      <c r="K2494" t="inlineStr">
        <is>
          <t>Type 2 diabetes mellitus without complications</t>
        </is>
      </c>
      <c r="L2494" t="inlineStr">
        <is>
          <t>Endocrine</t>
        </is>
      </c>
      <c r="M2494" t="inlineStr">
        <is>
          <t>Home/Self-Care</t>
        </is>
      </c>
      <c r="N2494" t="inlineStr">
        <is>
          <t>Medicare</t>
        </is>
      </c>
      <c r="O2494" s="31" t="n">
        <v>311.35</v>
      </c>
    </row>
    <row r="2495">
      <c r="A2495" t="inlineStr">
        <is>
          <t>ENC120938</t>
        </is>
      </c>
      <c r="B2495" t="inlineStr">
        <is>
          <t>PT11416</t>
        </is>
      </c>
      <c r="C2495" t="inlineStr">
        <is>
          <t>Outpatient</t>
        </is>
      </c>
      <c r="D2495" t="inlineStr">
        <is>
          <t>Bluestone Outpatient Pavilion</t>
        </is>
      </c>
      <c r="E2495" t="inlineStr">
        <is>
          <t>Orthopedic Clinic</t>
        </is>
      </c>
      <c r="F2495" t="inlineStr">
        <is>
          <t>Orthopedics</t>
        </is>
      </c>
      <c r="G2495" s="29" t="n">
        <v>45996</v>
      </c>
      <c r="H2495" s="29" t="n">
        <v>45996</v>
      </c>
      <c r="I2495" s="30" t="n"/>
      <c r="J2495" t="inlineStr">
        <is>
          <t>M16.11</t>
        </is>
      </c>
      <c r="K2495" t="inlineStr">
        <is>
          <t>Unilateral primary osteoarthritis, right hip</t>
        </is>
      </c>
      <c r="L2495" t="inlineStr">
        <is>
          <t>Musculoskeletal</t>
        </is>
      </c>
      <c r="M2495" t="inlineStr">
        <is>
          <t>Home/Self-Care</t>
        </is>
      </c>
      <c r="N2495" t="inlineStr">
        <is>
          <t>State Medicaid</t>
        </is>
      </c>
      <c r="O2495" s="31" t="n">
        <v>223.24</v>
      </c>
    </row>
    <row r="2496">
      <c r="A2496" t="inlineStr">
        <is>
          <t>ENC120954</t>
        </is>
      </c>
      <c r="B2496" t="inlineStr">
        <is>
          <t>PT10420</t>
        </is>
      </c>
      <c r="C2496" t="inlineStr">
        <is>
          <t>Emergency</t>
        </is>
      </c>
      <c r="D2496" t="inlineStr">
        <is>
          <t>Bluestone Memorial Hospital</t>
        </is>
      </c>
      <c r="E2496" t="inlineStr">
        <is>
          <t>Emergency Department</t>
        </is>
      </c>
      <c r="F2496" t="inlineStr">
        <is>
          <t>Emergency</t>
        </is>
      </c>
      <c r="G2496" s="29" t="n">
        <v>45996</v>
      </c>
      <c r="H2496" s="29" t="n">
        <v>45997</v>
      </c>
      <c r="I2496" s="30" t="n"/>
      <c r="J2496" t="inlineStr">
        <is>
          <t>J44.1</t>
        </is>
      </c>
      <c r="K2496" t="inlineStr">
        <is>
          <t>Chronic obstructive pulmonary disease with (acute) exacerbation</t>
        </is>
      </c>
      <c r="L2496" t="inlineStr">
        <is>
          <t>Respiratory</t>
        </is>
      </c>
      <c r="M2496" t="inlineStr">
        <is>
          <t>Home/Self-Care</t>
        </is>
      </c>
      <c r="N2496" t="inlineStr">
        <is>
          <t>Evergreen Mutual Insurance</t>
        </is>
      </c>
      <c r="O2496" s="31" t="n">
        <v>1550.86</v>
      </c>
    </row>
    <row r="2497">
      <c r="A2497" t="inlineStr">
        <is>
          <t>ENC120955</t>
        </is>
      </c>
      <c r="B2497" t="inlineStr">
        <is>
          <t>PT11124</t>
        </is>
      </c>
      <c r="C2497" t="inlineStr">
        <is>
          <t>Inpatient</t>
        </is>
      </c>
      <c r="D2497" t="inlineStr">
        <is>
          <t>Bluestone Memorial Hospital</t>
        </is>
      </c>
      <c r="E2497" t="inlineStr">
        <is>
          <t>Behavioral Health</t>
        </is>
      </c>
      <c r="F2497" t="inlineStr">
        <is>
          <t>Behavioral Health</t>
        </is>
      </c>
      <c r="G2497" s="29" t="n">
        <v>45997</v>
      </c>
      <c r="H2497" s="29" t="n">
        <v>46005</v>
      </c>
      <c r="I2497" s="30" t="n">
        <v>8</v>
      </c>
      <c r="J2497" t="inlineStr">
        <is>
          <t>F20.9</t>
        </is>
      </c>
      <c r="K2497" t="inlineStr">
        <is>
          <t>Schizophrenia, unspecified</t>
        </is>
      </c>
      <c r="L2497" t="inlineStr">
        <is>
          <t>Mental &amp; Behavioral</t>
        </is>
      </c>
      <c r="M2497" t="inlineStr">
        <is>
          <t>Home/Self-Care</t>
        </is>
      </c>
      <c r="N2497" t="inlineStr">
        <is>
          <t>Evergreen Mutual Insurance</t>
        </is>
      </c>
      <c r="O2497" s="31" t="n">
        <v>30634.73</v>
      </c>
      <c r="P2497" t="inlineStr">
        <is>
          <t>N</t>
        </is>
      </c>
    </row>
    <row r="2498">
      <c r="A2498" t="inlineStr">
        <is>
          <t>ENC120956</t>
        </is>
      </c>
      <c r="B2498" t="inlineStr">
        <is>
          <t>PT12304</t>
        </is>
      </c>
      <c r="C2498" t="inlineStr">
        <is>
          <t>Inpatient</t>
        </is>
      </c>
      <c r="D2498" t="inlineStr">
        <is>
          <t>Bluestone Memorial Hospital</t>
        </is>
      </c>
      <c r="E2498" t="inlineStr">
        <is>
          <t>Cardiac Step-Down</t>
        </is>
      </c>
      <c r="F2498" t="inlineStr">
        <is>
          <t>Cardiovascular</t>
        </is>
      </c>
      <c r="G2498" s="29" t="n">
        <v>45997</v>
      </c>
      <c r="H2498" s="29" t="n">
        <v>45999</v>
      </c>
      <c r="I2498" s="30" t="n">
        <v>2</v>
      </c>
      <c r="J2498" t="inlineStr">
        <is>
          <t>I50.9</t>
        </is>
      </c>
      <c r="K2498" t="inlineStr">
        <is>
          <t>Heart failure, unspecified</t>
        </is>
      </c>
      <c r="L2498" t="inlineStr">
        <is>
          <t>Circulatory</t>
        </is>
      </c>
      <c r="M2498" t="inlineStr">
        <is>
          <t>Home Health</t>
        </is>
      </c>
      <c r="N2498" t="inlineStr">
        <is>
          <t>Medicare</t>
        </is>
      </c>
      <c r="O2498" s="31" t="n">
        <v>21597.84</v>
      </c>
      <c r="P2498" t="inlineStr">
        <is>
          <t>N</t>
        </is>
      </c>
    </row>
    <row r="2499">
      <c r="A2499" t="inlineStr">
        <is>
          <t>ENC120970</t>
        </is>
      </c>
      <c r="B2499" t="inlineStr">
        <is>
          <t>PT13076</t>
        </is>
      </c>
      <c r="C2499" t="inlineStr">
        <is>
          <t>Inpatient</t>
        </is>
      </c>
      <c r="D2499" t="inlineStr">
        <is>
          <t>Ashby Falls Community Hospital</t>
        </is>
      </c>
      <c r="E2499" t="inlineStr">
        <is>
          <t>Medical-Surgical</t>
        </is>
      </c>
      <c r="F2499" t="inlineStr">
        <is>
          <t>Medicine</t>
        </is>
      </c>
      <c r="G2499" s="29" t="n">
        <v>45997</v>
      </c>
      <c r="H2499" s="29" t="n">
        <v>46000</v>
      </c>
      <c r="I2499" s="30" t="n">
        <v>3</v>
      </c>
      <c r="J2499" t="inlineStr">
        <is>
          <t>I48.91</t>
        </is>
      </c>
      <c r="K2499" t="inlineStr">
        <is>
          <t>Unspecified atrial fibrillation</t>
        </is>
      </c>
      <c r="L2499" t="inlineStr">
        <is>
          <t>Circulatory</t>
        </is>
      </c>
      <c r="M2499" t="inlineStr">
        <is>
          <t>Home/Self-Care</t>
        </is>
      </c>
      <c r="N2499" t="inlineStr">
        <is>
          <t>Keystone Health Partners</t>
        </is>
      </c>
      <c r="O2499" s="31" t="n">
        <v>24767.24</v>
      </c>
      <c r="P2499" t="inlineStr">
        <is>
          <t>N</t>
        </is>
      </c>
    </row>
    <row r="2500">
      <c r="A2500" t="inlineStr">
        <is>
          <t>ENC120974</t>
        </is>
      </c>
      <c r="B2500" t="inlineStr">
        <is>
          <t>PT10196</t>
        </is>
      </c>
      <c r="C2500" t="inlineStr">
        <is>
          <t>Inpatient</t>
        </is>
      </c>
      <c r="D2500" t="inlineStr">
        <is>
          <t>Bluestone Memorial Hospital</t>
        </is>
      </c>
      <c r="E2500" t="inlineStr">
        <is>
          <t>Intensive Care Unit</t>
        </is>
      </c>
      <c r="F2500" t="inlineStr">
        <is>
          <t>Critical Care</t>
        </is>
      </c>
      <c r="G2500" s="29" t="n">
        <v>45997</v>
      </c>
      <c r="H2500" s="29" t="n">
        <v>46004</v>
      </c>
      <c r="I2500" s="30" t="n">
        <v>7</v>
      </c>
      <c r="J2500" t="inlineStr">
        <is>
          <t>J96.01</t>
        </is>
      </c>
      <c r="K2500" t="inlineStr">
        <is>
          <t>Acute respiratory failure with hypoxia</t>
        </is>
      </c>
      <c r="L2500" t="inlineStr">
        <is>
          <t>Respiratory</t>
        </is>
      </c>
      <c r="M2500" t="inlineStr">
        <is>
          <t>Home Health</t>
        </is>
      </c>
      <c r="N2500" t="inlineStr">
        <is>
          <t>Silverline Medicare Advantage</t>
        </is>
      </c>
      <c r="O2500" s="31" t="n">
        <v>88135.64999999999</v>
      </c>
      <c r="P2500" t="inlineStr">
        <is>
          <t>N</t>
        </is>
      </c>
    </row>
    <row r="2501">
      <c r="A2501" t="inlineStr">
        <is>
          <t>ENC120977</t>
        </is>
      </c>
      <c r="B2501" t="inlineStr">
        <is>
          <t>PT11988</t>
        </is>
      </c>
      <c r="C2501" t="inlineStr">
        <is>
          <t>Inpatient</t>
        </is>
      </c>
      <c r="D2501" t="inlineStr">
        <is>
          <t>Bluestone Memorial Hospital</t>
        </is>
      </c>
      <c r="E2501" t="inlineStr">
        <is>
          <t>Medical-Surgical 4 West</t>
        </is>
      </c>
      <c r="F2501" t="inlineStr">
        <is>
          <t>Medicine</t>
        </is>
      </c>
      <c r="G2501" s="29" t="n">
        <v>45997</v>
      </c>
      <c r="H2501" s="29" t="n">
        <v>46001</v>
      </c>
      <c r="I2501" s="30" t="n">
        <v>4</v>
      </c>
      <c r="J2501" t="inlineStr">
        <is>
          <t>J44.1</t>
        </is>
      </c>
      <c r="K2501" t="inlineStr">
        <is>
          <t>Chronic obstructive pulmonary disease with (acute) exacerbation</t>
        </is>
      </c>
      <c r="L2501" t="inlineStr">
        <is>
          <t>Respiratory</t>
        </is>
      </c>
      <c r="M2501" t="inlineStr">
        <is>
          <t>Home Health</t>
        </is>
      </c>
      <c r="N2501" t="inlineStr">
        <is>
          <t>Medicare</t>
        </is>
      </c>
      <c r="O2501" s="31" t="n">
        <v>19463.54</v>
      </c>
      <c r="P2501" t="inlineStr">
        <is>
          <t>N</t>
        </is>
      </c>
    </row>
    <row r="2502">
      <c r="A2502" t="inlineStr">
        <is>
          <t>ENC120978</t>
        </is>
      </c>
      <c r="B2502" t="inlineStr">
        <is>
          <t>PT12368</t>
        </is>
      </c>
      <c r="C2502" t="inlineStr">
        <is>
          <t>Inpatient</t>
        </is>
      </c>
      <c r="D2502" t="inlineStr">
        <is>
          <t>Ashby Falls Community Hospital</t>
        </is>
      </c>
      <c r="E2502" t="inlineStr">
        <is>
          <t>Medical-Surgical</t>
        </is>
      </c>
      <c r="F2502" t="inlineStr">
        <is>
          <t>Medicine</t>
        </is>
      </c>
      <c r="G2502" s="29" t="n">
        <v>45997</v>
      </c>
      <c r="H2502" s="29" t="n">
        <v>46006</v>
      </c>
      <c r="I2502" s="30" t="n">
        <v>9</v>
      </c>
      <c r="J2502" t="inlineStr">
        <is>
          <t>K56.609</t>
        </is>
      </c>
      <c r="K2502" t="inlineStr">
        <is>
          <t>Unspecified intestinal obstruction</t>
        </is>
      </c>
      <c r="L2502" t="inlineStr">
        <is>
          <t>Digestive</t>
        </is>
      </c>
      <c r="M2502" t="inlineStr">
        <is>
          <t>Home Health</t>
        </is>
      </c>
      <c r="N2502" t="inlineStr">
        <is>
          <t>Evergreen Mutual Insurance</t>
        </is>
      </c>
      <c r="O2502" s="31" t="n">
        <v>55015.83</v>
      </c>
      <c r="P2502" t="inlineStr">
        <is>
          <t>Y</t>
        </is>
      </c>
    </row>
    <row r="2503">
      <c r="A2503" t="inlineStr">
        <is>
          <t>ENC120982</t>
        </is>
      </c>
      <c r="B2503" t="inlineStr">
        <is>
          <t>PT13824</t>
        </is>
      </c>
      <c r="C2503" t="inlineStr">
        <is>
          <t>Emergency</t>
        </is>
      </c>
      <c r="D2503" t="inlineStr">
        <is>
          <t>Bluestone Memorial Hospital</t>
        </is>
      </c>
      <c r="E2503" t="inlineStr">
        <is>
          <t>Emergency Department</t>
        </is>
      </c>
      <c r="F2503" t="inlineStr">
        <is>
          <t>Emergency</t>
        </is>
      </c>
      <c r="G2503" s="29" t="n">
        <v>45998</v>
      </c>
      <c r="H2503" s="29" t="n">
        <v>45998</v>
      </c>
      <c r="I2503" s="30" t="n"/>
      <c r="J2503" t="inlineStr">
        <is>
          <t>N39.0</t>
        </is>
      </c>
      <c r="K2503" t="inlineStr">
        <is>
          <t>Urinary tract infection, site not specified</t>
        </is>
      </c>
      <c r="L2503" t="inlineStr">
        <is>
          <t>Genitourinary</t>
        </is>
      </c>
      <c r="M2503" t="inlineStr">
        <is>
          <t>Home/Self-Care</t>
        </is>
      </c>
      <c r="N2503" t="inlineStr">
        <is>
          <t>Medicare</t>
        </is>
      </c>
      <c r="O2503" s="31" t="n">
        <v>739.0599999999999</v>
      </c>
    </row>
    <row r="2504">
      <c r="A2504" t="inlineStr">
        <is>
          <t>ENC120983</t>
        </is>
      </c>
      <c r="B2504" t="inlineStr">
        <is>
          <t>PT10852</t>
        </is>
      </c>
      <c r="C2504" t="inlineStr">
        <is>
          <t>Inpatient</t>
        </is>
      </c>
      <c r="D2504" t="inlineStr">
        <is>
          <t>Bluestone Memorial Hospital</t>
        </is>
      </c>
      <c r="E2504" t="inlineStr">
        <is>
          <t>Medical-Surgical 4 West</t>
        </is>
      </c>
      <c r="F2504" t="inlineStr">
        <is>
          <t>Medicine</t>
        </is>
      </c>
      <c r="G2504" s="29" t="n">
        <v>45998</v>
      </c>
      <c r="H2504" s="29" t="n">
        <v>46000</v>
      </c>
      <c r="I2504" s="30" t="n">
        <v>2</v>
      </c>
      <c r="J2504" t="inlineStr">
        <is>
          <t>N17.9</t>
        </is>
      </c>
      <c r="K2504" t="inlineStr">
        <is>
          <t>Acute kidney failure, unspecified</t>
        </is>
      </c>
      <c r="L2504" t="inlineStr">
        <is>
          <t>Genitourinary</t>
        </is>
      </c>
      <c r="M2504" t="inlineStr">
        <is>
          <t>Home/Self-Care</t>
        </is>
      </c>
      <c r="N2504" t="inlineStr">
        <is>
          <t>Keystone Health Partners</t>
        </is>
      </c>
      <c r="O2504" s="31" t="n">
        <v>11204.42</v>
      </c>
      <c r="P2504" t="inlineStr">
        <is>
          <t>N</t>
        </is>
      </c>
    </row>
    <row r="2505">
      <c r="A2505" t="inlineStr">
        <is>
          <t>ENC120986</t>
        </is>
      </c>
      <c r="B2505" t="inlineStr">
        <is>
          <t>PT11452</t>
        </is>
      </c>
      <c r="C2505" t="inlineStr">
        <is>
          <t>Inpatient</t>
        </is>
      </c>
      <c r="D2505" t="inlineStr">
        <is>
          <t>Bluestone Memorial Hospital</t>
        </is>
      </c>
      <c r="E2505" t="inlineStr">
        <is>
          <t>Medical-Surgical 4 West</t>
        </is>
      </c>
      <c r="F2505" t="inlineStr">
        <is>
          <t>Medicine</t>
        </is>
      </c>
      <c r="G2505" s="29" t="n">
        <v>45998</v>
      </c>
      <c r="H2505" s="29" t="n">
        <v>45999</v>
      </c>
      <c r="I2505" s="30" t="n">
        <v>1</v>
      </c>
      <c r="J2505" t="inlineStr">
        <is>
          <t>K80.20</t>
        </is>
      </c>
      <c r="K2505" t="inlineStr">
        <is>
          <t>Calculus of gallbladder without cholecystitis without obstruction</t>
        </is>
      </c>
      <c r="L2505" t="inlineStr">
        <is>
          <t>Digestive</t>
        </is>
      </c>
      <c r="M2505" t="inlineStr">
        <is>
          <t>Home Health</t>
        </is>
      </c>
      <c r="N2505" t="inlineStr">
        <is>
          <t>Keystone Health Partners</t>
        </is>
      </c>
      <c r="O2505" s="31" t="n">
        <v>22129.42</v>
      </c>
      <c r="P2505" t="inlineStr">
        <is>
          <t>N</t>
        </is>
      </c>
    </row>
    <row r="2506">
      <c r="A2506" t="inlineStr">
        <is>
          <t>ENC120988</t>
        </is>
      </c>
      <c r="B2506" t="inlineStr">
        <is>
          <t>PT10532</t>
        </is>
      </c>
      <c r="C2506" t="inlineStr">
        <is>
          <t>Observation</t>
        </is>
      </c>
      <c r="D2506" t="inlineStr">
        <is>
          <t>Cedar Ridge Medical Center</t>
        </is>
      </c>
      <c r="E2506" t="inlineStr">
        <is>
          <t>Medical-Surgical</t>
        </is>
      </c>
      <c r="F2506" t="inlineStr">
        <is>
          <t>Medicine</t>
        </is>
      </c>
      <c r="G2506" s="29" t="n">
        <v>45998</v>
      </c>
      <c r="H2506" s="29" t="n">
        <v>45999</v>
      </c>
      <c r="I2506" s="30" t="n">
        <v>1</v>
      </c>
      <c r="J2506" t="inlineStr">
        <is>
          <t>J45.909</t>
        </is>
      </c>
      <c r="K2506" t="inlineStr">
        <is>
          <t>Unspecified asthma, uncomplicated</t>
        </is>
      </c>
      <c r="L2506" t="inlineStr">
        <is>
          <t>Respiratory</t>
        </is>
      </c>
      <c r="M2506" t="inlineStr">
        <is>
          <t>Home/Self-Care</t>
        </is>
      </c>
      <c r="N2506" t="inlineStr">
        <is>
          <t>Keystone Health Partners</t>
        </is>
      </c>
      <c r="O2506" s="31" t="n">
        <v>8042.91</v>
      </c>
    </row>
    <row r="2507">
      <c r="A2507" t="inlineStr">
        <is>
          <t>ENC120991</t>
        </is>
      </c>
      <c r="B2507" t="inlineStr">
        <is>
          <t>PT11968</t>
        </is>
      </c>
      <c r="C2507" t="inlineStr">
        <is>
          <t>Inpatient</t>
        </is>
      </c>
      <c r="D2507" t="inlineStr">
        <is>
          <t>Cedar Ridge Medical Center</t>
        </is>
      </c>
      <c r="E2507" t="inlineStr">
        <is>
          <t>Medical-Surgical</t>
        </is>
      </c>
      <c r="F2507" t="inlineStr">
        <is>
          <t>Medicine</t>
        </is>
      </c>
      <c r="G2507" s="29" t="n">
        <v>45998</v>
      </c>
      <c r="H2507" s="29" t="n">
        <v>46001</v>
      </c>
      <c r="I2507" s="30" t="n">
        <v>3</v>
      </c>
      <c r="J2507" t="inlineStr">
        <is>
          <t>U07.1</t>
        </is>
      </c>
      <c r="K2507" t="inlineStr">
        <is>
          <t>COVID-19</t>
        </is>
      </c>
      <c r="L2507" t="inlineStr">
        <is>
          <t>Respiratory</t>
        </is>
      </c>
      <c r="M2507" t="inlineStr">
        <is>
          <t>Home/Self-Care</t>
        </is>
      </c>
      <c r="N2507" t="inlineStr">
        <is>
          <t>State Medicaid</t>
        </is>
      </c>
      <c r="O2507" s="31" t="n">
        <v>14029.79</v>
      </c>
      <c r="P2507" t="inlineStr">
        <is>
          <t>Y</t>
        </is>
      </c>
    </row>
    <row r="2508">
      <c r="A2508" t="inlineStr">
        <is>
          <t>ENC120998</t>
        </is>
      </c>
      <c r="B2508" t="inlineStr">
        <is>
          <t>PT12180</t>
        </is>
      </c>
      <c r="C2508" t="inlineStr">
        <is>
          <t>Emergency</t>
        </is>
      </c>
      <c r="D2508" t="inlineStr">
        <is>
          <t>Bluestone Memorial Hospital</t>
        </is>
      </c>
      <c r="E2508" t="inlineStr">
        <is>
          <t>Emergency Department</t>
        </is>
      </c>
      <c r="F2508" t="inlineStr">
        <is>
          <t>Emergency</t>
        </is>
      </c>
      <c r="G2508" s="29" t="n">
        <v>45999</v>
      </c>
      <c r="H2508" s="29" t="n">
        <v>45999</v>
      </c>
      <c r="I2508" s="30" t="n"/>
      <c r="J2508" t="inlineStr">
        <is>
          <t>A08.4</t>
        </is>
      </c>
      <c r="K2508" t="inlineStr">
        <is>
          <t>Viral intestinal infection, unspecified</t>
        </is>
      </c>
      <c r="L2508" t="inlineStr">
        <is>
          <t>Infectious</t>
        </is>
      </c>
      <c r="M2508" t="inlineStr">
        <is>
          <t>Home/Self-Care</t>
        </is>
      </c>
      <c r="N2508" t="inlineStr">
        <is>
          <t>Silverline Medicare Advantage</t>
        </is>
      </c>
      <c r="O2508" s="31" t="n">
        <v>3305.42</v>
      </c>
    </row>
    <row r="2509">
      <c r="A2509" t="inlineStr">
        <is>
          <t>ENC121001</t>
        </is>
      </c>
      <c r="B2509" t="inlineStr">
        <is>
          <t>PT10136</t>
        </is>
      </c>
      <c r="C2509" t="inlineStr">
        <is>
          <t>Outpatient</t>
        </is>
      </c>
      <c r="D2509" t="inlineStr">
        <is>
          <t>Bluestone Outpatient Pavilion</t>
        </is>
      </c>
      <c r="E2509" t="inlineStr">
        <is>
          <t>Cardiology Clinic</t>
        </is>
      </c>
      <c r="F2509" t="inlineStr">
        <is>
          <t>Cardiovascular</t>
        </is>
      </c>
      <c r="G2509" s="29" t="n">
        <v>45999</v>
      </c>
      <c r="H2509" s="29" t="n">
        <v>45999</v>
      </c>
      <c r="I2509" s="30" t="n"/>
      <c r="J2509" t="inlineStr">
        <is>
          <t>I48.91</t>
        </is>
      </c>
      <c r="K2509" t="inlineStr">
        <is>
          <t>Unspecified atrial fibrillation</t>
        </is>
      </c>
      <c r="L2509" t="inlineStr">
        <is>
          <t>Circulatory</t>
        </is>
      </c>
      <c r="M2509" t="inlineStr">
        <is>
          <t>Home/Self-Care</t>
        </is>
      </c>
      <c r="N2509" t="inlineStr">
        <is>
          <t>Summit Choice PPO</t>
        </is>
      </c>
      <c r="O2509" s="31" t="n">
        <v>377.33</v>
      </c>
    </row>
    <row r="2510">
      <c r="A2510" t="inlineStr">
        <is>
          <t>ENC121002</t>
        </is>
      </c>
      <c r="B2510" t="inlineStr">
        <is>
          <t>PT11604</t>
        </is>
      </c>
      <c r="C2510" t="inlineStr">
        <is>
          <t>Outpatient</t>
        </is>
      </c>
      <c r="D2510" t="inlineStr">
        <is>
          <t>Bluestone Outpatient Pavilion</t>
        </is>
      </c>
      <c r="E2510" t="inlineStr">
        <is>
          <t>Primary Care Clinic</t>
        </is>
      </c>
      <c r="F2510" t="inlineStr">
        <is>
          <t>Ambulatory</t>
        </is>
      </c>
      <c r="G2510" s="29" t="n">
        <v>45999</v>
      </c>
      <c r="H2510" s="29" t="n">
        <v>45999</v>
      </c>
      <c r="I2510" s="30" t="n"/>
      <c r="J2510" t="inlineStr">
        <is>
          <t>I10</t>
        </is>
      </c>
      <c r="K2510" t="inlineStr">
        <is>
          <t>Essential (primary) hypertension</t>
        </is>
      </c>
      <c r="L2510" t="inlineStr">
        <is>
          <t>Circulatory</t>
        </is>
      </c>
      <c r="M2510" t="inlineStr">
        <is>
          <t>Home/Self-Care</t>
        </is>
      </c>
      <c r="N2510" t="inlineStr">
        <is>
          <t>Summit Choice PPO</t>
        </is>
      </c>
      <c r="O2510" s="31" t="n">
        <v>327.17</v>
      </c>
    </row>
    <row r="2511">
      <c r="A2511" t="inlineStr">
        <is>
          <t>ENC121013</t>
        </is>
      </c>
      <c r="B2511" t="inlineStr">
        <is>
          <t>PT13092</t>
        </is>
      </c>
      <c r="C2511" t="inlineStr">
        <is>
          <t>Inpatient</t>
        </is>
      </c>
      <c r="D2511" t="inlineStr">
        <is>
          <t>Bluestone Memorial Hospital</t>
        </is>
      </c>
      <c r="E2511" t="inlineStr">
        <is>
          <t>Medical-Surgical 5 East</t>
        </is>
      </c>
      <c r="F2511" t="inlineStr">
        <is>
          <t>Medicine</t>
        </is>
      </c>
      <c r="G2511" s="29" t="n">
        <v>45999</v>
      </c>
      <c r="H2511" s="29" t="n">
        <v>46007</v>
      </c>
      <c r="I2511" s="30" t="n">
        <v>8</v>
      </c>
      <c r="J2511" t="inlineStr">
        <is>
          <t>J44.1</t>
        </is>
      </c>
      <c r="K2511" t="inlineStr">
        <is>
          <t>Chronic obstructive pulmonary disease with (acute) exacerbation</t>
        </is>
      </c>
      <c r="L2511" t="inlineStr">
        <is>
          <t>Respiratory</t>
        </is>
      </c>
      <c r="M2511" t="inlineStr">
        <is>
          <t>Home/Self-Care</t>
        </is>
      </c>
      <c r="N2511" t="inlineStr">
        <is>
          <t>Silverline Medicare Advantage</t>
        </is>
      </c>
      <c r="O2511" s="31" t="n">
        <v>31721.18</v>
      </c>
      <c r="P2511" t="inlineStr">
        <is>
          <t>N</t>
        </is>
      </c>
    </row>
    <row r="2512">
      <c r="A2512" t="inlineStr">
        <is>
          <t>ENC121014</t>
        </is>
      </c>
      <c r="B2512" t="inlineStr">
        <is>
          <t>PT12528</t>
        </is>
      </c>
      <c r="C2512" t="inlineStr">
        <is>
          <t>Outpatient</t>
        </is>
      </c>
      <c r="D2512" t="inlineStr">
        <is>
          <t>Bluestone Outpatient Pavilion</t>
        </is>
      </c>
      <c r="E2512" t="inlineStr">
        <is>
          <t>Infusion &amp; Oncology Clinic</t>
        </is>
      </c>
      <c r="F2512" t="inlineStr">
        <is>
          <t>Oncology</t>
        </is>
      </c>
      <c r="G2512" s="29" t="n">
        <v>45999</v>
      </c>
      <c r="H2512" s="29" t="n">
        <v>45999</v>
      </c>
      <c r="I2512" s="30" t="n"/>
      <c r="J2512" t="inlineStr">
        <is>
          <t>Z51.11</t>
        </is>
      </c>
      <c r="K2512" t="inlineStr">
        <is>
          <t>Encounter for antineoplastic chemotherapy</t>
        </is>
      </c>
      <c r="L2512" t="inlineStr">
        <is>
          <t>Factors Influencing Health</t>
        </is>
      </c>
      <c r="M2512" t="inlineStr">
        <is>
          <t>Home/Self-Care</t>
        </is>
      </c>
      <c r="N2512" t="inlineStr">
        <is>
          <t>Self-Pay</t>
        </is>
      </c>
      <c r="O2512" s="31" t="n">
        <v>10091.4</v>
      </c>
    </row>
    <row r="2513">
      <c r="A2513" t="inlineStr">
        <is>
          <t>ENC121021</t>
        </is>
      </c>
      <c r="B2513" t="inlineStr">
        <is>
          <t>PT13036</t>
        </is>
      </c>
      <c r="C2513" t="inlineStr">
        <is>
          <t>Emergency</t>
        </is>
      </c>
      <c r="D2513" t="inlineStr">
        <is>
          <t>Bluestone Memorial Hospital</t>
        </is>
      </c>
      <c r="E2513" t="inlineStr">
        <is>
          <t>Emergency Department</t>
        </is>
      </c>
      <c r="F2513" t="inlineStr">
        <is>
          <t>Emergency</t>
        </is>
      </c>
      <c r="G2513" s="29" t="n">
        <v>45999</v>
      </c>
      <c r="H2513" s="29" t="n">
        <v>45999</v>
      </c>
      <c r="I2513" s="30" t="n"/>
      <c r="J2513" t="inlineStr">
        <is>
          <t>G40.909</t>
        </is>
      </c>
      <c r="K2513" t="inlineStr">
        <is>
          <t>Epilepsy, unspecified, not intractable, without status epilepticus</t>
        </is>
      </c>
      <c r="L2513" t="inlineStr">
        <is>
          <t>Nervous System</t>
        </is>
      </c>
      <c r="M2513" t="inlineStr">
        <is>
          <t>Home/Self-Care</t>
        </is>
      </c>
      <c r="N2513" t="inlineStr">
        <is>
          <t>Keystone Health Partners</t>
        </is>
      </c>
      <c r="O2513" s="31" t="n">
        <v>5191.45</v>
      </c>
    </row>
    <row r="2514">
      <c r="A2514" t="inlineStr">
        <is>
          <t>ENC121022</t>
        </is>
      </c>
      <c r="B2514" t="inlineStr">
        <is>
          <t>PT13312</t>
        </is>
      </c>
      <c r="C2514" t="inlineStr">
        <is>
          <t>Inpatient</t>
        </is>
      </c>
      <c r="D2514" t="inlineStr">
        <is>
          <t>Bluestone Memorial Hospital</t>
        </is>
      </c>
      <c r="E2514" t="inlineStr">
        <is>
          <t>Medical-Surgical 4 West</t>
        </is>
      </c>
      <c r="F2514" t="inlineStr">
        <is>
          <t>Medicine</t>
        </is>
      </c>
      <c r="G2514" s="29" t="n">
        <v>45999</v>
      </c>
      <c r="H2514" s="29" t="n">
        <v>46008</v>
      </c>
      <c r="I2514" s="30" t="n">
        <v>9</v>
      </c>
      <c r="J2514" t="inlineStr">
        <is>
          <t>A41.9</t>
        </is>
      </c>
      <c r="K2514" t="inlineStr">
        <is>
          <t>Sepsis, unspecified organism</t>
        </is>
      </c>
      <c r="L2514" t="inlineStr">
        <is>
          <t>Infectious</t>
        </is>
      </c>
      <c r="M2514" t="inlineStr">
        <is>
          <t>Home/Self-Care</t>
        </is>
      </c>
      <c r="N2514" t="inlineStr">
        <is>
          <t>Summit Choice PPO</t>
        </is>
      </c>
      <c r="O2514" s="31" t="n">
        <v>75803.55</v>
      </c>
      <c r="P2514" t="inlineStr">
        <is>
          <t>N</t>
        </is>
      </c>
    </row>
    <row r="2515">
      <c r="A2515" t="inlineStr">
        <is>
          <t>ENC121024</t>
        </is>
      </c>
      <c r="B2515" t="inlineStr">
        <is>
          <t>PT12384</t>
        </is>
      </c>
      <c r="C2515" t="inlineStr">
        <is>
          <t>Outpatient</t>
        </is>
      </c>
      <c r="D2515" t="inlineStr">
        <is>
          <t>Bluestone Outpatient Pavilion</t>
        </is>
      </c>
      <c r="E2515" t="inlineStr">
        <is>
          <t>Primary Care Clinic</t>
        </is>
      </c>
      <c r="F2515" t="inlineStr">
        <is>
          <t>Ambulatory</t>
        </is>
      </c>
      <c r="G2515" s="29" t="n">
        <v>45999</v>
      </c>
      <c r="H2515" s="29" t="n">
        <v>45999</v>
      </c>
      <c r="I2515" s="30" t="n"/>
      <c r="J2515" t="inlineStr">
        <is>
          <t>J06.9</t>
        </is>
      </c>
      <c r="K2515" t="inlineStr">
        <is>
          <t>Acute upper respiratory infection, unspecified</t>
        </is>
      </c>
      <c r="L2515" t="inlineStr">
        <is>
          <t>Respiratory</t>
        </is>
      </c>
      <c r="M2515" t="inlineStr">
        <is>
          <t>Home/Self-Care</t>
        </is>
      </c>
      <c r="N2515" t="inlineStr">
        <is>
          <t>Keystone Health Partners</t>
        </is>
      </c>
      <c r="O2515" s="31" t="n">
        <v>275.5</v>
      </c>
    </row>
    <row r="2516">
      <c r="A2516" t="inlineStr">
        <is>
          <t>ENC121025</t>
        </is>
      </c>
      <c r="B2516" t="inlineStr">
        <is>
          <t>PT10960</t>
        </is>
      </c>
      <c r="C2516" t="inlineStr">
        <is>
          <t>Emergency</t>
        </is>
      </c>
      <c r="D2516" t="inlineStr">
        <is>
          <t>Bluestone Memorial Hospital</t>
        </is>
      </c>
      <c r="E2516" t="inlineStr">
        <is>
          <t>Emergency Department</t>
        </is>
      </c>
      <c r="F2516" t="inlineStr">
        <is>
          <t>Emergency</t>
        </is>
      </c>
      <c r="G2516" s="29" t="n">
        <v>45999</v>
      </c>
      <c r="H2516" s="29" t="n">
        <v>45999</v>
      </c>
      <c r="I2516" s="30" t="n"/>
      <c r="J2516" t="inlineStr">
        <is>
          <t>H66.90</t>
        </is>
      </c>
      <c r="K2516" t="inlineStr">
        <is>
          <t>Otitis media, unspecified, unspecified ear</t>
        </is>
      </c>
      <c r="L2516" t="inlineStr">
        <is>
          <t>Ear</t>
        </is>
      </c>
      <c r="M2516" t="inlineStr">
        <is>
          <t>Home/Self-Care</t>
        </is>
      </c>
      <c r="N2516" t="inlineStr">
        <is>
          <t>Keystone Health Partners</t>
        </is>
      </c>
      <c r="O2516" s="31" t="n">
        <v>1072.28</v>
      </c>
    </row>
    <row r="2517">
      <c r="A2517" t="inlineStr">
        <is>
          <t>ENC121029</t>
        </is>
      </c>
      <c r="B2517" t="inlineStr">
        <is>
          <t>PT13012</t>
        </is>
      </c>
      <c r="C2517" t="inlineStr">
        <is>
          <t>Outpatient</t>
        </is>
      </c>
      <c r="D2517" t="inlineStr">
        <is>
          <t>Bluestone Outpatient Pavilion</t>
        </is>
      </c>
      <c r="E2517" t="inlineStr">
        <is>
          <t>Primary Care Clinic</t>
        </is>
      </c>
      <c r="F2517" t="inlineStr">
        <is>
          <t>Ambulatory</t>
        </is>
      </c>
      <c r="G2517" s="29" t="n">
        <v>45999</v>
      </c>
      <c r="H2517" s="29" t="n">
        <v>45999</v>
      </c>
      <c r="I2517" s="30" t="n"/>
      <c r="J2517" t="inlineStr">
        <is>
          <t>J06.9</t>
        </is>
      </c>
      <c r="K2517" t="inlineStr">
        <is>
          <t>Acute upper respiratory infection, unspecified</t>
        </is>
      </c>
      <c r="L2517" t="inlineStr">
        <is>
          <t>Respiratory</t>
        </is>
      </c>
      <c r="M2517" t="inlineStr">
        <is>
          <t>Home/Self-Care</t>
        </is>
      </c>
      <c r="N2517" t="inlineStr">
        <is>
          <t>Evergreen Mutual Insurance</t>
        </is>
      </c>
      <c r="O2517" s="31" t="n">
        <v>227.52</v>
      </c>
    </row>
    <row r="2518">
      <c r="A2518" t="inlineStr">
        <is>
          <t>ENC121035</t>
        </is>
      </c>
      <c r="B2518" t="inlineStr">
        <is>
          <t>PT12968</t>
        </is>
      </c>
      <c r="C2518" t="inlineStr">
        <is>
          <t>Outpatient</t>
        </is>
      </c>
      <c r="D2518" t="inlineStr">
        <is>
          <t>Bluestone Outpatient Pavilion</t>
        </is>
      </c>
      <c r="E2518" t="inlineStr">
        <is>
          <t>Infusion &amp; Oncology Clinic</t>
        </is>
      </c>
      <c r="F2518" t="inlineStr">
        <is>
          <t>Oncology</t>
        </is>
      </c>
      <c r="G2518" s="29" t="n">
        <v>45999</v>
      </c>
      <c r="H2518" s="29" t="n">
        <v>45999</v>
      </c>
      <c r="I2518" s="30" t="n"/>
      <c r="J2518" t="inlineStr">
        <is>
          <t>C34.90</t>
        </is>
      </c>
      <c r="K2518" t="inlineStr">
        <is>
          <t>Malignant neoplasm of unspecified part of unspecified bronchus or lung</t>
        </is>
      </c>
      <c r="L2518" t="inlineStr">
        <is>
          <t>Neoplasms</t>
        </is>
      </c>
      <c r="M2518" t="inlineStr">
        <is>
          <t>Home/Self-Care</t>
        </is>
      </c>
      <c r="N2518" t="inlineStr">
        <is>
          <t>Silverline Medicare Advantage</t>
        </is>
      </c>
      <c r="O2518" s="31" t="n">
        <v>955.76</v>
      </c>
    </row>
    <row r="2519">
      <c r="A2519" t="inlineStr">
        <is>
          <t>ENC121036</t>
        </is>
      </c>
      <c r="B2519" t="inlineStr">
        <is>
          <t>PT12584</t>
        </is>
      </c>
      <c r="C2519" t="inlineStr">
        <is>
          <t>Outpatient</t>
        </is>
      </c>
      <c r="D2519" t="inlineStr">
        <is>
          <t>Bluestone Outpatient Pavilion</t>
        </is>
      </c>
      <c r="E2519" t="inlineStr">
        <is>
          <t>Primary Care Clinic</t>
        </is>
      </c>
      <c r="F2519" t="inlineStr">
        <is>
          <t>Ambulatory</t>
        </is>
      </c>
      <c r="G2519" s="29" t="n">
        <v>45999</v>
      </c>
      <c r="H2519" s="29" t="n">
        <v>45999</v>
      </c>
      <c r="I2519" s="30" t="n"/>
      <c r="J2519" t="inlineStr">
        <is>
          <t>K80.20</t>
        </is>
      </c>
      <c r="K2519" t="inlineStr">
        <is>
          <t>Calculus of gallbladder without cholecystitis without obstruction</t>
        </is>
      </c>
      <c r="L2519" t="inlineStr">
        <is>
          <t>Digestive</t>
        </is>
      </c>
      <c r="M2519" t="inlineStr">
        <is>
          <t>Home/Self-Care</t>
        </is>
      </c>
      <c r="N2519" t="inlineStr">
        <is>
          <t>Silverline Medicare Advantage</t>
        </is>
      </c>
      <c r="O2519" s="31" t="n">
        <v>245.89</v>
      </c>
    </row>
    <row r="2520">
      <c r="A2520" t="inlineStr">
        <is>
          <t>ENC121041</t>
        </is>
      </c>
      <c r="B2520" t="inlineStr">
        <is>
          <t>PT12672</t>
        </is>
      </c>
      <c r="C2520" t="inlineStr">
        <is>
          <t>Emergency</t>
        </is>
      </c>
      <c r="D2520" t="inlineStr">
        <is>
          <t>Bluestone Memorial Hospital</t>
        </is>
      </c>
      <c r="E2520" t="inlineStr">
        <is>
          <t>Emergency Department</t>
        </is>
      </c>
      <c r="F2520" t="inlineStr">
        <is>
          <t>Emergency</t>
        </is>
      </c>
      <c r="G2520" s="29" t="n">
        <v>45999</v>
      </c>
      <c r="H2520" s="29" t="n">
        <v>45999</v>
      </c>
      <c r="I2520" s="30" t="n"/>
      <c r="J2520" t="inlineStr">
        <is>
          <t>E86.0</t>
        </is>
      </c>
      <c r="K2520" t="inlineStr">
        <is>
          <t>Dehydration</t>
        </is>
      </c>
      <c r="L2520" t="inlineStr">
        <is>
          <t>Endocrine</t>
        </is>
      </c>
      <c r="M2520" t="inlineStr">
        <is>
          <t>Home/Self-Care</t>
        </is>
      </c>
      <c r="N2520" t="inlineStr">
        <is>
          <t>Medicare</t>
        </is>
      </c>
      <c r="O2520" s="31" t="n">
        <v>2070.75</v>
      </c>
    </row>
    <row r="2521">
      <c r="A2521" t="inlineStr">
        <is>
          <t>ENC121042</t>
        </is>
      </c>
      <c r="B2521" t="inlineStr">
        <is>
          <t>PT11396</t>
        </is>
      </c>
      <c r="C2521" t="inlineStr">
        <is>
          <t>Emergency</t>
        </is>
      </c>
      <c r="D2521" t="inlineStr">
        <is>
          <t>Bluestone Memorial Hospital</t>
        </is>
      </c>
      <c r="E2521" t="inlineStr">
        <is>
          <t>Emergency Department</t>
        </is>
      </c>
      <c r="F2521" t="inlineStr">
        <is>
          <t>Emergency</t>
        </is>
      </c>
      <c r="G2521" s="29" t="n">
        <v>45999</v>
      </c>
      <c r="H2521" s="29" t="n">
        <v>45999</v>
      </c>
      <c r="I2521" s="30" t="n"/>
      <c r="J2521" t="inlineStr">
        <is>
          <t>N39.0</t>
        </is>
      </c>
      <c r="K2521" t="inlineStr">
        <is>
          <t>Urinary tract infection, site not specified</t>
        </is>
      </c>
      <c r="L2521" t="inlineStr">
        <is>
          <t>Genitourinary</t>
        </is>
      </c>
      <c r="M2521" t="inlineStr">
        <is>
          <t>Home/Self-Care</t>
        </is>
      </c>
      <c r="N2521" t="inlineStr">
        <is>
          <t>Keystone Health Partners</t>
        </is>
      </c>
      <c r="O2521" s="31" t="n">
        <v>4464.59</v>
      </c>
    </row>
    <row r="2522">
      <c r="A2522" t="inlineStr">
        <is>
          <t>ENC121047</t>
        </is>
      </c>
      <c r="B2522" t="inlineStr">
        <is>
          <t>PT11296</t>
        </is>
      </c>
      <c r="C2522" t="inlineStr">
        <is>
          <t>Emergency</t>
        </is>
      </c>
      <c r="D2522" t="inlineStr">
        <is>
          <t>Bluestone Memorial Hospital</t>
        </is>
      </c>
      <c r="E2522" t="inlineStr">
        <is>
          <t>Emergency Department</t>
        </is>
      </c>
      <c r="F2522" t="inlineStr">
        <is>
          <t>Emergency</t>
        </is>
      </c>
      <c r="G2522" s="29" t="n">
        <v>45999</v>
      </c>
      <c r="H2522" s="29" t="n">
        <v>46000</v>
      </c>
      <c r="I2522" s="30" t="n"/>
      <c r="J2522" t="inlineStr">
        <is>
          <t>H66.90</t>
        </is>
      </c>
      <c r="K2522" t="inlineStr">
        <is>
          <t>Otitis media, unspecified, unspecified ear</t>
        </is>
      </c>
      <c r="L2522" t="inlineStr">
        <is>
          <t>Ear</t>
        </is>
      </c>
      <c r="M2522" t="inlineStr">
        <is>
          <t>Home/Self-Care</t>
        </is>
      </c>
      <c r="N2522" t="inlineStr">
        <is>
          <t>Evergreen Mutual Insurance</t>
        </is>
      </c>
      <c r="O2522" s="31" t="n">
        <v>1591.13</v>
      </c>
    </row>
    <row r="2523">
      <c r="A2523" t="inlineStr">
        <is>
          <t>ENC121049</t>
        </is>
      </c>
      <c r="B2523" t="inlineStr">
        <is>
          <t>PT11888</t>
        </is>
      </c>
      <c r="C2523" t="inlineStr">
        <is>
          <t>Emergency</t>
        </is>
      </c>
      <c r="D2523" t="inlineStr">
        <is>
          <t>Bluestone Memorial Hospital</t>
        </is>
      </c>
      <c r="E2523" t="inlineStr">
        <is>
          <t>Emergency Department</t>
        </is>
      </c>
      <c r="F2523" t="inlineStr">
        <is>
          <t>Emergency</t>
        </is>
      </c>
      <c r="G2523" s="29" t="n">
        <v>46000</v>
      </c>
      <c r="H2523" s="29" t="n">
        <v>46000</v>
      </c>
      <c r="I2523" s="30" t="n"/>
      <c r="J2523" t="inlineStr">
        <is>
          <t>J18.9</t>
        </is>
      </c>
      <c r="K2523" t="inlineStr">
        <is>
          <t>Pneumonia, unspecified organism</t>
        </is>
      </c>
      <c r="L2523" t="inlineStr">
        <is>
          <t>Respiratory</t>
        </is>
      </c>
      <c r="M2523" t="inlineStr">
        <is>
          <t>Home/Self-Care</t>
        </is>
      </c>
      <c r="N2523" t="inlineStr">
        <is>
          <t>Keystone Health Partners</t>
        </is>
      </c>
      <c r="O2523" s="31" t="n">
        <v>5077.31</v>
      </c>
    </row>
    <row r="2524">
      <c r="A2524" t="inlineStr">
        <is>
          <t>ENC121050</t>
        </is>
      </c>
      <c r="B2524" t="inlineStr">
        <is>
          <t>PT13400</t>
        </is>
      </c>
      <c r="C2524" t="inlineStr">
        <is>
          <t>Observation</t>
        </is>
      </c>
      <c r="D2524" t="inlineStr">
        <is>
          <t>Bluestone Memorial Hospital</t>
        </is>
      </c>
      <c r="E2524" t="inlineStr">
        <is>
          <t>Observation Unit</t>
        </is>
      </c>
      <c r="F2524" t="inlineStr">
        <is>
          <t>Medicine</t>
        </is>
      </c>
      <c r="G2524" s="29" t="n">
        <v>46000</v>
      </c>
      <c r="H2524" s="29" t="n">
        <v>46001</v>
      </c>
      <c r="I2524" s="30" t="n">
        <v>1</v>
      </c>
      <c r="J2524" t="inlineStr">
        <is>
          <t>J18.9</t>
        </is>
      </c>
      <c r="K2524" t="inlineStr">
        <is>
          <t>Pneumonia, unspecified organism</t>
        </is>
      </c>
      <c r="L2524" t="inlineStr">
        <is>
          <t>Respiratory</t>
        </is>
      </c>
      <c r="M2524" t="inlineStr">
        <is>
          <t>Home/Self-Care</t>
        </is>
      </c>
      <c r="N2524" t="inlineStr">
        <is>
          <t>Keystone Health Partners</t>
        </is>
      </c>
      <c r="O2524" s="31" t="n">
        <v>14814.19</v>
      </c>
    </row>
    <row r="2525">
      <c r="A2525" t="inlineStr">
        <is>
          <t>ENC121051</t>
        </is>
      </c>
      <c r="B2525" t="inlineStr">
        <is>
          <t>PT12404</t>
        </is>
      </c>
      <c r="C2525" t="inlineStr">
        <is>
          <t>Inpatient</t>
        </is>
      </c>
      <c r="D2525" t="inlineStr">
        <is>
          <t>Bluestone Memorial Hospital</t>
        </is>
      </c>
      <c r="E2525" t="inlineStr">
        <is>
          <t>Medical-Surgical 5 East</t>
        </is>
      </c>
      <c r="F2525" t="inlineStr">
        <is>
          <t>Medicine</t>
        </is>
      </c>
      <c r="G2525" s="29" t="n">
        <v>46000</v>
      </c>
      <c r="H2525" s="29" t="n">
        <v>46004</v>
      </c>
      <c r="I2525" s="30" t="n">
        <v>4</v>
      </c>
      <c r="J2525" t="inlineStr">
        <is>
          <t>K80.20</t>
        </is>
      </c>
      <c r="K2525" t="inlineStr">
        <is>
          <t>Calculus of gallbladder without cholecystitis without obstruction</t>
        </is>
      </c>
      <c r="L2525" t="inlineStr">
        <is>
          <t>Digestive</t>
        </is>
      </c>
      <c r="M2525" t="inlineStr">
        <is>
          <t>Home/Self-Care</t>
        </is>
      </c>
      <c r="N2525" t="inlineStr">
        <is>
          <t>Evergreen Mutual Insurance</t>
        </is>
      </c>
      <c r="O2525" s="31" t="n">
        <v>44166.68</v>
      </c>
      <c r="P2525" t="inlineStr">
        <is>
          <t>N</t>
        </is>
      </c>
    </row>
    <row r="2526">
      <c r="A2526" t="inlineStr">
        <is>
          <t>ENC121054</t>
        </is>
      </c>
      <c r="B2526" t="inlineStr">
        <is>
          <t>PT12480</t>
        </is>
      </c>
      <c r="C2526" t="inlineStr">
        <is>
          <t>Outpatient</t>
        </is>
      </c>
      <c r="D2526" t="inlineStr">
        <is>
          <t>Bluestone Outpatient Pavilion</t>
        </is>
      </c>
      <c r="E2526" t="inlineStr">
        <is>
          <t>Primary Care Clinic</t>
        </is>
      </c>
      <c r="F2526" t="inlineStr">
        <is>
          <t>Ambulatory</t>
        </is>
      </c>
      <c r="G2526" s="29" t="n">
        <v>46000</v>
      </c>
      <c r="H2526" s="29" t="n">
        <v>46000</v>
      </c>
      <c r="I2526" s="30" t="n"/>
      <c r="J2526" t="inlineStr">
        <is>
          <t>F32.9</t>
        </is>
      </c>
      <c r="K2526" t="inlineStr">
        <is>
          <t>Major depressive disorder, single episode, unspecified</t>
        </is>
      </c>
      <c r="L2526" t="inlineStr">
        <is>
          <t>Mental &amp; Behavioral</t>
        </is>
      </c>
      <c r="M2526" t="inlineStr">
        <is>
          <t>Home/Self-Care</t>
        </is>
      </c>
      <c r="N2526" t="inlineStr">
        <is>
          <t>State Medicaid</t>
        </is>
      </c>
      <c r="O2526" s="31" t="n">
        <v>292.33</v>
      </c>
    </row>
    <row r="2527">
      <c r="A2527" t="inlineStr">
        <is>
          <t>ENC121058</t>
        </is>
      </c>
      <c r="B2527" t="inlineStr">
        <is>
          <t>PT10752</t>
        </is>
      </c>
      <c r="C2527" t="inlineStr">
        <is>
          <t>Inpatient</t>
        </is>
      </c>
      <c r="D2527" t="inlineStr">
        <is>
          <t>Bluestone Memorial Hospital</t>
        </is>
      </c>
      <c r="E2527" t="inlineStr">
        <is>
          <t>Pediatrics</t>
        </is>
      </c>
      <c r="F2527" t="inlineStr">
        <is>
          <t>Women &amp; Children</t>
        </is>
      </c>
      <c r="G2527" s="29" t="n">
        <v>46000</v>
      </c>
      <c r="H2527" s="29" t="n">
        <v>46003</v>
      </c>
      <c r="I2527" s="30" t="n">
        <v>3</v>
      </c>
      <c r="J2527" t="inlineStr">
        <is>
          <t>J21.9</t>
        </is>
      </c>
      <c r="K2527" t="inlineStr">
        <is>
          <t>Acute bronchiolitis, unspecified</t>
        </is>
      </c>
      <c r="L2527" t="inlineStr">
        <is>
          <t>Respiratory</t>
        </is>
      </c>
      <c r="M2527" t="inlineStr">
        <is>
          <t>Home/Self-Care</t>
        </is>
      </c>
      <c r="N2527" t="inlineStr">
        <is>
          <t>State Medicaid</t>
        </is>
      </c>
      <c r="O2527" s="31" t="n">
        <v>15826.2</v>
      </c>
      <c r="P2527" t="inlineStr">
        <is>
          <t>N</t>
        </is>
      </c>
    </row>
    <row r="2528">
      <c r="A2528" t="inlineStr">
        <is>
          <t>ENC121062</t>
        </is>
      </c>
      <c r="B2528" t="inlineStr">
        <is>
          <t>PT13708</t>
        </is>
      </c>
      <c r="C2528" t="inlineStr">
        <is>
          <t>Emergency</t>
        </is>
      </c>
      <c r="D2528" t="inlineStr">
        <is>
          <t>Bluestone Memorial Hospital</t>
        </is>
      </c>
      <c r="E2528" t="inlineStr">
        <is>
          <t>Emergency Department</t>
        </is>
      </c>
      <c r="F2528" t="inlineStr">
        <is>
          <t>Emergency</t>
        </is>
      </c>
      <c r="G2528" s="29" t="n">
        <v>46000</v>
      </c>
      <c r="H2528" s="29" t="n">
        <v>46000</v>
      </c>
      <c r="I2528" s="30" t="n"/>
      <c r="J2528" t="inlineStr">
        <is>
          <t>J44.1</t>
        </is>
      </c>
      <c r="K2528" t="inlineStr">
        <is>
          <t>Chronic obstructive pulmonary disease with (acute) exacerbation</t>
        </is>
      </c>
      <c r="L2528" t="inlineStr">
        <is>
          <t>Respiratory</t>
        </is>
      </c>
      <c r="M2528" t="inlineStr">
        <is>
          <t>Home/Self-Care</t>
        </is>
      </c>
      <c r="N2528" t="inlineStr">
        <is>
          <t>Summit Choice PPO</t>
        </is>
      </c>
      <c r="O2528" s="31" t="n">
        <v>8903.25</v>
      </c>
    </row>
    <row r="2529">
      <c r="A2529" t="inlineStr">
        <is>
          <t>ENC121063</t>
        </is>
      </c>
      <c r="B2529" t="inlineStr">
        <is>
          <t>PT12340</t>
        </is>
      </c>
      <c r="C2529" t="inlineStr">
        <is>
          <t>Emergency</t>
        </is>
      </c>
      <c r="D2529" t="inlineStr">
        <is>
          <t>Bluestone Memorial Hospital</t>
        </is>
      </c>
      <c r="E2529" t="inlineStr">
        <is>
          <t>Emergency Department</t>
        </is>
      </c>
      <c r="F2529" t="inlineStr">
        <is>
          <t>Emergency</t>
        </is>
      </c>
      <c r="G2529" s="29" t="n">
        <v>46000</v>
      </c>
      <c r="H2529" s="29" t="n">
        <v>46000</v>
      </c>
      <c r="I2529" s="30" t="n"/>
      <c r="J2529" t="inlineStr">
        <is>
          <t>E86.0</t>
        </is>
      </c>
      <c r="K2529" t="inlineStr">
        <is>
          <t>Dehydration</t>
        </is>
      </c>
      <c r="L2529" t="inlineStr">
        <is>
          <t>Endocrine</t>
        </is>
      </c>
      <c r="M2529" t="inlineStr">
        <is>
          <t>Home/Self-Care</t>
        </is>
      </c>
      <c r="N2529" t="inlineStr">
        <is>
          <t>Summit Choice PPO</t>
        </is>
      </c>
      <c r="O2529" s="31" t="n">
        <v>4467.9</v>
      </c>
    </row>
    <row r="2530">
      <c r="A2530" t="inlineStr">
        <is>
          <t>ENC121066</t>
        </is>
      </c>
      <c r="B2530" t="inlineStr">
        <is>
          <t>PT13112</t>
        </is>
      </c>
      <c r="C2530" t="inlineStr">
        <is>
          <t>Outpatient</t>
        </is>
      </c>
      <c r="D2530" t="inlineStr">
        <is>
          <t>Bluestone Outpatient Pavilion</t>
        </is>
      </c>
      <c r="E2530" t="inlineStr">
        <is>
          <t>Pediatric Clinic</t>
        </is>
      </c>
      <c r="F2530" t="inlineStr">
        <is>
          <t>Women &amp; Children</t>
        </is>
      </c>
      <c r="G2530" s="29" t="n">
        <v>46000</v>
      </c>
      <c r="H2530" s="29" t="n">
        <v>46000</v>
      </c>
      <c r="I2530" s="30" t="n"/>
      <c r="J2530" t="inlineStr">
        <is>
          <t>Z00.129</t>
        </is>
      </c>
      <c r="K2530" t="inlineStr">
        <is>
          <t>Encounter for routine child health examination without abnormal findings</t>
        </is>
      </c>
      <c r="L2530" t="inlineStr">
        <is>
          <t>Factors Influencing Health</t>
        </is>
      </c>
      <c r="M2530" t="inlineStr">
        <is>
          <t>Home/Self-Care</t>
        </is>
      </c>
      <c r="N2530" t="inlineStr">
        <is>
          <t>State Medicaid</t>
        </is>
      </c>
      <c r="O2530" s="31" t="n">
        <v>255.23</v>
      </c>
    </row>
    <row r="2531">
      <c r="A2531" t="inlineStr">
        <is>
          <t>ENC121067</t>
        </is>
      </c>
      <c r="B2531" t="inlineStr">
        <is>
          <t>PT11608</t>
        </is>
      </c>
      <c r="C2531" t="inlineStr">
        <is>
          <t>Emergency</t>
        </is>
      </c>
      <c r="D2531" t="inlineStr">
        <is>
          <t>Bluestone Memorial Hospital</t>
        </is>
      </c>
      <c r="E2531" t="inlineStr">
        <is>
          <t>Emergency Department</t>
        </is>
      </c>
      <c r="F2531" t="inlineStr">
        <is>
          <t>Emergency</t>
        </is>
      </c>
      <c r="G2531" s="29" t="n">
        <v>46000</v>
      </c>
      <c r="H2531" s="29" t="n">
        <v>46000</v>
      </c>
      <c r="I2531" s="30" t="n"/>
      <c r="J2531" t="inlineStr">
        <is>
          <t>N39.0</t>
        </is>
      </c>
      <c r="K2531" t="inlineStr">
        <is>
          <t>Urinary tract infection, site not specified</t>
        </is>
      </c>
      <c r="L2531" t="inlineStr">
        <is>
          <t>Genitourinary</t>
        </is>
      </c>
      <c r="M2531" t="inlineStr">
        <is>
          <t>Home/Self-Care</t>
        </is>
      </c>
      <c r="N2531" t="inlineStr">
        <is>
          <t>Keystone Health Partners</t>
        </is>
      </c>
      <c r="O2531" s="31" t="n">
        <v>3202.77</v>
      </c>
    </row>
    <row r="2532">
      <c r="A2532" t="inlineStr">
        <is>
          <t>ENC121069</t>
        </is>
      </c>
      <c r="B2532" t="inlineStr">
        <is>
          <t>PT11604</t>
        </is>
      </c>
      <c r="C2532" t="inlineStr">
        <is>
          <t>Inpatient</t>
        </is>
      </c>
      <c r="D2532" t="inlineStr">
        <is>
          <t>Bluestone Memorial Hospital</t>
        </is>
      </c>
      <c r="E2532" t="inlineStr">
        <is>
          <t>Labor &amp; Delivery</t>
        </is>
      </c>
      <c r="F2532" t="inlineStr">
        <is>
          <t>Women &amp; Children</t>
        </is>
      </c>
      <c r="G2532" s="29" t="n">
        <v>46000</v>
      </c>
      <c r="H2532" s="29" t="n">
        <v>46005</v>
      </c>
      <c r="I2532" s="30" t="n">
        <v>5</v>
      </c>
      <c r="J2532" t="inlineStr">
        <is>
          <t>O80</t>
        </is>
      </c>
      <c r="K2532" t="inlineStr">
        <is>
          <t>Encounter for full-term uncomplicated delivery</t>
        </is>
      </c>
      <c r="L2532" t="inlineStr">
        <is>
          <t>Pregnancy</t>
        </is>
      </c>
      <c r="M2532" t="inlineStr">
        <is>
          <t>Home/Self-Care</t>
        </is>
      </c>
      <c r="N2532" t="inlineStr">
        <is>
          <t>Summit Choice PPO</t>
        </is>
      </c>
      <c r="O2532" s="31" t="n">
        <v>23921.17</v>
      </c>
      <c r="P2532" t="inlineStr">
        <is>
          <t>N</t>
        </is>
      </c>
    </row>
    <row r="2533">
      <c r="A2533" t="inlineStr">
        <is>
          <t>ENC121072</t>
        </is>
      </c>
      <c r="B2533" t="inlineStr">
        <is>
          <t>PT12920</t>
        </is>
      </c>
      <c r="C2533" t="inlineStr">
        <is>
          <t>Outpatient</t>
        </is>
      </c>
      <c r="D2533" t="inlineStr">
        <is>
          <t>Bluestone Outpatient Pavilion</t>
        </is>
      </c>
      <c r="E2533" t="inlineStr">
        <is>
          <t>Primary Care Clinic</t>
        </is>
      </c>
      <c r="F2533" t="inlineStr">
        <is>
          <t>Ambulatory</t>
        </is>
      </c>
      <c r="G2533" s="29" t="n">
        <v>46000</v>
      </c>
      <c r="H2533" s="29" t="n">
        <v>46000</v>
      </c>
      <c r="I2533" s="30" t="n"/>
      <c r="J2533" t="inlineStr">
        <is>
          <t>G43.909</t>
        </is>
      </c>
      <c r="K2533" t="inlineStr">
        <is>
          <t>Migraine, unspecified, not intractable, without status migrainosus</t>
        </is>
      </c>
      <c r="L2533" t="inlineStr">
        <is>
          <t>Nervous System</t>
        </is>
      </c>
      <c r="M2533" t="inlineStr">
        <is>
          <t>Home/Self-Care</t>
        </is>
      </c>
      <c r="N2533" t="inlineStr">
        <is>
          <t>State Medicaid</t>
        </is>
      </c>
      <c r="O2533" s="31" t="n">
        <v>180.69</v>
      </c>
    </row>
    <row r="2534">
      <c r="A2534" t="inlineStr">
        <is>
          <t>ENC121074</t>
        </is>
      </c>
      <c r="B2534" t="inlineStr">
        <is>
          <t>PT11632</t>
        </is>
      </c>
      <c r="C2534" t="inlineStr">
        <is>
          <t>Emergency</t>
        </is>
      </c>
      <c r="D2534" t="inlineStr">
        <is>
          <t>Bluestone Memorial Hospital</t>
        </is>
      </c>
      <c r="E2534" t="inlineStr">
        <is>
          <t>Emergency Department</t>
        </is>
      </c>
      <c r="F2534" t="inlineStr">
        <is>
          <t>Emergency</t>
        </is>
      </c>
      <c r="G2534" s="29" t="n">
        <v>46000</v>
      </c>
      <c r="H2534" s="29" t="n">
        <v>46000</v>
      </c>
      <c r="I2534" s="30" t="n"/>
      <c r="J2534" t="inlineStr">
        <is>
          <t>G43.909</t>
        </is>
      </c>
      <c r="K2534" t="inlineStr">
        <is>
          <t>Migraine, unspecified, not intractable, without status migrainosus</t>
        </is>
      </c>
      <c r="L2534" t="inlineStr">
        <is>
          <t>Nervous System</t>
        </is>
      </c>
      <c r="M2534" t="inlineStr">
        <is>
          <t>Home/Self-Care</t>
        </is>
      </c>
      <c r="N2534" t="inlineStr">
        <is>
          <t>State Medicaid</t>
        </is>
      </c>
      <c r="O2534" s="31" t="n">
        <v>818.62</v>
      </c>
    </row>
    <row r="2535">
      <c r="A2535" t="inlineStr">
        <is>
          <t>ENC121082</t>
        </is>
      </c>
      <c r="B2535" t="inlineStr">
        <is>
          <t>PT12920</t>
        </is>
      </c>
      <c r="C2535" t="inlineStr">
        <is>
          <t>Outpatient</t>
        </is>
      </c>
      <c r="D2535" t="inlineStr">
        <is>
          <t>Bluestone Outpatient Pavilion</t>
        </is>
      </c>
      <c r="E2535" t="inlineStr">
        <is>
          <t>Primary Care Clinic</t>
        </is>
      </c>
      <c r="F2535" t="inlineStr">
        <is>
          <t>Ambulatory</t>
        </is>
      </c>
      <c r="G2535" s="29" t="n">
        <v>46000</v>
      </c>
      <c r="H2535" s="29" t="n">
        <v>46000</v>
      </c>
      <c r="I2535" s="30" t="n"/>
      <c r="J2535" t="inlineStr">
        <is>
          <t>J06.9</t>
        </is>
      </c>
      <c r="K2535" t="inlineStr">
        <is>
          <t>Acute upper respiratory infection, unspecified</t>
        </is>
      </c>
      <c r="L2535" t="inlineStr">
        <is>
          <t>Respiratory</t>
        </is>
      </c>
      <c r="M2535" t="inlineStr">
        <is>
          <t>Home/Self-Care</t>
        </is>
      </c>
      <c r="N2535" t="inlineStr">
        <is>
          <t>State Medicaid</t>
        </is>
      </c>
      <c r="O2535" s="31" t="n">
        <v>421.44</v>
      </c>
    </row>
    <row r="2536">
      <c r="A2536" t="inlineStr">
        <is>
          <t>ENC121083</t>
        </is>
      </c>
      <c r="B2536" t="inlineStr">
        <is>
          <t>PT13472</t>
        </is>
      </c>
      <c r="C2536" t="inlineStr">
        <is>
          <t>Outpatient</t>
        </is>
      </c>
      <c r="D2536" t="inlineStr">
        <is>
          <t>Bluestone Outpatient Pavilion</t>
        </is>
      </c>
      <c r="E2536" t="inlineStr">
        <is>
          <t>Pediatric Clinic</t>
        </is>
      </c>
      <c r="F2536" t="inlineStr">
        <is>
          <t>Women &amp; Children</t>
        </is>
      </c>
      <c r="G2536" s="29" t="n">
        <v>46000</v>
      </c>
      <c r="H2536" s="29" t="n">
        <v>46000</v>
      </c>
      <c r="I2536" s="30" t="n"/>
      <c r="J2536" t="inlineStr">
        <is>
          <t>Z00.129</t>
        </is>
      </c>
      <c r="K2536" t="inlineStr">
        <is>
          <t>Encounter for routine child health examination without abnormal findings</t>
        </is>
      </c>
      <c r="L2536" t="inlineStr">
        <is>
          <t>Factors Influencing Health</t>
        </is>
      </c>
      <c r="M2536" t="inlineStr">
        <is>
          <t>Home/Self-Care</t>
        </is>
      </c>
      <c r="N2536" t="inlineStr">
        <is>
          <t>State Medicaid</t>
        </is>
      </c>
      <c r="O2536" s="31" t="n">
        <v>393.03</v>
      </c>
    </row>
    <row r="2537">
      <c r="A2537" t="inlineStr">
        <is>
          <t>ENC121093</t>
        </is>
      </c>
      <c r="B2537" t="inlineStr">
        <is>
          <t>PT12952</t>
        </is>
      </c>
      <c r="C2537" t="inlineStr">
        <is>
          <t>Inpatient</t>
        </is>
      </c>
      <c r="D2537" t="inlineStr">
        <is>
          <t>Bluestone Memorial Hospital</t>
        </is>
      </c>
      <c r="E2537" t="inlineStr">
        <is>
          <t>Behavioral Health</t>
        </is>
      </c>
      <c r="F2537" t="inlineStr">
        <is>
          <t>Behavioral Health</t>
        </is>
      </c>
      <c r="G2537" s="29" t="n">
        <v>46001</v>
      </c>
      <c r="H2537" s="29" t="n">
        <v>46014</v>
      </c>
      <c r="I2537" s="30" t="n">
        <v>13</v>
      </c>
      <c r="J2537" t="inlineStr">
        <is>
          <t>F20.9</t>
        </is>
      </c>
      <c r="K2537" t="inlineStr">
        <is>
          <t>Schizophrenia, unspecified</t>
        </is>
      </c>
      <c r="L2537" t="inlineStr">
        <is>
          <t>Mental &amp; Behavioral</t>
        </is>
      </c>
      <c r="M2537" t="inlineStr">
        <is>
          <t>Home/Self-Care</t>
        </is>
      </c>
      <c r="N2537" t="inlineStr">
        <is>
          <t>Summit Choice PPO</t>
        </is>
      </c>
      <c r="O2537" s="31" t="n">
        <v>20133.2</v>
      </c>
      <c r="P2537" t="inlineStr">
        <is>
          <t>N</t>
        </is>
      </c>
    </row>
    <row r="2538">
      <c r="A2538" t="inlineStr">
        <is>
          <t>ENC121097</t>
        </is>
      </c>
      <c r="B2538" t="inlineStr">
        <is>
          <t>PT11816</t>
        </is>
      </c>
      <c r="C2538" t="inlineStr">
        <is>
          <t>Inpatient</t>
        </is>
      </c>
      <c r="D2538" t="inlineStr">
        <is>
          <t>Cedar Ridge Medical Center</t>
        </is>
      </c>
      <c r="E2538" t="inlineStr">
        <is>
          <t>Cardiac Step-Down</t>
        </is>
      </c>
      <c r="F2538" t="inlineStr">
        <is>
          <t>Cardiovascular</t>
        </is>
      </c>
      <c r="G2538" s="29" t="n">
        <v>46001</v>
      </c>
      <c r="H2538" s="29" t="n">
        <v>46007</v>
      </c>
      <c r="I2538" s="30" t="n">
        <v>6</v>
      </c>
      <c r="J2538" t="inlineStr">
        <is>
          <t>I50.9</t>
        </is>
      </c>
      <c r="K2538" t="inlineStr">
        <is>
          <t>Heart failure, unspecified</t>
        </is>
      </c>
      <c r="L2538" t="inlineStr">
        <is>
          <t>Circulatory</t>
        </is>
      </c>
      <c r="M2538" t="inlineStr">
        <is>
          <t>Skilled Nursing Facility</t>
        </is>
      </c>
      <c r="N2538" t="inlineStr">
        <is>
          <t>Medicare</t>
        </is>
      </c>
      <c r="O2538" s="31" t="n">
        <v>31927.49</v>
      </c>
      <c r="P2538" t="inlineStr">
        <is>
          <t>N</t>
        </is>
      </c>
    </row>
    <row r="2539">
      <c r="A2539" t="inlineStr">
        <is>
          <t>ENC121102</t>
        </is>
      </c>
      <c r="B2539" t="inlineStr">
        <is>
          <t>PT13768</t>
        </is>
      </c>
      <c r="C2539" t="inlineStr">
        <is>
          <t>Emergency</t>
        </is>
      </c>
      <c r="D2539" t="inlineStr">
        <is>
          <t>Ashby Falls Community Hospital</t>
        </is>
      </c>
      <c r="E2539" t="inlineStr">
        <is>
          <t>Emergency Department</t>
        </is>
      </c>
      <c r="F2539" t="inlineStr">
        <is>
          <t>Emergency</t>
        </is>
      </c>
      <c r="G2539" s="29" t="n">
        <v>46001</v>
      </c>
      <c r="H2539" s="29" t="n">
        <v>46001</v>
      </c>
      <c r="I2539" s="30" t="n"/>
      <c r="J2539" t="inlineStr">
        <is>
          <t>S93.401A</t>
        </is>
      </c>
      <c r="K2539" t="inlineStr">
        <is>
          <t>Sprain of unspecified ligament of right ankle, initial encounter</t>
        </is>
      </c>
      <c r="L2539" t="inlineStr">
        <is>
          <t>Injury</t>
        </is>
      </c>
      <c r="M2539" t="inlineStr">
        <is>
          <t>Left Without Being Seen</t>
        </is>
      </c>
      <c r="N2539" t="inlineStr">
        <is>
          <t>State Medicaid</t>
        </is>
      </c>
      <c r="O2539" s="31" t="n">
        <v>1194.93</v>
      </c>
    </row>
    <row r="2540">
      <c r="A2540" t="inlineStr">
        <is>
          <t>ENC121105</t>
        </is>
      </c>
      <c r="B2540" t="inlineStr">
        <is>
          <t>PT12440</t>
        </is>
      </c>
      <c r="C2540" t="inlineStr">
        <is>
          <t>Emergency</t>
        </is>
      </c>
      <c r="D2540" t="inlineStr">
        <is>
          <t>Ashby Falls Community Hospital</t>
        </is>
      </c>
      <c r="E2540" t="inlineStr">
        <is>
          <t>Emergency Department</t>
        </is>
      </c>
      <c r="F2540" t="inlineStr">
        <is>
          <t>Emergency</t>
        </is>
      </c>
      <c r="G2540" s="29" t="n">
        <v>46001</v>
      </c>
      <c r="H2540" s="29" t="n">
        <v>46001</v>
      </c>
      <c r="I2540" s="30" t="n"/>
      <c r="J2540" t="inlineStr">
        <is>
          <t>U07.1</t>
        </is>
      </c>
      <c r="K2540" t="inlineStr">
        <is>
          <t>COVID-19</t>
        </is>
      </c>
      <c r="L2540" t="inlineStr">
        <is>
          <t>Respiratory</t>
        </is>
      </c>
      <c r="M2540" t="inlineStr">
        <is>
          <t>Home/Self-Care</t>
        </is>
      </c>
      <c r="N2540" t="inlineStr">
        <is>
          <t>Medicare</t>
        </is>
      </c>
      <c r="O2540" s="31" t="n">
        <v>3516.49</v>
      </c>
    </row>
    <row r="2541">
      <c r="A2541" t="inlineStr">
        <is>
          <t>ENC121106</t>
        </is>
      </c>
      <c r="B2541" t="inlineStr">
        <is>
          <t>PT10744</t>
        </is>
      </c>
      <c r="C2541" t="inlineStr">
        <is>
          <t>Outpatient</t>
        </is>
      </c>
      <c r="D2541" t="inlineStr">
        <is>
          <t>Bluestone Outpatient Pavilion</t>
        </is>
      </c>
      <c r="E2541" t="inlineStr">
        <is>
          <t>Primary Care Clinic</t>
        </is>
      </c>
      <c r="F2541" t="inlineStr">
        <is>
          <t>Ambulatory</t>
        </is>
      </c>
      <c r="G2541" s="29" t="n">
        <v>46001</v>
      </c>
      <c r="H2541" s="29" t="n">
        <v>46001</v>
      </c>
      <c r="I2541" s="30" t="n"/>
      <c r="J2541" t="inlineStr">
        <is>
          <t>F41.9</t>
        </is>
      </c>
      <c r="K2541" t="inlineStr">
        <is>
          <t>Anxiety disorder, unspecified</t>
        </is>
      </c>
      <c r="L2541" t="inlineStr">
        <is>
          <t>Mental &amp; Behavioral</t>
        </is>
      </c>
      <c r="M2541" t="inlineStr">
        <is>
          <t>Home/Self-Care</t>
        </is>
      </c>
      <c r="N2541" t="inlineStr">
        <is>
          <t>State Medicaid</t>
        </is>
      </c>
      <c r="O2541" s="31" t="n">
        <v>311.81</v>
      </c>
    </row>
    <row r="2542">
      <c r="A2542" t="inlineStr">
        <is>
          <t>ENC121108</t>
        </is>
      </c>
      <c r="B2542" t="inlineStr">
        <is>
          <t>PT13500</t>
        </is>
      </c>
      <c r="C2542" t="inlineStr">
        <is>
          <t>Outpatient</t>
        </is>
      </c>
      <c r="D2542" t="inlineStr">
        <is>
          <t>Bluestone Outpatient Pavilion</t>
        </is>
      </c>
      <c r="E2542" t="inlineStr">
        <is>
          <t>Primary Care Clinic</t>
        </is>
      </c>
      <c r="F2542" t="inlineStr">
        <is>
          <t>Ambulatory</t>
        </is>
      </c>
      <c r="G2542" s="29" t="n">
        <v>46001</v>
      </c>
      <c r="H2542" s="29" t="n">
        <v>46001</v>
      </c>
      <c r="I2542" s="30" t="n"/>
      <c r="J2542" t="inlineStr">
        <is>
          <t>M54.50</t>
        </is>
      </c>
      <c r="K2542" t="inlineStr">
        <is>
          <t>Low back pain, unspecified</t>
        </is>
      </c>
      <c r="L2542" t="inlineStr">
        <is>
          <t>Musculoskeletal</t>
        </is>
      </c>
      <c r="M2542" t="inlineStr">
        <is>
          <t>Home/Self-Care</t>
        </is>
      </c>
      <c r="N2542" t="inlineStr">
        <is>
          <t>Medicare</t>
        </is>
      </c>
      <c r="O2542" s="31" t="n">
        <v>139.69</v>
      </c>
    </row>
    <row r="2543">
      <c r="A2543" t="inlineStr">
        <is>
          <t>ENC121110</t>
        </is>
      </c>
      <c r="B2543" t="inlineStr">
        <is>
          <t>PT13436</t>
        </is>
      </c>
      <c r="C2543" t="inlineStr">
        <is>
          <t>Outpatient</t>
        </is>
      </c>
      <c r="D2543" t="inlineStr">
        <is>
          <t>Bluestone Outpatient Pavilion</t>
        </is>
      </c>
      <c r="E2543" t="inlineStr">
        <is>
          <t>Primary Care Clinic</t>
        </is>
      </c>
      <c r="F2543" t="inlineStr">
        <is>
          <t>Ambulatory</t>
        </is>
      </c>
      <c r="G2543" s="29" t="n">
        <v>46001</v>
      </c>
      <c r="H2543" s="29" t="n">
        <v>46001</v>
      </c>
      <c r="I2543" s="30" t="n"/>
      <c r="J2543" t="inlineStr">
        <is>
          <t>Z23</t>
        </is>
      </c>
      <c r="K2543" t="inlineStr">
        <is>
          <t>Encounter for immunization</t>
        </is>
      </c>
      <c r="L2543" t="inlineStr">
        <is>
          <t>Factors Influencing Health</t>
        </is>
      </c>
      <c r="M2543" t="inlineStr">
        <is>
          <t>Home/Self-Care</t>
        </is>
      </c>
      <c r="N2543" t="inlineStr">
        <is>
          <t>Silverline Medicare Advantage</t>
        </is>
      </c>
      <c r="O2543" s="31" t="n">
        <v>142.31</v>
      </c>
    </row>
    <row r="2544">
      <c r="A2544" t="inlineStr">
        <is>
          <t>ENC121114</t>
        </is>
      </c>
      <c r="B2544" t="inlineStr">
        <is>
          <t>PT10900</t>
        </is>
      </c>
      <c r="C2544" t="inlineStr">
        <is>
          <t>Outpatient</t>
        </is>
      </c>
      <c r="D2544" t="inlineStr">
        <is>
          <t>Bluestone Outpatient Pavilion</t>
        </is>
      </c>
      <c r="E2544" t="inlineStr">
        <is>
          <t>Primary Care Clinic</t>
        </is>
      </c>
      <c r="F2544" t="inlineStr">
        <is>
          <t>Ambulatory</t>
        </is>
      </c>
      <c r="G2544" s="29" t="n">
        <v>46001</v>
      </c>
      <c r="H2544" s="29" t="n">
        <v>46001</v>
      </c>
      <c r="I2544" s="30" t="n"/>
      <c r="J2544" t="inlineStr">
        <is>
          <t>E78.5</t>
        </is>
      </c>
      <c r="K2544" t="inlineStr">
        <is>
          <t>Hyperlipidemia, unspecified</t>
        </is>
      </c>
      <c r="L2544" t="inlineStr">
        <is>
          <t>Endocrine</t>
        </is>
      </c>
      <c r="M2544" t="inlineStr">
        <is>
          <t>Home/Self-Care</t>
        </is>
      </c>
      <c r="N2544" t="inlineStr">
        <is>
          <t>Silverline Medicare Advantage</t>
        </is>
      </c>
      <c r="O2544" s="31" t="n">
        <v>201.46</v>
      </c>
    </row>
    <row r="2545">
      <c r="A2545" t="inlineStr">
        <is>
          <t>ENC121115</t>
        </is>
      </c>
      <c r="B2545" t="inlineStr">
        <is>
          <t>PT12428</t>
        </is>
      </c>
      <c r="C2545" t="inlineStr">
        <is>
          <t>Emergency</t>
        </is>
      </c>
      <c r="D2545" t="inlineStr">
        <is>
          <t>Ashby Falls Community Hospital</t>
        </is>
      </c>
      <c r="E2545" t="inlineStr">
        <is>
          <t>Emergency Department</t>
        </is>
      </c>
      <c r="F2545" t="inlineStr">
        <is>
          <t>Emergency</t>
        </is>
      </c>
      <c r="G2545" s="29" t="n">
        <v>46001</v>
      </c>
      <c r="H2545" s="29" t="n">
        <v>46001</v>
      </c>
      <c r="I2545" s="30" t="n"/>
      <c r="J2545" t="inlineStr">
        <is>
          <t>J06.9</t>
        </is>
      </c>
      <c r="K2545" t="inlineStr">
        <is>
          <t>Acute upper respiratory infection, unspecified</t>
        </is>
      </c>
      <c r="L2545" t="inlineStr">
        <is>
          <t>Respiratory</t>
        </is>
      </c>
      <c r="M2545" t="inlineStr">
        <is>
          <t>Home/Self-Care</t>
        </is>
      </c>
      <c r="N2545" t="inlineStr">
        <is>
          <t>Summit Choice PPO</t>
        </is>
      </c>
      <c r="O2545" s="31" t="n">
        <v>700.35</v>
      </c>
    </row>
    <row r="2546">
      <c r="A2546" t="inlineStr">
        <is>
          <t>ENC121116</t>
        </is>
      </c>
      <c r="B2546" t="inlineStr">
        <is>
          <t>PT11848</t>
        </is>
      </c>
      <c r="C2546" t="inlineStr">
        <is>
          <t>Outpatient</t>
        </is>
      </c>
      <c r="D2546" t="inlineStr">
        <is>
          <t>Bluestone Outpatient Pavilion</t>
        </is>
      </c>
      <c r="E2546" t="inlineStr">
        <is>
          <t>Primary Care Clinic</t>
        </is>
      </c>
      <c r="F2546" t="inlineStr">
        <is>
          <t>Ambulatory</t>
        </is>
      </c>
      <c r="G2546" s="29" t="n">
        <v>46001</v>
      </c>
      <c r="H2546" s="29" t="n">
        <v>46001</v>
      </c>
      <c r="I2546" s="30" t="n"/>
      <c r="J2546" t="inlineStr">
        <is>
          <t>I10</t>
        </is>
      </c>
      <c r="K2546" t="inlineStr">
        <is>
          <t>Essential (primary) hypertension</t>
        </is>
      </c>
      <c r="L2546" t="inlineStr">
        <is>
          <t>Circulatory</t>
        </is>
      </c>
      <c r="M2546" t="inlineStr">
        <is>
          <t>Home/Self-Care</t>
        </is>
      </c>
      <c r="N2546" t="inlineStr">
        <is>
          <t>Silverline Medicare Advantage</t>
        </is>
      </c>
      <c r="O2546" s="31" t="n">
        <v>238.94</v>
      </c>
    </row>
    <row r="2547">
      <c r="A2547" t="inlineStr">
        <is>
          <t>ENC121117</t>
        </is>
      </c>
      <c r="B2547" t="inlineStr">
        <is>
          <t>PT12048</t>
        </is>
      </c>
      <c r="C2547" t="inlineStr">
        <is>
          <t>Outpatient</t>
        </is>
      </c>
      <c r="D2547" t="inlineStr">
        <is>
          <t>Bluestone Outpatient Pavilion</t>
        </is>
      </c>
      <c r="E2547" t="inlineStr">
        <is>
          <t>Primary Care Clinic</t>
        </is>
      </c>
      <c r="F2547" t="inlineStr">
        <is>
          <t>Ambulatory</t>
        </is>
      </c>
      <c r="G2547" s="29" t="n">
        <v>46001</v>
      </c>
      <c r="H2547" s="29" t="n">
        <v>46001</v>
      </c>
      <c r="I2547" s="30" t="n"/>
      <c r="J2547" t="inlineStr">
        <is>
          <t>Z00.00</t>
        </is>
      </c>
      <c r="K2547" t="inlineStr">
        <is>
          <t>Encounter for general adult medical examination without abnormal findings</t>
        </is>
      </c>
      <c r="L2547" t="inlineStr">
        <is>
          <t>Factors Influencing Health</t>
        </is>
      </c>
      <c r="M2547" t="inlineStr">
        <is>
          <t>Home/Self-Care</t>
        </is>
      </c>
      <c r="N2547" t="inlineStr">
        <is>
          <t>State Medicaid</t>
        </is>
      </c>
      <c r="O2547" s="31" t="n">
        <v>327.9</v>
      </c>
    </row>
    <row r="2548">
      <c r="A2548" t="inlineStr">
        <is>
          <t>ENC121130</t>
        </is>
      </c>
      <c r="B2548" t="inlineStr">
        <is>
          <t>PT12024</t>
        </is>
      </c>
      <c r="C2548" t="inlineStr">
        <is>
          <t>Observation</t>
        </is>
      </c>
      <c r="D2548" t="inlineStr">
        <is>
          <t>Cedar Ridge Medical Center</t>
        </is>
      </c>
      <c r="E2548" t="inlineStr">
        <is>
          <t>Medical-Surgical</t>
        </is>
      </c>
      <c r="F2548" t="inlineStr">
        <is>
          <t>Medicine</t>
        </is>
      </c>
      <c r="G2548" s="29" t="n">
        <v>46001</v>
      </c>
      <c r="H2548" s="29" t="n">
        <v>46002</v>
      </c>
      <c r="I2548" s="30" t="n">
        <v>1</v>
      </c>
      <c r="J2548" t="inlineStr">
        <is>
          <t>R07.9</t>
        </is>
      </c>
      <c r="K2548" t="inlineStr">
        <is>
          <t>Chest pain, unspecified</t>
        </is>
      </c>
      <c r="L2548" t="inlineStr">
        <is>
          <t>Symptoms &amp; Signs</t>
        </is>
      </c>
      <c r="M2548" t="inlineStr">
        <is>
          <t>Home/Self-Care</t>
        </is>
      </c>
      <c r="N2548" t="inlineStr">
        <is>
          <t>Medicare</t>
        </is>
      </c>
      <c r="O2548" s="31" t="n">
        <v>8652.98</v>
      </c>
    </row>
    <row r="2549">
      <c r="A2549" t="inlineStr">
        <is>
          <t>ENC121137</t>
        </is>
      </c>
      <c r="B2549" t="inlineStr">
        <is>
          <t>PT13620</t>
        </is>
      </c>
      <c r="C2549" t="inlineStr">
        <is>
          <t>Inpatient</t>
        </is>
      </c>
      <c r="D2549" t="inlineStr">
        <is>
          <t>Bluestone Memorial Hospital</t>
        </is>
      </c>
      <c r="E2549" t="inlineStr">
        <is>
          <t>Oncology</t>
        </is>
      </c>
      <c r="F2549" t="inlineStr">
        <is>
          <t>Oncology</t>
        </is>
      </c>
      <c r="G2549" s="29" t="n">
        <v>46001</v>
      </c>
      <c r="H2549" s="29" t="n">
        <v>46009</v>
      </c>
      <c r="I2549" s="30" t="n">
        <v>8</v>
      </c>
      <c r="J2549" t="inlineStr">
        <is>
          <t>C34.90</t>
        </is>
      </c>
      <c r="K2549" t="inlineStr">
        <is>
          <t>Malignant neoplasm of unspecified part of unspecified bronchus or lung</t>
        </is>
      </c>
      <c r="L2549" t="inlineStr">
        <is>
          <t>Neoplasms</t>
        </is>
      </c>
      <c r="M2549" t="inlineStr">
        <is>
          <t>Home/Self-Care</t>
        </is>
      </c>
      <c r="N2549" t="inlineStr">
        <is>
          <t>State Medicaid</t>
        </is>
      </c>
      <c r="O2549" s="31" t="n">
        <v>37574.58</v>
      </c>
      <c r="P2549" t="inlineStr">
        <is>
          <t>N</t>
        </is>
      </c>
    </row>
    <row r="2550">
      <c r="A2550" t="inlineStr">
        <is>
          <t>ENC121140</t>
        </is>
      </c>
      <c r="B2550" t="inlineStr">
        <is>
          <t>PT11624</t>
        </is>
      </c>
      <c r="C2550" t="inlineStr">
        <is>
          <t>Outpatient</t>
        </is>
      </c>
      <c r="D2550" t="inlineStr">
        <is>
          <t>Bluestone Outpatient Pavilion</t>
        </is>
      </c>
      <c r="E2550" t="inlineStr">
        <is>
          <t>Primary Care Clinic</t>
        </is>
      </c>
      <c r="F2550" t="inlineStr">
        <is>
          <t>Ambulatory</t>
        </is>
      </c>
      <c r="G2550" s="29" t="n">
        <v>46002</v>
      </c>
      <c r="H2550" s="29" t="n">
        <v>46002</v>
      </c>
      <c r="I2550" s="30" t="n"/>
      <c r="J2550" t="inlineStr">
        <is>
          <t>Z00.00</t>
        </is>
      </c>
      <c r="K2550" t="inlineStr">
        <is>
          <t>Encounter for general adult medical examination without abnormal findings</t>
        </is>
      </c>
      <c r="L2550" t="inlineStr">
        <is>
          <t>Factors Influencing Health</t>
        </is>
      </c>
      <c r="M2550" t="inlineStr">
        <is>
          <t>Home/Self-Care</t>
        </is>
      </c>
      <c r="N2550" t="inlineStr">
        <is>
          <t>State Medicaid</t>
        </is>
      </c>
      <c r="O2550" s="31" t="n">
        <v>360.08</v>
      </c>
    </row>
    <row r="2551">
      <c r="A2551" t="inlineStr">
        <is>
          <t>ENC121149</t>
        </is>
      </c>
      <c r="B2551" t="inlineStr">
        <is>
          <t>PT13964</t>
        </is>
      </c>
      <c r="C2551" t="inlineStr">
        <is>
          <t>Inpatient</t>
        </is>
      </c>
      <c r="D2551" t="inlineStr">
        <is>
          <t>Bluestone Memorial Hospital</t>
        </is>
      </c>
      <c r="E2551" t="inlineStr">
        <is>
          <t>Medical-Surgical 5 East</t>
        </is>
      </c>
      <c r="F2551" t="inlineStr">
        <is>
          <t>Medicine</t>
        </is>
      </c>
      <c r="G2551" s="29" t="n">
        <v>46002</v>
      </c>
      <c r="H2551" s="29" t="n">
        <v>46004</v>
      </c>
      <c r="I2551" s="30" t="n">
        <v>2</v>
      </c>
      <c r="J2551" t="inlineStr">
        <is>
          <t>J44.1</t>
        </is>
      </c>
      <c r="K2551" t="inlineStr">
        <is>
          <t>Chronic obstructive pulmonary disease with (acute) exacerbation</t>
        </is>
      </c>
      <c r="L2551" t="inlineStr">
        <is>
          <t>Respiratory</t>
        </is>
      </c>
      <c r="M2551" t="inlineStr">
        <is>
          <t>Home Health</t>
        </is>
      </c>
      <c r="N2551" t="inlineStr">
        <is>
          <t>Medicare</t>
        </is>
      </c>
      <c r="O2551" s="31" t="n">
        <v>8013.33</v>
      </c>
      <c r="P2551" t="inlineStr">
        <is>
          <t>N</t>
        </is>
      </c>
    </row>
    <row r="2552">
      <c r="A2552" t="inlineStr">
        <is>
          <t>ENC121155</t>
        </is>
      </c>
      <c r="B2552" t="inlineStr">
        <is>
          <t>PT11520</t>
        </is>
      </c>
      <c r="C2552" t="inlineStr">
        <is>
          <t>Outpatient</t>
        </is>
      </c>
      <c r="D2552" t="inlineStr">
        <is>
          <t>Bluestone Outpatient Pavilion</t>
        </is>
      </c>
      <c r="E2552" t="inlineStr">
        <is>
          <t>Primary Care Clinic</t>
        </is>
      </c>
      <c r="F2552" t="inlineStr">
        <is>
          <t>Ambulatory</t>
        </is>
      </c>
      <c r="G2552" s="29" t="n">
        <v>46002</v>
      </c>
      <c r="H2552" s="29" t="n">
        <v>46002</v>
      </c>
      <c r="I2552" s="30" t="n"/>
      <c r="J2552" t="inlineStr">
        <is>
          <t>J06.9</t>
        </is>
      </c>
      <c r="K2552" t="inlineStr">
        <is>
          <t>Acute upper respiratory infection, unspecified</t>
        </is>
      </c>
      <c r="L2552" t="inlineStr">
        <is>
          <t>Respiratory</t>
        </is>
      </c>
      <c r="M2552" t="inlineStr">
        <is>
          <t>Home/Self-Care</t>
        </is>
      </c>
      <c r="N2552" t="inlineStr">
        <is>
          <t>State Medicaid</t>
        </is>
      </c>
      <c r="O2552" s="31" t="n">
        <v>532.95</v>
      </c>
    </row>
    <row r="2553">
      <c r="A2553" t="inlineStr">
        <is>
          <t>ENC121157</t>
        </is>
      </c>
      <c r="B2553" t="inlineStr">
        <is>
          <t>PT13020</t>
        </is>
      </c>
      <c r="C2553" t="inlineStr">
        <is>
          <t>Outpatient</t>
        </is>
      </c>
      <c r="D2553" t="inlineStr">
        <is>
          <t>Bluestone Outpatient Pavilion</t>
        </is>
      </c>
      <c r="E2553" t="inlineStr">
        <is>
          <t>Pediatric Clinic</t>
        </is>
      </c>
      <c r="F2553" t="inlineStr">
        <is>
          <t>Women &amp; Children</t>
        </is>
      </c>
      <c r="G2553" s="29" t="n">
        <v>46002</v>
      </c>
      <c r="H2553" s="29" t="n">
        <v>46002</v>
      </c>
      <c r="I2553" s="30" t="n"/>
      <c r="J2553" t="inlineStr">
        <is>
          <t>H66.90</t>
        </is>
      </c>
      <c r="K2553" t="inlineStr">
        <is>
          <t>Otitis media, unspecified, unspecified ear</t>
        </is>
      </c>
      <c r="L2553" t="inlineStr">
        <is>
          <t>Ear</t>
        </is>
      </c>
      <c r="M2553" t="inlineStr">
        <is>
          <t>Home/Self-Care</t>
        </is>
      </c>
      <c r="N2553" t="inlineStr">
        <is>
          <t>State Medicaid</t>
        </is>
      </c>
      <c r="O2553" s="31" t="n">
        <v>223.46</v>
      </c>
    </row>
    <row r="2554">
      <c r="A2554" t="inlineStr">
        <is>
          <t>ENC121164</t>
        </is>
      </c>
      <c r="B2554" t="inlineStr">
        <is>
          <t>PT10180</t>
        </is>
      </c>
      <c r="C2554" t="inlineStr">
        <is>
          <t>Inpatient</t>
        </is>
      </c>
      <c r="D2554" t="inlineStr">
        <is>
          <t>Bluestone Memorial Hospital</t>
        </is>
      </c>
      <c r="E2554" t="inlineStr">
        <is>
          <t>Medical-Surgical 5 East</t>
        </is>
      </c>
      <c r="F2554" t="inlineStr">
        <is>
          <t>Medicine</t>
        </is>
      </c>
      <c r="G2554" s="29" t="n">
        <v>46002</v>
      </c>
      <c r="H2554" s="29" t="n">
        <v>46014</v>
      </c>
      <c r="I2554" s="30" t="n">
        <v>12</v>
      </c>
      <c r="J2554" t="inlineStr">
        <is>
          <t>A41.9</t>
        </is>
      </c>
      <c r="K2554" t="inlineStr">
        <is>
          <t>Sepsis, unspecified organism</t>
        </is>
      </c>
      <c r="L2554" t="inlineStr">
        <is>
          <t>Infectious</t>
        </is>
      </c>
      <c r="M2554" t="inlineStr">
        <is>
          <t>Home Health</t>
        </is>
      </c>
      <c r="N2554" t="inlineStr">
        <is>
          <t>Silverline Medicare Advantage</t>
        </is>
      </c>
      <c r="O2554" s="31" t="n">
        <v>153289.75</v>
      </c>
      <c r="P2554" t="inlineStr">
        <is>
          <t>N</t>
        </is>
      </c>
    </row>
    <row r="2555">
      <c r="A2555" t="inlineStr">
        <is>
          <t>ENC121173</t>
        </is>
      </c>
      <c r="B2555" t="inlineStr">
        <is>
          <t>PT10184</t>
        </is>
      </c>
      <c r="C2555" t="inlineStr">
        <is>
          <t>Emergency</t>
        </is>
      </c>
      <c r="D2555" t="inlineStr">
        <is>
          <t>Bluestone Memorial Hospital</t>
        </is>
      </c>
      <c r="E2555" t="inlineStr">
        <is>
          <t>Emergency Department</t>
        </is>
      </c>
      <c r="F2555" t="inlineStr">
        <is>
          <t>Emergency</t>
        </is>
      </c>
      <c r="G2555" s="29" t="n">
        <v>46002</v>
      </c>
      <c r="H2555" s="29" t="n">
        <v>46003</v>
      </c>
      <c r="I2555" s="30" t="n"/>
      <c r="J2555" t="inlineStr">
        <is>
          <t>J45.909</t>
        </is>
      </c>
      <c r="K2555" t="inlineStr">
        <is>
          <t>Unspecified asthma, uncomplicated</t>
        </is>
      </c>
      <c r="L2555" t="inlineStr">
        <is>
          <t>Respiratory</t>
        </is>
      </c>
      <c r="M2555" t="inlineStr">
        <is>
          <t>Home/Self-Care</t>
        </is>
      </c>
      <c r="N2555" t="inlineStr">
        <is>
          <t>Keystone Health Partners</t>
        </is>
      </c>
      <c r="O2555" s="31" t="n">
        <v>4112.16</v>
      </c>
    </row>
    <row r="2556">
      <c r="A2556" t="inlineStr">
        <is>
          <t>ENC121176</t>
        </is>
      </c>
      <c r="B2556" t="inlineStr">
        <is>
          <t>PT11968</t>
        </is>
      </c>
      <c r="C2556" t="inlineStr">
        <is>
          <t>Inpatient</t>
        </is>
      </c>
      <c r="D2556" t="inlineStr">
        <is>
          <t>Cedar Ridge Medical Center</t>
        </is>
      </c>
      <c r="E2556" t="inlineStr">
        <is>
          <t>Medical-Surgical</t>
        </is>
      </c>
      <c r="F2556" t="inlineStr">
        <is>
          <t>Medicine</t>
        </is>
      </c>
      <c r="G2556" s="29" t="n">
        <v>46003</v>
      </c>
      <c r="H2556" s="29" t="n">
        <v>46008</v>
      </c>
      <c r="I2556" s="30" t="n">
        <v>5</v>
      </c>
      <c r="J2556" t="inlineStr">
        <is>
          <t>N39.0</t>
        </is>
      </c>
      <c r="K2556" t="inlineStr">
        <is>
          <t>Urinary tract infection, site not specified</t>
        </is>
      </c>
      <c r="L2556" t="inlineStr">
        <is>
          <t>Genitourinary</t>
        </is>
      </c>
      <c r="M2556" t="inlineStr">
        <is>
          <t>Home/Self-Care</t>
        </is>
      </c>
      <c r="N2556" t="inlineStr">
        <is>
          <t>State Medicaid</t>
        </is>
      </c>
      <c r="O2556" s="31" t="n">
        <v>27429.55</v>
      </c>
      <c r="P2556" t="inlineStr">
        <is>
          <t>N</t>
        </is>
      </c>
    </row>
    <row r="2557">
      <c r="A2557" t="inlineStr">
        <is>
          <t>ENC121179</t>
        </is>
      </c>
      <c r="B2557" t="inlineStr">
        <is>
          <t>PT12840</t>
        </is>
      </c>
      <c r="C2557" t="inlineStr">
        <is>
          <t>Outpatient</t>
        </is>
      </c>
      <c r="D2557" t="inlineStr">
        <is>
          <t>Bluestone Outpatient Pavilion</t>
        </is>
      </c>
      <c r="E2557" t="inlineStr">
        <is>
          <t>Pediatric Clinic</t>
        </is>
      </c>
      <c r="F2557" t="inlineStr">
        <is>
          <t>Women &amp; Children</t>
        </is>
      </c>
      <c r="G2557" s="29" t="n">
        <v>46003</v>
      </c>
      <c r="H2557" s="29" t="n">
        <v>46003</v>
      </c>
      <c r="I2557" s="30" t="n"/>
      <c r="J2557" t="inlineStr">
        <is>
          <t>H66.90</t>
        </is>
      </c>
      <c r="K2557" t="inlineStr">
        <is>
          <t>Otitis media, unspecified, unspecified ear</t>
        </is>
      </c>
      <c r="L2557" t="inlineStr">
        <is>
          <t>Ear</t>
        </is>
      </c>
      <c r="M2557" t="inlineStr">
        <is>
          <t>Home/Self-Care</t>
        </is>
      </c>
      <c r="N2557" t="inlineStr">
        <is>
          <t>Keystone Health Partners</t>
        </is>
      </c>
      <c r="O2557" s="31" t="n">
        <v>264.6</v>
      </c>
    </row>
    <row r="2558">
      <c r="A2558" t="inlineStr">
        <is>
          <t>ENC121186</t>
        </is>
      </c>
      <c r="B2558" t="inlineStr">
        <is>
          <t>PT12200</t>
        </is>
      </c>
      <c r="C2558" t="inlineStr">
        <is>
          <t>Emergency</t>
        </is>
      </c>
      <c r="D2558" t="inlineStr">
        <is>
          <t>Bluestone Memorial Hospital</t>
        </is>
      </c>
      <c r="E2558" t="inlineStr">
        <is>
          <t>Emergency Department</t>
        </is>
      </c>
      <c r="F2558" t="inlineStr">
        <is>
          <t>Emergency</t>
        </is>
      </c>
      <c r="G2558" s="29" t="n">
        <v>46003</v>
      </c>
      <c r="H2558" s="29" t="n">
        <v>46003</v>
      </c>
      <c r="I2558" s="30" t="n"/>
      <c r="J2558" t="inlineStr">
        <is>
          <t>R10.9</t>
        </is>
      </c>
      <c r="K2558" t="inlineStr">
        <is>
          <t>Unspecified abdominal pain</t>
        </is>
      </c>
      <c r="L2558" t="inlineStr">
        <is>
          <t>Symptoms &amp; Signs</t>
        </is>
      </c>
      <c r="M2558" t="inlineStr">
        <is>
          <t>Home/Self-Care</t>
        </is>
      </c>
      <c r="N2558" t="inlineStr">
        <is>
          <t>State Medicaid</t>
        </is>
      </c>
      <c r="O2558" s="31" t="n">
        <v>4454.28</v>
      </c>
    </row>
    <row r="2559">
      <c r="A2559" t="inlineStr">
        <is>
          <t>ENC121189</t>
        </is>
      </c>
      <c r="B2559" t="inlineStr">
        <is>
          <t>PT11764</t>
        </is>
      </c>
      <c r="C2559" t="inlineStr">
        <is>
          <t>Outpatient</t>
        </is>
      </c>
      <c r="D2559" t="inlineStr">
        <is>
          <t>Bluestone Outpatient Pavilion</t>
        </is>
      </c>
      <c r="E2559" t="inlineStr">
        <is>
          <t>Endocrinology &amp; Diabetes Clinic</t>
        </is>
      </c>
      <c r="F2559" t="inlineStr">
        <is>
          <t>Ambulatory</t>
        </is>
      </c>
      <c r="G2559" s="29" t="n">
        <v>46003</v>
      </c>
      <c r="H2559" s="29" t="n">
        <v>46003</v>
      </c>
      <c r="I2559" s="30" t="n"/>
      <c r="J2559" t="inlineStr">
        <is>
          <t>E11.65</t>
        </is>
      </c>
      <c r="K2559" t="inlineStr">
        <is>
          <t>Type 2 diabetes mellitus with hyperglycemia</t>
        </is>
      </c>
      <c r="L2559" t="inlineStr">
        <is>
          <t>Endocrine</t>
        </is>
      </c>
      <c r="M2559" t="inlineStr">
        <is>
          <t>Home/Self-Care</t>
        </is>
      </c>
      <c r="N2559" t="inlineStr">
        <is>
          <t>Medicare</t>
        </is>
      </c>
      <c r="O2559" s="31" t="n">
        <v>371.68</v>
      </c>
    </row>
    <row r="2560">
      <c r="A2560" t="inlineStr">
        <is>
          <t>ENC121191</t>
        </is>
      </c>
      <c r="B2560" t="inlineStr">
        <is>
          <t>PT10280</t>
        </is>
      </c>
      <c r="C2560" t="inlineStr">
        <is>
          <t>Outpatient</t>
        </is>
      </c>
      <c r="D2560" t="inlineStr">
        <is>
          <t>Bluestone Outpatient Pavilion</t>
        </is>
      </c>
      <c r="E2560" t="inlineStr">
        <is>
          <t>Primary Care Clinic</t>
        </is>
      </c>
      <c r="F2560" t="inlineStr">
        <is>
          <t>Ambulatory</t>
        </is>
      </c>
      <c r="G2560" s="29" t="n">
        <v>46003</v>
      </c>
      <c r="H2560" s="29" t="n">
        <v>46003</v>
      </c>
      <c r="I2560" s="30" t="n"/>
      <c r="J2560" t="inlineStr">
        <is>
          <t>Z00.00</t>
        </is>
      </c>
      <c r="K2560" t="inlineStr">
        <is>
          <t>Encounter for general adult medical examination without abnormal findings</t>
        </is>
      </c>
      <c r="L2560" t="inlineStr">
        <is>
          <t>Factors Influencing Health</t>
        </is>
      </c>
      <c r="M2560" t="inlineStr">
        <is>
          <t>Home/Self-Care</t>
        </is>
      </c>
      <c r="N2560" t="inlineStr">
        <is>
          <t>State Medicaid</t>
        </is>
      </c>
      <c r="O2560" s="31" t="n">
        <v>455.05</v>
      </c>
    </row>
    <row r="2561">
      <c r="A2561" t="inlineStr">
        <is>
          <t>ENC121194</t>
        </is>
      </c>
      <c r="B2561" t="inlineStr">
        <is>
          <t>PT10508</t>
        </is>
      </c>
      <c r="C2561" t="inlineStr">
        <is>
          <t>Emergency</t>
        </is>
      </c>
      <c r="D2561" t="inlineStr">
        <is>
          <t>Bluestone Memorial Hospital</t>
        </is>
      </c>
      <c r="E2561" t="inlineStr">
        <is>
          <t>Emergency Department</t>
        </is>
      </c>
      <c r="F2561" t="inlineStr">
        <is>
          <t>Emergency</t>
        </is>
      </c>
      <c r="G2561" s="29" t="n">
        <v>46003</v>
      </c>
      <c r="H2561" s="29" t="n">
        <v>46003</v>
      </c>
      <c r="I2561" s="30" t="n"/>
      <c r="J2561" t="inlineStr">
        <is>
          <t>J06.9</t>
        </is>
      </c>
      <c r="K2561" t="inlineStr">
        <is>
          <t>Acute upper respiratory infection, unspecified</t>
        </is>
      </c>
      <c r="L2561" t="inlineStr">
        <is>
          <t>Respiratory</t>
        </is>
      </c>
      <c r="M2561" t="inlineStr">
        <is>
          <t>Home/Self-Care</t>
        </is>
      </c>
      <c r="N2561" t="inlineStr">
        <is>
          <t>Silverline Medicare Advantage</t>
        </is>
      </c>
      <c r="O2561" s="31" t="n">
        <v>933.5</v>
      </c>
    </row>
    <row r="2562">
      <c r="A2562" t="inlineStr">
        <is>
          <t>ENC121203</t>
        </is>
      </c>
      <c r="B2562" t="inlineStr">
        <is>
          <t>PT13780</t>
        </is>
      </c>
      <c r="C2562" t="inlineStr">
        <is>
          <t>Outpatient</t>
        </is>
      </c>
      <c r="D2562" t="inlineStr">
        <is>
          <t>Bluestone Outpatient Pavilion</t>
        </is>
      </c>
      <c r="E2562" t="inlineStr">
        <is>
          <t>Primary Care Clinic</t>
        </is>
      </c>
      <c r="F2562" t="inlineStr">
        <is>
          <t>Ambulatory</t>
        </is>
      </c>
      <c r="G2562" s="29" t="n">
        <v>46003</v>
      </c>
      <c r="H2562" s="29" t="n">
        <v>46003</v>
      </c>
      <c r="I2562" s="30" t="n"/>
      <c r="J2562" t="inlineStr">
        <is>
          <t>Z00.00</t>
        </is>
      </c>
      <c r="K2562" t="inlineStr">
        <is>
          <t>Encounter for general adult medical examination without abnormal findings</t>
        </is>
      </c>
      <c r="L2562" t="inlineStr">
        <is>
          <t>Factors Influencing Health</t>
        </is>
      </c>
      <c r="M2562" t="inlineStr">
        <is>
          <t>Home/Self-Care</t>
        </is>
      </c>
      <c r="N2562" t="inlineStr">
        <is>
          <t>Summit Choice PPO</t>
        </is>
      </c>
      <c r="O2562" s="31" t="n">
        <v>351.71</v>
      </c>
    </row>
    <row r="2563">
      <c r="A2563" t="inlineStr">
        <is>
          <t>ENC121224</t>
        </is>
      </c>
      <c r="B2563" t="inlineStr">
        <is>
          <t>PT11548</t>
        </is>
      </c>
      <c r="C2563" t="inlineStr">
        <is>
          <t>Emergency</t>
        </is>
      </c>
      <c r="D2563" t="inlineStr">
        <is>
          <t>Cedar Ridge Medical Center</t>
        </is>
      </c>
      <c r="E2563" t="inlineStr">
        <is>
          <t>Emergency Department</t>
        </is>
      </c>
      <c r="F2563" t="inlineStr">
        <is>
          <t>Emergency</t>
        </is>
      </c>
      <c r="G2563" s="29" t="n">
        <v>46004</v>
      </c>
      <c r="H2563" s="29" t="n">
        <v>46004</v>
      </c>
      <c r="I2563" s="30" t="n"/>
      <c r="J2563" t="inlineStr">
        <is>
          <t>G43.909</t>
        </is>
      </c>
      <c r="K2563" t="inlineStr">
        <is>
          <t>Migraine, unspecified, not intractable, without status migrainosus</t>
        </is>
      </c>
      <c r="L2563" t="inlineStr">
        <is>
          <t>Nervous System</t>
        </is>
      </c>
      <c r="M2563" t="inlineStr">
        <is>
          <t>Home/Self-Care</t>
        </is>
      </c>
      <c r="N2563" t="inlineStr">
        <is>
          <t>Evergreen Mutual Insurance</t>
        </is>
      </c>
      <c r="O2563" s="31" t="n">
        <v>3339.3</v>
      </c>
    </row>
    <row r="2564">
      <c r="A2564" t="inlineStr">
        <is>
          <t>ENC121225</t>
        </is>
      </c>
      <c r="B2564" t="inlineStr">
        <is>
          <t>PT13884</t>
        </is>
      </c>
      <c r="C2564" t="inlineStr">
        <is>
          <t>Inpatient</t>
        </is>
      </c>
      <c r="D2564" t="inlineStr">
        <is>
          <t>Bluestone Memorial Hospital</t>
        </is>
      </c>
      <c r="E2564" t="inlineStr">
        <is>
          <t>Medical-Surgical 4 West</t>
        </is>
      </c>
      <c r="F2564" t="inlineStr">
        <is>
          <t>Medicine</t>
        </is>
      </c>
      <c r="G2564" s="29" t="n">
        <v>46004</v>
      </c>
      <c r="H2564" s="29" t="n">
        <v>46007</v>
      </c>
      <c r="I2564" s="30" t="n">
        <v>3</v>
      </c>
      <c r="J2564" t="inlineStr">
        <is>
          <t>N39.0</t>
        </is>
      </c>
      <c r="K2564" t="inlineStr">
        <is>
          <t>Urinary tract infection, site not specified</t>
        </is>
      </c>
      <c r="L2564" t="inlineStr">
        <is>
          <t>Genitourinary</t>
        </is>
      </c>
      <c r="M2564" t="inlineStr">
        <is>
          <t>Home/Self-Care</t>
        </is>
      </c>
      <c r="N2564" t="inlineStr">
        <is>
          <t>Keystone Health Partners</t>
        </is>
      </c>
      <c r="O2564" s="31" t="n">
        <v>12363.52</v>
      </c>
      <c r="P2564" t="inlineStr">
        <is>
          <t>N</t>
        </is>
      </c>
    </row>
    <row r="2565">
      <c r="A2565" t="inlineStr">
        <is>
          <t>ENC121242</t>
        </is>
      </c>
      <c r="B2565" t="inlineStr">
        <is>
          <t>PT11608</t>
        </is>
      </c>
      <c r="C2565" t="inlineStr">
        <is>
          <t>Emergency</t>
        </is>
      </c>
      <c r="D2565" t="inlineStr">
        <is>
          <t>Bluestone Memorial Hospital</t>
        </is>
      </c>
      <c r="E2565" t="inlineStr">
        <is>
          <t>Emergency Department</t>
        </is>
      </c>
      <c r="F2565" t="inlineStr">
        <is>
          <t>Emergency</t>
        </is>
      </c>
      <c r="G2565" s="29" t="n">
        <v>46005</v>
      </c>
      <c r="H2565" s="29" t="n">
        <v>46005</v>
      </c>
      <c r="I2565" s="30" t="n"/>
      <c r="J2565" t="inlineStr">
        <is>
          <t>R55</t>
        </is>
      </c>
      <c r="K2565" t="inlineStr">
        <is>
          <t>Syncope and collapse</t>
        </is>
      </c>
      <c r="L2565" t="inlineStr">
        <is>
          <t>Symptoms &amp; Signs</t>
        </is>
      </c>
      <c r="M2565" t="inlineStr">
        <is>
          <t>Home/Self-Care</t>
        </is>
      </c>
      <c r="N2565" t="inlineStr">
        <is>
          <t>Keystone Health Partners</t>
        </is>
      </c>
      <c r="O2565" s="31" t="n">
        <v>5292.19</v>
      </c>
    </row>
    <row r="2566">
      <c r="A2566" t="inlineStr">
        <is>
          <t>ENC121243</t>
        </is>
      </c>
      <c r="B2566" t="inlineStr">
        <is>
          <t>PT12544</t>
        </is>
      </c>
      <c r="C2566" t="inlineStr">
        <is>
          <t>Emergency</t>
        </is>
      </c>
      <c r="D2566" t="inlineStr">
        <is>
          <t>Cedar Ridge Medical Center</t>
        </is>
      </c>
      <c r="E2566" t="inlineStr">
        <is>
          <t>Emergency Department</t>
        </is>
      </c>
      <c r="F2566" t="inlineStr">
        <is>
          <t>Emergency</t>
        </is>
      </c>
      <c r="G2566" s="29" t="n">
        <v>46005</v>
      </c>
      <c r="H2566" s="29" t="n">
        <v>46005</v>
      </c>
      <c r="I2566" s="30" t="n"/>
      <c r="J2566" t="inlineStr">
        <is>
          <t>R07.9</t>
        </is>
      </c>
      <c r="K2566" t="inlineStr">
        <is>
          <t>Chest pain, unspecified</t>
        </is>
      </c>
      <c r="L2566" t="inlineStr">
        <is>
          <t>Symptoms &amp; Signs</t>
        </is>
      </c>
      <c r="M2566" t="inlineStr">
        <is>
          <t>Home/Self-Care</t>
        </is>
      </c>
      <c r="N2566" t="inlineStr">
        <is>
          <t>State Medicaid</t>
        </is>
      </c>
      <c r="O2566" s="31" t="n">
        <v>3740.7</v>
      </c>
    </row>
    <row r="2567">
      <c r="A2567" t="inlineStr">
        <is>
          <t>ENC121256</t>
        </is>
      </c>
      <c r="B2567" t="inlineStr">
        <is>
          <t>PT13852</t>
        </is>
      </c>
      <c r="C2567" t="inlineStr">
        <is>
          <t>Inpatient</t>
        </is>
      </c>
      <c r="D2567" t="inlineStr">
        <is>
          <t>Bluestone Memorial Hospital</t>
        </is>
      </c>
      <c r="E2567" t="inlineStr">
        <is>
          <t>Medical-Surgical 5 East</t>
        </is>
      </c>
      <c r="F2567" t="inlineStr">
        <is>
          <t>Medicine</t>
        </is>
      </c>
      <c r="G2567" s="29" t="n">
        <v>46006</v>
      </c>
      <c r="H2567" s="29" t="n">
        <v>46011</v>
      </c>
      <c r="I2567" s="30" t="n">
        <v>5</v>
      </c>
      <c r="J2567" t="inlineStr">
        <is>
          <t>J44.1</t>
        </is>
      </c>
      <c r="K2567" t="inlineStr">
        <is>
          <t>Chronic obstructive pulmonary disease with (acute) exacerbation</t>
        </is>
      </c>
      <c r="L2567" t="inlineStr">
        <is>
          <t>Respiratory</t>
        </is>
      </c>
      <c r="M2567" t="inlineStr">
        <is>
          <t>Home Health</t>
        </is>
      </c>
      <c r="N2567" t="inlineStr">
        <is>
          <t>Medicare</t>
        </is>
      </c>
      <c r="O2567" s="31" t="n">
        <v>14293.42</v>
      </c>
      <c r="P2567" t="inlineStr">
        <is>
          <t>Y</t>
        </is>
      </c>
    </row>
    <row r="2568">
      <c r="A2568" t="inlineStr">
        <is>
          <t>ENC121261</t>
        </is>
      </c>
      <c r="B2568" t="inlineStr">
        <is>
          <t>PT11204</t>
        </is>
      </c>
      <c r="C2568" t="inlineStr">
        <is>
          <t>Emergency</t>
        </is>
      </c>
      <c r="D2568" t="inlineStr">
        <is>
          <t>Bluestone Memorial Hospital</t>
        </is>
      </c>
      <c r="E2568" t="inlineStr">
        <is>
          <t>Emergency Department</t>
        </is>
      </c>
      <c r="F2568" t="inlineStr">
        <is>
          <t>Emergency</t>
        </is>
      </c>
      <c r="G2568" s="29" t="n">
        <v>46006</v>
      </c>
      <c r="H2568" s="29" t="n">
        <v>46006</v>
      </c>
      <c r="I2568" s="30" t="n"/>
      <c r="J2568" t="inlineStr">
        <is>
          <t>E86.0</t>
        </is>
      </c>
      <c r="K2568" t="inlineStr">
        <is>
          <t>Dehydration</t>
        </is>
      </c>
      <c r="L2568" t="inlineStr">
        <is>
          <t>Endocrine</t>
        </is>
      </c>
      <c r="M2568" t="inlineStr">
        <is>
          <t>Left Without Being Seen</t>
        </is>
      </c>
      <c r="N2568" t="inlineStr">
        <is>
          <t>Silverline Medicare Advantage</t>
        </is>
      </c>
      <c r="O2568" s="31" t="n">
        <v>1273.98</v>
      </c>
    </row>
    <row r="2569">
      <c r="A2569" t="inlineStr">
        <is>
          <t>ENC121262</t>
        </is>
      </c>
      <c r="B2569" t="inlineStr">
        <is>
          <t>PT13832</t>
        </is>
      </c>
      <c r="C2569" t="inlineStr">
        <is>
          <t>Outpatient</t>
        </is>
      </c>
      <c r="D2569" t="inlineStr">
        <is>
          <t>Bluestone Outpatient Pavilion</t>
        </is>
      </c>
      <c r="E2569" t="inlineStr">
        <is>
          <t>Infusion &amp; Oncology Clinic</t>
        </is>
      </c>
      <c r="F2569" t="inlineStr">
        <is>
          <t>Oncology</t>
        </is>
      </c>
      <c r="G2569" s="29" t="n">
        <v>46006</v>
      </c>
      <c r="H2569" s="29" t="n">
        <v>46006</v>
      </c>
      <c r="I2569" s="30" t="n"/>
      <c r="J2569" t="inlineStr">
        <is>
          <t>C50.911</t>
        </is>
      </c>
      <c r="K2569" t="inlineStr">
        <is>
          <t>Malignant neoplasm of unspecified site of right female breast</t>
        </is>
      </c>
      <c r="L2569" t="inlineStr">
        <is>
          <t>Neoplasms</t>
        </is>
      </c>
      <c r="M2569" t="inlineStr">
        <is>
          <t>Home/Self-Care</t>
        </is>
      </c>
      <c r="N2569" t="inlineStr">
        <is>
          <t>Medicare</t>
        </is>
      </c>
      <c r="O2569" s="31" t="n">
        <v>805.12</v>
      </c>
    </row>
    <row r="2570">
      <c r="A2570" t="inlineStr">
        <is>
          <t>ENC121264</t>
        </is>
      </c>
      <c r="B2570" t="inlineStr">
        <is>
          <t>PT11712</t>
        </is>
      </c>
      <c r="C2570" t="inlineStr">
        <is>
          <t>Outpatient</t>
        </is>
      </c>
      <c r="D2570" t="inlineStr">
        <is>
          <t>Bluestone Outpatient Pavilion</t>
        </is>
      </c>
      <c r="E2570" t="inlineStr">
        <is>
          <t>Orthopedic Clinic</t>
        </is>
      </c>
      <c r="F2570" t="inlineStr">
        <is>
          <t>Orthopedics</t>
        </is>
      </c>
      <c r="G2570" s="29" t="n">
        <v>46006</v>
      </c>
      <c r="H2570" s="29" t="n">
        <v>46006</v>
      </c>
      <c r="I2570" s="30" t="n"/>
      <c r="J2570" t="inlineStr">
        <is>
          <t>M16.11</t>
        </is>
      </c>
      <c r="K2570" t="inlineStr">
        <is>
          <t>Unilateral primary osteoarthritis, right hip</t>
        </is>
      </c>
      <c r="L2570" t="inlineStr">
        <is>
          <t>Musculoskeletal</t>
        </is>
      </c>
      <c r="M2570" t="inlineStr">
        <is>
          <t>Home/Self-Care</t>
        </is>
      </c>
      <c r="N2570" t="inlineStr">
        <is>
          <t>Medicare</t>
        </is>
      </c>
      <c r="O2570" s="31" t="n">
        <v>470.21</v>
      </c>
    </row>
    <row r="2571">
      <c r="A2571" t="inlineStr">
        <is>
          <t>ENC121269</t>
        </is>
      </c>
      <c r="B2571" t="inlineStr">
        <is>
          <t>PT12708</t>
        </is>
      </c>
      <c r="C2571" t="inlineStr">
        <is>
          <t>Emergency</t>
        </is>
      </c>
      <c r="D2571" t="inlineStr">
        <is>
          <t>Bluestone Memorial Hospital</t>
        </is>
      </c>
      <c r="E2571" t="inlineStr">
        <is>
          <t>Emergency Department</t>
        </is>
      </c>
      <c r="F2571" t="inlineStr">
        <is>
          <t>Emergency</t>
        </is>
      </c>
      <c r="G2571" s="29" t="n">
        <v>46006</v>
      </c>
      <c r="H2571" s="29" t="n">
        <v>46006</v>
      </c>
      <c r="I2571" s="30" t="n"/>
      <c r="J2571" t="inlineStr">
        <is>
          <t>J06.9</t>
        </is>
      </c>
      <c r="K2571" t="inlineStr">
        <is>
          <t>Acute upper respiratory infection, unspecified</t>
        </is>
      </c>
      <c r="L2571" t="inlineStr">
        <is>
          <t>Respiratory</t>
        </is>
      </c>
      <c r="M2571" t="inlineStr">
        <is>
          <t>Home/Self-Care</t>
        </is>
      </c>
      <c r="N2571" t="inlineStr">
        <is>
          <t>State Medicaid</t>
        </is>
      </c>
      <c r="O2571" s="31" t="n">
        <v>778.4400000000001</v>
      </c>
    </row>
    <row r="2572">
      <c r="A2572" t="inlineStr">
        <is>
          <t>ENC121271</t>
        </is>
      </c>
      <c r="B2572" t="inlineStr">
        <is>
          <t>PT10364</t>
        </is>
      </c>
      <c r="C2572" t="inlineStr">
        <is>
          <t>Emergency</t>
        </is>
      </c>
      <c r="D2572" t="inlineStr">
        <is>
          <t>Bluestone Memorial Hospital</t>
        </is>
      </c>
      <c r="E2572" t="inlineStr">
        <is>
          <t>Emergency Department</t>
        </is>
      </c>
      <c r="F2572" t="inlineStr">
        <is>
          <t>Emergency</t>
        </is>
      </c>
      <c r="G2572" s="29" t="n">
        <v>46006</v>
      </c>
      <c r="H2572" s="29" t="n">
        <v>46006</v>
      </c>
      <c r="I2572" s="30" t="n"/>
      <c r="J2572" t="inlineStr">
        <is>
          <t>R10.9</t>
        </is>
      </c>
      <c r="K2572" t="inlineStr">
        <is>
          <t>Unspecified abdominal pain</t>
        </is>
      </c>
      <c r="L2572" t="inlineStr">
        <is>
          <t>Symptoms &amp; Signs</t>
        </is>
      </c>
      <c r="M2572" t="inlineStr">
        <is>
          <t>Home/Self-Care</t>
        </is>
      </c>
      <c r="N2572" t="inlineStr">
        <is>
          <t>Medicare</t>
        </is>
      </c>
      <c r="O2572" s="31" t="n">
        <v>3815.72</v>
      </c>
    </row>
    <row r="2573">
      <c r="A2573" t="inlineStr">
        <is>
          <t>ENC121276</t>
        </is>
      </c>
      <c r="B2573" t="inlineStr">
        <is>
          <t>PT10900</t>
        </is>
      </c>
      <c r="C2573" t="inlineStr">
        <is>
          <t>Emergency</t>
        </is>
      </c>
      <c r="D2573" t="inlineStr">
        <is>
          <t>Ashby Falls Community Hospital</t>
        </is>
      </c>
      <c r="E2573" t="inlineStr">
        <is>
          <t>Emergency Department</t>
        </is>
      </c>
      <c r="F2573" t="inlineStr">
        <is>
          <t>Emergency</t>
        </is>
      </c>
      <c r="G2573" s="29" t="n">
        <v>46006</v>
      </c>
      <c r="H2573" s="29" t="n">
        <v>46006</v>
      </c>
      <c r="I2573" s="30" t="n"/>
      <c r="J2573" t="inlineStr">
        <is>
          <t>U07.1</t>
        </is>
      </c>
      <c r="K2573" t="inlineStr">
        <is>
          <t>COVID-19</t>
        </is>
      </c>
      <c r="L2573" t="inlineStr">
        <is>
          <t>Respiratory</t>
        </is>
      </c>
      <c r="M2573" t="inlineStr">
        <is>
          <t>Left Without Being Seen</t>
        </is>
      </c>
      <c r="N2573" t="inlineStr">
        <is>
          <t>Silverline Medicare Advantage</t>
        </is>
      </c>
      <c r="O2573" s="31" t="n">
        <v>2290.65</v>
      </c>
    </row>
    <row r="2574">
      <c r="A2574" t="inlineStr">
        <is>
          <t>ENC121279</t>
        </is>
      </c>
      <c r="B2574" t="inlineStr">
        <is>
          <t>PT12228</t>
        </is>
      </c>
      <c r="C2574" t="inlineStr">
        <is>
          <t>Outpatient</t>
        </is>
      </c>
      <c r="D2574" t="inlineStr">
        <is>
          <t>Bluestone Outpatient Pavilion</t>
        </is>
      </c>
      <c r="E2574" t="inlineStr">
        <is>
          <t>Primary Care Clinic</t>
        </is>
      </c>
      <c r="F2574" t="inlineStr">
        <is>
          <t>Ambulatory</t>
        </is>
      </c>
      <c r="G2574" s="29" t="n">
        <v>46006</v>
      </c>
      <c r="H2574" s="29" t="n">
        <v>46006</v>
      </c>
      <c r="I2574" s="30" t="n"/>
      <c r="J2574" t="inlineStr">
        <is>
          <t>J06.9</t>
        </is>
      </c>
      <c r="K2574" t="inlineStr">
        <is>
          <t>Acute upper respiratory infection, unspecified</t>
        </is>
      </c>
      <c r="L2574" t="inlineStr">
        <is>
          <t>Respiratory</t>
        </is>
      </c>
      <c r="M2574" t="inlineStr">
        <is>
          <t>Home/Self-Care</t>
        </is>
      </c>
      <c r="N2574" t="inlineStr">
        <is>
          <t>Silverline Medicare Advantage</t>
        </is>
      </c>
      <c r="O2574" s="31" t="n">
        <v>474.13</v>
      </c>
    </row>
    <row r="2575">
      <c r="A2575" t="inlineStr">
        <is>
          <t>ENC121281</t>
        </is>
      </c>
      <c r="B2575" t="inlineStr">
        <is>
          <t>PT11216</t>
        </is>
      </c>
      <c r="C2575" t="inlineStr">
        <is>
          <t>Outpatient</t>
        </is>
      </c>
      <c r="D2575" t="inlineStr">
        <is>
          <t>Bluestone Outpatient Pavilion</t>
        </is>
      </c>
      <c r="E2575" t="inlineStr">
        <is>
          <t>Primary Care Clinic</t>
        </is>
      </c>
      <c r="F2575" t="inlineStr">
        <is>
          <t>Ambulatory</t>
        </is>
      </c>
      <c r="G2575" s="29" t="n">
        <v>46006</v>
      </c>
      <c r="H2575" s="29" t="n">
        <v>46006</v>
      </c>
      <c r="I2575" s="30" t="n"/>
      <c r="J2575" t="inlineStr">
        <is>
          <t>M54.50</t>
        </is>
      </c>
      <c r="K2575" t="inlineStr">
        <is>
          <t>Low back pain, unspecified</t>
        </is>
      </c>
      <c r="L2575" t="inlineStr">
        <is>
          <t>Musculoskeletal</t>
        </is>
      </c>
      <c r="M2575" t="inlineStr">
        <is>
          <t>Home/Self-Care</t>
        </is>
      </c>
      <c r="N2575" t="inlineStr">
        <is>
          <t>Medicare</t>
        </is>
      </c>
      <c r="O2575" s="31" t="n">
        <v>299.31</v>
      </c>
    </row>
    <row r="2576">
      <c r="A2576" t="inlineStr">
        <is>
          <t>ENC121282</t>
        </is>
      </c>
      <c r="B2576" t="inlineStr">
        <is>
          <t>PT13804</t>
        </is>
      </c>
      <c r="C2576" t="inlineStr">
        <is>
          <t>Outpatient</t>
        </is>
      </c>
      <c r="D2576" t="inlineStr">
        <is>
          <t>Bluestone Outpatient Pavilion</t>
        </is>
      </c>
      <c r="E2576" t="inlineStr">
        <is>
          <t>Primary Care Clinic</t>
        </is>
      </c>
      <c r="F2576" t="inlineStr">
        <is>
          <t>Ambulatory</t>
        </is>
      </c>
      <c r="G2576" s="29" t="n">
        <v>46006</v>
      </c>
      <c r="H2576" s="29" t="n">
        <v>46006</v>
      </c>
      <c r="I2576" s="30" t="n"/>
      <c r="J2576" t="inlineStr">
        <is>
          <t>Z00.00</t>
        </is>
      </c>
      <c r="K2576" t="inlineStr">
        <is>
          <t>Encounter for general adult medical examination without abnormal findings</t>
        </is>
      </c>
      <c r="L2576" t="inlineStr">
        <is>
          <t>Factors Influencing Health</t>
        </is>
      </c>
      <c r="M2576" t="inlineStr">
        <is>
          <t>Home/Self-Care</t>
        </is>
      </c>
      <c r="N2576" t="inlineStr">
        <is>
          <t>Self-Pay</t>
        </is>
      </c>
      <c r="O2576" s="31" t="n">
        <v>386.16</v>
      </c>
    </row>
    <row r="2577">
      <c r="A2577" t="inlineStr">
        <is>
          <t>ENC121290</t>
        </is>
      </c>
      <c r="B2577" t="inlineStr">
        <is>
          <t>PT11772</t>
        </is>
      </c>
      <c r="C2577" t="inlineStr">
        <is>
          <t>Inpatient</t>
        </is>
      </c>
      <c r="D2577" t="inlineStr">
        <is>
          <t>Ashby Falls Community Hospital</t>
        </is>
      </c>
      <c r="E2577" t="inlineStr">
        <is>
          <t>Medical-Surgical</t>
        </is>
      </c>
      <c r="F2577" t="inlineStr">
        <is>
          <t>Medicine</t>
        </is>
      </c>
      <c r="G2577" s="29" t="n">
        <v>46006</v>
      </c>
      <c r="H2577" s="29" t="n">
        <v>46015</v>
      </c>
      <c r="I2577" s="30" t="n">
        <v>9</v>
      </c>
      <c r="J2577" t="inlineStr">
        <is>
          <t>A41.9</t>
        </is>
      </c>
      <c r="K2577" t="inlineStr">
        <is>
          <t>Sepsis, unspecified organism</t>
        </is>
      </c>
      <c r="L2577" t="inlineStr">
        <is>
          <t>Infectious</t>
        </is>
      </c>
      <c r="M2577" t="inlineStr">
        <is>
          <t>Home Health</t>
        </is>
      </c>
      <c r="N2577" t="inlineStr">
        <is>
          <t>Summit Choice PPO</t>
        </is>
      </c>
      <c r="O2577" s="31" t="n">
        <v>89011.83</v>
      </c>
      <c r="P2577" t="inlineStr">
        <is>
          <t>N</t>
        </is>
      </c>
    </row>
    <row r="2578">
      <c r="A2578" t="inlineStr">
        <is>
          <t>ENC121291</t>
        </is>
      </c>
      <c r="B2578" t="inlineStr">
        <is>
          <t>PT10444</t>
        </is>
      </c>
      <c r="C2578" t="inlineStr">
        <is>
          <t>Emergency</t>
        </is>
      </c>
      <c r="D2578" t="inlineStr">
        <is>
          <t>Bluestone Memorial Hospital</t>
        </is>
      </c>
      <c r="E2578" t="inlineStr">
        <is>
          <t>Emergency Department</t>
        </is>
      </c>
      <c r="F2578" t="inlineStr">
        <is>
          <t>Emergency</t>
        </is>
      </c>
      <c r="G2578" s="29" t="n">
        <v>46006</v>
      </c>
      <c r="H2578" s="29" t="n">
        <v>46006</v>
      </c>
      <c r="I2578" s="30" t="n"/>
      <c r="J2578" t="inlineStr">
        <is>
          <t>J18.9</t>
        </is>
      </c>
      <c r="K2578" t="inlineStr">
        <is>
          <t>Pneumonia, unspecified organism</t>
        </is>
      </c>
      <c r="L2578" t="inlineStr">
        <is>
          <t>Respiratory</t>
        </is>
      </c>
      <c r="M2578" t="inlineStr">
        <is>
          <t>Home/Self-Care</t>
        </is>
      </c>
      <c r="N2578" t="inlineStr">
        <is>
          <t>Medicare</t>
        </is>
      </c>
      <c r="O2578" s="31" t="n">
        <v>1765.4</v>
      </c>
    </row>
    <row r="2579">
      <c r="A2579" t="inlineStr">
        <is>
          <t>ENC121301</t>
        </is>
      </c>
      <c r="B2579" t="inlineStr">
        <is>
          <t>PT11112</t>
        </is>
      </c>
      <c r="C2579" t="inlineStr">
        <is>
          <t>Outpatient</t>
        </is>
      </c>
      <c r="D2579" t="inlineStr">
        <is>
          <t>Bluestone Outpatient Pavilion</t>
        </is>
      </c>
      <c r="E2579" t="inlineStr">
        <is>
          <t>Endocrinology &amp; Diabetes Clinic</t>
        </is>
      </c>
      <c r="F2579" t="inlineStr">
        <is>
          <t>Ambulatory</t>
        </is>
      </c>
      <c r="G2579" s="29" t="n">
        <v>46007</v>
      </c>
      <c r="H2579" s="29" t="n">
        <v>46007</v>
      </c>
      <c r="I2579" s="30" t="n"/>
      <c r="J2579" t="inlineStr">
        <is>
          <t>E11.9</t>
        </is>
      </c>
      <c r="K2579" t="inlineStr">
        <is>
          <t>Type 2 diabetes mellitus without complications</t>
        </is>
      </c>
      <c r="L2579" t="inlineStr">
        <is>
          <t>Endocrine</t>
        </is>
      </c>
      <c r="M2579" t="inlineStr">
        <is>
          <t>Home/Self-Care</t>
        </is>
      </c>
      <c r="N2579" t="inlineStr">
        <is>
          <t>Summit Choice PPO</t>
        </is>
      </c>
      <c r="O2579" s="31" t="n">
        <v>439.57</v>
      </c>
    </row>
    <row r="2580">
      <c r="A2580" t="inlineStr">
        <is>
          <t>ENC121312</t>
        </is>
      </c>
      <c r="B2580" t="inlineStr">
        <is>
          <t>PT11280</t>
        </is>
      </c>
      <c r="C2580" t="inlineStr">
        <is>
          <t>Outpatient</t>
        </is>
      </c>
      <c r="D2580" t="inlineStr">
        <is>
          <t>Bluestone Outpatient Pavilion</t>
        </is>
      </c>
      <c r="E2580" t="inlineStr">
        <is>
          <t>Orthopedic Clinic</t>
        </is>
      </c>
      <c r="F2580" t="inlineStr">
        <is>
          <t>Orthopedics</t>
        </is>
      </c>
      <c r="G2580" s="29" t="n">
        <v>46007</v>
      </c>
      <c r="H2580" s="29" t="n">
        <v>46007</v>
      </c>
      <c r="I2580" s="30" t="n"/>
      <c r="J2580" t="inlineStr">
        <is>
          <t>M16.11</t>
        </is>
      </c>
      <c r="K2580" t="inlineStr">
        <is>
          <t>Unilateral primary osteoarthritis, right hip</t>
        </is>
      </c>
      <c r="L2580" t="inlineStr">
        <is>
          <t>Musculoskeletal</t>
        </is>
      </c>
      <c r="M2580" t="inlineStr">
        <is>
          <t>Home/Self-Care</t>
        </is>
      </c>
      <c r="N2580" t="inlineStr">
        <is>
          <t>Silverline Medicare Advantage</t>
        </is>
      </c>
      <c r="O2580" s="31" t="n">
        <v>263.69</v>
      </c>
    </row>
    <row r="2581">
      <c r="A2581" t="inlineStr">
        <is>
          <t>ENC121315</t>
        </is>
      </c>
      <c r="B2581" t="inlineStr">
        <is>
          <t>PT12168</t>
        </is>
      </c>
      <c r="C2581" t="inlineStr">
        <is>
          <t>Outpatient</t>
        </is>
      </c>
      <c r="D2581" t="inlineStr">
        <is>
          <t>Bluestone Outpatient Pavilion</t>
        </is>
      </c>
      <c r="E2581" t="inlineStr">
        <is>
          <t>Primary Care Clinic</t>
        </is>
      </c>
      <c r="F2581" t="inlineStr">
        <is>
          <t>Ambulatory</t>
        </is>
      </c>
      <c r="G2581" s="29" t="n">
        <v>46007</v>
      </c>
      <c r="H2581" s="29" t="n">
        <v>46007</v>
      </c>
      <c r="I2581" s="30" t="n"/>
      <c r="J2581" t="inlineStr">
        <is>
          <t>Z00.00</t>
        </is>
      </c>
      <c r="K2581" t="inlineStr">
        <is>
          <t>Encounter for general adult medical examination without abnormal findings</t>
        </is>
      </c>
      <c r="L2581" t="inlineStr">
        <is>
          <t>Factors Influencing Health</t>
        </is>
      </c>
      <c r="M2581" t="inlineStr">
        <is>
          <t>Home/Self-Care</t>
        </is>
      </c>
      <c r="N2581" t="inlineStr">
        <is>
          <t>Self-Pay</t>
        </is>
      </c>
      <c r="O2581" s="31" t="n">
        <v>259.37</v>
      </c>
    </row>
    <row r="2582">
      <c r="A2582" t="inlineStr">
        <is>
          <t>ENC121321</t>
        </is>
      </c>
      <c r="B2582" t="inlineStr">
        <is>
          <t>PT11964</t>
        </is>
      </c>
      <c r="C2582" t="inlineStr">
        <is>
          <t>Outpatient</t>
        </is>
      </c>
      <c r="D2582" t="inlineStr">
        <is>
          <t>Bluestone Outpatient Pavilion</t>
        </is>
      </c>
      <c r="E2582" t="inlineStr">
        <is>
          <t>Primary Care Clinic</t>
        </is>
      </c>
      <c r="F2582" t="inlineStr">
        <is>
          <t>Ambulatory</t>
        </is>
      </c>
      <c r="G2582" s="29" t="n">
        <v>46007</v>
      </c>
      <c r="H2582" s="29" t="n">
        <v>46007</v>
      </c>
      <c r="I2582" s="30" t="n"/>
      <c r="J2582" t="inlineStr">
        <is>
          <t>Z23</t>
        </is>
      </c>
      <c r="K2582" t="inlineStr">
        <is>
          <t>Encounter for immunization</t>
        </is>
      </c>
      <c r="L2582" t="inlineStr">
        <is>
          <t>Factors Influencing Health</t>
        </is>
      </c>
      <c r="M2582" t="inlineStr">
        <is>
          <t>Home/Self-Care</t>
        </is>
      </c>
      <c r="N2582" t="inlineStr">
        <is>
          <t>Silverline Medicare Advantage</t>
        </is>
      </c>
      <c r="O2582" s="31" t="n">
        <v>134.29</v>
      </c>
    </row>
    <row r="2583">
      <c r="A2583" t="inlineStr">
        <is>
          <t>ENC121322</t>
        </is>
      </c>
      <c r="B2583" t="inlineStr">
        <is>
          <t>PT13440</t>
        </is>
      </c>
      <c r="C2583" t="inlineStr">
        <is>
          <t>Outpatient</t>
        </is>
      </c>
      <c r="D2583" t="inlineStr">
        <is>
          <t>Bluestone Outpatient Pavilion</t>
        </is>
      </c>
      <c r="E2583" t="inlineStr">
        <is>
          <t>Endocrinology &amp; Diabetes Clinic</t>
        </is>
      </c>
      <c r="F2583" t="inlineStr">
        <is>
          <t>Ambulatory</t>
        </is>
      </c>
      <c r="G2583" s="29" t="n">
        <v>46007</v>
      </c>
      <c r="H2583" s="29" t="n">
        <v>46007</v>
      </c>
      <c r="I2583" s="30" t="n"/>
      <c r="J2583" t="inlineStr">
        <is>
          <t>E11.9</t>
        </is>
      </c>
      <c r="K2583" t="inlineStr">
        <is>
          <t>Type 2 diabetes mellitus without complications</t>
        </is>
      </c>
      <c r="L2583" t="inlineStr">
        <is>
          <t>Endocrine</t>
        </is>
      </c>
      <c r="M2583" t="inlineStr">
        <is>
          <t>Home/Self-Care</t>
        </is>
      </c>
      <c r="N2583" t="inlineStr">
        <is>
          <t>Medicare</t>
        </is>
      </c>
      <c r="O2583" s="31" t="n">
        <v>217.84</v>
      </c>
    </row>
    <row r="2584">
      <c r="A2584" t="inlineStr">
        <is>
          <t>ENC121324</t>
        </is>
      </c>
      <c r="B2584" t="inlineStr">
        <is>
          <t>PT12620</t>
        </is>
      </c>
      <c r="C2584" t="inlineStr">
        <is>
          <t>Outpatient</t>
        </is>
      </c>
      <c r="D2584" t="inlineStr">
        <is>
          <t>Bluestone Outpatient Pavilion</t>
        </is>
      </c>
      <c r="E2584" t="inlineStr">
        <is>
          <t>Pediatric Clinic</t>
        </is>
      </c>
      <c r="F2584" t="inlineStr">
        <is>
          <t>Women &amp; Children</t>
        </is>
      </c>
      <c r="G2584" s="29" t="n">
        <v>46007</v>
      </c>
      <c r="H2584" s="29" t="n">
        <v>46007</v>
      </c>
      <c r="I2584" s="30" t="n"/>
      <c r="J2584" t="inlineStr">
        <is>
          <t>Z00.129</t>
        </is>
      </c>
      <c r="K2584" t="inlineStr">
        <is>
          <t>Encounter for routine child health examination without abnormal findings</t>
        </is>
      </c>
      <c r="L2584" t="inlineStr">
        <is>
          <t>Factors Influencing Health</t>
        </is>
      </c>
      <c r="M2584" t="inlineStr">
        <is>
          <t>Home/Self-Care</t>
        </is>
      </c>
      <c r="N2584" t="inlineStr">
        <is>
          <t>State Medicaid</t>
        </is>
      </c>
      <c r="O2584" s="31" t="n">
        <v>275.86</v>
      </c>
    </row>
    <row r="2585">
      <c r="A2585" t="inlineStr">
        <is>
          <t>ENC121331</t>
        </is>
      </c>
      <c r="B2585" t="inlineStr">
        <is>
          <t>PT12548</t>
        </is>
      </c>
      <c r="C2585" t="inlineStr">
        <is>
          <t>Inpatient</t>
        </is>
      </c>
      <c r="D2585" t="inlineStr">
        <is>
          <t>Bluestone Memorial Hospital</t>
        </is>
      </c>
      <c r="E2585" t="inlineStr">
        <is>
          <t>Neuroscience &amp; Stroke</t>
        </is>
      </c>
      <c r="F2585" t="inlineStr">
        <is>
          <t>Neuroscience</t>
        </is>
      </c>
      <c r="G2585" s="29" t="n">
        <v>46007</v>
      </c>
      <c r="H2585" s="29" t="n">
        <v>46014</v>
      </c>
      <c r="I2585" s="30" t="n">
        <v>7</v>
      </c>
      <c r="J2585" t="inlineStr">
        <is>
          <t>I63.9</t>
        </is>
      </c>
      <c r="K2585" t="inlineStr">
        <is>
          <t>Cerebral infarction, unspecified</t>
        </is>
      </c>
      <c r="L2585" t="inlineStr">
        <is>
          <t>Circulatory</t>
        </is>
      </c>
      <c r="M2585" t="inlineStr">
        <is>
          <t>Home/Self-Care</t>
        </is>
      </c>
      <c r="N2585" t="inlineStr">
        <is>
          <t>Silverline Medicare Advantage</t>
        </is>
      </c>
      <c r="O2585" s="31" t="n">
        <v>49128.22</v>
      </c>
      <c r="P2585" t="inlineStr">
        <is>
          <t>N</t>
        </is>
      </c>
    </row>
    <row r="2586">
      <c r="A2586" t="inlineStr">
        <is>
          <t>ENC121332</t>
        </is>
      </c>
      <c r="B2586" t="inlineStr">
        <is>
          <t>PT13800</t>
        </is>
      </c>
      <c r="C2586" t="inlineStr">
        <is>
          <t>Emergency</t>
        </is>
      </c>
      <c r="D2586" t="inlineStr">
        <is>
          <t>Bluestone Memorial Hospital</t>
        </is>
      </c>
      <c r="E2586" t="inlineStr">
        <is>
          <t>Emergency Department</t>
        </is>
      </c>
      <c r="F2586" t="inlineStr">
        <is>
          <t>Emergency</t>
        </is>
      </c>
      <c r="G2586" s="29" t="n">
        <v>46007</v>
      </c>
      <c r="H2586" s="29" t="n">
        <v>46007</v>
      </c>
      <c r="I2586" s="30" t="n"/>
      <c r="J2586" t="inlineStr">
        <is>
          <t>A08.4</t>
        </is>
      </c>
      <c r="K2586" t="inlineStr">
        <is>
          <t>Viral intestinal infection, unspecified</t>
        </is>
      </c>
      <c r="L2586" t="inlineStr">
        <is>
          <t>Infectious</t>
        </is>
      </c>
      <c r="M2586" t="inlineStr">
        <is>
          <t>Home/Self-Care</t>
        </is>
      </c>
      <c r="N2586" t="inlineStr">
        <is>
          <t>Silverline Medicare Advantage</t>
        </is>
      </c>
      <c r="O2586" s="31" t="n">
        <v>1489.55</v>
      </c>
    </row>
    <row r="2587">
      <c r="A2587" t="inlineStr">
        <is>
          <t>ENC121336</t>
        </is>
      </c>
      <c r="B2587" t="inlineStr">
        <is>
          <t>PT11576</t>
        </is>
      </c>
      <c r="C2587" t="inlineStr">
        <is>
          <t>Emergency</t>
        </is>
      </c>
      <c r="D2587" t="inlineStr">
        <is>
          <t>Bluestone Memorial Hospital</t>
        </is>
      </c>
      <c r="E2587" t="inlineStr">
        <is>
          <t>Emergency Department</t>
        </is>
      </c>
      <c r="F2587" t="inlineStr">
        <is>
          <t>Emergency</t>
        </is>
      </c>
      <c r="G2587" s="29" t="n">
        <v>46007</v>
      </c>
      <c r="H2587" s="29" t="n">
        <v>46007</v>
      </c>
      <c r="I2587" s="30" t="n"/>
      <c r="J2587" t="inlineStr">
        <is>
          <t>R10.9</t>
        </is>
      </c>
      <c r="K2587" t="inlineStr">
        <is>
          <t>Unspecified abdominal pain</t>
        </is>
      </c>
      <c r="L2587" t="inlineStr">
        <is>
          <t>Symptoms &amp; Signs</t>
        </is>
      </c>
      <c r="M2587" t="inlineStr">
        <is>
          <t>Home/Self-Care</t>
        </is>
      </c>
      <c r="N2587" t="inlineStr">
        <is>
          <t>State Medicaid</t>
        </is>
      </c>
      <c r="O2587" s="31" t="n">
        <v>3804.49</v>
      </c>
    </row>
    <row r="2588">
      <c r="A2588" t="inlineStr">
        <is>
          <t>ENC121340</t>
        </is>
      </c>
      <c r="B2588" t="inlineStr">
        <is>
          <t>PT12752</t>
        </is>
      </c>
      <c r="C2588" t="inlineStr">
        <is>
          <t>Emergency</t>
        </is>
      </c>
      <c r="D2588" t="inlineStr">
        <is>
          <t>Bluestone Memorial Hospital</t>
        </is>
      </c>
      <c r="E2588" t="inlineStr">
        <is>
          <t>Emergency Department</t>
        </is>
      </c>
      <c r="F2588" t="inlineStr">
        <is>
          <t>Emergency</t>
        </is>
      </c>
      <c r="G2588" s="29" t="n">
        <v>46007</v>
      </c>
      <c r="H2588" s="29" t="n">
        <v>46008</v>
      </c>
      <c r="I2588" s="30" t="n"/>
      <c r="J2588" t="inlineStr">
        <is>
          <t>R07.9</t>
        </is>
      </c>
      <c r="K2588" t="inlineStr">
        <is>
          <t>Chest pain, unspecified</t>
        </is>
      </c>
      <c r="L2588" t="inlineStr">
        <is>
          <t>Symptoms &amp; Signs</t>
        </is>
      </c>
      <c r="M2588" t="inlineStr">
        <is>
          <t>Home/Self-Care</t>
        </is>
      </c>
      <c r="N2588" t="inlineStr">
        <is>
          <t>Silverline Medicare Advantage</t>
        </is>
      </c>
      <c r="O2588" s="31" t="n">
        <v>3870.77</v>
      </c>
    </row>
    <row r="2589">
      <c r="A2589" t="inlineStr">
        <is>
          <t>ENC121343</t>
        </is>
      </c>
      <c r="B2589" t="inlineStr">
        <is>
          <t>PT13656</t>
        </is>
      </c>
      <c r="C2589" t="inlineStr">
        <is>
          <t>Observation</t>
        </is>
      </c>
      <c r="D2589" t="inlineStr">
        <is>
          <t>Bluestone Memorial Hospital</t>
        </is>
      </c>
      <c r="E2589" t="inlineStr">
        <is>
          <t>Observation Unit</t>
        </is>
      </c>
      <c r="F2589" t="inlineStr">
        <is>
          <t>Medicine</t>
        </is>
      </c>
      <c r="G2589" s="29" t="n">
        <v>46008</v>
      </c>
      <c r="H2589" s="29" t="n">
        <v>46009</v>
      </c>
      <c r="I2589" s="30" t="n">
        <v>1</v>
      </c>
      <c r="J2589" t="inlineStr">
        <is>
          <t>I21.4</t>
        </is>
      </c>
      <c r="K2589" t="inlineStr">
        <is>
          <t>Non-ST elevation (NSTEMI) myocardial infarction</t>
        </is>
      </c>
      <c r="L2589" t="inlineStr">
        <is>
          <t>Circulatory</t>
        </is>
      </c>
      <c r="M2589" t="inlineStr">
        <is>
          <t>Home/Self-Care</t>
        </is>
      </c>
      <c r="N2589" t="inlineStr">
        <is>
          <t>Evergreen Mutual Insurance</t>
        </is>
      </c>
      <c r="O2589" s="31" t="n">
        <v>9844.709999999999</v>
      </c>
    </row>
    <row r="2590">
      <c r="A2590" t="inlineStr">
        <is>
          <t>ENC121346</t>
        </is>
      </c>
      <c r="B2590" t="inlineStr">
        <is>
          <t>PT10880</t>
        </is>
      </c>
      <c r="C2590" t="inlineStr">
        <is>
          <t>Outpatient</t>
        </is>
      </c>
      <c r="D2590" t="inlineStr">
        <is>
          <t>Bluestone Outpatient Pavilion</t>
        </is>
      </c>
      <c r="E2590" t="inlineStr">
        <is>
          <t>Pediatric Clinic</t>
        </is>
      </c>
      <c r="F2590" t="inlineStr">
        <is>
          <t>Women &amp; Children</t>
        </is>
      </c>
      <c r="G2590" s="29" t="n">
        <v>46008</v>
      </c>
      <c r="H2590" s="29" t="n">
        <v>46008</v>
      </c>
      <c r="I2590" s="30" t="n"/>
      <c r="J2590" t="inlineStr">
        <is>
          <t>Z23</t>
        </is>
      </c>
      <c r="K2590" t="inlineStr">
        <is>
          <t>Encounter for immunization</t>
        </is>
      </c>
      <c r="L2590" t="inlineStr">
        <is>
          <t>Factors Influencing Health</t>
        </is>
      </c>
      <c r="M2590" t="inlineStr">
        <is>
          <t>Home/Self-Care</t>
        </is>
      </c>
      <c r="N2590" t="inlineStr">
        <is>
          <t>Self-Pay</t>
        </is>
      </c>
      <c r="O2590" s="31" t="n">
        <v>141.68</v>
      </c>
    </row>
    <row r="2591">
      <c r="A2591" t="inlineStr">
        <is>
          <t>ENC121349</t>
        </is>
      </c>
      <c r="B2591" t="inlineStr">
        <is>
          <t>PT11320</t>
        </is>
      </c>
      <c r="C2591" t="inlineStr">
        <is>
          <t>Outpatient</t>
        </is>
      </c>
      <c r="D2591" t="inlineStr">
        <is>
          <t>Bluestone Outpatient Pavilion</t>
        </is>
      </c>
      <c r="E2591" t="inlineStr">
        <is>
          <t>Primary Care Clinic</t>
        </is>
      </c>
      <c r="F2591" t="inlineStr">
        <is>
          <t>Ambulatory</t>
        </is>
      </c>
      <c r="G2591" s="29" t="n">
        <v>46008</v>
      </c>
      <c r="H2591" s="29" t="n">
        <v>46008</v>
      </c>
      <c r="I2591" s="30" t="n"/>
      <c r="J2591" t="inlineStr">
        <is>
          <t>I10</t>
        </is>
      </c>
      <c r="K2591" t="inlineStr">
        <is>
          <t>Essential (primary) hypertension</t>
        </is>
      </c>
      <c r="L2591" t="inlineStr">
        <is>
          <t>Circulatory</t>
        </is>
      </c>
      <c r="M2591" t="inlineStr">
        <is>
          <t>Home/Self-Care</t>
        </is>
      </c>
      <c r="N2591" t="inlineStr">
        <is>
          <t>Medicare</t>
        </is>
      </c>
      <c r="O2591" s="31" t="n">
        <v>313.55</v>
      </c>
    </row>
    <row r="2592">
      <c r="A2592" t="inlineStr">
        <is>
          <t>ENC121351</t>
        </is>
      </c>
      <c r="B2592" t="inlineStr">
        <is>
          <t>PT13636</t>
        </is>
      </c>
      <c r="C2592" t="inlineStr">
        <is>
          <t>Inpatient</t>
        </is>
      </c>
      <c r="D2592" t="inlineStr">
        <is>
          <t>Bluestone Memorial Hospital</t>
        </is>
      </c>
      <c r="E2592" t="inlineStr">
        <is>
          <t>Medical-Surgical 5 East</t>
        </is>
      </c>
      <c r="F2592" t="inlineStr">
        <is>
          <t>Medicine</t>
        </is>
      </c>
      <c r="G2592" s="29" t="n">
        <v>46008</v>
      </c>
      <c r="H2592" s="29" t="n">
        <v>46012</v>
      </c>
      <c r="I2592" s="30" t="n">
        <v>4</v>
      </c>
      <c r="J2592" t="inlineStr">
        <is>
          <t>J18.9</t>
        </is>
      </c>
      <c r="K2592" t="inlineStr">
        <is>
          <t>Pneumonia, unspecified organism</t>
        </is>
      </c>
      <c r="L2592" t="inlineStr">
        <is>
          <t>Respiratory</t>
        </is>
      </c>
      <c r="M2592" t="inlineStr">
        <is>
          <t>Home/Self-Care</t>
        </is>
      </c>
      <c r="N2592" t="inlineStr">
        <is>
          <t>Keystone Health Partners</t>
        </is>
      </c>
      <c r="O2592" s="31" t="n">
        <v>28069.06</v>
      </c>
      <c r="P2592" t="inlineStr">
        <is>
          <t>Y</t>
        </is>
      </c>
    </row>
    <row r="2593">
      <c r="A2593" t="inlineStr">
        <is>
          <t>ENC121353</t>
        </is>
      </c>
      <c r="B2593" t="inlineStr">
        <is>
          <t>PT12304</t>
        </is>
      </c>
      <c r="C2593" t="inlineStr">
        <is>
          <t>Observation</t>
        </is>
      </c>
      <c r="D2593" t="inlineStr">
        <is>
          <t>Bluestone Memorial Hospital</t>
        </is>
      </c>
      <c r="E2593" t="inlineStr">
        <is>
          <t>Observation Unit</t>
        </is>
      </c>
      <c r="F2593" t="inlineStr">
        <is>
          <t>Medicine</t>
        </is>
      </c>
      <c r="G2593" s="29" t="n">
        <v>46008</v>
      </c>
      <c r="H2593" s="29" t="n">
        <v>46009</v>
      </c>
      <c r="I2593" s="30" t="n">
        <v>1</v>
      </c>
      <c r="J2593" t="inlineStr">
        <is>
          <t>I48.91</t>
        </is>
      </c>
      <c r="K2593" t="inlineStr">
        <is>
          <t>Unspecified atrial fibrillation</t>
        </is>
      </c>
      <c r="L2593" t="inlineStr">
        <is>
          <t>Circulatory</t>
        </is>
      </c>
      <c r="M2593" t="inlineStr">
        <is>
          <t>Home/Self-Care</t>
        </is>
      </c>
      <c r="N2593" t="inlineStr">
        <is>
          <t>Medicare</t>
        </is>
      </c>
      <c r="O2593" s="31" t="n">
        <v>4567.87</v>
      </c>
    </row>
    <row r="2594">
      <c r="A2594" t="inlineStr">
        <is>
          <t>ENC121355</t>
        </is>
      </c>
      <c r="B2594" t="inlineStr">
        <is>
          <t>PT11464</t>
        </is>
      </c>
      <c r="C2594" t="inlineStr">
        <is>
          <t>Emergency</t>
        </is>
      </c>
      <c r="D2594" t="inlineStr">
        <is>
          <t>Bluestone Memorial Hospital</t>
        </is>
      </c>
      <c r="E2594" t="inlineStr">
        <is>
          <t>Emergency Department</t>
        </is>
      </c>
      <c r="F2594" t="inlineStr">
        <is>
          <t>Emergency</t>
        </is>
      </c>
      <c r="G2594" s="29" t="n">
        <v>46008</v>
      </c>
      <c r="H2594" s="29" t="n">
        <v>46008</v>
      </c>
      <c r="I2594" s="30" t="n"/>
      <c r="J2594" t="inlineStr">
        <is>
          <t>F41.9</t>
        </is>
      </c>
      <c r="K2594" t="inlineStr">
        <is>
          <t>Anxiety disorder, unspecified</t>
        </is>
      </c>
      <c r="L2594" t="inlineStr">
        <is>
          <t>Mental &amp; Behavioral</t>
        </is>
      </c>
      <c r="M2594" t="inlineStr">
        <is>
          <t>Home/Self-Care</t>
        </is>
      </c>
      <c r="N2594" t="inlineStr">
        <is>
          <t>Summit Choice PPO</t>
        </is>
      </c>
      <c r="O2594" s="31" t="n">
        <v>1326.75</v>
      </c>
    </row>
    <row r="2595">
      <c r="A2595" t="inlineStr">
        <is>
          <t>ENC121361</t>
        </is>
      </c>
      <c r="B2595" t="inlineStr">
        <is>
          <t>PT12112</t>
        </is>
      </c>
      <c r="C2595" t="inlineStr">
        <is>
          <t>Emergency</t>
        </is>
      </c>
      <c r="D2595" t="inlineStr">
        <is>
          <t>Bluestone Memorial Hospital</t>
        </is>
      </c>
      <c r="E2595" t="inlineStr">
        <is>
          <t>Emergency Department</t>
        </is>
      </c>
      <c r="F2595" t="inlineStr">
        <is>
          <t>Emergency</t>
        </is>
      </c>
      <c r="G2595" s="29" t="n">
        <v>46008</v>
      </c>
      <c r="H2595" s="29" t="n">
        <v>46008</v>
      </c>
      <c r="I2595" s="30" t="n"/>
      <c r="J2595" t="inlineStr">
        <is>
          <t>E86.0</t>
        </is>
      </c>
      <c r="K2595" t="inlineStr">
        <is>
          <t>Dehydration</t>
        </is>
      </c>
      <c r="L2595" t="inlineStr">
        <is>
          <t>Endocrine</t>
        </is>
      </c>
      <c r="M2595" t="inlineStr">
        <is>
          <t>Home/Self-Care</t>
        </is>
      </c>
      <c r="N2595" t="inlineStr">
        <is>
          <t>Silverline Medicare Advantage</t>
        </is>
      </c>
      <c r="O2595" s="31" t="n">
        <v>1692.88</v>
      </c>
    </row>
    <row r="2596">
      <c r="A2596" t="inlineStr">
        <is>
          <t>ENC121364</t>
        </is>
      </c>
      <c r="B2596" t="inlineStr">
        <is>
          <t>PT12380</t>
        </is>
      </c>
      <c r="C2596" t="inlineStr">
        <is>
          <t>Emergency</t>
        </is>
      </c>
      <c r="D2596" t="inlineStr">
        <is>
          <t>Bluestone Memorial Hospital</t>
        </is>
      </c>
      <c r="E2596" t="inlineStr">
        <is>
          <t>Emergency Department</t>
        </is>
      </c>
      <c r="F2596" t="inlineStr">
        <is>
          <t>Emergency</t>
        </is>
      </c>
      <c r="G2596" s="29" t="n">
        <v>46008</v>
      </c>
      <c r="H2596" s="29" t="n">
        <v>46008</v>
      </c>
      <c r="I2596" s="30" t="n"/>
      <c r="J2596" t="inlineStr">
        <is>
          <t>R07.9</t>
        </is>
      </c>
      <c r="K2596" t="inlineStr">
        <is>
          <t>Chest pain, unspecified</t>
        </is>
      </c>
      <c r="L2596" t="inlineStr">
        <is>
          <t>Symptoms &amp; Signs</t>
        </is>
      </c>
      <c r="M2596" t="inlineStr">
        <is>
          <t>Home/Self-Care</t>
        </is>
      </c>
      <c r="N2596" t="inlineStr">
        <is>
          <t>Keystone Health Partners</t>
        </is>
      </c>
      <c r="O2596" s="31" t="n">
        <v>2697.05</v>
      </c>
    </row>
    <row r="2597">
      <c r="A2597" t="inlineStr">
        <is>
          <t>ENC121367</t>
        </is>
      </c>
      <c r="B2597" t="inlineStr">
        <is>
          <t>PT13116</t>
        </is>
      </c>
      <c r="C2597" t="inlineStr">
        <is>
          <t>Outpatient</t>
        </is>
      </c>
      <c r="D2597" t="inlineStr">
        <is>
          <t>Bluestone Outpatient Pavilion</t>
        </is>
      </c>
      <c r="E2597" t="inlineStr">
        <is>
          <t>Infusion &amp; Oncology Clinic</t>
        </is>
      </c>
      <c r="F2597" t="inlineStr">
        <is>
          <t>Oncology</t>
        </is>
      </c>
      <c r="G2597" s="29" t="n">
        <v>46008</v>
      </c>
      <c r="H2597" s="29" t="n">
        <v>46008</v>
      </c>
      <c r="I2597" s="30" t="n"/>
      <c r="J2597" t="inlineStr">
        <is>
          <t>Z51.11</t>
        </is>
      </c>
      <c r="K2597" t="inlineStr">
        <is>
          <t>Encounter for antineoplastic chemotherapy</t>
        </is>
      </c>
      <c r="L2597" t="inlineStr">
        <is>
          <t>Factors Influencing Health</t>
        </is>
      </c>
      <c r="M2597" t="inlineStr">
        <is>
          <t>Home/Self-Care</t>
        </is>
      </c>
      <c r="N2597" t="inlineStr">
        <is>
          <t>Medicare</t>
        </is>
      </c>
      <c r="O2597" s="31" t="n">
        <v>10798.31</v>
      </c>
    </row>
    <row r="2598">
      <c r="A2598" t="inlineStr">
        <is>
          <t>ENC121372</t>
        </is>
      </c>
      <c r="B2598" t="inlineStr">
        <is>
          <t>PT10816</t>
        </is>
      </c>
      <c r="C2598" t="inlineStr">
        <is>
          <t>Emergency</t>
        </is>
      </c>
      <c r="D2598" t="inlineStr">
        <is>
          <t>Bluestone Memorial Hospital</t>
        </is>
      </c>
      <c r="E2598" t="inlineStr">
        <is>
          <t>Emergency Department</t>
        </is>
      </c>
      <c r="F2598" t="inlineStr">
        <is>
          <t>Emergency</t>
        </is>
      </c>
      <c r="G2598" s="29" t="n">
        <v>46008</v>
      </c>
      <c r="H2598" s="29" t="n">
        <v>46008</v>
      </c>
      <c r="I2598" s="30" t="n"/>
      <c r="J2598" t="inlineStr">
        <is>
          <t>H66.90</t>
        </is>
      </c>
      <c r="K2598" t="inlineStr">
        <is>
          <t>Otitis media, unspecified, unspecified ear</t>
        </is>
      </c>
      <c r="L2598" t="inlineStr">
        <is>
          <t>Ear</t>
        </is>
      </c>
      <c r="M2598" t="inlineStr">
        <is>
          <t>Home/Self-Care</t>
        </is>
      </c>
      <c r="N2598" t="inlineStr">
        <is>
          <t>Summit Choice PPO</t>
        </is>
      </c>
      <c r="O2598" s="31" t="n">
        <v>668.89</v>
      </c>
    </row>
    <row r="2599">
      <c r="A2599" t="inlineStr">
        <is>
          <t>ENC121376</t>
        </is>
      </c>
      <c r="B2599" t="inlineStr">
        <is>
          <t>PT13336</t>
        </is>
      </c>
      <c r="C2599" t="inlineStr">
        <is>
          <t>Emergency</t>
        </is>
      </c>
      <c r="D2599" t="inlineStr">
        <is>
          <t>Bluestone Memorial Hospital</t>
        </is>
      </c>
      <c r="E2599" t="inlineStr">
        <is>
          <t>Emergency Department</t>
        </is>
      </c>
      <c r="F2599" t="inlineStr">
        <is>
          <t>Emergency</t>
        </is>
      </c>
      <c r="G2599" s="29" t="n">
        <v>46008</v>
      </c>
      <c r="H2599" s="29" t="n">
        <v>46008</v>
      </c>
      <c r="I2599" s="30" t="n"/>
      <c r="J2599" t="inlineStr">
        <is>
          <t>E11.9</t>
        </is>
      </c>
      <c r="K2599" t="inlineStr">
        <is>
          <t>Type 2 diabetes mellitus without complications</t>
        </is>
      </c>
      <c r="L2599" t="inlineStr">
        <is>
          <t>Endocrine</t>
        </is>
      </c>
      <c r="M2599" t="inlineStr">
        <is>
          <t>Home/Self-Care</t>
        </is>
      </c>
      <c r="N2599" t="inlineStr">
        <is>
          <t>Keystone Health Partners</t>
        </is>
      </c>
      <c r="O2599" s="31" t="n">
        <v>1305.57</v>
      </c>
    </row>
    <row r="2600">
      <c r="A2600" t="inlineStr">
        <is>
          <t>ENC121378</t>
        </is>
      </c>
      <c r="B2600" t="inlineStr">
        <is>
          <t>PT13124</t>
        </is>
      </c>
      <c r="C2600" t="inlineStr">
        <is>
          <t>Emergency</t>
        </is>
      </c>
      <c r="D2600" t="inlineStr">
        <is>
          <t>Bluestone Memorial Hospital</t>
        </is>
      </c>
      <c r="E2600" t="inlineStr">
        <is>
          <t>Emergency Department</t>
        </is>
      </c>
      <c r="F2600" t="inlineStr">
        <is>
          <t>Emergency</t>
        </is>
      </c>
      <c r="G2600" s="29" t="n">
        <v>46008</v>
      </c>
      <c r="H2600" s="29" t="n">
        <v>46009</v>
      </c>
      <c r="I2600" s="30" t="n"/>
      <c r="J2600" t="inlineStr">
        <is>
          <t>J06.9</t>
        </is>
      </c>
      <c r="K2600" t="inlineStr">
        <is>
          <t>Acute upper respiratory infection, unspecified</t>
        </is>
      </c>
      <c r="L2600" t="inlineStr">
        <is>
          <t>Respiratory</t>
        </is>
      </c>
      <c r="M2600" t="inlineStr">
        <is>
          <t>Home/Self-Care</t>
        </is>
      </c>
      <c r="N2600" t="inlineStr">
        <is>
          <t>State Medicaid</t>
        </is>
      </c>
      <c r="O2600" s="31" t="n">
        <v>1079.32</v>
      </c>
    </row>
    <row r="2601">
      <c r="A2601" t="inlineStr">
        <is>
          <t>ENC121388</t>
        </is>
      </c>
      <c r="B2601" t="inlineStr">
        <is>
          <t>PT13068</t>
        </is>
      </c>
      <c r="C2601" t="inlineStr">
        <is>
          <t>Inpatient</t>
        </is>
      </c>
      <c r="D2601" t="inlineStr">
        <is>
          <t>Bluestone Memorial Hospital</t>
        </is>
      </c>
      <c r="E2601" t="inlineStr">
        <is>
          <t>Cardiac Step-Down</t>
        </is>
      </c>
      <c r="F2601" t="inlineStr">
        <is>
          <t>Cardiovascular</t>
        </is>
      </c>
      <c r="G2601" s="29" t="n">
        <v>46009</v>
      </c>
      <c r="H2601" s="29" t="n">
        <v>46016</v>
      </c>
      <c r="I2601" s="30" t="n">
        <v>7</v>
      </c>
      <c r="J2601" t="inlineStr">
        <is>
          <t>I21.4</t>
        </is>
      </c>
      <c r="K2601" t="inlineStr">
        <is>
          <t>Non-ST elevation (NSTEMI) myocardial infarction</t>
        </is>
      </c>
      <c r="L2601" t="inlineStr">
        <is>
          <t>Circulatory</t>
        </is>
      </c>
      <c r="M2601" t="inlineStr">
        <is>
          <t>Home Health</t>
        </is>
      </c>
      <c r="N2601" t="inlineStr">
        <is>
          <t>Keystone Health Partners</t>
        </is>
      </c>
      <c r="O2601" s="31" t="n">
        <v>80588.56</v>
      </c>
      <c r="P2601" t="inlineStr">
        <is>
          <t>N</t>
        </is>
      </c>
    </row>
    <row r="2602">
      <c r="A2602" t="inlineStr">
        <is>
          <t>ENC121389</t>
        </is>
      </c>
      <c r="B2602" t="inlineStr">
        <is>
          <t>PT12160</t>
        </is>
      </c>
      <c r="C2602" t="inlineStr">
        <is>
          <t>Inpatient</t>
        </is>
      </c>
      <c r="D2602" t="inlineStr">
        <is>
          <t>Bluestone Memorial Hospital</t>
        </is>
      </c>
      <c r="E2602" t="inlineStr">
        <is>
          <t>Medical-Surgical 5 East</t>
        </is>
      </c>
      <c r="F2602" t="inlineStr">
        <is>
          <t>Medicine</t>
        </is>
      </c>
      <c r="G2602" s="29" t="n">
        <v>46009</v>
      </c>
      <c r="H2602" s="29" t="n">
        <v>46012</v>
      </c>
      <c r="I2602" s="30" t="n">
        <v>3</v>
      </c>
      <c r="J2602" t="inlineStr">
        <is>
          <t>K35.80</t>
        </is>
      </c>
      <c r="K2602" t="inlineStr">
        <is>
          <t>Unspecified acute appendicitis</t>
        </is>
      </c>
      <c r="L2602" t="inlineStr">
        <is>
          <t>Digestive</t>
        </is>
      </c>
      <c r="M2602" t="inlineStr">
        <is>
          <t>Home/Self-Care</t>
        </is>
      </c>
      <c r="N2602" t="inlineStr">
        <is>
          <t>State Medicaid</t>
        </is>
      </c>
      <c r="O2602" s="31" t="n">
        <v>36153.9</v>
      </c>
      <c r="P2602" t="inlineStr">
        <is>
          <t>N</t>
        </is>
      </c>
    </row>
    <row r="2603">
      <c r="A2603" t="inlineStr">
        <is>
          <t>ENC121393</t>
        </is>
      </c>
      <c r="B2603" t="inlineStr">
        <is>
          <t>PT13676</t>
        </is>
      </c>
      <c r="C2603" t="inlineStr">
        <is>
          <t>Outpatient</t>
        </is>
      </c>
      <c r="D2603" t="inlineStr">
        <is>
          <t>Bluestone Outpatient Pavilion</t>
        </is>
      </c>
      <c r="E2603" t="inlineStr">
        <is>
          <t>Pediatric Clinic</t>
        </is>
      </c>
      <c r="F2603" t="inlineStr">
        <is>
          <t>Women &amp; Children</t>
        </is>
      </c>
      <c r="G2603" s="29" t="n">
        <v>46009</v>
      </c>
      <c r="H2603" s="29" t="n">
        <v>46009</v>
      </c>
      <c r="I2603" s="30" t="n"/>
      <c r="J2603" t="inlineStr">
        <is>
          <t>Z00.129</t>
        </is>
      </c>
      <c r="K2603" t="inlineStr">
        <is>
          <t>Encounter for routine child health examination without abnormal findings</t>
        </is>
      </c>
      <c r="L2603" t="inlineStr">
        <is>
          <t>Factors Influencing Health</t>
        </is>
      </c>
      <c r="M2603" t="inlineStr">
        <is>
          <t>Home/Self-Care</t>
        </is>
      </c>
      <c r="N2603" t="inlineStr">
        <is>
          <t>Evergreen Mutual Insurance</t>
        </is>
      </c>
      <c r="O2603" s="31" t="n">
        <v>300.74</v>
      </c>
    </row>
    <row r="2604">
      <c r="A2604" t="inlineStr">
        <is>
          <t>ENC121396</t>
        </is>
      </c>
      <c r="B2604" t="inlineStr">
        <is>
          <t>PT10616</t>
        </is>
      </c>
      <c r="C2604" t="inlineStr">
        <is>
          <t>Outpatient</t>
        </is>
      </c>
      <c r="D2604" t="inlineStr">
        <is>
          <t>Bluestone Outpatient Pavilion</t>
        </is>
      </c>
      <c r="E2604" t="inlineStr">
        <is>
          <t>Primary Care Clinic</t>
        </is>
      </c>
      <c r="F2604" t="inlineStr">
        <is>
          <t>Ambulatory</t>
        </is>
      </c>
      <c r="G2604" s="29" t="n">
        <v>46009</v>
      </c>
      <c r="H2604" s="29" t="n">
        <v>46009</v>
      </c>
      <c r="I2604" s="30" t="n"/>
      <c r="J2604" t="inlineStr">
        <is>
          <t>I10</t>
        </is>
      </c>
      <c r="K2604" t="inlineStr">
        <is>
          <t>Essential (primary) hypertension</t>
        </is>
      </c>
      <c r="L2604" t="inlineStr">
        <is>
          <t>Circulatory</t>
        </is>
      </c>
      <c r="M2604" t="inlineStr">
        <is>
          <t>Home/Self-Care</t>
        </is>
      </c>
      <c r="N2604" t="inlineStr">
        <is>
          <t>Medicare</t>
        </is>
      </c>
      <c r="O2604" s="31" t="n">
        <v>141.97</v>
      </c>
    </row>
    <row r="2605">
      <c r="A2605" t="inlineStr">
        <is>
          <t>ENC121399</t>
        </is>
      </c>
      <c r="B2605" t="inlineStr">
        <is>
          <t>PT13572</t>
        </is>
      </c>
      <c r="C2605" t="inlineStr">
        <is>
          <t>Outpatient</t>
        </is>
      </c>
      <c r="D2605" t="inlineStr">
        <is>
          <t>Bluestone Outpatient Pavilion</t>
        </is>
      </c>
      <c r="E2605" t="inlineStr">
        <is>
          <t>Endocrinology &amp; Diabetes Clinic</t>
        </is>
      </c>
      <c r="F2605" t="inlineStr">
        <is>
          <t>Ambulatory</t>
        </is>
      </c>
      <c r="G2605" s="29" t="n">
        <v>46009</v>
      </c>
      <c r="H2605" s="29" t="n">
        <v>46009</v>
      </c>
      <c r="I2605" s="30" t="n"/>
      <c r="J2605" t="inlineStr">
        <is>
          <t>E11.65</t>
        </is>
      </c>
      <c r="K2605" t="inlineStr">
        <is>
          <t>Type 2 diabetes mellitus with hyperglycemia</t>
        </is>
      </c>
      <c r="L2605" t="inlineStr">
        <is>
          <t>Endocrine</t>
        </is>
      </c>
      <c r="M2605" t="inlineStr">
        <is>
          <t>Home/Self-Care</t>
        </is>
      </c>
      <c r="N2605" t="inlineStr">
        <is>
          <t>State Medicaid</t>
        </is>
      </c>
      <c r="O2605" s="31" t="n">
        <v>213.38</v>
      </c>
    </row>
    <row r="2606">
      <c r="A2606" t="inlineStr">
        <is>
          <t>ENC121400</t>
        </is>
      </c>
      <c r="B2606" t="inlineStr">
        <is>
          <t>PT11504</t>
        </is>
      </c>
      <c r="C2606" t="inlineStr">
        <is>
          <t>Outpatient</t>
        </is>
      </c>
      <c r="D2606" t="inlineStr">
        <is>
          <t>Bluestone Outpatient Pavilion</t>
        </is>
      </c>
      <c r="E2606" t="inlineStr">
        <is>
          <t>Cardiology Clinic</t>
        </is>
      </c>
      <c r="F2606" t="inlineStr">
        <is>
          <t>Cardiovascular</t>
        </is>
      </c>
      <c r="G2606" s="29" t="n">
        <v>46009</v>
      </c>
      <c r="H2606" s="29" t="n">
        <v>46009</v>
      </c>
      <c r="I2606" s="30" t="n"/>
      <c r="J2606" t="inlineStr">
        <is>
          <t>I48.91</t>
        </is>
      </c>
      <c r="K2606" t="inlineStr">
        <is>
          <t>Unspecified atrial fibrillation</t>
        </is>
      </c>
      <c r="L2606" t="inlineStr">
        <is>
          <t>Circulatory</t>
        </is>
      </c>
      <c r="M2606" t="inlineStr">
        <is>
          <t>Home/Self-Care</t>
        </is>
      </c>
      <c r="N2606" t="inlineStr">
        <is>
          <t>Medicare</t>
        </is>
      </c>
      <c r="O2606" s="31" t="n">
        <v>379.53</v>
      </c>
    </row>
    <row r="2607">
      <c r="A2607" t="inlineStr">
        <is>
          <t>ENC121402</t>
        </is>
      </c>
      <c r="B2607" t="inlineStr">
        <is>
          <t>PT11764</t>
        </is>
      </c>
      <c r="C2607" t="inlineStr">
        <is>
          <t>Outpatient</t>
        </is>
      </c>
      <c r="D2607" t="inlineStr">
        <is>
          <t>Bluestone Outpatient Pavilion</t>
        </is>
      </c>
      <c r="E2607" t="inlineStr">
        <is>
          <t>Primary Care Clinic</t>
        </is>
      </c>
      <c r="F2607" t="inlineStr">
        <is>
          <t>Ambulatory</t>
        </is>
      </c>
      <c r="G2607" s="29" t="n">
        <v>46009</v>
      </c>
      <c r="H2607" s="29" t="n">
        <v>46009</v>
      </c>
      <c r="I2607" s="30" t="n"/>
      <c r="J2607" t="inlineStr">
        <is>
          <t>I10</t>
        </is>
      </c>
      <c r="K2607" t="inlineStr">
        <is>
          <t>Essential (primary) hypertension</t>
        </is>
      </c>
      <c r="L2607" t="inlineStr">
        <is>
          <t>Circulatory</t>
        </is>
      </c>
      <c r="M2607" t="inlineStr">
        <is>
          <t>Home/Self-Care</t>
        </is>
      </c>
      <c r="N2607" t="inlineStr">
        <is>
          <t>Medicare</t>
        </is>
      </c>
      <c r="O2607" s="31" t="n">
        <v>408.93</v>
      </c>
    </row>
    <row r="2608">
      <c r="A2608" t="inlineStr">
        <is>
          <t>ENC121413</t>
        </is>
      </c>
      <c r="B2608" t="inlineStr">
        <is>
          <t>PT13808</t>
        </is>
      </c>
      <c r="C2608" t="inlineStr">
        <is>
          <t>Outpatient</t>
        </is>
      </c>
      <c r="D2608" t="inlineStr">
        <is>
          <t>Bluestone Outpatient Pavilion</t>
        </is>
      </c>
      <c r="E2608" t="inlineStr">
        <is>
          <t>Primary Care Clinic</t>
        </is>
      </c>
      <c r="F2608" t="inlineStr">
        <is>
          <t>Ambulatory</t>
        </is>
      </c>
      <c r="G2608" s="29" t="n">
        <v>46009</v>
      </c>
      <c r="H2608" s="29" t="n">
        <v>46009</v>
      </c>
      <c r="I2608" s="30" t="n"/>
      <c r="J2608" t="inlineStr">
        <is>
          <t>I10</t>
        </is>
      </c>
      <c r="K2608" t="inlineStr">
        <is>
          <t>Essential (primary) hypertension</t>
        </is>
      </c>
      <c r="L2608" t="inlineStr">
        <is>
          <t>Circulatory</t>
        </is>
      </c>
      <c r="M2608" t="inlineStr">
        <is>
          <t>Home/Self-Care</t>
        </is>
      </c>
      <c r="N2608" t="inlineStr">
        <is>
          <t>Medicare</t>
        </is>
      </c>
      <c r="O2608" s="31" t="n">
        <v>235.09</v>
      </c>
    </row>
    <row r="2609">
      <c r="A2609" t="inlineStr">
        <is>
          <t>ENC121417</t>
        </is>
      </c>
      <c r="B2609" t="inlineStr">
        <is>
          <t>PT11280</t>
        </is>
      </c>
      <c r="C2609" t="inlineStr">
        <is>
          <t>Outpatient</t>
        </is>
      </c>
      <c r="D2609" t="inlineStr">
        <is>
          <t>Bluestone Outpatient Pavilion</t>
        </is>
      </c>
      <c r="E2609" t="inlineStr">
        <is>
          <t>Primary Care Clinic</t>
        </is>
      </c>
      <c r="F2609" t="inlineStr">
        <is>
          <t>Ambulatory</t>
        </is>
      </c>
      <c r="G2609" s="29" t="n">
        <v>46009</v>
      </c>
      <c r="H2609" s="29" t="n">
        <v>46009</v>
      </c>
      <c r="I2609" s="30" t="n"/>
      <c r="J2609" t="inlineStr">
        <is>
          <t>I10</t>
        </is>
      </c>
      <c r="K2609" t="inlineStr">
        <is>
          <t>Essential (primary) hypertension</t>
        </is>
      </c>
      <c r="L2609" t="inlineStr">
        <is>
          <t>Circulatory</t>
        </is>
      </c>
      <c r="M2609" t="inlineStr">
        <is>
          <t>Home/Self-Care</t>
        </is>
      </c>
      <c r="N2609" t="inlineStr">
        <is>
          <t>Silverline Medicare Advantage</t>
        </is>
      </c>
      <c r="O2609" s="31" t="n">
        <v>257.28</v>
      </c>
    </row>
    <row r="2610">
      <c r="A2610" t="inlineStr">
        <is>
          <t>ENC121420</t>
        </is>
      </c>
      <c r="B2610" t="inlineStr">
        <is>
          <t>PT12368</t>
        </is>
      </c>
      <c r="C2610" t="inlineStr">
        <is>
          <t>Inpatient</t>
        </is>
      </c>
      <c r="D2610" t="inlineStr">
        <is>
          <t>Bluestone Memorial Hospital</t>
        </is>
      </c>
      <c r="E2610" t="inlineStr">
        <is>
          <t>Behavioral Health</t>
        </is>
      </c>
      <c r="F2610" t="inlineStr">
        <is>
          <t>Behavioral Health</t>
        </is>
      </c>
      <c r="G2610" s="29" t="n">
        <v>46009</v>
      </c>
      <c r="H2610" s="29" t="n">
        <v>46021</v>
      </c>
      <c r="I2610" s="30" t="n">
        <v>12</v>
      </c>
      <c r="J2610" t="inlineStr">
        <is>
          <t>F32.9</t>
        </is>
      </c>
      <c r="K2610" t="inlineStr">
        <is>
          <t>Major depressive disorder, single episode, unspecified</t>
        </is>
      </c>
      <c r="L2610" t="inlineStr">
        <is>
          <t>Mental &amp; Behavioral</t>
        </is>
      </c>
      <c r="M2610" t="inlineStr">
        <is>
          <t>Home/Self-Care</t>
        </is>
      </c>
      <c r="N2610" t="inlineStr">
        <is>
          <t>Evergreen Mutual Insurance</t>
        </is>
      </c>
      <c r="O2610" s="31" t="n">
        <v>29028.84</v>
      </c>
      <c r="P2610" t="inlineStr">
        <is>
          <t>N</t>
        </is>
      </c>
    </row>
    <row r="2611">
      <c r="A2611" t="inlineStr">
        <is>
          <t>ENC121421</t>
        </is>
      </c>
      <c r="B2611" t="inlineStr">
        <is>
          <t>PT11336</t>
        </is>
      </c>
      <c r="C2611" t="inlineStr">
        <is>
          <t>Inpatient</t>
        </is>
      </c>
      <c r="D2611" t="inlineStr">
        <is>
          <t>Bluestone Memorial Hospital</t>
        </is>
      </c>
      <c r="E2611" t="inlineStr">
        <is>
          <t>Oncology</t>
        </is>
      </c>
      <c r="F2611" t="inlineStr">
        <is>
          <t>Oncology</t>
        </is>
      </c>
      <c r="G2611" s="29" t="n">
        <v>46009</v>
      </c>
      <c r="H2611" s="29" t="n">
        <v>46014</v>
      </c>
      <c r="I2611" s="30" t="n">
        <v>5</v>
      </c>
      <c r="J2611" t="inlineStr">
        <is>
          <t>C34.90</t>
        </is>
      </c>
      <c r="K2611" t="inlineStr">
        <is>
          <t>Malignant neoplasm of unspecified part of unspecified bronchus or lung</t>
        </is>
      </c>
      <c r="L2611" t="inlineStr">
        <is>
          <t>Neoplasms</t>
        </is>
      </c>
      <c r="M2611" t="inlineStr">
        <is>
          <t>Home/Self-Care</t>
        </is>
      </c>
      <c r="N2611" t="inlineStr">
        <is>
          <t>Summit Choice PPO</t>
        </is>
      </c>
      <c r="O2611" s="31" t="n">
        <v>20163.78</v>
      </c>
      <c r="P2611" t="inlineStr">
        <is>
          <t>N</t>
        </is>
      </c>
    </row>
    <row r="2612">
      <c r="A2612" t="inlineStr">
        <is>
          <t>ENC121426</t>
        </is>
      </c>
      <c r="B2612" t="inlineStr">
        <is>
          <t>PT12684</t>
        </is>
      </c>
      <c r="C2612" t="inlineStr">
        <is>
          <t>Emergency</t>
        </is>
      </c>
      <c r="D2612" t="inlineStr">
        <is>
          <t>Bluestone Memorial Hospital</t>
        </is>
      </c>
      <c r="E2612" t="inlineStr">
        <is>
          <t>Emergency Department</t>
        </is>
      </c>
      <c r="F2612" t="inlineStr">
        <is>
          <t>Emergency</t>
        </is>
      </c>
      <c r="G2612" s="29" t="n">
        <v>46009</v>
      </c>
      <c r="H2612" s="29" t="n">
        <v>46010</v>
      </c>
      <c r="I2612" s="30" t="n"/>
      <c r="J2612" t="inlineStr">
        <is>
          <t>J44.1</t>
        </is>
      </c>
      <c r="K2612" t="inlineStr">
        <is>
          <t>Chronic obstructive pulmonary disease with (acute) exacerbation</t>
        </is>
      </c>
      <c r="L2612" t="inlineStr">
        <is>
          <t>Respiratory</t>
        </is>
      </c>
      <c r="M2612" t="inlineStr">
        <is>
          <t>Home/Self-Care</t>
        </is>
      </c>
      <c r="N2612" t="inlineStr">
        <is>
          <t>Summit Choice PPO</t>
        </is>
      </c>
      <c r="O2612" s="31" t="n">
        <v>5538.67</v>
      </c>
    </row>
    <row r="2613">
      <c r="A2613" t="inlineStr">
        <is>
          <t>ENC121428</t>
        </is>
      </c>
      <c r="B2613" t="inlineStr">
        <is>
          <t>PT12356</t>
        </is>
      </c>
      <c r="C2613" t="inlineStr">
        <is>
          <t>Emergency</t>
        </is>
      </c>
      <c r="D2613" t="inlineStr">
        <is>
          <t>Bluestone Memorial Hospital</t>
        </is>
      </c>
      <c r="E2613" t="inlineStr">
        <is>
          <t>Emergency Department</t>
        </is>
      </c>
      <c r="F2613" t="inlineStr">
        <is>
          <t>Emergency</t>
        </is>
      </c>
      <c r="G2613" s="29" t="n">
        <v>46010</v>
      </c>
      <c r="H2613" s="29" t="n">
        <v>46010</v>
      </c>
      <c r="I2613" s="30" t="n"/>
      <c r="J2613" t="inlineStr">
        <is>
          <t>F20.9</t>
        </is>
      </c>
      <c r="K2613" t="inlineStr">
        <is>
          <t>Schizophrenia, unspecified</t>
        </is>
      </c>
      <c r="L2613" t="inlineStr">
        <is>
          <t>Mental &amp; Behavioral</t>
        </is>
      </c>
      <c r="M2613" t="inlineStr">
        <is>
          <t>Home/Self-Care</t>
        </is>
      </c>
      <c r="N2613" t="inlineStr">
        <is>
          <t>Evergreen Mutual Insurance</t>
        </is>
      </c>
      <c r="O2613" s="31" t="n">
        <v>2899.95</v>
      </c>
    </row>
    <row r="2614">
      <c r="A2614" t="inlineStr">
        <is>
          <t>ENC121429</t>
        </is>
      </c>
      <c r="B2614" t="inlineStr">
        <is>
          <t>PT11216</t>
        </is>
      </c>
      <c r="C2614" t="inlineStr">
        <is>
          <t>Outpatient</t>
        </is>
      </c>
      <c r="D2614" t="inlineStr">
        <is>
          <t>Bluestone Outpatient Pavilion</t>
        </is>
      </c>
      <c r="E2614" t="inlineStr">
        <is>
          <t>Infusion &amp; Oncology Clinic</t>
        </is>
      </c>
      <c r="F2614" t="inlineStr">
        <is>
          <t>Oncology</t>
        </is>
      </c>
      <c r="G2614" s="29" t="n">
        <v>46010</v>
      </c>
      <c r="H2614" s="29" t="n">
        <v>46010</v>
      </c>
      <c r="I2614" s="30" t="n"/>
      <c r="J2614" t="inlineStr">
        <is>
          <t>Z51.11</t>
        </is>
      </c>
      <c r="K2614" t="inlineStr">
        <is>
          <t>Encounter for antineoplastic chemotherapy</t>
        </is>
      </c>
      <c r="L2614" t="inlineStr">
        <is>
          <t>Factors Influencing Health</t>
        </is>
      </c>
      <c r="M2614" t="inlineStr">
        <is>
          <t>Home/Self-Care</t>
        </is>
      </c>
      <c r="N2614" t="inlineStr">
        <is>
          <t>Medicare</t>
        </is>
      </c>
      <c r="O2614" s="31" t="n">
        <v>5146.94</v>
      </c>
    </row>
    <row r="2615">
      <c r="A2615" t="inlineStr">
        <is>
          <t>ENC121431</t>
        </is>
      </c>
      <c r="B2615" t="inlineStr">
        <is>
          <t>PT11600</t>
        </is>
      </c>
      <c r="C2615" t="inlineStr">
        <is>
          <t>Outpatient</t>
        </is>
      </c>
      <c r="D2615" t="inlineStr">
        <is>
          <t>Bluestone Outpatient Pavilion</t>
        </is>
      </c>
      <c r="E2615" t="inlineStr">
        <is>
          <t>Primary Care Clinic</t>
        </is>
      </c>
      <c r="F2615" t="inlineStr">
        <is>
          <t>Ambulatory</t>
        </is>
      </c>
      <c r="G2615" s="29" t="n">
        <v>46010</v>
      </c>
      <c r="H2615" s="29" t="n">
        <v>46010</v>
      </c>
      <c r="I2615" s="30" t="n"/>
      <c r="J2615" t="inlineStr">
        <is>
          <t>J06.9</t>
        </is>
      </c>
      <c r="K2615" t="inlineStr">
        <is>
          <t>Acute upper respiratory infection, unspecified</t>
        </is>
      </c>
      <c r="L2615" t="inlineStr">
        <is>
          <t>Respiratory</t>
        </is>
      </c>
      <c r="M2615" t="inlineStr">
        <is>
          <t>Home/Self-Care</t>
        </is>
      </c>
      <c r="N2615" t="inlineStr">
        <is>
          <t>State Medicaid</t>
        </is>
      </c>
      <c r="O2615" s="31" t="n">
        <v>295.74</v>
      </c>
    </row>
    <row r="2616">
      <c r="A2616" t="inlineStr">
        <is>
          <t>ENC121432</t>
        </is>
      </c>
      <c r="B2616" t="inlineStr">
        <is>
          <t>PT13940</t>
        </is>
      </c>
      <c r="C2616" t="inlineStr">
        <is>
          <t>Emergency</t>
        </is>
      </c>
      <c r="D2616" t="inlineStr">
        <is>
          <t>Cedar Ridge Medical Center</t>
        </is>
      </c>
      <c r="E2616" t="inlineStr">
        <is>
          <t>Emergency Department</t>
        </is>
      </c>
      <c r="F2616" t="inlineStr">
        <is>
          <t>Emergency</t>
        </is>
      </c>
      <c r="G2616" s="29" t="n">
        <v>46010</v>
      </c>
      <c r="H2616" s="29" t="n">
        <v>46010</v>
      </c>
      <c r="I2616" s="30" t="n"/>
      <c r="J2616" t="inlineStr">
        <is>
          <t>R55</t>
        </is>
      </c>
      <c r="K2616" t="inlineStr">
        <is>
          <t>Syncope and collapse</t>
        </is>
      </c>
      <c r="L2616" t="inlineStr">
        <is>
          <t>Symptoms &amp; Signs</t>
        </is>
      </c>
      <c r="M2616" t="inlineStr">
        <is>
          <t>Home/Self-Care</t>
        </is>
      </c>
      <c r="N2616" t="inlineStr">
        <is>
          <t>Evergreen Mutual Insurance</t>
        </is>
      </c>
      <c r="O2616" s="31" t="n">
        <v>1853.25</v>
      </c>
    </row>
    <row r="2617">
      <c r="A2617" t="inlineStr">
        <is>
          <t>ENC121436</t>
        </is>
      </c>
      <c r="B2617" t="inlineStr">
        <is>
          <t>PT13920</t>
        </is>
      </c>
      <c r="C2617" t="inlineStr">
        <is>
          <t>Inpatient</t>
        </is>
      </c>
      <c r="D2617" t="inlineStr">
        <is>
          <t>Bluestone Memorial Hospital</t>
        </is>
      </c>
      <c r="E2617" t="inlineStr">
        <is>
          <t>Medical-Surgical 5 East</t>
        </is>
      </c>
      <c r="F2617" t="inlineStr">
        <is>
          <t>Medicine</t>
        </is>
      </c>
      <c r="G2617" s="29" t="n">
        <v>46010</v>
      </c>
      <c r="H2617" s="29" t="n">
        <v>46013</v>
      </c>
      <c r="I2617" s="30" t="n">
        <v>3</v>
      </c>
      <c r="J2617" t="inlineStr">
        <is>
          <t>J18.9</t>
        </is>
      </c>
      <c r="K2617" t="inlineStr">
        <is>
          <t>Pneumonia, unspecified organism</t>
        </is>
      </c>
      <c r="L2617" t="inlineStr">
        <is>
          <t>Respiratory</t>
        </is>
      </c>
      <c r="M2617" t="inlineStr">
        <is>
          <t>Home/Self-Care</t>
        </is>
      </c>
      <c r="N2617" t="inlineStr">
        <is>
          <t>Medicare</t>
        </is>
      </c>
      <c r="O2617" s="31" t="n">
        <v>14646.1</v>
      </c>
      <c r="P2617" t="inlineStr">
        <is>
          <t>N</t>
        </is>
      </c>
    </row>
    <row r="2618">
      <c r="A2618" t="inlineStr">
        <is>
          <t>ENC121438</t>
        </is>
      </c>
      <c r="B2618" t="inlineStr">
        <is>
          <t>PT11056</t>
        </is>
      </c>
      <c r="C2618" t="inlineStr">
        <is>
          <t>Emergency</t>
        </is>
      </c>
      <c r="D2618" t="inlineStr">
        <is>
          <t>Bluestone Memorial Hospital</t>
        </is>
      </c>
      <c r="E2618" t="inlineStr">
        <is>
          <t>Emergency Department</t>
        </is>
      </c>
      <c r="F2618" t="inlineStr">
        <is>
          <t>Emergency</t>
        </is>
      </c>
      <c r="G2618" s="29" t="n">
        <v>46010</v>
      </c>
      <c r="H2618" s="29" t="n">
        <v>46010</v>
      </c>
      <c r="I2618" s="30" t="n"/>
      <c r="J2618" t="inlineStr">
        <is>
          <t>J21.9</t>
        </is>
      </c>
      <c r="K2618" t="inlineStr">
        <is>
          <t>Acute bronchiolitis, unspecified</t>
        </is>
      </c>
      <c r="L2618" t="inlineStr">
        <is>
          <t>Respiratory</t>
        </is>
      </c>
      <c r="M2618" t="inlineStr">
        <is>
          <t>Home/Self-Care</t>
        </is>
      </c>
      <c r="N2618" t="inlineStr">
        <is>
          <t>Keystone Health Partners</t>
        </is>
      </c>
      <c r="O2618" s="31" t="n">
        <v>4633.16</v>
      </c>
    </row>
    <row r="2619">
      <c r="A2619" t="inlineStr">
        <is>
          <t>ENC121440</t>
        </is>
      </c>
      <c r="B2619" t="inlineStr">
        <is>
          <t>PT10112</t>
        </is>
      </c>
      <c r="C2619" t="inlineStr">
        <is>
          <t>Emergency</t>
        </is>
      </c>
      <c r="D2619" t="inlineStr">
        <is>
          <t>Bluestone Memorial Hospital</t>
        </is>
      </c>
      <c r="E2619" t="inlineStr">
        <is>
          <t>Emergency Department</t>
        </is>
      </c>
      <c r="F2619" t="inlineStr">
        <is>
          <t>Emergency</t>
        </is>
      </c>
      <c r="G2619" s="29" t="n">
        <v>46010</v>
      </c>
      <c r="H2619" s="29" t="n">
        <v>46010</v>
      </c>
      <c r="I2619" s="30" t="n"/>
      <c r="J2619" t="inlineStr">
        <is>
          <t>J06.9</t>
        </is>
      </c>
      <c r="K2619" t="inlineStr">
        <is>
          <t>Acute upper respiratory infection, unspecified</t>
        </is>
      </c>
      <c r="L2619" t="inlineStr">
        <is>
          <t>Respiratory</t>
        </is>
      </c>
      <c r="M2619" t="inlineStr">
        <is>
          <t>Left Without Being Seen</t>
        </is>
      </c>
      <c r="N2619" t="inlineStr">
        <is>
          <t>Silverline Medicare Advantage</t>
        </is>
      </c>
      <c r="O2619" s="31" t="n">
        <v>1631.39</v>
      </c>
    </row>
    <row r="2620">
      <c r="A2620" t="inlineStr">
        <is>
          <t>ENC121457</t>
        </is>
      </c>
      <c r="B2620" t="inlineStr">
        <is>
          <t>PT13416</t>
        </is>
      </c>
      <c r="C2620" t="inlineStr">
        <is>
          <t>Emergency</t>
        </is>
      </c>
      <c r="D2620" t="inlineStr">
        <is>
          <t>Bluestone Memorial Hospital</t>
        </is>
      </c>
      <c r="E2620" t="inlineStr">
        <is>
          <t>Emergency Department</t>
        </is>
      </c>
      <c r="F2620" t="inlineStr">
        <is>
          <t>Emergency</t>
        </is>
      </c>
      <c r="G2620" s="29" t="n">
        <v>46010</v>
      </c>
      <c r="H2620" s="29" t="n">
        <v>46010</v>
      </c>
      <c r="I2620" s="30" t="n"/>
      <c r="J2620" t="inlineStr">
        <is>
          <t>J18.9</t>
        </is>
      </c>
      <c r="K2620" t="inlineStr">
        <is>
          <t>Pneumonia, unspecified organism</t>
        </is>
      </c>
      <c r="L2620" t="inlineStr">
        <is>
          <t>Respiratory</t>
        </is>
      </c>
      <c r="M2620" t="inlineStr">
        <is>
          <t>Home/Self-Care</t>
        </is>
      </c>
      <c r="N2620" t="inlineStr">
        <is>
          <t>Medicare</t>
        </is>
      </c>
      <c r="O2620" s="31" t="n">
        <v>2557.8</v>
      </c>
    </row>
    <row r="2621">
      <c r="A2621" t="inlineStr">
        <is>
          <t>ENC121462</t>
        </is>
      </c>
      <c r="B2621" t="inlineStr">
        <is>
          <t>PT10384</t>
        </is>
      </c>
      <c r="C2621" t="inlineStr">
        <is>
          <t>Emergency</t>
        </is>
      </c>
      <c r="D2621" t="inlineStr">
        <is>
          <t>Cedar Ridge Medical Center</t>
        </is>
      </c>
      <c r="E2621" t="inlineStr">
        <is>
          <t>Emergency Department</t>
        </is>
      </c>
      <c r="F2621" t="inlineStr">
        <is>
          <t>Emergency</t>
        </is>
      </c>
      <c r="G2621" s="29" t="n">
        <v>46010</v>
      </c>
      <c r="H2621" s="29" t="n">
        <v>46010</v>
      </c>
      <c r="I2621" s="30" t="n"/>
      <c r="J2621" t="inlineStr">
        <is>
          <t>A08.4</t>
        </is>
      </c>
      <c r="K2621" t="inlineStr">
        <is>
          <t>Viral intestinal infection, unspecified</t>
        </is>
      </c>
      <c r="L2621" t="inlineStr">
        <is>
          <t>Infectious</t>
        </is>
      </c>
      <c r="M2621" t="inlineStr">
        <is>
          <t>Home/Self-Care</t>
        </is>
      </c>
      <c r="N2621" t="inlineStr">
        <is>
          <t>State Medicaid</t>
        </is>
      </c>
      <c r="O2621" s="31" t="n">
        <v>1267.02</v>
      </c>
    </row>
    <row r="2622">
      <c r="A2622" t="inlineStr">
        <is>
          <t>ENC121463</t>
        </is>
      </c>
      <c r="B2622" t="inlineStr">
        <is>
          <t>PT11496</t>
        </is>
      </c>
      <c r="C2622" t="inlineStr">
        <is>
          <t>Observation</t>
        </is>
      </c>
      <c r="D2622" t="inlineStr">
        <is>
          <t>Cedar Ridge Medical Center</t>
        </is>
      </c>
      <c r="E2622" t="inlineStr">
        <is>
          <t>Medical-Surgical</t>
        </is>
      </c>
      <c r="F2622" t="inlineStr">
        <is>
          <t>Medicine</t>
        </is>
      </c>
      <c r="G2622" s="29" t="n">
        <v>46010</v>
      </c>
      <c r="H2622" s="29" t="n">
        <v>46011</v>
      </c>
      <c r="I2622" s="30" t="n">
        <v>1</v>
      </c>
      <c r="J2622" t="inlineStr">
        <is>
          <t>I48.91</t>
        </is>
      </c>
      <c r="K2622" t="inlineStr">
        <is>
          <t>Unspecified atrial fibrillation</t>
        </is>
      </c>
      <c r="L2622" t="inlineStr">
        <is>
          <t>Circulatory</t>
        </is>
      </c>
      <c r="M2622" t="inlineStr">
        <is>
          <t>Home/Self-Care</t>
        </is>
      </c>
      <c r="N2622" t="inlineStr">
        <is>
          <t>Medicare</t>
        </is>
      </c>
      <c r="O2622" s="31" t="n">
        <v>8469.129999999999</v>
      </c>
    </row>
    <row r="2623">
      <c r="A2623" t="inlineStr">
        <is>
          <t>ENC121467</t>
        </is>
      </c>
      <c r="B2623" t="inlineStr">
        <is>
          <t>PT12904</t>
        </is>
      </c>
      <c r="C2623" t="inlineStr">
        <is>
          <t>Emergency</t>
        </is>
      </c>
      <c r="D2623" t="inlineStr">
        <is>
          <t>Bluestone Memorial Hospital</t>
        </is>
      </c>
      <c r="E2623" t="inlineStr">
        <is>
          <t>Emergency Department</t>
        </is>
      </c>
      <c r="F2623" t="inlineStr">
        <is>
          <t>Emergency</t>
        </is>
      </c>
      <c r="G2623" s="29" t="n">
        <v>46011</v>
      </c>
      <c r="H2623" s="29" t="n">
        <v>46011</v>
      </c>
      <c r="I2623" s="30" t="n"/>
      <c r="J2623" t="inlineStr">
        <is>
          <t>G40.909</t>
        </is>
      </c>
      <c r="K2623" t="inlineStr">
        <is>
          <t>Epilepsy, unspecified, not intractable, without status epilepticus</t>
        </is>
      </c>
      <c r="L2623" t="inlineStr">
        <is>
          <t>Nervous System</t>
        </is>
      </c>
      <c r="M2623" t="inlineStr">
        <is>
          <t>Home/Self-Care</t>
        </is>
      </c>
      <c r="N2623" t="inlineStr">
        <is>
          <t>Summit Choice PPO</t>
        </is>
      </c>
      <c r="O2623" s="31" t="n">
        <v>3139.14</v>
      </c>
    </row>
    <row r="2624">
      <c r="A2624" t="inlineStr">
        <is>
          <t>ENC121469</t>
        </is>
      </c>
      <c r="B2624" t="inlineStr">
        <is>
          <t>PT10052</t>
        </is>
      </c>
      <c r="C2624" t="inlineStr">
        <is>
          <t>Emergency</t>
        </is>
      </c>
      <c r="D2624" t="inlineStr">
        <is>
          <t>Cedar Ridge Medical Center</t>
        </is>
      </c>
      <c r="E2624" t="inlineStr">
        <is>
          <t>Emergency Department</t>
        </is>
      </c>
      <c r="F2624" t="inlineStr">
        <is>
          <t>Emergency</t>
        </is>
      </c>
      <c r="G2624" s="29" t="n">
        <v>46011</v>
      </c>
      <c r="H2624" s="29" t="n">
        <v>46011</v>
      </c>
      <c r="I2624" s="30" t="n"/>
      <c r="J2624" t="inlineStr">
        <is>
          <t>R07.9</t>
        </is>
      </c>
      <c r="K2624" t="inlineStr">
        <is>
          <t>Chest pain, unspecified</t>
        </is>
      </c>
      <c r="L2624" t="inlineStr">
        <is>
          <t>Symptoms &amp; Signs</t>
        </is>
      </c>
      <c r="M2624" t="inlineStr">
        <is>
          <t>Left AMA</t>
        </is>
      </c>
      <c r="N2624" t="inlineStr">
        <is>
          <t>Keystone Health Partners</t>
        </is>
      </c>
      <c r="O2624" s="31" t="n">
        <v>6037.18</v>
      </c>
    </row>
    <row r="2625">
      <c r="A2625" t="inlineStr">
        <is>
          <t>ENC121474</t>
        </is>
      </c>
      <c r="B2625" t="inlineStr">
        <is>
          <t>PT10404</t>
        </is>
      </c>
      <c r="C2625" t="inlineStr">
        <is>
          <t>Inpatient</t>
        </is>
      </c>
      <c r="D2625" t="inlineStr">
        <is>
          <t>Bluestone Memorial Hospital</t>
        </is>
      </c>
      <c r="E2625" t="inlineStr">
        <is>
          <t>Medical-Surgical 4 West</t>
        </is>
      </c>
      <c r="F2625" t="inlineStr">
        <is>
          <t>Medicine</t>
        </is>
      </c>
      <c r="G2625" s="29" t="n">
        <v>46011</v>
      </c>
      <c r="H2625" s="29" t="n">
        <v>46013</v>
      </c>
      <c r="I2625" s="30" t="n">
        <v>2</v>
      </c>
      <c r="J2625" t="inlineStr">
        <is>
          <t>R55</t>
        </is>
      </c>
      <c r="K2625" t="inlineStr">
        <is>
          <t>Syncope and collapse</t>
        </is>
      </c>
      <c r="L2625" t="inlineStr">
        <is>
          <t>Symptoms &amp; Signs</t>
        </is>
      </c>
      <c r="M2625" t="inlineStr">
        <is>
          <t>Home/Self-Care</t>
        </is>
      </c>
      <c r="N2625" t="inlineStr">
        <is>
          <t>Keystone Health Partners</t>
        </is>
      </c>
      <c r="O2625" s="31" t="n">
        <v>7795.12</v>
      </c>
      <c r="P2625" t="inlineStr">
        <is>
          <t>N</t>
        </is>
      </c>
    </row>
    <row r="2626">
      <c r="A2626" t="inlineStr">
        <is>
          <t>ENC121475</t>
        </is>
      </c>
      <c r="B2626" t="inlineStr">
        <is>
          <t>PT12980</t>
        </is>
      </c>
      <c r="C2626" t="inlineStr">
        <is>
          <t>Inpatient</t>
        </is>
      </c>
      <c r="D2626" t="inlineStr">
        <is>
          <t>Ashby Falls Community Hospital</t>
        </is>
      </c>
      <c r="E2626" t="inlineStr">
        <is>
          <t>Medical-Surgical</t>
        </is>
      </c>
      <c r="F2626" t="inlineStr">
        <is>
          <t>Medicine</t>
        </is>
      </c>
      <c r="G2626" s="29" t="n">
        <v>46011</v>
      </c>
      <c r="H2626" s="29" t="n">
        <v>46018</v>
      </c>
      <c r="I2626" s="30" t="n">
        <v>7</v>
      </c>
      <c r="J2626" t="inlineStr">
        <is>
          <t>K92.2</t>
        </is>
      </c>
      <c r="K2626" t="inlineStr">
        <is>
          <t>Gastrointestinal hemorrhage, unspecified</t>
        </is>
      </c>
      <c r="L2626" t="inlineStr">
        <is>
          <t>Digestive</t>
        </is>
      </c>
      <c r="M2626" t="inlineStr">
        <is>
          <t>Home/Self-Care</t>
        </is>
      </c>
      <c r="N2626" t="inlineStr">
        <is>
          <t>Medicare</t>
        </is>
      </c>
      <c r="O2626" s="31" t="n">
        <v>16948.06</v>
      </c>
      <c r="P2626" t="inlineStr">
        <is>
          <t>N</t>
        </is>
      </c>
    </row>
    <row r="2627">
      <c r="A2627" t="inlineStr">
        <is>
          <t>ENC121477</t>
        </is>
      </c>
      <c r="B2627" t="inlineStr">
        <is>
          <t>PT12664</t>
        </is>
      </c>
      <c r="C2627" t="inlineStr">
        <is>
          <t>Observation</t>
        </is>
      </c>
      <c r="D2627" t="inlineStr">
        <is>
          <t>Bluestone Memorial Hospital</t>
        </is>
      </c>
      <c r="E2627" t="inlineStr">
        <is>
          <t>Observation Unit</t>
        </is>
      </c>
      <c r="F2627" t="inlineStr">
        <is>
          <t>Medicine</t>
        </is>
      </c>
      <c r="G2627" s="29" t="n">
        <v>46011</v>
      </c>
      <c r="H2627" s="29" t="n">
        <v>46012</v>
      </c>
      <c r="I2627" s="30" t="n">
        <v>1</v>
      </c>
      <c r="J2627" t="inlineStr">
        <is>
          <t>J21.9</t>
        </is>
      </c>
      <c r="K2627" t="inlineStr">
        <is>
          <t>Acute bronchiolitis, unspecified</t>
        </is>
      </c>
      <c r="L2627" t="inlineStr">
        <is>
          <t>Respiratory</t>
        </is>
      </c>
      <c r="M2627" t="inlineStr">
        <is>
          <t>Home/Self-Care</t>
        </is>
      </c>
      <c r="N2627" t="inlineStr">
        <is>
          <t>Keystone Health Partners</t>
        </is>
      </c>
      <c r="O2627" s="31" t="n">
        <v>10239.94</v>
      </c>
    </row>
    <row r="2628">
      <c r="A2628" t="inlineStr">
        <is>
          <t>ENC121490</t>
        </is>
      </c>
      <c r="B2628" t="inlineStr">
        <is>
          <t>PT12008</t>
        </is>
      </c>
      <c r="C2628" t="inlineStr">
        <is>
          <t>Emergency</t>
        </is>
      </c>
      <c r="D2628" t="inlineStr">
        <is>
          <t>Bluestone Memorial Hospital</t>
        </is>
      </c>
      <c r="E2628" t="inlineStr">
        <is>
          <t>Emergency Department</t>
        </is>
      </c>
      <c r="F2628" t="inlineStr">
        <is>
          <t>Emergency</t>
        </is>
      </c>
      <c r="G2628" s="29" t="n">
        <v>46012</v>
      </c>
      <c r="H2628" s="29" t="n">
        <v>46012</v>
      </c>
      <c r="I2628" s="30" t="n"/>
      <c r="J2628" t="inlineStr">
        <is>
          <t>N39.0</t>
        </is>
      </c>
      <c r="K2628" t="inlineStr">
        <is>
          <t>Urinary tract infection, site not specified</t>
        </is>
      </c>
      <c r="L2628" t="inlineStr">
        <is>
          <t>Genitourinary</t>
        </is>
      </c>
      <c r="M2628" t="inlineStr">
        <is>
          <t>Left Without Being Seen</t>
        </is>
      </c>
      <c r="N2628" t="inlineStr">
        <is>
          <t>Medicare</t>
        </is>
      </c>
      <c r="O2628" s="31" t="n">
        <v>1581.44</v>
      </c>
    </row>
    <row r="2629">
      <c r="A2629" t="inlineStr">
        <is>
          <t>ENC121493</t>
        </is>
      </c>
      <c r="B2629" t="inlineStr">
        <is>
          <t>PT12464</t>
        </is>
      </c>
      <c r="C2629" t="inlineStr">
        <is>
          <t>Inpatient</t>
        </is>
      </c>
      <c r="D2629" t="inlineStr">
        <is>
          <t>Cedar Ridge Medical Center</t>
        </is>
      </c>
      <c r="E2629" t="inlineStr">
        <is>
          <t>Medical-Surgical</t>
        </is>
      </c>
      <c r="F2629" t="inlineStr">
        <is>
          <t>Medicine</t>
        </is>
      </c>
      <c r="G2629" s="29" t="n">
        <v>46012</v>
      </c>
      <c r="H2629" s="29" t="n">
        <v>46016</v>
      </c>
      <c r="I2629" s="30" t="n">
        <v>4</v>
      </c>
      <c r="J2629" t="inlineStr">
        <is>
          <t>L03.115</t>
        </is>
      </c>
      <c r="K2629" t="inlineStr">
        <is>
          <t>Cellulitis of right lower limb</t>
        </is>
      </c>
      <c r="L2629" t="inlineStr">
        <is>
          <t>Skin</t>
        </is>
      </c>
      <c r="M2629" t="inlineStr">
        <is>
          <t>Home Health</t>
        </is>
      </c>
      <c r="N2629" t="inlineStr">
        <is>
          <t>Self-Pay</t>
        </is>
      </c>
      <c r="O2629" s="31" t="n">
        <v>20372.3</v>
      </c>
      <c r="P2629" t="inlineStr">
        <is>
          <t>N</t>
        </is>
      </c>
    </row>
    <row r="2630">
      <c r="A2630" t="inlineStr">
        <is>
          <t>ENC121494</t>
        </is>
      </c>
      <c r="B2630" t="inlineStr">
        <is>
          <t>PT13388</t>
        </is>
      </c>
      <c r="C2630" t="inlineStr">
        <is>
          <t>Inpatient</t>
        </is>
      </c>
      <c r="D2630" t="inlineStr">
        <is>
          <t>Bluestone Memorial Hospital</t>
        </is>
      </c>
      <c r="E2630" t="inlineStr">
        <is>
          <t>Orthopedics &amp; Spine</t>
        </is>
      </c>
      <c r="F2630" t="inlineStr">
        <is>
          <t>Orthopedics</t>
        </is>
      </c>
      <c r="G2630" s="29" t="n">
        <v>46012</v>
      </c>
      <c r="H2630" s="29" t="n">
        <v>46017</v>
      </c>
      <c r="I2630" s="30" t="n">
        <v>5</v>
      </c>
      <c r="J2630" t="inlineStr">
        <is>
          <t>S72.001A</t>
        </is>
      </c>
      <c r="K2630" t="inlineStr">
        <is>
          <t>Fracture of unspecified part of neck of right femur, initial encounter</t>
        </is>
      </c>
      <c r="L2630" t="inlineStr">
        <is>
          <t>Injury</t>
        </is>
      </c>
      <c r="M2630" t="inlineStr">
        <is>
          <t>Skilled Nursing Facility</t>
        </is>
      </c>
      <c r="N2630" t="inlineStr">
        <is>
          <t>Medicare</t>
        </is>
      </c>
      <c r="O2630" s="31" t="n">
        <v>62808.24</v>
      </c>
      <c r="P2630" t="inlineStr">
        <is>
          <t>N</t>
        </is>
      </c>
    </row>
    <row r="2631">
      <c r="A2631" t="inlineStr">
        <is>
          <t>ENC121496</t>
        </is>
      </c>
      <c r="B2631" t="inlineStr">
        <is>
          <t>PT10032</t>
        </is>
      </c>
      <c r="C2631" t="inlineStr">
        <is>
          <t>Emergency</t>
        </is>
      </c>
      <c r="D2631" t="inlineStr">
        <is>
          <t>Cedar Ridge Medical Center</t>
        </is>
      </c>
      <c r="E2631" t="inlineStr">
        <is>
          <t>Emergency Department</t>
        </is>
      </c>
      <c r="F2631" t="inlineStr">
        <is>
          <t>Emergency</t>
        </is>
      </c>
      <c r="G2631" s="29" t="n">
        <v>46012</v>
      </c>
      <c r="H2631" s="29" t="n">
        <v>46012</v>
      </c>
      <c r="I2631" s="30" t="n"/>
      <c r="J2631" t="inlineStr">
        <is>
          <t>J06.9</t>
        </is>
      </c>
      <c r="K2631" t="inlineStr">
        <is>
          <t>Acute upper respiratory infection, unspecified</t>
        </is>
      </c>
      <c r="L2631" t="inlineStr">
        <is>
          <t>Respiratory</t>
        </is>
      </c>
      <c r="M2631" t="inlineStr">
        <is>
          <t>Left Without Being Seen</t>
        </is>
      </c>
      <c r="N2631" t="inlineStr">
        <is>
          <t>State Medicaid</t>
        </is>
      </c>
      <c r="O2631" s="31" t="n">
        <v>1681.93</v>
      </c>
    </row>
    <row r="2632">
      <c r="A2632" t="inlineStr">
        <is>
          <t>ENC121498</t>
        </is>
      </c>
      <c r="B2632" t="inlineStr">
        <is>
          <t>PT10724</t>
        </is>
      </c>
      <c r="C2632" t="inlineStr">
        <is>
          <t>Emergency</t>
        </is>
      </c>
      <c r="D2632" t="inlineStr">
        <is>
          <t>Bluestone Memorial Hospital</t>
        </is>
      </c>
      <c r="E2632" t="inlineStr">
        <is>
          <t>Emergency Department</t>
        </is>
      </c>
      <c r="F2632" t="inlineStr">
        <is>
          <t>Emergency</t>
        </is>
      </c>
      <c r="G2632" s="29" t="n">
        <v>46012</v>
      </c>
      <c r="H2632" s="29" t="n">
        <v>46012</v>
      </c>
      <c r="I2632" s="30" t="n"/>
      <c r="J2632" t="inlineStr">
        <is>
          <t>S06.0X0A</t>
        </is>
      </c>
      <c r="K2632" t="inlineStr">
        <is>
          <t>Concussion without loss of consciousness, initial encounter</t>
        </is>
      </c>
      <c r="L2632" t="inlineStr">
        <is>
          <t>Injury</t>
        </is>
      </c>
      <c r="M2632" t="inlineStr">
        <is>
          <t>Home/Self-Care</t>
        </is>
      </c>
      <c r="N2632" t="inlineStr">
        <is>
          <t>Evergreen Mutual Insurance</t>
        </is>
      </c>
      <c r="O2632" s="31" t="n">
        <v>3144.77</v>
      </c>
    </row>
    <row r="2633">
      <c r="A2633" t="inlineStr">
        <is>
          <t>ENC121501</t>
        </is>
      </c>
      <c r="B2633" t="inlineStr">
        <is>
          <t>PT11648</t>
        </is>
      </c>
      <c r="C2633" t="inlineStr">
        <is>
          <t>Inpatient</t>
        </is>
      </c>
      <c r="D2633" t="inlineStr">
        <is>
          <t>Bluestone Memorial Hospital</t>
        </is>
      </c>
      <c r="E2633" t="inlineStr">
        <is>
          <t>Medical-Surgical 5 East</t>
        </is>
      </c>
      <c r="F2633" t="inlineStr">
        <is>
          <t>Medicine</t>
        </is>
      </c>
      <c r="G2633" s="29" t="n">
        <v>46012</v>
      </c>
      <c r="H2633" s="29" t="n">
        <v>46014</v>
      </c>
      <c r="I2633" s="30" t="n">
        <v>2</v>
      </c>
      <c r="J2633" t="inlineStr">
        <is>
          <t>J18.9</t>
        </is>
      </c>
      <c r="K2633" t="inlineStr">
        <is>
          <t>Pneumonia, unspecified organism</t>
        </is>
      </c>
      <c r="L2633" t="inlineStr">
        <is>
          <t>Respiratory</t>
        </is>
      </c>
      <c r="M2633" t="inlineStr">
        <is>
          <t>Left AMA</t>
        </is>
      </c>
      <c r="N2633" t="inlineStr">
        <is>
          <t>Evergreen Mutual Insurance</t>
        </is>
      </c>
      <c r="O2633" s="31" t="n">
        <v>8131.82</v>
      </c>
      <c r="P2633" t="inlineStr">
        <is>
          <t>N</t>
        </is>
      </c>
    </row>
    <row r="2634">
      <c r="A2634" t="inlineStr">
        <is>
          <t>ENC121505</t>
        </is>
      </c>
      <c r="B2634" t="inlineStr">
        <is>
          <t>PT11572</t>
        </is>
      </c>
      <c r="C2634" t="inlineStr">
        <is>
          <t>Emergency</t>
        </is>
      </c>
      <c r="D2634" t="inlineStr">
        <is>
          <t>Bluestone Memorial Hospital</t>
        </is>
      </c>
      <c r="E2634" t="inlineStr">
        <is>
          <t>Emergency Department</t>
        </is>
      </c>
      <c r="F2634" t="inlineStr">
        <is>
          <t>Emergency</t>
        </is>
      </c>
      <c r="G2634" s="29" t="n">
        <v>46012</v>
      </c>
      <c r="H2634" s="29" t="n">
        <v>46012</v>
      </c>
      <c r="I2634" s="30" t="n"/>
      <c r="J2634" t="inlineStr">
        <is>
          <t>M54.50</t>
        </is>
      </c>
      <c r="K2634" t="inlineStr">
        <is>
          <t>Low back pain, unspecified</t>
        </is>
      </c>
      <c r="L2634" t="inlineStr">
        <is>
          <t>Musculoskeletal</t>
        </is>
      </c>
      <c r="M2634" t="inlineStr">
        <is>
          <t>Home/Self-Care</t>
        </is>
      </c>
      <c r="N2634" t="inlineStr">
        <is>
          <t>Workers' Compensation</t>
        </is>
      </c>
      <c r="O2634" s="31" t="n">
        <v>1920.42</v>
      </c>
    </row>
    <row r="2635">
      <c r="A2635" t="inlineStr">
        <is>
          <t>ENC121513</t>
        </is>
      </c>
      <c r="B2635" t="inlineStr">
        <is>
          <t>PT12452</t>
        </is>
      </c>
      <c r="C2635" t="inlineStr">
        <is>
          <t>Outpatient</t>
        </is>
      </c>
      <c r="D2635" t="inlineStr">
        <is>
          <t>Bluestone Outpatient Pavilion</t>
        </is>
      </c>
      <c r="E2635" t="inlineStr">
        <is>
          <t>Primary Care Clinic</t>
        </is>
      </c>
      <c r="F2635" t="inlineStr">
        <is>
          <t>Ambulatory</t>
        </is>
      </c>
      <c r="G2635" s="29" t="n">
        <v>46013</v>
      </c>
      <c r="H2635" s="29" t="n">
        <v>46013</v>
      </c>
      <c r="I2635" s="30" t="n"/>
      <c r="J2635" t="inlineStr">
        <is>
          <t>Z00.00</t>
        </is>
      </c>
      <c r="K2635" t="inlineStr">
        <is>
          <t>Encounter for general adult medical examination without abnormal findings</t>
        </is>
      </c>
      <c r="L2635" t="inlineStr">
        <is>
          <t>Factors Influencing Health</t>
        </is>
      </c>
      <c r="M2635" t="inlineStr">
        <is>
          <t>Home/Self-Care</t>
        </is>
      </c>
      <c r="N2635" t="inlineStr">
        <is>
          <t>State Medicaid</t>
        </is>
      </c>
      <c r="O2635" s="31" t="n">
        <v>235.66</v>
      </c>
    </row>
    <row r="2636">
      <c r="A2636" t="inlineStr">
        <is>
          <t>ENC121518</t>
        </is>
      </c>
      <c r="B2636" t="inlineStr">
        <is>
          <t>PT13132</t>
        </is>
      </c>
      <c r="C2636" t="inlineStr">
        <is>
          <t>Outpatient</t>
        </is>
      </c>
      <c r="D2636" t="inlineStr">
        <is>
          <t>Bluestone Outpatient Pavilion</t>
        </is>
      </c>
      <c r="E2636" t="inlineStr">
        <is>
          <t>Infusion &amp; Oncology Clinic</t>
        </is>
      </c>
      <c r="F2636" t="inlineStr">
        <is>
          <t>Oncology</t>
        </is>
      </c>
      <c r="G2636" s="29" t="n">
        <v>46013</v>
      </c>
      <c r="H2636" s="29" t="n">
        <v>46013</v>
      </c>
      <c r="I2636" s="30" t="n"/>
      <c r="J2636" t="inlineStr">
        <is>
          <t>Z51.11</t>
        </is>
      </c>
      <c r="K2636" t="inlineStr">
        <is>
          <t>Encounter for antineoplastic chemotherapy</t>
        </is>
      </c>
      <c r="L2636" t="inlineStr">
        <is>
          <t>Factors Influencing Health</t>
        </is>
      </c>
      <c r="M2636" t="inlineStr">
        <is>
          <t>Home/Self-Care</t>
        </is>
      </c>
      <c r="N2636" t="inlineStr">
        <is>
          <t>Keystone Health Partners</t>
        </is>
      </c>
      <c r="O2636" s="31" t="n">
        <v>7258.3</v>
      </c>
    </row>
    <row r="2637">
      <c r="A2637" t="inlineStr">
        <is>
          <t>ENC121519</t>
        </is>
      </c>
      <c r="B2637" t="inlineStr">
        <is>
          <t>PT12828</t>
        </is>
      </c>
      <c r="C2637" t="inlineStr">
        <is>
          <t>Inpatient</t>
        </is>
      </c>
      <c r="D2637" t="inlineStr">
        <is>
          <t>Bluestone Memorial Hospital</t>
        </is>
      </c>
      <c r="E2637" t="inlineStr">
        <is>
          <t>Medical-Surgical 5 East</t>
        </is>
      </c>
      <c r="F2637" t="inlineStr">
        <is>
          <t>Medicine</t>
        </is>
      </c>
      <c r="G2637" s="29" t="n">
        <v>46013</v>
      </c>
      <c r="H2637" s="29" t="n">
        <v>46016</v>
      </c>
      <c r="I2637" s="30" t="n">
        <v>3</v>
      </c>
      <c r="J2637" t="inlineStr">
        <is>
          <t>E86.0</t>
        </is>
      </c>
      <c r="K2637" t="inlineStr">
        <is>
          <t>Dehydration</t>
        </is>
      </c>
      <c r="L2637" t="inlineStr">
        <is>
          <t>Endocrine</t>
        </is>
      </c>
      <c r="M2637" t="inlineStr">
        <is>
          <t>Home/Self-Care</t>
        </is>
      </c>
      <c r="N2637" t="inlineStr">
        <is>
          <t>Silverline Medicare Advantage</t>
        </is>
      </c>
      <c r="O2637" s="31" t="n">
        <v>11846.11</v>
      </c>
      <c r="P2637" t="inlineStr">
        <is>
          <t>N</t>
        </is>
      </c>
    </row>
    <row r="2638">
      <c r="A2638" t="inlineStr">
        <is>
          <t>ENC121520</t>
        </is>
      </c>
      <c r="B2638" t="inlineStr">
        <is>
          <t>PT13140</t>
        </is>
      </c>
      <c r="C2638" t="inlineStr">
        <is>
          <t>Emergency</t>
        </is>
      </c>
      <c r="D2638" t="inlineStr">
        <is>
          <t>Ashby Falls Community Hospital</t>
        </is>
      </c>
      <c r="E2638" t="inlineStr">
        <is>
          <t>Emergency Department</t>
        </is>
      </c>
      <c r="F2638" t="inlineStr">
        <is>
          <t>Emergency</t>
        </is>
      </c>
      <c r="G2638" s="29" t="n">
        <v>46013</v>
      </c>
      <c r="H2638" s="29" t="n">
        <v>46013</v>
      </c>
      <c r="I2638" s="30" t="n"/>
      <c r="J2638" t="inlineStr">
        <is>
          <t>J06.9</t>
        </is>
      </c>
      <c r="K2638" t="inlineStr">
        <is>
          <t>Acute upper respiratory infection, unspecified</t>
        </is>
      </c>
      <c r="L2638" t="inlineStr">
        <is>
          <t>Respiratory</t>
        </is>
      </c>
      <c r="M2638" t="inlineStr">
        <is>
          <t>Home/Self-Care</t>
        </is>
      </c>
      <c r="N2638" t="inlineStr">
        <is>
          <t>Keystone Health Partners</t>
        </is>
      </c>
      <c r="O2638" s="31" t="n">
        <v>1293.38</v>
      </c>
    </row>
    <row r="2639">
      <c r="A2639" t="inlineStr">
        <is>
          <t>ENC121526</t>
        </is>
      </c>
      <c r="B2639" t="inlineStr">
        <is>
          <t>PT11720</t>
        </is>
      </c>
      <c r="C2639" t="inlineStr">
        <is>
          <t>Inpatient</t>
        </is>
      </c>
      <c r="D2639" t="inlineStr">
        <is>
          <t>Cedar Ridge Medical Center</t>
        </is>
      </c>
      <c r="E2639" t="inlineStr">
        <is>
          <t>Orthopedics</t>
        </is>
      </c>
      <c r="F2639" t="inlineStr">
        <is>
          <t>Orthopedics</t>
        </is>
      </c>
      <c r="G2639" s="29" t="n">
        <v>46013</v>
      </c>
      <c r="H2639" s="29" t="n">
        <v>46018</v>
      </c>
      <c r="I2639" s="30" t="n">
        <v>5</v>
      </c>
      <c r="J2639" t="inlineStr">
        <is>
          <t>S72.001A</t>
        </is>
      </c>
      <c r="K2639" t="inlineStr">
        <is>
          <t>Fracture of unspecified part of neck of right femur, initial encounter</t>
        </is>
      </c>
      <c r="L2639" t="inlineStr">
        <is>
          <t>Injury</t>
        </is>
      </c>
      <c r="M2639" t="inlineStr">
        <is>
          <t>Skilled Nursing Facility</t>
        </is>
      </c>
      <c r="N2639" t="inlineStr">
        <is>
          <t>Evergreen Mutual Insurance</t>
        </is>
      </c>
      <c r="O2639" s="31" t="n">
        <v>60033.52</v>
      </c>
      <c r="P2639" t="inlineStr">
        <is>
          <t>N</t>
        </is>
      </c>
    </row>
    <row r="2640">
      <c r="A2640" t="inlineStr">
        <is>
          <t>ENC121527</t>
        </is>
      </c>
      <c r="B2640" t="inlineStr">
        <is>
          <t>PT11088</t>
        </is>
      </c>
      <c r="C2640" t="inlineStr">
        <is>
          <t>Outpatient</t>
        </is>
      </c>
      <c r="D2640" t="inlineStr">
        <is>
          <t>Bluestone Outpatient Pavilion</t>
        </is>
      </c>
      <c r="E2640" t="inlineStr">
        <is>
          <t>Primary Care Clinic</t>
        </is>
      </c>
      <c r="F2640" t="inlineStr">
        <is>
          <t>Ambulatory</t>
        </is>
      </c>
      <c r="G2640" s="29" t="n">
        <v>46013</v>
      </c>
      <c r="H2640" s="29" t="n">
        <v>46013</v>
      </c>
      <c r="I2640" s="30" t="n"/>
      <c r="J2640" t="inlineStr">
        <is>
          <t>M54.50</t>
        </is>
      </c>
      <c r="K2640" t="inlineStr">
        <is>
          <t>Low back pain, unspecified</t>
        </is>
      </c>
      <c r="L2640" t="inlineStr">
        <is>
          <t>Musculoskeletal</t>
        </is>
      </c>
      <c r="M2640" t="inlineStr">
        <is>
          <t>Home/Self-Care</t>
        </is>
      </c>
      <c r="N2640" t="inlineStr">
        <is>
          <t>Keystone Health Partners</t>
        </is>
      </c>
      <c r="O2640" s="31" t="n">
        <v>489.17</v>
      </c>
    </row>
    <row r="2641">
      <c r="A2641" t="inlineStr">
        <is>
          <t>ENC121528</t>
        </is>
      </c>
      <c r="B2641" t="inlineStr">
        <is>
          <t>PT12352</t>
        </is>
      </c>
      <c r="C2641" t="inlineStr">
        <is>
          <t>Outpatient</t>
        </is>
      </c>
      <c r="D2641" t="inlineStr">
        <is>
          <t>Bluestone Outpatient Pavilion</t>
        </is>
      </c>
      <c r="E2641" t="inlineStr">
        <is>
          <t>Primary Care Clinic</t>
        </is>
      </c>
      <c r="F2641" t="inlineStr">
        <is>
          <t>Ambulatory</t>
        </is>
      </c>
      <c r="G2641" s="29" t="n">
        <v>46013</v>
      </c>
      <c r="H2641" s="29" t="n">
        <v>46013</v>
      </c>
      <c r="I2641" s="30" t="n"/>
      <c r="J2641" t="inlineStr">
        <is>
          <t>E78.5</t>
        </is>
      </c>
      <c r="K2641" t="inlineStr">
        <is>
          <t>Hyperlipidemia, unspecified</t>
        </is>
      </c>
      <c r="L2641" t="inlineStr">
        <is>
          <t>Endocrine</t>
        </is>
      </c>
      <c r="M2641" t="inlineStr">
        <is>
          <t>Home/Self-Care</t>
        </is>
      </c>
      <c r="N2641" t="inlineStr">
        <is>
          <t>Evergreen Mutual Insurance</t>
        </is>
      </c>
      <c r="O2641" s="31" t="n">
        <v>480.78</v>
      </c>
    </row>
    <row r="2642">
      <c r="A2642" t="inlineStr">
        <is>
          <t>ENC121531</t>
        </is>
      </c>
      <c r="B2642" t="inlineStr">
        <is>
          <t>PT12884</t>
        </is>
      </c>
      <c r="C2642" t="inlineStr">
        <is>
          <t>Emergency</t>
        </is>
      </c>
      <c r="D2642" t="inlineStr">
        <is>
          <t>Bluestone Memorial Hospital</t>
        </is>
      </c>
      <c r="E2642" t="inlineStr">
        <is>
          <t>Emergency Department</t>
        </is>
      </c>
      <c r="F2642" t="inlineStr">
        <is>
          <t>Emergency</t>
        </is>
      </c>
      <c r="G2642" s="29" t="n">
        <v>46013</v>
      </c>
      <c r="H2642" s="29" t="n">
        <v>46013</v>
      </c>
      <c r="I2642" s="30" t="n"/>
      <c r="J2642" t="inlineStr">
        <is>
          <t>E11.65</t>
        </is>
      </c>
      <c r="K2642" t="inlineStr">
        <is>
          <t>Type 2 diabetes mellitus with hyperglycemia</t>
        </is>
      </c>
      <c r="L2642" t="inlineStr">
        <is>
          <t>Endocrine</t>
        </is>
      </c>
      <c r="M2642" t="inlineStr">
        <is>
          <t>Home/Self-Care</t>
        </is>
      </c>
      <c r="N2642" t="inlineStr">
        <is>
          <t>Silverline Medicare Advantage</t>
        </is>
      </c>
      <c r="O2642" s="31" t="n">
        <v>2180.74</v>
      </c>
    </row>
    <row r="2643">
      <c r="A2643" t="inlineStr">
        <is>
          <t>ENC121534</t>
        </is>
      </c>
      <c r="B2643" t="inlineStr">
        <is>
          <t>PT12604</t>
        </is>
      </c>
      <c r="C2643" t="inlineStr">
        <is>
          <t>Inpatient</t>
        </is>
      </c>
      <c r="D2643" t="inlineStr">
        <is>
          <t>Bluestone Memorial Hospital</t>
        </is>
      </c>
      <c r="E2643" t="inlineStr">
        <is>
          <t>Medical-Surgical 4 West</t>
        </is>
      </c>
      <c r="F2643" t="inlineStr">
        <is>
          <t>Medicine</t>
        </is>
      </c>
      <c r="G2643" s="29" t="n">
        <v>46013</v>
      </c>
      <c r="H2643" s="29" t="n">
        <v>46014</v>
      </c>
      <c r="I2643" s="30" t="n">
        <v>1</v>
      </c>
      <c r="J2643" t="inlineStr">
        <is>
          <t>K80.20</t>
        </is>
      </c>
      <c r="K2643" t="inlineStr">
        <is>
          <t>Calculus of gallbladder without cholecystitis without obstruction</t>
        </is>
      </c>
      <c r="L2643" t="inlineStr">
        <is>
          <t>Digestive</t>
        </is>
      </c>
      <c r="M2643" t="inlineStr">
        <is>
          <t>Home/Self-Care</t>
        </is>
      </c>
      <c r="N2643" t="inlineStr">
        <is>
          <t>Keystone Health Partners</t>
        </is>
      </c>
      <c r="O2643" s="31" t="n">
        <v>33420.44</v>
      </c>
      <c r="P2643" t="inlineStr">
        <is>
          <t>N</t>
        </is>
      </c>
    </row>
    <row r="2644">
      <c r="A2644" t="inlineStr">
        <is>
          <t>ENC121537</t>
        </is>
      </c>
      <c r="B2644" t="inlineStr">
        <is>
          <t>PT11436</t>
        </is>
      </c>
      <c r="C2644" t="inlineStr">
        <is>
          <t>Emergency</t>
        </is>
      </c>
      <c r="D2644" t="inlineStr">
        <is>
          <t>Bluestone Memorial Hospital</t>
        </is>
      </c>
      <c r="E2644" t="inlineStr">
        <is>
          <t>Emergency Department</t>
        </is>
      </c>
      <c r="F2644" t="inlineStr">
        <is>
          <t>Emergency</t>
        </is>
      </c>
      <c r="G2644" s="29" t="n">
        <v>46013</v>
      </c>
      <c r="H2644" s="29" t="n">
        <v>46013</v>
      </c>
      <c r="I2644" s="30" t="n"/>
      <c r="J2644" t="inlineStr">
        <is>
          <t>E11.65</t>
        </is>
      </c>
      <c r="K2644" t="inlineStr">
        <is>
          <t>Type 2 diabetes mellitus with hyperglycemia</t>
        </is>
      </c>
      <c r="L2644" t="inlineStr">
        <is>
          <t>Endocrine</t>
        </is>
      </c>
      <c r="M2644" t="inlineStr">
        <is>
          <t>Home/Self-Care</t>
        </is>
      </c>
      <c r="N2644" t="inlineStr">
        <is>
          <t>Silverline Medicare Advantage</t>
        </is>
      </c>
      <c r="O2644" s="31" t="n">
        <v>1642.78</v>
      </c>
    </row>
    <row r="2645">
      <c r="A2645" t="inlineStr">
        <is>
          <t>ENC121538</t>
        </is>
      </c>
      <c r="B2645" t="inlineStr">
        <is>
          <t>PT10472</t>
        </is>
      </c>
      <c r="C2645" t="inlineStr">
        <is>
          <t>Inpatient</t>
        </is>
      </c>
      <c r="D2645" t="inlineStr">
        <is>
          <t>Bluestone Memorial Hospital</t>
        </is>
      </c>
      <c r="E2645" t="inlineStr">
        <is>
          <t>Medical-Surgical 4 West</t>
        </is>
      </c>
      <c r="F2645" t="inlineStr">
        <is>
          <t>Medicine</t>
        </is>
      </c>
      <c r="G2645" s="29" t="n">
        <v>46013</v>
      </c>
      <c r="H2645" s="29" t="n">
        <v>46016</v>
      </c>
      <c r="I2645" s="30" t="n">
        <v>3</v>
      </c>
      <c r="J2645" t="inlineStr">
        <is>
          <t>J44.1</t>
        </is>
      </c>
      <c r="K2645" t="inlineStr">
        <is>
          <t>Chronic obstructive pulmonary disease with (acute) exacerbation</t>
        </is>
      </c>
      <c r="L2645" t="inlineStr">
        <is>
          <t>Respiratory</t>
        </is>
      </c>
      <c r="M2645" t="inlineStr">
        <is>
          <t>Home/Self-Care</t>
        </is>
      </c>
      <c r="N2645" t="inlineStr">
        <is>
          <t>Medicare</t>
        </is>
      </c>
      <c r="O2645" s="31" t="n">
        <v>12027.07</v>
      </c>
      <c r="P2645" t="inlineStr">
        <is>
          <t>N</t>
        </is>
      </c>
    </row>
    <row r="2646">
      <c r="A2646" t="inlineStr">
        <is>
          <t>ENC121539</t>
        </is>
      </c>
      <c r="B2646" t="inlineStr">
        <is>
          <t>PT10124</t>
        </is>
      </c>
      <c r="C2646" t="inlineStr">
        <is>
          <t>Emergency</t>
        </is>
      </c>
      <c r="D2646" t="inlineStr">
        <is>
          <t>Bluestone Memorial Hospital</t>
        </is>
      </c>
      <c r="E2646" t="inlineStr">
        <is>
          <t>Emergency Department</t>
        </is>
      </c>
      <c r="F2646" t="inlineStr">
        <is>
          <t>Emergency</t>
        </is>
      </c>
      <c r="G2646" s="29" t="n">
        <v>46013</v>
      </c>
      <c r="H2646" s="29" t="n">
        <v>46013</v>
      </c>
      <c r="I2646" s="30" t="n"/>
      <c r="J2646" t="inlineStr">
        <is>
          <t>H66.90</t>
        </is>
      </c>
      <c r="K2646" t="inlineStr">
        <is>
          <t>Otitis media, unspecified, unspecified ear</t>
        </is>
      </c>
      <c r="L2646" t="inlineStr">
        <is>
          <t>Ear</t>
        </is>
      </c>
      <c r="M2646" t="inlineStr">
        <is>
          <t>Home/Self-Care</t>
        </is>
      </c>
      <c r="N2646" t="inlineStr">
        <is>
          <t>State Medicaid</t>
        </is>
      </c>
      <c r="O2646" s="31" t="n">
        <v>915.12</v>
      </c>
    </row>
    <row r="2647">
      <c r="A2647" t="inlineStr">
        <is>
          <t>ENC121544</t>
        </is>
      </c>
      <c r="B2647" t="inlineStr">
        <is>
          <t>PT12684</t>
        </is>
      </c>
      <c r="C2647" t="inlineStr">
        <is>
          <t>Outpatient</t>
        </is>
      </c>
      <c r="D2647" t="inlineStr">
        <is>
          <t>Bluestone Outpatient Pavilion</t>
        </is>
      </c>
      <c r="E2647" t="inlineStr">
        <is>
          <t>Primary Care Clinic</t>
        </is>
      </c>
      <c r="F2647" t="inlineStr">
        <is>
          <t>Ambulatory</t>
        </is>
      </c>
      <c r="G2647" s="29" t="n">
        <v>46013</v>
      </c>
      <c r="H2647" s="29" t="n">
        <v>46013</v>
      </c>
      <c r="I2647" s="30" t="n"/>
      <c r="J2647" t="inlineStr">
        <is>
          <t>E78.5</t>
        </is>
      </c>
      <c r="K2647" t="inlineStr">
        <is>
          <t>Hyperlipidemia, unspecified</t>
        </is>
      </c>
      <c r="L2647" t="inlineStr">
        <is>
          <t>Endocrine</t>
        </is>
      </c>
      <c r="M2647" t="inlineStr">
        <is>
          <t>Home/Self-Care</t>
        </is>
      </c>
      <c r="N2647" t="inlineStr">
        <is>
          <t>Summit Choice PPO</t>
        </is>
      </c>
      <c r="O2647" s="31" t="n">
        <v>376.38</v>
      </c>
    </row>
    <row r="2648">
      <c r="A2648" t="inlineStr">
        <is>
          <t>ENC121546</t>
        </is>
      </c>
      <c r="B2648" t="inlineStr">
        <is>
          <t>PT12108</t>
        </is>
      </c>
      <c r="C2648" t="inlineStr">
        <is>
          <t>Outpatient</t>
        </is>
      </c>
      <c r="D2648" t="inlineStr">
        <is>
          <t>Bluestone Outpatient Pavilion</t>
        </is>
      </c>
      <c r="E2648" t="inlineStr">
        <is>
          <t>Primary Care Clinic</t>
        </is>
      </c>
      <c r="F2648" t="inlineStr">
        <is>
          <t>Ambulatory</t>
        </is>
      </c>
      <c r="G2648" s="29" t="n">
        <v>46013</v>
      </c>
      <c r="H2648" s="29" t="n">
        <v>46013</v>
      </c>
      <c r="I2648" s="30" t="n"/>
      <c r="J2648" t="inlineStr">
        <is>
          <t>Z23</t>
        </is>
      </c>
      <c r="K2648" t="inlineStr">
        <is>
          <t>Encounter for immunization</t>
        </is>
      </c>
      <c r="L2648" t="inlineStr">
        <is>
          <t>Factors Influencing Health</t>
        </is>
      </c>
      <c r="M2648" t="inlineStr">
        <is>
          <t>Home/Self-Care</t>
        </is>
      </c>
      <c r="N2648" t="inlineStr">
        <is>
          <t>Keystone Health Partners</t>
        </is>
      </c>
      <c r="O2648" s="31" t="n">
        <v>108.9</v>
      </c>
    </row>
    <row r="2649">
      <c r="A2649" t="inlineStr">
        <is>
          <t>ENC121549</t>
        </is>
      </c>
      <c r="B2649" t="inlineStr">
        <is>
          <t>PT13280</t>
        </is>
      </c>
      <c r="C2649" t="inlineStr">
        <is>
          <t>Inpatient</t>
        </is>
      </c>
      <c r="D2649" t="inlineStr">
        <is>
          <t>Cedar Ridge Medical Center</t>
        </is>
      </c>
      <c r="E2649" t="inlineStr">
        <is>
          <t>Medical-Surgical</t>
        </is>
      </c>
      <c r="F2649" t="inlineStr">
        <is>
          <t>Medicine</t>
        </is>
      </c>
      <c r="G2649" s="29" t="n">
        <v>46013</v>
      </c>
      <c r="H2649" s="29" t="n">
        <v>46016</v>
      </c>
      <c r="I2649" s="30" t="n">
        <v>3</v>
      </c>
      <c r="J2649" t="inlineStr">
        <is>
          <t>K80.20</t>
        </is>
      </c>
      <c r="K2649" t="inlineStr">
        <is>
          <t>Calculus of gallbladder without cholecystitis without obstruction</t>
        </is>
      </c>
      <c r="L2649" t="inlineStr">
        <is>
          <t>Digestive</t>
        </is>
      </c>
      <c r="M2649" t="inlineStr">
        <is>
          <t>Home/Self-Care</t>
        </is>
      </c>
      <c r="N2649" t="inlineStr">
        <is>
          <t>Summit Choice PPO</t>
        </is>
      </c>
      <c r="O2649" s="31" t="n">
        <v>38016.04</v>
      </c>
      <c r="P2649" t="inlineStr">
        <is>
          <t>N</t>
        </is>
      </c>
    </row>
    <row r="2650">
      <c r="A2650" t="inlineStr">
        <is>
          <t>ENC121553</t>
        </is>
      </c>
      <c r="B2650" t="inlineStr">
        <is>
          <t>PT12732</t>
        </is>
      </c>
      <c r="C2650" t="inlineStr">
        <is>
          <t>Emergency</t>
        </is>
      </c>
      <c r="D2650" t="inlineStr">
        <is>
          <t>Cedar Ridge Medical Center</t>
        </is>
      </c>
      <c r="E2650" t="inlineStr">
        <is>
          <t>Emergency Department</t>
        </is>
      </c>
      <c r="F2650" t="inlineStr">
        <is>
          <t>Emergency</t>
        </is>
      </c>
      <c r="G2650" s="29" t="n">
        <v>46013</v>
      </c>
      <c r="H2650" s="29" t="n">
        <v>46013</v>
      </c>
      <c r="I2650" s="30" t="n"/>
      <c r="J2650" t="inlineStr">
        <is>
          <t>I10</t>
        </is>
      </c>
      <c r="K2650" t="inlineStr">
        <is>
          <t>Essential (primary) hypertension</t>
        </is>
      </c>
      <c r="L2650" t="inlineStr">
        <is>
          <t>Circulatory</t>
        </is>
      </c>
      <c r="M2650" t="inlineStr">
        <is>
          <t>Home/Self-Care</t>
        </is>
      </c>
      <c r="N2650" t="inlineStr">
        <is>
          <t>Silverline Medicare Advantage</t>
        </is>
      </c>
      <c r="O2650" s="31" t="n">
        <v>8593.17</v>
      </c>
    </row>
    <row r="2651">
      <c r="A2651" t="inlineStr">
        <is>
          <t>ENC121556</t>
        </is>
      </c>
      <c r="B2651" t="inlineStr">
        <is>
          <t>PT11736</t>
        </is>
      </c>
      <c r="C2651" t="inlineStr">
        <is>
          <t>Inpatient</t>
        </is>
      </c>
      <c r="D2651" t="inlineStr">
        <is>
          <t>Bluestone Memorial Hospital</t>
        </is>
      </c>
      <c r="E2651" t="inlineStr">
        <is>
          <t>Labor &amp; Delivery</t>
        </is>
      </c>
      <c r="F2651" t="inlineStr">
        <is>
          <t>Women &amp; Children</t>
        </is>
      </c>
      <c r="G2651" s="29" t="n">
        <v>46013</v>
      </c>
      <c r="H2651" s="29" t="n">
        <v>46015</v>
      </c>
      <c r="I2651" s="30" t="n">
        <v>2</v>
      </c>
      <c r="J2651" t="inlineStr">
        <is>
          <t>O80</t>
        </is>
      </c>
      <c r="K2651" t="inlineStr">
        <is>
          <t>Encounter for full-term uncomplicated delivery</t>
        </is>
      </c>
      <c r="L2651" t="inlineStr">
        <is>
          <t>Pregnancy</t>
        </is>
      </c>
      <c r="M2651" t="inlineStr">
        <is>
          <t>Home/Self-Care</t>
        </is>
      </c>
      <c r="N2651" t="inlineStr">
        <is>
          <t>Keystone Health Partners</t>
        </is>
      </c>
      <c r="O2651" s="31" t="n">
        <v>18703.78</v>
      </c>
      <c r="P2651" t="inlineStr">
        <is>
          <t>N</t>
        </is>
      </c>
    </row>
    <row r="2652">
      <c r="A2652" t="inlineStr">
        <is>
          <t>ENC121558</t>
        </is>
      </c>
      <c r="B2652" t="inlineStr">
        <is>
          <t>PT12420</t>
        </is>
      </c>
      <c r="C2652" t="inlineStr">
        <is>
          <t>Emergency</t>
        </is>
      </c>
      <c r="D2652" t="inlineStr">
        <is>
          <t>Bluestone Memorial Hospital</t>
        </is>
      </c>
      <c r="E2652" t="inlineStr">
        <is>
          <t>Emergency Department</t>
        </is>
      </c>
      <c r="F2652" t="inlineStr">
        <is>
          <t>Emergency</t>
        </is>
      </c>
      <c r="G2652" s="29" t="n">
        <v>46013</v>
      </c>
      <c r="H2652" s="29" t="n">
        <v>46013</v>
      </c>
      <c r="I2652" s="30" t="n"/>
      <c r="J2652" t="inlineStr">
        <is>
          <t>E86.0</t>
        </is>
      </c>
      <c r="K2652" t="inlineStr">
        <is>
          <t>Dehydration</t>
        </is>
      </c>
      <c r="L2652" t="inlineStr">
        <is>
          <t>Endocrine</t>
        </is>
      </c>
      <c r="M2652" t="inlineStr">
        <is>
          <t>Home/Self-Care</t>
        </is>
      </c>
      <c r="N2652" t="inlineStr">
        <is>
          <t>Evergreen Mutual Insurance</t>
        </is>
      </c>
      <c r="O2652" s="31" t="n">
        <v>5269.13</v>
      </c>
    </row>
    <row r="2653">
      <c r="A2653" t="inlineStr">
        <is>
          <t>ENC121559</t>
        </is>
      </c>
      <c r="B2653" t="inlineStr">
        <is>
          <t>PT13568</t>
        </is>
      </c>
      <c r="C2653" t="inlineStr">
        <is>
          <t>Observation</t>
        </is>
      </c>
      <c r="D2653" t="inlineStr">
        <is>
          <t>Bluestone Memorial Hospital</t>
        </is>
      </c>
      <c r="E2653" t="inlineStr">
        <is>
          <t>Observation Unit</t>
        </is>
      </c>
      <c r="F2653" t="inlineStr">
        <is>
          <t>Medicine</t>
        </is>
      </c>
      <c r="G2653" s="29" t="n">
        <v>46014</v>
      </c>
      <c r="H2653" s="29" t="n">
        <v>46014</v>
      </c>
      <c r="I2653" s="30" t="n">
        <v>0</v>
      </c>
      <c r="J2653" t="inlineStr">
        <is>
          <t>G40.909</t>
        </is>
      </c>
      <c r="K2653" t="inlineStr">
        <is>
          <t>Epilepsy, unspecified, not intractable, without status epilepticus</t>
        </is>
      </c>
      <c r="L2653" t="inlineStr">
        <is>
          <t>Nervous System</t>
        </is>
      </c>
      <c r="M2653" t="inlineStr">
        <is>
          <t>Home/Self-Care</t>
        </is>
      </c>
      <c r="N2653" t="inlineStr">
        <is>
          <t>Self-Pay</t>
        </is>
      </c>
      <c r="O2653" s="31" t="n">
        <v>6252.03</v>
      </c>
    </row>
    <row r="2654">
      <c r="A2654" t="inlineStr">
        <is>
          <t>ENC121564</t>
        </is>
      </c>
      <c r="B2654" t="inlineStr">
        <is>
          <t>PT11248</t>
        </is>
      </c>
      <c r="C2654" t="inlineStr">
        <is>
          <t>Outpatient</t>
        </is>
      </c>
      <c r="D2654" t="inlineStr">
        <is>
          <t>Bluestone Outpatient Pavilion</t>
        </is>
      </c>
      <c r="E2654" t="inlineStr">
        <is>
          <t>Endocrinology &amp; Diabetes Clinic</t>
        </is>
      </c>
      <c r="F2654" t="inlineStr">
        <is>
          <t>Ambulatory</t>
        </is>
      </c>
      <c r="G2654" s="29" t="n">
        <v>46014</v>
      </c>
      <c r="H2654" s="29" t="n">
        <v>46014</v>
      </c>
      <c r="I2654" s="30" t="n"/>
      <c r="J2654" t="inlineStr">
        <is>
          <t>E11.9</t>
        </is>
      </c>
      <c r="K2654" t="inlineStr">
        <is>
          <t>Type 2 diabetes mellitus without complications</t>
        </is>
      </c>
      <c r="L2654" t="inlineStr">
        <is>
          <t>Endocrine</t>
        </is>
      </c>
      <c r="M2654" t="inlineStr">
        <is>
          <t>Home/Self-Care</t>
        </is>
      </c>
      <c r="N2654" t="inlineStr">
        <is>
          <t>Summit Choice PPO</t>
        </is>
      </c>
      <c r="O2654" s="31" t="n">
        <v>186.33</v>
      </c>
    </row>
    <row r="2655">
      <c r="A2655" t="inlineStr">
        <is>
          <t>ENC121565</t>
        </is>
      </c>
      <c r="B2655" t="inlineStr">
        <is>
          <t>PT11412</t>
        </is>
      </c>
      <c r="C2655" t="inlineStr">
        <is>
          <t>Outpatient</t>
        </is>
      </c>
      <c r="D2655" t="inlineStr">
        <is>
          <t>Bluestone Outpatient Pavilion</t>
        </is>
      </c>
      <c r="E2655" t="inlineStr">
        <is>
          <t>Primary Care Clinic</t>
        </is>
      </c>
      <c r="F2655" t="inlineStr">
        <is>
          <t>Ambulatory</t>
        </is>
      </c>
      <c r="G2655" s="29" t="n">
        <v>46014</v>
      </c>
      <c r="H2655" s="29" t="n">
        <v>46014</v>
      </c>
      <c r="I2655" s="30" t="n"/>
      <c r="J2655" t="inlineStr">
        <is>
          <t>I10</t>
        </is>
      </c>
      <c r="K2655" t="inlineStr">
        <is>
          <t>Essential (primary) hypertension</t>
        </is>
      </c>
      <c r="L2655" t="inlineStr">
        <is>
          <t>Circulatory</t>
        </is>
      </c>
      <c r="M2655" t="inlineStr">
        <is>
          <t>Home/Self-Care</t>
        </is>
      </c>
      <c r="N2655" t="inlineStr">
        <is>
          <t>Medicare</t>
        </is>
      </c>
      <c r="O2655" s="31" t="n">
        <v>148.35</v>
      </c>
    </row>
    <row r="2656">
      <c r="A2656" t="inlineStr">
        <is>
          <t>ENC121566</t>
        </is>
      </c>
      <c r="B2656" t="inlineStr">
        <is>
          <t>PT11568</t>
        </is>
      </c>
      <c r="C2656" t="inlineStr">
        <is>
          <t>Outpatient</t>
        </is>
      </c>
      <c r="D2656" t="inlineStr">
        <is>
          <t>Bluestone Outpatient Pavilion</t>
        </is>
      </c>
      <c r="E2656" t="inlineStr">
        <is>
          <t>Primary Care Clinic</t>
        </is>
      </c>
      <c r="F2656" t="inlineStr">
        <is>
          <t>Ambulatory</t>
        </is>
      </c>
      <c r="G2656" s="29" t="n">
        <v>46014</v>
      </c>
      <c r="H2656" s="29" t="n">
        <v>46014</v>
      </c>
      <c r="I2656" s="30" t="n"/>
      <c r="J2656" t="inlineStr">
        <is>
          <t>Z00.00</t>
        </is>
      </c>
      <c r="K2656" t="inlineStr">
        <is>
          <t>Encounter for general adult medical examination without abnormal findings</t>
        </is>
      </c>
      <c r="L2656" t="inlineStr">
        <is>
          <t>Factors Influencing Health</t>
        </is>
      </c>
      <c r="M2656" t="inlineStr">
        <is>
          <t>Home/Self-Care</t>
        </is>
      </c>
      <c r="N2656" t="inlineStr">
        <is>
          <t>Self-Pay</t>
        </is>
      </c>
      <c r="O2656" s="31" t="n">
        <v>395.82</v>
      </c>
    </row>
    <row r="2657">
      <c r="A2657" t="inlineStr">
        <is>
          <t>ENC121569</t>
        </is>
      </c>
      <c r="B2657" t="inlineStr">
        <is>
          <t>PT13332</t>
        </is>
      </c>
      <c r="C2657" t="inlineStr">
        <is>
          <t>Emergency</t>
        </is>
      </c>
      <c r="D2657" t="inlineStr">
        <is>
          <t>Bluestone Memorial Hospital</t>
        </is>
      </c>
      <c r="E2657" t="inlineStr">
        <is>
          <t>Emergency Department</t>
        </is>
      </c>
      <c r="F2657" t="inlineStr">
        <is>
          <t>Emergency</t>
        </is>
      </c>
      <c r="G2657" s="29" t="n">
        <v>46014</v>
      </c>
      <c r="H2657" s="29" t="n">
        <v>46014</v>
      </c>
      <c r="I2657" s="30" t="n"/>
      <c r="J2657" t="inlineStr">
        <is>
          <t>J44.1</t>
        </is>
      </c>
      <c r="K2657" t="inlineStr">
        <is>
          <t>Chronic obstructive pulmonary disease with (acute) exacerbation</t>
        </is>
      </c>
      <c r="L2657" t="inlineStr">
        <is>
          <t>Respiratory</t>
        </is>
      </c>
      <c r="M2657" t="inlineStr">
        <is>
          <t>Transfer to Another Hospital</t>
        </is>
      </c>
      <c r="N2657" t="inlineStr">
        <is>
          <t>State Medicaid</t>
        </is>
      </c>
      <c r="O2657" s="31" t="n">
        <v>5399.32</v>
      </c>
    </row>
    <row r="2658">
      <c r="A2658" t="inlineStr">
        <is>
          <t>ENC121570</t>
        </is>
      </c>
      <c r="B2658" t="inlineStr">
        <is>
          <t>PT11056</t>
        </is>
      </c>
      <c r="C2658" t="inlineStr">
        <is>
          <t>Emergency</t>
        </is>
      </c>
      <c r="D2658" t="inlineStr">
        <is>
          <t>Bluestone Memorial Hospital</t>
        </is>
      </c>
      <c r="E2658" t="inlineStr">
        <is>
          <t>Emergency Department</t>
        </is>
      </c>
      <c r="F2658" t="inlineStr">
        <is>
          <t>Emergency</t>
        </is>
      </c>
      <c r="G2658" s="29" t="n">
        <v>46014</v>
      </c>
      <c r="H2658" s="29" t="n">
        <v>46014</v>
      </c>
      <c r="I2658" s="30" t="n"/>
      <c r="J2658" t="inlineStr">
        <is>
          <t>J21.9</t>
        </is>
      </c>
      <c r="K2658" t="inlineStr">
        <is>
          <t>Acute bronchiolitis, unspecified</t>
        </is>
      </c>
      <c r="L2658" t="inlineStr">
        <is>
          <t>Respiratory</t>
        </is>
      </c>
      <c r="M2658" t="inlineStr">
        <is>
          <t>Home/Self-Care</t>
        </is>
      </c>
      <c r="N2658" t="inlineStr">
        <is>
          <t>Keystone Health Partners</t>
        </is>
      </c>
      <c r="O2658" s="31" t="n">
        <v>3499.68</v>
      </c>
    </row>
    <row r="2659">
      <c r="A2659" t="inlineStr">
        <is>
          <t>ENC121573</t>
        </is>
      </c>
      <c r="B2659" t="inlineStr">
        <is>
          <t>PT12336</t>
        </is>
      </c>
      <c r="C2659" t="inlineStr">
        <is>
          <t>Outpatient</t>
        </is>
      </c>
      <c r="D2659" t="inlineStr">
        <is>
          <t>Bluestone Outpatient Pavilion</t>
        </is>
      </c>
      <c r="E2659" t="inlineStr">
        <is>
          <t>Pediatric Clinic</t>
        </is>
      </c>
      <c r="F2659" t="inlineStr">
        <is>
          <t>Women &amp; Children</t>
        </is>
      </c>
      <c r="G2659" s="29" t="n">
        <v>46014</v>
      </c>
      <c r="H2659" s="29" t="n">
        <v>46014</v>
      </c>
      <c r="I2659" s="30" t="n"/>
      <c r="J2659" t="inlineStr">
        <is>
          <t>H66.90</t>
        </is>
      </c>
      <c r="K2659" t="inlineStr">
        <is>
          <t>Otitis media, unspecified, unspecified ear</t>
        </is>
      </c>
      <c r="L2659" t="inlineStr">
        <is>
          <t>Ear</t>
        </is>
      </c>
      <c r="M2659" t="inlineStr">
        <is>
          <t>Home/Self-Care</t>
        </is>
      </c>
      <c r="N2659" t="inlineStr">
        <is>
          <t>Evergreen Mutual Insurance</t>
        </is>
      </c>
      <c r="O2659" s="31" t="n">
        <v>434.56</v>
      </c>
    </row>
    <row r="2660">
      <c r="A2660" t="inlineStr">
        <is>
          <t>ENC121581</t>
        </is>
      </c>
      <c r="B2660" t="inlineStr">
        <is>
          <t>PT10412</t>
        </is>
      </c>
      <c r="C2660" t="inlineStr">
        <is>
          <t>Outpatient</t>
        </is>
      </c>
      <c r="D2660" t="inlineStr">
        <is>
          <t>Bluestone Outpatient Pavilion</t>
        </is>
      </c>
      <c r="E2660" t="inlineStr">
        <is>
          <t>Primary Care Clinic</t>
        </is>
      </c>
      <c r="F2660" t="inlineStr">
        <is>
          <t>Ambulatory</t>
        </is>
      </c>
      <c r="G2660" s="29" t="n">
        <v>46014</v>
      </c>
      <c r="H2660" s="29" t="n">
        <v>46014</v>
      </c>
      <c r="I2660" s="30" t="n"/>
      <c r="J2660" t="inlineStr">
        <is>
          <t>Z23</t>
        </is>
      </c>
      <c r="K2660" t="inlineStr">
        <is>
          <t>Encounter for immunization</t>
        </is>
      </c>
      <c r="L2660" t="inlineStr">
        <is>
          <t>Factors Influencing Health</t>
        </is>
      </c>
      <c r="M2660" t="inlineStr">
        <is>
          <t>Home/Self-Care</t>
        </is>
      </c>
      <c r="N2660" t="inlineStr">
        <is>
          <t>Self-Pay</t>
        </is>
      </c>
      <c r="O2660" s="31" t="n">
        <v>136.48</v>
      </c>
    </row>
    <row r="2661">
      <c r="A2661" t="inlineStr">
        <is>
          <t>ENC121582</t>
        </is>
      </c>
      <c r="B2661" t="inlineStr">
        <is>
          <t>PT11328</t>
        </is>
      </c>
      <c r="C2661" t="inlineStr">
        <is>
          <t>Inpatient</t>
        </is>
      </c>
      <c r="D2661" t="inlineStr">
        <is>
          <t>Bluestone Memorial Hospital</t>
        </is>
      </c>
      <c r="E2661" t="inlineStr">
        <is>
          <t>Medical-Surgical 5 East</t>
        </is>
      </c>
      <c r="F2661" t="inlineStr">
        <is>
          <t>Medicine</t>
        </is>
      </c>
      <c r="G2661" s="29" t="n">
        <v>46014</v>
      </c>
      <c r="H2661" s="29" t="n">
        <v>46018</v>
      </c>
      <c r="I2661" s="30" t="n">
        <v>4</v>
      </c>
      <c r="J2661" t="inlineStr">
        <is>
          <t>A41.9</t>
        </is>
      </c>
      <c r="K2661" t="inlineStr">
        <is>
          <t>Sepsis, unspecified organism</t>
        </is>
      </c>
      <c r="L2661" t="inlineStr">
        <is>
          <t>Infectious</t>
        </is>
      </c>
      <c r="M2661" t="inlineStr">
        <is>
          <t>Home/Self-Care</t>
        </is>
      </c>
      <c r="N2661" t="inlineStr">
        <is>
          <t>Medicare</t>
        </is>
      </c>
      <c r="O2661" s="31" t="n">
        <v>52281.05</v>
      </c>
      <c r="P2661" t="inlineStr">
        <is>
          <t>N</t>
        </is>
      </c>
    </row>
    <row r="2662">
      <c r="A2662" t="inlineStr">
        <is>
          <t>ENC121583</t>
        </is>
      </c>
      <c r="B2662" t="inlineStr">
        <is>
          <t>PT12120</t>
        </is>
      </c>
      <c r="C2662" t="inlineStr">
        <is>
          <t>Outpatient</t>
        </is>
      </c>
      <c r="D2662" t="inlineStr">
        <is>
          <t>Bluestone Outpatient Pavilion</t>
        </is>
      </c>
      <c r="E2662" t="inlineStr">
        <is>
          <t>Primary Care Clinic</t>
        </is>
      </c>
      <c r="F2662" t="inlineStr">
        <is>
          <t>Ambulatory</t>
        </is>
      </c>
      <c r="G2662" s="29" t="n">
        <v>46014</v>
      </c>
      <c r="H2662" s="29" t="n">
        <v>46014</v>
      </c>
      <c r="I2662" s="30" t="n"/>
      <c r="J2662" t="inlineStr">
        <is>
          <t>F41.9</t>
        </is>
      </c>
      <c r="K2662" t="inlineStr">
        <is>
          <t>Anxiety disorder, unspecified</t>
        </is>
      </c>
      <c r="L2662" t="inlineStr">
        <is>
          <t>Mental &amp; Behavioral</t>
        </is>
      </c>
      <c r="M2662" t="inlineStr">
        <is>
          <t>Home/Self-Care</t>
        </is>
      </c>
      <c r="N2662" t="inlineStr">
        <is>
          <t>State Medicaid</t>
        </is>
      </c>
      <c r="O2662" s="31" t="n">
        <v>432.01</v>
      </c>
    </row>
    <row r="2663">
      <c r="A2663" t="inlineStr">
        <is>
          <t>ENC121587</t>
        </is>
      </c>
      <c r="B2663" t="inlineStr">
        <is>
          <t>PT13852</t>
        </is>
      </c>
      <c r="C2663" t="inlineStr">
        <is>
          <t>Inpatient</t>
        </is>
      </c>
      <c r="D2663" t="inlineStr">
        <is>
          <t>Bluestone Memorial Hospital</t>
        </is>
      </c>
      <c r="E2663" t="inlineStr">
        <is>
          <t>Medical-Surgical 4 West</t>
        </is>
      </c>
      <c r="F2663" t="inlineStr">
        <is>
          <t>Medicine</t>
        </is>
      </c>
      <c r="G2663" s="29" t="n">
        <v>46014</v>
      </c>
      <c r="H2663" s="29" t="n">
        <v>46021</v>
      </c>
      <c r="I2663" s="30" t="n">
        <v>7</v>
      </c>
      <c r="J2663" t="inlineStr">
        <is>
          <t>J44.1</t>
        </is>
      </c>
      <c r="K2663" t="inlineStr">
        <is>
          <t>Chronic obstructive pulmonary disease with (acute) exacerbation</t>
        </is>
      </c>
      <c r="L2663" t="inlineStr">
        <is>
          <t>Respiratory</t>
        </is>
      </c>
      <c r="M2663" t="inlineStr">
        <is>
          <t>Home/Self-Care</t>
        </is>
      </c>
      <c r="N2663" t="inlineStr">
        <is>
          <t>Medicare</t>
        </is>
      </c>
      <c r="O2663" s="31" t="n">
        <v>17978.71</v>
      </c>
      <c r="P2663" t="inlineStr">
        <is>
          <t>N</t>
        </is>
      </c>
    </row>
    <row r="2664">
      <c r="A2664" t="inlineStr">
        <is>
          <t>ENC121593</t>
        </is>
      </c>
      <c r="B2664" t="inlineStr">
        <is>
          <t>PT13140</t>
        </is>
      </c>
      <c r="C2664" t="inlineStr">
        <is>
          <t>Outpatient</t>
        </is>
      </c>
      <c r="D2664" t="inlineStr">
        <is>
          <t>Bluestone Outpatient Pavilion</t>
        </is>
      </c>
      <c r="E2664" t="inlineStr">
        <is>
          <t>Primary Care Clinic</t>
        </is>
      </c>
      <c r="F2664" t="inlineStr">
        <is>
          <t>Ambulatory</t>
        </is>
      </c>
      <c r="G2664" s="29" t="n">
        <v>46014</v>
      </c>
      <c r="H2664" s="29" t="n">
        <v>46014</v>
      </c>
      <c r="I2664" s="30" t="n"/>
      <c r="J2664" t="inlineStr">
        <is>
          <t>L03.115</t>
        </is>
      </c>
      <c r="K2664" t="inlineStr">
        <is>
          <t>Cellulitis of right lower limb</t>
        </is>
      </c>
      <c r="L2664" t="inlineStr">
        <is>
          <t>Skin</t>
        </is>
      </c>
      <c r="M2664" t="inlineStr">
        <is>
          <t>Home/Self-Care</t>
        </is>
      </c>
      <c r="N2664" t="inlineStr">
        <is>
          <t>Keystone Health Partners</t>
        </is>
      </c>
      <c r="O2664" s="31" t="n">
        <v>219.37</v>
      </c>
    </row>
    <row r="2665">
      <c r="A2665" t="inlineStr">
        <is>
          <t>ENC121595</t>
        </is>
      </c>
      <c r="B2665" t="inlineStr">
        <is>
          <t>PT12472</t>
        </is>
      </c>
      <c r="C2665" t="inlineStr">
        <is>
          <t>Emergency</t>
        </is>
      </c>
      <c r="D2665" t="inlineStr">
        <is>
          <t>Bluestone Memorial Hospital</t>
        </is>
      </c>
      <c r="E2665" t="inlineStr">
        <is>
          <t>Emergency Department</t>
        </is>
      </c>
      <c r="F2665" t="inlineStr">
        <is>
          <t>Emergency</t>
        </is>
      </c>
      <c r="G2665" s="29" t="n">
        <v>46014</v>
      </c>
      <c r="H2665" s="29" t="n">
        <v>46014</v>
      </c>
      <c r="I2665" s="30" t="n"/>
      <c r="J2665" t="inlineStr">
        <is>
          <t>E86.0</t>
        </is>
      </c>
      <c r="K2665" t="inlineStr">
        <is>
          <t>Dehydration</t>
        </is>
      </c>
      <c r="L2665" t="inlineStr">
        <is>
          <t>Endocrine</t>
        </is>
      </c>
      <c r="M2665" t="inlineStr">
        <is>
          <t>Left Without Being Seen</t>
        </is>
      </c>
      <c r="N2665" t="inlineStr">
        <is>
          <t>Medicare</t>
        </is>
      </c>
      <c r="O2665" s="31" t="n">
        <v>1885.8</v>
      </c>
    </row>
    <row r="2666">
      <c r="A2666" t="inlineStr">
        <is>
          <t>ENC121599</t>
        </is>
      </c>
      <c r="B2666" t="inlineStr">
        <is>
          <t>PT13792</t>
        </is>
      </c>
      <c r="C2666" t="inlineStr">
        <is>
          <t>Emergency</t>
        </is>
      </c>
      <c r="D2666" t="inlineStr">
        <is>
          <t>Bluestone Memorial Hospital</t>
        </is>
      </c>
      <c r="E2666" t="inlineStr">
        <is>
          <t>Emergency Department</t>
        </is>
      </c>
      <c r="F2666" t="inlineStr">
        <is>
          <t>Emergency</t>
        </is>
      </c>
      <c r="G2666" s="29" t="n">
        <v>46014</v>
      </c>
      <c r="H2666" s="29" t="n">
        <v>46014</v>
      </c>
      <c r="I2666" s="30" t="n"/>
      <c r="J2666" t="inlineStr">
        <is>
          <t>J18.9</t>
        </is>
      </c>
      <c r="K2666" t="inlineStr">
        <is>
          <t>Pneumonia, unspecified organism</t>
        </is>
      </c>
      <c r="L2666" t="inlineStr">
        <is>
          <t>Respiratory</t>
        </is>
      </c>
      <c r="M2666" t="inlineStr">
        <is>
          <t>Home/Self-Care</t>
        </is>
      </c>
      <c r="N2666" t="inlineStr">
        <is>
          <t>Medicare</t>
        </is>
      </c>
      <c r="O2666" s="31" t="n">
        <v>2431.89</v>
      </c>
    </row>
    <row r="2667">
      <c r="A2667" t="inlineStr">
        <is>
          <t>ENC121605</t>
        </is>
      </c>
      <c r="B2667" t="inlineStr">
        <is>
          <t>PT13636</t>
        </is>
      </c>
      <c r="C2667" t="inlineStr">
        <is>
          <t>Inpatient</t>
        </is>
      </c>
      <c r="D2667" t="inlineStr">
        <is>
          <t>Bluestone Memorial Hospital</t>
        </is>
      </c>
      <c r="E2667" t="inlineStr">
        <is>
          <t>Behavioral Health</t>
        </is>
      </c>
      <c r="F2667" t="inlineStr">
        <is>
          <t>Behavioral Health</t>
        </is>
      </c>
      <c r="G2667" s="29" t="n">
        <v>46014</v>
      </c>
      <c r="H2667" s="29" t="n">
        <v>46018</v>
      </c>
      <c r="I2667" s="30" t="n">
        <v>4</v>
      </c>
      <c r="J2667" t="inlineStr">
        <is>
          <t>F20.9</t>
        </is>
      </c>
      <c r="K2667" t="inlineStr">
        <is>
          <t>Schizophrenia, unspecified</t>
        </is>
      </c>
      <c r="L2667" t="inlineStr">
        <is>
          <t>Mental &amp; Behavioral</t>
        </is>
      </c>
      <c r="M2667" t="inlineStr">
        <is>
          <t>Transfer to Another Hospital</t>
        </is>
      </c>
      <c r="N2667" t="inlineStr">
        <is>
          <t>Keystone Health Partners</t>
        </is>
      </c>
      <c r="O2667" s="31" t="n">
        <v>12600.12</v>
      </c>
      <c r="P2667" t="inlineStr">
        <is>
          <t>N</t>
        </is>
      </c>
    </row>
    <row r="2668">
      <c r="A2668" t="inlineStr">
        <is>
          <t>ENC121607</t>
        </is>
      </c>
      <c r="B2668" t="inlineStr">
        <is>
          <t>PT10132</t>
        </is>
      </c>
      <c r="C2668" t="inlineStr">
        <is>
          <t>Emergency</t>
        </is>
      </c>
      <c r="D2668" t="inlineStr">
        <is>
          <t>Bluestone Memorial Hospital</t>
        </is>
      </c>
      <c r="E2668" t="inlineStr">
        <is>
          <t>Emergency Department</t>
        </is>
      </c>
      <c r="F2668" t="inlineStr">
        <is>
          <t>Emergency</t>
        </is>
      </c>
      <c r="G2668" s="29" t="n">
        <v>46014</v>
      </c>
      <c r="H2668" s="29" t="n">
        <v>46015</v>
      </c>
      <c r="I2668" s="30" t="n"/>
      <c r="J2668" t="inlineStr">
        <is>
          <t>R10.9</t>
        </is>
      </c>
      <c r="K2668" t="inlineStr">
        <is>
          <t>Unspecified abdominal pain</t>
        </is>
      </c>
      <c r="L2668" t="inlineStr">
        <is>
          <t>Symptoms &amp; Signs</t>
        </is>
      </c>
      <c r="M2668" t="inlineStr">
        <is>
          <t>Home/Self-Care</t>
        </is>
      </c>
      <c r="N2668" t="inlineStr">
        <is>
          <t>Medicare</t>
        </is>
      </c>
      <c r="O2668" s="31" t="n">
        <v>1841.01</v>
      </c>
    </row>
    <row r="2669">
      <c r="A2669" t="inlineStr">
        <is>
          <t>ENC121616</t>
        </is>
      </c>
      <c r="B2669" t="inlineStr">
        <is>
          <t>PT12116</t>
        </is>
      </c>
      <c r="C2669" t="inlineStr">
        <is>
          <t>Emergency</t>
        </is>
      </c>
      <c r="D2669" t="inlineStr">
        <is>
          <t>Bluestone Memorial Hospital</t>
        </is>
      </c>
      <c r="E2669" t="inlineStr">
        <is>
          <t>Emergency Department</t>
        </is>
      </c>
      <c r="F2669" t="inlineStr">
        <is>
          <t>Emergency</t>
        </is>
      </c>
      <c r="G2669" s="29" t="n">
        <v>46015</v>
      </c>
      <c r="H2669" s="29" t="n">
        <v>46015</v>
      </c>
      <c r="I2669" s="30" t="n"/>
      <c r="J2669" t="inlineStr">
        <is>
          <t>E86.0</t>
        </is>
      </c>
      <c r="K2669" t="inlineStr">
        <is>
          <t>Dehydration</t>
        </is>
      </c>
      <c r="L2669" t="inlineStr">
        <is>
          <t>Endocrine</t>
        </is>
      </c>
      <c r="M2669" t="inlineStr">
        <is>
          <t>Home/Self-Care</t>
        </is>
      </c>
      <c r="N2669" t="inlineStr">
        <is>
          <t>Keystone Health Partners</t>
        </is>
      </c>
      <c r="O2669" s="31" t="n">
        <v>1906.92</v>
      </c>
    </row>
    <row r="2670">
      <c r="A2670" t="inlineStr">
        <is>
          <t>ENC121617</t>
        </is>
      </c>
      <c r="B2670" t="inlineStr">
        <is>
          <t>PT13956</t>
        </is>
      </c>
      <c r="C2670" t="inlineStr">
        <is>
          <t>Emergency</t>
        </is>
      </c>
      <c r="D2670" t="inlineStr">
        <is>
          <t>Bluestone Memorial Hospital</t>
        </is>
      </c>
      <c r="E2670" t="inlineStr">
        <is>
          <t>Emergency Department</t>
        </is>
      </c>
      <c r="F2670" t="inlineStr">
        <is>
          <t>Emergency</t>
        </is>
      </c>
      <c r="G2670" s="29" t="n">
        <v>46015</v>
      </c>
      <c r="H2670" s="29" t="n">
        <v>46015</v>
      </c>
      <c r="I2670" s="30" t="n"/>
      <c r="J2670" t="inlineStr">
        <is>
          <t>R10.9</t>
        </is>
      </c>
      <c r="K2670" t="inlineStr">
        <is>
          <t>Unspecified abdominal pain</t>
        </is>
      </c>
      <c r="L2670" t="inlineStr">
        <is>
          <t>Symptoms &amp; Signs</t>
        </is>
      </c>
      <c r="M2670" t="inlineStr">
        <is>
          <t>Home/Self-Care</t>
        </is>
      </c>
      <c r="N2670" t="inlineStr">
        <is>
          <t>State Medicaid</t>
        </is>
      </c>
      <c r="O2670" s="31" t="n">
        <v>1976.31</v>
      </c>
    </row>
    <row r="2671">
      <c r="A2671" t="inlineStr">
        <is>
          <t>ENC121618</t>
        </is>
      </c>
      <c r="B2671" t="inlineStr">
        <is>
          <t>PT10568</t>
        </is>
      </c>
      <c r="C2671" t="inlineStr">
        <is>
          <t>Outpatient</t>
        </is>
      </c>
      <c r="D2671" t="inlineStr">
        <is>
          <t>Bluestone Outpatient Pavilion</t>
        </is>
      </c>
      <c r="E2671" t="inlineStr">
        <is>
          <t>Endocrinology &amp; Diabetes Clinic</t>
        </is>
      </c>
      <c r="F2671" t="inlineStr">
        <is>
          <t>Ambulatory</t>
        </is>
      </c>
      <c r="G2671" s="29" t="n">
        <v>46015</v>
      </c>
      <c r="H2671" s="29" t="n">
        <v>46015</v>
      </c>
      <c r="I2671" s="30" t="n"/>
      <c r="J2671" t="inlineStr">
        <is>
          <t>E11.9</t>
        </is>
      </c>
      <c r="K2671" t="inlineStr">
        <is>
          <t>Type 2 diabetes mellitus without complications</t>
        </is>
      </c>
      <c r="L2671" t="inlineStr">
        <is>
          <t>Endocrine</t>
        </is>
      </c>
      <c r="M2671" t="inlineStr">
        <is>
          <t>Home/Self-Care</t>
        </is>
      </c>
      <c r="N2671" t="inlineStr">
        <is>
          <t>Silverline Medicare Advantage</t>
        </is>
      </c>
      <c r="O2671" s="31" t="n">
        <v>342.97</v>
      </c>
    </row>
    <row r="2672">
      <c r="A2672" t="inlineStr">
        <is>
          <t>ENC121622</t>
        </is>
      </c>
      <c r="B2672" t="inlineStr">
        <is>
          <t>PT11372</t>
        </is>
      </c>
      <c r="C2672" t="inlineStr">
        <is>
          <t>Outpatient</t>
        </is>
      </c>
      <c r="D2672" t="inlineStr">
        <is>
          <t>Bluestone Outpatient Pavilion</t>
        </is>
      </c>
      <c r="E2672" t="inlineStr">
        <is>
          <t>Infusion &amp; Oncology Clinic</t>
        </is>
      </c>
      <c r="F2672" t="inlineStr">
        <is>
          <t>Oncology</t>
        </is>
      </c>
      <c r="G2672" s="29" t="n">
        <v>46015</v>
      </c>
      <c r="H2672" s="29" t="n">
        <v>46015</v>
      </c>
      <c r="I2672" s="30" t="n"/>
      <c r="J2672" t="inlineStr">
        <is>
          <t>C34.90</t>
        </is>
      </c>
      <c r="K2672" t="inlineStr">
        <is>
          <t>Malignant neoplasm of unspecified part of unspecified bronchus or lung</t>
        </is>
      </c>
      <c r="L2672" t="inlineStr">
        <is>
          <t>Neoplasms</t>
        </is>
      </c>
      <c r="M2672" t="inlineStr">
        <is>
          <t>Home/Self-Care</t>
        </is>
      </c>
      <c r="N2672" t="inlineStr">
        <is>
          <t>Silverline Medicare Advantage</t>
        </is>
      </c>
      <c r="O2672" s="31" t="n">
        <v>504.97</v>
      </c>
    </row>
    <row r="2673">
      <c r="A2673" t="inlineStr">
        <is>
          <t>ENC121625</t>
        </is>
      </c>
      <c r="B2673" t="inlineStr">
        <is>
          <t>PT11240</t>
        </is>
      </c>
      <c r="C2673" t="inlineStr">
        <is>
          <t>Inpatient</t>
        </is>
      </c>
      <c r="D2673" t="inlineStr">
        <is>
          <t>Cedar Ridge Medical Center</t>
        </is>
      </c>
      <c r="E2673" t="inlineStr">
        <is>
          <t>Medical-Surgical</t>
        </is>
      </c>
      <c r="F2673" t="inlineStr">
        <is>
          <t>Medicine</t>
        </is>
      </c>
      <c r="G2673" s="29" t="n">
        <v>46015</v>
      </c>
      <c r="H2673" s="29" t="n">
        <v>46021</v>
      </c>
      <c r="I2673" s="30" t="n">
        <v>6</v>
      </c>
      <c r="J2673" t="inlineStr">
        <is>
          <t>N39.0</t>
        </is>
      </c>
      <c r="K2673" t="inlineStr">
        <is>
          <t>Urinary tract infection, site not specified</t>
        </is>
      </c>
      <c r="L2673" t="inlineStr">
        <is>
          <t>Genitourinary</t>
        </is>
      </c>
      <c r="M2673" t="inlineStr">
        <is>
          <t>Home/Self-Care</t>
        </is>
      </c>
      <c r="N2673" t="inlineStr">
        <is>
          <t>Evergreen Mutual Insurance</t>
        </is>
      </c>
      <c r="O2673" s="31" t="n">
        <v>18798.72</v>
      </c>
      <c r="P2673" t="inlineStr">
        <is>
          <t>N</t>
        </is>
      </c>
    </row>
    <row r="2674">
      <c r="A2674" t="inlineStr">
        <is>
          <t>ENC121632</t>
        </is>
      </c>
      <c r="B2674" t="inlineStr">
        <is>
          <t>PT13880</t>
        </is>
      </c>
      <c r="C2674" t="inlineStr">
        <is>
          <t>Inpatient</t>
        </is>
      </c>
      <c r="D2674" t="inlineStr">
        <is>
          <t>Bluestone Memorial Hospital</t>
        </is>
      </c>
      <c r="E2674" t="inlineStr">
        <is>
          <t>Cardiac Step-Down</t>
        </is>
      </c>
      <c r="F2674" t="inlineStr">
        <is>
          <t>Cardiovascular</t>
        </is>
      </c>
      <c r="G2674" s="29" t="n">
        <v>46015</v>
      </c>
      <c r="H2674" s="29" t="n">
        <v>46017</v>
      </c>
      <c r="I2674" s="30" t="n">
        <v>2</v>
      </c>
      <c r="J2674" t="inlineStr">
        <is>
          <t>I48.91</t>
        </is>
      </c>
      <c r="K2674" t="inlineStr">
        <is>
          <t>Unspecified atrial fibrillation</t>
        </is>
      </c>
      <c r="L2674" t="inlineStr">
        <is>
          <t>Circulatory</t>
        </is>
      </c>
      <c r="M2674" t="inlineStr">
        <is>
          <t>Home/Self-Care</t>
        </is>
      </c>
      <c r="N2674" t="inlineStr">
        <is>
          <t>Silverline Medicare Advantage</t>
        </is>
      </c>
      <c r="O2674" s="31" t="n">
        <v>11553.51</v>
      </c>
      <c r="P2674" t="inlineStr">
        <is>
          <t>N</t>
        </is>
      </c>
    </row>
    <row r="2675">
      <c r="A2675" t="inlineStr">
        <is>
          <t>ENC121640</t>
        </is>
      </c>
      <c r="B2675" t="inlineStr">
        <is>
          <t>PT11600</t>
        </is>
      </c>
      <c r="C2675" t="inlineStr">
        <is>
          <t>Emergency</t>
        </is>
      </c>
      <c r="D2675" t="inlineStr">
        <is>
          <t>Bluestone Memorial Hospital</t>
        </is>
      </c>
      <c r="E2675" t="inlineStr">
        <is>
          <t>Emergency Department</t>
        </is>
      </c>
      <c r="F2675" t="inlineStr">
        <is>
          <t>Emergency</t>
        </is>
      </c>
      <c r="G2675" s="29" t="n">
        <v>46015</v>
      </c>
      <c r="H2675" s="29" t="n">
        <v>46015</v>
      </c>
      <c r="I2675" s="30" t="n"/>
      <c r="J2675" t="inlineStr">
        <is>
          <t>R10.9</t>
        </is>
      </c>
      <c r="K2675" t="inlineStr">
        <is>
          <t>Unspecified abdominal pain</t>
        </is>
      </c>
      <c r="L2675" t="inlineStr">
        <is>
          <t>Symptoms &amp; Signs</t>
        </is>
      </c>
      <c r="M2675" t="inlineStr">
        <is>
          <t>Home/Self-Care</t>
        </is>
      </c>
      <c r="N2675" t="inlineStr">
        <is>
          <t>State Medicaid</t>
        </is>
      </c>
      <c r="O2675" s="31" t="n">
        <v>4366.92</v>
      </c>
    </row>
    <row r="2676">
      <c r="A2676" t="inlineStr">
        <is>
          <t>ENC121643</t>
        </is>
      </c>
      <c r="B2676" t="inlineStr">
        <is>
          <t>PT10384</t>
        </is>
      </c>
      <c r="C2676" t="inlineStr">
        <is>
          <t>Observation</t>
        </is>
      </c>
      <c r="D2676" t="inlineStr">
        <is>
          <t>Cedar Ridge Medical Center</t>
        </is>
      </c>
      <c r="E2676" t="inlineStr">
        <is>
          <t>Medical-Surgical</t>
        </is>
      </c>
      <c r="F2676" t="inlineStr">
        <is>
          <t>Medicine</t>
        </is>
      </c>
      <c r="G2676" s="29" t="n">
        <v>46015</v>
      </c>
      <c r="H2676" s="29" t="n">
        <v>46017</v>
      </c>
      <c r="I2676" s="30" t="n">
        <v>2</v>
      </c>
      <c r="J2676" t="inlineStr">
        <is>
          <t>R07.9</t>
        </is>
      </c>
      <c r="K2676" t="inlineStr">
        <is>
          <t>Chest pain, unspecified</t>
        </is>
      </c>
      <c r="L2676" t="inlineStr">
        <is>
          <t>Symptoms &amp; Signs</t>
        </is>
      </c>
      <c r="M2676" t="inlineStr">
        <is>
          <t>Home/Self-Care</t>
        </is>
      </c>
      <c r="N2676" t="inlineStr">
        <is>
          <t>State Medicaid</t>
        </is>
      </c>
      <c r="O2676" s="31" t="n">
        <v>9991.26</v>
      </c>
    </row>
    <row r="2677">
      <c r="A2677" t="inlineStr">
        <is>
          <t>ENC121648</t>
        </is>
      </c>
      <c r="B2677" t="inlineStr">
        <is>
          <t>PT10004</t>
        </is>
      </c>
      <c r="C2677" t="inlineStr">
        <is>
          <t>Inpatient</t>
        </is>
      </c>
      <c r="D2677" t="inlineStr">
        <is>
          <t>Bluestone Memorial Hospital</t>
        </is>
      </c>
      <c r="E2677" t="inlineStr">
        <is>
          <t>Medical-Surgical 4 West</t>
        </is>
      </c>
      <c r="F2677" t="inlineStr">
        <is>
          <t>Medicine</t>
        </is>
      </c>
      <c r="G2677" s="29" t="n">
        <v>46016</v>
      </c>
      <c r="H2677" s="29" t="n">
        <v>46019</v>
      </c>
      <c r="I2677" s="30" t="n">
        <v>3</v>
      </c>
      <c r="J2677" t="inlineStr">
        <is>
          <t>K80.20</t>
        </is>
      </c>
      <c r="K2677" t="inlineStr">
        <is>
          <t>Calculus of gallbladder without cholecystitis without obstruction</t>
        </is>
      </c>
      <c r="L2677" t="inlineStr">
        <is>
          <t>Digestive</t>
        </is>
      </c>
      <c r="M2677" t="inlineStr">
        <is>
          <t>Home/Self-Care</t>
        </is>
      </c>
      <c r="N2677" t="inlineStr">
        <is>
          <t>Keystone Health Partners</t>
        </is>
      </c>
      <c r="O2677" s="31" t="n">
        <v>29387.75</v>
      </c>
      <c r="P2677" t="inlineStr">
        <is>
          <t>N</t>
        </is>
      </c>
    </row>
    <row r="2678">
      <c r="A2678" t="inlineStr">
        <is>
          <t>ENC121657</t>
        </is>
      </c>
      <c r="B2678" t="inlineStr">
        <is>
          <t>PT12264</t>
        </is>
      </c>
      <c r="C2678" t="inlineStr">
        <is>
          <t>Outpatient</t>
        </is>
      </c>
      <c r="D2678" t="inlineStr">
        <is>
          <t>Bluestone Outpatient Pavilion</t>
        </is>
      </c>
      <c r="E2678" t="inlineStr">
        <is>
          <t>Orthopedic Clinic</t>
        </is>
      </c>
      <c r="F2678" t="inlineStr">
        <is>
          <t>Orthopedics</t>
        </is>
      </c>
      <c r="G2678" s="29" t="n">
        <v>46016</v>
      </c>
      <c r="H2678" s="29" t="n">
        <v>46016</v>
      </c>
      <c r="I2678" s="30" t="n"/>
      <c r="J2678" t="inlineStr">
        <is>
          <t>S93.401A</t>
        </is>
      </c>
      <c r="K2678" t="inlineStr">
        <is>
          <t>Sprain of unspecified ligament of right ankle, initial encounter</t>
        </is>
      </c>
      <c r="L2678" t="inlineStr">
        <is>
          <t>Injury</t>
        </is>
      </c>
      <c r="M2678" t="inlineStr">
        <is>
          <t>Home/Self-Care</t>
        </is>
      </c>
      <c r="N2678" t="inlineStr">
        <is>
          <t>Medicare</t>
        </is>
      </c>
      <c r="O2678" s="31" t="n">
        <v>298.55</v>
      </c>
    </row>
    <row r="2679">
      <c r="A2679" t="inlineStr">
        <is>
          <t>ENC121658</t>
        </is>
      </c>
      <c r="B2679" t="inlineStr">
        <is>
          <t>PT10840</t>
        </is>
      </c>
      <c r="C2679" t="inlineStr">
        <is>
          <t>Outpatient</t>
        </is>
      </c>
      <c r="D2679" t="inlineStr">
        <is>
          <t>Bluestone Outpatient Pavilion</t>
        </is>
      </c>
      <c r="E2679" t="inlineStr">
        <is>
          <t>Primary Care Clinic</t>
        </is>
      </c>
      <c r="F2679" t="inlineStr">
        <is>
          <t>Ambulatory</t>
        </is>
      </c>
      <c r="G2679" s="29" t="n">
        <v>46016</v>
      </c>
      <c r="H2679" s="29" t="n">
        <v>46016</v>
      </c>
      <c r="I2679" s="30" t="n"/>
      <c r="J2679" t="inlineStr">
        <is>
          <t>Z23</t>
        </is>
      </c>
      <c r="K2679" t="inlineStr">
        <is>
          <t>Encounter for immunization</t>
        </is>
      </c>
      <c r="L2679" t="inlineStr">
        <is>
          <t>Factors Influencing Health</t>
        </is>
      </c>
      <c r="M2679" t="inlineStr">
        <is>
          <t>Home/Self-Care</t>
        </is>
      </c>
      <c r="N2679" t="inlineStr">
        <is>
          <t>Medicare</t>
        </is>
      </c>
      <c r="O2679" s="31" t="n">
        <v>108.28</v>
      </c>
    </row>
    <row r="2680">
      <c r="A2680" t="inlineStr">
        <is>
          <t>ENC121659</t>
        </is>
      </c>
      <c r="B2680" t="inlineStr">
        <is>
          <t>PT12224</t>
        </is>
      </c>
      <c r="C2680" t="inlineStr">
        <is>
          <t>Outpatient</t>
        </is>
      </c>
      <c r="D2680" t="inlineStr">
        <is>
          <t>Bluestone Outpatient Pavilion</t>
        </is>
      </c>
      <c r="E2680" t="inlineStr">
        <is>
          <t>Infusion &amp; Oncology Clinic</t>
        </is>
      </c>
      <c r="F2680" t="inlineStr">
        <is>
          <t>Oncology</t>
        </is>
      </c>
      <c r="G2680" s="29" t="n">
        <v>46016</v>
      </c>
      <c r="H2680" s="29" t="n">
        <v>46016</v>
      </c>
      <c r="I2680" s="30" t="n"/>
      <c r="J2680" t="inlineStr">
        <is>
          <t>Z51.11</t>
        </is>
      </c>
      <c r="K2680" t="inlineStr">
        <is>
          <t>Encounter for antineoplastic chemotherapy</t>
        </is>
      </c>
      <c r="L2680" t="inlineStr">
        <is>
          <t>Factors Influencing Health</t>
        </is>
      </c>
      <c r="M2680" t="inlineStr">
        <is>
          <t>Home/Self-Care</t>
        </is>
      </c>
      <c r="N2680" t="inlineStr">
        <is>
          <t>Evergreen Mutual Insurance</t>
        </is>
      </c>
      <c r="O2680" s="31" t="n">
        <v>9895.469999999999</v>
      </c>
    </row>
    <row r="2681">
      <c r="A2681" t="inlineStr">
        <is>
          <t>ENC121661</t>
        </is>
      </c>
      <c r="B2681" t="inlineStr">
        <is>
          <t>PT10224</t>
        </is>
      </c>
      <c r="C2681" t="inlineStr">
        <is>
          <t>Outpatient</t>
        </is>
      </c>
      <c r="D2681" t="inlineStr">
        <is>
          <t>Bluestone Outpatient Pavilion</t>
        </is>
      </c>
      <c r="E2681" t="inlineStr">
        <is>
          <t>Primary Care Clinic</t>
        </is>
      </c>
      <c r="F2681" t="inlineStr">
        <is>
          <t>Ambulatory</t>
        </is>
      </c>
      <c r="G2681" s="29" t="n">
        <v>46016</v>
      </c>
      <c r="H2681" s="29" t="n">
        <v>46016</v>
      </c>
      <c r="I2681" s="30" t="n"/>
      <c r="J2681" t="inlineStr">
        <is>
          <t>J45.909</t>
        </is>
      </c>
      <c r="K2681" t="inlineStr">
        <is>
          <t>Unspecified asthma, uncomplicated</t>
        </is>
      </c>
      <c r="L2681" t="inlineStr">
        <is>
          <t>Respiratory</t>
        </is>
      </c>
      <c r="M2681" t="inlineStr">
        <is>
          <t>Home/Self-Care</t>
        </is>
      </c>
      <c r="N2681" t="inlineStr">
        <is>
          <t>Keystone Health Partners</t>
        </is>
      </c>
      <c r="O2681" s="31" t="n">
        <v>195.25</v>
      </c>
    </row>
    <row r="2682">
      <c r="A2682" t="inlineStr">
        <is>
          <t>ENC121668</t>
        </is>
      </c>
      <c r="B2682" t="inlineStr">
        <is>
          <t>PT10156</t>
        </is>
      </c>
      <c r="C2682" t="inlineStr">
        <is>
          <t>Outpatient</t>
        </is>
      </c>
      <c r="D2682" t="inlineStr">
        <is>
          <t>Bluestone Outpatient Pavilion</t>
        </is>
      </c>
      <c r="E2682" t="inlineStr">
        <is>
          <t>Infusion &amp; Oncology Clinic</t>
        </is>
      </c>
      <c r="F2682" t="inlineStr">
        <is>
          <t>Oncology</t>
        </is>
      </c>
      <c r="G2682" s="29" t="n">
        <v>46016</v>
      </c>
      <c r="H2682" s="29" t="n">
        <v>46016</v>
      </c>
      <c r="I2682" s="30" t="n"/>
      <c r="J2682" t="inlineStr">
        <is>
          <t>Z51.11</t>
        </is>
      </c>
      <c r="K2682" t="inlineStr">
        <is>
          <t>Encounter for antineoplastic chemotherapy</t>
        </is>
      </c>
      <c r="L2682" t="inlineStr">
        <is>
          <t>Factors Influencing Health</t>
        </is>
      </c>
      <c r="M2682" t="inlineStr">
        <is>
          <t>Home/Self-Care</t>
        </is>
      </c>
      <c r="N2682" t="inlineStr">
        <is>
          <t>State Medicaid</t>
        </is>
      </c>
      <c r="O2682" s="31" t="n">
        <v>8788.08</v>
      </c>
    </row>
    <row r="2683">
      <c r="A2683" t="inlineStr">
        <is>
          <t>ENC121674</t>
        </is>
      </c>
      <c r="B2683" t="inlineStr">
        <is>
          <t>PT11252</t>
        </is>
      </c>
      <c r="C2683" t="inlineStr">
        <is>
          <t>Outpatient</t>
        </is>
      </c>
      <c r="D2683" t="inlineStr">
        <is>
          <t>Bluestone Outpatient Pavilion</t>
        </is>
      </c>
      <c r="E2683" t="inlineStr">
        <is>
          <t>Primary Care Clinic</t>
        </is>
      </c>
      <c r="F2683" t="inlineStr">
        <is>
          <t>Ambulatory</t>
        </is>
      </c>
      <c r="G2683" s="29" t="n">
        <v>46016</v>
      </c>
      <c r="H2683" s="29" t="n">
        <v>46016</v>
      </c>
      <c r="I2683" s="30" t="n"/>
      <c r="J2683" t="inlineStr">
        <is>
          <t>I10</t>
        </is>
      </c>
      <c r="K2683" t="inlineStr">
        <is>
          <t>Essential (primary) hypertension</t>
        </is>
      </c>
      <c r="L2683" t="inlineStr">
        <is>
          <t>Circulatory</t>
        </is>
      </c>
      <c r="M2683" t="inlineStr">
        <is>
          <t>Home/Self-Care</t>
        </is>
      </c>
      <c r="N2683" t="inlineStr">
        <is>
          <t>Medicare</t>
        </is>
      </c>
      <c r="O2683" s="31" t="n">
        <v>257.45</v>
      </c>
    </row>
    <row r="2684">
      <c r="A2684" t="inlineStr">
        <is>
          <t>ENC121675</t>
        </is>
      </c>
      <c r="B2684" t="inlineStr">
        <is>
          <t>PT12832</t>
        </is>
      </c>
      <c r="C2684" t="inlineStr">
        <is>
          <t>Outpatient</t>
        </is>
      </c>
      <c r="D2684" t="inlineStr">
        <is>
          <t>Bluestone Outpatient Pavilion</t>
        </is>
      </c>
      <c r="E2684" t="inlineStr">
        <is>
          <t>Primary Care Clinic</t>
        </is>
      </c>
      <c r="F2684" t="inlineStr">
        <is>
          <t>Ambulatory</t>
        </is>
      </c>
      <c r="G2684" s="29" t="n">
        <v>46016</v>
      </c>
      <c r="H2684" s="29" t="n">
        <v>46016</v>
      </c>
      <c r="I2684" s="30" t="n"/>
      <c r="J2684" t="inlineStr">
        <is>
          <t>M54.50</t>
        </is>
      </c>
      <c r="K2684" t="inlineStr">
        <is>
          <t>Low back pain, unspecified</t>
        </is>
      </c>
      <c r="L2684" t="inlineStr">
        <is>
          <t>Musculoskeletal</t>
        </is>
      </c>
      <c r="M2684" t="inlineStr">
        <is>
          <t>Home/Self-Care</t>
        </is>
      </c>
      <c r="N2684" t="inlineStr">
        <is>
          <t>Medicare</t>
        </is>
      </c>
      <c r="O2684" s="31" t="n">
        <v>434.76</v>
      </c>
    </row>
    <row r="2685">
      <c r="A2685" t="inlineStr">
        <is>
          <t>ENC121677</t>
        </is>
      </c>
      <c r="B2685" t="inlineStr">
        <is>
          <t>PT11068</t>
        </is>
      </c>
      <c r="C2685" t="inlineStr">
        <is>
          <t>Emergency</t>
        </is>
      </c>
      <c r="D2685" t="inlineStr">
        <is>
          <t>Cedar Ridge Medical Center</t>
        </is>
      </c>
      <c r="E2685" t="inlineStr">
        <is>
          <t>Emergency Department</t>
        </is>
      </c>
      <c r="F2685" t="inlineStr">
        <is>
          <t>Emergency</t>
        </is>
      </c>
      <c r="G2685" s="29" t="n">
        <v>46016</v>
      </c>
      <c r="H2685" s="29" t="n">
        <v>46016</v>
      </c>
      <c r="I2685" s="30" t="n"/>
      <c r="J2685" t="inlineStr">
        <is>
          <t>S93.401A</t>
        </is>
      </c>
      <c r="K2685" t="inlineStr">
        <is>
          <t>Sprain of unspecified ligament of right ankle, initial encounter</t>
        </is>
      </c>
      <c r="L2685" t="inlineStr">
        <is>
          <t>Injury</t>
        </is>
      </c>
      <c r="M2685" t="inlineStr">
        <is>
          <t>Home/Self-Care</t>
        </is>
      </c>
      <c r="N2685" t="inlineStr">
        <is>
          <t>Keystone Health Partners</t>
        </is>
      </c>
      <c r="O2685" s="31" t="n">
        <v>526.21</v>
      </c>
    </row>
    <row r="2686">
      <c r="A2686" t="inlineStr">
        <is>
          <t>ENC121678</t>
        </is>
      </c>
      <c r="B2686" t="inlineStr">
        <is>
          <t>PT12956</t>
        </is>
      </c>
      <c r="C2686" t="inlineStr">
        <is>
          <t>Observation</t>
        </is>
      </c>
      <c r="D2686" t="inlineStr">
        <is>
          <t>Bluestone Memorial Hospital</t>
        </is>
      </c>
      <c r="E2686" t="inlineStr">
        <is>
          <t>Observation Unit</t>
        </is>
      </c>
      <c r="F2686" t="inlineStr">
        <is>
          <t>Medicine</t>
        </is>
      </c>
      <c r="G2686" s="29" t="n">
        <v>46016</v>
      </c>
      <c r="H2686" s="29" t="n">
        <v>46018</v>
      </c>
      <c r="I2686" s="30" t="n">
        <v>2</v>
      </c>
      <c r="J2686" t="inlineStr">
        <is>
          <t>J45.909</t>
        </is>
      </c>
      <c r="K2686" t="inlineStr">
        <is>
          <t>Unspecified asthma, uncomplicated</t>
        </is>
      </c>
      <c r="L2686" t="inlineStr">
        <is>
          <t>Respiratory</t>
        </is>
      </c>
      <c r="M2686" t="inlineStr">
        <is>
          <t>Home/Self-Care</t>
        </is>
      </c>
      <c r="N2686" t="inlineStr">
        <is>
          <t>Keystone Health Partners</t>
        </is>
      </c>
      <c r="O2686" s="31" t="n">
        <v>12493.71</v>
      </c>
    </row>
    <row r="2687">
      <c r="A2687" t="inlineStr">
        <is>
          <t>ENC121687</t>
        </is>
      </c>
      <c r="B2687" t="inlineStr">
        <is>
          <t>PT10568</t>
        </is>
      </c>
      <c r="C2687" t="inlineStr">
        <is>
          <t>Inpatient</t>
        </is>
      </c>
      <c r="D2687" t="inlineStr">
        <is>
          <t>Bluestone Memorial Hospital</t>
        </is>
      </c>
      <c r="E2687" t="inlineStr">
        <is>
          <t>Medical-Surgical 5 East</t>
        </is>
      </c>
      <c r="F2687" t="inlineStr">
        <is>
          <t>Medicine</t>
        </is>
      </c>
      <c r="G2687" s="29" t="n">
        <v>46016</v>
      </c>
      <c r="H2687" s="29" t="n">
        <v>46019</v>
      </c>
      <c r="I2687" s="30" t="n">
        <v>3</v>
      </c>
      <c r="J2687" t="inlineStr">
        <is>
          <t>J18.9</t>
        </is>
      </c>
      <c r="K2687" t="inlineStr">
        <is>
          <t>Pneumonia, unspecified organism</t>
        </is>
      </c>
      <c r="L2687" t="inlineStr">
        <is>
          <t>Respiratory</t>
        </is>
      </c>
      <c r="M2687" t="inlineStr">
        <is>
          <t>Home/Self-Care</t>
        </is>
      </c>
      <c r="N2687" t="inlineStr">
        <is>
          <t>Silverline Medicare Advantage</t>
        </is>
      </c>
      <c r="O2687" s="31" t="n">
        <v>27177.87</v>
      </c>
      <c r="P2687" t="inlineStr">
        <is>
          <t>N</t>
        </is>
      </c>
    </row>
    <row r="2688">
      <c r="A2688" t="inlineStr">
        <is>
          <t>ENC121690</t>
        </is>
      </c>
      <c r="B2688" t="inlineStr">
        <is>
          <t>PT13008</t>
        </is>
      </c>
      <c r="C2688" t="inlineStr">
        <is>
          <t>Observation</t>
        </is>
      </c>
      <c r="D2688" t="inlineStr">
        <is>
          <t>Bluestone Memorial Hospital</t>
        </is>
      </c>
      <c r="E2688" t="inlineStr">
        <is>
          <t>Observation Unit</t>
        </is>
      </c>
      <c r="F2688" t="inlineStr">
        <is>
          <t>Medicine</t>
        </is>
      </c>
      <c r="G2688" s="29" t="n">
        <v>46017</v>
      </c>
      <c r="H2688" s="29" t="n">
        <v>46017</v>
      </c>
      <c r="I2688" s="30" t="n">
        <v>0</v>
      </c>
      <c r="J2688" t="inlineStr">
        <is>
          <t>G40.909</t>
        </is>
      </c>
      <c r="K2688" t="inlineStr">
        <is>
          <t>Epilepsy, unspecified, not intractable, without status epilepticus</t>
        </is>
      </c>
      <c r="L2688" t="inlineStr">
        <is>
          <t>Nervous System</t>
        </is>
      </c>
      <c r="M2688" t="inlineStr">
        <is>
          <t>Home/Self-Care</t>
        </is>
      </c>
      <c r="N2688" t="inlineStr">
        <is>
          <t>Self-Pay</t>
        </is>
      </c>
      <c r="O2688" s="31" t="n">
        <v>7638.32</v>
      </c>
    </row>
    <row r="2689">
      <c r="A2689" t="inlineStr">
        <is>
          <t>ENC121693</t>
        </is>
      </c>
      <c r="B2689" t="inlineStr">
        <is>
          <t>PT12860</t>
        </is>
      </c>
      <c r="C2689" t="inlineStr">
        <is>
          <t>Inpatient</t>
        </is>
      </c>
      <c r="D2689" t="inlineStr">
        <is>
          <t>Cedar Ridge Medical Center</t>
        </is>
      </c>
      <c r="E2689" t="inlineStr">
        <is>
          <t>Cardiac Step-Down</t>
        </is>
      </c>
      <c r="F2689" t="inlineStr">
        <is>
          <t>Cardiovascular</t>
        </is>
      </c>
      <c r="G2689" s="29" t="n">
        <v>46017</v>
      </c>
      <c r="H2689" s="29" t="n">
        <v>46020</v>
      </c>
      <c r="I2689" s="30" t="n">
        <v>3</v>
      </c>
      <c r="J2689" t="inlineStr">
        <is>
          <t>I48.91</t>
        </is>
      </c>
      <c r="K2689" t="inlineStr">
        <is>
          <t>Unspecified atrial fibrillation</t>
        </is>
      </c>
      <c r="L2689" t="inlineStr">
        <is>
          <t>Circulatory</t>
        </is>
      </c>
      <c r="M2689" t="inlineStr">
        <is>
          <t>Home/Self-Care</t>
        </is>
      </c>
      <c r="N2689" t="inlineStr">
        <is>
          <t>Self-Pay</t>
        </is>
      </c>
      <c r="O2689" s="31" t="n">
        <v>27034.35</v>
      </c>
      <c r="P2689" t="inlineStr">
        <is>
          <t>N</t>
        </is>
      </c>
    </row>
    <row r="2690">
      <c r="A2690" t="inlineStr">
        <is>
          <t>ENC121697</t>
        </is>
      </c>
      <c r="B2690" t="inlineStr">
        <is>
          <t>PT12684</t>
        </is>
      </c>
      <c r="C2690" t="inlineStr">
        <is>
          <t>Inpatient</t>
        </is>
      </c>
      <c r="D2690" t="inlineStr">
        <is>
          <t>Bluestone Memorial Hospital</t>
        </is>
      </c>
      <c r="E2690" t="inlineStr">
        <is>
          <t>Medical-Surgical 5 East</t>
        </is>
      </c>
      <c r="F2690" t="inlineStr">
        <is>
          <t>Medicine</t>
        </is>
      </c>
      <c r="G2690" s="29" t="n">
        <v>46017</v>
      </c>
      <c r="H2690" s="29" t="n">
        <v>46021</v>
      </c>
      <c r="I2690" s="30" t="n">
        <v>4</v>
      </c>
      <c r="J2690" t="inlineStr">
        <is>
          <t>J44.1</t>
        </is>
      </c>
      <c r="K2690" t="inlineStr">
        <is>
          <t>Chronic obstructive pulmonary disease with (acute) exacerbation</t>
        </is>
      </c>
      <c r="L2690" t="inlineStr">
        <is>
          <t>Respiratory</t>
        </is>
      </c>
      <c r="M2690" t="inlineStr">
        <is>
          <t>Home/Self-Care</t>
        </is>
      </c>
      <c r="N2690" t="inlineStr">
        <is>
          <t>Summit Choice PPO</t>
        </is>
      </c>
      <c r="O2690" s="31" t="n">
        <v>22737.04</v>
      </c>
      <c r="P2690" t="inlineStr">
        <is>
          <t>N</t>
        </is>
      </c>
    </row>
    <row r="2691">
      <c r="A2691" t="inlineStr">
        <is>
          <t>ENC121702</t>
        </is>
      </c>
      <c r="B2691" t="inlineStr">
        <is>
          <t>PT10832</t>
        </is>
      </c>
      <c r="C2691" t="inlineStr">
        <is>
          <t>Outpatient</t>
        </is>
      </c>
      <c r="D2691" t="inlineStr">
        <is>
          <t>Bluestone Outpatient Pavilion</t>
        </is>
      </c>
      <c r="E2691" t="inlineStr">
        <is>
          <t>Primary Care Clinic</t>
        </is>
      </c>
      <c r="F2691" t="inlineStr">
        <is>
          <t>Ambulatory</t>
        </is>
      </c>
      <c r="G2691" s="29" t="n">
        <v>46017</v>
      </c>
      <c r="H2691" s="29" t="n">
        <v>46017</v>
      </c>
      <c r="I2691" s="30" t="n"/>
      <c r="J2691" t="inlineStr">
        <is>
          <t>Z23</t>
        </is>
      </c>
      <c r="K2691" t="inlineStr">
        <is>
          <t>Encounter for immunization</t>
        </is>
      </c>
      <c r="L2691" t="inlineStr">
        <is>
          <t>Factors Influencing Health</t>
        </is>
      </c>
      <c r="M2691" t="inlineStr">
        <is>
          <t>Home/Self-Care</t>
        </is>
      </c>
      <c r="N2691" t="inlineStr">
        <is>
          <t>Keystone Health Partners</t>
        </is>
      </c>
      <c r="O2691" s="31" t="n">
        <v>102.83</v>
      </c>
    </row>
    <row r="2692">
      <c r="A2692" t="inlineStr">
        <is>
          <t>ENC121703</t>
        </is>
      </c>
      <c r="B2692" t="inlineStr">
        <is>
          <t>PT13788</t>
        </is>
      </c>
      <c r="C2692" t="inlineStr">
        <is>
          <t>Outpatient</t>
        </is>
      </c>
      <c r="D2692" t="inlineStr">
        <is>
          <t>Bluestone Outpatient Pavilion</t>
        </is>
      </c>
      <c r="E2692" t="inlineStr">
        <is>
          <t>Cardiology Clinic</t>
        </is>
      </c>
      <c r="F2692" t="inlineStr">
        <is>
          <t>Cardiovascular</t>
        </is>
      </c>
      <c r="G2692" s="29" t="n">
        <v>46017</v>
      </c>
      <c r="H2692" s="29" t="n">
        <v>46017</v>
      </c>
      <c r="I2692" s="30" t="n"/>
      <c r="J2692" t="inlineStr">
        <is>
          <t>I50.9</t>
        </is>
      </c>
      <c r="K2692" t="inlineStr">
        <is>
          <t>Heart failure, unspecified</t>
        </is>
      </c>
      <c r="L2692" t="inlineStr">
        <is>
          <t>Circulatory</t>
        </is>
      </c>
      <c r="M2692" t="inlineStr">
        <is>
          <t>Home/Self-Care</t>
        </is>
      </c>
      <c r="N2692" t="inlineStr">
        <is>
          <t>Silverline Medicare Advantage</t>
        </is>
      </c>
      <c r="O2692" s="31" t="n">
        <v>277.81</v>
      </c>
    </row>
    <row r="2693">
      <c r="A2693" t="inlineStr">
        <is>
          <t>ENC121706</t>
        </is>
      </c>
      <c r="B2693" t="inlineStr">
        <is>
          <t>PT13372</t>
        </is>
      </c>
      <c r="C2693" t="inlineStr">
        <is>
          <t>Outpatient</t>
        </is>
      </c>
      <c r="D2693" t="inlineStr">
        <is>
          <t>Bluestone Outpatient Pavilion</t>
        </is>
      </c>
      <c r="E2693" t="inlineStr">
        <is>
          <t>Primary Care Clinic</t>
        </is>
      </c>
      <c r="F2693" t="inlineStr">
        <is>
          <t>Ambulatory</t>
        </is>
      </c>
      <c r="G2693" s="29" t="n">
        <v>46017</v>
      </c>
      <c r="H2693" s="29" t="n">
        <v>46017</v>
      </c>
      <c r="I2693" s="30" t="n"/>
      <c r="J2693" t="inlineStr">
        <is>
          <t>I10</t>
        </is>
      </c>
      <c r="K2693" t="inlineStr">
        <is>
          <t>Essential (primary) hypertension</t>
        </is>
      </c>
      <c r="L2693" t="inlineStr">
        <is>
          <t>Circulatory</t>
        </is>
      </c>
      <c r="M2693" t="inlineStr">
        <is>
          <t>Home/Self-Care</t>
        </is>
      </c>
      <c r="N2693" t="inlineStr">
        <is>
          <t>Silverline Medicare Advantage</t>
        </is>
      </c>
      <c r="O2693" s="31" t="n">
        <v>156.99</v>
      </c>
    </row>
    <row r="2694">
      <c r="A2694" t="inlineStr">
        <is>
          <t>ENC121711</t>
        </is>
      </c>
      <c r="B2694" t="inlineStr">
        <is>
          <t>PT11884</t>
        </is>
      </c>
      <c r="C2694" t="inlineStr">
        <is>
          <t>Inpatient</t>
        </is>
      </c>
      <c r="D2694" t="inlineStr">
        <is>
          <t>Bluestone Memorial Hospital</t>
        </is>
      </c>
      <c r="E2694" t="inlineStr">
        <is>
          <t>Medical-Surgical 4 West</t>
        </is>
      </c>
      <c r="F2694" t="inlineStr">
        <is>
          <t>Medicine</t>
        </is>
      </c>
      <c r="G2694" s="29" t="n">
        <v>46017</v>
      </c>
      <c r="H2694" s="29" t="n">
        <v>46021</v>
      </c>
      <c r="I2694" s="30" t="n">
        <v>4</v>
      </c>
      <c r="J2694" t="inlineStr">
        <is>
          <t>E86.0</t>
        </is>
      </c>
      <c r="K2694" t="inlineStr">
        <is>
          <t>Dehydration</t>
        </is>
      </c>
      <c r="L2694" t="inlineStr">
        <is>
          <t>Endocrine</t>
        </is>
      </c>
      <c r="M2694" t="inlineStr">
        <is>
          <t>Home Health</t>
        </is>
      </c>
      <c r="N2694" t="inlineStr">
        <is>
          <t>Silverline Medicare Advantage</t>
        </is>
      </c>
      <c r="O2694" s="31" t="n">
        <v>18872.54</v>
      </c>
      <c r="P2694" t="inlineStr">
        <is>
          <t>N</t>
        </is>
      </c>
    </row>
    <row r="2695">
      <c r="A2695" t="inlineStr">
        <is>
          <t>ENC121714</t>
        </is>
      </c>
      <c r="B2695" t="inlineStr">
        <is>
          <t>PT11556</t>
        </is>
      </c>
      <c r="C2695" t="inlineStr">
        <is>
          <t>Outpatient</t>
        </is>
      </c>
      <c r="D2695" t="inlineStr">
        <is>
          <t>Bluestone Outpatient Pavilion</t>
        </is>
      </c>
      <c r="E2695" t="inlineStr">
        <is>
          <t>Pediatric Clinic</t>
        </is>
      </c>
      <c r="F2695" t="inlineStr">
        <is>
          <t>Women &amp; Children</t>
        </is>
      </c>
      <c r="G2695" s="29" t="n">
        <v>46017</v>
      </c>
      <c r="H2695" s="29" t="n">
        <v>46017</v>
      </c>
      <c r="I2695" s="30" t="n"/>
      <c r="J2695" t="inlineStr">
        <is>
          <t>J45.909</t>
        </is>
      </c>
      <c r="K2695" t="inlineStr">
        <is>
          <t>Unspecified asthma, uncomplicated</t>
        </is>
      </c>
      <c r="L2695" t="inlineStr">
        <is>
          <t>Respiratory</t>
        </is>
      </c>
      <c r="M2695" t="inlineStr">
        <is>
          <t>Home/Self-Care</t>
        </is>
      </c>
      <c r="N2695" t="inlineStr">
        <is>
          <t>Keystone Health Partners</t>
        </is>
      </c>
      <c r="O2695" s="31" t="n">
        <v>455.22</v>
      </c>
    </row>
    <row r="2696">
      <c r="A2696" t="inlineStr">
        <is>
          <t>ENC121715</t>
        </is>
      </c>
      <c r="B2696" t="inlineStr">
        <is>
          <t>PT10536</t>
        </is>
      </c>
      <c r="C2696" t="inlineStr">
        <is>
          <t>Emergency</t>
        </is>
      </c>
      <c r="D2696" t="inlineStr">
        <is>
          <t>Ashby Falls Community Hospital</t>
        </is>
      </c>
      <c r="E2696" t="inlineStr">
        <is>
          <t>Emergency Department</t>
        </is>
      </c>
      <c r="F2696" t="inlineStr">
        <is>
          <t>Emergency</t>
        </is>
      </c>
      <c r="G2696" s="29" t="n">
        <v>46017</v>
      </c>
      <c r="H2696" s="29" t="n">
        <v>46017</v>
      </c>
      <c r="I2696" s="30" t="n"/>
      <c r="J2696" t="inlineStr">
        <is>
          <t>J06.9</t>
        </is>
      </c>
      <c r="K2696" t="inlineStr">
        <is>
          <t>Acute upper respiratory infection, unspecified</t>
        </is>
      </c>
      <c r="L2696" t="inlineStr">
        <is>
          <t>Respiratory</t>
        </is>
      </c>
      <c r="M2696" t="inlineStr">
        <is>
          <t>Left Without Being Seen</t>
        </is>
      </c>
      <c r="N2696" t="inlineStr">
        <is>
          <t>Keystone Health Partners</t>
        </is>
      </c>
      <c r="O2696" s="31" t="n">
        <v>1190.23</v>
      </c>
    </row>
    <row r="2697">
      <c r="A2697" t="inlineStr">
        <is>
          <t>ENC121716</t>
        </is>
      </c>
      <c r="B2697" t="inlineStr">
        <is>
          <t>PT11164</t>
        </is>
      </c>
      <c r="C2697" t="inlineStr">
        <is>
          <t>Outpatient</t>
        </is>
      </c>
      <c r="D2697" t="inlineStr">
        <is>
          <t>Bluestone Outpatient Pavilion</t>
        </is>
      </c>
      <c r="E2697" t="inlineStr">
        <is>
          <t>Pediatric Clinic</t>
        </is>
      </c>
      <c r="F2697" t="inlineStr">
        <is>
          <t>Women &amp; Children</t>
        </is>
      </c>
      <c r="G2697" s="29" t="n">
        <v>46017</v>
      </c>
      <c r="H2697" s="29" t="n">
        <v>46017</v>
      </c>
      <c r="I2697" s="30" t="n"/>
      <c r="J2697" t="inlineStr">
        <is>
          <t>Z00.129</t>
        </is>
      </c>
      <c r="K2697" t="inlineStr">
        <is>
          <t>Encounter for routine child health examination without abnormal findings</t>
        </is>
      </c>
      <c r="L2697" t="inlineStr">
        <is>
          <t>Factors Influencing Health</t>
        </is>
      </c>
      <c r="M2697" t="inlineStr">
        <is>
          <t>Home/Self-Care</t>
        </is>
      </c>
      <c r="N2697" t="inlineStr">
        <is>
          <t>State Medicaid</t>
        </is>
      </c>
      <c r="O2697" s="31" t="n">
        <v>428.62</v>
      </c>
    </row>
    <row r="2698">
      <c r="A2698" t="inlineStr">
        <is>
          <t>ENC121717</t>
        </is>
      </c>
      <c r="B2698" t="inlineStr">
        <is>
          <t>PT13412</t>
        </is>
      </c>
      <c r="C2698" t="inlineStr">
        <is>
          <t>Outpatient</t>
        </is>
      </c>
      <c r="D2698" t="inlineStr">
        <is>
          <t>Bluestone Outpatient Pavilion</t>
        </is>
      </c>
      <c r="E2698" t="inlineStr">
        <is>
          <t>Endocrinology &amp; Diabetes Clinic</t>
        </is>
      </c>
      <c r="F2698" t="inlineStr">
        <is>
          <t>Ambulatory</t>
        </is>
      </c>
      <c r="G2698" s="29" t="n">
        <v>46017</v>
      </c>
      <c r="H2698" s="29" t="n">
        <v>46017</v>
      </c>
      <c r="I2698" s="30" t="n"/>
      <c r="J2698" t="inlineStr">
        <is>
          <t>E11.65</t>
        </is>
      </c>
      <c r="K2698" t="inlineStr">
        <is>
          <t>Type 2 diabetes mellitus with hyperglycemia</t>
        </is>
      </c>
      <c r="L2698" t="inlineStr">
        <is>
          <t>Endocrine</t>
        </is>
      </c>
      <c r="M2698" t="inlineStr">
        <is>
          <t>Home/Self-Care</t>
        </is>
      </c>
      <c r="N2698" t="inlineStr">
        <is>
          <t>Medicare</t>
        </is>
      </c>
      <c r="O2698" s="31" t="n">
        <v>450.2</v>
      </c>
    </row>
    <row r="2699">
      <c r="A2699" t="inlineStr">
        <is>
          <t>ENC121718</t>
        </is>
      </c>
      <c r="B2699" t="inlineStr">
        <is>
          <t>PT12308</t>
        </is>
      </c>
      <c r="C2699" t="inlineStr">
        <is>
          <t>Outpatient</t>
        </is>
      </c>
      <c r="D2699" t="inlineStr">
        <is>
          <t>Bluestone Outpatient Pavilion</t>
        </is>
      </c>
      <c r="E2699" t="inlineStr">
        <is>
          <t>Endocrinology &amp; Diabetes Clinic</t>
        </is>
      </c>
      <c r="F2699" t="inlineStr">
        <is>
          <t>Ambulatory</t>
        </is>
      </c>
      <c r="G2699" s="29" t="n">
        <v>46017</v>
      </c>
      <c r="H2699" s="29" t="n">
        <v>46017</v>
      </c>
      <c r="I2699" s="30" t="n"/>
      <c r="J2699" t="inlineStr">
        <is>
          <t>E11.9</t>
        </is>
      </c>
      <c r="K2699" t="inlineStr">
        <is>
          <t>Type 2 diabetes mellitus without complications</t>
        </is>
      </c>
      <c r="L2699" t="inlineStr">
        <is>
          <t>Endocrine</t>
        </is>
      </c>
      <c r="M2699" t="inlineStr">
        <is>
          <t>Home/Self-Care</t>
        </is>
      </c>
      <c r="N2699" t="inlineStr">
        <is>
          <t>Medicare</t>
        </is>
      </c>
      <c r="O2699" s="31" t="n">
        <v>362.69</v>
      </c>
    </row>
    <row r="2700">
      <c r="A2700" t="inlineStr">
        <is>
          <t>ENC121722</t>
        </is>
      </c>
      <c r="B2700" t="inlineStr">
        <is>
          <t>PT12624</t>
        </is>
      </c>
      <c r="C2700" t="inlineStr">
        <is>
          <t>Emergency</t>
        </is>
      </c>
      <c r="D2700" t="inlineStr">
        <is>
          <t>Bluestone Memorial Hospital</t>
        </is>
      </c>
      <c r="E2700" t="inlineStr">
        <is>
          <t>Emergency Department</t>
        </is>
      </c>
      <c r="F2700" t="inlineStr">
        <is>
          <t>Emergency</t>
        </is>
      </c>
      <c r="G2700" s="29" t="n">
        <v>46017</v>
      </c>
      <c r="H2700" s="29" t="n">
        <v>46017</v>
      </c>
      <c r="I2700" s="30" t="n"/>
      <c r="J2700" t="inlineStr">
        <is>
          <t>J06.9</t>
        </is>
      </c>
      <c r="K2700" t="inlineStr">
        <is>
          <t>Acute upper respiratory infection, unspecified</t>
        </is>
      </c>
      <c r="L2700" t="inlineStr">
        <is>
          <t>Respiratory</t>
        </is>
      </c>
      <c r="M2700" t="inlineStr">
        <is>
          <t>Home/Self-Care</t>
        </is>
      </c>
      <c r="N2700" t="inlineStr">
        <is>
          <t>Medicare</t>
        </is>
      </c>
      <c r="O2700" s="31" t="n">
        <v>1795.42</v>
      </c>
    </row>
    <row r="2701">
      <c r="A2701" t="inlineStr">
        <is>
          <t>ENC121730</t>
        </is>
      </c>
      <c r="B2701" t="inlineStr">
        <is>
          <t>PT11256</t>
        </is>
      </c>
      <c r="C2701" t="inlineStr">
        <is>
          <t>Emergency</t>
        </is>
      </c>
      <c r="D2701" t="inlineStr">
        <is>
          <t>Bluestone Memorial Hospital</t>
        </is>
      </c>
      <c r="E2701" t="inlineStr">
        <is>
          <t>Emergency Department</t>
        </is>
      </c>
      <c r="F2701" t="inlineStr">
        <is>
          <t>Emergency</t>
        </is>
      </c>
      <c r="G2701" s="29" t="n">
        <v>46018</v>
      </c>
      <c r="H2701" s="29" t="n">
        <v>46018</v>
      </c>
      <c r="I2701" s="30" t="n"/>
      <c r="J2701" t="inlineStr">
        <is>
          <t>R10.9</t>
        </is>
      </c>
      <c r="K2701" t="inlineStr">
        <is>
          <t>Unspecified abdominal pain</t>
        </is>
      </c>
      <c r="L2701" t="inlineStr">
        <is>
          <t>Symptoms &amp; Signs</t>
        </is>
      </c>
      <c r="M2701" t="inlineStr">
        <is>
          <t>Home/Self-Care</t>
        </is>
      </c>
      <c r="N2701" t="inlineStr">
        <is>
          <t>Keystone Health Partners</t>
        </is>
      </c>
      <c r="O2701" s="31" t="n">
        <v>3685.83</v>
      </c>
    </row>
    <row r="2702">
      <c r="A2702" t="inlineStr">
        <is>
          <t>ENC121731</t>
        </is>
      </c>
      <c r="B2702" t="inlineStr">
        <is>
          <t>PT10816</t>
        </is>
      </c>
      <c r="C2702" t="inlineStr">
        <is>
          <t>Emergency</t>
        </is>
      </c>
      <c r="D2702" t="inlineStr">
        <is>
          <t>Bluestone Memorial Hospital</t>
        </is>
      </c>
      <c r="E2702" t="inlineStr">
        <is>
          <t>Emergency Department</t>
        </is>
      </c>
      <c r="F2702" t="inlineStr">
        <is>
          <t>Emergency</t>
        </is>
      </c>
      <c r="G2702" s="29" t="n">
        <v>46018</v>
      </c>
      <c r="H2702" s="29" t="n">
        <v>46018</v>
      </c>
      <c r="I2702" s="30" t="n"/>
      <c r="J2702" t="inlineStr">
        <is>
          <t>H66.90</t>
        </is>
      </c>
      <c r="K2702" t="inlineStr">
        <is>
          <t>Otitis media, unspecified, unspecified ear</t>
        </is>
      </c>
      <c r="L2702" t="inlineStr">
        <is>
          <t>Ear</t>
        </is>
      </c>
      <c r="M2702" t="inlineStr">
        <is>
          <t>Home/Self-Care</t>
        </is>
      </c>
      <c r="N2702" t="inlineStr">
        <is>
          <t>Summit Choice PPO</t>
        </is>
      </c>
      <c r="O2702" s="31" t="n">
        <v>573.41</v>
      </c>
    </row>
    <row r="2703">
      <c r="A2703" t="inlineStr">
        <is>
          <t>ENC121744</t>
        </is>
      </c>
      <c r="B2703" t="inlineStr">
        <is>
          <t>PT11568</t>
        </is>
      </c>
      <c r="C2703" t="inlineStr">
        <is>
          <t>Emergency</t>
        </is>
      </c>
      <c r="D2703" t="inlineStr">
        <is>
          <t>Bluestone Memorial Hospital</t>
        </is>
      </c>
      <c r="E2703" t="inlineStr">
        <is>
          <t>Emergency Department</t>
        </is>
      </c>
      <c r="F2703" t="inlineStr">
        <is>
          <t>Emergency</t>
        </is>
      </c>
      <c r="G2703" s="29" t="n">
        <v>46019</v>
      </c>
      <c r="H2703" s="29" t="n">
        <v>46019</v>
      </c>
      <c r="I2703" s="30" t="n"/>
      <c r="J2703" t="inlineStr">
        <is>
          <t>I10</t>
        </is>
      </c>
      <c r="K2703" t="inlineStr">
        <is>
          <t>Essential (primary) hypertension</t>
        </is>
      </c>
      <c r="L2703" t="inlineStr">
        <is>
          <t>Circulatory</t>
        </is>
      </c>
      <c r="M2703" t="inlineStr">
        <is>
          <t>Home/Self-Care</t>
        </is>
      </c>
      <c r="N2703" t="inlineStr">
        <is>
          <t>Self-Pay</t>
        </is>
      </c>
      <c r="O2703" s="31" t="n">
        <v>1678.86</v>
      </c>
    </row>
    <row r="2704">
      <c r="A2704" t="inlineStr">
        <is>
          <t>ENC121750</t>
        </is>
      </c>
      <c r="B2704" t="inlineStr">
        <is>
          <t>PT13284</t>
        </is>
      </c>
      <c r="C2704" t="inlineStr">
        <is>
          <t>Emergency</t>
        </is>
      </c>
      <c r="D2704" t="inlineStr">
        <is>
          <t>Ashby Falls Community Hospital</t>
        </is>
      </c>
      <c r="E2704" t="inlineStr">
        <is>
          <t>Emergency Department</t>
        </is>
      </c>
      <c r="F2704" t="inlineStr">
        <is>
          <t>Emergency</t>
        </is>
      </c>
      <c r="G2704" s="29" t="n">
        <v>46019</v>
      </c>
      <c r="H2704" s="29" t="n">
        <v>46019</v>
      </c>
      <c r="I2704" s="30" t="n"/>
      <c r="J2704" t="inlineStr">
        <is>
          <t>R07.9</t>
        </is>
      </c>
      <c r="K2704" t="inlineStr">
        <is>
          <t>Chest pain, unspecified</t>
        </is>
      </c>
      <c r="L2704" t="inlineStr">
        <is>
          <t>Symptoms &amp; Signs</t>
        </is>
      </c>
      <c r="M2704" t="inlineStr">
        <is>
          <t>Left Without Being Seen</t>
        </is>
      </c>
      <c r="N2704" t="inlineStr">
        <is>
          <t>Medicare</t>
        </is>
      </c>
      <c r="O2704" s="31" t="n">
        <v>1212.2</v>
      </c>
    </row>
    <row r="2705">
      <c r="A2705" t="inlineStr">
        <is>
          <t>ENC121752</t>
        </is>
      </c>
      <c r="B2705" t="inlineStr">
        <is>
          <t>PT10608</t>
        </is>
      </c>
      <c r="C2705" t="inlineStr">
        <is>
          <t>Emergency</t>
        </is>
      </c>
      <c r="D2705" t="inlineStr">
        <is>
          <t>Bluestone Memorial Hospital</t>
        </is>
      </c>
      <c r="E2705" t="inlineStr">
        <is>
          <t>Emergency Department</t>
        </is>
      </c>
      <c r="F2705" t="inlineStr">
        <is>
          <t>Emergency</t>
        </is>
      </c>
      <c r="G2705" s="29" t="n">
        <v>46019</v>
      </c>
      <c r="H2705" s="29" t="n">
        <v>46019</v>
      </c>
      <c r="I2705" s="30" t="n"/>
      <c r="J2705" t="inlineStr">
        <is>
          <t>M54.50</t>
        </is>
      </c>
      <c r="K2705" t="inlineStr">
        <is>
          <t>Low back pain, unspecified</t>
        </is>
      </c>
      <c r="L2705" t="inlineStr">
        <is>
          <t>Musculoskeletal</t>
        </is>
      </c>
      <c r="M2705" t="inlineStr">
        <is>
          <t>Left Without Being Seen</t>
        </is>
      </c>
      <c r="N2705" t="inlineStr">
        <is>
          <t>Silverline Medicare Advantage</t>
        </is>
      </c>
      <c r="O2705" s="31" t="n">
        <v>666.85</v>
      </c>
    </row>
    <row r="2706">
      <c r="A2706" t="inlineStr">
        <is>
          <t>ENC121768</t>
        </is>
      </c>
      <c r="B2706" t="inlineStr">
        <is>
          <t>PT10028</t>
        </is>
      </c>
      <c r="C2706" t="inlineStr">
        <is>
          <t>Outpatient</t>
        </is>
      </c>
      <c r="D2706" t="inlineStr">
        <is>
          <t>Bluestone Outpatient Pavilion</t>
        </is>
      </c>
      <c r="E2706" t="inlineStr">
        <is>
          <t>Pediatric Clinic</t>
        </is>
      </c>
      <c r="F2706" t="inlineStr">
        <is>
          <t>Women &amp; Children</t>
        </is>
      </c>
      <c r="G2706" s="29" t="n">
        <v>46020</v>
      </c>
      <c r="H2706" s="29" t="n">
        <v>46020</v>
      </c>
      <c r="I2706" s="30" t="n"/>
      <c r="J2706" t="inlineStr">
        <is>
          <t>H66.90</t>
        </is>
      </c>
      <c r="K2706" t="inlineStr">
        <is>
          <t>Otitis media, unspecified, unspecified ear</t>
        </is>
      </c>
      <c r="L2706" t="inlineStr">
        <is>
          <t>Ear</t>
        </is>
      </c>
      <c r="M2706" t="inlineStr">
        <is>
          <t>Home/Self-Care</t>
        </is>
      </c>
      <c r="N2706" t="inlineStr">
        <is>
          <t>Keystone Health Partners</t>
        </is>
      </c>
      <c r="O2706" s="31" t="n">
        <v>354.47</v>
      </c>
    </row>
    <row r="2707">
      <c r="A2707" t="inlineStr">
        <is>
          <t>ENC121770</t>
        </is>
      </c>
      <c r="B2707" t="inlineStr">
        <is>
          <t>PT10568</t>
        </is>
      </c>
      <c r="C2707" t="inlineStr">
        <is>
          <t>Outpatient</t>
        </is>
      </c>
      <c r="D2707" t="inlineStr">
        <is>
          <t>Bluestone Outpatient Pavilion</t>
        </is>
      </c>
      <c r="E2707" t="inlineStr">
        <is>
          <t>Primary Care Clinic</t>
        </is>
      </c>
      <c r="F2707" t="inlineStr">
        <is>
          <t>Ambulatory</t>
        </is>
      </c>
      <c r="G2707" s="29" t="n">
        <v>46020</v>
      </c>
      <c r="H2707" s="29" t="n">
        <v>46020</v>
      </c>
      <c r="I2707" s="30" t="n"/>
      <c r="J2707" t="inlineStr">
        <is>
          <t>Z00.00</t>
        </is>
      </c>
      <c r="K2707" t="inlineStr">
        <is>
          <t>Encounter for general adult medical examination without abnormal findings</t>
        </is>
      </c>
      <c r="L2707" t="inlineStr">
        <is>
          <t>Factors Influencing Health</t>
        </is>
      </c>
      <c r="M2707" t="inlineStr">
        <is>
          <t>Home/Self-Care</t>
        </is>
      </c>
      <c r="N2707" t="inlineStr">
        <is>
          <t>Silverline Medicare Advantage</t>
        </is>
      </c>
      <c r="O2707" s="31" t="n">
        <v>283.66</v>
      </c>
    </row>
    <row r="2708">
      <c r="A2708" t="inlineStr">
        <is>
          <t>ENC121774</t>
        </is>
      </c>
      <c r="B2708" t="inlineStr">
        <is>
          <t>PT12744</t>
        </is>
      </c>
      <c r="C2708" t="inlineStr">
        <is>
          <t>Outpatient</t>
        </is>
      </c>
      <c r="D2708" t="inlineStr">
        <is>
          <t>Bluestone Outpatient Pavilion</t>
        </is>
      </c>
      <c r="E2708" t="inlineStr">
        <is>
          <t>Infusion &amp; Oncology Clinic</t>
        </is>
      </c>
      <c r="F2708" t="inlineStr">
        <is>
          <t>Oncology</t>
        </is>
      </c>
      <c r="G2708" s="29" t="n">
        <v>46020</v>
      </c>
      <c r="H2708" s="29" t="n">
        <v>46020</v>
      </c>
      <c r="I2708" s="30" t="n"/>
      <c r="J2708" t="inlineStr">
        <is>
          <t>Z51.11</t>
        </is>
      </c>
      <c r="K2708" t="inlineStr">
        <is>
          <t>Encounter for antineoplastic chemotherapy</t>
        </is>
      </c>
      <c r="L2708" t="inlineStr">
        <is>
          <t>Factors Influencing Health</t>
        </is>
      </c>
      <c r="M2708" t="inlineStr">
        <is>
          <t>Home/Self-Care</t>
        </is>
      </c>
      <c r="N2708" t="inlineStr">
        <is>
          <t>State Medicaid</t>
        </is>
      </c>
      <c r="O2708" s="31" t="n">
        <v>8400.440000000001</v>
      </c>
    </row>
    <row r="2709">
      <c r="A2709" t="inlineStr">
        <is>
          <t>ENC121780</t>
        </is>
      </c>
      <c r="B2709" t="inlineStr">
        <is>
          <t>PT13348</t>
        </is>
      </c>
      <c r="C2709" t="inlineStr">
        <is>
          <t>Outpatient</t>
        </is>
      </c>
      <c r="D2709" t="inlineStr">
        <is>
          <t>Bluestone Outpatient Pavilion</t>
        </is>
      </c>
      <c r="E2709" t="inlineStr">
        <is>
          <t>Infusion &amp; Oncology Clinic</t>
        </is>
      </c>
      <c r="F2709" t="inlineStr">
        <is>
          <t>Oncology</t>
        </is>
      </c>
      <c r="G2709" s="29" t="n">
        <v>46020</v>
      </c>
      <c r="H2709" s="29" t="n">
        <v>46020</v>
      </c>
      <c r="I2709" s="30" t="n"/>
      <c r="J2709" t="inlineStr">
        <is>
          <t>C34.90</t>
        </is>
      </c>
      <c r="K2709" t="inlineStr">
        <is>
          <t>Malignant neoplasm of unspecified part of unspecified bronchus or lung</t>
        </is>
      </c>
      <c r="L2709" t="inlineStr">
        <is>
          <t>Neoplasms</t>
        </is>
      </c>
      <c r="M2709" t="inlineStr">
        <is>
          <t>Home/Self-Care</t>
        </is>
      </c>
      <c r="N2709" t="inlineStr">
        <is>
          <t>Self-Pay</t>
        </is>
      </c>
      <c r="O2709" s="31" t="n">
        <v>1061.07</v>
      </c>
    </row>
    <row r="2710">
      <c r="A2710" t="inlineStr">
        <is>
          <t>ENC121786</t>
        </is>
      </c>
      <c r="B2710" t="inlineStr">
        <is>
          <t>PT10496</t>
        </is>
      </c>
      <c r="C2710" t="inlineStr">
        <is>
          <t>Emergency</t>
        </is>
      </c>
      <c r="D2710" t="inlineStr">
        <is>
          <t>Bluestone Memorial Hospital</t>
        </is>
      </c>
      <c r="E2710" t="inlineStr">
        <is>
          <t>Emergency Department</t>
        </is>
      </c>
      <c r="F2710" t="inlineStr">
        <is>
          <t>Emergency</t>
        </is>
      </c>
      <c r="G2710" s="29" t="n">
        <v>46020</v>
      </c>
      <c r="H2710" s="29" t="n">
        <v>46020</v>
      </c>
      <c r="I2710" s="30" t="n"/>
      <c r="J2710" t="inlineStr">
        <is>
          <t>N39.0</t>
        </is>
      </c>
      <c r="K2710" t="inlineStr">
        <is>
          <t>Urinary tract infection, site not specified</t>
        </is>
      </c>
      <c r="L2710" t="inlineStr">
        <is>
          <t>Genitourinary</t>
        </is>
      </c>
      <c r="M2710" t="inlineStr">
        <is>
          <t>Home/Self-Care</t>
        </is>
      </c>
      <c r="N2710" t="inlineStr">
        <is>
          <t>Silverline Medicare Advantage</t>
        </is>
      </c>
      <c r="O2710" s="31" t="n">
        <v>4566.33</v>
      </c>
    </row>
    <row r="2711">
      <c r="A2711" t="inlineStr">
        <is>
          <t>ENC121787</t>
        </is>
      </c>
      <c r="B2711" t="inlineStr">
        <is>
          <t>PT10240</t>
        </is>
      </c>
      <c r="C2711" t="inlineStr">
        <is>
          <t>Emergency</t>
        </is>
      </c>
      <c r="D2711" t="inlineStr">
        <is>
          <t>Bluestone Memorial Hospital</t>
        </is>
      </c>
      <c r="E2711" t="inlineStr">
        <is>
          <t>Emergency Department</t>
        </is>
      </c>
      <c r="F2711" t="inlineStr">
        <is>
          <t>Emergency</t>
        </is>
      </c>
      <c r="G2711" s="29" t="n">
        <v>46020</v>
      </c>
      <c r="H2711" s="29" t="n">
        <v>46020</v>
      </c>
      <c r="I2711" s="30" t="n"/>
      <c r="J2711" t="inlineStr">
        <is>
          <t>J06.9</t>
        </is>
      </c>
      <c r="K2711" t="inlineStr">
        <is>
          <t>Acute upper respiratory infection, unspecified</t>
        </is>
      </c>
      <c r="L2711" t="inlineStr">
        <is>
          <t>Respiratory</t>
        </is>
      </c>
      <c r="M2711" t="inlineStr">
        <is>
          <t>Home/Self-Care</t>
        </is>
      </c>
      <c r="N2711" t="inlineStr">
        <is>
          <t>State Medicaid</t>
        </is>
      </c>
      <c r="O2711" s="31" t="n">
        <v>1437.58</v>
      </c>
    </row>
    <row r="2712">
      <c r="A2712" t="inlineStr">
        <is>
          <t>ENC121801</t>
        </is>
      </c>
      <c r="B2712" t="inlineStr">
        <is>
          <t>PT12984</t>
        </is>
      </c>
      <c r="C2712" t="inlineStr">
        <is>
          <t>Emergency</t>
        </is>
      </c>
      <c r="D2712" t="inlineStr">
        <is>
          <t>Bluestone Memorial Hospital</t>
        </is>
      </c>
      <c r="E2712" t="inlineStr">
        <is>
          <t>Emergency Department</t>
        </is>
      </c>
      <c r="F2712" t="inlineStr">
        <is>
          <t>Emergency</t>
        </is>
      </c>
      <c r="G2712" s="29" t="n">
        <v>46021</v>
      </c>
      <c r="H2712" s="29" t="n">
        <v>46021</v>
      </c>
      <c r="I2712" s="30" t="n"/>
      <c r="J2712" t="inlineStr">
        <is>
          <t>G43.909</t>
        </is>
      </c>
      <c r="K2712" t="inlineStr">
        <is>
          <t>Migraine, unspecified, not intractable, without status migrainosus</t>
        </is>
      </c>
      <c r="L2712" t="inlineStr">
        <is>
          <t>Nervous System</t>
        </is>
      </c>
      <c r="M2712" t="inlineStr">
        <is>
          <t>Home/Self-Care</t>
        </is>
      </c>
      <c r="N2712" t="inlineStr">
        <is>
          <t>Self-Pay</t>
        </is>
      </c>
      <c r="O2712" s="31" t="n">
        <v>945.97</v>
      </c>
    </row>
    <row r="2713">
      <c r="A2713" t="inlineStr">
        <is>
          <t>ENC121805</t>
        </is>
      </c>
      <c r="B2713" t="inlineStr">
        <is>
          <t>PT12672</t>
        </is>
      </c>
      <c r="C2713" t="inlineStr">
        <is>
          <t>Outpatient</t>
        </is>
      </c>
      <c r="D2713" t="inlineStr">
        <is>
          <t>Bluestone Outpatient Pavilion</t>
        </is>
      </c>
      <c r="E2713" t="inlineStr">
        <is>
          <t>Primary Care Clinic</t>
        </is>
      </c>
      <c r="F2713" t="inlineStr">
        <is>
          <t>Ambulatory</t>
        </is>
      </c>
      <c r="G2713" s="29" t="n">
        <v>46021</v>
      </c>
      <c r="H2713" s="29" t="n">
        <v>46021</v>
      </c>
      <c r="I2713" s="30" t="n"/>
      <c r="J2713" t="inlineStr">
        <is>
          <t>Z00.00</t>
        </is>
      </c>
      <c r="K2713" t="inlineStr">
        <is>
          <t>Encounter for general adult medical examination without abnormal findings</t>
        </is>
      </c>
      <c r="L2713" t="inlineStr">
        <is>
          <t>Factors Influencing Health</t>
        </is>
      </c>
      <c r="M2713" t="inlineStr">
        <is>
          <t>Home/Self-Care</t>
        </is>
      </c>
      <c r="N2713" t="inlineStr">
        <is>
          <t>Medicare</t>
        </is>
      </c>
      <c r="O2713" s="31" t="n">
        <v>317.91</v>
      </c>
    </row>
    <row r="2714">
      <c r="A2714" t="inlineStr">
        <is>
          <t>ENC121808</t>
        </is>
      </c>
      <c r="B2714" t="inlineStr">
        <is>
          <t>PT13752</t>
        </is>
      </c>
      <c r="C2714" t="inlineStr">
        <is>
          <t>Outpatient</t>
        </is>
      </c>
      <c r="D2714" t="inlineStr">
        <is>
          <t>Bluestone Outpatient Pavilion</t>
        </is>
      </c>
      <c r="E2714" t="inlineStr">
        <is>
          <t>Pediatric Clinic</t>
        </is>
      </c>
      <c r="F2714" t="inlineStr">
        <is>
          <t>Women &amp; Children</t>
        </is>
      </c>
      <c r="G2714" s="29" t="n">
        <v>46021</v>
      </c>
      <c r="H2714" s="29" t="n">
        <v>46021</v>
      </c>
      <c r="I2714" s="30" t="n"/>
      <c r="J2714" t="inlineStr">
        <is>
          <t>H66.90</t>
        </is>
      </c>
      <c r="K2714" t="inlineStr">
        <is>
          <t>Otitis media, unspecified, unspecified ear</t>
        </is>
      </c>
      <c r="L2714" t="inlineStr">
        <is>
          <t>Ear</t>
        </is>
      </c>
      <c r="M2714" t="inlineStr">
        <is>
          <t>Home/Self-Care</t>
        </is>
      </c>
      <c r="N2714" t="inlineStr">
        <is>
          <t>State Medicaid</t>
        </is>
      </c>
      <c r="O2714" s="31" t="n">
        <v>313.16</v>
      </c>
    </row>
    <row r="2715">
      <c r="A2715" t="inlineStr">
        <is>
          <t>ENC121810</t>
        </is>
      </c>
      <c r="B2715" t="inlineStr">
        <is>
          <t>PT11208</t>
        </is>
      </c>
      <c r="C2715" t="inlineStr">
        <is>
          <t>Emergency</t>
        </is>
      </c>
      <c r="D2715" t="inlineStr">
        <is>
          <t>Bluestone Memorial Hospital</t>
        </is>
      </c>
      <c r="E2715" t="inlineStr">
        <is>
          <t>Emergency Department</t>
        </is>
      </c>
      <c r="F2715" t="inlineStr">
        <is>
          <t>Emergency</t>
        </is>
      </c>
      <c r="G2715" s="29" t="n">
        <v>46021</v>
      </c>
      <c r="H2715" s="29" t="n">
        <v>46021</v>
      </c>
      <c r="I2715" s="30" t="n"/>
      <c r="J2715" t="inlineStr">
        <is>
          <t>J06.9</t>
        </is>
      </c>
      <c r="K2715" t="inlineStr">
        <is>
          <t>Acute upper respiratory infection, unspecified</t>
        </is>
      </c>
      <c r="L2715" t="inlineStr">
        <is>
          <t>Respiratory</t>
        </is>
      </c>
      <c r="M2715" t="inlineStr">
        <is>
          <t>Home/Self-Care</t>
        </is>
      </c>
      <c r="N2715" t="inlineStr">
        <is>
          <t>State Medicaid</t>
        </is>
      </c>
      <c r="O2715" s="31" t="n">
        <v>1479.82</v>
      </c>
    </row>
    <row r="2716">
      <c r="A2716" t="inlineStr">
        <is>
          <t>ENC121820</t>
        </is>
      </c>
      <c r="B2716" t="inlineStr">
        <is>
          <t>PT11452</t>
        </is>
      </c>
      <c r="C2716" t="inlineStr">
        <is>
          <t>Emergency</t>
        </is>
      </c>
      <c r="D2716" t="inlineStr">
        <is>
          <t>Cedar Ridge Medical Center</t>
        </is>
      </c>
      <c r="E2716" t="inlineStr">
        <is>
          <t>Emergency Department</t>
        </is>
      </c>
      <c r="F2716" t="inlineStr">
        <is>
          <t>Emergency</t>
        </is>
      </c>
      <c r="G2716" s="29" t="n">
        <v>46021</v>
      </c>
      <c r="H2716" s="29" t="n">
        <v>46021</v>
      </c>
      <c r="I2716" s="30" t="n"/>
      <c r="J2716" t="inlineStr">
        <is>
          <t>R07.9</t>
        </is>
      </c>
      <c r="K2716" t="inlineStr">
        <is>
          <t>Chest pain, unspecified</t>
        </is>
      </c>
      <c r="L2716" t="inlineStr">
        <is>
          <t>Symptoms &amp; Signs</t>
        </is>
      </c>
      <c r="M2716" t="inlineStr">
        <is>
          <t>Home/Self-Care</t>
        </is>
      </c>
      <c r="N2716" t="inlineStr">
        <is>
          <t>Keystone Health Partners</t>
        </is>
      </c>
      <c r="O2716" s="31" t="n">
        <v>4342.82</v>
      </c>
    </row>
    <row r="2717">
      <c r="A2717" t="inlineStr">
        <is>
          <t>ENC121830</t>
        </is>
      </c>
      <c r="B2717" t="inlineStr">
        <is>
          <t>PT12084</t>
        </is>
      </c>
      <c r="C2717" t="inlineStr">
        <is>
          <t>Emergency</t>
        </is>
      </c>
      <c r="D2717" t="inlineStr">
        <is>
          <t>Bluestone Memorial Hospital</t>
        </is>
      </c>
      <c r="E2717" t="inlineStr">
        <is>
          <t>Emergency Department</t>
        </is>
      </c>
      <c r="F2717" t="inlineStr">
        <is>
          <t>Emergency</t>
        </is>
      </c>
      <c r="G2717" s="29" t="n">
        <v>46022</v>
      </c>
      <c r="H2717" s="29" t="n">
        <v>46022</v>
      </c>
      <c r="I2717" s="30" t="n"/>
      <c r="J2717" t="inlineStr">
        <is>
          <t>J18.9</t>
        </is>
      </c>
      <c r="K2717" t="inlineStr">
        <is>
          <t>Pneumonia, unspecified organism</t>
        </is>
      </c>
      <c r="L2717" t="inlineStr">
        <is>
          <t>Respiratory</t>
        </is>
      </c>
      <c r="M2717" t="inlineStr">
        <is>
          <t>Home/Self-Care</t>
        </is>
      </c>
      <c r="N2717" t="inlineStr">
        <is>
          <t>Medicare</t>
        </is>
      </c>
      <c r="O2717" s="31" t="n">
        <v>1233.73</v>
      </c>
    </row>
    <row r="2718">
      <c r="A2718" t="inlineStr">
        <is>
          <t>ENC121831</t>
        </is>
      </c>
      <c r="B2718" t="inlineStr">
        <is>
          <t>PT10284</t>
        </is>
      </c>
      <c r="C2718" t="inlineStr">
        <is>
          <t>Outpatient</t>
        </is>
      </c>
      <c r="D2718" t="inlineStr">
        <is>
          <t>Bluestone Outpatient Pavilion</t>
        </is>
      </c>
      <c r="E2718" t="inlineStr">
        <is>
          <t>Primary Care Clinic</t>
        </is>
      </c>
      <c r="F2718" t="inlineStr">
        <is>
          <t>Ambulatory</t>
        </is>
      </c>
      <c r="G2718" s="29" t="n">
        <v>46022</v>
      </c>
      <c r="H2718" s="29" t="n">
        <v>46022</v>
      </c>
      <c r="I2718" s="30" t="n"/>
      <c r="J2718" t="inlineStr">
        <is>
          <t>K80.20</t>
        </is>
      </c>
      <c r="K2718" t="inlineStr">
        <is>
          <t>Calculus of gallbladder without cholecystitis without obstruction</t>
        </is>
      </c>
      <c r="L2718" t="inlineStr">
        <is>
          <t>Digestive</t>
        </is>
      </c>
      <c r="M2718" t="inlineStr">
        <is>
          <t>Home/Self-Care</t>
        </is>
      </c>
      <c r="N2718" t="inlineStr">
        <is>
          <t>State Medicaid</t>
        </is>
      </c>
      <c r="O2718" s="31" t="n">
        <v>199.07</v>
      </c>
    </row>
    <row r="2719">
      <c r="A2719" t="inlineStr">
        <is>
          <t>ENC121832</t>
        </is>
      </c>
      <c r="B2719" t="inlineStr">
        <is>
          <t>PT12048</t>
        </is>
      </c>
      <c r="C2719" t="inlineStr">
        <is>
          <t>Outpatient</t>
        </is>
      </c>
      <c r="D2719" t="inlineStr">
        <is>
          <t>Bluestone Outpatient Pavilion</t>
        </is>
      </c>
      <c r="E2719" t="inlineStr">
        <is>
          <t>Infusion &amp; Oncology Clinic</t>
        </is>
      </c>
      <c r="F2719" t="inlineStr">
        <is>
          <t>Oncology</t>
        </is>
      </c>
      <c r="G2719" s="29" t="n">
        <v>46022</v>
      </c>
      <c r="H2719" s="29" t="n">
        <v>46022</v>
      </c>
      <c r="I2719" s="30" t="n"/>
      <c r="J2719" t="inlineStr">
        <is>
          <t>Z51.11</t>
        </is>
      </c>
      <c r="K2719" t="inlineStr">
        <is>
          <t>Encounter for antineoplastic chemotherapy</t>
        </is>
      </c>
      <c r="L2719" t="inlineStr">
        <is>
          <t>Factors Influencing Health</t>
        </is>
      </c>
      <c r="M2719" t="inlineStr">
        <is>
          <t>Home/Self-Care</t>
        </is>
      </c>
      <c r="N2719" t="inlineStr">
        <is>
          <t>State Medicaid</t>
        </is>
      </c>
      <c r="O2719" s="31" t="n">
        <v>10471.59</v>
      </c>
    </row>
    <row r="2720">
      <c r="A2720" t="inlineStr">
        <is>
          <t>ENC121834</t>
        </is>
      </c>
      <c r="B2720" t="inlineStr">
        <is>
          <t>PT10416</t>
        </is>
      </c>
      <c r="C2720" t="inlineStr">
        <is>
          <t>Outpatient</t>
        </is>
      </c>
      <c r="D2720" t="inlineStr">
        <is>
          <t>Bluestone Outpatient Pavilion</t>
        </is>
      </c>
      <c r="E2720" t="inlineStr">
        <is>
          <t>Primary Care Clinic</t>
        </is>
      </c>
      <c r="F2720" t="inlineStr">
        <is>
          <t>Ambulatory</t>
        </is>
      </c>
      <c r="G2720" s="29" t="n">
        <v>46022</v>
      </c>
      <c r="H2720" s="29" t="n">
        <v>46022</v>
      </c>
      <c r="I2720" s="30" t="n"/>
      <c r="J2720" t="inlineStr">
        <is>
          <t>F32.9</t>
        </is>
      </c>
      <c r="K2720" t="inlineStr">
        <is>
          <t>Major depressive disorder, single episode, unspecified</t>
        </is>
      </c>
      <c r="L2720" t="inlineStr">
        <is>
          <t>Mental &amp; Behavioral</t>
        </is>
      </c>
      <c r="M2720" t="inlineStr">
        <is>
          <t>Home/Self-Care</t>
        </is>
      </c>
      <c r="N2720" t="inlineStr">
        <is>
          <t>Self-Pay</t>
        </is>
      </c>
      <c r="O2720" s="31" t="n">
        <v>374.37</v>
      </c>
    </row>
    <row r="2721">
      <c r="A2721" t="inlineStr">
        <is>
          <t>ENC121835</t>
        </is>
      </c>
      <c r="B2721" t="inlineStr">
        <is>
          <t>PT12888</t>
        </is>
      </c>
      <c r="C2721" t="inlineStr">
        <is>
          <t>Emergency</t>
        </is>
      </c>
      <c r="D2721" t="inlineStr">
        <is>
          <t>Bluestone Memorial Hospital</t>
        </is>
      </c>
      <c r="E2721" t="inlineStr">
        <is>
          <t>Emergency Department</t>
        </is>
      </c>
      <c r="F2721" t="inlineStr">
        <is>
          <t>Emergency</t>
        </is>
      </c>
      <c r="G2721" s="29" t="n">
        <v>46022</v>
      </c>
      <c r="H2721" s="29" t="n">
        <v>46022</v>
      </c>
      <c r="I2721" s="30" t="n"/>
      <c r="J2721" t="inlineStr">
        <is>
          <t>I10</t>
        </is>
      </c>
      <c r="K2721" t="inlineStr">
        <is>
          <t>Essential (primary) hypertension</t>
        </is>
      </c>
      <c r="L2721" t="inlineStr">
        <is>
          <t>Circulatory</t>
        </is>
      </c>
      <c r="M2721" t="inlineStr">
        <is>
          <t>Home/Self-Care</t>
        </is>
      </c>
      <c r="N2721" t="inlineStr">
        <is>
          <t>Evergreen Mutual Insurance</t>
        </is>
      </c>
      <c r="O2721" s="31" t="n">
        <v>4974.22</v>
      </c>
    </row>
    <row r="2722">
      <c r="A2722" t="inlineStr">
        <is>
          <t>ENC121840</t>
        </is>
      </c>
      <c r="B2722" t="inlineStr">
        <is>
          <t>PT12792</t>
        </is>
      </c>
      <c r="C2722" t="inlineStr">
        <is>
          <t>Outpatient</t>
        </is>
      </c>
      <c r="D2722" t="inlineStr">
        <is>
          <t>Bluestone Outpatient Pavilion</t>
        </is>
      </c>
      <c r="E2722" t="inlineStr">
        <is>
          <t>Primary Care Clinic</t>
        </is>
      </c>
      <c r="F2722" t="inlineStr">
        <is>
          <t>Ambulatory</t>
        </is>
      </c>
      <c r="G2722" s="29" t="n">
        <v>46022</v>
      </c>
      <c r="H2722" s="29" t="n">
        <v>46022</v>
      </c>
      <c r="I2722" s="30" t="n"/>
      <c r="J2722" t="inlineStr">
        <is>
          <t>J45.909</t>
        </is>
      </c>
      <c r="K2722" t="inlineStr">
        <is>
          <t>Unspecified asthma, uncomplicated</t>
        </is>
      </c>
      <c r="L2722" t="inlineStr">
        <is>
          <t>Respiratory</t>
        </is>
      </c>
      <c r="M2722" t="inlineStr">
        <is>
          <t>Home/Self-Care</t>
        </is>
      </c>
      <c r="N2722" t="inlineStr">
        <is>
          <t>Silverline Medicare Advantage</t>
        </is>
      </c>
      <c r="O2722" s="31" t="n">
        <v>267.93</v>
      </c>
    </row>
    <row r="2723">
      <c r="A2723" t="inlineStr">
        <is>
          <t>ENC121845</t>
        </is>
      </c>
      <c r="B2723" t="inlineStr">
        <is>
          <t>PT12200</t>
        </is>
      </c>
      <c r="C2723" t="inlineStr">
        <is>
          <t>Emergency</t>
        </is>
      </c>
      <c r="D2723" t="inlineStr">
        <is>
          <t>Bluestone Memorial Hospital</t>
        </is>
      </c>
      <c r="E2723" t="inlineStr">
        <is>
          <t>Emergency Department</t>
        </is>
      </c>
      <c r="F2723" t="inlineStr">
        <is>
          <t>Emergency</t>
        </is>
      </c>
      <c r="G2723" s="29" t="n">
        <v>46022</v>
      </c>
      <c r="H2723" s="29" t="n">
        <v>46022</v>
      </c>
      <c r="I2723" s="30" t="n"/>
      <c r="J2723" t="inlineStr">
        <is>
          <t>J06.9</t>
        </is>
      </c>
      <c r="K2723" t="inlineStr">
        <is>
          <t>Acute upper respiratory infection, unspecified</t>
        </is>
      </c>
      <c r="L2723" t="inlineStr">
        <is>
          <t>Respiratory</t>
        </is>
      </c>
      <c r="M2723" t="inlineStr">
        <is>
          <t>Home/Self-Care</t>
        </is>
      </c>
      <c r="N2723" t="inlineStr">
        <is>
          <t>State Medicaid</t>
        </is>
      </c>
      <c r="O2723" s="31" t="n">
        <v>1456.35</v>
      </c>
    </row>
    <row r="2724">
      <c r="A2724" t="inlineStr">
        <is>
          <t>ENC121848</t>
        </is>
      </c>
      <c r="B2724" t="inlineStr">
        <is>
          <t>PT11248</t>
        </is>
      </c>
      <c r="C2724" t="inlineStr">
        <is>
          <t>Emergency</t>
        </is>
      </c>
      <c r="D2724" t="inlineStr">
        <is>
          <t>Bluestone Memorial Hospital</t>
        </is>
      </c>
      <c r="E2724" t="inlineStr">
        <is>
          <t>Emergency Department</t>
        </is>
      </c>
      <c r="F2724" t="inlineStr">
        <is>
          <t>Emergency</t>
        </is>
      </c>
      <c r="G2724" s="29" t="n">
        <v>46022</v>
      </c>
      <c r="H2724" s="29" t="n">
        <v>46022</v>
      </c>
      <c r="I2724" s="30" t="n"/>
      <c r="J2724" t="inlineStr">
        <is>
          <t>G43.909</t>
        </is>
      </c>
      <c r="K2724" t="inlineStr">
        <is>
          <t>Migraine, unspecified, not intractable, without status migrainosus</t>
        </is>
      </c>
      <c r="L2724" t="inlineStr">
        <is>
          <t>Nervous System</t>
        </is>
      </c>
      <c r="M2724" t="inlineStr">
        <is>
          <t>Home/Self-Care</t>
        </is>
      </c>
      <c r="N2724" t="inlineStr">
        <is>
          <t>Summit Choice PPO</t>
        </is>
      </c>
      <c r="O2724" s="31" t="n">
        <v>1071.34</v>
      </c>
    </row>
    <row r="2725">
      <c r="A2725" t="inlineStr">
        <is>
          <t>ENC121851</t>
        </is>
      </c>
      <c r="B2725" t="inlineStr">
        <is>
          <t>PT13908</t>
        </is>
      </c>
      <c r="C2725" t="inlineStr">
        <is>
          <t>Outpatient</t>
        </is>
      </c>
      <c r="D2725" t="inlineStr">
        <is>
          <t>Bluestone Outpatient Pavilion</t>
        </is>
      </c>
      <c r="E2725" t="inlineStr">
        <is>
          <t>Primary Care Clinic</t>
        </is>
      </c>
      <c r="F2725" t="inlineStr">
        <is>
          <t>Ambulatory</t>
        </is>
      </c>
      <c r="G2725" s="29" t="n">
        <v>46022</v>
      </c>
      <c r="H2725" s="29" t="n">
        <v>46022</v>
      </c>
      <c r="I2725" s="30" t="n"/>
      <c r="J2725" t="inlineStr">
        <is>
          <t>E78.5</t>
        </is>
      </c>
      <c r="K2725" t="inlineStr">
        <is>
          <t>Hyperlipidemia, unspecified</t>
        </is>
      </c>
      <c r="L2725" t="inlineStr">
        <is>
          <t>Endocrine</t>
        </is>
      </c>
      <c r="M2725" t="inlineStr">
        <is>
          <t>Home/Self-Care</t>
        </is>
      </c>
      <c r="N2725" t="inlineStr">
        <is>
          <t>Summit Choice PPO</t>
        </is>
      </c>
      <c r="O2725" s="31" t="n">
        <v>294.59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667"/>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29" customWidth="1" min="3" max="3"/>
    <col width="15" customWidth="1" min="4" max="4"/>
    <col width="13" customWidth="1" min="5" max="5"/>
    <col width="12" customWidth="1" min="6" max="6"/>
    <col width="13" customWidth="1" min="7" max="7"/>
    <col width="12" customWidth="1" min="8" max="8"/>
    <col width="16" customWidth="1" min="9" max="9"/>
    <col width="24" customWidth="1" min="10" max="10"/>
    <col width="12" customWidth="1" min="11" max="11"/>
    <col width="11" customWidth="1" min="12" max="12"/>
  </cols>
  <sheetData>
    <row r="1">
      <c r="A1" s="28" t="inlineStr">
        <is>
          <t>ClaimID</t>
        </is>
      </c>
      <c r="B1" s="28" t="inlineStr">
        <is>
          <t>EncounterID</t>
        </is>
      </c>
      <c r="C1" s="28" t="inlineStr">
        <is>
          <t>PayerName</t>
        </is>
      </c>
      <c r="D1" s="28" t="inlineStr">
        <is>
          <t>EncounterType</t>
        </is>
      </c>
      <c r="E1" s="28" t="inlineStr">
        <is>
          <t>ServiceDate</t>
        </is>
      </c>
      <c r="F1" s="28" t="inlineStr">
        <is>
          <t>SubmitDate</t>
        </is>
      </c>
      <c r="G1" s="28" t="inlineStr">
        <is>
          <t>BilledAmount</t>
        </is>
      </c>
      <c r="H1" s="28" t="inlineStr">
        <is>
          <t>PaidAmount</t>
        </is>
      </c>
      <c r="I1" s="28" t="inlineStr">
        <is>
          <t>ClaimStatus</t>
        </is>
      </c>
      <c r="J1" s="28" t="inlineStr">
        <is>
          <t>DenialReason</t>
        </is>
      </c>
      <c r="K1" s="28" t="inlineStr">
        <is>
          <t>PaidDate</t>
        </is>
      </c>
      <c r="L1" s="32" t="inlineStr">
        <is>
          <t>DaysToPay</t>
        </is>
      </c>
    </row>
    <row r="2">
      <c r="A2" t="inlineStr">
        <is>
          <t>CLM510146</t>
        </is>
      </c>
      <c r="B2" t="inlineStr">
        <is>
          <t>ENC110146</t>
        </is>
      </c>
      <c r="C2" t="inlineStr">
        <is>
          <t>Medicare</t>
        </is>
      </c>
      <c r="D2" t="inlineStr">
        <is>
          <t>Inpatient</t>
        </is>
      </c>
      <c r="E2" s="29" t="n">
        <v>45658</v>
      </c>
      <c r="F2" s="29" t="n">
        <v>45662</v>
      </c>
      <c r="G2" s="31" t="n">
        <v>125504.99</v>
      </c>
      <c r="H2" s="31" t="n">
        <v>35156</v>
      </c>
      <c r="I2" t="inlineStr">
        <is>
          <t>Paid</t>
        </is>
      </c>
      <c r="K2" s="29" t="n">
        <v>45673</v>
      </c>
      <c r="L2" s="33" t="n"/>
    </row>
    <row r="3">
      <c r="A3" t="inlineStr">
        <is>
          <t>CLM510513</t>
        </is>
      </c>
      <c r="B3" t="inlineStr">
        <is>
          <t>ENC110513</t>
        </is>
      </c>
      <c r="C3" t="inlineStr">
        <is>
          <t>Evergreen Mutual Insurance</t>
        </is>
      </c>
      <c r="D3" t="inlineStr">
        <is>
          <t>Inpatient</t>
        </is>
      </c>
      <c r="E3" s="29" t="n">
        <v>45659</v>
      </c>
      <c r="F3" s="29" t="n">
        <v>45665</v>
      </c>
      <c r="G3" s="31" t="n">
        <v>31528.36</v>
      </c>
      <c r="H3" s="31" t="n">
        <v>15022.6</v>
      </c>
      <c r="I3" t="inlineStr">
        <is>
          <t>Paid</t>
        </is>
      </c>
      <c r="K3" s="29" t="n">
        <v>45697</v>
      </c>
      <c r="L3" s="33" t="n"/>
    </row>
    <row r="4">
      <c r="A4" t="inlineStr">
        <is>
          <t>CLM510582</t>
        </is>
      </c>
      <c r="B4" t="inlineStr">
        <is>
          <t>ENC110582</t>
        </is>
      </c>
      <c r="C4" t="inlineStr">
        <is>
          <t>Silverline Medicare Advantage</t>
        </is>
      </c>
      <c r="D4" t="inlineStr">
        <is>
          <t>Inpatient</t>
        </is>
      </c>
      <c r="E4" s="29" t="n">
        <v>45658</v>
      </c>
      <c r="F4" s="29" t="n">
        <v>45661</v>
      </c>
      <c r="G4" s="31" t="n">
        <v>17877.15</v>
      </c>
      <c r="H4" s="31" t="n">
        <v>0</v>
      </c>
      <c r="I4" t="inlineStr">
        <is>
          <t>Denied</t>
        </is>
      </c>
      <c r="J4" t="inlineStr">
        <is>
          <t>Coding Error</t>
        </is>
      </c>
      <c r="L4" s="33" t="n"/>
    </row>
    <row r="5">
      <c r="A5" t="inlineStr">
        <is>
          <t>CLM510584</t>
        </is>
      </c>
      <c r="B5" t="inlineStr">
        <is>
          <t>ENC110584</t>
        </is>
      </c>
      <c r="C5" t="inlineStr">
        <is>
          <t>Evergreen Mutual Insurance</t>
        </is>
      </c>
      <c r="D5" t="inlineStr">
        <is>
          <t>Inpatient</t>
        </is>
      </c>
      <c r="E5" s="29" t="n">
        <v>45658</v>
      </c>
      <c r="F5" s="29" t="n">
        <v>45661</v>
      </c>
      <c r="G5" s="31" t="n">
        <v>48056.23</v>
      </c>
      <c r="H5" s="31" t="n">
        <v>0</v>
      </c>
      <c r="I5" t="inlineStr">
        <is>
          <t>Appealed</t>
        </is>
      </c>
      <c r="J5" t="inlineStr">
        <is>
          <t>Missing Documentation</t>
        </is>
      </c>
      <c r="L5" s="33" t="n"/>
    </row>
    <row r="6">
      <c r="A6" t="inlineStr">
        <is>
          <t>CLM510589</t>
        </is>
      </c>
      <c r="B6" t="inlineStr">
        <is>
          <t>ENC110589</t>
        </is>
      </c>
      <c r="C6" t="inlineStr">
        <is>
          <t>Silverline Medicare Advantage</t>
        </is>
      </c>
      <c r="D6" t="inlineStr">
        <is>
          <t>Inpatient</t>
        </is>
      </c>
      <c r="E6" s="29" t="n">
        <v>45658</v>
      </c>
      <c r="F6" s="29" t="n">
        <v>45662</v>
      </c>
      <c r="G6" s="31" t="n">
        <v>26241.95</v>
      </c>
      <c r="H6" s="31" t="n">
        <v>4264.33</v>
      </c>
      <c r="I6" t="inlineStr">
        <is>
          <t>Partially Paid</t>
        </is>
      </c>
      <c r="J6" t="inlineStr">
        <is>
          <t>Coding Error</t>
        </is>
      </c>
      <c r="K6" s="29" t="n">
        <v>45679</v>
      </c>
      <c r="L6" s="33" t="n"/>
    </row>
    <row r="7">
      <c r="A7" t="inlineStr">
        <is>
          <t>CLM510598</t>
        </is>
      </c>
      <c r="B7" t="inlineStr">
        <is>
          <t>ENC110598</t>
        </is>
      </c>
      <c r="C7" t="inlineStr">
        <is>
          <t>Medicare</t>
        </is>
      </c>
      <c r="D7" t="inlineStr">
        <is>
          <t>Inpatient</t>
        </is>
      </c>
      <c r="E7" s="29" t="n">
        <v>45660</v>
      </c>
      <c r="F7" s="29" t="n">
        <v>45663</v>
      </c>
      <c r="G7" s="31" t="n">
        <v>25192.09</v>
      </c>
      <c r="H7" s="31" t="n">
        <v>6933.98</v>
      </c>
      <c r="I7" t="inlineStr">
        <is>
          <t>Paid</t>
        </is>
      </c>
      <c r="K7" s="29" t="n">
        <v>45673</v>
      </c>
      <c r="L7" s="33" t="n"/>
    </row>
    <row r="8">
      <c r="A8" t="inlineStr">
        <is>
          <t>CLM510628</t>
        </is>
      </c>
      <c r="B8" t="inlineStr">
        <is>
          <t>ENC110628</t>
        </is>
      </c>
      <c r="C8" t="inlineStr">
        <is>
          <t>Medicare</t>
        </is>
      </c>
      <c r="D8" t="inlineStr">
        <is>
          <t>Inpatient</t>
        </is>
      </c>
      <c r="E8" s="29" t="n">
        <v>45662</v>
      </c>
      <c r="F8" s="29" t="n">
        <v>45666</v>
      </c>
      <c r="G8" s="31" t="n">
        <v>54996.54</v>
      </c>
      <c r="H8" s="31" t="n">
        <v>11110.26</v>
      </c>
      <c r="I8" t="inlineStr">
        <is>
          <t>Partially Paid</t>
        </is>
      </c>
      <c r="J8" t="inlineStr">
        <is>
          <t>Medical Necessity</t>
        </is>
      </c>
      <c r="K8" s="29" t="n">
        <v>45691</v>
      </c>
      <c r="L8" s="33" t="n"/>
    </row>
    <row r="9">
      <c r="A9" t="inlineStr">
        <is>
          <t>CLM510664</t>
        </is>
      </c>
      <c r="B9" t="inlineStr">
        <is>
          <t>ENC110664</t>
        </is>
      </c>
      <c r="C9" t="inlineStr">
        <is>
          <t>Medicare</t>
        </is>
      </c>
      <c r="D9" t="inlineStr">
        <is>
          <t>Inpatient</t>
        </is>
      </c>
      <c r="E9" s="29" t="n">
        <v>45661</v>
      </c>
      <c r="F9" s="29" t="n">
        <v>45667</v>
      </c>
      <c r="G9" s="31" t="n">
        <v>25224.94</v>
      </c>
      <c r="H9" s="31" t="n">
        <v>7125.19</v>
      </c>
      <c r="I9" t="inlineStr">
        <is>
          <t>Paid</t>
        </is>
      </c>
      <c r="K9" s="29" t="n">
        <v>45679</v>
      </c>
      <c r="L9" s="33" t="n"/>
    </row>
    <row r="10">
      <c r="A10" t="inlineStr">
        <is>
          <t>CLM510683</t>
        </is>
      </c>
      <c r="B10" t="inlineStr">
        <is>
          <t>ENC110683</t>
        </is>
      </c>
      <c r="C10" t="inlineStr">
        <is>
          <t>Silverline Medicare Advantage</t>
        </is>
      </c>
      <c r="D10" t="inlineStr">
        <is>
          <t>Inpatient</t>
        </is>
      </c>
      <c r="E10" s="29" t="n">
        <v>45671</v>
      </c>
      <c r="F10" s="29" t="n">
        <v>45672</v>
      </c>
      <c r="G10" s="31" t="n">
        <v>136726.43</v>
      </c>
      <c r="H10" s="31" t="n">
        <v>0</v>
      </c>
      <c r="I10" t="inlineStr">
        <is>
          <t>Denied</t>
        </is>
      </c>
      <c r="J10" t="inlineStr">
        <is>
          <t>Authorization Required</t>
        </is>
      </c>
      <c r="L10" s="33" t="n"/>
    </row>
    <row r="11">
      <c r="A11" t="inlineStr">
        <is>
          <t>CLM510711</t>
        </is>
      </c>
      <c r="B11" t="inlineStr">
        <is>
          <t>ENC110711</t>
        </is>
      </c>
      <c r="C11" t="inlineStr">
        <is>
          <t>State Medicaid</t>
        </is>
      </c>
      <c r="D11" t="inlineStr">
        <is>
          <t>Emergency</t>
        </is>
      </c>
      <c r="E11" s="29" t="n">
        <v>45658</v>
      </c>
      <c r="F11" s="29" t="n">
        <v>45662</v>
      </c>
      <c r="G11" s="31" t="n">
        <v>595.04</v>
      </c>
      <c r="H11" s="31" t="n">
        <v>136.53</v>
      </c>
      <c r="I11" t="inlineStr">
        <is>
          <t>Paid</t>
        </is>
      </c>
      <c r="K11" s="29" t="n">
        <v>45719</v>
      </c>
      <c r="L11" s="33" t="n"/>
    </row>
    <row r="12">
      <c r="A12" t="inlineStr">
        <is>
          <t>CLM510713</t>
        </is>
      </c>
      <c r="B12" t="inlineStr">
        <is>
          <t>ENC110713</t>
        </is>
      </c>
      <c r="C12" t="inlineStr">
        <is>
          <t>Evergreen Mutual Insurance</t>
        </is>
      </c>
      <c r="D12" t="inlineStr">
        <is>
          <t>Inpatient</t>
        </is>
      </c>
      <c r="E12" s="29" t="n">
        <v>45661</v>
      </c>
      <c r="F12" s="29" t="n">
        <v>45664</v>
      </c>
      <c r="G12" s="31" t="n">
        <v>10673.63</v>
      </c>
      <c r="H12" s="31" t="n">
        <v>4621.46</v>
      </c>
      <c r="I12" t="inlineStr">
        <is>
          <t>Paid</t>
        </is>
      </c>
      <c r="K12" s="29" t="n">
        <v>45697</v>
      </c>
      <c r="L12" s="33" t="n"/>
    </row>
    <row r="13">
      <c r="A13" t="inlineStr">
        <is>
          <t>CLM510716</t>
        </is>
      </c>
      <c r="B13" t="inlineStr">
        <is>
          <t>ENC110716</t>
        </is>
      </c>
      <c r="C13" t="inlineStr">
        <is>
          <t>State Medicaid</t>
        </is>
      </c>
      <c r="D13" t="inlineStr">
        <is>
          <t>Outpatient</t>
        </is>
      </c>
      <c r="E13" s="29" t="n">
        <v>45658</v>
      </c>
      <c r="F13" s="29" t="n">
        <v>45659</v>
      </c>
      <c r="G13" s="31" t="n">
        <v>277.43</v>
      </c>
      <c r="H13" s="31" t="n">
        <v>60.99</v>
      </c>
      <c r="I13" t="inlineStr">
        <is>
          <t>Paid</t>
        </is>
      </c>
      <c r="K13" s="29" t="n">
        <v>45681</v>
      </c>
      <c r="L13" s="33" t="n"/>
    </row>
    <row r="14">
      <c r="A14" t="inlineStr">
        <is>
          <t>CLM510724</t>
        </is>
      </c>
      <c r="B14" t="inlineStr">
        <is>
          <t>ENC110724</t>
        </is>
      </c>
      <c r="C14" t="inlineStr">
        <is>
          <t>Keystone Health Partners</t>
        </is>
      </c>
      <c r="D14" t="inlineStr">
        <is>
          <t>Inpatient</t>
        </is>
      </c>
      <c r="E14" s="29" t="n">
        <v>45664</v>
      </c>
      <c r="F14" s="29" t="n">
        <v>45680</v>
      </c>
      <c r="G14" s="31" t="n">
        <v>18778.86</v>
      </c>
      <c r="H14" s="31" t="n">
        <v>8417.280000000001</v>
      </c>
      <c r="I14" t="inlineStr">
        <is>
          <t>Paid</t>
        </is>
      </c>
      <c r="K14" s="29" t="n">
        <v>45703</v>
      </c>
      <c r="L14" s="33" t="n"/>
    </row>
    <row r="15">
      <c r="A15" t="inlineStr">
        <is>
          <t>CLM510738</t>
        </is>
      </c>
      <c r="B15" t="inlineStr">
        <is>
          <t>ENC110738</t>
        </is>
      </c>
      <c r="C15" t="inlineStr">
        <is>
          <t>Evergreen Mutual Insurance</t>
        </is>
      </c>
      <c r="D15" t="inlineStr">
        <is>
          <t>Outpatient</t>
        </is>
      </c>
      <c r="E15" s="29" t="n">
        <v>45658</v>
      </c>
      <c r="F15" s="29" t="n">
        <v>45660</v>
      </c>
      <c r="G15" s="31" t="n">
        <v>292.94</v>
      </c>
      <c r="H15" s="31" t="n">
        <v>144.49</v>
      </c>
      <c r="I15" t="inlineStr">
        <is>
          <t>Paid</t>
        </is>
      </c>
      <c r="K15" s="29" t="n">
        <v>45696</v>
      </c>
      <c r="L15" s="33" t="n"/>
    </row>
    <row r="16">
      <c r="A16" t="inlineStr">
        <is>
          <t>CLM510744</t>
        </is>
      </c>
      <c r="B16" t="inlineStr">
        <is>
          <t>ENC110744</t>
        </is>
      </c>
      <c r="C16" t="inlineStr">
        <is>
          <t>Medicare</t>
        </is>
      </c>
      <c r="D16" t="inlineStr">
        <is>
          <t>Inpatient</t>
        </is>
      </c>
      <c r="E16" s="29" t="n">
        <v>45660</v>
      </c>
      <c r="F16" s="29" t="n">
        <v>45662</v>
      </c>
      <c r="G16" s="31" t="n">
        <v>48442.42</v>
      </c>
      <c r="H16" s="31" t="n">
        <v>13955.32</v>
      </c>
      <c r="I16" t="inlineStr">
        <is>
          <t>Paid</t>
        </is>
      </c>
      <c r="K16" s="29" t="n">
        <v>45675</v>
      </c>
      <c r="L16" s="33" t="n"/>
    </row>
    <row r="17">
      <c r="A17" t="inlineStr">
        <is>
          <t>CLM510747</t>
        </is>
      </c>
      <c r="B17" t="inlineStr">
        <is>
          <t>ENC110747</t>
        </is>
      </c>
      <c r="C17" t="inlineStr">
        <is>
          <t>Keystone Health Partners</t>
        </is>
      </c>
      <c r="D17" t="inlineStr">
        <is>
          <t>Inpatient</t>
        </is>
      </c>
      <c r="E17" s="29" t="n">
        <v>45667</v>
      </c>
      <c r="F17" s="29" t="n">
        <v>45672</v>
      </c>
      <c r="G17" s="31" t="n">
        <v>87037.78</v>
      </c>
      <c r="H17" s="31" t="n">
        <v>42407.94</v>
      </c>
      <c r="I17" t="inlineStr">
        <is>
          <t>Paid</t>
        </is>
      </c>
      <c r="K17" s="29" t="n">
        <v>45693</v>
      </c>
      <c r="L17" s="33" t="n"/>
    </row>
    <row r="18">
      <c r="A18" t="inlineStr">
        <is>
          <t>CLM510748</t>
        </is>
      </c>
      <c r="B18" t="inlineStr">
        <is>
          <t>ENC110748</t>
        </is>
      </c>
      <c r="C18" t="inlineStr">
        <is>
          <t>Evergreen Mutual Insurance</t>
        </is>
      </c>
      <c r="D18" t="inlineStr">
        <is>
          <t>Emergency</t>
        </is>
      </c>
      <c r="E18" s="29" t="n">
        <v>45659</v>
      </c>
      <c r="F18" s="29" t="n">
        <v>45663</v>
      </c>
      <c r="G18" s="31" t="n">
        <v>1740.98</v>
      </c>
      <c r="H18" s="31" t="n">
        <v>692.75</v>
      </c>
      <c r="I18" t="inlineStr">
        <is>
          <t>Paid</t>
        </is>
      </c>
      <c r="K18" s="29" t="n">
        <v>45706</v>
      </c>
      <c r="L18" s="33" t="n"/>
    </row>
    <row r="19">
      <c r="A19" t="inlineStr">
        <is>
          <t>CLM510757</t>
        </is>
      </c>
      <c r="B19" t="inlineStr">
        <is>
          <t>ENC110757</t>
        </is>
      </c>
      <c r="C19" t="inlineStr">
        <is>
          <t>Self-Pay</t>
        </is>
      </c>
      <c r="D19" t="inlineStr">
        <is>
          <t>Outpatient</t>
        </is>
      </c>
      <c r="E19" s="29" t="n">
        <v>45659</v>
      </c>
      <c r="F19" s="29" t="n">
        <v>45674</v>
      </c>
      <c r="G19" s="31" t="n">
        <v>1049.61</v>
      </c>
      <c r="H19" s="31" t="n">
        <v>303.68</v>
      </c>
      <c r="I19" t="inlineStr">
        <is>
          <t>Partially Paid</t>
        </is>
      </c>
      <c r="K19" s="29" t="n">
        <v>45712</v>
      </c>
      <c r="L19" s="33" t="n"/>
    </row>
    <row r="20">
      <c r="A20" t="inlineStr">
        <is>
          <t>CLM510760</t>
        </is>
      </c>
      <c r="B20" t="inlineStr">
        <is>
          <t>ENC110760</t>
        </is>
      </c>
      <c r="C20" t="inlineStr">
        <is>
          <t>Silverline Medicare Advantage</t>
        </is>
      </c>
      <c r="D20" t="inlineStr">
        <is>
          <t>Emergency</t>
        </is>
      </c>
      <c r="E20" s="29" t="n">
        <v>45659</v>
      </c>
      <c r="F20" s="29" t="n">
        <v>45661</v>
      </c>
      <c r="G20" s="31" t="n">
        <v>1727.32</v>
      </c>
      <c r="H20" s="31" t="n">
        <v>536.11</v>
      </c>
      <c r="I20" t="inlineStr">
        <is>
          <t>Paid</t>
        </is>
      </c>
      <c r="K20" s="29" t="n">
        <v>45683</v>
      </c>
      <c r="L20" s="33" t="n"/>
    </row>
    <row r="21">
      <c r="A21" t="inlineStr">
        <is>
          <t>CLM510774</t>
        </is>
      </c>
      <c r="B21" t="inlineStr">
        <is>
          <t>ENC110774</t>
        </is>
      </c>
      <c r="C21" t="inlineStr">
        <is>
          <t>Silverline Medicare Advantage</t>
        </is>
      </c>
      <c r="D21" t="inlineStr">
        <is>
          <t>Outpatient</t>
        </is>
      </c>
      <c r="E21" s="29" t="n">
        <v>45659</v>
      </c>
      <c r="F21" s="29" t="n">
        <v>45666</v>
      </c>
      <c r="G21" s="31" t="n">
        <v>153.45</v>
      </c>
      <c r="H21" s="31" t="n">
        <v>54.05</v>
      </c>
      <c r="I21" t="inlineStr">
        <is>
          <t>Paid</t>
        </is>
      </c>
      <c r="K21" s="29" t="n">
        <v>45698</v>
      </c>
      <c r="L21" s="33" t="n"/>
    </row>
    <row r="22">
      <c r="A22" t="inlineStr">
        <is>
          <t>CLM510779</t>
        </is>
      </c>
      <c r="B22" t="inlineStr">
        <is>
          <t>ENC110779</t>
        </is>
      </c>
      <c r="C22" t="inlineStr">
        <is>
          <t>Summit Choice PPO</t>
        </is>
      </c>
      <c r="D22" t="inlineStr">
        <is>
          <t>Inpatient</t>
        </is>
      </c>
      <c r="E22" s="29" t="n">
        <v>45669</v>
      </c>
      <c r="F22" s="29" t="n">
        <v>45675</v>
      </c>
      <c r="G22" s="31" t="n">
        <v>34645.11</v>
      </c>
      <c r="H22" s="31" t="n">
        <v>18490.27</v>
      </c>
      <c r="I22" t="inlineStr">
        <is>
          <t>Paid</t>
        </is>
      </c>
      <c r="K22" s="29" t="n">
        <v>45699</v>
      </c>
      <c r="L22" s="33" t="n"/>
    </row>
    <row r="23">
      <c r="A23" t="inlineStr">
        <is>
          <t>CLM510783</t>
        </is>
      </c>
      <c r="B23" t="inlineStr">
        <is>
          <t>ENC110783</t>
        </is>
      </c>
      <c r="C23" t="inlineStr">
        <is>
          <t>Self-Pay</t>
        </is>
      </c>
      <c r="D23" t="inlineStr">
        <is>
          <t>Outpatient</t>
        </is>
      </c>
      <c r="E23" s="29" t="n">
        <v>45659</v>
      </c>
      <c r="F23" s="29" t="n">
        <v>45661</v>
      </c>
      <c r="G23" s="31" t="n">
        <v>386.18</v>
      </c>
      <c r="H23" s="31" t="n">
        <v>0</v>
      </c>
      <c r="I23" t="inlineStr">
        <is>
          <t>Pending</t>
        </is>
      </c>
      <c r="L23" s="33" t="n"/>
    </row>
    <row r="24">
      <c r="A24" t="inlineStr">
        <is>
          <t>CLM510791</t>
        </is>
      </c>
      <c r="B24" t="inlineStr">
        <is>
          <t>ENC110791</t>
        </is>
      </c>
      <c r="C24" t="inlineStr">
        <is>
          <t>Self-Pay</t>
        </is>
      </c>
      <c r="D24" t="inlineStr">
        <is>
          <t>Inpatient</t>
        </is>
      </c>
      <c r="E24" s="29" t="n">
        <v>45661</v>
      </c>
      <c r="F24" s="29" t="n">
        <v>45666</v>
      </c>
      <c r="G24" s="31" t="n">
        <v>13130.81</v>
      </c>
      <c r="H24" s="31" t="n">
        <v>0</v>
      </c>
      <c r="I24" t="inlineStr">
        <is>
          <t>Pending</t>
        </is>
      </c>
      <c r="L24" s="33" t="n"/>
    </row>
    <row r="25">
      <c r="A25" t="inlineStr">
        <is>
          <t>CLM510794</t>
        </is>
      </c>
      <c r="B25" t="inlineStr">
        <is>
          <t>ENC110794</t>
        </is>
      </c>
      <c r="C25" t="inlineStr">
        <is>
          <t>State Medicaid</t>
        </is>
      </c>
      <c r="D25" t="inlineStr">
        <is>
          <t>Emergency</t>
        </is>
      </c>
      <c r="E25" s="29" t="n">
        <v>45659</v>
      </c>
      <c r="F25" s="29" t="n">
        <v>45662</v>
      </c>
      <c r="G25" s="31" t="n">
        <v>824.66</v>
      </c>
      <c r="H25" s="31" t="n">
        <v>208.72</v>
      </c>
      <c r="I25" t="inlineStr">
        <is>
          <t>Paid</t>
        </is>
      </c>
      <c r="K25" s="29" t="n">
        <v>45682</v>
      </c>
      <c r="L25" s="33" t="n"/>
    </row>
    <row r="26">
      <c r="A26" t="inlineStr">
        <is>
          <t>CLM510798</t>
        </is>
      </c>
      <c r="B26" t="inlineStr">
        <is>
          <t>ENC110798</t>
        </is>
      </c>
      <c r="C26" t="inlineStr">
        <is>
          <t>Evergreen Mutual Insurance</t>
        </is>
      </c>
      <c r="D26" t="inlineStr">
        <is>
          <t>Outpatient</t>
        </is>
      </c>
      <c r="E26" s="29" t="n">
        <v>45660</v>
      </c>
      <c r="F26" s="29" t="n">
        <v>45661</v>
      </c>
      <c r="G26" s="31" t="n">
        <v>11989.7</v>
      </c>
      <c r="H26" s="31" t="n">
        <v>5085.89</v>
      </c>
      <c r="I26" t="inlineStr">
        <is>
          <t>Paid</t>
        </is>
      </c>
      <c r="K26" s="29" t="n">
        <v>45689</v>
      </c>
      <c r="L26" s="33" t="n"/>
    </row>
    <row r="27">
      <c r="A27" t="inlineStr">
        <is>
          <t>CLM510801</t>
        </is>
      </c>
      <c r="B27" t="inlineStr">
        <is>
          <t>ENC110801</t>
        </is>
      </c>
      <c r="C27" t="inlineStr">
        <is>
          <t>Keystone Health Partners</t>
        </is>
      </c>
      <c r="D27" t="inlineStr">
        <is>
          <t>Outpatient</t>
        </is>
      </c>
      <c r="E27" s="29" t="n">
        <v>45660</v>
      </c>
      <c r="F27" s="29" t="n">
        <v>45662</v>
      </c>
      <c r="G27" s="31" t="n">
        <v>110.04</v>
      </c>
      <c r="H27" s="31" t="n">
        <v>59.49</v>
      </c>
      <c r="I27" t="inlineStr">
        <is>
          <t>Paid</t>
        </is>
      </c>
      <c r="K27" s="29" t="n">
        <v>45698</v>
      </c>
      <c r="L27" s="33" t="n"/>
    </row>
    <row r="28">
      <c r="A28" t="inlineStr">
        <is>
          <t>CLM510802</t>
        </is>
      </c>
      <c r="B28" t="inlineStr">
        <is>
          <t>ENC110802</t>
        </is>
      </c>
      <c r="C28" t="inlineStr">
        <is>
          <t>Keystone Health Partners</t>
        </is>
      </c>
      <c r="D28" t="inlineStr">
        <is>
          <t>Inpatient</t>
        </is>
      </c>
      <c r="E28" s="29" t="n">
        <v>45665</v>
      </c>
      <c r="F28" s="29" t="n">
        <v>45675</v>
      </c>
      <c r="G28" s="31" t="n">
        <v>29599.26</v>
      </c>
      <c r="H28" s="31" t="n">
        <v>13886.25</v>
      </c>
      <c r="I28" t="inlineStr">
        <is>
          <t>Paid</t>
        </is>
      </c>
      <c r="K28" s="29" t="n">
        <v>45702</v>
      </c>
      <c r="L28" s="33" t="n"/>
    </row>
    <row r="29">
      <c r="A29" t="inlineStr">
        <is>
          <t>CLM510804</t>
        </is>
      </c>
      <c r="B29" t="inlineStr">
        <is>
          <t>ENC110804</t>
        </is>
      </c>
      <c r="C29" t="inlineStr">
        <is>
          <t>Evergreen Mutual Insurance</t>
        </is>
      </c>
      <c r="D29" t="inlineStr">
        <is>
          <t>Emergency</t>
        </is>
      </c>
      <c r="E29" s="29" t="n">
        <v>45660</v>
      </c>
      <c r="F29" s="29" t="n">
        <v>45663</v>
      </c>
      <c r="G29" s="31" t="n">
        <v>4878.71</v>
      </c>
      <c r="H29" s="31" t="n">
        <v>1787.29</v>
      </c>
      <c r="I29" t="inlineStr">
        <is>
          <t>Paid</t>
        </is>
      </c>
      <c r="K29" s="29" t="n">
        <v>45693</v>
      </c>
      <c r="L29" s="33" t="n"/>
    </row>
    <row r="30">
      <c r="A30" t="inlineStr">
        <is>
          <t>CLM510805</t>
        </is>
      </c>
      <c r="B30" t="inlineStr">
        <is>
          <t>ENC110805</t>
        </is>
      </c>
      <c r="C30" t="inlineStr">
        <is>
          <t>Medicare</t>
        </is>
      </c>
      <c r="D30" t="inlineStr">
        <is>
          <t>Emergency</t>
        </is>
      </c>
      <c r="E30" s="29" t="n">
        <v>45660</v>
      </c>
      <c r="F30" s="29" t="n">
        <v>45665</v>
      </c>
      <c r="G30" s="31" t="n">
        <v>4646.04</v>
      </c>
      <c r="H30" s="31" t="n">
        <v>0</v>
      </c>
      <c r="I30" t="inlineStr">
        <is>
          <t>Denied</t>
        </is>
      </c>
      <c r="J30" t="inlineStr">
        <is>
          <t>Coding Error</t>
        </is>
      </c>
      <c r="L30" s="33" t="n"/>
    </row>
    <row r="31">
      <c r="A31" t="inlineStr">
        <is>
          <t>CLM510806</t>
        </is>
      </c>
      <c r="B31" t="inlineStr">
        <is>
          <t>ENC110806</t>
        </is>
      </c>
      <c r="C31" t="inlineStr">
        <is>
          <t>Medicare</t>
        </is>
      </c>
      <c r="D31" t="inlineStr">
        <is>
          <t>Emergency</t>
        </is>
      </c>
      <c r="E31" s="29" t="n">
        <v>45660</v>
      </c>
      <c r="F31" s="29" t="n">
        <v>45664</v>
      </c>
      <c r="G31" s="31" t="n">
        <v>792.61</v>
      </c>
      <c r="H31" s="31" t="n">
        <v>239.46</v>
      </c>
      <c r="I31" t="inlineStr">
        <is>
          <t>Paid</t>
        </is>
      </c>
      <c r="K31" s="29" t="n">
        <v>45670</v>
      </c>
      <c r="L31" s="33" t="n"/>
    </row>
    <row r="32">
      <c r="A32" t="inlineStr">
        <is>
          <t>CLM510807</t>
        </is>
      </c>
      <c r="B32" t="inlineStr">
        <is>
          <t>ENC110807</t>
        </is>
      </c>
      <c r="C32" t="inlineStr">
        <is>
          <t>Evergreen Mutual Insurance</t>
        </is>
      </c>
      <c r="D32" t="inlineStr">
        <is>
          <t>Outpatient</t>
        </is>
      </c>
      <c r="E32" s="29" t="n">
        <v>45660</v>
      </c>
      <c r="F32" s="29" t="n">
        <v>45663</v>
      </c>
      <c r="G32" s="31" t="n">
        <v>485.97</v>
      </c>
      <c r="H32" s="31" t="n">
        <v>191.75</v>
      </c>
      <c r="I32" t="inlineStr">
        <is>
          <t>Paid</t>
        </is>
      </c>
      <c r="K32" s="29" t="n">
        <v>45683</v>
      </c>
      <c r="L32" s="33" t="n"/>
    </row>
    <row r="33">
      <c r="A33" t="inlineStr">
        <is>
          <t>CLM510811</t>
        </is>
      </c>
      <c r="B33" t="inlineStr">
        <is>
          <t>ENC110811</t>
        </is>
      </c>
      <c r="C33" t="inlineStr">
        <is>
          <t>Silverline Medicare Advantage</t>
        </is>
      </c>
      <c r="D33" t="inlineStr">
        <is>
          <t>Outpatient</t>
        </is>
      </c>
      <c r="E33" s="29" t="n">
        <v>45660</v>
      </c>
      <c r="F33" s="29" t="n">
        <v>45667</v>
      </c>
      <c r="G33" s="31" t="n">
        <v>402.79</v>
      </c>
      <c r="H33" s="31" t="n">
        <v>0</v>
      </c>
      <c r="I33" t="inlineStr">
        <is>
          <t>Denied</t>
        </is>
      </c>
      <c r="J33" t="inlineStr">
        <is>
          <t>Missing Documentation</t>
        </is>
      </c>
      <c r="L33" s="33" t="n"/>
    </row>
    <row r="34">
      <c r="A34" t="inlineStr">
        <is>
          <t>CLM510817</t>
        </is>
      </c>
      <c r="B34" t="inlineStr">
        <is>
          <t>ENC110817</t>
        </is>
      </c>
      <c r="C34" t="inlineStr">
        <is>
          <t>Silverline Medicare Advantage</t>
        </is>
      </c>
      <c r="D34" t="inlineStr">
        <is>
          <t>Inpatient</t>
        </is>
      </c>
      <c r="E34" s="29" t="n">
        <v>45666</v>
      </c>
      <c r="F34" s="29" t="n">
        <v>45670</v>
      </c>
      <c r="G34" s="31" t="n">
        <v>41433.73</v>
      </c>
      <c r="H34" s="31" t="n">
        <v>12469.68</v>
      </c>
      <c r="I34" t="inlineStr">
        <is>
          <t>Paid</t>
        </is>
      </c>
      <c r="K34" s="29" t="n">
        <v>45703</v>
      </c>
      <c r="L34" s="33" t="n"/>
    </row>
    <row r="35">
      <c r="A35" t="inlineStr">
        <is>
          <t>CLM510818</t>
        </is>
      </c>
      <c r="B35" t="inlineStr">
        <is>
          <t>ENC110818</t>
        </is>
      </c>
      <c r="C35" t="inlineStr">
        <is>
          <t>Medicare</t>
        </is>
      </c>
      <c r="D35" t="inlineStr">
        <is>
          <t>Outpatient</t>
        </is>
      </c>
      <c r="E35" s="29" t="n">
        <v>45660</v>
      </c>
      <c r="F35" s="29" t="n">
        <v>45662</v>
      </c>
      <c r="G35" s="31" t="n">
        <v>285</v>
      </c>
      <c r="H35" s="31" t="n">
        <v>0</v>
      </c>
      <c r="I35" t="inlineStr">
        <is>
          <t>Denied</t>
        </is>
      </c>
      <c r="J35" t="inlineStr">
        <is>
          <t>Authorization Required</t>
        </is>
      </c>
      <c r="L35" s="33" t="n"/>
    </row>
    <row r="36">
      <c r="A36" t="inlineStr">
        <is>
          <t>CLM510827</t>
        </is>
      </c>
      <c r="B36" t="inlineStr">
        <is>
          <t>ENC110827</t>
        </is>
      </c>
      <c r="C36" t="inlineStr">
        <is>
          <t>Self-Pay</t>
        </is>
      </c>
      <c r="D36" t="inlineStr">
        <is>
          <t>Outpatient</t>
        </is>
      </c>
      <c r="E36" s="29" t="n">
        <v>45660</v>
      </c>
      <c r="F36" s="29" t="n">
        <v>45662</v>
      </c>
      <c r="G36" s="31" t="n">
        <v>518.83</v>
      </c>
      <c r="H36" s="31" t="n">
        <v>137.5</v>
      </c>
      <c r="I36" t="inlineStr">
        <is>
          <t>Partially Paid</t>
        </is>
      </c>
      <c r="K36" s="29" t="n">
        <v>45777</v>
      </c>
      <c r="L36" s="33" t="n"/>
    </row>
    <row r="37">
      <c r="A37" t="inlineStr">
        <is>
          <t>CLM510831</t>
        </is>
      </c>
      <c r="B37" t="inlineStr">
        <is>
          <t>ENC110831</t>
        </is>
      </c>
      <c r="C37" t="inlineStr">
        <is>
          <t>Silverline Medicare Advantage</t>
        </is>
      </c>
      <c r="D37" t="inlineStr">
        <is>
          <t>Observation</t>
        </is>
      </c>
      <c r="E37" s="29" t="n">
        <v>45661</v>
      </c>
      <c r="F37" s="29" t="n">
        <v>45666</v>
      </c>
      <c r="G37" s="31" t="n">
        <v>4715.78</v>
      </c>
      <c r="H37" s="31" t="n">
        <v>1576.43</v>
      </c>
      <c r="I37" t="inlineStr">
        <is>
          <t>Paid</t>
        </is>
      </c>
      <c r="K37" s="29" t="n">
        <v>45696</v>
      </c>
      <c r="L37" s="33" t="n"/>
    </row>
    <row r="38">
      <c r="A38" t="inlineStr">
        <is>
          <t>CLM510838</t>
        </is>
      </c>
      <c r="B38" t="inlineStr">
        <is>
          <t>ENC110838</t>
        </is>
      </c>
      <c r="C38" t="inlineStr">
        <is>
          <t>Keystone Health Partners</t>
        </is>
      </c>
      <c r="D38" t="inlineStr">
        <is>
          <t>Emergency</t>
        </is>
      </c>
      <c r="E38" s="29" t="n">
        <v>45661</v>
      </c>
      <c r="F38" s="29" t="n">
        <v>45665</v>
      </c>
      <c r="G38" s="31" t="n">
        <v>1653.5</v>
      </c>
      <c r="H38" s="31" t="n">
        <v>0</v>
      </c>
      <c r="I38" t="inlineStr">
        <is>
          <t>Denied</t>
        </is>
      </c>
      <c r="J38" t="inlineStr">
        <is>
          <t>Authorization Required</t>
        </is>
      </c>
      <c r="L38" s="33" t="n"/>
    </row>
    <row r="39">
      <c r="A39" t="inlineStr">
        <is>
          <t>CLM510843</t>
        </is>
      </c>
      <c r="B39" t="inlineStr">
        <is>
          <t>ENC110843</t>
        </is>
      </c>
      <c r="C39" t="inlineStr">
        <is>
          <t>State Medicaid</t>
        </is>
      </c>
      <c r="D39" t="inlineStr">
        <is>
          <t>Emergency</t>
        </is>
      </c>
      <c r="E39" s="29" t="n">
        <v>45661</v>
      </c>
      <c r="F39" s="29" t="n">
        <v>45665</v>
      </c>
      <c r="G39" s="31" t="n">
        <v>656.92</v>
      </c>
      <c r="H39" s="31" t="n">
        <v>160.77</v>
      </c>
      <c r="I39" t="inlineStr">
        <is>
          <t>Paid</t>
        </is>
      </c>
      <c r="K39" s="29" t="n">
        <v>45699</v>
      </c>
      <c r="L39" s="33" t="n"/>
    </row>
    <row r="40">
      <c r="A40" t="inlineStr">
        <is>
          <t>CLM510851</t>
        </is>
      </c>
      <c r="B40" t="inlineStr">
        <is>
          <t>ENC110851</t>
        </is>
      </c>
      <c r="C40" t="inlineStr">
        <is>
          <t>State Medicaid</t>
        </is>
      </c>
      <c r="D40" t="inlineStr">
        <is>
          <t>Observation</t>
        </is>
      </c>
      <c r="E40" s="29" t="n">
        <v>45663</v>
      </c>
      <c r="F40" s="29" t="n">
        <v>45666</v>
      </c>
      <c r="G40" s="31" t="n">
        <v>11753.03</v>
      </c>
      <c r="H40" s="31" t="n">
        <v>2961.05</v>
      </c>
      <c r="I40" t="inlineStr">
        <is>
          <t>Paid</t>
        </is>
      </c>
      <c r="K40" s="29" t="n">
        <v>45687</v>
      </c>
      <c r="L40" s="33" t="n"/>
    </row>
    <row r="41">
      <c r="A41" t="inlineStr">
        <is>
          <t>CLM510856</t>
        </is>
      </c>
      <c r="B41" t="inlineStr">
        <is>
          <t>ENC110856</t>
        </is>
      </c>
      <c r="C41" t="inlineStr">
        <is>
          <t>Silverline Medicare Advantage</t>
        </is>
      </c>
      <c r="D41" t="inlineStr">
        <is>
          <t>Emergency</t>
        </is>
      </c>
      <c r="E41" s="29" t="n">
        <v>45662</v>
      </c>
      <c r="F41" s="29" t="n">
        <v>45663</v>
      </c>
      <c r="G41" s="31" t="n">
        <v>2329.16</v>
      </c>
      <c r="H41" s="31" t="n">
        <v>650.77</v>
      </c>
      <c r="I41" t="inlineStr">
        <is>
          <t>Paid</t>
        </is>
      </c>
      <c r="K41" s="29" t="n">
        <v>45696</v>
      </c>
      <c r="L41" s="33" t="n"/>
    </row>
    <row r="42">
      <c r="A42" t="inlineStr">
        <is>
          <t>CLM510862</t>
        </is>
      </c>
      <c r="B42" t="inlineStr">
        <is>
          <t>ENC110862</t>
        </is>
      </c>
      <c r="C42" t="inlineStr">
        <is>
          <t>Evergreen Mutual Insurance</t>
        </is>
      </c>
      <c r="D42" t="inlineStr">
        <is>
          <t>Emergency</t>
        </is>
      </c>
      <c r="E42" s="29" t="n">
        <v>45662</v>
      </c>
      <c r="F42" s="29" t="n">
        <v>45666</v>
      </c>
      <c r="G42" s="31" t="n">
        <v>1094.73</v>
      </c>
      <c r="H42" s="31" t="n">
        <v>481.35</v>
      </c>
      <c r="I42" t="inlineStr">
        <is>
          <t>Paid</t>
        </is>
      </c>
      <c r="K42" s="29" t="n">
        <v>45690</v>
      </c>
      <c r="L42" s="33" t="n"/>
    </row>
    <row r="43">
      <c r="A43" t="inlineStr">
        <is>
          <t>CLM510871</t>
        </is>
      </c>
      <c r="B43" t="inlineStr">
        <is>
          <t>ENC110871</t>
        </is>
      </c>
      <c r="C43" t="inlineStr">
        <is>
          <t>Keystone Health Partners</t>
        </is>
      </c>
      <c r="D43" t="inlineStr">
        <is>
          <t>Emergency</t>
        </is>
      </c>
      <c r="E43" s="29" t="n">
        <v>45662</v>
      </c>
      <c r="F43" s="29" t="n">
        <v>45674</v>
      </c>
      <c r="G43" s="31" t="n">
        <v>5712.21</v>
      </c>
      <c r="H43" s="31" t="n">
        <v>2914.89</v>
      </c>
      <c r="I43" t="inlineStr">
        <is>
          <t>Paid</t>
        </is>
      </c>
      <c r="K43" s="29" t="n">
        <v>45694</v>
      </c>
      <c r="L43" s="33" t="n"/>
    </row>
    <row r="44">
      <c r="A44" t="inlineStr">
        <is>
          <t>CLM510874</t>
        </is>
      </c>
      <c r="B44" t="inlineStr">
        <is>
          <t>ENC110874</t>
        </is>
      </c>
      <c r="C44" t="inlineStr">
        <is>
          <t>Silverline Medicare Advantage</t>
        </is>
      </c>
      <c r="D44" t="inlineStr">
        <is>
          <t>Inpatient</t>
        </is>
      </c>
      <c r="E44" s="29" t="n">
        <v>45669</v>
      </c>
      <c r="F44" s="29" t="n">
        <v>45673</v>
      </c>
      <c r="G44" s="31" t="n">
        <v>29103.37</v>
      </c>
      <c r="H44" s="31" t="n">
        <v>8423.6</v>
      </c>
      <c r="I44" t="inlineStr">
        <is>
          <t>Paid</t>
        </is>
      </c>
      <c r="K44" s="29" t="n">
        <v>45709</v>
      </c>
      <c r="L44" s="33" t="n"/>
    </row>
    <row r="45">
      <c r="A45" t="inlineStr">
        <is>
          <t>CLM510877</t>
        </is>
      </c>
      <c r="B45" t="inlineStr">
        <is>
          <t>ENC110877</t>
        </is>
      </c>
      <c r="C45" t="inlineStr">
        <is>
          <t>Medicare</t>
        </is>
      </c>
      <c r="D45" t="inlineStr">
        <is>
          <t>Emergency</t>
        </is>
      </c>
      <c r="E45" s="29" t="n">
        <v>45663</v>
      </c>
      <c r="F45" s="29" t="n">
        <v>45664</v>
      </c>
      <c r="G45" s="31" t="n">
        <v>616.72</v>
      </c>
      <c r="H45" s="31" t="n">
        <v>162.97</v>
      </c>
      <c r="I45" t="inlineStr">
        <is>
          <t>Paid</t>
        </is>
      </c>
      <c r="K45" s="29" t="n">
        <v>45680</v>
      </c>
      <c r="L45" s="33" t="n"/>
    </row>
    <row r="46">
      <c r="A46" t="inlineStr">
        <is>
          <t>CLM510884</t>
        </is>
      </c>
      <c r="B46" t="inlineStr">
        <is>
          <t>ENC110884</t>
        </is>
      </c>
      <c r="C46" t="inlineStr">
        <is>
          <t>Medicare</t>
        </is>
      </c>
      <c r="D46" t="inlineStr">
        <is>
          <t>Outpatient</t>
        </is>
      </c>
      <c r="E46" s="29" t="n">
        <v>45663</v>
      </c>
      <c r="F46" s="29" t="n">
        <v>45666</v>
      </c>
      <c r="G46" s="31" t="n">
        <v>303.36</v>
      </c>
      <c r="H46" s="31" t="n">
        <v>76.09</v>
      </c>
      <c r="I46" t="inlineStr">
        <is>
          <t>Paid</t>
        </is>
      </c>
      <c r="K46" s="29" t="n">
        <v>45682</v>
      </c>
      <c r="L46" s="33" t="n"/>
    </row>
    <row r="47">
      <c r="A47" t="inlineStr">
        <is>
          <t>CLM510886</t>
        </is>
      </c>
      <c r="B47" t="inlineStr">
        <is>
          <t>ENC110886</t>
        </is>
      </c>
      <c r="C47" t="inlineStr">
        <is>
          <t>Medicare</t>
        </is>
      </c>
      <c r="D47" t="inlineStr">
        <is>
          <t>Outpatient</t>
        </is>
      </c>
      <c r="E47" s="29" t="n">
        <v>45663</v>
      </c>
      <c r="F47" s="29" t="n">
        <v>45666</v>
      </c>
      <c r="G47" s="31" t="n">
        <v>15176.95</v>
      </c>
      <c r="H47" s="31" t="n">
        <v>4483.57</v>
      </c>
      <c r="I47" t="inlineStr">
        <is>
          <t>Paid</t>
        </is>
      </c>
      <c r="K47" s="29" t="n">
        <v>45673</v>
      </c>
      <c r="L47" s="33" t="n"/>
    </row>
    <row r="48">
      <c r="A48" t="inlineStr">
        <is>
          <t>CLM510888</t>
        </is>
      </c>
      <c r="B48" t="inlineStr">
        <is>
          <t>ENC110888</t>
        </is>
      </c>
      <c r="C48" t="inlineStr">
        <is>
          <t>Summit Choice PPO</t>
        </is>
      </c>
      <c r="D48" t="inlineStr">
        <is>
          <t>Outpatient</t>
        </is>
      </c>
      <c r="E48" s="29" t="n">
        <v>45663</v>
      </c>
      <c r="F48" s="29" t="n">
        <v>45671</v>
      </c>
      <c r="G48" s="31" t="n">
        <v>17057.68</v>
      </c>
      <c r="H48" s="31" t="n">
        <v>7412.71</v>
      </c>
      <c r="I48" t="inlineStr">
        <is>
          <t>Paid</t>
        </is>
      </c>
      <c r="K48" s="29" t="n">
        <v>45694</v>
      </c>
      <c r="L48" s="33" t="n"/>
    </row>
    <row r="49">
      <c r="A49" t="inlineStr">
        <is>
          <t>CLM510891</t>
        </is>
      </c>
      <c r="B49" t="inlineStr">
        <is>
          <t>ENC110891</t>
        </is>
      </c>
      <c r="C49" t="inlineStr">
        <is>
          <t>Silverline Medicare Advantage</t>
        </is>
      </c>
      <c r="D49" t="inlineStr">
        <is>
          <t>Inpatient</t>
        </is>
      </c>
      <c r="E49" s="29" t="n">
        <v>45668</v>
      </c>
      <c r="F49" s="29" t="n">
        <v>45675</v>
      </c>
      <c r="G49" s="31" t="n">
        <v>23337.44</v>
      </c>
      <c r="H49" s="31" t="n">
        <v>5986.62</v>
      </c>
      <c r="I49" t="inlineStr">
        <is>
          <t>Paid</t>
        </is>
      </c>
      <c r="K49" s="29" t="n">
        <v>45693</v>
      </c>
      <c r="L49" s="33" t="n"/>
    </row>
    <row r="50">
      <c r="A50" t="inlineStr">
        <is>
          <t>CLM510895</t>
        </is>
      </c>
      <c r="B50" t="inlineStr">
        <is>
          <t>ENC110895</t>
        </is>
      </c>
      <c r="C50" t="inlineStr">
        <is>
          <t>Summit Choice PPO</t>
        </is>
      </c>
      <c r="D50" t="inlineStr">
        <is>
          <t>Outpatient</t>
        </is>
      </c>
      <c r="E50" s="29" t="n">
        <v>45663</v>
      </c>
      <c r="F50" s="29" t="n">
        <v>45669</v>
      </c>
      <c r="G50" s="31" t="n">
        <v>308.42</v>
      </c>
      <c r="H50" s="31" t="n">
        <v>151.14</v>
      </c>
      <c r="I50" t="inlineStr">
        <is>
          <t>Paid</t>
        </is>
      </c>
      <c r="K50" s="29" t="n">
        <v>45692</v>
      </c>
      <c r="L50" s="33" t="n"/>
    </row>
    <row r="51">
      <c r="A51" t="inlineStr">
        <is>
          <t>CLM510896</t>
        </is>
      </c>
      <c r="B51" t="inlineStr">
        <is>
          <t>ENC110896</t>
        </is>
      </c>
      <c r="C51" t="inlineStr">
        <is>
          <t>State Medicaid</t>
        </is>
      </c>
      <c r="D51" t="inlineStr">
        <is>
          <t>Emergency</t>
        </is>
      </c>
      <c r="E51" s="29" t="n">
        <v>45663</v>
      </c>
      <c r="F51" s="29" t="n">
        <v>45667</v>
      </c>
      <c r="G51" s="31" t="n">
        <v>1905.91</v>
      </c>
      <c r="H51" s="31" t="n">
        <v>426.33</v>
      </c>
      <c r="I51" t="inlineStr">
        <is>
          <t>Paid</t>
        </is>
      </c>
      <c r="K51" s="29" t="n">
        <v>45727</v>
      </c>
      <c r="L51" s="33" t="n"/>
    </row>
    <row r="52">
      <c r="A52" t="inlineStr">
        <is>
          <t>CLM510900</t>
        </is>
      </c>
      <c r="B52" t="inlineStr">
        <is>
          <t>ENC110900</t>
        </is>
      </c>
      <c r="C52" t="inlineStr">
        <is>
          <t>Keystone Health Partners</t>
        </is>
      </c>
      <c r="D52" t="inlineStr">
        <is>
          <t>Inpatient</t>
        </is>
      </c>
      <c r="E52" s="29" t="n">
        <v>45666</v>
      </c>
      <c r="F52" s="29" t="n">
        <v>45673</v>
      </c>
      <c r="G52" s="31" t="n">
        <v>13917.66</v>
      </c>
      <c r="H52" s="31" t="n">
        <v>7630.44</v>
      </c>
      <c r="I52" t="inlineStr">
        <is>
          <t>Paid</t>
        </is>
      </c>
      <c r="K52" s="29" t="n">
        <v>45698</v>
      </c>
      <c r="L52" s="33" t="n"/>
    </row>
    <row r="53">
      <c r="A53" t="inlineStr">
        <is>
          <t>CLM510906</t>
        </is>
      </c>
      <c r="B53" t="inlineStr">
        <is>
          <t>ENC110906</t>
        </is>
      </c>
      <c r="C53" t="inlineStr">
        <is>
          <t>Medicare</t>
        </is>
      </c>
      <c r="D53" t="inlineStr">
        <is>
          <t>Outpatient</t>
        </is>
      </c>
      <c r="E53" s="29" t="n">
        <v>45663</v>
      </c>
      <c r="F53" s="29" t="n">
        <v>45668</v>
      </c>
      <c r="G53" s="31" t="n">
        <v>217.25</v>
      </c>
      <c r="H53" s="31" t="n">
        <v>55.01</v>
      </c>
      <c r="I53" t="inlineStr">
        <is>
          <t>Paid</t>
        </is>
      </c>
      <c r="K53" s="29" t="n">
        <v>45676</v>
      </c>
      <c r="L53" s="33" t="n"/>
    </row>
    <row r="54">
      <c r="A54" t="inlineStr">
        <is>
          <t>CLM510912</t>
        </is>
      </c>
      <c r="B54" t="inlineStr">
        <is>
          <t>ENC110912</t>
        </is>
      </c>
      <c r="C54" t="inlineStr">
        <is>
          <t>Keystone Health Partners</t>
        </is>
      </c>
      <c r="D54" t="inlineStr">
        <is>
          <t>Emergency</t>
        </is>
      </c>
      <c r="E54" s="29" t="n">
        <v>45663</v>
      </c>
      <c r="F54" s="29" t="n">
        <v>45674</v>
      </c>
      <c r="G54" s="31" t="n">
        <v>2542.05</v>
      </c>
      <c r="H54" s="31" t="n">
        <v>1262.34</v>
      </c>
      <c r="I54" t="inlineStr">
        <is>
          <t>Paid</t>
        </is>
      </c>
      <c r="K54" s="29" t="n">
        <v>45695</v>
      </c>
      <c r="L54" s="33" t="n"/>
    </row>
    <row r="55">
      <c r="A55" t="inlineStr">
        <is>
          <t>CLM510913</t>
        </is>
      </c>
      <c r="B55" t="inlineStr">
        <is>
          <t>ENC110913</t>
        </is>
      </c>
      <c r="C55" t="inlineStr">
        <is>
          <t>State Medicaid</t>
        </is>
      </c>
      <c r="D55" t="inlineStr">
        <is>
          <t>Emergency</t>
        </is>
      </c>
      <c r="E55" s="29" t="n">
        <v>45663</v>
      </c>
      <c r="F55" s="29" t="n">
        <v>45666</v>
      </c>
      <c r="G55" s="31" t="n">
        <v>1570.3</v>
      </c>
      <c r="H55" s="31" t="n">
        <v>0</v>
      </c>
      <c r="I55" t="inlineStr">
        <is>
          <t>Denied</t>
        </is>
      </c>
      <c r="J55" t="inlineStr">
        <is>
          <t>Coding Error</t>
        </is>
      </c>
      <c r="L55" s="33" t="n"/>
    </row>
    <row r="56">
      <c r="A56" t="inlineStr">
        <is>
          <t>CLM510915</t>
        </is>
      </c>
      <c r="B56" t="inlineStr">
        <is>
          <t>ENC110915</t>
        </is>
      </c>
      <c r="C56" t="inlineStr">
        <is>
          <t>State Medicaid</t>
        </is>
      </c>
      <c r="D56" t="inlineStr">
        <is>
          <t>Emergency</t>
        </is>
      </c>
      <c r="E56" s="29" t="n">
        <v>45663</v>
      </c>
      <c r="F56" s="29" t="n">
        <v>45665</v>
      </c>
      <c r="G56" s="31" t="n">
        <v>1489.5</v>
      </c>
      <c r="H56" s="31" t="n">
        <v>368.92</v>
      </c>
      <c r="I56" t="inlineStr">
        <is>
          <t>Paid</t>
        </is>
      </c>
      <c r="K56" s="29" t="n">
        <v>45690</v>
      </c>
      <c r="L56" s="33" t="n"/>
    </row>
    <row r="57">
      <c r="A57" t="inlineStr">
        <is>
          <t>CLM510919</t>
        </is>
      </c>
      <c r="B57" t="inlineStr">
        <is>
          <t>ENC110919</t>
        </is>
      </c>
      <c r="C57" t="inlineStr">
        <is>
          <t>Silverline Medicare Advantage</t>
        </is>
      </c>
      <c r="D57" t="inlineStr">
        <is>
          <t>Inpatient</t>
        </is>
      </c>
      <c r="E57" s="29" t="n">
        <v>45674</v>
      </c>
      <c r="F57" s="29" t="n">
        <v>45679</v>
      </c>
      <c r="G57" s="31" t="n">
        <v>63749.8</v>
      </c>
      <c r="H57" s="31" t="n">
        <v>22107.09</v>
      </c>
      <c r="I57" t="inlineStr">
        <is>
          <t>Paid</t>
        </is>
      </c>
      <c r="K57" s="29" t="n">
        <v>45735</v>
      </c>
      <c r="L57" s="33" t="n"/>
    </row>
    <row r="58">
      <c r="A58" t="inlineStr">
        <is>
          <t>CLM510924</t>
        </is>
      </c>
      <c r="B58" t="inlineStr">
        <is>
          <t>ENC110924</t>
        </is>
      </c>
      <c r="C58" t="inlineStr">
        <is>
          <t>Medicare</t>
        </is>
      </c>
      <c r="D58" t="inlineStr">
        <is>
          <t>Inpatient</t>
        </is>
      </c>
      <c r="E58" s="29" t="n">
        <v>45666</v>
      </c>
      <c r="F58" s="29" t="n">
        <v>45668</v>
      </c>
      <c r="G58" s="31" t="n">
        <v>17052.17</v>
      </c>
      <c r="H58" s="31" t="n">
        <v>5387.98</v>
      </c>
      <c r="I58" t="inlineStr">
        <is>
          <t>Paid</t>
        </is>
      </c>
      <c r="K58" s="29" t="n">
        <v>45676</v>
      </c>
      <c r="L58" s="33" t="n"/>
    </row>
    <row r="59">
      <c r="A59" t="inlineStr">
        <is>
          <t>CLM510926</t>
        </is>
      </c>
      <c r="B59" t="inlineStr">
        <is>
          <t>ENC110926</t>
        </is>
      </c>
      <c r="C59" t="inlineStr">
        <is>
          <t>State Medicaid</t>
        </is>
      </c>
      <c r="D59" t="inlineStr">
        <is>
          <t>Inpatient</t>
        </is>
      </c>
      <c r="E59" s="29" t="n">
        <v>45665</v>
      </c>
      <c r="F59" s="29" t="n">
        <v>45681</v>
      </c>
      <c r="G59" s="31" t="n">
        <v>47044.2</v>
      </c>
      <c r="H59" s="31" t="n">
        <v>0</v>
      </c>
      <c r="I59" t="inlineStr">
        <is>
          <t>Appealed</t>
        </is>
      </c>
      <c r="J59" t="inlineStr">
        <is>
          <t>Eligibility / Coverage</t>
        </is>
      </c>
      <c r="L59" s="33" t="n"/>
    </row>
    <row r="60">
      <c r="A60" t="inlineStr">
        <is>
          <t>CLM510928</t>
        </is>
      </c>
      <c r="B60" t="inlineStr">
        <is>
          <t>ENC110928</t>
        </is>
      </c>
      <c r="C60" t="inlineStr">
        <is>
          <t>Medicare</t>
        </is>
      </c>
      <c r="D60" t="inlineStr">
        <is>
          <t>Outpatient</t>
        </is>
      </c>
      <c r="E60" s="29" t="n">
        <v>45664</v>
      </c>
      <c r="F60" s="29" t="n">
        <v>45668</v>
      </c>
      <c r="G60" s="31" t="n">
        <v>208.59</v>
      </c>
      <c r="H60" s="31" t="n">
        <v>53.81</v>
      </c>
      <c r="I60" t="inlineStr">
        <is>
          <t>Paid</t>
        </is>
      </c>
      <c r="K60" s="29" t="n">
        <v>45689</v>
      </c>
      <c r="L60" s="33" t="n"/>
    </row>
    <row r="61">
      <c r="A61" t="inlineStr">
        <is>
          <t>CLM510930</t>
        </is>
      </c>
      <c r="B61" t="inlineStr">
        <is>
          <t>ENC110930</t>
        </is>
      </c>
      <c r="C61" t="inlineStr">
        <is>
          <t>Keystone Health Partners</t>
        </is>
      </c>
      <c r="D61" t="inlineStr">
        <is>
          <t>Outpatient</t>
        </is>
      </c>
      <c r="E61" s="29" t="n">
        <v>45664</v>
      </c>
      <c r="F61" s="29" t="n">
        <v>45665</v>
      </c>
      <c r="G61" s="31" t="n">
        <v>353.05</v>
      </c>
      <c r="H61" s="31" t="n">
        <v>0</v>
      </c>
      <c r="I61" t="inlineStr">
        <is>
          <t>Denied</t>
        </is>
      </c>
      <c r="J61" t="inlineStr">
        <is>
          <t>Coding Error</t>
        </is>
      </c>
      <c r="L61" s="33" t="n"/>
    </row>
    <row r="62">
      <c r="A62" t="inlineStr">
        <is>
          <t>CLM510946</t>
        </is>
      </c>
      <c r="B62" t="inlineStr">
        <is>
          <t>ENC110946</t>
        </is>
      </c>
      <c r="C62" t="inlineStr">
        <is>
          <t>Silverline Medicare Advantage</t>
        </is>
      </c>
      <c r="D62" t="inlineStr">
        <is>
          <t>Outpatient</t>
        </is>
      </c>
      <c r="E62" s="29" t="n">
        <v>45664</v>
      </c>
      <c r="F62" s="29" t="n">
        <v>45667</v>
      </c>
      <c r="G62" s="31" t="n">
        <v>232.12</v>
      </c>
      <c r="H62" s="31" t="n">
        <v>76.73999999999999</v>
      </c>
      <c r="I62" t="inlineStr">
        <is>
          <t>Paid</t>
        </is>
      </c>
      <c r="K62" s="29" t="n">
        <v>45683</v>
      </c>
      <c r="L62" s="33" t="n"/>
    </row>
    <row r="63">
      <c r="A63" t="inlineStr">
        <is>
          <t>CLM510949</t>
        </is>
      </c>
      <c r="B63" t="inlineStr">
        <is>
          <t>ENC110949</t>
        </is>
      </c>
      <c r="C63" t="inlineStr">
        <is>
          <t>Medicare</t>
        </is>
      </c>
      <c r="D63" t="inlineStr">
        <is>
          <t>Outpatient</t>
        </is>
      </c>
      <c r="E63" s="29" t="n">
        <v>45664</v>
      </c>
      <c r="F63" s="29" t="n">
        <v>45666</v>
      </c>
      <c r="G63" s="31" t="n">
        <v>11341.4</v>
      </c>
      <c r="H63" s="31" t="n">
        <v>3751.22</v>
      </c>
      <c r="I63" t="inlineStr">
        <is>
          <t>Paid</t>
        </is>
      </c>
      <c r="K63" s="29" t="n">
        <v>45677</v>
      </c>
      <c r="L63" s="33" t="n"/>
    </row>
    <row r="64">
      <c r="A64" t="inlineStr">
        <is>
          <t>CLM510950</t>
        </is>
      </c>
      <c r="B64" t="inlineStr">
        <is>
          <t>ENC110950</t>
        </is>
      </c>
      <c r="C64" t="inlineStr">
        <is>
          <t>Summit Choice PPO</t>
        </is>
      </c>
      <c r="D64" t="inlineStr">
        <is>
          <t>Outpatient</t>
        </is>
      </c>
      <c r="E64" s="29" t="n">
        <v>45664</v>
      </c>
      <c r="F64" s="29" t="n">
        <v>45670</v>
      </c>
      <c r="G64" s="31" t="n">
        <v>356.16</v>
      </c>
      <c r="H64" s="31" t="n">
        <v>161.9</v>
      </c>
      <c r="I64" t="inlineStr">
        <is>
          <t>Paid</t>
        </is>
      </c>
      <c r="K64" s="29" t="n">
        <v>45690</v>
      </c>
      <c r="L64" s="33" t="n"/>
    </row>
    <row r="65">
      <c r="A65" t="inlineStr">
        <is>
          <t>CLM510952</t>
        </is>
      </c>
      <c r="B65" t="inlineStr">
        <is>
          <t>ENC110952</t>
        </is>
      </c>
      <c r="C65" t="inlineStr">
        <is>
          <t>Silverline Medicare Advantage</t>
        </is>
      </c>
      <c r="D65" t="inlineStr">
        <is>
          <t>Inpatient</t>
        </is>
      </c>
      <c r="E65" s="29" t="n">
        <v>45669</v>
      </c>
      <c r="F65" s="29" t="n">
        <v>45671</v>
      </c>
      <c r="G65" s="31" t="n">
        <v>64067.75</v>
      </c>
      <c r="H65" s="31" t="n">
        <v>18893.1</v>
      </c>
      <c r="I65" t="inlineStr">
        <is>
          <t>Paid</t>
        </is>
      </c>
      <c r="K65" s="29" t="n">
        <v>45717</v>
      </c>
      <c r="L65" s="33" t="n"/>
    </row>
    <row r="66">
      <c r="A66" t="inlineStr">
        <is>
          <t>CLM510957</t>
        </is>
      </c>
      <c r="B66" t="inlineStr">
        <is>
          <t>ENC110957</t>
        </is>
      </c>
      <c r="C66" t="inlineStr">
        <is>
          <t>Medicare</t>
        </is>
      </c>
      <c r="D66" t="inlineStr">
        <is>
          <t>Inpatient</t>
        </is>
      </c>
      <c r="E66" s="29" t="n">
        <v>45676</v>
      </c>
      <c r="F66" s="29" t="n">
        <v>45683</v>
      </c>
      <c r="G66" s="31" t="n">
        <v>52897.86</v>
      </c>
      <c r="H66" s="31" t="n">
        <v>14825.4</v>
      </c>
      <c r="I66" t="inlineStr">
        <is>
          <t>Paid</t>
        </is>
      </c>
      <c r="K66" s="29" t="n">
        <v>45693</v>
      </c>
      <c r="L66" s="33" t="n"/>
    </row>
    <row r="67">
      <c r="A67" t="inlineStr">
        <is>
          <t>CLM510959</t>
        </is>
      </c>
      <c r="B67" t="inlineStr">
        <is>
          <t>ENC110959</t>
        </is>
      </c>
      <c r="C67" t="inlineStr">
        <is>
          <t>Summit Choice PPO</t>
        </is>
      </c>
      <c r="D67" t="inlineStr">
        <is>
          <t>Inpatient</t>
        </is>
      </c>
      <c r="E67" s="29" t="n">
        <v>45668</v>
      </c>
      <c r="F67" s="29" t="n">
        <v>45673</v>
      </c>
      <c r="G67" s="31" t="n">
        <v>13197.21</v>
      </c>
      <c r="H67" s="31" t="n">
        <v>6795.9</v>
      </c>
      <c r="I67" t="inlineStr">
        <is>
          <t>Paid</t>
        </is>
      </c>
      <c r="K67" s="29" t="n">
        <v>45690</v>
      </c>
      <c r="L67" s="33" t="n"/>
    </row>
    <row r="68">
      <c r="A68" t="inlineStr">
        <is>
          <t>CLM510962</t>
        </is>
      </c>
      <c r="B68" t="inlineStr">
        <is>
          <t>ENC110962</t>
        </is>
      </c>
      <c r="C68" t="inlineStr">
        <is>
          <t>Evergreen Mutual Insurance</t>
        </is>
      </c>
      <c r="D68" t="inlineStr">
        <is>
          <t>Emergency</t>
        </is>
      </c>
      <c r="E68" s="29" t="n">
        <v>45665</v>
      </c>
      <c r="F68" s="29" t="n">
        <v>45668</v>
      </c>
      <c r="G68" s="31" t="n">
        <v>3048.1</v>
      </c>
      <c r="H68" s="31" t="n">
        <v>0</v>
      </c>
      <c r="I68" t="inlineStr">
        <is>
          <t>Denied</t>
        </is>
      </c>
      <c r="J68" t="inlineStr">
        <is>
          <t>Authorization Required</t>
        </is>
      </c>
      <c r="L68" s="33" t="n"/>
    </row>
    <row r="69">
      <c r="A69" t="inlineStr">
        <is>
          <t>CLM510970</t>
        </is>
      </c>
      <c r="B69" t="inlineStr">
        <is>
          <t>ENC110970</t>
        </is>
      </c>
      <c r="C69" t="inlineStr">
        <is>
          <t>Self-Pay</t>
        </is>
      </c>
      <c r="D69" t="inlineStr">
        <is>
          <t>Outpatient</t>
        </is>
      </c>
      <c r="E69" s="29" t="n">
        <v>45665</v>
      </c>
      <c r="F69" s="29" t="n">
        <v>45667</v>
      </c>
      <c r="G69" s="31" t="n">
        <v>265.29</v>
      </c>
      <c r="H69" s="31" t="n">
        <v>41.78</v>
      </c>
      <c r="I69" t="inlineStr">
        <is>
          <t>Partially Paid</t>
        </is>
      </c>
      <c r="K69" s="29" t="n">
        <v>45744</v>
      </c>
      <c r="L69" s="33" t="n"/>
    </row>
    <row r="70">
      <c r="A70" t="inlineStr">
        <is>
          <t>CLM510979</t>
        </is>
      </c>
      <c r="B70" t="inlineStr">
        <is>
          <t>ENC110979</t>
        </is>
      </c>
      <c r="C70" t="inlineStr">
        <is>
          <t>Medicare</t>
        </is>
      </c>
      <c r="D70" t="inlineStr">
        <is>
          <t>Outpatient</t>
        </is>
      </c>
      <c r="E70" s="29" t="n">
        <v>45665</v>
      </c>
      <c r="F70" s="29" t="n">
        <v>45672</v>
      </c>
      <c r="G70" s="31" t="n">
        <v>450.46</v>
      </c>
      <c r="H70" s="31" t="n">
        <v>126.49</v>
      </c>
      <c r="I70" t="inlineStr">
        <is>
          <t>Paid</t>
        </is>
      </c>
      <c r="K70" s="29" t="n">
        <v>45688</v>
      </c>
      <c r="L70" s="33" t="n"/>
    </row>
    <row r="71">
      <c r="A71" t="inlineStr">
        <is>
          <t>CLM510980</t>
        </is>
      </c>
      <c r="B71" t="inlineStr">
        <is>
          <t>ENC110980</t>
        </is>
      </c>
      <c r="C71" t="inlineStr">
        <is>
          <t>Medicare</t>
        </is>
      </c>
      <c r="D71" t="inlineStr">
        <is>
          <t>Outpatient</t>
        </is>
      </c>
      <c r="E71" s="29" t="n">
        <v>45665</v>
      </c>
      <c r="F71" s="29" t="n">
        <v>45669</v>
      </c>
      <c r="G71" s="31" t="n">
        <v>380.14</v>
      </c>
      <c r="H71" s="31" t="n">
        <v>119.98</v>
      </c>
      <c r="I71" t="inlineStr">
        <is>
          <t>Paid</t>
        </is>
      </c>
      <c r="K71" s="29" t="n">
        <v>45688</v>
      </c>
      <c r="L71" s="33" t="n"/>
    </row>
    <row r="72">
      <c r="A72" t="inlineStr">
        <is>
          <t>CLM510987</t>
        </is>
      </c>
      <c r="B72" t="inlineStr">
        <is>
          <t>ENC110987</t>
        </is>
      </c>
      <c r="C72" t="inlineStr">
        <is>
          <t>Keystone Health Partners</t>
        </is>
      </c>
      <c r="D72" t="inlineStr">
        <is>
          <t>Outpatient</t>
        </is>
      </c>
      <c r="E72" s="29" t="n">
        <v>45665</v>
      </c>
      <c r="F72" s="29" t="n">
        <v>45668</v>
      </c>
      <c r="G72" s="31" t="n">
        <v>7413.09</v>
      </c>
      <c r="H72" s="31" t="n">
        <v>3180.78</v>
      </c>
      <c r="I72" t="inlineStr">
        <is>
          <t>Paid</t>
        </is>
      </c>
      <c r="K72" s="29" t="n">
        <v>45692</v>
      </c>
      <c r="L72" s="33" t="n"/>
    </row>
    <row r="73">
      <c r="A73" t="inlineStr">
        <is>
          <t>CLM510989</t>
        </is>
      </c>
      <c r="B73" t="inlineStr">
        <is>
          <t>ENC110989</t>
        </is>
      </c>
      <c r="C73" t="inlineStr">
        <is>
          <t>Medicare</t>
        </is>
      </c>
      <c r="D73" t="inlineStr">
        <is>
          <t>Emergency</t>
        </is>
      </c>
      <c r="E73" s="29" t="n">
        <v>45665</v>
      </c>
      <c r="F73" s="29" t="n">
        <v>45667</v>
      </c>
      <c r="G73" s="31" t="n">
        <v>3793.84</v>
      </c>
      <c r="H73" s="31" t="n">
        <v>1085.27</v>
      </c>
      <c r="I73" t="inlineStr">
        <is>
          <t>Paid</t>
        </is>
      </c>
      <c r="K73" s="29" t="n">
        <v>45680</v>
      </c>
      <c r="L73" s="33" t="n"/>
    </row>
    <row r="74">
      <c r="A74" t="inlineStr">
        <is>
          <t>CLM510992</t>
        </is>
      </c>
      <c r="B74" t="inlineStr">
        <is>
          <t>ENC110992</t>
        </is>
      </c>
      <c r="C74" t="inlineStr">
        <is>
          <t>Keystone Health Partners</t>
        </is>
      </c>
      <c r="D74" t="inlineStr">
        <is>
          <t>Emergency</t>
        </is>
      </c>
      <c r="E74" s="29" t="n">
        <v>45665</v>
      </c>
      <c r="F74" s="29" t="n">
        <v>45671</v>
      </c>
      <c r="G74" s="31" t="n">
        <v>5207.98</v>
      </c>
      <c r="H74" s="31" t="n">
        <v>2322.96</v>
      </c>
      <c r="I74" t="inlineStr">
        <is>
          <t>Paid</t>
        </is>
      </c>
      <c r="K74" s="29" t="n">
        <v>45691</v>
      </c>
      <c r="L74" s="33" t="n"/>
    </row>
    <row r="75">
      <c r="A75" t="inlineStr">
        <is>
          <t>CLM510999</t>
        </is>
      </c>
      <c r="B75" t="inlineStr">
        <is>
          <t>ENC110999</t>
        </is>
      </c>
      <c r="C75" t="inlineStr">
        <is>
          <t>Silverline Medicare Advantage</t>
        </is>
      </c>
      <c r="D75" t="inlineStr">
        <is>
          <t>Observation</t>
        </is>
      </c>
      <c r="E75" s="29" t="n">
        <v>45666</v>
      </c>
      <c r="F75" s="29" t="n">
        <v>45669</v>
      </c>
      <c r="G75" s="31" t="n">
        <v>8994.18</v>
      </c>
      <c r="H75" s="31" t="n">
        <v>0</v>
      </c>
      <c r="I75" t="inlineStr">
        <is>
          <t>Denied</t>
        </is>
      </c>
      <c r="J75" t="inlineStr">
        <is>
          <t>Coding Error</t>
        </is>
      </c>
      <c r="L75" s="33" t="n"/>
    </row>
    <row r="76">
      <c r="A76" t="inlineStr">
        <is>
          <t>CLM511003</t>
        </is>
      </c>
      <c r="B76" t="inlineStr">
        <is>
          <t>ENC111003</t>
        </is>
      </c>
      <c r="C76" t="inlineStr">
        <is>
          <t>Medicare</t>
        </is>
      </c>
      <c r="D76" t="inlineStr">
        <is>
          <t>Emergency</t>
        </is>
      </c>
      <c r="E76" s="29" t="n">
        <v>45666</v>
      </c>
      <c r="F76" s="29" t="n">
        <v>45670</v>
      </c>
      <c r="G76" s="31" t="n">
        <v>1280.28</v>
      </c>
      <c r="H76" s="31" t="n">
        <v>0</v>
      </c>
      <c r="I76" t="inlineStr">
        <is>
          <t>Appealed</t>
        </is>
      </c>
      <c r="J76" t="inlineStr">
        <is>
          <t>Medical Necessity</t>
        </is>
      </c>
      <c r="L76" s="33" t="n"/>
    </row>
    <row r="77">
      <c r="A77" t="inlineStr">
        <is>
          <t>CLM511008</t>
        </is>
      </c>
      <c r="B77" t="inlineStr">
        <is>
          <t>ENC111008</t>
        </is>
      </c>
      <c r="C77" t="inlineStr">
        <is>
          <t>Medicare</t>
        </is>
      </c>
      <c r="D77" t="inlineStr">
        <is>
          <t>Outpatient</t>
        </is>
      </c>
      <c r="E77" s="29" t="n">
        <v>45666</v>
      </c>
      <c r="F77" s="29" t="n">
        <v>45670</v>
      </c>
      <c r="G77" s="31" t="n">
        <v>102.2</v>
      </c>
      <c r="H77" s="31" t="n">
        <v>30.97</v>
      </c>
      <c r="I77" t="inlineStr">
        <is>
          <t>Paid</t>
        </is>
      </c>
      <c r="K77" s="29" t="n">
        <v>45680</v>
      </c>
      <c r="L77" s="33" t="n"/>
    </row>
    <row r="78">
      <c r="A78" t="inlineStr">
        <is>
          <t>CLM511009</t>
        </is>
      </c>
      <c r="B78" t="inlineStr">
        <is>
          <t>ENC111009</t>
        </is>
      </c>
      <c r="C78" t="inlineStr">
        <is>
          <t>Self-Pay</t>
        </is>
      </c>
      <c r="D78" t="inlineStr">
        <is>
          <t>Outpatient</t>
        </is>
      </c>
      <c r="E78" s="29" t="n">
        <v>45666</v>
      </c>
      <c r="F78" s="29" t="n">
        <v>45672</v>
      </c>
      <c r="G78" s="31" t="n">
        <v>9629.860000000001</v>
      </c>
      <c r="H78" s="31" t="n">
        <v>0</v>
      </c>
      <c r="I78" t="inlineStr">
        <is>
          <t>Pending</t>
        </is>
      </c>
      <c r="L78" s="33" t="n"/>
    </row>
    <row r="79">
      <c r="A79" t="inlineStr">
        <is>
          <t>CLM511022</t>
        </is>
      </c>
      <c r="B79" t="inlineStr">
        <is>
          <t>ENC111022</t>
        </is>
      </c>
      <c r="C79" t="inlineStr">
        <is>
          <t>Keystone Health Partners</t>
        </is>
      </c>
      <c r="D79" t="inlineStr">
        <is>
          <t>Outpatient</t>
        </is>
      </c>
      <c r="E79" s="29" t="n">
        <v>45666</v>
      </c>
      <c r="F79" s="29" t="n">
        <v>45671</v>
      </c>
      <c r="G79" s="31" t="n">
        <v>393.23</v>
      </c>
      <c r="H79" s="31" t="n">
        <v>175.62</v>
      </c>
      <c r="I79" t="inlineStr">
        <is>
          <t>Paid</t>
        </is>
      </c>
      <c r="K79" s="29" t="n">
        <v>45695</v>
      </c>
      <c r="L79" s="33" t="n"/>
    </row>
    <row r="80">
      <c r="A80" t="inlineStr">
        <is>
          <t>CLM511032</t>
        </is>
      </c>
      <c r="B80" t="inlineStr">
        <is>
          <t>ENC111032</t>
        </is>
      </c>
      <c r="C80" t="inlineStr">
        <is>
          <t>Medicare</t>
        </is>
      </c>
      <c r="D80" t="inlineStr">
        <is>
          <t>Outpatient</t>
        </is>
      </c>
      <c r="E80" s="29" t="n">
        <v>45666</v>
      </c>
      <c r="F80" s="29" t="n">
        <v>45751</v>
      </c>
      <c r="G80" s="31" t="n">
        <v>246.38</v>
      </c>
      <c r="H80" s="31" t="n">
        <v>66.20999999999999</v>
      </c>
      <c r="I80" t="inlineStr">
        <is>
          <t>Paid</t>
        </is>
      </c>
      <c r="K80" s="29" t="n">
        <v>45759</v>
      </c>
      <c r="L80" s="33" t="n"/>
    </row>
    <row r="81">
      <c r="A81" t="inlineStr">
        <is>
          <t>CLM511033</t>
        </is>
      </c>
      <c r="B81" t="inlineStr">
        <is>
          <t>ENC111033</t>
        </is>
      </c>
      <c r="C81" t="inlineStr">
        <is>
          <t>State Medicaid</t>
        </is>
      </c>
      <c r="D81" t="inlineStr">
        <is>
          <t>Emergency</t>
        </is>
      </c>
      <c r="E81" s="29" t="n">
        <v>45666</v>
      </c>
      <c r="F81" s="29" t="n">
        <v>45672</v>
      </c>
      <c r="G81" s="31" t="n">
        <v>591.0599999999999</v>
      </c>
      <c r="H81" s="31" t="n">
        <v>144.25</v>
      </c>
      <c r="I81" t="inlineStr">
        <is>
          <t>Paid</t>
        </is>
      </c>
      <c r="K81" s="29" t="n">
        <v>45712</v>
      </c>
      <c r="L81" s="33" t="n"/>
    </row>
    <row r="82">
      <c r="A82" t="inlineStr">
        <is>
          <t>CLM511036</t>
        </is>
      </c>
      <c r="B82" t="inlineStr">
        <is>
          <t>ENC111036</t>
        </is>
      </c>
      <c r="C82" t="inlineStr">
        <is>
          <t>Medicare</t>
        </is>
      </c>
      <c r="D82" t="inlineStr">
        <is>
          <t>Emergency</t>
        </is>
      </c>
      <c r="E82" s="29" t="n">
        <v>45666</v>
      </c>
      <c r="F82" s="29" t="n">
        <v>45683</v>
      </c>
      <c r="G82" s="31" t="n">
        <v>3276.04</v>
      </c>
      <c r="H82" s="31" t="n">
        <v>832.35</v>
      </c>
      <c r="I82" t="inlineStr">
        <is>
          <t>Paid</t>
        </is>
      </c>
      <c r="K82" s="29" t="n">
        <v>45700</v>
      </c>
      <c r="L82" s="33" t="n"/>
    </row>
    <row r="83">
      <c r="A83" t="inlineStr">
        <is>
          <t>CLM511046</t>
        </is>
      </c>
      <c r="B83" t="inlineStr">
        <is>
          <t>ENC111046</t>
        </is>
      </c>
      <c r="C83" t="inlineStr">
        <is>
          <t>State Medicaid</t>
        </is>
      </c>
      <c r="D83" t="inlineStr">
        <is>
          <t>Outpatient</t>
        </is>
      </c>
      <c r="E83" s="29" t="n">
        <v>45667</v>
      </c>
      <c r="F83" s="29" t="n">
        <v>45670</v>
      </c>
      <c r="G83" s="31" t="n">
        <v>457.62</v>
      </c>
      <c r="H83" s="31" t="n">
        <v>0</v>
      </c>
      <c r="I83" t="inlineStr">
        <is>
          <t>Appealed</t>
        </is>
      </c>
      <c r="J83" t="inlineStr">
        <is>
          <t>Duplicate Claim</t>
        </is>
      </c>
      <c r="L83" s="33" t="n"/>
    </row>
    <row r="84">
      <c r="A84" t="inlineStr">
        <is>
          <t>CLM511047</t>
        </is>
      </c>
      <c r="B84" t="inlineStr">
        <is>
          <t>ENC111047</t>
        </is>
      </c>
      <c r="C84" t="inlineStr">
        <is>
          <t>Medicare</t>
        </is>
      </c>
      <c r="D84" t="inlineStr">
        <is>
          <t>Outpatient</t>
        </is>
      </c>
      <c r="E84" s="29" t="n">
        <v>45667</v>
      </c>
      <c r="F84" s="29" t="n">
        <v>45773</v>
      </c>
      <c r="G84" s="31" t="n">
        <v>514.67</v>
      </c>
      <c r="H84" s="31" t="n">
        <v>156.69</v>
      </c>
      <c r="I84" t="inlineStr">
        <is>
          <t>Paid</t>
        </is>
      </c>
      <c r="K84" s="29" t="n">
        <v>45788</v>
      </c>
      <c r="L84" s="33" t="n"/>
    </row>
    <row r="85">
      <c r="A85" t="inlineStr">
        <is>
          <t>CLM511050</t>
        </is>
      </c>
      <c r="B85" t="inlineStr">
        <is>
          <t>ENC111050</t>
        </is>
      </c>
      <c r="C85" t="inlineStr">
        <is>
          <t>Self-Pay</t>
        </is>
      </c>
      <c r="D85" t="inlineStr">
        <is>
          <t>Outpatient</t>
        </is>
      </c>
      <c r="E85" s="29" t="n">
        <v>45667</v>
      </c>
      <c r="F85" s="29" t="n">
        <v>45675</v>
      </c>
      <c r="G85" s="31" t="n">
        <v>258.26</v>
      </c>
      <c r="H85" s="31" t="n">
        <v>0</v>
      </c>
      <c r="I85" t="inlineStr">
        <is>
          <t>Pending</t>
        </is>
      </c>
      <c r="L85" s="33" t="n"/>
    </row>
    <row r="86">
      <c r="A86" t="inlineStr">
        <is>
          <t>CLM511064</t>
        </is>
      </c>
      <c r="B86" t="inlineStr">
        <is>
          <t>ENC111064</t>
        </is>
      </c>
      <c r="C86" t="inlineStr">
        <is>
          <t>Silverline Medicare Advantage</t>
        </is>
      </c>
      <c r="D86" t="inlineStr">
        <is>
          <t>Emergency</t>
        </is>
      </c>
      <c r="E86" s="29" t="n">
        <v>45667</v>
      </c>
      <c r="F86" s="29" t="n">
        <v>45669</v>
      </c>
      <c r="G86" s="31" t="n">
        <v>623.05</v>
      </c>
      <c r="H86" s="31" t="n">
        <v>185.51</v>
      </c>
      <c r="I86" t="inlineStr">
        <is>
          <t>Paid</t>
        </is>
      </c>
      <c r="K86" s="29" t="n">
        <v>45688</v>
      </c>
      <c r="L86" s="33" t="n"/>
    </row>
    <row r="87">
      <c r="A87" t="inlineStr">
        <is>
          <t>CLM511065</t>
        </is>
      </c>
      <c r="B87" t="inlineStr">
        <is>
          <t>ENC111065</t>
        </is>
      </c>
      <c r="C87" t="inlineStr">
        <is>
          <t>Summit Choice PPO</t>
        </is>
      </c>
      <c r="D87" t="inlineStr">
        <is>
          <t>Outpatient</t>
        </is>
      </c>
      <c r="E87" s="29" t="n">
        <v>45667</v>
      </c>
      <c r="F87" s="29" t="n">
        <v>45672</v>
      </c>
      <c r="G87" s="31" t="n">
        <v>446.29</v>
      </c>
      <c r="H87" s="31" t="n">
        <v>110.68</v>
      </c>
      <c r="I87" t="inlineStr">
        <is>
          <t>Partially Paid</t>
        </is>
      </c>
      <c r="J87" t="inlineStr">
        <is>
          <t>Medical Necessity</t>
        </is>
      </c>
      <c r="K87" s="29" t="n">
        <v>45692</v>
      </c>
      <c r="L87" s="33" t="n"/>
    </row>
    <row r="88">
      <c r="A88" t="inlineStr">
        <is>
          <t>CLM511068</t>
        </is>
      </c>
      <c r="B88" t="inlineStr">
        <is>
          <t>ENC111068</t>
        </is>
      </c>
      <c r="C88" t="inlineStr">
        <is>
          <t>Keystone Health Partners</t>
        </is>
      </c>
      <c r="D88" t="inlineStr">
        <is>
          <t>Inpatient</t>
        </is>
      </c>
      <c r="E88" s="29" t="n">
        <v>45671</v>
      </c>
      <c r="F88" s="29" t="n">
        <v>45674</v>
      </c>
      <c r="G88" s="31" t="n">
        <v>24976.35</v>
      </c>
      <c r="H88" s="31" t="n">
        <v>10720.73</v>
      </c>
      <c r="I88" t="inlineStr">
        <is>
          <t>Paid</t>
        </is>
      </c>
      <c r="K88" s="29" t="n">
        <v>45691</v>
      </c>
      <c r="L88" s="33" t="n"/>
    </row>
    <row r="89">
      <c r="A89" t="inlineStr">
        <is>
          <t>CLM511078</t>
        </is>
      </c>
      <c r="B89" t="inlineStr">
        <is>
          <t>ENC111078</t>
        </is>
      </c>
      <c r="C89" t="inlineStr">
        <is>
          <t>State Medicaid</t>
        </is>
      </c>
      <c r="D89" t="inlineStr">
        <is>
          <t>Emergency</t>
        </is>
      </c>
      <c r="E89" s="29" t="n">
        <v>45667</v>
      </c>
      <c r="F89" s="29" t="n">
        <v>45669</v>
      </c>
      <c r="G89" s="31" t="n">
        <v>934.27</v>
      </c>
      <c r="H89" s="31" t="n">
        <v>0</v>
      </c>
      <c r="I89" t="inlineStr">
        <is>
          <t>Denied</t>
        </is>
      </c>
      <c r="J89" t="inlineStr">
        <is>
          <t>Eligibility / Coverage</t>
        </is>
      </c>
      <c r="L89" s="33" t="n"/>
    </row>
    <row r="90">
      <c r="A90" t="inlineStr">
        <is>
          <t>CLM511079</t>
        </is>
      </c>
      <c r="B90" t="inlineStr">
        <is>
          <t>ENC111079</t>
        </is>
      </c>
      <c r="C90" t="inlineStr">
        <is>
          <t>Summit Choice PPO</t>
        </is>
      </c>
      <c r="D90" t="inlineStr">
        <is>
          <t>Inpatient</t>
        </is>
      </c>
      <c r="E90" s="29" t="n">
        <v>45675</v>
      </c>
      <c r="F90" s="29" t="n">
        <v>45679</v>
      </c>
      <c r="G90" s="31" t="n">
        <v>89500.47</v>
      </c>
      <c r="H90" s="31" t="n">
        <v>38103.02</v>
      </c>
      <c r="I90" t="inlineStr">
        <is>
          <t>Paid</t>
        </is>
      </c>
      <c r="K90" s="29" t="n">
        <v>45697</v>
      </c>
      <c r="L90" s="33" t="n"/>
    </row>
    <row r="91">
      <c r="A91" t="inlineStr">
        <is>
          <t>CLM511080</t>
        </is>
      </c>
      <c r="B91" t="inlineStr">
        <is>
          <t>ENC111080</t>
        </is>
      </c>
      <c r="C91" t="inlineStr">
        <is>
          <t>Medicare</t>
        </is>
      </c>
      <c r="D91" t="inlineStr">
        <is>
          <t>Inpatient</t>
        </is>
      </c>
      <c r="E91" s="29" t="n">
        <v>45675</v>
      </c>
      <c r="F91" s="29" t="n">
        <v>45678</v>
      </c>
      <c r="G91" s="31" t="n">
        <v>33768.16</v>
      </c>
      <c r="H91" s="31" t="n">
        <v>8424.799999999999</v>
      </c>
      <c r="I91" t="inlineStr">
        <is>
          <t>Paid</t>
        </is>
      </c>
      <c r="K91" s="29" t="n">
        <v>45699</v>
      </c>
      <c r="L91" s="33" t="n"/>
    </row>
    <row r="92">
      <c r="A92" t="inlineStr">
        <is>
          <t>CLM511084</t>
        </is>
      </c>
      <c r="B92" t="inlineStr">
        <is>
          <t>ENC111084</t>
        </is>
      </c>
      <c r="C92" t="inlineStr">
        <is>
          <t>State Medicaid</t>
        </is>
      </c>
      <c r="D92" t="inlineStr">
        <is>
          <t>Emergency</t>
        </is>
      </c>
      <c r="E92" s="29" t="n">
        <v>45668</v>
      </c>
      <c r="F92" s="29" t="n">
        <v>45671</v>
      </c>
      <c r="G92" s="31" t="n">
        <v>1263.89</v>
      </c>
      <c r="H92" s="31" t="n">
        <v>297.77</v>
      </c>
      <c r="I92" t="inlineStr">
        <is>
          <t>Paid</t>
        </is>
      </c>
      <c r="K92" s="29" t="n">
        <v>45698</v>
      </c>
      <c r="L92" s="33" t="n"/>
    </row>
    <row r="93">
      <c r="A93" t="inlineStr">
        <is>
          <t>CLM511086</t>
        </is>
      </c>
      <c r="B93" t="inlineStr">
        <is>
          <t>ENC111086</t>
        </is>
      </c>
      <c r="C93" t="inlineStr">
        <is>
          <t>State Medicaid</t>
        </is>
      </c>
      <c r="D93" t="inlineStr">
        <is>
          <t>Emergency</t>
        </is>
      </c>
      <c r="E93" s="29" t="n">
        <v>45668</v>
      </c>
      <c r="F93" s="29" t="n">
        <v>45673</v>
      </c>
      <c r="G93" s="31" t="n">
        <v>3645.75</v>
      </c>
      <c r="H93" s="31" t="n">
        <v>902.49</v>
      </c>
      <c r="I93" t="inlineStr">
        <is>
          <t>Paid</t>
        </is>
      </c>
      <c r="K93" s="29" t="n">
        <v>45708</v>
      </c>
      <c r="L93" s="33" t="n"/>
    </row>
    <row r="94">
      <c r="A94" t="inlineStr">
        <is>
          <t>CLM511089</t>
        </is>
      </c>
      <c r="B94" t="inlineStr">
        <is>
          <t>ENC111089</t>
        </is>
      </c>
      <c r="C94" t="inlineStr">
        <is>
          <t>Summit Choice PPO</t>
        </is>
      </c>
      <c r="D94" t="inlineStr">
        <is>
          <t>Inpatient</t>
        </is>
      </c>
      <c r="E94" s="29" t="n">
        <v>45673</v>
      </c>
      <c r="F94" s="29" t="n">
        <v>45676</v>
      </c>
      <c r="G94" s="31" t="n">
        <v>69733.36</v>
      </c>
      <c r="H94" s="31" t="n">
        <v>37015.71</v>
      </c>
      <c r="I94" t="inlineStr">
        <is>
          <t>Paid</t>
        </is>
      </c>
      <c r="K94" s="29" t="n">
        <v>45693</v>
      </c>
      <c r="L94" s="33" t="n"/>
    </row>
    <row r="95">
      <c r="A95" t="inlineStr">
        <is>
          <t>CLM511093</t>
        </is>
      </c>
      <c r="B95" t="inlineStr">
        <is>
          <t>ENC111093</t>
        </is>
      </c>
      <c r="C95" t="inlineStr">
        <is>
          <t>Evergreen Mutual Insurance</t>
        </is>
      </c>
      <c r="D95" t="inlineStr">
        <is>
          <t>Observation</t>
        </is>
      </c>
      <c r="E95" s="29" t="n">
        <v>45669</v>
      </c>
      <c r="F95" s="29" t="n">
        <v>45673</v>
      </c>
      <c r="G95" s="31" t="n">
        <v>8579.809999999999</v>
      </c>
      <c r="H95" s="31" t="n">
        <v>3089.54</v>
      </c>
      <c r="I95" t="inlineStr">
        <is>
          <t>Paid</t>
        </is>
      </c>
      <c r="K95" s="29" t="n">
        <v>45739</v>
      </c>
      <c r="L95" s="33" t="n"/>
    </row>
    <row r="96">
      <c r="A96" t="inlineStr">
        <is>
          <t>CLM511097</t>
        </is>
      </c>
      <c r="B96" t="inlineStr">
        <is>
          <t>ENC111097</t>
        </is>
      </c>
      <c r="C96" t="inlineStr">
        <is>
          <t>State Medicaid</t>
        </is>
      </c>
      <c r="D96" t="inlineStr">
        <is>
          <t>Inpatient</t>
        </is>
      </c>
      <c r="E96" s="29" t="n">
        <v>45671</v>
      </c>
      <c r="F96" s="29" t="n">
        <v>45688</v>
      </c>
      <c r="G96" s="31" t="n">
        <v>9557.26</v>
      </c>
      <c r="H96" s="31" t="n">
        <v>2336.49</v>
      </c>
      <c r="I96" t="inlineStr">
        <is>
          <t>Paid</t>
        </is>
      </c>
      <c r="K96" s="29" t="n">
        <v>45710</v>
      </c>
      <c r="L96" s="33" t="n"/>
    </row>
    <row r="97">
      <c r="A97" t="inlineStr">
        <is>
          <t>CLM511100</t>
        </is>
      </c>
      <c r="B97" t="inlineStr">
        <is>
          <t>ENC111100</t>
        </is>
      </c>
      <c r="C97" t="inlineStr">
        <is>
          <t>Self-Pay</t>
        </is>
      </c>
      <c r="D97" t="inlineStr">
        <is>
          <t>Emergency</t>
        </is>
      </c>
      <c r="E97" s="29" t="n">
        <v>45668</v>
      </c>
      <c r="F97" s="29" t="n">
        <v>45728</v>
      </c>
      <c r="G97" s="31" t="n">
        <v>8054.55</v>
      </c>
      <c r="H97" s="31" t="n">
        <v>1472.29</v>
      </c>
      <c r="I97" t="inlineStr">
        <is>
          <t>Partially Paid</t>
        </is>
      </c>
      <c r="K97" s="29" t="n">
        <v>45784</v>
      </c>
      <c r="L97" s="33" t="n"/>
    </row>
    <row r="98">
      <c r="A98" t="inlineStr">
        <is>
          <t>CLM511101</t>
        </is>
      </c>
      <c r="B98" t="inlineStr">
        <is>
          <t>ENC111101</t>
        </is>
      </c>
      <c r="C98" t="inlineStr">
        <is>
          <t>Medicare</t>
        </is>
      </c>
      <c r="D98" t="inlineStr">
        <is>
          <t>Inpatient</t>
        </is>
      </c>
      <c r="E98" s="29" t="n">
        <v>45671</v>
      </c>
      <c r="F98" s="29" t="n">
        <v>45674</v>
      </c>
      <c r="G98" s="31" t="n">
        <v>16418.17</v>
      </c>
      <c r="H98" s="31" t="n">
        <v>4441.08</v>
      </c>
      <c r="I98" t="inlineStr">
        <is>
          <t>Paid</t>
        </is>
      </c>
      <c r="K98" s="29" t="n">
        <v>45680</v>
      </c>
      <c r="L98" s="33" t="n"/>
    </row>
    <row r="99">
      <c r="A99" t="inlineStr">
        <is>
          <t>CLM511104</t>
        </is>
      </c>
      <c r="B99" t="inlineStr">
        <is>
          <t>ENC111104</t>
        </is>
      </c>
      <c r="C99" t="inlineStr">
        <is>
          <t>Medicare</t>
        </is>
      </c>
      <c r="D99" t="inlineStr">
        <is>
          <t>Inpatient</t>
        </is>
      </c>
      <c r="E99" s="29" t="n">
        <v>45674</v>
      </c>
      <c r="F99" s="29" t="n">
        <v>45680</v>
      </c>
      <c r="G99" s="31" t="n">
        <v>110148.87</v>
      </c>
      <c r="H99" s="31" t="n">
        <v>31742.34</v>
      </c>
      <c r="I99" t="inlineStr">
        <is>
          <t>Paid</t>
        </is>
      </c>
      <c r="K99" s="29" t="n">
        <v>45701</v>
      </c>
      <c r="L99" s="33" t="n"/>
    </row>
    <row r="100">
      <c r="A100" t="inlineStr">
        <is>
          <t>CLM511113</t>
        </is>
      </c>
      <c r="B100" t="inlineStr">
        <is>
          <t>ENC111113</t>
        </is>
      </c>
      <c r="C100" t="inlineStr">
        <is>
          <t>Silverline Medicare Advantage</t>
        </is>
      </c>
      <c r="D100" t="inlineStr">
        <is>
          <t>Emergency</t>
        </is>
      </c>
      <c r="E100" s="29" t="n">
        <v>45669</v>
      </c>
      <c r="F100" s="29" t="n">
        <v>45679</v>
      </c>
      <c r="G100" s="31" t="n">
        <v>2095.02</v>
      </c>
      <c r="H100" s="31" t="n">
        <v>608.01</v>
      </c>
      <c r="I100" t="inlineStr">
        <is>
          <t>Paid</t>
        </is>
      </c>
      <c r="K100" s="29" t="n">
        <v>45702</v>
      </c>
      <c r="L100" s="33" t="n"/>
    </row>
    <row r="101">
      <c r="A101" t="inlineStr">
        <is>
          <t>CLM511116</t>
        </is>
      </c>
      <c r="B101" t="inlineStr">
        <is>
          <t>ENC111116</t>
        </is>
      </c>
      <c r="C101" t="inlineStr">
        <is>
          <t>Evergreen Mutual Insurance</t>
        </is>
      </c>
      <c r="D101" t="inlineStr">
        <is>
          <t>Emergency</t>
        </is>
      </c>
      <c r="E101" s="29" t="n">
        <v>45669</v>
      </c>
      <c r="F101" s="29" t="n">
        <v>45670</v>
      </c>
      <c r="G101" s="31" t="n">
        <v>2996.74</v>
      </c>
      <c r="H101" s="31" t="n">
        <v>1151.3</v>
      </c>
      <c r="I101" t="inlineStr">
        <is>
          <t>Paid</t>
        </is>
      </c>
      <c r="K101" s="29" t="n">
        <v>45695</v>
      </c>
      <c r="L101" s="33" t="n"/>
    </row>
    <row r="102">
      <c r="A102" t="inlineStr">
        <is>
          <t>CLM511119</t>
        </is>
      </c>
      <c r="B102" t="inlineStr">
        <is>
          <t>ENC111119</t>
        </is>
      </c>
      <c r="C102" t="inlineStr">
        <is>
          <t>Medicare</t>
        </is>
      </c>
      <c r="D102" t="inlineStr">
        <is>
          <t>Emergency</t>
        </is>
      </c>
      <c r="E102" s="29" t="n">
        <v>45669</v>
      </c>
      <c r="F102" s="29" t="n">
        <v>45672</v>
      </c>
      <c r="G102" s="31" t="n">
        <v>1231.89</v>
      </c>
      <c r="H102" s="31" t="n">
        <v>347.94</v>
      </c>
      <c r="I102" t="inlineStr">
        <is>
          <t>Paid</t>
        </is>
      </c>
      <c r="K102" s="29" t="n">
        <v>45689</v>
      </c>
      <c r="L102" s="33" t="n"/>
    </row>
    <row r="103">
      <c r="A103" t="inlineStr">
        <is>
          <t>CLM511120</t>
        </is>
      </c>
      <c r="B103" t="inlineStr">
        <is>
          <t>ENC111120</t>
        </is>
      </c>
      <c r="C103" t="inlineStr">
        <is>
          <t>Silverline Medicare Advantage</t>
        </is>
      </c>
      <c r="D103" t="inlineStr">
        <is>
          <t>Inpatient</t>
        </is>
      </c>
      <c r="E103" s="29" t="n">
        <v>45673</v>
      </c>
      <c r="F103" s="29" t="n">
        <v>45674</v>
      </c>
      <c r="G103" s="31" t="n">
        <v>15523.02</v>
      </c>
      <c r="H103" s="31" t="n">
        <v>4659.95</v>
      </c>
      <c r="I103" t="inlineStr">
        <is>
          <t>Paid</t>
        </is>
      </c>
      <c r="K103" s="29" t="n">
        <v>45702</v>
      </c>
      <c r="L103" s="33" t="n"/>
    </row>
    <row r="104">
      <c r="A104" t="inlineStr">
        <is>
          <t>CLM511123</t>
        </is>
      </c>
      <c r="B104" t="inlineStr">
        <is>
          <t>ENC111123</t>
        </is>
      </c>
      <c r="C104" t="inlineStr">
        <is>
          <t>Medicare</t>
        </is>
      </c>
      <c r="D104" t="inlineStr">
        <is>
          <t>Emergency</t>
        </is>
      </c>
      <c r="E104" s="29" t="n">
        <v>45669</v>
      </c>
      <c r="F104" s="29" t="n">
        <v>45671</v>
      </c>
      <c r="G104" s="31" t="n">
        <v>2372.95</v>
      </c>
      <c r="H104" s="31" t="n">
        <v>638.08</v>
      </c>
      <c r="I104" t="inlineStr">
        <is>
          <t>Paid</t>
        </is>
      </c>
      <c r="K104" s="29" t="n">
        <v>45682</v>
      </c>
      <c r="L104" s="33" t="n"/>
    </row>
    <row r="105">
      <c r="A105" t="inlineStr">
        <is>
          <t>CLM511128</t>
        </is>
      </c>
      <c r="B105" t="inlineStr">
        <is>
          <t>ENC111128</t>
        </is>
      </c>
      <c r="C105" t="inlineStr">
        <is>
          <t>Keystone Health Partners</t>
        </is>
      </c>
      <c r="D105" t="inlineStr">
        <is>
          <t>Emergency</t>
        </is>
      </c>
      <c r="E105" s="29" t="n">
        <v>45669</v>
      </c>
      <c r="F105" s="29" t="n">
        <v>45673</v>
      </c>
      <c r="G105" s="31" t="n">
        <v>1812.3</v>
      </c>
      <c r="H105" s="31" t="n">
        <v>879.0700000000001</v>
      </c>
      <c r="I105" t="inlineStr">
        <is>
          <t>Paid</t>
        </is>
      </c>
      <c r="K105" s="29" t="n">
        <v>45718</v>
      </c>
      <c r="L105" s="33" t="n"/>
    </row>
    <row r="106">
      <c r="A106" t="inlineStr">
        <is>
          <t>CLM511148</t>
        </is>
      </c>
      <c r="B106" t="inlineStr">
        <is>
          <t>ENC111148</t>
        </is>
      </c>
      <c r="C106" t="inlineStr">
        <is>
          <t>Silverline Medicare Advantage</t>
        </is>
      </c>
      <c r="D106" t="inlineStr">
        <is>
          <t>Emergency</t>
        </is>
      </c>
      <c r="E106" s="29" t="n">
        <v>45670</v>
      </c>
      <c r="F106" s="29" t="n">
        <v>45680</v>
      </c>
      <c r="G106" s="31" t="n">
        <v>1731.22</v>
      </c>
      <c r="H106" s="31" t="n">
        <v>573.58</v>
      </c>
      <c r="I106" t="inlineStr">
        <is>
          <t>Paid</t>
        </is>
      </c>
      <c r="K106" s="29" t="n">
        <v>45698</v>
      </c>
      <c r="L106" s="33" t="n"/>
    </row>
    <row r="107">
      <c r="A107" t="inlineStr">
        <is>
          <t>CLM511152</t>
        </is>
      </c>
      <c r="B107" t="inlineStr">
        <is>
          <t>ENC111152</t>
        </is>
      </c>
      <c r="C107" t="inlineStr">
        <is>
          <t>Evergreen Mutual Insurance</t>
        </is>
      </c>
      <c r="D107" t="inlineStr">
        <is>
          <t>Inpatient</t>
        </is>
      </c>
      <c r="E107" s="29" t="n">
        <v>45672</v>
      </c>
      <c r="F107" s="29" t="n">
        <v>45674</v>
      </c>
      <c r="G107" s="31" t="n">
        <v>11711.1</v>
      </c>
      <c r="H107" s="31" t="n">
        <v>5329.72</v>
      </c>
      <c r="I107" t="inlineStr">
        <is>
          <t>Paid</t>
        </is>
      </c>
      <c r="K107" s="29" t="n">
        <v>45706</v>
      </c>
      <c r="L107" s="33" t="n"/>
    </row>
    <row r="108">
      <c r="A108" t="inlineStr">
        <is>
          <t>CLM511155</t>
        </is>
      </c>
      <c r="B108" t="inlineStr">
        <is>
          <t>ENC111155</t>
        </is>
      </c>
      <c r="C108" t="inlineStr">
        <is>
          <t>Keystone Health Partners</t>
        </is>
      </c>
      <c r="D108" t="inlineStr">
        <is>
          <t>Emergency</t>
        </is>
      </c>
      <c r="E108" s="29" t="n">
        <v>45670</v>
      </c>
      <c r="F108" s="29" t="n">
        <v>45687</v>
      </c>
      <c r="G108" s="31" t="n">
        <v>821.73</v>
      </c>
      <c r="H108" s="31" t="n">
        <v>392.36</v>
      </c>
      <c r="I108" t="inlineStr">
        <is>
          <t>Paid</t>
        </is>
      </c>
      <c r="K108" s="29" t="n">
        <v>45719</v>
      </c>
      <c r="L108" s="33" t="n"/>
    </row>
    <row r="109">
      <c r="A109" t="inlineStr">
        <is>
          <t>CLM511157</t>
        </is>
      </c>
      <c r="B109" t="inlineStr">
        <is>
          <t>ENC111157</t>
        </is>
      </c>
      <c r="C109" t="inlineStr">
        <is>
          <t>Medicare</t>
        </is>
      </c>
      <c r="D109" t="inlineStr">
        <is>
          <t>Outpatient</t>
        </is>
      </c>
      <c r="E109" s="29" t="n">
        <v>45670</v>
      </c>
      <c r="F109" s="29" t="n">
        <v>45671</v>
      </c>
      <c r="G109" s="31" t="n">
        <v>445.96</v>
      </c>
      <c r="H109" s="31" t="n">
        <v>117.8</v>
      </c>
      <c r="I109" t="inlineStr">
        <is>
          <t>Paid</t>
        </is>
      </c>
      <c r="K109" s="29" t="n">
        <v>45688</v>
      </c>
      <c r="L109" s="33" t="n"/>
    </row>
    <row r="110">
      <c r="A110" t="inlineStr">
        <is>
          <t>CLM511158</t>
        </is>
      </c>
      <c r="B110" t="inlineStr">
        <is>
          <t>ENC111158</t>
        </is>
      </c>
      <c r="C110" t="inlineStr">
        <is>
          <t>Medicare</t>
        </is>
      </c>
      <c r="D110" t="inlineStr">
        <is>
          <t>Outpatient</t>
        </is>
      </c>
      <c r="E110" s="29" t="n">
        <v>45670</v>
      </c>
      <c r="F110" s="29" t="n">
        <v>45675</v>
      </c>
      <c r="G110" s="31" t="n">
        <v>327.94</v>
      </c>
      <c r="H110" s="31" t="n">
        <v>92.33</v>
      </c>
      <c r="I110" t="inlineStr">
        <is>
          <t>Paid</t>
        </is>
      </c>
      <c r="K110" s="29" t="n">
        <v>45690</v>
      </c>
      <c r="L110" s="33" t="n"/>
    </row>
    <row r="111">
      <c r="A111" t="inlineStr">
        <is>
          <t>CLM511159</t>
        </is>
      </c>
      <c r="B111" t="inlineStr">
        <is>
          <t>ENC111159</t>
        </is>
      </c>
      <c r="C111" t="inlineStr">
        <is>
          <t>Silverline Medicare Advantage</t>
        </is>
      </c>
      <c r="D111" t="inlineStr">
        <is>
          <t>Inpatient</t>
        </is>
      </c>
      <c r="E111" s="29" t="n">
        <v>45672</v>
      </c>
      <c r="F111" s="29" t="n">
        <v>45674</v>
      </c>
      <c r="G111" s="31" t="n">
        <v>9226.18</v>
      </c>
      <c r="H111" s="31" t="n">
        <v>3087.4</v>
      </c>
      <c r="I111" t="inlineStr">
        <is>
          <t>Paid</t>
        </is>
      </c>
      <c r="K111" s="29" t="n">
        <v>45702</v>
      </c>
      <c r="L111" s="33" t="n"/>
    </row>
    <row r="112">
      <c r="A112" t="inlineStr">
        <is>
          <t>CLM511160</t>
        </is>
      </c>
      <c r="B112" t="inlineStr">
        <is>
          <t>ENC111160</t>
        </is>
      </c>
      <c r="C112" t="inlineStr">
        <is>
          <t>Keystone Health Partners</t>
        </is>
      </c>
      <c r="D112" t="inlineStr">
        <is>
          <t>Inpatient</t>
        </is>
      </c>
      <c r="E112" s="29" t="n">
        <v>45674</v>
      </c>
      <c r="F112" s="29" t="n">
        <v>45681</v>
      </c>
      <c r="G112" s="31" t="n">
        <v>46111.93</v>
      </c>
      <c r="H112" s="31" t="n">
        <v>20236.73</v>
      </c>
      <c r="I112" t="inlineStr">
        <is>
          <t>Paid</t>
        </is>
      </c>
      <c r="K112" s="29" t="n">
        <v>45701</v>
      </c>
      <c r="L112" s="33" t="n"/>
    </row>
    <row r="113">
      <c r="A113" t="inlineStr">
        <is>
          <t>CLM511163</t>
        </is>
      </c>
      <c r="B113" t="inlineStr">
        <is>
          <t>ENC111163</t>
        </is>
      </c>
      <c r="C113" t="inlineStr">
        <is>
          <t>Evergreen Mutual Insurance</t>
        </is>
      </c>
      <c r="D113" t="inlineStr">
        <is>
          <t>Outpatient</t>
        </is>
      </c>
      <c r="E113" s="29" t="n">
        <v>45670</v>
      </c>
      <c r="F113" s="29" t="n">
        <v>45681</v>
      </c>
      <c r="G113" s="31" t="n">
        <v>123.17</v>
      </c>
      <c r="H113" s="31" t="n">
        <v>57.87</v>
      </c>
      <c r="I113" t="inlineStr">
        <is>
          <t>Paid</t>
        </is>
      </c>
      <c r="K113" s="29" t="n">
        <v>45710</v>
      </c>
      <c r="L113" s="33" t="n"/>
    </row>
    <row r="114">
      <c r="A114" t="inlineStr">
        <is>
          <t>CLM511167</t>
        </is>
      </c>
      <c r="B114" t="inlineStr">
        <is>
          <t>ENC111167</t>
        </is>
      </c>
      <c r="C114" t="inlineStr">
        <is>
          <t>Keystone Health Partners</t>
        </is>
      </c>
      <c r="D114" t="inlineStr">
        <is>
          <t>Outpatient</t>
        </is>
      </c>
      <c r="E114" s="29" t="n">
        <v>45670</v>
      </c>
      <c r="F114" s="29" t="n">
        <v>45673</v>
      </c>
      <c r="G114" s="31" t="n">
        <v>227.62</v>
      </c>
      <c r="H114" s="31" t="n">
        <v>99.33</v>
      </c>
      <c r="I114" t="inlineStr">
        <is>
          <t>Paid</t>
        </is>
      </c>
      <c r="K114" s="29" t="n">
        <v>45695</v>
      </c>
      <c r="L114" s="33" t="n"/>
    </row>
    <row r="115">
      <c r="A115" t="inlineStr">
        <is>
          <t>CLM511169</t>
        </is>
      </c>
      <c r="B115" t="inlineStr">
        <is>
          <t>ENC111169</t>
        </is>
      </c>
      <c r="C115" t="inlineStr">
        <is>
          <t>Keystone Health Partners</t>
        </is>
      </c>
      <c r="D115" t="inlineStr">
        <is>
          <t>Inpatient</t>
        </is>
      </c>
      <c r="E115" s="29" t="n">
        <v>45677</v>
      </c>
      <c r="F115" s="29" t="n">
        <v>45679</v>
      </c>
      <c r="G115" s="31" t="n">
        <v>36790.28</v>
      </c>
      <c r="H115" s="31" t="n">
        <v>18884</v>
      </c>
      <c r="I115" t="inlineStr">
        <is>
          <t>Paid</t>
        </is>
      </c>
      <c r="K115" s="29" t="n">
        <v>45702</v>
      </c>
      <c r="L115" s="33" t="n"/>
    </row>
    <row r="116">
      <c r="A116" t="inlineStr">
        <is>
          <t>CLM511171</t>
        </is>
      </c>
      <c r="B116" t="inlineStr">
        <is>
          <t>ENC111171</t>
        </is>
      </c>
      <c r="C116" t="inlineStr">
        <is>
          <t>Medicare</t>
        </is>
      </c>
      <c r="D116" t="inlineStr">
        <is>
          <t>Inpatient</t>
        </is>
      </c>
      <c r="E116" s="29" t="n">
        <v>45672</v>
      </c>
      <c r="F116" s="29" t="n">
        <v>45677</v>
      </c>
      <c r="G116" s="31" t="n">
        <v>15267.59</v>
      </c>
      <c r="H116" s="31" t="n">
        <v>4380.55</v>
      </c>
      <c r="I116" t="inlineStr">
        <is>
          <t>Paid</t>
        </is>
      </c>
      <c r="K116" s="29" t="n">
        <v>45696</v>
      </c>
      <c r="L116" s="33" t="n"/>
    </row>
    <row r="117">
      <c r="A117" t="inlineStr">
        <is>
          <t>CLM511175</t>
        </is>
      </c>
      <c r="B117" t="inlineStr">
        <is>
          <t>ENC111175</t>
        </is>
      </c>
      <c r="C117" t="inlineStr">
        <is>
          <t>Silverline Medicare Advantage</t>
        </is>
      </c>
      <c r="D117" t="inlineStr">
        <is>
          <t>Outpatient</t>
        </is>
      </c>
      <c r="E117" s="29" t="n">
        <v>45670</v>
      </c>
      <c r="F117" s="29" t="n">
        <v>45673</v>
      </c>
      <c r="G117" s="31" t="n">
        <v>125.99</v>
      </c>
      <c r="H117" s="31" t="n">
        <v>37.83</v>
      </c>
      <c r="I117" t="inlineStr">
        <is>
          <t>Paid</t>
        </is>
      </c>
      <c r="K117" s="29" t="n">
        <v>45692</v>
      </c>
      <c r="L117" s="33" t="n"/>
    </row>
    <row r="118">
      <c r="A118" t="inlineStr">
        <is>
          <t>CLM511178</t>
        </is>
      </c>
      <c r="B118" t="inlineStr">
        <is>
          <t>ENC111178</t>
        </is>
      </c>
      <c r="C118" t="inlineStr">
        <is>
          <t>State Medicaid</t>
        </is>
      </c>
      <c r="D118" t="inlineStr">
        <is>
          <t>Emergency</t>
        </is>
      </c>
      <c r="E118" s="29" t="n">
        <v>45670</v>
      </c>
      <c r="F118" s="29" t="n">
        <v>45674</v>
      </c>
      <c r="G118" s="31" t="n">
        <v>1948.54</v>
      </c>
      <c r="H118" s="31" t="n">
        <v>480.19</v>
      </c>
      <c r="I118" t="inlineStr">
        <is>
          <t>Paid</t>
        </is>
      </c>
      <c r="K118" s="29" t="n">
        <v>45749</v>
      </c>
      <c r="L118" s="33" t="n"/>
    </row>
    <row r="119">
      <c r="A119" t="inlineStr">
        <is>
          <t>CLM511185</t>
        </is>
      </c>
      <c r="B119" t="inlineStr">
        <is>
          <t>ENC111185</t>
        </is>
      </c>
      <c r="C119" t="inlineStr">
        <is>
          <t>Medicare</t>
        </is>
      </c>
      <c r="D119" t="inlineStr">
        <is>
          <t>Inpatient</t>
        </is>
      </c>
      <c r="E119" s="29" t="n">
        <v>45675</v>
      </c>
      <c r="F119" s="29" t="n">
        <v>45802</v>
      </c>
      <c r="G119" s="31" t="n">
        <v>19932.18</v>
      </c>
      <c r="H119" s="31" t="n">
        <v>6260.46</v>
      </c>
      <c r="I119" t="inlineStr">
        <is>
          <t>Paid</t>
        </is>
      </c>
      <c r="K119" s="29" t="n">
        <v>45819</v>
      </c>
      <c r="L119" s="33" t="n"/>
    </row>
    <row r="120">
      <c r="A120" t="inlineStr">
        <is>
          <t>CLM511190</t>
        </is>
      </c>
      <c r="B120" t="inlineStr">
        <is>
          <t>ENC111190</t>
        </is>
      </c>
      <c r="C120" t="inlineStr">
        <is>
          <t>Evergreen Mutual Insurance</t>
        </is>
      </c>
      <c r="D120" t="inlineStr">
        <is>
          <t>Inpatient</t>
        </is>
      </c>
      <c r="E120" s="29" t="n">
        <v>45672</v>
      </c>
      <c r="F120" s="29" t="n">
        <v>45674</v>
      </c>
      <c r="G120" s="31" t="n">
        <v>40948.84</v>
      </c>
      <c r="H120" s="31" t="n">
        <v>19119.57</v>
      </c>
      <c r="I120" t="inlineStr">
        <is>
          <t>Paid</t>
        </is>
      </c>
      <c r="K120" s="29" t="n">
        <v>45702</v>
      </c>
      <c r="L120" s="33" t="n"/>
    </row>
    <row r="121">
      <c r="A121" t="inlineStr">
        <is>
          <t>CLM511199</t>
        </is>
      </c>
      <c r="B121" t="inlineStr">
        <is>
          <t>ENC111199</t>
        </is>
      </c>
      <c r="C121" t="inlineStr">
        <is>
          <t>Evergreen Mutual Insurance</t>
        </is>
      </c>
      <c r="D121" t="inlineStr">
        <is>
          <t>Outpatient</t>
        </is>
      </c>
      <c r="E121" s="29" t="n">
        <v>45671</v>
      </c>
      <c r="F121" s="29" t="n">
        <v>45679</v>
      </c>
      <c r="G121" s="31" t="n">
        <v>340.09</v>
      </c>
      <c r="H121" s="31" t="n">
        <v>122.56</v>
      </c>
      <c r="I121" t="inlineStr">
        <is>
          <t>Paid</t>
        </is>
      </c>
      <c r="K121" s="29" t="n">
        <v>45700</v>
      </c>
      <c r="L121" s="33" t="n"/>
    </row>
    <row r="122">
      <c r="A122" t="inlineStr">
        <is>
          <t>CLM511201</t>
        </is>
      </c>
      <c r="B122" t="inlineStr">
        <is>
          <t>ENC111201</t>
        </is>
      </c>
      <c r="C122" t="inlineStr">
        <is>
          <t>Silverline Medicare Advantage</t>
        </is>
      </c>
      <c r="D122" t="inlineStr">
        <is>
          <t>Outpatient</t>
        </is>
      </c>
      <c r="E122" s="29" t="n">
        <v>45671</v>
      </c>
      <c r="F122" s="29" t="n">
        <v>45674</v>
      </c>
      <c r="G122" s="31" t="n">
        <v>12402.28</v>
      </c>
      <c r="H122" s="31" t="n">
        <v>3361.46</v>
      </c>
      <c r="I122" t="inlineStr">
        <is>
          <t>Paid</t>
        </is>
      </c>
      <c r="K122" s="29" t="n">
        <v>45719</v>
      </c>
      <c r="L122" s="33" t="n"/>
    </row>
    <row r="123">
      <c r="A123" t="inlineStr">
        <is>
          <t>CLM511202</t>
        </is>
      </c>
      <c r="B123" t="inlineStr">
        <is>
          <t>ENC111202</t>
        </is>
      </c>
      <c r="C123" t="inlineStr">
        <is>
          <t>Keystone Health Partners</t>
        </is>
      </c>
      <c r="D123" t="inlineStr">
        <is>
          <t>Outpatient</t>
        </is>
      </c>
      <c r="E123" s="29" t="n">
        <v>45671</v>
      </c>
      <c r="F123" s="29" t="n">
        <v>45677</v>
      </c>
      <c r="G123" s="31" t="n">
        <v>428.6</v>
      </c>
      <c r="H123" s="31" t="n">
        <v>165.25</v>
      </c>
      <c r="I123" t="inlineStr">
        <is>
          <t>Paid</t>
        </is>
      </c>
      <c r="K123" s="29" t="n">
        <v>45708</v>
      </c>
      <c r="L123" s="33" t="n"/>
    </row>
    <row r="124">
      <c r="A124" t="inlineStr">
        <is>
          <t>CLM511203</t>
        </is>
      </c>
      <c r="B124" t="inlineStr">
        <is>
          <t>ENC111203</t>
        </is>
      </c>
      <c r="C124" t="inlineStr">
        <is>
          <t>State Medicaid</t>
        </is>
      </c>
      <c r="D124" t="inlineStr">
        <is>
          <t>Outpatient</t>
        </is>
      </c>
      <c r="E124" s="29" t="n">
        <v>45671</v>
      </c>
      <c r="F124" s="29" t="n">
        <v>45674</v>
      </c>
      <c r="G124" s="31" t="n">
        <v>482.76</v>
      </c>
      <c r="H124" s="31" t="n">
        <v>0</v>
      </c>
      <c r="I124" t="inlineStr">
        <is>
          <t>Appealed</t>
        </is>
      </c>
      <c r="J124" t="inlineStr">
        <is>
          <t>Duplicate Claim</t>
        </is>
      </c>
      <c r="L124" s="33" t="n"/>
    </row>
    <row r="125">
      <c r="A125" t="inlineStr">
        <is>
          <t>CLM511211</t>
        </is>
      </c>
      <c r="B125" t="inlineStr">
        <is>
          <t>ENC111211</t>
        </is>
      </c>
      <c r="C125" t="inlineStr">
        <is>
          <t>Medicare</t>
        </is>
      </c>
      <c r="D125" t="inlineStr">
        <is>
          <t>Emergency</t>
        </is>
      </c>
      <c r="E125" s="29" t="n">
        <v>45671</v>
      </c>
      <c r="F125" s="29" t="n">
        <v>45675</v>
      </c>
      <c r="G125" s="31" t="n">
        <v>4283.92</v>
      </c>
      <c r="H125" s="31" t="n">
        <v>961.73</v>
      </c>
      <c r="I125" t="inlineStr">
        <is>
          <t>Paid</t>
        </is>
      </c>
      <c r="K125" s="29" t="n">
        <v>45687</v>
      </c>
      <c r="L125" s="33" t="n"/>
    </row>
    <row r="126">
      <c r="A126" t="inlineStr">
        <is>
          <t>CLM511225</t>
        </is>
      </c>
      <c r="B126" t="inlineStr">
        <is>
          <t>ENC111225</t>
        </is>
      </c>
      <c r="C126" t="inlineStr">
        <is>
          <t>Evergreen Mutual Insurance</t>
        </is>
      </c>
      <c r="D126" t="inlineStr">
        <is>
          <t>Inpatient</t>
        </is>
      </c>
      <c r="E126" s="29" t="n">
        <v>45677</v>
      </c>
      <c r="F126" s="29" t="n">
        <v>45681</v>
      </c>
      <c r="G126" s="31" t="n">
        <v>60727.45</v>
      </c>
      <c r="H126" s="31" t="n">
        <v>23684.14</v>
      </c>
      <c r="I126" t="inlineStr">
        <is>
          <t>Paid</t>
        </is>
      </c>
      <c r="K126" s="29" t="n">
        <v>45721</v>
      </c>
      <c r="L126" s="33" t="n"/>
    </row>
    <row r="127">
      <c r="A127" t="inlineStr">
        <is>
          <t>CLM511233</t>
        </is>
      </c>
      <c r="B127" t="inlineStr">
        <is>
          <t>ENC111233</t>
        </is>
      </c>
      <c r="C127" t="inlineStr">
        <is>
          <t>Silverline Medicare Advantage</t>
        </is>
      </c>
      <c r="D127" t="inlineStr">
        <is>
          <t>Inpatient</t>
        </is>
      </c>
      <c r="E127" s="29" t="n">
        <v>45676</v>
      </c>
      <c r="F127" s="29" t="n">
        <v>45681</v>
      </c>
      <c r="G127" s="31" t="n">
        <v>23835.84</v>
      </c>
      <c r="H127" s="31" t="n">
        <v>7275.84</v>
      </c>
      <c r="I127" t="inlineStr">
        <is>
          <t>Paid</t>
        </is>
      </c>
      <c r="K127" s="29" t="n">
        <v>45724</v>
      </c>
      <c r="L127" s="33" t="n"/>
    </row>
    <row r="128">
      <c r="A128" t="inlineStr">
        <is>
          <t>CLM511240</t>
        </is>
      </c>
      <c r="B128" t="inlineStr">
        <is>
          <t>ENC111240</t>
        </is>
      </c>
      <c r="C128" t="inlineStr">
        <is>
          <t>Silverline Medicare Advantage</t>
        </is>
      </c>
      <c r="D128" t="inlineStr">
        <is>
          <t>Outpatient</t>
        </is>
      </c>
      <c r="E128" s="29" t="n">
        <v>45672</v>
      </c>
      <c r="F128" s="29" t="n">
        <v>45693</v>
      </c>
      <c r="G128" s="31" t="n">
        <v>849.05</v>
      </c>
      <c r="H128" s="31" t="n">
        <v>269.29</v>
      </c>
      <c r="I128" t="inlineStr">
        <is>
          <t>Paid</t>
        </is>
      </c>
      <c r="K128" s="29" t="n">
        <v>45718</v>
      </c>
      <c r="L128" s="33" t="n"/>
    </row>
    <row r="129">
      <c r="A129" t="inlineStr">
        <is>
          <t>CLM511242</t>
        </is>
      </c>
      <c r="B129" t="inlineStr">
        <is>
          <t>ENC111242</t>
        </is>
      </c>
      <c r="C129" t="inlineStr">
        <is>
          <t>Silverline Medicare Advantage</t>
        </is>
      </c>
      <c r="D129" t="inlineStr">
        <is>
          <t>Outpatient</t>
        </is>
      </c>
      <c r="E129" s="29" t="n">
        <v>45672</v>
      </c>
      <c r="F129" s="29" t="n">
        <v>45675</v>
      </c>
      <c r="G129" s="31" t="n">
        <v>139.12</v>
      </c>
      <c r="H129" s="31" t="n">
        <v>0</v>
      </c>
      <c r="I129" t="inlineStr">
        <is>
          <t>Denied</t>
        </is>
      </c>
      <c r="J129" t="inlineStr">
        <is>
          <t>Missing Documentation</t>
        </is>
      </c>
      <c r="L129" s="33" t="n"/>
    </row>
    <row r="130">
      <c r="A130" t="inlineStr">
        <is>
          <t>CLM511248</t>
        </is>
      </c>
      <c r="B130" t="inlineStr">
        <is>
          <t>ENC111248</t>
        </is>
      </c>
      <c r="C130" t="inlineStr">
        <is>
          <t>Evergreen Mutual Insurance</t>
        </is>
      </c>
      <c r="D130" t="inlineStr">
        <is>
          <t>Emergency</t>
        </is>
      </c>
      <c r="E130" s="29" t="n">
        <v>45672</v>
      </c>
      <c r="F130" s="29" t="n">
        <v>45681</v>
      </c>
      <c r="G130" s="31" t="n">
        <v>1582.78</v>
      </c>
      <c r="H130" s="31" t="n">
        <v>695.66</v>
      </c>
      <c r="I130" t="inlineStr">
        <is>
          <t>Paid</t>
        </is>
      </c>
      <c r="K130" s="29" t="n">
        <v>45718</v>
      </c>
      <c r="L130" s="33" t="n"/>
    </row>
    <row r="131">
      <c r="A131" t="inlineStr">
        <is>
          <t>CLM511257</t>
        </is>
      </c>
      <c r="B131" t="inlineStr">
        <is>
          <t>ENC111257</t>
        </is>
      </c>
      <c r="C131" t="inlineStr">
        <is>
          <t>Medicare</t>
        </is>
      </c>
      <c r="D131" t="inlineStr">
        <is>
          <t>Inpatient</t>
        </is>
      </c>
      <c r="E131" s="29" t="n">
        <v>45678</v>
      </c>
      <c r="F131" s="29" t="n">
        <v>45683</v>
      </c>
      <c r="G131" s="31" t="n">
        <v>24715</v>
      </c>
      <c r="H131" s="31" t="n">
        <v>6844.4</v>
      </c>
      <c r="I131" t="inlineStr">
        <is>
          <t>Paid</t>
        </is>
      </c>
      <c r="K131" s="29" t="n">
        <v>45697</v>
      </c>
      <c r="L131" s="33" t="n"/>
    </row>
    <row r="132">
      <c r="A132" t="inlineStr">
        <is>
          <t>CLM511264</t>
        </is>
      </c>
      <c r="B132" t="inlineStr">
        <is>
          <t>ENC111264</t>
        </is>
      </c>
      <c r="C132" t="inlineStr">
        <is>
          <t>Keystone Health Partners</t>
        </is>
      </c>
      <c r="D132" t="inlineStr">
        <is>
          <t>Outpatient</t>
        </is>
      </c>
      <c r="E132" s="29" t="n">
        <v>45673</v>
      </c>
      <c r="F132" s="29" t="n">
        <v>45676</v>
      </c>
      <c r="G132" s="31" t="n">
        <v>346.57</v>
      </c>
      <c r="H132" s="31" t="n">
        <v>156.09</v>
      </c>
      <c r="I132" t="inlineStr">
        <is>
          <t>Paid</t>
        </is>
      </c>
      <c r="K132" s="29" t="n">
        <v>45697</v>
      </c>
      <c r="L132" s="33" t="n"/>
    </row>
    <row r="133">
      <c r="A133" t="inlineStr">
        <is>
          <t>CLM511265</t>
        </is>
      </c>
      <c r="B133" t="inlineStr">
        <is>
          <t>ENC111265</t>
        </is>
      </c>
      <c r="C133" t="inlineStr">
        <is>
          <t>Medicare</t>
        </is>
      </c>
      <c r="D133" t="inlineStr">
        <is>
          <t>Observation</t>
        </is>
      </c>
      <c r="E133" s="29" t="n">
        <v>45674</v>
      </c>
      <c r="F133" s="29" t="n">
        <v>45679</v>
      </c>
      <c r="G133" s="31" t="n">
        <v>5783.16</v>
      </c>
      <c r="H133" s="31" t="n">
        <v>1497.02</v>
      </c>
      <c r="I133" t="inlineStr">
        <is>
          <t>Paid</t>
        </is>
      </c>
      <c r="K133" s="29" t="n">
        <v>45696</v>
      </c>
      <c r="L133" s="33" t="n"/>
    </row>
    <row r="134">
      <c r="A134" t="inlineStr">
        <is>
          <t>CLM511268</t>
        </is>
      </c>
      <c r="B134" t="inlineStr">
        <is>
          <t>ENC111268</t>
        </is>
      </c>
      <c r="C134" t="inlineStr">
        <is>
          <t>Summit Choice PPO</t>
        </is>
      </c>
      <c r="D134" t="inlineStr">
        <is>
          <t>Outpatient</t>
        </is>
      </c>
      <c r="E134" s="29" t="n">
        <v>45673</v>
      </c>
      <c r="F134" s="29" t="n">
        <v>45676</v>
      </c>
      <c r="G134" s="31" t="n">
        <v>464.84</v>
      </c>
      <c r="H134" s="31" t="n">
        <v>219.27</v>
      </c>
      <c r="I134" t="inlineStr">
        <is>
          <t>Paid</t>
        </is>
      </c>
      <c r="K134" s="29" t="n">
        <v>45696</v>
      </c>
      <c r="L134" s="33" t="n"/>
    </row>
    <row r="135">
      <c r="A135" t="inlineStr">
        <is>
          <t>CLM511269</t>
        </is>
      </c>
      <c r="B135" t="inlineStr">
        <is>
          <t>ENC111269</t>
        </is>
      </c>
      <c r="C135" t="inlineStr">
        <is>
          <t>Silverline Medicare Advantage</t>
        </is>
      </c>
      <c r="D135" t="inlineStr">
        <is>
          <t>Outpatient</t>
        </is>
      </c>
      <c r="E135" s="29" t="n">
        <v>45673</v>
      </c>
      <c r="F135" s="29" t="n">
        <v>45677</v>
      </c>
      <c r="G135" s="31" t="n">
        <v>278.85</v>
      </c>
      <c r="H135" s="31" t="n">
        <v>87.47</v>
      </c>
      <c r="I135" t="inlineStr">
        <is>
          <t>Paid</t>
        </is>
      </c>
      <c r="K135" s="29" t="n">
        <v>45695</v>
      </c>
      <c r="L135" s="33" t="n"/>
    </row>
    <row r="136">
      <c r="A136" t="inlineStr">
        <is>
          <t>CLM511275</t>
        </is>
      </c>
      <c r="B136" t="inlineStr">
        <is>
          <t>ENC111275</t>
        </is>
      </c>
      <c r="C136" t="inlineStr">
        <is>
          <t>Keystone Health Partners</t>
        </is>
      </c>
      <c r="D136" t="inlineStr">
        <is>
          <t>Emergency</t>
        </is>
      </c>
      <c r="E136" s="29" t="n">
        <v>45673</v>
      </c>
      <c r="F136" s="29" t="n">
        <v>45677</v>
      </c>
      <c r="G136" s="31" t="n">
        <v>1489.24</v>
      </c>
      <c r="H136" s="31" t="n">
        <v>0</v>
      </c>
      <c r="I136" t="inlineStr">
        <is>
          <t>Denied</t>
        </is>
      </c>
      <c r="J136" t="inlineStr">
        <is>
          <t>Authorization Required</t>
        </is>
      </c>
      <c r="L136" s="33" t="n"/>
    </row>
    <row r="137">
      <c r="A137" t="inlineStr">
        <is>
          <t>CLM511279</t>
        </is>
      </c>
      <c r="B137" t="inlineStr">
        <is>
          <t>ENC111279</t>
        </is>
      </c>
      <c r="C137" t="inlineStr">
        <is>
          <t>Medicare</t>
        </is>
      </c>
      <c r="D137" t="inlineStr">
        <is>
          <t>Outpatient</t>
        </is>
      </c>
      <c r="E137" s="29" t="n">
        <v>45673</v>
      </c>
      <c r="F137" s="29" t="n">
        <v>45678</v>
      </c>
      <c r="G137" s="31" t="n">
        <v>282.54</v>
      </c>
      <c r="H137" s="31" t="n">
        <v>82.22</v>
      </c>
      <c r="I137" t="inlineStr">
        <is>
          <t>Paid</t>
        </is>
      </c>
      <c r="K137" s="29" t="n">
        <v>45691</v>
      </c>
      <c r="L137" s="33" t="n"/>
    </row>
    <row r="138">
      <c r="A138" t="inlineStr">
        <is>
          <t>CLM511283</t>
        </is>
      </c>
      <c r="B138" t="inlineStr">
        <is>
          <t>ENC111283</t>
        </is>
      </c>
      <c r="C138" t="inlineStr">
        <is>
          <t>Medicare</t>
        </is>
      </c>
      <c r="D138" t="inlineStr">
        <is>
          <t>Outpatient</t>
        </is>
      </c>
      <c r="E138" s="29" t="n">
        <v>45673</v>
      </c>
      <c r="F138" s="29" t="n">
        <v>45679</v>
      </c>
      <c r="G138" s="31" t="n">
        <v>537.08</v>
      </c>
      <c r="H138" s="31" t="n">
        <v>145.82</v>
      </c>
      <c r="I138" t="inlineStr">
        <is>
          <t>Paid</t>
        </is>
      </c>
      <c r="K138" s="29" t="n">
        <v>45692</v>
      </c>
      <c r="L138" s="33" t="n"/>
    </row>
    <row r="139">
      <c r="A139" t="inlineStr">
        <is>
          <t>CLM511285</t>
        </is>
      </c>
      <c r="B139" t="inlineStr">
        <is>
          <t>ENC111285</t>
        </is>
      </c>
      <c r="C139" t="inlineStr">
        <is>
          <t>Silverline Medicare Advantage</t>
        </is>
      </c>
      <c r="D139" t="inlineStr">
        <is>
          <t>Outpatient</t>
        </is>
      </c>
      <c r="E139" s="29" t="n">
        <v>45673</v>
      </c>
      <c r="F139" s="29" t="n">
        <v>45680</v>
      </c>
      <c r="G139" s="31" t="n">
        <v>511.19</v>
      </c>
      <c r="H139" s="31" t="n">
        <v>159.25</v>
      </c>
      <c r="I139" t="inlineStr">
        <is>
          <t>Paid</t>
        </is>
      </c>
      <c r="K139" s="29" t="n">
        <v>45706</v>
      </c>
      <c r="L139" s="33" t="n"/>
    </row>
    <row r="140">
      <c r="A140" t="inlineStr">
        <is>
          <t>CLM511289</t>
        </is>
      </c>
      <c r="B140" t="inlineStr">
        <is>
          <t>ENC111289</t>
        </is>
      </c>
      <c r="C140" t="inlineStr">
        <is>
          <t>Medicare</t>
        </is>
      </c>
      <c r="D140" t="inlineStr">
        <is>
          <t>Inpatient</t>
        </is>
      </c>
      <c r="E140" s="29" t="n">
        <v>45683</v>
      </c>
      <c r="F140" s="29" t="n">
        <v>45687</v>
      </c>
      <c r="G140" s="31" t="n">
        <v>41322.22</v>
      </c>
      <c r="H140" s="31" t="n">
        <v>11103.57</v>
      </c>
      <c r="I140" t="inlineStr">
        <is>
          <t>Paid</t>
        </is>
      </c>
      <c r="K140" s="29" t="n">
        <v>45695</v>
      </c>
      <c r="L140" s="33" t="n"/>
    </row>
    <row r="141">
      <c r="A141" t="inlineStr">
        <is>
          <t>CLM511290</t>
        </is>
      </c>
      <c r="B141" t="inlineStr">
        <is>
          <t>ENC111290</t>
        </is>
      </c>
      <c r="C141" t="inlineStr">
        <is>
          <t>Evergreen Mutual Insurance</t>
        </is>
      </c>
      <c r="D141" t="inlineStr">
        <is>
          <t>Emergency</t>
        </is>
      </c>
      <c r="E141" s="29" t="n">
        <v>45673</v>
      </c>
      <c r="F141" s="29" t="n">
        <v>45756</v>
      </c>
      <c r="G141" s="31" t="n">
        <v>3348.78</v>
      </c>
      <c r="H141" s="31" t="n">
        <v>1264.24</v>
      </c>
      <c r="I141" t="inlineStr">
        <is>
          <t>Paid</t>
        </is>
      </c>
      <c r="K141" s="29" t="n">
        <v>45785</v>
      </c>
      <c r="L141" s="33" t="n"/>
    </row>
    <row r="142">
      <c r="A142" t="inlineStr">
        <is>
          <t>CLM511291</t>
        </is>
      </c>
      <c r="B142" t="inlineStr">
        <is>
          <t>ENC111291</t>
        </is>
      </c>
      <c r="C142" t="inlineStr">
        <is>
          <t>Medicare</t>
        </is>
      </c>
      <c r="D142" t="inlineStr">
        <is>
          <t>Inpatient</t>
        </is>
      </c>
      <c r="E142" s="29" t="n">
        <v>45677</v>
      </c>
      <c r="F142" s="29" t="n">
        <v>45683</v>
      </c>
      <c r="G142" s="31" t="n">
        <v>14176.82</v>
      </c>
      <c r="H142" s="31" t="n">
        <v>3641.54</v>
      </c>
      <c r="I142" t="inlineStr">
        <is>
          <t>Paid</t>
        </is>
      </c>
      <c r="K142" s="29" t="n">
        <v>45701</v>
      </c>
      <c r="L142" s="33" t="n"/>
    </row>
    <row r="143">
      <c r="A143" t="inlineStr">
        <is>
          <t>CLM511293</t>
        </is>
      </c>
      <c r="B143" t="inlineStr">
        <is>
          <t>ENC111293</t>
        </is>
      </c>
      <c r="C143" t="inlineStr">
        <is>
          <t>Evergreen Mutual Insurance</t>
        </is>
      </c>
      <c r="D143" t="inlineStr">
        <is>
          <t>Emergency</t>
        </is>
      </c>
      <c r="E143" s="29" t="n">
        <v>45673</v>
      </c>
      <c r="F143" s="29" t="n">
        <v>45676</v>
      </c>
      <c r="G143" s="31" t="n">
        <v>1202.42</v>
      </c>
      <c r="H143" s="31" t="n">
        <v>370.32</v>
      </c>
      <c r="I143" t="inlineStr">
        <is>
          <t>Partially Paid</t>
        </is>
      </c>
      <c r="J143" t="inlineStr">
        <is>
          <t>Coding Error</t>
        </is>
      </c>
      <c r="K143" s="29" t="n">
        <v>45711</v>
      </c>
      <c r="L143" s="33" t="n"/>
    </row>
    <row r="144">
      <c r="A144" t="inlineStr">
        <is>
          <t>CLM511294</t>
        </is>
      </c>
      <c r="B144" t="inlineStr">
        <is>
          <t>ENC111294</t>
        </is>
      </c>
      <c r="C144" t="inlineStr">
        <is>
          <t>Evergreen Mutual Insurance</t>
        </is>
      </c>
      <c r="D144" t="inlineStr">
        <is>
          <t>Emergency</t>
        </is>
      </c>
      <c r="E144" s="29" t="n">
        <v>45674</v>
      </c>
      <c r="F144" s="29" t="n">
        <v>45678</v>
      </c>
      <c r="G144" s="31" t="n">
        <v>2540.52</v>
      </c>
      <c r="H144" s="31" t="n">
        <v>1065.15</v>
      </c>
      <c r="I144" t="inlineStr">
        <is>
          <t>Paid</t>
        </is>
      </c>
      <c r="K144" s="29" t="n">
        <v>45706</v>
      </c>
      <c r="L144" s="33" t="n"/>
    </row>
    <row r="145">
      <c r="A145" t="inlineStr">
        <is>
          <t>CLM511300</t>
        </is>
      </c>
      <c r="B145" t="inlineStr">
        <is>
          <t>ENC111300</t>
        </is>
      </c>
      <c r="C145" t="inlineStr">
        <is>
          <t>State Medicaid</t>
        </is>
      </c>
      <c r="D145" t="inlineStr">
        <is>
          <t>Outpatient</t>
        </is>
      </c>
      <c r="E145" s="29" t="n">
        <v>45674</v>
      </c>
      <c r="F145" s="29" t="n">
        <v>45680</v>
      </c>
      <c r="G145" s="31" t="n">
        <v>306.56</v>
      </c>
      <c r="H145" s="31" t="n">
        <v>67.88</v>
      </c>
      <c r="I145" t="inlineStr">
        <is>
          <t>Paid</t>
        </is>
      </c>
      <c r="K145" s="29" t="n">
        <v>45720</v>
      </c>
      <c r="L145" s="33" t="n"/>
    </row>
    <row r="146">
      <c r="A146" t="inlineStr">
        <is>
          <t>CLM511309</t>
        </is>
      </c>
      <c r="B146" t="inlineStr">
        <is>
          <t>ENC111309</t>
        </is>
      </c>
      <c r="C146" t="inlineStr">
        <is>
          <t>Medicare</t>
        </is>
      </c>
      <c r="D146" t="inlineStr">
        <is>
          <t>Emergency</t>
        </is>
      </c>
      <c r="E146" s="29" t="n">
        <v>45674</v>
      </c>
      <c r="F146" s="29" t="n">
        <v>45676</v>
      </c>
      <c r="G146" s="31" t="n">
        <v>1679.5</v>
      </c>
      <c r="H146" s="31" t="n">
        <v>466.67</v>
      </c>
      <c r="I146" t="inlineStr">
        <is>
          <t>Paid</t>
        </is>
      </c>
      <c r="K146" s="29" t="n">
        <v>45690</v>
      </c>
      <c r="L146" s="33" t="n"/>
    </row>
    <row r="147">
      <c r="A147" t="inlineStr">
        <is>
          <t>CLM511313</t>
        </is>
      </c>
      <c r="B147" t="inlineStr">
        <is>
          <t>ENC111313</t>
        </is>
      </c>
      <c r="C147" t="inlineStr">
        <is>
          <t>Keystone Health Partners</t>
        </is>
      </c>
      <c r="D147" t="inlineStr">
        <is>
          <t>Emergency</t>
        </is>
      </c>
      <c r="E147" s="29" t="n">
        <v>45674</v>
      </c>
      <c r="F147" s="29" t="n">
        <v>45677</v>
      </c>
      <c r="G147" s="31" t="n">
        <v>2692.7</v>
      </c>
      <c r="H147" s="31" t="n">
        <v>1090.08</v>
      </c>
      <c r="I147" t="inlineStr">
        <is>
          <t>Paid</t>
        </is>
      </c>
      <c r="K147" s="29" t="n">
        <v>45720</v>
      </c>
      <c r="L147" s="33" t="n"/>
    </row>
    <row r="148">
      <c r="A148" t="inlineStr">
        <is>
          <t>CLM511318</t>
        </is>
      </c>
      <c r="B148" t="inlineStr">
        <is>
          <t>ENC111318</t>
        </is>
      </c>
      <c r="C148" t="inlineStr">
        <is>
          <t>Medicare</t>
        </is>
      </c>
      <c r="D148" t="inlineStr">
        <is>
          <t>Outpatient</t>
        </is>
      </c>
      <c r="E148" s="29" t="n">
        <v>45674</v>
      </c>
      <c r="F148" s="29" t="n">
        <v>45676</v>
      </c>
      <c r="G148" s="31" t="n">
        <v>531.3200000000001</v>
      </c>
      <c r="H148" s="31" t="n">
        <v>139.53</v>
      </c>
      <c r="I148" t="inlineStr">
        <is>
          <t>Paid</t>
        </is>
      </c>
      <c r="K148" s="29" t="n">
        <v>45691</v>
      </c>
      <c r="L148" s="33" t="n"/>
    </row>
    <row r="149">
      <c r="A149" t="inlineStr">
        <is>
          <t>CLM511320</t>
        </is>
      </c>
      <c r="B149" t="inlineStr">
        <is>
          <t>ENC111320</t>
        </is>
      </c>
      <c r="C149" t="inlineStr">
        <is>
          <t>Evergreen Mutual Insurance</t>
        </is>
      </c>
      <c r="D149" t="inlineStr">
        <is>
          <t>Outpatient</t>
        </is>
      </c>
      <c r="E149" s="29" t="n">
        <v>45674</v>
      </c>
      <c r="F149" s="29" t="n">
        <v>45679</v>
      </c>
      <c r="G149" s="31" t="n">
        <v>424.45</v>
      </c>
      <c r="H149" s="31" t="n">
        <v>0</v>
      </c>
      <c r="I149" t="inlineStr">
        <is>
          <t>Denied</t>
        </is>
      </c>
      <c r="J149" t="inlineStr">
        <is>
          <t>Medical Necessity</t>
        </is>
      </c>
      <c r="L149" s="33" t="n"/>
    </row>
    <row r="150">
      <c r="A150" t="inlineStr">
        <is>
          <t>CLM511322</t>
        </is>
      </c>
      <c r="B150" t="inlineStr">
        <is>
          <t>ENC111322</t>
        </is>
      </c>
      <c r="C150" t="inlineStr">
        <is>
          <t>Medicare</t>
        </is>
      </c>
      <c r="D150" t="inlineStr">
        <is>
          <t>Outpatient</t>
        </is>
      </c>
      <c r="E150" s="29" t="n">
        <v>45674</v>
      </c>
      <c r="F150" s="29" t="n">
        <v>45684</v>
      </c>
      <c r="G150" s="31" t="n">
        <v>301.2</v>
      </c>
      <c r="H150" s="31" t="n">
        <v>100.08</v>
      </c>
      <c r="I150" t="inlineStr">
        <is>
          <t>Paid</t>
        </is>
      </c>
      <c r="K150" s="29" t="n">
        <v>45704</v>
      </c>
      <c r="L150" s="33" t="n"/>
    </row>
    <row r="151">
      <c r="A151" t="inlineStr">
        <is>
          <t>CLM511325</t>
        </is>
      </c>
      <c r="B151" t="inlineStr">
        <is>
          <t>ENC111325</t>
        </is>
      </c>
      <c r="C151" t="inlineStr">
        <is>
          <t>Evergreen Mutual Insurance</t>
        </is>
      </c>
      <c r="D151" t="inlineStr">
        <is>
          <t>Observation</t>
        </is>
      </c>
      <c r="E151" s="29" t="n">
        <v>45676</v>
      </c>
      <c r="F151" s="29" t="n">
        <v>45681</v>
      </c>
      <c r="G151" s="31" t="n">
        <v>4409.79</v>
      </c>
      <c r="H151" s="31" t="n">
        <v>1857.23</v>
      </c>
      <c r="I151" t="inlineStr">
        <is>
          <t>Paid</t>
        </is>
      </c>
      <c r="K151" s="29" t="n">
        <v>45712</v>
      </c>
      <c r="L151" s="33" t="n"/>
    </row>
    <row r="152">
      <c r="A152" t="inlineStr">
        <is>
          <t>CLM511327</t>
        </is>
      </c>
      <c r="B152" t="inlineStr">
        <is>
          <t>ENC111327</t>
        </is>
      </c>
      <c r="C152" t="inlineStr">
        <is>
          <t>Evergreen Mutual Insurance</t>
        </is>
      </c>
      <c r="D152" t="inlineStr">
        <is>
          <t>Emergency</t>
        </is>
      </c>
      <c r="E152" s="29" t="n">
        <v>45675</v>
      </c>
      <c r="F152" s="29" t="n">
        <v>45677</v>
      </c>
      <c r="G152" s="31" t="n">
        <v>5764.68</v>
      </c>
      <c r="H152" s="31" t="n">
        <v>2601.21</v>
      </c>
      <c r="I152" t="inlineStr">
        <is>
          <t>Paid</t>
        </is>
      </c>
      <c r="K152" s="29" t="n">
        <v>45709</v>
      </c>
      <c r="L152" s="33" t="n"/>
    </row>
    <row r="153">
      <c r="A153" t="inlineStr">
        <is>
          <t>CLM511334</t>
        </is>
      </c>
      <c r="B153" t="inlineStr">
        <is>
          <t>ENC111334</t>
        </is>
      </c>
      <c r="C153" t="inlineStr">
        <is>
          <t>Evergreen Mutual Insurance</t>
        </is>
      </c>
      <c r="D153" t="inlineStr">
        <is>
          <t>Emergency</t>
        </is>
      </c>
      <c r="E153" s="29" t="n">
        <v>45675</v>
      </c>
      <c r="F153" s="29" t="n">
        <v>45677</v>
      </c>
      <c r="G153" s="31" t="n">
        <v>4019.23</v>
      </c>
      <c r="H153" s="31" t="n">
        <v>1835.73</v>
      </c>
      <c r="I153" t="inlineStr">
        <is>
          <t>Paid</t>
        </is>
      </c>
      <c r="K153" s="29" t="n">
        <v>45707</v>
      </c>
      <c r="L153" s="33" t="n"/>
    </row>
    <row r="154">
      <c r="A154" t="inlineStr">
        <is>
          <t>CLM511335</t>
        </is>
      </c>
      <c r="B154" t="inlineStr">
        <is>
          <t>ENC111335</t>
        </is>
      </c>
      <c r="C154" t="inlineStr">
        <is>
          <t>Medicare</t>
        </is>
      </c>
      <c r="D154" t="inlineStr">
        <is>
          <t>Inpatient</t>
        </is>
      </c>
      <c r="E154" s="29" t="n">
        <v>45677</v>
      </c>
      <c r="F154" s="29" t="n">
        <v>45680</v>
      </c>
      <c r="G154" s="31" t="n">
        <v>7486.05</v>
      </c>
      <c r="H154" s="31" t="n">
        <v>2244.68</v>
      </c>
      <c r="I154" t="inlineStr">
        <is>
          <t>Paid</t>
        </is>
      </c>
      <c r="K154" s="29" t="n">
        <v>45692</v>
      </c>
      <c r="L154" s="33" t="n"/>
    </row>
    <row r="155">
      <c r="A155" t="inlineStr">
        <is>
          <t>CLM511338</t>
        </is>
      </c>
      <c r="B155" t="inlineStr">
        <is>
          <t>ENC111338</t>
        </is>
      </c>
      <c r="C155" t="inlineStr">
        <is>
          <t>Keystone Health Partners</t>
        </is>
      </c>
      <c r="D155" t="inlineStr">
        <is>
          <t>Emergency</t>
        </is>
      </c>
      <c r="E155" s="29" t="n">
        <v>45675</v>
      </c>
      <c r="F155" s="29" t="n">
        <v>45680</v>
      </c>
      <c r="G155" s="31" t="n">
        <v>1258.44</v>
      </c>
      <c r="H155" s="31" t="n">
        <v>623.33</v>
      </c>
      <c r="I155" t="inlineStr">
        <is>
          <t>Paid</t>
        </is>
      </c>
      <c r="K155" s="29" t="n">
        <v>45711</v>
      </c>
      <c r="L155" s="33" t="n"/>
    </row>
    <row r="156">
      <c r="A156" t="inlineStr">
        <is>
          <t>CLM511339</t>
        </is>
      </c>
      <c r="B156" t="inlineStr">
        <is>
          <t>ENC111339</t>
        </is>
      </c>
      <c r="C156" t="inlineStr">
        <is>
          <t>Silverline Medicare Advantage</t>
        </is>
      </c>
      <c r="D156" t="inlineStr">
        <is>
          <t>Emergency</t>
        </is>
      </c>
      <c r="E156" s="29" t="n">
        <v>45675</v>
      </c>
      <c r="F156" s="29" t="n">
        <v>45680</v>
      </c>
      <c r="G156" s="31" t="n">
        <v>1063.03</v>
      </c>
      <c r="H156" s="31" t="n">
        <v>297.76</v>
      </c>
      <c r="I156" t="inlineStr">
        <is>
          <t>Paid</t>
        </is>
      </c>
      <c r="K156" s="29" t="n">
        <v>45700</v>
      </c>
      <c r="L156" s="33" t="n"/>
    </row>
    <row r="157">
      <c r="A157" t="inlineStr">
        <is>
          <t>CLM511346</t>
        </is>
      </c>
      <c r="B157" t="inlineStr">
        <is>
          <t>ENC111346</t>
        </is>
      </c>
      <c r="C157" t="inlineStr">
        <is>
          <t>Silverline Medicare Advantage</t>
        </is>
      </c>
      <c r="D157" t="inlineStr">
        <is>
          <t>Observation</t>
        </is>
      </c>
      <c r="E157" s="29" t="n">
        <v>45677</v>
      </c>
      <c r="F157" s="29" t="n">
        <v>45684</v>
      </c>
      <c r="G157" s="31" t="n">
        <v>11238.38</v>
      </c>
      <c r="H157" s="31" t="n">
        <v>3409.83</v>
      </c>
      <c r="I157" t="inlineStr">
        <is>
          <t>Paid</t>
        </is>
      </c>
      <c r="K157" s="29" t="n">
        <v>45707</v>
      </c>
      <c r="L157" s="33" t="n"/>
    </row>
    <row r="158">
      <c r="A158" t="inlineStr">
        <is>
          <t>CLM511367</t>
        </is>
      </c>
      <c r="B158" t="inlineStr">
        <is>
          <t>ENC111367</t>
        </is>
      </c>
      <c r="C158" t="inlineStr">
        <is>
          <t>Keystone Health Partners</t>
        </is>
      </c>
      <c r="D158" t="inlineStr">
        <is>
          <t>Observation</t>
        </is>
      </c>
      <c r="E158" s="29" t="n">
        <v>45677</v>
      </c>
      <c r="F158" s="29" t="n">
        <v>45680</v>
      </c>
      <c r="G158" s="31" t="n">
        <v>9933.16</v>
      </c>
      <c r="H158" s="31" t="n">
        <v>4988.64</v>
      </c>
      <c r="I158" t="inlineStr">
        <is>
          <t>Paid</t>
        </is>
      </c>
      <c r="K158" s="29" t="n">
        <v>45711</v>
      </c>
      <c r="L158" s="33" t="n"/>
    </row>
    <row r="159">
      <c r="A159" t="inlineStr">
        <is>
          <t>CLM511369</t>
        </is>
      </c>
      <c r="B159" t="inlineStr">
        <is>
          <t>ENC111369</t>
        </is>
      </c>
      <c r="C159" t="inlineStr">
        <is>
          <t>State Medicaid</t>
        </is>
      </c>
      <c r="D159" t="inlineStr">
        <is>
          <t>Emergency</t>
        </is>
      </c>
      <c r="E159" s="29" t="n">
        <v>45677</v>
      </c>
      <c r="F159" s="29" t="n">
        <v>45763</v>
      </c>
      <c r="G159" s="31" t="n">
        <v>2733.2</v>
      </c>
      <c r="H159" s="31" t="n">
        <v>602.42</v>
      </c>
      <c r="I159" t="inlineStr">
        <is>
          <t>Paid</t>
        </is>
      </c>
      <c r="K159" s="29" t="n">
        <v>45821</v>
      </c>
      <c r="L159" s="33" t="n"/>
    </row>
    <row r="160">
      <c r="A160" t="inlineStr">
        <is>
          <t>CLM511372</t>
        </is>
      </c>
      <c r="B160" t="inlineStr">
        <is>
          <t>ENC111372</t>
        </is>
      </c>
      <c r="C160" t="inlineStr">
        <is>
          <t>Keystone Health Partners</t>
        </is>
      </c>
      <c r="D160" t="inlineStr">
        <is>
          <t>Outpatient</t>
        </is>
      </c>
      <c r="E160" s="29" t="n">
        <v>45677</v>
      </c>
      <c r="F160" s="29" t="n">
        <v>45682</v>
      </c>
      <c r="G160" s="31" t="n">
        <v>163.79</v>
      </c>
      <c r="H160" s="31" t="n">
        <v>76.42</v>
      </c>
      <c r="I160" t="inlineStr">
        <is>
          <t>Paid</t>
        </is>
      </c>
      <c r="K160" s="29" t="n">
        <v>45702</v>
      </c>
      <c r="L160" s="33" t="n"/>
    </row>
    <row r="161">
      <c r="A161" t="inlineStr">
        <is>
          <t>CLM511374</t>
        </is>
      </c>
      <c r="B161" t="inlineStr">
        <is>
          <t>ENC111374</t>
        </is>
      </c>
      <c r="C161" t="inlineStr">
        <is>
          <t>State Medicaid</t>
        </is>
      </c>
      <c r="D161" t="inlineStr">
        <is>
          <t>Outpatient</t>
        </is>
      </c>
      <c r="E161" s="29" t="n">
        <v>45677</v>
      </c>
      <c r="F161" s="29" t="n">
        <v>45681</v>
      </c>
      <c r="G161" s="31" t="n">
        <v>245.63</v>
      </c>
      <c r="H161" s="31" t="n">
        <v>57.15</v>
      </c>
      <c r="I161" t="inlineStr">
        <is>
          <t>Paid</t>
        </is>
      </c>
      <c r="K161" s="29" t="n">
        <v>45706</v>
      </c>
      <c r="L161" s="33" t="n"/>
    </row>
    <row r="162">
      <c r="A162" t="inlineStr">
        <is>
          <t>CLM511377</t>
        </is>
      </c>
      <c r="B162" t="inlineStr">
        <is>
          <t>ENC111377</t>
        </is>
      </c>
      <c r="C162" t="inlineStr">
        <is>
          <t>State Medicaid</t>
        </is>
      </c>
      <c r="D162" t="inlineStr">
        <is>
          <t>Inpatient</t>
        </is>
      </c>
      <c r="E162" s="29" t="n">
        <v>45685</v>
      </c>
      <c r="F162" s="29" t="n">
        <v>45688</v>
      </c>
      <c r="G162" s="31" t="n">
        <v>44045.97</v>
      </c>
      <c r="H162" s="31" t="n">
        <v>11532.67</v>
      </c>
      <c r="I162" t="inlineStr">
        <is>
          <t>Paid</t>
        </is>
      </c>
      <c r="K162" s="29" t="n">
        <v>45712</v>
      </c>
      <c r="L162" s="33" t="n"/>
    </row>
    <row r="163">
      <c r="A163" t="inlineStr">
        <is>
          <t>CLM511379</t>
        </is>
      </c>
      <c r="B163" t="inlineStr">
        <is>
          <t>ENC111379</t>
        </is>
      </c>
      <c r="C163" t="inlineStr">
        <is>
          <t>Evergreen Mutual Insurance</t>
        </is>
      </c>
      <c r="D163" t="inlineStr">
        <is>
          <t>Emergency</t>
        </is>
      </c>
      <c r="E163" s="29" t="n">
        <v>45677</v>
      </c>
      <c r="F163" s="29" t="n">
        <v>45681</v>
      </c>
      <c r="G163" s="31" t="n">
        <v>4104.08</v>
      </c>
      <c r="H163" s="31" t="n">
        <v>1630.02</v>
      </c>
      <c r="I163" t="inlineStr">
        <is>
          <t>Paid</t>
        </is>
      </c>
      <c r="K163" s="29" t="n">
        <v>45709</v>
      </c>
      <c r="L163" s="33" t="n"/>
    </row>
    <row r="164">
      <c r="A164" t="inlineStr">
        <is>
          <t>CLM511383</t>
        </is>
      </c>
      <c r="B164" t="inlineStr">
        <is>
          <t>ENC111383</t>
        </is>
      </c>
      <c r="C164" t="inlineStr">
        <is>
          <t>Silverline Medicare Advantage</t>
        </is>
      </c>
      <c r="D164" t="inlineStr">
        <is>
          <t>Outpatient</t>
        </is>
      </c>
      <c r="E164" s="29" t="n">
        <v>45677</v>
      </c>
      <c r="F164" s="29" t="n">
        <v>45680</v>
      </c>
      <c r="G164" s="31" t="n">
        <v>475.03</v>
      </c>
      <c r="H164" s="31" t="n">
        <v>137.35</v>
      </c>
      <c r="I164" t="inlineStr">
        <is>
          <t>Paid</t>
        </is>
      </c>
      <c r="K164" s="29" t="n">
        <v>45699</v>
      </c>
      <c r="L164" s="33" t="n"/>
    </row>
    <row r="165">
      <c r="A165" t="inlineStr">
        <is>
          <t>CLM511390</t>
        </is>
      </c>
      <c r="B165" t="inlineStr">
        <is>
          <t>ENC111390</t>
        </is>
      </c>
      <c r="C165" t="inlineStr">
        <is>
          <t>Medicare</t>
        </is>
      </c>
      <c r="D165" t="inlineStr">
        <is>
          <t>Outpatient</t>
        </is>
      </c>
      <c r="E165" s="29" t="n">
        <v>45677</v>
      </c>
      <c r="F165" s="29" t="n">
        <v>45686</v>
      </c>
      <c r="G165" s="31" t="n">
        <v>14358.29</v>
      </c>
      <c r="H165" s="31" t="n">
        <v>4242.44</v>
      </c>
      <c r="I165" t="inlineStr">
        <is>
          <t>Paid</t>
        </is>
      </c>
      <c r="K165" s="29" t="n">
        <v>45700</v>
      </c>
      <c r="L165" s="33" t="n"/>
    </row>
    <row r="166">
      <c r="A166" t="inlineStr">
        <is>
          <t>CLM511392</t>
        </is>
      </c>
      <c r="B166" t="inlineStr">
        <is>
          <t>ENC111392</t>
        </is>
      </c>
      <c r="C166" t="inlineStr">
        <is>
          <t>Keystone Health Partners</t>
        </is>
      </c>
      <c r="D166" t="inlineStr">
        <is>
          <t>Outpatient</t>
        </is>
      </c>
      <c r="E166" s="29" t="n">
        <v>45677</v>
      </c>
      <c r="F166" s="29" t="n">
        <v>45679</v>
      </c>
      <c r="G166" s="31" t="n">
        <v>119.31</v>
      </c>
      <c r="H166" s="31" t="n">
        <v>34.13</v>
      </c>
      <c r="I166" t="inlineStr">
        <is>
          <t>Partially Paid</t>
        </is>
      </c>
      <c r="J166" t="inlineStr">
        <is>
          <t>Coding Error</t>
        </is>
      </c>
      <c r="K166" s="29" t="n">
        <v>45697</v>
      </c>
      <c r="L166" s="33" t="n"/>
    </row>
    <row r="167">
      <c r="A167" t="inlineStr">
        <is>
          <t>CLM511393</t>
        </is>
      </c>
      <c r="B167" t="inlineStr">
        <is>
          <t>ENC111393</t>
        </is>
      </c>
      <c r="C167" t="inlineStr">
        <is>
          <t>Keystone Health Partners</t>
        </is>
      </c>
      <c r="D167" t="inlineStr">
        <is>
          <t>Observation</t>
        </is>
      </c>
      <c r="E167" s="29" t="n">
        <v>45678</v>
      </c>
      <c r="F167" s="29" t="n">
        <v>45680</v>
      </c>
      <c r="G167" s="31" t="n">
        <v>10471.55</v>
      </c>
      <c r="H167" s="31" t="n">
        <v>4404.95</v>
      </c>
      <c r="I167" t="inlineStr">
        <is>
          <t>Paid</t>
        </is>
      </c>
      <c r="K167" s="29" t="n">
        <v>45701</v>
      </c>
      <c r="L167" s="33" t="n"/>
    </row>
    <row r="168">
      <c r="A168" t="inlineStr">
        <is>
          <t>CLM511395</t>
        </is>
      </c>
      <c r="B168" t="inlineStr">
        <is>
          <t>ENC111395</t>
        </is>
      </c>
      <c r="C168" t="inlineStr">
        <is>
          <t>Keystone Health Partners</t>
        </is>
      </c>
      <c r="D168" t="inlineStr">
        <is>
          <t>Outpatient</t>
        </is>
      </c>
      <c r="E168" s="29" t="n">
        <v>45677</v>
      </c>
      <c r="F168" s="29" t="n">
        <v>45682</v>
      </c>
      <c r="G168" s="31" t="n">
        <v>194.21</v>
      </c>
      <c r="H168" s="31" t="n">
        <v>91.76000000000001</v>
      </c>
      <c r="I168" t="inlineStr">
        <is>
          <t>Paid</t>
        </is>
      </c>
      <c r="K168" s="29" t="n">
        <v>45705</v>
      </c>
      <c r="L168" s="33" t="n"/>
    </row>
    <row r="169">
      <c r="A169" t="inlineStr">
        <is>
          <t>CLM511397</t>
        </is>
      </c>
      <c r="B169" t="inlineStr">
        <is>
          <t>ENC111397</t>
        </is>
      </c>
      <c r="C169" t="inlineStr">
        <is>
          <t>Self-Pay</t>
        </is>
      </c>
      <c r="D169" t="inlineStr">
        <is>
          <t>Emergency</t>
        </is>
      </c>
      <c r="E169" s="29" t="n">
        <v>45677</v>
      </c>
      <c r="F169" s="29" t="n">
        <v>45681</v>
      </c>
      <c r="G169" s="31" t="n">
        <v>1054.43</v>
      </c>
      <c r="H169" s="31" t="n">
        <v>56.4</v>
      </c>
      <c r="I169" t="inlineStr">
        <is>
          <t>Partially Paid</t>
        </is>
      </c>
      <c r="K169" s="29" t="n">
        <v>45731</v>
      </c>
      <c r="L169" s="33" t="n"/>
    </row>
    <row r="170">
      <c r="A170" t="inlineStr">
        <is>
          <t>CLM511399</t>
        </is>
      </c>
      <c r="B170" t="inlineStr">
        <is>
          <t>ENC111399</t>
        </is>
      </c>
      <c r="C170" t="inlineStr">
        <is>
          <t>State Medicaid</t>
        </is>
      </c>
      <c r="D170" t="inlineStr">
        <is>
          <t>Outpatient</t>
        </is>
      </c>
      <c r="E170" s="29" t="n">
        <v>45677</v>
      </c>
      <c r="F170" s="29" t="n">
        <v>45680</v>
      </c>
      <c r="G170" s="31" t="n">
        <v>467.86</v>
      </c>
      <c r="H170" s="31" t="n">
        <v>113.6</v>
      </c>
      <c r="I170" t="inlineStr">
        <is>
          <t>Paid</t>
        </is>
      </c>
      <c r="K170" s="29" t="n">
        <v>45734</v>
      </c>
      <c r="L170" s="33" t="n"/>
    </row>
    <row r="171">
      <c r="A171" t="inlineStr">
        <is>
          <t>CLM511402</t>
        </is>
      </c>
      <c r="B171" t="inlineStr">
        <is>
          <t>ENC111402</t>
        </is>
      </c>
      <c r="C171" t="inlineStr">
        <is>
          <t>Silverline Medicare Advantage</t>
        </is>
      </c>
      <c r="D171" t="inlineStr">
        <is>
          <t>Inpatient</t>
        </is>
      </c>
      <c r="E171" s="29" t="n">
        <v>45689</v>
      </c>
      <c r="F171" s="29" t="n">
        <v>45691</v>
      </c>
      <c r="G171" s="31" t="n">
        <v>93422.94</v>
      </c>
      <c r="H171" s="31" t="n">
        <v>30517.37</v>
      </c>
      <c r="I171" t="inlineStr">
        <is>
          <t>Paid</t>
        </is>
      </c>
      <c r="K171" s="29" t="n">
        <v>45716</v>
      </c>
      <c r="L171" s="33" t="n"/>
    </row>
    <row r="172">
      <c r="A172" t="inlineStr">
        <is>
          <t>CLM511408</t>
        </is>
      </c>
      <c r="B172" t="inlineStr">
        <is>
          <t>ENC111408</t>
        </is>
      </c>
      <c r="C172" t="inlineStr">
        <is>
          <t>Summit Choice PPO</t>
        </is>
      </c>
      <c r="D172" t="inlineStr">
        <is>
          <t>Inpatient</t>
        </is>
      </c>
      <c r="E172" s="29" t="n">
        <v>45684</v>
      </c>
      <c r="F172" s="29" t="n">
        <v>45687</v>
      </c>
      <c r="G172" s="31" t="n">
        <v>34599.32</v>
      </c>
      <c r="H172" s="31" t="n">
        <v>9457.84</v>
      </c>
      <c r="I172" t="inlineStr">
        <is>
          <t>Partially Paid</t>
        </is>
      </c>
      <c r="J172" t="inlineStr">
        <is>
          <t>Coding Error</t>
        </is>
      </c>
      <c r="K172" s="29" t="n">
        <v>45713</v>
      </c>
      <c r="L172" s="33" t="n"/>
    </row>
    <row r="173">
      <c r="A173" t="inlineStr">
        <is>
          <t>CLM511410</t>
        </is>
      </c>
      <c r="B173" t="inlineStr">
        <is>
          <t>ENC111410</t>
        </is>
      </c>
      <c r="C173" t="inlineStr">
        <is>
          <t>Medicare</t>
        </is>
      </c>
      <c r="D173" t="inlineStr">
        <is>
          <t>Inpatient</t>
        </is>
      </c>
      <c r="E173" s="29" t="n">
        <v>45683</v>
      </c>
      <c r="F173" s="29" t="n">
        <v>45689</v>
      </c>
      <c r="G173" s="31" t="n">
        <v>33824.54</v>
      </c>
      <c r="H173" s="31" t="n">
        <v>10341.97</v>
      </c>
      <c r="I173" t="inlineStr">
        <is>
          <t>Paid</t>
        </is>
      </c>
      <c r="K173" s="29" t="n">
        <v>45700</v>
      </c>
      <c r="L173" s="33" t="n"/>
    </row>
    <row r="174">
      <c r="A174" t="inlineStr">
        <is>
          <t>CLM511414</t>
        </is>
      </c>
      <c r="B174" t="inlineStr">
        <is>
          <t>ENC111414</t>
        </is>
      </c>
      <c r="C174" t="inlineStr">
        <is>
          <t>Silverline Medicare Advantage</t>
        </is>
      </c>
      <c r="D174" t="inlineStr">
        <is>
          <t>Emergency</t>
        </is>
      </c>
      <c r="E174" s="29" t="n">
        <v>45678</v>
      </c>
      <c r="F174" s="29" t="n">
        <v>45685</v>
      </c>
      <c r="G174" s="31" t="n">
        <v>4210.76</v>
      </c>
      <c r="H174" s="31" t="n">
        <v>1328.21</v>
      </c>
      <c r="I174" t="inlineStr">
        <is>
          <t>Paid</t>
        </is>
      </c>
      <c r="K174" s="29" t="n">
        <v>45699</v>
      </c>
      <c r="L174" s="33" t="n"/>
    </row>
    <row r="175">
      <c r="A175" t="inlineStr">
        <is>
          <t>CLM511415</t>
        </is>
      </c>
      <c r="B175" t="inlineStr">
        <is>
          <t>ENC111415</t>
        </is>
      </c>
      <c r="C175" t="inlineStr">
        <is>
          <t>Self-Pay</t>
        </is>
      </c>
      <c r="D175" t="inlineStr">
        <is>
          <t>Inpatient</t>
        </is>
      </c>
      <c r="E175" s="29" t="n">
        <v>45685</v>
      </c>
      <c r="F175" s="29" t="n">
        <v>45690</v>
      </c>
      <c r="G175" s="31" t="n">
        <v>74694.27</v>
      </c>
      <c r="H175" s="31" t="n">
        <v>15581.31</v>
      </c>
      <c r="I175" t="inlineStr">
        <is>
          <t>Partially Paid</t>
        </is>
      </c>
      <c r="K175" s="29" t="n">
        <v>45762</v>
      </c>
      <c r="L175" s="33" t="n"/>
    </row>
    <row r="176">
      <c r="A176" t="inlineStr">
        <is>
          <t>CLM511424</t>
        </is>
      </c>
      <c r="B176" t="inlineStr">
        <is>
          <t>ENC111424</t>
        </is>
      </c>
      <c r="C176" t="inlineStr">
        <is>
          <t>Evergreen Mutual Insurance</t>
        </is>
      </c>
      <c r="D176" t="inlineStr">
        <is>
          <t>Observation</t>
        </is>
      </c>
      <c r="E176" s="29" t="n">
        <v>45679</v>
      </c>
      <c r="F176" s="29" t="n">
        <v>45686</v>
      </c>
      <c r="G176" s="31" t="n">
        <v>4972.6</v>
      </c>
      <c r="H176" s="31" t="n">
        <v>2041.98</v>
      </c>
      <c r="I176" t="inlineStr">
        <is>
          <t>Paid</t>
        </is>
      </c>
      <c r="K176" s="29" t="n">
        <v>45712</v>
      </c>
      <c r="L176" s="33" t="n"/>
    </row>
    <row r="177">
      <c r="A177" t="inlineStr">
        <is>
          <t>CLM511429</t>
        </is>
      </c>
      <c r="B177" t="inlineStr">
        <is>
          <t>ENC111429</t>
        </is>
      </c>
      <c r="C177" t="inlineStr">
        <is>
          <t>Evergreen Mutual Insurance</t>
        </is>
      </c>
      <c r="D177" t="inlineStr">
        <is>
          <t>Outpatient</t>
        </is>
      </c>
      <c r="E177" s="29" t="n">
        <v>45678</v>
      </c>
      <c r="F177" s="29" t="n">
        <v>45680</v>
      </c>
      <c r="G177" s="31" t="n">
        <v>183.73</v>
      </c>
      <c r="H177" s="31" t="n">
        <v>93.18000000000001</v>
      </c>
      <c r="I177" t="inlineStr">
        <is>
          <t>Paid</t>
        </is>
      </c>
      <c r="K177" s="29" t="n">
        <v>45736</v>
      </c>
      <c r="L177" s="33" t="n"/>
    </row>
    <row r="178">
      <c r="A178" t="inlineStr">
        <is>
          <t>CLM511444</t>
        </is>
      </c>
      <c r="B178" t="inlineStr">
        <is>
          <t>ENC111444</t>
        </is>
      </c>
      <c r="C178" t="inlineStr">
        <is>
          <t>State Medicaid</t>
        </is>
      </c>
      <c r="D178" t="inlineStr">
        <is>
          <t>Emergency</t>
        </is>
      </c>
      <c r="E178" s="29" t="n">
        <v>45678</v>
      </c>
      <c r="F178" s="29" t="n">
        <v>45685</v>
      </c>
      <c r="G178" s="31" t="n">
        <v>2850.39</v>
      </c>
      <c r="H178" s="31" t="n">
        <v>675.46</v>
      </c>
      <c r="I178" t="inlineStr">
        <is>
          <t>Partially Paid</t>
        </is>
      </c>
      <c r="J178" t="inlineStr">
        <is>
          <t>Coding Error</t>
        </is>
      </c>
      <c r="K178" s="29" t="n">
        <v>45743</v>
      </c>
      <c r="L178" s="33" t="n"/>
    </row>
    <row r="179">
      <c r="A179" t="inlineStr">
        <is>
          <t>CLM511447</t>
        </is>
      </c>
      <c r="B179" t="inlineStr">
        <is>
          <t>ENC111447</t>
        </is>
      </c>
      <c r="C179" t="inlineStr">
        <is>
          <t>State Medicaid</t>
        </is>
      </c>
      <c r="D179" t="inlineStr">
        <is>
          <t>Outpatient</t>
        </is>
      </c>
      <c r="E179" s="29" t="n">
        <v>45678</v>
      </c>
      <c r="F179" s="29" t="n">
        <v>45684</v>
      </c>
      <c r="G179" s="31" t="n">
        <v>226.29</v>
      </c>
      <c r="H179" s="31" t="n">
        <v>55.61</v>
      </c>
      <c r="I179" t="inlineStr">
        <is>
          <t>Paid</t>
        </is>
      </c>
      <c r="K179" s="29" t="n">
        <v>45717</v>
      </c>
      <c r="L179" s="33" t="n"/>
    </row>
    <row r="180">
      <c r="A180" t="inlineStr">
        <is>
          <t>CLM511454</t>
        </is>
      </c>
      <c r="B180" t="inlineStr">
        <is>
          <t>ENC111454</t>
        </is>
      </c>
      <c r="C180" t="inlineStr">
        <is>
          <t>Self-Pay</t>
        </is>
      </c>
      <c r="D180" t="inlineStr">
        <is>
          <t>Observation</t>
        </is>
      </c>
      <c r="E180" s="29" t="n">
        <v>45679</v>
      </c>
      <c r="F180" s="29" t="n">
        <v>45681</v>
      </c>
      <c r="G180" s="31" t="n">
        <v>6864.06</v>
      </c>
      <c r="H180" s="31" t="n">
        <v>0</v>
      </c>
      <c r="I180" t="inlineStr">
        <is>
          <t>Pending</t>
        </is>
      </c>
      <c r="L180" s="33" t="n"/>
    </row>
    <row r="181">
      <c r="A181" t="inlineStr">
        <is>
          <t>CLM511455</t>
        </is>
      </c>
      <c r="B181" t="inlineStr">
        <is>
          <t>ENC111455</t>
        </is>
      </c>
      <c r="C181" t="inlineStr">
        <is>
          <t>Silverline Medicare Advantage</t>
        </is>
      </c>
      <c r="D181" t="inlineStr">
        <is>
          <t>Emergency</t>
        </is>
      </c>
      <c r="E181" s="29" t="n">
        <v>45678</v>
      </c>
      <c r="F181" s="29" t="n">
        <v>45681</v>
      </c>
      <c r="G181" s="31" t="n">
        <v>2254.82</v>
      </c>
      <c r="H181" s="31" t="n">
        <v>748</v>
      </c>
      <c r="I181" t="inlineStr">
        <is>
          <t>Paid</t>
        </is>
      </c>
      <c r="K181" s="29" t="n">
        <v>45715</v>
      </c>
      <c r="L181" s="33" t="n"/>
    </row>
    <row r="182">
      <c r="A182" t="inlineStr">
        <is>
          <t>CLM511460</t>
        </is>
      </c>
      <c r="B182" t="inlineStr">
        <is>
          <t>ENC111460</t>
        </is>
      </c>
      <c r="C182" t="inlineStr">
        <is>
          <t>Medicare</t>
        </is>
      </c>
      <c r="D182" t="inlineStr">
        <is>
          <t>Emergency</t>
        </is>
      </c>
      <c r="E182" s="29" t="n">
        <v>45679</v>
      </c>
      <c r="F182" s="29" t="n">
        <v>45681</v>
      </c>
      <c r="G182" s="31" t="n">
        <v>3294.5</v>
      </c>
      <c r="H182" s="31" t="n">
        <v>1006.47</v>
      </c>
      <c r="I182" t="inlineStr">
        <is>
          <t>Paid</t>
        </is>
      </c>
      <c r="K182" s="29" t="n">
        <v>45701</v>
      </c>
      <c r="L182" s="33" t="n"/>
    </row>
    <row r="183">
      <c r="A183" t="inlineStr">
        <is>
          <t>CLM511464</t>
        </is>
      </c>
      <c r="B183" t="inlineStr">
        <is>
          <t>ENC111464</t>
        </is>
      </c>
      <c r="C183" t="inlineStr">
        <is>
          <t>Medicare</t>
        </is>
      </c>
      <c r="D183" t="inlineStr">
        <is>
          <t>Outpatient</t>
        </is>
      </c>
      <c r="E183" s="29" t="n">
        <v>45679</v>
      </c>
      <c r="F183" s="29" t="n">
        <v>45683</v>
      </c>
      <c r="G183" s="31" t="n">
        <v>314.83</v>
      </c>
      <c r="H183" s="31" t="n">
        <v>72.95999999999999</v>
      </c>
      <c r="I183" t="inlineStr">
        <is>
          <t>Paid</t>
        </is>
      </c>
      <c r="K183" s="29" t="n">
        <v>45695</v>
      </c>
      <c r="L183" s="33" t="n"/>
    </row>
    <row r="184">
      <c r="A184" t="inlineStr">
        <is>
          <t>CLM511470</t>
        </is>
      </c>
      <c r="B184" t="inlineStr">
        <is>
          <t>ENC111470</t>
        </is>
      </c>
      <c r="C184" t="inlineStr">
        <is>
          <t>Evergreen Mutual Insurance</t>
        </is>
      </c>
      <c r="D184" t="inlineStr">
        <is>
          <t>Outpatient</t>
        </is>
      </c>
      <c r="E184" s="29" t="n">
        <v>45679</v>
      </c>
      <c r="F184" s="29" t="n">
        <v>45680</v>
      </c>
      <c r="G184" s="31" t="n">
        <v>319.82</v>
      </c>
      <c r="H184" s="31" t="n">
        <v>159.95</v>
      </c>
      <c r="I184" t="inlineStr">
        <is>
          <t>Paid</t>
        </is>
      </c>
      <c r="K184" s="29" t="n">
        <v>45704</v>
      </c>
      <c r="L184" s="33" t="n"/>
    </row>
    <row r="185">
      <c r="A185" t="inlineStr">
        <is>
          <t>CLM511472</t>
        </is>
      </c>
      <c r="B185" t="inlineStr">
        <is>
          <t>ENC111472</t>
        </is>
      </c>
      <c r="C185" t="inlineStr">
        <is>
          <t>State Medicaid</t>
        </is>
      </c>
      <c r="D185" t="inlineStr">
        <is>
          <t>Emergency</t>
        </is>
      </c>
      <c r="E185" s="29" t="n">
        <v>45679</v>
      </c>
      <c r="F185" s="29" t="n">
        <v>45684</v>
      </c>
      <c r="G185" s="31" t="n">
        <v>3648.96</v>
      </c>
      <c r="H185" s="31" t="n">
        <v>840.2</v>
      </c>
      <c r="I185" t="inlineStr">
        <is>
          <t>Paid</t>
        </is>
      </c>
      <c r="K185" s="29" t="n">
        <v>45711</v>
      </c>
      <c r="L185" s="33" t="n"/>
    </row>
    <row r="186">
      <c r="A186" t="inlineStr">
        <is>
          <t>CLM511474</t>
        </is>
      </c>
      <c r="B186" t="inlineStr">
        <is>
          <t>ENC111474</t>
        </is>
      </c>
      <c r="C186" t="inlineStr">
        <is>
          <t>Keystone Health Partners</t>
        </is>
      </c>
      <c r="D186" t="inlineStr">
        <is>
          <t>Emergency</t>
        </is>
      </c>
      <c r="E186" s="29" t="n">
        <v>45679</v>
      </c>
      <c r="F186" s="29" t="n">
        <v>45684</v>
      </c>
      <c r="G186" s="31" t="n">
        <v>1686.79</v>
      </c>
      <c r="H186" s="31" t="n">
        <v>743.86</v>
      </c>
      <c r="I186" t="inlineStr">
        <is>
          <t>Paid</t>
        </is>
      </c>
      <c r="K186" s="29" t="n">
        <v>45720</v>
      </c>
      <c r="L186" s="33" t="n"/>
    </row>
    <row r="187">
      <c r="A187" t="inlineStr">
        <is>
          <t>CLM511477</t>
        </is>
      </c>
      <c r="B187" t="inlineStr">
        <is>
          <t>ENC111477</t>
        </is>
      </c>
      <c r="C187" t="inlineStr">
        <is>
          <t>State Medicaid</t>
        </is>
      </c>
      <c r="D187" t="inlineStr">
        <is>
          <t>Outpatient</t>
        </is>
      </c>
      <c r="E187" s="29" t="n">
        <v>45679</v>
      </c>
      <c r="F187" s="29" t="n">
        <v>45683</v>
      </c>
      <c r="G187" s="31" t="n">
        <v>139.29</v>
      </c>
      <c r="H187" s="31" t="n">
        <v>31.44</v>
      </c>
      <c r="I187" t="inlineStr">
        <is>
          <t>Paid</t>
        </is>
      </c>
      <c r="K187" s="29" t="n">
        <v>45715</v>
      </c>
      <c r="L187" s="33" t="n"/>
    </row>
    <row r="188">
      <c r="A188" t="inlineStr">
        <is>
          <t>CLM511479</t>
        </is>
      </c>
      <c r="B188" t="inlineStr">
        <is>
          <t>ENC111479</t>
        </is>
      </c>
      <c r="C188" t="inlineStr">
        <is>
          <t>Silverline Medicare Advantage</t>
        </is>
      </c>
      <c r="D188" t="inlineStr">
        <is>
          <t>Outpatient</t>
        </is>
      </c>
      <c r="E188" s="29" t="n">
        <v>45679</v>
      </c>
      <c r="F188" s="29" t="n">
        <v>45682</v>
      </c>
      <c r="G188" s="31" t="n">
        <v>238.14</v>
      </c>
      <c r="H188" s="31" t="n">
        <v>67.28</v>
      </c>
      <c r="I188" t="inlineStr">
        <is>
          <t>Paid</t>
        </is>
      </c>
      <c r="K188" s="29" t="n">
        <v>45718</v>
      </c>
      <c r="L188" s="33" t="n"/>
    </row>
    <row r="189">
      <c r="A189" t="inlineStr">
        <is>
          <t>CLM511482</t>
        </is>
      </c>
      <c r="B189" t="inlineStr">
        <is>
          <t>ENC111482</t>
        </is>
      </c>
      <c r="C189" t="inlineStr">
        <is>
          <t>Medicare</t>
        </is>
      </c>
      <c r="D189" t="inlineStr">
        <is>
          <t>Inpatient</t>
        </is>
      </c>
      <c r="E189" s="29" t="n">
        <v>45686</v>
      </c>
      <c r="F189" s="29" t="n">
        <v>45689</v>
      </c>
      <c r="G189" s="31" t="n">
        <v>25040.74</v>
      </c>
      <c r="H189" s="31" t="n">
        <v>6582.35</v>
      </c>
      <c r="I189" t="inlineStr">
        <is>
          <t>Paid</t>
        </is>
      </c>
      <c r="K189" s="29" t="n">
        <v>45709</v>
      </c>
      <c r="L189" s="33" t="n"/>
    </row>
    <row r="190">
      <c r="A190" t="inlineStr">
        <is>
          <t>CLM511487</t>
        </is>
      </c>
      <c r="B190" t="inlineStr">
        <is>
          <t>ENC111487</t>
        </is>
      </c>
      <c r="C190" t="inlineStr">
        <is>
          <t>Medicare</t>
        </is>
      </c>
      <c r="D190" t="inlineStr">
        <is>
          <t>Inpatient</t>
        </is>
      </c>
      <c r="E190" s="29" t="n">
        <v>45683</v>
      </c>
      <c r="F190" s="29" t="n">
        <v>45689</v>
      </c>
      <c r="G190" s="31" t="n">
        <v>21283.17</v>
      </c>
      <c r="H190" s="31" t="n">
        <v>7106.6</v>
      </c>
      <c r="I190" t="inlineStr">
        <is>
          <t>Paid</t>
        </is>
      </c>
      <c r="K190" s="29" t="n">
        <v>45712</v>
      </c>
      <c r="L190" s="33" t="n"/>
    </row>
    <row r="191">
      <c r="A191" t="inlineStr">
        <is>
          <t>CLM511489</t>
        </is>
      </c>
      <c r="B191" t="inlineStr">
        <is>
          <t>ENC111489</t>
        </is>
      </c>
      <c r="C191" t="inlineStr">
        <is>
          <t>Summit Choice PPO</t>
        </is>
      </c>
      <c r="D191" t="inlineStr">
        <is>
          <t>Inpatient</t>
        </is>
      </c>
      <c r="E191" s="29" t="n">
        <v>45682</v>
      </c>
      <c r="F191" s="29" t="n">
        <v>45688</v>
      </c>
      <c r="G191" s="31" t="n">
        <v>45789.95</v>
      </c>
      <c r="H191" s="31" t="n">
        <v>23088</v>
      </c>
      <c r="I191" t="inlineStr">
        <is>
          <t>Paid</t>
        </is>
      </c>
      <c r="K191" s="29" t="n">
        <v>45730</v>
      </c>
      <c r="L191" s="33" t="n"/>
    </row>
    <row r="192">
      <c r="A192" t="inlineStr">
        <is>
          <t>CLM511491</t>
        </is>
      </c>
      <c r="B192" t="inlineStr">
        <is>
          <t>ENC111491</t>
        </is>
      </c>
      <c r="C192" t="inlineStr">
        <is>
          <t>State Medicaid</t>
        </is>
      </c>
      <c r="D192" t="inlineStr">
        <is>
          <t>Emergency</t>
        </is>
      </c>
      <c r="E192" s="29" t="n">
        <v>45679</v>
      </c>
      <c r="F192" s="29" t="n">
        <v>45683</v>
      </c>
      <c r="G192" s="31" t="n">
        <v>1077.88</v>
      </c>
      <c r="H192" s="31" t="n">
        <v>223.89</v>
      </c>
      <c r="I192" t="inlineStr">
        <is>
          <t>Paid</t>
        </is>
      </c>
      <c r="K192" s="29" t="n">
        <v>45707</v>
      </c>
      <c r="L192" s="33" t="n"/>
    </row>
    <row r="193">
      <c r="A193" t="inlineStr">
        <is>
          <t>CLM511494</t>
        </is>
      </c>
      <c r="B193" t="inlineStr">
        <is>
          <t>ENC111494</t>
        </is>
      </c>
      <c r="C193" t="inlineStr">
        <is>
          <t>Evergreen Mutual Insurance</t>
        </is>
      </c>
      <c r="D193" t="inlineStr">
        <is>
          <t>Emergency</t>
        </is>
      </c>
      <c r="E193" s="29" t="n">
        <v>45680</v>
      </c>
      <c r="F193" s="29" t="n">
        <v>45686</v>
      </c>
      <c r="G193" s="31" t="n">
        <v>3525.66</v>
      </c>
      <c r="H193" s="31" t="n">
        <v>1630.52</v>
      </c>
      <c r="I193" t="inlineStr">
        <is>
          <t>Paid</t>
        </is>
      </c>
      <c r="K193" s="29" t="n">
        <v>45715</v>
      </c>
      <c r="L193" s="33" t="n"/>
    </row>
    <row r="194">
      <c r="A194" t="inlineStr">
        <is>
          <t>CLM511495</t>
        </is>
      </c>
      <c r="B194" t="inlineStr">
        <is>
          <t>ENC111495</t>
        </is>
      </c>
      <c r="C194" t="inlineStr">
        <is>
          <t>Silverline Medicare Advantage</t>
        </is>
      </c>
      <c r="D194" t="inlineStr">
        <is>
          <t>Inpatient</t>
        </is>
      </c>
      <c r="E194" s="29" t="n">
        <v>45684</v>
      </c>
      <c r="F194" s="29" t="n">
        <v>45692</v>
      </c>
      <c r="G194" s="31" t="n">
        <v>17354.07</v>
      </c>
      <c r="H194" s="31" t="n">
        <v>5316.88</v>
      </c>
      <c r="I194" t="inlineStr">
        <is>
          <t>Paid</t>
        </is>
      </c>
      <c r="K194" s="29" t="n">
        <v>45739</v>
      </c>
      <c r="L194" s="33" t="n"/>
    </row>
    <row r="195">
      <c r="A195" t="inlineStr">
        <is>
          <t>CLM511500</t>
        </is>
      </c>
      <c r="B195" t="inlineStr">
        <is>
          <t>ENC111500</t>
        </is>
      </c>
      <c r="C195" t="inlineStr">
        <is>
          <t>Medicare</t>
        </is>
      </c>
      <c r="D195" t="inlineStr">
        <is>
          <t>Inpatient</t>
        </is>
      </c>
      <c r="E195" s="29" t="n">
        <v>45686</v>
      </c>
      <c r="F195" s="29" t="n">
        <v>45689</v>
      </c>
      <c r="G195" s="31" t="n">
        <v>53062.75</v>
      </c>
      <c r="H195" s="31" t="n">
        <v>14090.69</v>
      </c>
      <c r="I195" t="inlineStr">
        <is>
          <t>Paid</t>
        </is>
      </c>
      <c r="K195" s="29" t="n">
        <v>45702</v>
      </c>
      <c r="L195" s="33" t="n"/>
    </row>
    <row r="196">
      <c r="A196" t="inlineStr">
        <is>
          <t>CLM511507</t>
        </is>
      </c>
      <c r="B196" t="inlineStr">
        <is>
          <t>ENC111507</t>
        </is>
      </c>
      <c r="C196" t="inlineStr">
        <is>
          <t>Keystone Health Partners</t>
        </is>
      </c>
      <c r="D196" t="inlineStr">
        <is>
          <t>Emergency</t>
        </is>
      </c>
      <c r="E196" s="29" t="n">
        <v>45680</v>
      </c>
      <c r="F196" s="29" t="n">
        <v>45688</v>
      </c>
      <c r="G196" s="31" t="n">
        <v>3253.76</v>
      </c>
      <c r="H196" s="31" t="n">
        <v>1418.06</v>
      </c>
      <c r="I196" t="inlineStr">
        <is>
          <t>Paid</t>
        </is>
      </c>
      <c r="K196" s="29" t="n">
        <v>45731</v>
      </c>
      <c r="L196" s="33" t="n"/>
    </row>
    <row r="197">
      <c r="A197" t="inlineStr">
        <is>
          <t>CLM511509</t>
        </is>
      </c>
      <c r="B197" t="inlineStr">
        <is>
          <t>ENC111509</t>
        </is>
      </c>
      <c r="C197" t="inlineStr">
        <is>
          <t>Medicare</t>
        </is>
      </c>
      <c r="D197" t="inlineStr">
        <is>
          <t>Inpatient</t>
        </is>
      </c>
      <c r="E197" s="29" t="n">
        <v>45687</v>
      </c>
      <c r="F197" s="29" t="n">
        <v>45693</v>
      </c>
      <c r="G197" s="31" t="n">
        <v>35823.13</v>
      </c>
      <c r="H197" s="31" t="n">
        <v>9769.389999999999</v>
      </c>
      <c r="I197" t="inlineStr">
        <is>
          <t>Paid</t>
        </is>
      </c>
      <c r="K197" s="29" t="n">
        <v>45711</v>
      </c>
      <c r="L197" s="33" t="n"/>
    </row>
    <row r="198">
      <c r="A198" t="inlineStr">
        <is>
          <t>CLM511513</t>
        </is>
      </c>
      <c r="B198" t="inlineStr">
        <is>
          <t>ENC111513</t>
        </is>
      </c>
      <c r="C198" t="inlineStr">
        <is>
          <t>State Medicaid</t>
        </is>
      </c>
      <c r="D198" t="inlineStr">
        <is>
          <t>Inpatient</t>
        </is>
      </c>
      <c r="E198" s="29" t="n">
        <v>45682</v>
      </c>
      <c r="F198" s="29" t="n">
        <v>45698</v>
      </c>
      <c r="G198" s="31" t="n">
        <v>15953.63</v>
      </c>
      <c r="H198" s="31" t="n">
        <v>3882.49</v>
      </c>
      <c r="I198" t="inlineStr">
        <is>
          <t>Paid</t>
        </is>
      </c>
      <c r="K198" s="29" t="n">
        <v>45728</v>
      </c>
      <c r="L198" s="33" t="n"/>
    </row>
    <row r="199">
      <c r="A199" t="inlineStr">
        <is>
          <t>CLM511515</t>
        </is>
      </c>
      <c r="B199" t="inlineStr">
        <is>
          <t>ENC111515</t>
        </is>
      </c>
      <c r="C199" t="inlineStr">
        <is>
          <t>Medicare</t>
        </is>
      </c>
      <c r="D199" t="inlineStr">
        <is>
          <t>Outpatient</t>
        </is>
      </c>
      <c r="E199" s="29" t="n">
        <v>45680</v>
      </c>
      <c r="F199" s="29" t="n">
        <v>45681</v>
      </c>
      <c r="G199" s="31" t="n">
        <v>127.85</v>
      </c>
      <c r="H199" s="31" t="n">
        <v>34.14</v>
      </c>
      <c r="I199" t="inlineStr">
        <is>
          <t>Paid</t>
        </is>
      </c>
      <c r="K199" s="29" t="n">
        <v>45694</v>
      </c>
      <c r="L199" s="33" t="n"/>
    </row>
    <row r="200">
      <c r="A200" t="inlineStr">
        <is>
          <t>CLM511516</t>
        </is>
      </c>
      <c r="B200" t="inlineStr">
        <is>
          <t>ENC111516</t>
        </is>
      </c>
      <c r="C200" t="inlineStr">
        <is>
          <t>Evergreen Mutual Insurance</t>
        </is>
      </c>
      <c r="D200" t="inlineStr">
        <is>
          <t>Outpatient</t>
        </is>
      </c>
      <c r="E200" s="29" t="n">
        <v>45680</v>
      </c>
      <c r="F200" s="29" t="n">
        <v>45695</v>
      </c>
      <c r="G200" s="31" t="n">
        <v>439.38</v>
      </c>
      <c r="H200" s="31" t="n">
        <v>191.21</v>
      </c>
      <c r="I200" t="inlineStr">
        <is>
          <t>Paid</t>
        </is>
      </c>
      <c r="K200" s="29" t="n">
        <v>45728</v>
      </c>
      <c r="L200" s="33" t="n"/>
    </row>
    <row r="201">
      <c r="A201" t="inlineStr">
        <is>
          <t>CLM511520</t>
        </is>
      </c>
      <c r="B201" t="inlineStr">
        <is>
          <t>ENC111520</t>
        </is>
      </c>
      <c r="C201" t="inlineStr">
        <is>
          <t>Medicare</t>
        </is>
      </c>
      <c r="D201" t="inlineStr">
        <is>
          <t>Outpatient</t>
        </is>
      </c>
      <c r="E201" s="29" t="n">
        <v>45680</v>
      </c>
      <c r="F201" s="29" t="n">
        <v>45686</v>
      </c>
      <c r="G201" s="31" t="n">
        <v>482.95</v>
      </c>
      <c r="H201" s="31" t="n">
        <v>147.96</v>
      </c>
      <c r="I201" t="inlineStr">
        <is>
          <t>Paid</t>
        </is>
      </c>
      <c r="K201" s="29" t="n">
        <v>45694</v>
      </c>
      <c r="L201" s="33" t="n"/>
    </row>
    <row r="202">
      <c r="A202" t="inlineStr">
        <is>
          <t>CLM511521</t>
        </is>
      </c>
      <c r="B202" t="inlineStr">
        <is>
          <t>ENC111521</t>
        </is>
      </c>
      <c r="C202" t="inlineStr">
        <is>
          <t>Self-Pay</t>
        </is>
      </c>
      <c r="D202" t="inlineStr">
        <is>
          <t>Observation</t>
        </is>
      </c>
      <c r="E202" s="29" t="n">
        <v>45681</v>
      </c>
      <c r="F202" s="29" t="n">
        <v>45683</v>
      </c>
      <c r="G202" s="31" t="n">
        <v>12029.45</v>
      </c>
      <c r="H202" s="31" t="n">
        <v>0</v>
      </c>
      <c r="I202" t="inlineStr">
        <is>
          <t>Pending</t>
        </is>
      </c>
      <c r="L202" s="33" t="n"/>
    </row>
    <row r="203">
      <c r="A203" t="inlineStr">
        <is>
          <t>CLM511522</t>
        </is>
      </c>
      <c r="B203" t="inlineStr">
        <is>
          <t>ENC111522</t>
        </is>
      </c>
      <c r="C203" t="inlineStr">
        <is>
          <t>Keystone Health Partners</t>
        </is>
      </c>
      <c r="D203" t="inlineStr">
        <is>
          <t>Inpatient</t>
        </is>
      </c>
      <c r="E203" s="29" t="n">
        <v>45685</v>
      </c>
      <c r="F203" s="29" t="n">
        <v>45687</v>
      </c>
      <c r="G203" s="31" t="n">
        <v>13791.72</v>
      </c>
      <c r="H203" s="31" t="n">
        <v>5552.5</v>
      </c>
      <c r="I203" t="inlineStr">
        <is>
          <t>Paid</t>
        </is>
      </c>
      <c r="K203" s="29" t="n">
        <v>45708</v>
      </c>
      <c r="L203" s="33" t="n"/>
    </row>
    <row r="204">
      <c r="A204" t="inlineStr">
        <is>
          <t>CLM511524</t>
        </is>
      </c>
      <c r="B204" t="inlineStr">
        <is>
          <t>ENC111524</t>
        </is>
      </c>
      <c r="C204" t="inlineStr">
        <is>
          <t>Keystone Health Partners</t>
        </is>
      </c>
      <c r="D204" t="inlineStr">
        <is>
          <t>Outpatient</t>
        </is>
      </c>
      <c r="E204" s="29" t="n">
        <v>45680</v>
      </c>
      <c r="F204" s="29" t="n">
        <v>45684</v>
      </c>
      <c r="G204" s="31" t="n">
        <v>466.62</v>
      </c>
      <c r="H204" s="31" t="n">
        <v>209.51</v>
      </c>
      <c r="I204" t="inlineStr">
        <is>
          <t>Paid</t>
        </is>
      </c>
      <c r="K204" s="29" t="n">
        <v>45708</v>
      </c>
      <c r="L204" s="33" t="n"/>
    </row>
    <row r="205">
      <c r="A205" t="inlineStr">
        <is>
          <t>CLM511526</t>
        </is>
      </c>
      <c r="B205" t="inlineStr">
        <is>
          <t>ENC111526</t>
        </is>
      </c>
      <c r="C205" t="inlineStr">
        <is>
          <t>State Medicaid</t>
        </is>
      </c>
      <c r="D205" t="inlineStr">
        <is>
          <t>Outpatient</t>
        </is>
      </c>
      <c r="E205" s="29" t="n">
        <v>45680</v>
      </c>
      <c r="F205" s="29" t="n">
        <v>45684</v>
      </c>
      <c r="G205" s="31" t="n">
        <v>363.87</v>
      </c>
      <c r="H205" s="31" t="n">
        <v>85.65000000000001</v>
      </c>
      <c r="I205" t="inlineStr">
        <is>
          <t>Paid</t>
        </is>
      </c>
      <c r="K205" s="29" t="n">
        <v>45728</v>
      </c>
      <c r="L205" s="33" t="n"/>
    </row>
    <row r="206">
      <c r="A206" t="inlineStr">
        <is>
          <t>CLM511530</t>
        </is>
      </c>
      <c r="B206" t="inlineStr">
        <is>
          <t>ENC111530</t>
        </is>
      </c>
      <c r="C206" t="inlineStr">
        <is>
          <t>Keystone Health Partners</t>
        </is>
      </c>
      <c r="D206" t="inlineStr">
        <is>
          <t>Emergency</t>
        </is>
      </c>
      <c r="E206" s="29" t="n">
        <v>45680</v>
      </c>
      <c r="F206" s="29" t="n">
        <v>45686</v>
      </c>
      <c r="G206" s="31" t="n">
        <v>3943.56</v>
      </c>
      <c r="H206" s="31" t="n">
        <v>2074.04</v>
      </c>
      <c r="I206" t="inlineStr">
        <is>
          <t>Paid</t>
        </is>
      </c>
      <c r="K206" s="29" t="n">
        <v>45711</v>
      </c>
      <c r="L206" s="33" t="n"/>
    </row>
    <row r="207">
      <c r="A207" t="inlineStr">
        <is>
          <t>CLM511532</t>
        </is>
      </c>
      <c r="B207" t="inlineStr">
        <is>
          <t>ENC111532</t>
        </is>
      </c>
      <c r="C207" t="inlineStr">
        <is>
          <t>Keystone Health Partners</t>
        </is>
      </c>
      <c r="D207" t="inlineStr">
        <is>
          <t>Emergency</t>
        </is>
      </c>
      <c r="E207" s="29" t="n">
        <v>45680</v>
      </c>
      <c r="F207" s="29" t="n">
        <v>45682</v>
      </c>
      <c r="G207" s="31" t="n">
        <v>1069.62</v>
      </c>
      <c r="H207" s="31" t="n">
        <v>506.1</v>
      </c>
      <c r="I207" t="inlineStr">
        <is>
          <t>Paid</t>
        </is>
      </c>
      <c r="K207" s="29" t="n">
        <v>45699</v>
      </c>
      <c r="L207" s="33" t="n"/>
    </row>
    <row r="208">
      <c r="A208" t="inlineStr">
        <is>
          <t>CLM511533</t>
        </is>
      </c>
      <c r="B208" t="inlineStr">
        <is>
          <t>ENC111533</t>
        </is>
      </c>
      <c r="C208" t="inlineStr">
        <is>
          <t>State Medicaid</t>
        </is>
      </c>
      <c r="D208" t="inlineStr">
        <is>
          <t>Emergency</t>
        </is>
      </c>
      <c r="E208" s="29" t="n">
        <v>45680</v>
      </c>
      <c r="F208" s="29" t="n">
        <v>45682</v>
      </c>
      <c r="G208" s="31" t="n">
        <v>1663.77</v>
      </c>
      <c r="H208" s="31" t="n">
        <v>380.12</v>
      </c>
      <c r="I208" t="inlineStr">
        <is>
          <t>Paid</t>
        </is>
      </c>
      <c r="K208" s="29" t="n">
        <v>45708</v>
      </c>
      <c r="L208" s="33" t="n"/>
    </row>
    <row r="209">
      <c r="A209" t="inlineStr">
        <is>
          <t>CLM511536</t>
        </is>
      </c>
      <c r="B209" t="inlineStr">
        <is>
          <t>ENC111536</t>
        </is>
      </c>
      <c r="C209" t="inlineStr">
        <is>
          <t>Medicare</t>
        </is>
      </c>
      <c r="D209" t="inlineStr">
        <is>
          <t>Inpatient</t>
        </is>
      </c>
      <c r="E209" s="29" t="n">
        <v>45682</v>
      </c>
      <c r="F209" s="29" t="n">
        <v>45684</v>
      </c>
      <c r="G209" s="31" t="n">
        <v>34202.66</v>
      </c>
      <c r="H209" s="31" t="n">
        <v>11125.04</v>
      </c>
      <c r="I209" t="inlineStr">
        <is>
          <t>Paid</t>
        </is>
      </c>
      <c r="K209" s="29" t="n">
        <v>45703</v>
      </c>
      <c r="L209" s="33" t="n"/>
    </row>
    <row r="210">
      <c r="A210" t="inlineStr">
        <is>
          <t>CLM511541</t>
        </is>
      </c>
      <c r="B210" t="inlineStr">
        <is>
          <t>ENC111541</t>
        </is>
      </c>
      <c r="C210" t="inlineStr">
        <is>
          <t>Medicare</t>
        </is>
      </c>
      <c r="D210" t="inlineStr">
        <is>
          <t>Inpatient</t>
        </is>
      </c>
      <c r="E210" s="29" t="n">
        <v>45684</v>
      </c>
      <c r="F210" s="29" t="n">
        <v>45690</v>
      </c>
      <c r="G210" s="31" t="n">
        <v>15987.5</v>
      </c>
      <c r="H210" s="31" t="n">
        <v>0</v>
      </c>
      <c r="I210" t="inlineStr">
        <is>
          <t>Denied</t>
        </is>
      </c>
      <c r="J210" t="inlineStr">
        <is>
          <t>Authorization Required</t>
        </is>
      </c>
      <c r="L210" s="33" t="n"/>
    </row>
    <row r="211">
      <c r="A211" t="inlineStr">
        <is>
          <t>CLM511543</t>
        </is>
      </c>
      <c r="B211" t="inlineStr">
        <is>
          <t>ENC111543</t>
        </is>
      </c>
      <c r="C211" t="inlineStr">
        <is>
          <t>Keystone Health Partners</t>
        </is>
      </c>
      <c r="D211" t="inlineStr">
        <is>
          <t>Emergency</t>
        </is>
      </c>
      <c r="E211" s="29" t="n">
        <v>45681</v>
      </c>
      <c r="F211" s="29" t="n">
        <v>45691</v>
      </c>
      <c r="G211" s="31" t="n">
        <v>5144.72</v>
      </c>
      <c r="H211" s="31" t="n">
        <v>2424.37</v>
      </c>
      <c r="I211" t="inlineStr">
        <is>
          <t>Paid</t>
        </is>
      </c>
      <c r="K211" s="29" t="n">
        <v>45719</v>
      </c>
      <c r="L211" s="33" t="n"/>
    </row>
    <row r="212">
      <c r="A212" t="inlineStr">
        <is>
          <t>CLM511544</t>
        </is>
      </c>
      <c r="B212" t="inlineStr">
        <is>
          <t>ENC111544</t>
        </is>
      </c>
      <c r="C212" t="inlineStr">
        <is>
          <t>Self-Pay</t>
        </is>
      </c>
      <c r="D212" t="inlineStr">
        <is>
          <t>Inpatient</t>
        </is>
      </c>
      <c r="E212" s="29" t="n">
        <v>45682</v>
      </c>
      <c r="F212" s="29" t="n">
        <v>45686</v>
      </c>
      <c r="G212" s="31" t="n">
        <v>14859</v>
      </c>
      <c r="H212" s="31" t="n">
        <v>2275.11</v>
      </c>
      <c r="I212" t="inlineStr">
        <is>
          <t>Partially Paid</t>
        </is>
      </c>
      <c r="K212" s="29" t="n">
        <v>45748</v>
      </c>
      <c r="L212" s="33" t="n"/>
    </row>
    <row r="213">
      <c r="A213" t="inlineStr">
        <is>
          <t>CLM511546</t>
        </is>
      </c>
      <c r="B213" t="inlineStr">
        <is>
          <t>ENC111546</t>
        </is>
      </c>
      <c r="C213" t="inlineStr">
        <is>
          <t>Evergreen Mutual Insurance</t>
        </is>
      </c>
      <c r="D213" t="inlineStr">
        <is>
          <t>Outpatient</t>
        </is>
      </c>
      <c r="E213" s="29" t="n">
        <v>45681</v>
      </c>
      <c r="F213" s="29" t="n">
        <v>45697</v>
      </c>
      <c r="G213" s="31" t="n">
        <v>120.34</v>
      </c>
      <c r="H213" s="31" t="n">
        <v>51.22</v>
      </c>
      <c r="I213" t="inlineStr">
        <is>
          <t>Paid</t>
        </is>
      </c>
      <c r="K213" s="29" t="n">
        <v>45715</v>
      </c>
      <c r="L213" s="33" t="n"/>
    </row>
    <row r="214">
      <c r="A214" t="inlineStr">
        <is>
          <t>CLM511554</t>
        </is>
      </c>
      <c r="B214" t="inlineStr">
        <is>
          <t>ENC111554</t>
        </is>
      </c>
      <c r="C214" t="inlineStr">
        <is>
          <t>Evergreen Mutual Insurance</t>
        </is>
      </c>
      <c r="D214" t="inlineStr">
        <is>
          <t>Outpatient</t>
        </is>
      </c>
      <c r="E214" s="29" t="n">
        <v>45681</v>
      </c>
      <c r="F214" s="29" t="n">
        <v>45690</v>
      </c>
      <c r="G214" s="31" t="n">
        <v>284.8</v>
      </c>
      <c r="H214" s="31" t="n">
        <v>120.34</v>
      </c>
      <c r="I214" t="inlineStr">
        <is>
          <t>Paid</t>
        </is>
      </c>
      <c r="K214" s="29" t="n">
        <v>45718</v>
      </c>
      <c r="L214" s="33" t="n"/>
    </row>
    <row r="215">
      <c r="A215" t="inlineStr">
        <is>
          <t>CLM511555</t>
        </is>
      </c>
      <c r="B215" t="inlineStr">
        <is>
          <t>ENC111555</t>
        </is>
      </c>
      <c r="C215" t="inlineStr">
        <is>
          <t>Silverline Medicare Advantage</t>
        </is>
      </c>
      <c r="D215" t="inlineStr">
        <is>
          <t>Emergency</t>
        </is>
      </c>
      <c r="E215" s="29" t="n">
        <v>45681</v>
      </c>
      <c r="F215" s="29" t="n">
        <v>45686</v>
      </c>
      <c r="G215" s="31" t="n">
        <v>3794.43</v>
      </c>
      <c r="H215" s="31" t="n">
        <v>1136.71</v>
      </c>
      <c r="I215" t="inlineStr">
        <is>
          <t>Paid</t>
        </is>
      </c>
      <c r="K215" s="29" t="n">
        <v>45708</v>
      </c>
      <c r="L215" s="33" t="n"/>
    </row>
    <row r="216">
      <c r="A216" t="inlineStr">
        <is>
          <t>CLM511564</t>
        </is>
      </c>
      <c r="B216" t="inlineStr">
        <is>
          <t>ENC111564</t>
        </is>
      </c>
      <c r="C216" t="inlineStr">
        <is>
          <t>Medicare</t>
        </is>
      </c>
      <c r="D216" t="inlineStr">
        <is>
          <t>Outpatient</t>
        </is>
      </c>
      <c r="E216" s="29" t="n">
        <v>45681</v>
      </c>
      <c r="F216" s="29" t="n">
        <v>45697</v>
      </c>
      <c r="G216" s="31" t="n">
        <v>393.43</v>
      </c>
      <c r="H216" s="31" t="n">
        <v>141.04</v>
      </c>
      <c r="I216" t="inlineStr">
        <is>
          <t>Paid</t>
        </is>
      </c>
      <c r="K216" s="29" t="n">
        <v>45707</v>
      </c>
      <c r="L216" s="33" t="n"/>
    </row>
    <row r="217">
      <c r="A217" t="inlineStr">
        <is>
          <t>CLM511566</t>
        </is>
      </c>
      <c r="B217" t="inlineStr">
        <is>
          <t>ENC111566</t>
        </is>
      </c>
      <c r="C217" t="inlineStr">
        <is>
          <t>Keystone Health Partners</t>
        </is>
      </c>
      <c r="D217" t="inlineStr">
        <is>
          <t>Emergency</t>
        </is>
      </c>
      <c r="E217" s="29" t="n">
        <v>45681</v>
      </c>
      <c r="F217" s="29" t="n">
        <v>45686</v>
      </c>
      <c r="G217" s="31" t="n">
        <v>2679.14</v>
      </c>
      <c r="H217" s="31" t="n">
        <v>1112.83</v>
      </c>
      <c r="I217" t="inlineStr">
        <is>
          <t>Paid</t>
        </is>
      </c>
      <c r="K217" s="29" t="n">
        <v>45706</v>
      </c>
      <c r="L217" s="33" t="n"/>
    </row>
    <row r="218">
      <c r="A218" t="inlineStr">
        <is>
          <t>CLM511567</t>
        </is>
      </c>
      <c r="B218" t="inlineStr">
        <is>
          <t>ENC111567</t>
        </is>
      </c>
      <c r="C218" t="inlineStr">
        <is>
          <t>Medicare</t>
        </is>
      </c>
      <c r="D218" t="inlineStr">
        <is>
          <t>Outpatient</t>
        </is>
      </c>
      <c r="E218" s="29" t="n">
        <v>45681</v>
      </c>
      <c r="F218" s="29" t="n">
        <v>45685</v>
      </c>
      <c r="G218" s="31" t="n">
        <v>492.22</v>
      </c>
      <c r="H218" s="31" t="n">
        <v>149.21</v>
      </c>
      <c r="I218" t="inlineStr">
        <is>
          <t>Paid</t>
        </is>
      </c>
      <c r="K218" s="29" t="n">
        <v>45699</v>
      </c>
      <c r="L218" s="33" t="n"/>
    </row>
    <row r="219">
      <c r="A219" t="inlineStr">
        <is>
          <t>CLM511569</t>
        </is>
      </c>
      <c r="B219" t="inlineStr">
        <is>
          <t>ENC111569</t>
        </is>
      </c>
      <c r="C219" t="inlineStr">
        <is>
          <t>Medicare</t>
        </is>
      </c>
      <c r="D219" t="inlineStr">
        <is>
          <t>Emergency</t>
        </is>
      </c>
      <c r="E219" s="29" t="n">
        <v>45681</v>
      </c>
      <c r="F219" s="29" t="n">
        <v>45687</v>
      </c>
      <c r="G219" s="31" t="n">
        <v>3815.93</v>
      </c>
      <c r="H219" s="31" t="n">
        <v>1089.07</v>
      </c>
      <c r="I219" t="inlineStr">
        <is>
          <t>Paid</t>
        </is>
      </c>
      <c r="K219" s="29" t="n">
        <v>45694</v>
      </c>
      <c r="L219" s="33" t="n"/>
    </row>
    <row r="220">
      <c r="A220" t="inlineStr">
        <is>
          <t>CLM511576</t>
        </is>
      </c>
      <c r="B220" t="inlineStr">
        <is>
          <t>ENC111576</t>
        </is>
      </c>
      <c r="C220" t="inlineStr">
        <is>
          <t>Keystone Health Partners</t>
        </is>
      </c>
      <c r="D220" t="inlineStr">
        <is>
          <t>Emergency</t>
        </is>
      </c>
      <c r="E220" s="29" t="n">
        <v>45681</v>
      </c>
      <c r="F220" s="29" t="n">
        <v>45683</v>
      </c>
      <c r="G220" s="31" t="n">
        <v>2514.88</v>
      </c>
      <c r="H220" s="31" t="n">
        <v>0</v>
      </c>
      <c r="I220" t="inlineStr">
        <is>
          <t>Appealed</t>
        </is>
      </c>
      <c r="J220" t="inlineStr">
        <is>
          <t>Duplicate Claim</t>
        </is>
      </c>
      <c r="L220" s="33" t="n"/>
    </row>
    <row r="221">
      <c r="A221" t="inlineStr">
        <is>
          <t>CLM511580</t>
        </is>
      </c>
      <c r="B221" t="inlineStr">
        <is>
          <t>ENC111580</t>
        </is>
      </c>
      <c r="C221" t="inlineStr">
        <is>
          <t>Medicare</t>
        </is>
      </c>
      <c r="D221" t="inlineStr">
        <is>
          <t>Inpatient</t>
        </is>
      </c>
      <c r="E221" s="29" t="n">
        <v>45691</v>
      </c>
      <c r="F221" s="29" t="n">
        <v>45698</v>
      </c>
      <c r="G221" s="31" t="n">
        <v>72635.34</v>
      </c>
      <c r="H221" s="31" t="n">
        <v>21387.8</v>
      </c>
      <c r="I221" t="inlineStr">
        <is>
          <t>Paid</t>
        </is>
      </c>
      <c r="K221" s="29" t="n">
        <v>45719</v>
      </c>
      <c r="L221" s="33" t="n"/>
    </row>
    <row r="222">
      <c r="A222" t="inlineStr">
        <is>
          <t>CLM511586</t>
        </is>
      </c>
      <c r="B222" t="inlineStr">
        <is>
          <t>ENC111586</t>
        </is>
      </c>
      <c r="C222" t="inlineStr">
        <is>
          <t>State Medicaid</t>
        </is>
      </c>
      <c r="D222" t="inlineStr">
        <is>
          <t>Emergency</t>
        </is>
      </c>
      <c r="E222" s="29" t="n">
        <v>45682</v>
      </c>
      <c r="F222" s="29" t="n">
        <v>45691</v>
      </c>
      <c r="G222" s="31" t="n">
        <v>1210.81</v>
      </c>
      <c r="H222" s="31" t="n">
        <v>288.54</v>
      </c>
      <c r="I222" t="inlineStr">
        <is>
          <t>Paid</t>
        </is>
      </c>
      <c r="K222" s="29" t="n">
        <v>45741</v>
      </c>
      <c r="L222" s="33" t="n"/>
    </row>
    <row r="223">
      <c r="A223" t="inlineStr">
        <is>
          <t>CLM511592</t>
        </is>
      </c>
      <c r="B223" t="inlineStr">
        <is>
          <t>ENC111592</t>
        </is>
      </c>
      <c r="C223" t="inlineStr">
        <is>
          <t>Keystone Health Partners</t>
        </is>
      </c>
      <c r="D223" t="inlineStr">
        <is>
          <t>Emergency</t>
        </is>
      </c>
      <c r="E223" s="29" t="n">
        <v>45682</v>
      </c>
      <c r="F223" s="29" t="n">
        <v>45740</v>
      </c>
      <c r="G223" s="31" t="n">
        <v>2875.25</v>
      </c>
      <c r="H223" s="31" t="n">
        <v>1238.26</v>
      </c>
      <c r="I223" t="inlineStr">
        <is>
          <t>Paid</t>
        </is>
      </c>
      <c r="K223" s="29" t="n">
        <v>45759</v>
      </c>
      <c r="L223" s="33" t="n"/>
    </row>
    <row r="224">
      <c r="A224" t="inlineStr">
        <is>
          <t>CLM511599</t>
        </is>
      </c>
      <c r="B224" t="inlineStr">
        <is>
          <t>ENC111599</t>
        </is>
      </c>
      <c r="C224" t="inlineStr">
        <is>
          <t>Self-Pay</t>
        </is>
      </c>
      <c r="D224" t="inlineStr">
        <is>
          <t>Observation</t>
        </is>
      </c>
      <c r="E224" s="29" t="n">
        <v>45683</v>
      </c>
      <c r="F224" s="29" t="n">
        <v>45692</v>
      </c>
      <c r="G224" s="31" t="n">
        <v>8771.370000000001</v>
      </c>
      <c r="H224" s="31" t="n">
        <v>3700.88</v>
      </c>
      <c r="I224" t="inlineStr">
        <is>
          <t>Paid</t>
        </is>
      </c>
      <c r="K224" s="29" t="n">
        <v>45745</v>
      </c>
      <c r="L224" s="33" t="n"/>
    </row>
    <row r="225">
      <c r="A225" t="inlineStr">
        <is>
          <t>CLM511601</t>
        </is>
      </c>
      <c r="B225" t="inlineStr">
        <is>
          <t>ENC111601</t>
        </is>
      </c>
      <c r="C225" t="inlineStr">
        <is>
          <t>Summit Choice PPO</t>
        </is>
      </c>
      <c r="D225" t="inlineStr">
        <is>
          <t>Inpatient</t>
        </is>
      </c>
      <c r="E225" s="29" t="n">
        <v>45683</v>
      </c>
      <c r="F225" s="29" t="n">
        <v>45686</v>
      </c>
      <c r="G225" s="31" t="n">
        <v>38806.05</v>
      </c>
      <c r="H225" s="31" t="n">
        <v>20656.19</v>
      </c>
      <c r="I225" t="inlineStr">
        <is>
          <t>Paid</t>
        </is>
      </c>
      <c r="K225" s="29" t="n">
        <v>45696</v>
      </c>
      <c r="L225" s="33" t="n"/>
    </row>
    <row r="226">
      <c r="A226" t="inlineStr">
        <is>
          <t>CLM511609</t>
        </is>
      </c>
      <c r="B226" t="inlineStr">
        <is>
          <t>ENC111609</t>
        </is>
      </c>
      <c r="C226" t="inlineStr">
        <is>
          <t>State Medicaid</t>
        </is>
      </c>
      <c r="D226" t="inlineStr">
        <is>
          <t>Emergency</t>
        </is>
      </c>
      <c r="E226" s="29" t="n">
        <v>45683</v>
      </c>
      <c r="F226" s="29" t="n">
        <v>45688</v>
      </c>
      <c r="G226" s="31" t="n">
        <v>7593.79</v>
      </c>
      <c r="H226" s="31" t="n">
        <v>1771.75</v>
      </c>
      <c r="I226" t="inlineStr">
        <is>
          <t>Paid</t>
        </is>
      </c>
      <c r="K226" s="29" t="n">
        <v>45731</v>
      </c>
      <c r="L226" s="33" t="n"/>
    </row>
    <row r="227">
      <c r="A227" t="inlineStr">
        <is>
          <t>CLM511613</t>
        </is>
      </c>
      <c r="B227" t="inlineStr">
        <is>
          <t>ENC111613</t>
        </is>
      </c>
      <c r="C227" t="inlineStr">
        <is>
          <t>Silverline Medicare Advantage</t>
        </is>
      </c>
      <c r="D227" t="inlineStr">
        <is>
          <t>Emergency</t>
        </is>
      </c>
      <c r="E227" s="29" t="n">
        <v>45683</v>
      </c>
      <c r="F227" s="29" t="n">
        <v>45760</v>
      </c>
      <c r="G227" s="31" t="n">
        <v>1478.59</v>
      </c>
      <c r="H227" s="31" t="n">
        <v>307.96</v>
      </c>
      <c r="I227" t="inlineStr">
        <is>
          <t>Partially Paid</t>
        </is>
      </c>
      <c r="J227" t="inlineStr">
        <is>
          <t>Medical Necessity</t>
        </is>
      </c>
      <c r="K227" s="29" t="n">
        <v>45791</v>
      </c>
      <c r="L227" s="33" t="n"/>
    </row>
    <row r="228">
      <c r="A228" t="inlineStr">
        <is>
          <t>CLM511616</t>
        </is>
      </c>
      <c r="B228" t="inlineStr">
        <is>
          <t>ENC111616</t>
        </is>
      </c>
      <c r="C228" t="inlineStr">
        <is>
          <t>State Medicaid</t>
        </is>
      </c>
      <c r="D228" t="inlineStr">
        <is>
          <t>Inpatient</t>
        </is>
      </c>
      <c r="E228" s="29" t="n">
        <v>45687</v>
      </c>
      <c r="F228" s="29" t="n">
        <v>45699</v>
      </c>
      <c r="G228" s="31" t="n">
        <v>20968.11</v>
      </c>
      <c r="H228" s="31" t="n">
        <v>0</v>
      </c>
      <c r="I228" t="inlineStr">
        <is>
          <t>Denied</t>
        </is>
      </c>
      <c r="J228" t="inlineStr">
        <is>
          <t>Authorization Required</t>
        </is>
      </c>
      <c r="L228" s="33" t="n"/>
    </row>
    <row r="229">
      <c r="A229" t="inlineStr">
        <is>
          <t>CLM511626</t>
        </is>
      </c>
      <c r="B229" t="inlineStr">
        <is>
          <t>ENC111626</t>
        </is>
      </c>
      <c r="C229" t="inlineStr">
        <is>
          <t>Silverline Medicare Advantage</t>
        </is>
      </c>
      <c r="D229" t="inlineStr">
        <is>
          <t>Emergency</t>
        </is>
      </c>
      <c r="E229" s="29" t="n">
        <v>45683</v>
      </c>
      <c r="F229" s="29" t="n">
        <v>45684</v>
      </c>
      <c r="G229" s="31" t="n">
        <v>1180.51</v>
      </c>
      <c r="H229" s="31" t="n">
        <v>385.11</v>
      </c>
      <c r="I229" t="inlineStr">
        <is>
          <t>Paid</t>
        </is>
      </c>
      <c r="K229" s="29" t="n">
        <v>45722</v>
      </c>
      <c r="L229" s="33" t="n"/>
    </row>
    <row r="230">
      <c r="A230" t="inlineStr">
        <is>
          <t>CLM511636</t>
        </is>
      </c>
      <c r="B230" t="inlineStr">
        <is>
          <t>ENC111636</t>
        </is>
      </c>
      <c r="C230" t="inlineStr">
        <is>
          <t>Keystone Health Partners</t>
        </is>
      </c>
      <c r="D230" t="inlineStr">
        <is>
          <t>Inpatient</t>
        </is>
      </c>
      <c r="E230" s="29" t="n">
        <v>45689</v>
      </c>
      <c r="F230" s="29" t="n">
        <v>45695</v>
      </c>
      <c r="G230" s="31" t="n">
        <v>20737.87</v>
      </c>
      <c r="H230" s="31" t="n">
        <v>0</v>
      </c>
      <c r="I230" t="inlineStr">
        <is>
          <t>Denied</t>
        </is>
      </c>
      <c r="J230" t="inlineStr">
        <is>
          <t>Medical Necessity</t>
        </is>
      </c>
      <c r="L230" s="33" t="n"/>
    </row>
    <row r="231">
      <c r="A231" t="inlineStr">
        <is>
          <t>CLM511637</t>
        </is>
      </c>
      <c r="B231" t="inlineStr">
        <is>
          <t>ENC111637</t>
        </is>
      </c>
      <c r="C231" t="inlineStr">
        <is>
          <t>State Medicaid</t>
        </is>
      </c>
      <c r="D231" t="inlineStr">
        <is>
          <t>Emergency</t>
        </is>
      </c>
      <c r="E231" s="29" t="n">
        <v>45683</v>
      </c>
      <c r="F231" s="29" t="n">
        <v>45688</v>
      </c>
      <c r="G231" s="31" t="n">
        <v>3777.66</v>
      </c>
      <c r="H231" s="31" t="n">
        <v>0</v>
      </c>
      <c r="I231" t="inlineStr">
        <is>
          <t>Denied</t>
        </is>
      </c>
      <c r="J231" t="inlineStr">
        <is>
          <t>Missing Documentation</t>
        </is>
      </c>
      <c r="L231" s="33" t="n"/>
    </row>
    <row r="232">
      <c r="A232" t="inlineStr">
        <is>
          <t>CLM511641</t>
        </is>
      </c>
      <c r="B232" t="inlineStr">
        <is>
          <t>ENC111641</t>
        </is>
      </c>
      <c r="C232" t="inlineStr">
        <is>
          <t>State Medicaid</t>
        </is>
      </c>
      <c r="D232" t="inlineStr">
        <is>
          <t>Emergency</t>
        </is>
      </c>
      <c r="E232" s="29" t="n">
        <v>45684</v>
      </c>
      <c r="F232" s="29" t="n">
        <v>45686</v>
      </c>
      <c r="G232" s="31" t="n">
        <v>3730.4</v>
      </c>
      <c r="H232" s="31" t="n">
        <v>0</v>
      </c>
      <c r="I232" t="inlineStr">
        <is>
          <t>Denied</t>
        </is>
      </c>
      <c r="J232" t="inlineStr">
        <is>
          <t>Coding Error</t>
        </is>
      </c>
      <c r="L232" s="33" t="n"/>
    </row>
    <row r="233">
      <c r="A233" t="inlineStr">
        <is>
          <t>CLM511642</t>
        </is>
      </c>
      <c r="B233" t="inlineStr">
        <is>
          <t>ENC111642</t>
        </is>
      </c>
      <c r="C233" t="inlineStr">
        <is>
          <t>Silverline Medicare Advantage</t>
        </is>
      </c>
      <c r="D233" t="inlineStr">
        <is>
          <t>Emergency</t>
        </is>
      </c>
      <c r="E233" s="29" t="n">
        <v>45684</v>
      </c>
      <c r="F233" s="29" t="n">
        <v>45687</v>
      </c>
      <c r="G233" s="31" t="n">
        <v>914.25</v>
      </c>
      <c r="H233" s="31" t="n">
        <v>292.51</v>
      </c>
      <c r="I233" t="inlineStr">
        <is>
          <t>Paid</t>
        </is>
      </c>
      <c r="K233" s="29" t="n">
        <v>45730</v>
      </c>
      <c r="L233" s="33" t="n"/>
    </row>
    <row r="234">
      <c r="A234" t="inlineStr">
        <is>
          <t>CLM511645</t>
        </is>
      </c>
      <c r="B234" t="inlineStr">
        <is>
          <t>ENC111645</t>
        </is>
      </c>
      <c r="C234" t="inlineStr">
        <is>
          <t>State Medicaid</t>
        </is>
      </c>
      <c r="D234" t="inlineStr">
        <is>
          <t>Outpatient</t>
        </is>
      </c>
      <c r="E234" s="29" t="n">
        <v>45684</v>
      </c>
      <c r="F234" s="29" t="n">
        <v>45689</v>
      </c>
      <c r="G234" s="31" t="n">
        <v>464.35</v>
      </c>
      <c r="H234" s="31" t="n">
        <v>109.16</v>
      </c>
      <c r="I234" t="inlineStr">
        <is>
          <t>Paid</t>
        </is>
      </c>
      <c r="K234" s="29" t="n">
        <v>45710</v>
      </c>
      <c r="L234" s="33" t="n"/>
    </row>
    <row r="235">
      <c r="A235" t="inlineStr">
        <is>
          <t>CLM511646</t>
        </is>
      </c>
      <c r="B235" t="inlineStr">
        <is>
          <t>ENC111646</t>
        </is>
      </c>
      <c r="C235" t="inlineStr">
        <is>
          <t>State Medicaid</t>
        </is>
      </c>
      <c r="D235" t="inlineStr">
        <is>
          <t>Emergency</t>
        </is>
      </c>
      <c r="E235" s="29" t="n">
        <v>45684</v>
      </c>
      <c r="F235" s="29" t="n">
        <v>45686</v>
      </c>
      <c r="G235" s="31" t="n">
        <v>3190.66</v>
      </c>
      <c r="H235" s="31" t="n">
        <v>345.34</v>
      </c>
      <c r="I235" t="inlineStr">
        <is>
          <t>Partially Paid</t>
        </is>
      </c>
      <c r="J235" t="inlineStr">
        <is>
          <t>Medical Necessity</t>
        </is>
      </c>
      <c r="K235" s="29" t="n">
        <v>45730</v>
      </c>
      <c r="L235" s="33" t="n"/>
    </row>
    <row r="236">
      <c r="A236" t="inlineStr">
        <is>
          <t>CLM511651</t>
        </is>
      </c>
      <c r="B236" t="inlineStr">
        <is>
          <t>ENC111651</t>
        </is>
      </c>
      <c r="C236" t="inlineStr">
        <is>
          <t>Silverline Medicare Advantage</t>
        </is>
      </c>
      <c r="D236" t="inlineStr">
        <is>
          <t>Outpatient</t>
        </is>
      </c>
      <c r="E236" s="29" t="n">
        <v>45684</v>
      </c>
      <c r="F236" s="29" t="n">
        <v>45689</v>
      </c>
      <c r="G236" s="31" t="n">
        <v>225.61</v>
      </c>
      <c r="H236" s="31" t="n">
        <v>72.51000000000001</v>
      </c>
      <c r="I236" t="inlineStr">
        <is>
          <t>Paid</t>
        </is>
      </c>
      <c r="K236" s="29" t="n">
        <v>45717</v>
      </c>
      <c r="L236" s="33" t="n"/>
    </row>
    <row r="237">
      <c r="A237" t="inlineStr">
        <is>
          <t>CLM511655</t>
        </is>
      </c>
      <c r="B237" t="inlineStr">
        <is>
          <t>ENC111655</t>
        </is>
      </c>
      <c r="C237" t="inlineStr">
        <is>
          <t>Medicare</t>
        </is>
      </c>
      <c r="D237" t="inlineStr">
        <is>
          <t>Outpatient</t>
        </is>
      </c>
      <c r="E237" s="29" t="n">
        <v>45684</v>
      </c>
      <c r="F237" s="29" t="n">
        <v>45690</v>
      </c>
      <c r="G237" s="31" t="n">
        <v>409.24</v>
      </c>
      <c r="H237" s="31" t="n">
        <v>119.72</v>
      </c>
      <c r="I237" t="inlineStr">
        <is>
          <t>Paid</t>
        </is>
      </c>
      <c r="K237" s="29" t="n">
        <v>45703</v>
      </c>
      <c r="L237" s="33" t="n"/>
    </row>
    <row r="238">
      <c r="A238" t="inlineStr">
        <is>
          <t>CLM511685</t>
        </is>
      </c>
      <c r="B238" t="inlineStr">
        <is>
          <t>ENC111685</t>
        </is>
      </c>
      <c r="C238" t="inlineStr">
        <is>
          <t>Summit Choice PPO</t>
        </is>
      </c>
      <c r="D238" t="inlineStr">
        <is>
          <t>Emergency</t>
        </is>
      </c>
      <c r="E238" s="29" t="n">
        <v>45684</v>
      </c>
      <c r="F238" s="29" t="n">
        <v>45688</v>
      </c>
      <c r="G238" s="31" t="n">
        <v>1476.24</v>
      </c>
      <c r="H238" s="31" t="n">
        <v>603.96</v>
      </c>
      <c r="I238" t="inlineStr">
        <is>
          <t>Paid</t>
        </is>
      </c>
      <c r="K238" s="29" t="n">
        <v>45712</v>
      </c>
      <c r="L238" s="33" t="n"/>
    </row>
    <row r="239">
      <c r="A239" t="inlineStr">
        <is>
          <t>CLM511686</t>
        </is>
      </c>
      <c r="B239" t="inlineStr">
        <is>
          <t>ENC111686</t>
        </is>
      </c>
      <c r="C239" t="inlineStr">
        <is>
          <t>Medicare</t>
        </is>
      </c>
      <c r="D239" t="inlineStr">
        <is>
          <t>Emergency</t>
        </is>
      </c>
      <c r="E239" s="29" t="n">
        <v>45685</v>
      </c>
      <c r="F239" s="29" t="n">
        <v>45686</v>
      </c>
      <c r="G239" s="31" t="n">
        <v>1351.53</v>
      </c>
      <c r="H239" s="31" t="n">
        <v>333.84</v>
      </c>
      <c r="I239" t="inlineStr">
        <is>
          <t>Paid</t>
        </is>
      </c>
      <c r="K239" s="29" t="n">
        <v>45698</v>
      </c>
      <c r="L239" s="33" t="n"/>
    </row>
    <row r="240">
      <c r="A240" t="inlineStr">
        <is>
          <t>CLM511690</t>
        </is>
      </c>
      <c r="B240" t="inlineStr">
        <is>
          <t>ENC111690</t>
        </is>
      </c>
      <c r="C240" t="inlineStr">
        <is>
          <t>Medicare</t>
        </is>
      </c>
      <c r="D240" t="inlineStr">
        <is>
          <t>Outpatient</t>
        </is>
      </c>
      <c r="E240" s="29" t="n">
        <v>45685</v>
      </c>
      <c r="F240" s="29" t="n">
        <v>45687</v>
      </c>
      <c r="G240" s="31" t="n">
        <v>380.08</v>
      </c>
      <c r="H240" s="31" t="n">
        <v>100.94</v>
      </c>
      <c r="I240" t="inlineStr">
        <is>
          <t>Paid</t>
        </is>
      </c>
      <c r="K240" s="29" t="n">
        <v>45705</v>
      </c>
      <c r="L240" s="33" t="n"/>
    </row>
    <row r="241">
      <c r="A241" t="inlineStr">
        <is>
          <t>CLM511693</t>
        </is>
      </c>
      <c r="B241" t="inlineStr">
        <is>
          <t>ENC111693</t>
        </is>
      </c>
      <c r="C241" t="inlineStr">
        <is>
          <t>Summit Choice PPO</t>
        </is>
      </c>
      <c r="D241" t="inlineStr">
        <is>
          <t>Outpatient</t>
        </is>
      </c>
      <c r="E241" s="29" t="n">
        <v>45685</v>
      </c>
      <c r="F241" s="29" t="n">
        <v>45687</v>
      </c>
      <c r="G241" s="31" t="n">
        <v>95.42</v>
      </c>
      <c r="H241" s="31" t="n">
        <v>46.85</v>
      </c>
      <c r="I241" t="inlineStr">
        <is>
          <t>Paid</t>
        </is>
      </c>
      <c r="K241" s="29" t="n">
        <v>45720</v>
      </c>
      <c r="L241" s="33" t="n"/>
    </row>
    <row r="242">
      <c r="A242" t="inlineStr">
        <is>
          <t>CLM511694</t>
        </is>
      </c>
      <c r="B242" t="inlineStr">
        <is>
          <t>ENC111694</t>
        </is>
      </c>
      <c r="C242" t="inlineStr">
        <is>
          <t>Medicare</t>
        </is>
      </c>
      <c r="D242" t="inlineStr">
        <is>
          <t>Inpatient</t>
        </is>
      </c>
      <c r="E242" s="29" t="n">
        <v>45689</v>
      </c>
      <c r="F242" s="29" t="n">
        <v>45697</v>
      </c>
      <c r="G242" s="31" t="n">
        <v>24181.77</v>
      </c>
      <c r="H242" s="31" t="n">
        <v>7453.52</v>
      </c>
      <c r="I242" t="inlineStr">
        <is>
          <t>Paid</t>
        </is>
      </c>
      <c r="K242" s="29" t="n">
        <v>45708</v>
      </c>
      <c r="L242" s="33" t="n"/>
    </row>
    <row r="243">
      <c r="A243" t="inlineStr">
        <is>
          <t>CLM511699</t>
        </is>
      </c>
      <c r="B243" t="inlineStr">
        <is>
          <t>ENC111699</t>
        </is>
      </c>
      <c r="C243" t="inlineStr">
        <is>
          <t>Keystone Health Partners</t>
        </is>
      </c>
      <c r="D243" t="inlineStr">
        <is>
          <t>Outpatient</t>
        </is>
      </c>
      <c r="E243" s="29" t="n">
        <v>45685</v>
      </c>
      <c r="F243" s="29" t="n">
        <v>45689</v>
      </c>
      <c r="G243" s="31" t="n">
        <v>407.35</v>
      </c>
      <c r="H243" s="31" t="n">
        <v>0</v>
      </c>
      <c r="I243" t="inlineStr">
        <is>
          <t>Denied</t>
        </is>
      </c>
      <c r="J243" t="inlineStr">
        <is>
          <t>Missing Documentation</t>
        </is>
      </c>
      <c r="L243" s="33" t="n"/>
    </row>
    <row r="244">
      <c r="A244" t="inlineStr">
        <is>
          <t>CLM511705</t>
        </is>
      </c>
      <c r="B244" t="inlineStr">
        <is>
          <t>ENC111705</t>
        </is>
      </c>
      <c r="C244" t="inlineStr">
        <is>
          <t>Keystone Health Partners</t>
        </is>
      </c>
      <c r="D244" t="inlineStr">
        <is>
          <t>Emergency</t>
        </is>
      </c>
      <c r="E244" s="29" t="n">
        <v>45685</v>
      </c>
      <c r="F244" s="29" t="n">
        <v>45695</v>
      </c>
      <c r="G244" s="31" t="n">
        <v>2221.33</v>
      </c>
      <c r="H244" s="31" t="n">
        <v>1062.06</v>
      </c>
      <c r="I244" t="inlineStr">
        <is>
          <t>Paid</t>
        </is>
      </c>
      <c r="K244" s="29" t="n">
        <v>45729</v>
      </c>
      <c r="L244" s="33" t="n"/>
    </row>
    <row r="245">
      <c r="A245" t="inlineStr">
        <is>
          <t>CLM511711</t>
        </is>
      </c>
      <c r="B245" t="inlineStr">
        <is>
          <t>ENC111711</t>
        </is>
      </c>
      <c r="C245" t="inlineStr">
        <is>
          <t>Medicare</t>
        </is>
      </c>
      <c r="D245" t="inlineStr">
        <is>
          <t>Inpatient</t>
        </is>
      </c>
      <c r="E245" s="29" t="n">
        <v>45691</v>
      </c>
      <c r="F245" s="29" t="n">
        <v>45700</v>
      </c>
      <c r="G245" s="31" t="n">
        <v>29465.44</v>
      </c>
      <c r="H245" s="31" t="n">
        <v>8968.469999999999</v>
      </c>
      <c r="I245" t="inlineStr">
        <is>
          <t>Paid</t>
        </is>
      </c>
      <c r="K245" s="29" t="n">
        <v>45715</v>
      </c>
      <c r="L245" s="33" t="n"/>
    </row>
    <row r="246">
      <c r="A246" t="inlineStr">
        <is>
          <t>CLM511712</t>
        </is>
      </c>
      <c r="B246" t="inlineStr">
        <is>
          <t>ENC111712</t>
        </is>
      </c>
      <c r="C246" t="inlineStr">
        <is>
          <t>Silverline Medicare Advantage</t>
        </is>
      </c>
      <c r="D246" t="inlineStr">
        <is>
          <t>Emergency</t>
        </is>
      </c>
      <c r="E246" s="29" t="n">
        <v>45685</v>
      </c>
      <c r="F246" s="29" t="n">
        <v>45689</v>
      </c>
      <c r="G246" s="31" t="n">
        <v>2748.75</v>
      </c>
      <c r="H246" s="31" t="n">
        <v>724.03</v>
      </c>
      <c r="I246" t="inlineStr">
        <is>
          <t>Paid</t>
        </is>
      </c>
      <c r="K246" s="29" t="n">
        <v>45719</v>
      </c>
      <c r="L246" s="33" t="n"/>
    </row>
    <row r="247">
      <c r="A247" t="inlineStr">
        <is>
          <t>CLM511713</t>
        </is>
      </c>
      <c r="B247" t="inlineStr">
        <is>
          <t>ENC111713</t>
        </is>
      </c>
      <c r="C247" t="inlineStr">
        <is>
          <t>State Medicaid</t>
        </is>
      </c>
      <c r="D247" t="inlineStr">
        <is>
          <t>Emergency</t>
        </is>
      </c>
      <c r="E247" s="29" t="n">
        <v>45685</v>
      </c>
      <c r="F247" s="29" t="n">
        <v>45690</v>
      </c>
      <c r="G247" s="31" t="n">
        <v>2934.1</v>
      </c>
      <c r="H247" s="31" t="n">
        <v>676.35</v>
      </c>
      <c r="I247" t="inlineStr">
        <is>
          <t>Paid</t>
        </is>
      </c>
      <c r="K247" s="29" t="n">
        <v>45739</v>
      </c>
      <c r="L247" s="33" t="n"/>
    </row>
    <row r="248">
      <c r="A248" t="inlineStr">
        <is>
          <t>CLM511714</t>
        </is>
      </c>
      <c r="B248" t="inlineStr">
        <is>
          <t>ENC111714</t>
        </is>
      </c>
      <c r="C248" t="inlineStr">
        <is>
          <t>Keystone Health Partners</t>
        </is>
      </c>
      <c r="D248" t="inlineStr">
        <is>
          <t>Emergency</t>
        </is>
      </c>
      <c r="E248" s="29" t="n">
        <v>45685</v>
      </c>
      <c r="F248" s="29" t="n">
        <v>45689</v>
      </c>
      <c r="G248" s="31" t="n">
        <v>1465.18</v>
      </c>
      <c r="H248" s="31" t="n">
        <v>701.02</v>
      </c>
      <c r="I248" t="inlineStr">
        <is>
          <t>Paid</t>
        </is>
      </c>
      <c r="K248" s="29" t="n">
        <v>45727</v>
      </c>
      <c r="L248" s="33" t="n"/>
    </row>
    <row r="249">
      <c r="A249" t="inlineStr">
        <is>
          <t>CLM511717</t>
        </is>
      </c>
      <c r="B249" t="inlineStr">
        <is>
          <t>ENC111717</t>
        </is>
      </c>
      <c r="C249" t="inlineStr">
        <is>
          <t>Silverline Medicare Advantage</t>
        </is>
      </c>
      <c r="D249" t="inlineStr">
        <is>
          <t>Emergency</t>
        </is>
      </c>
      <c r="E249" s="29" t="n">
        <v>45686</v>
      </c>
      <c r="F249" s="29" t="n">
        <v>45688</v>
      </c>
      <c r="G249" s="31" t="n">
        <v>3020.42</v>
      </c>
      <c r="H249" s="31" t="n">
        <v>876.95</v>
      </c>
      <c r="I249" t="inlineStr">
        <is>
          <t>Paid</t>
        </is>
      </c>
      <c r="K249" s="29" t="n">
        <v>45716</v>
      </c>
      <c r="L249" s="33" t="n"/>
    </row>
    <row r="250">
      <c r="A250" t="inlineStr">
        <is>
          <t>CLM511718</t>
        </is>
      </c>
      <c r="B250" t="inlineStr">
        <is>
          <t>ENC111718</t>
        </is>
      </c>
      <c r="C250" t="inlineStr">
        <is>
          <t>Medicare</t>
        </is>
      </c>
      <c r="D250" t="inlineStr">
        <is>
          <t>Observation</t>
        </is>
      </c>
      <c r="E250" s="29" t="n">
        <v>45686</v>
      </c>
      <c r="F250" s="29" t="n">
        <v>45691</v>
      </c>
      <c r="G250" s="31" t="n">
        <v>5793.54</v>
      </c>
      <c r="H250" s="31" t="n">
        <v>1453.45</v>
      </c>
      <c r="I250" t="inlineStr">
        <is>
          <t>Partially Paid</t>
        </is>
      </c>
      <c r="J250" t="inlineStr">
        <is>
          <t>Medical Necessity</t>
        </is>
      </c>
      <c r="K250" s="29" t="n">
        <v>45702</v>
      </c>
      <c r="L250" s="33" t="n"/>
    </row>
    <row r="251">
      <c r="A251" t="inlineStr">
        <is>
          <t>CLM511724</t>
        </is>
      </c>
      <c r="B251" t="inlineStr">
        <is>
          <t>ENC111724</t>
        </is>
      </c>
      <c r="C251" t="inlineStr">
        <is>
          <t>Summit Choice PPO</t>
        </is>
      </c>
      <c r="D251" t="inlineStr">
        <is>
          <t>Inpatient</t>
        </is>
      </c>
      <c r="E251" s="29" t="n">
        <v>45688</v>
      </c>
      <c r="F251" s="29" t="n">
        <v>45691</v>
      </c>
      <c r="G251" s="31" t="n">
        <v>12667.36</v>
      </c>
      <c r="H251" s="31" t="n">
        <v>6475.88</v>
      </c>
      <c r="I251" t="inlineStr">
        <is>
          <t>Paid</t>
        </is>
      </c>
      <c r="K251" s="29" t="n">
        <v>45707</v>
      </c>
      <c r="L251" s="33" t="n"/>
    </row>
    <row r="252">
      <c r="A252" t="inlineStr">
        <is>
          <t>CLM511727</t>
        </is>
      </c>
      <c r="B252" t="inlineStr">
        <is>
          <t>ENC111727</t>
        </is>
      </c>
      <c r="C252" t="inlineStr">
        <is>
          <t>Silverline Medicare Advantage</t>
        </is>
      </c>
      <c r="D252" t="inlineStr">
        <is>
          <t>Inpatient</t>
        </is>
      </c>
      <c r="E252" s="29" t="n">
        <v>45691</v>
      </c>
      <c r="F252" s="29" t="n">
        <v>45698</v>
      </c>
      <c r="G252" s="31" t="n">
        <v>54330.53</v>
      </c>
      <c r="H252" s="31" t="n">
        <v>18916.1</v>
      </c>
      <c r="I252" t="inlineStr">
        <is>
          <t>Paid</t>
        </is>
      </c>
      <c r="K252" s="29" t="n">
        <v>45710</v>
      </c>
      <c r="L252" s="33" t="n"/>
    </row>
    <row r="253">
      <c r="A253" t="inlineStr">
        <is>
          <t>CLM511730</t>
        </is>
      </c>
      <c r="B253" t="inlineStr">
        <is>
          <t>ENC111730</t>
        </is>
      </c>
      <c r="C253" t="inlineStr">
        <is>
          <t>State Medicaid</t>
        </is>
      </c>
      <c r="D253" t="inlineStr">
        <is>
          <t>Outpatient</t>
        </is>
      </c>
      <c r="E253" s="29" t="n">
        <v>45686</v>
      </c>
      <c r="F253" s="29" t="n">
        <v>45689</v>
      </c>
      <c r="G253" s="31" t="n">
        <v>470.18</v>
      </c>
      <c r="H253" s="31" t="n">
        <v>123.49</v>
      </c>
      <c r="I253" t="inlineStr">
        <is>
          <t>Paid</t>
        </is>
      </c>
      <c r="K253" s="29" t="n">
        <v>45744</v>
      </c>
      <c r="L253" s="33" t="n"/>
    </row>
    <row r="254">
      <c r="A254" t="inlineStr">
        <is>
          <t>CLM511745</t>
        </is>
      </c>
      <c r="B254" t="inlineStr">
        <is>
          <t>ENC111745</t>
        </is>
      </c>
      <c r="C254" t="inlineStr">
        <is>
          <t>Evergreen Mutual Insurance</t>
        </is>
      </c>
      <c r="D254" t="inlineStr">
        <is>
          <t>Outpatient</t>
        </is>
      </c>
      <c r="E254" s="29" t="n">
        <v>45686</v>
      </c>
      <c r="F254" s="29" t="n">
        <v>45691</v>
      </c>
      <c r="G254" s="31" t="n">
        <v>361.27</v>
      </c>
      <c r="H254" s="31" t="n">
        <v>148.95</v>
      </c>
      <c r="I254" t="inlineStr">
        <is>
          <t>Paid</t>
        </is>
      </c>
      <c r="K254" s="29" t="n">
        <v>45732</v>
      </c>
      <c r="L254" s="33" t="n"/>
    </row>
    <row r="255">
      <c r="A255" t="inlineStr">
        <is>
          <t>CLM511746</t>
        </is>
      </c>
      <c r="B255" t="inlineStr">
        <is>
          <t>ENC111746</t>
        </is>
      </c>
      <c r="C255" t="inlineStr">
        <is>
          <t>State Medicaid</t>
        </is>
      </c>
      <c r="D255" t="inlineStr">
        <is>
          <t>Emergency</t>
        </is>
      </c>
      <c r="E255" s="29" t="n">
        <v>45686</v>
      </c>
      <c r="F255" s="29" t="n">
        <v>45690</v>
      </c>
      <c r="G255" s="31" t="n">
        <v>1162.69</v>
      </c>
      <c r="H255" s="31" t="n">
        <v>239.76</v>
      </c>
      <c r="I255" t="inlineStr">
        <is>
          <t>Paid</t>
        </is>
      </c>
      <c r="K255" s="29" t="n">
        <v>45731</v>
      </c>
      <c r="L255" s="33" t="n"/>
    </row>
    <row r="256">
      <c r="A256" t="inlineStr">
        <is>
          <t>CLM511751</t>
        </is>
      </c>
      <c r="B256" t="inlineStr">
        <is>
          <t>ENC111751</t>
        </is>
      </c>
      <c r="C256" t="inlineStr">
        <is>
          <t>Self-Pay</t>
        </is>
      </c>
      <c r="D256" t="inlineStr">
        <is>
          <t>Emergency</t>
        </is>
      </c>
      <c r="E256" s="29" t="n">
        <v>45686</v>
      </c>
      <c r="F256" s="29" t="n">
        <v>45695</v>
      </c>
      <c r="G256" s="31" t="n">
        <v>3918.95</v>
      </c>
      <c r="H256" s="31" t="n">
        <v>0</v>
      </c>
      <c r="I256" t="inlineStr">
        <is>
          <t>Pending</t>
        </is>
      </c>
      <c r="L256" s="33" t="n"/>
    </row>
    <row r="257">
      <c r="A257" t="inlineStr">
        <is>
          <t>CLM511752</t>
        </is>
      </c>
      <c r="B257" t="inlineStr">
        <is>
          <t>ENC111752</t>
        </is>
      </c>
      <c r="C257" t="inlineStr">
        <is>
          <t>Medicare</t>
        </is>
      </c>
      <c r="D257" t="inlineStr">
        <is>
          <t>Emergency</t>
        </is>
      </c>
      <c r="E257" s="29" t="n">
        <v>45686</v>
      </c>
      <c r="F257" s="29" t="n">
        <v>45689</v>
      </c>
      <c r="G257" s="31" t="n">
        <v>2292.32</v>
      </c>
      <c r="H257" s="31" t="n">
        <v>631.96</v>
      </c>
      <c r="I257" t="inlineStr">
        <is>
          <t>Paid</t>
        </is>
      </c>
      <c r="K257" s="29" t="n">
        <v>45700</v>
      </c>
      <c r="L257" s="33" t="n"/>
    </row>
    <row r="258">
      <c r="A258" t="inlineStr">
        <is>
          <t>CLM511761</t>
        </is>
      </c>
      <c r="B258" t="inlineStr">
        <is>
          <t>ENC111761</t>
        </is>
      </c>
      <c r="C258" t="inlineStr">
        <is>
          <t>Medicare</t>
        </is>
      </c>
      <c r="D258" t="inlineStr">
        <is>
          <t>Outpatient</t>
        </is>
      </c>
      <c r="E258" s="29" t="n">
        <v>45686</v>
      </c>
      <c r="F258" s="29" t="n">
        <v>45691</v>
      </c>
      <c r="G258" s="31" t="n">
        <v>355.24</v>
      </c>
      <c r="H258" s="31" t="n">
        <v>80.16</v>
      </c>
      <c r="I258" t="inlineStr">
        <is>
          <t>Paid</t>
        </is>
      </c>
      <c r="K258" s="29" t="n">
        <v>45713</v>
      </c>
      <c r="L258" s="33" t="n"/>
    </row>
    <row r="259">
      <c r="A259" t="inlineStr">
        <is>
          <t>CLM511762</t>
        </is>
      </c>
      <c r="B259" t="inlineStr">
        <is>
          <t>ENC111762</t>
        </is>
      </c>
      <c r="C259" t="inlineStr">
        <is>
          <t>Keystone Health Partners</t>
        </is>
      </c>
      <c r="D259" t="inlineStr">
        <is>
          <t>Inpatient</t>
        </is>
      </c>
      <c r="E259" s="29" t="n">
        <v>45697</v>
      </c>
      <c r="F259" s="29" t="n">
        <v>45701</v>
      </c>
      <c r="G259" s="31" t="n">
        <v>124174.61</v>
      </c>
      <c r="H259" s="31" t="n">
        <v>63940.27</v>
      </c>
      <c r="I259" t="inlineStr">
        <is>
          <t>Paid</t>
        </is>
      </c>
      <c r="K259" s="29" t="n">
        <v>45719</v>
      </c>
      <c r="L259" s="33" t="n"/>
    </row>
    <row r="260">
      <c r="A260" t="inlineStr">
        <is>
          <t>CLM511765</t>
        </is>
      </c>
      <c r="B260" t="inlineStr">
        <is>
          <t>ENC111765</t>
        </is>
      </c>
      <c r="C260" t="inlineStr">
        <is>
          <t>State Medicaid</t>
        </is>
      </c>
      <c r="D260" t="inlineStr">
        <is>
          <t>Emergency</t>
        </is>
      </c>
      <c r="E260" s="29" t="n">
        <v>45686</v>
      </c>
      <c r="F260" s="29" t="n">
        <v>45696</v>
      </c>
      <c r="G260" s="31" t="n">
        <v>1387.76</v>
      </c>
      <c r="H260" s="31" t="n">
        <v>335.32</v>
      </c>
      <c r="I260" t="inlineStr">
        <is>
          <t>Paid</t>
        </is>
      </c>
      <c r="K260" s="29" t="n">
        <v>45756</v>
      </c>
      <c r="L260" s="33" t="n"/>
    </row>
    <row r="261">
      <c r="A261" t="inlineStr">
        <is>
          <t>CLM511766</t>
        </is>
      </c>
      <c r="B261" t="inlineStr">
        <is>
          <t>ENC111766</t>
        </is>
      </c>
      <c r="C261" t="inlineStr">
        <is>
          <t>Silverline Medicare Advantage</t>
        </is>
      </c>
      <c r="D261" t="inlineStr">
        <is>
          <t>Inpatient</t>
        </is>
      </c>
      <c r="E261" s="29" t="n">
        <v>45690</v>
      </c>
      <c r="F261" s="29" t="n">
        <v>45694</v>
      </c>
      <c r="G261" s="31" t="n">
        <v>18554.49</v>
      </c>
      <c r="H261" s="31" t="n">
        <v>0</v>
      </c>
      <c r="I261" t="inlineStr">
        <is>
          <t>Appealed</t>
        </is>
      </c>
      <c r="J261" t="inlineStr">
        <is>
          <t>Authorization Required</t>
        </is>
      </c>
      <c r="L261" s="33" t="n"/>
    </row>
    <row r="262">
      <c r="A262" t="inlineStr">
        <is>
          <t>CLM511769</t>
        </is>
      </c>
      <c r="B262" t="inlineStr">
        <is>
          <t>ENC111769</t>
        </is>
      </c>
      <c r="C262" t="inlineStr">
        <is>
          <t>State Medicaid</t>
        </is>
      </c>
      <c r="D262" t="inlineStr">
        <is>
          <t>Observation</t>
        </is>
      </c>
      <c r="E262" s="29" t="n">
        <v>45688</v>
      </c>
      <c r="F262" s="29" t="n">
        <v>45697</v>
      </c>
      <c r="G262" s="31" t="n">
        <v>12704.55</v>
      </c>
      <c r="H262" s="31" t="n">
        <v>2684.57</v>
      </c>
      <c r="I262" t="inlineStr">
        <is>
          <t>Paid</t>
        </is>
      </c>
      <c r="K262" s="29" t="n">
        <v>45748</v>
      </c>
      <c r="L262" s="33" t="n"/>
    </row>
    <row r="263">
      <c r="A263" t="inlineStr">
        <is>
          <t>CLM511770</t>
        </is>
      </c>
      <c r="B263" t="inlineStr">
        <is>
          <t>ENC111770</t>
        </is>
      </c>
      <c r="C263" t="inlineStr">
        <is>
          <t>Evergreen Mutual Insurance</t>
        </is>
      </c>
      <c r="D263" t="inlineStr">
        <is>
          <t>Inpatient</t>
        </is>
      </c>
      <c r="E263" s="29" t="n">
        <v>45693</v>
      </c>
      <c r="F263" s="29" t="n">
        <v>45701</v>
      </c>
      <c r="G263" s="31" t="n">
        <v>28824.77</v>
      </c>
      <c r="H263" s="31" t="n">
        <v>9887.709999999999</v>
      </c>
      <c r="I263" t="inlineStr">
        <is>
          <t>Partially Paid</t>
        </is>
      </c>
      <c r="J263" t="inlineStr">
        <is>
          <t>Coding Error</t>
        </is>
      </c>
      <c r="K263" s="29" t="n">
        <v>45742</v>
      </c>
      <c r="L263" s="33" t="n"/>
    </row>
    <row r="264">
      <c r="A264" t="inlineStr">
        <is>
          <t>CLM511772</t>
        </is>
      </c>
      <c r="B264" t="inlineStr">
        <is>
          <t>ENC111772</t>
        </is>
      </c>
      <c r="C264" t="inlineStr">
        <is>
          <t>Medicare</t>
        </is>
      </c>
      <c r="D264" t="inlineStr">
        <is>
          <t>Emergency</t>
        </is>
      </c>
      <c r="E264" s="29" t="n">
        <v>45687</v>
      </c>
      <c r="F264" s="29" t="n">
        <v>45692</v>
      </c>
      <c r="G264" s="31" t="n">
        <v>2736.7</v>
      </c>
      <c r="H264" s="31" t="n">
        <v>879.97</v>
      </c>
      <c r="I264" t="inlineStr">
        <is>
          <t>Paid</t>
        </is>
      </c>
      <c r="K264" s="29" t="n">
        <v>45715</v>
      </c>
      <c r="L264" s="33" t="n"/>
    </row>
    <row r="265">
      <c r="A265" t="inlineStr">
        <is>
          <t>CLM511773</t>
        </is>
      </c>
      <c r="B265" t="inlineStr">
        <is>
          <t>ENC111773</t>
        </is>
      </c>
      <c r="C265" t="inlineStr">
        <is>
          <t>State Medicaid</t>
        </is>
      </c>
      <c r="D265" t="inlineStr">
        <is>
          <t>Inpatient</t>
        </is>
      </c>
      <c r="E265" s="29" t="n">
        <v>45689</v>
      </c>
      <c r="F265" s="29" t="n">
        <v>45692</v>
      </c>
      <c r="G265" s="31" t="n">
        <v>11365.56</v>
      </c>
      <c r="H265" s="31" t="n">
        <v>0</v>
      </c>
      <c r="I265" t="inlineStr">
        <is>
          <t>Denied</t>
        </is>
      </c>
      <c r="J265" t="inlineStr">
        <is>
          <t>Missing Documentation</t>
        </is>
      </c>
      <c r="L265" s="33" t="n"/>
    </row>
    <row r="266">
      <c r="A266" t="inlineStr">
        <is>
          <t>CLM511779</t>
        </is>
      </c>
      <c r="B266" t="inlineStr">
        <is>
          <t>ENC111779</t>
        </is>
      </c>
      <c r="C266" t="inlineStr">
        <is>
          <t>Silverline Medicare Advantage</t>
        </is>
      </c>
      <c r="D266" t="inlineStr">
        <is>
          <t>Inpatient</t>
        </is>
      </c>
      <c r="E266" s="29" t="n">
        <v>45691</v>
      </c>
      <c r="F266" s="29" t="n">
        <v>45692</v>
      </c>
      <c r="G266" s="31" t="n">
        <v>22109.66</v>
      </c>
      <c r="H266" s="31" t="n">
        <v>7060.01</v>
      </c>
      <c r="I266" t="inlineStr">
        <is>
          <t>Paid</t>
        </is>
      </c>
      <c r="K266" s="29" t="n">
        <v>45719</v>
      </c>
      <c r="L266" s="33" t="n"/>
    </row>
    <row r="267">
      <c r="A267" t="inlineStr">
        <is>
          <t>CLM511780</t>
        </is>
      </c>
      <c r="B267" t="inlineStr">
        <is>
          <t>ENC111780</t>
        </is>
      </c>
      <c r="C267" t="inlineStr">
        <is>
          <t>Silverline Medicare Advantage</t>
        </is>
      </c>
      <c r="D267" t="inlineStr">
        <is>
          <t>Outpatient</t>
        </is>
      </c>
      <c r="E267" s="29" t="n">
        <v>45687</v>
      </c>
      <c r="F267" s="29" t="n">
        <v>45693</v>
      </c>
      <c r="G267" s="31" t="n">
        <v>512.28</v>
      </c>
      <c r="H267" s="31" t="n">
        <v>162.56</v>
      </c>
      <c r="I267" t="inlineStr">
        <is>
          <t>Paid</t>
        </is>
      </c>
      <c r="K267" s="29" t="n">
        <v>45715</v>
      </c>
      <c r="L267" s="33" t="n"/>
    </row>
    <row r="268">
      <c r="A268" t="inlineStr">
        <is>
          <t>CLM511781</t>
        </is>
      </c>
      <c r="B268" t="inlineStr">
        <is>
          <t>ENC111781</t>
        </is>
      </c>
      <c r="C268" t="inlineStr">
        <is>
          <t>Medicare</t>
        </is>
      </c>
      <c r="D268" t="inlineStr">
        <is>
          <t>Outpatient</t>
        </is>
      </c>
      <c r="E268" s="29" t="n">
        <v>45687</v>
      </c>
      <c r="F268" s="29" t="n">
        <v>45694</v>
      </c>
      <c r="G268" s="31" t="n">
        <v>384.48</v>
      </c>
      <c r="H268" s="31" t="n">
        <v>124.8</v>
      </c>
      <c r="I268" t="inlineStr">
        <is>
          <t>Paid</t>
        </is>
      </c>
      <c r="K268" s="29" t="n">
        <v>45716</v>
      </c>
      <c r="L268" s="33" t="n"/>
    </row>
    <row r="269">
      <c r="A269" t="inlineStr">
        <is>
          <t>CLM511782</t>
        </is>
      </c>
      <c r="B269" t="inlineStr">
        <is>
          <t>ENC111782</t>
        </is>
      </c>
      <c r="C269" t="inlineStr">
        <is>
          <t>Medicare</t>
        </is>
      </c>
      <c r="D269" t="inlineStr">
        <is>
          <t>Observation</t>
        </is>
      </c>
      <c r="E269" s="29" t="n">
        <v>45688</v>
      </c>
      <c r="F269" s="29" t="n">
        <v>45691</v>
      </c>
      <c r="G269" s="31" t="n">
        <v>3958.7</v>
      </c>
      <c r="H269" s="31" t="n">
        <v>878.45</v>
      </c>
      <c r="I269" t="inlineStr">
        <is>
          <t>Paid</t>
        </is>
      </c>
      <c r="K269" s="29" t="n">
        <v>45703</v>
      </c>
      <c r="L269" s="33" t="n"/>
    </row>
    <row r="270">
      <c r="A270" t="inlineStr">
        <is>
          <t>CLM511791</t>
        </is>
      </c>
      <c r="B270" t="inlineStr">
        <is>
          <t>ENC111791</t>
        </is>
      </c>
      <c r="C270" t="inlineStr">
        <is>
          <t>Medicare</t>
        </is>
      </c>
      <c r="D270" t="inlineStr">
        <is>
          <t>Inpatient</t>
        </is>
      </c>
      <c r="E270" s="29" t="n">
        <v>45690</v>
      </c>
      <c r="F270" s="29" t="n">
        <v>45698</v>
      </c>
      <c r="G270" s="31" t="n">
        <v>63343.44</v>
      </c>
      <c r="H270" s="31" t="n">
        <v>16985.14</v>
      </c>
      <c r="I270" t="inlineStr">
        <is>
          <t>Paid</t>
        </is>
      </c>
      <c r="K270" s="29" t="n">
        <v>45715</v>
      </c>
      <c r="L270" s="33" t="n"/>
    </row>
    <row r="271">
      <c r="A271" t="inlineStr">
        <is>
          <t>CLM511795</t>
        </is>
      </c>
      <c r="B271" t="inlineStr">
        <is>
          <t>ENC111795</t>
        </is>
      </c>
      <c r="C271" t="inlineStr">
        <is>
          <t>Medicare</t>
        </is>
      </c>
      <c r="D271" t="inlineStr">
        <is>
          <t>Inpatient</t>
        </is>
      </c>
      <c r="E271" s="29" t="n">
        <v>45689</v>
      </c>
      <c r="F271" s="29" t="n">
        <v>45693</v>
      </c>
      <c r="G271" s="31" t="n">
        <v>15894.45</v>
      </c>
      <c r="H271" s="31" t="n">
        <v>4558.65</v>
      </c>
      <c r="I271" t="inlineStr">
        <is>
          <t>Paid</t>
        </is>
      </c>
      <c r="K271" s="29" t="n">
        <v>45708</v>
      </c>
      <c r="L271" s="33" t="n"/>
    </row>
    <row r="272">
      <c r="A272" t="inlineStr">
        <is>
          <t>CLM511803</t>
        </is>
      </c>
      <c r="B272" t="inlineStr">
        <is>
          <t>ENC111803</t>
        </is>
      </c>
      <c r="C272" t="inlineStr">
        <is>
          <t>Silverline Medicare Advantage</t>
        </is>
      </c>
      <c r="D272" t="inlineStr">
        <is>
          <t>Outpatient</t>
        </is>
      </c>
      <c r="E272" s="29" t="n">
        <v>45687</v>
      </c>
      <c r="F272" s="29" t="n">
        <v>45699</v>
      </c>
      <c r="G272" s="31" t="n">
        <v>428.88</v>
      </c>
      <c r="H272" s="31" t="n">
        <v>148.82</v>
      </c>
      <c r="I272" t="inlineStr">
        <is>
          <t>Paid</t>
        </is>
      </c>
      <c r="K272" s="29" t="n">
        <v>45728</v>
      </c>
      <c r="L272" s="33" t="n"/>
    </row>
    <row r="273">
      <c r="A273" t="inlineStr">
        <is>
          <t>CLM511804</t>
        </is>
      </c>
      <c r="B273" t="inlineStr">
        <is>
          <t>ENC111804</t>
        </is>
      </c>
      <c r="C273" t="inlineStr">
        <is>
          <t>Self-Pay</t>
        </is>
      </c>
      <c r="D273" t="inlineStr">
        <is>
          <t>Outpatient</t>
        </is>
      </c>
      <c r="E273" s="29" t="n">
        <v>45687</v>
      </c>
      <c r="F273" s="29" t="n">
        <v>45698</v>
      </c>
      <c r="G273" s="31" t="n">
        <v>325.44</v>
      </c>
      <c r="H273" s="31" t="n">
        <v>32.13</v>
      </c>
      <c r="I273" t="inlineStr">
        <is>
          <t>Partially Paid</t>
        </is>
      </c>
      <c r="K273" s="29" t="n">
        <v>45738</v>
      </c>
      <c r="L273" s="33" t="n"/>
    </row>
    <row r="274">
      <c r="A274" t="inlineStr">
        <is>
          <t>CLM511817</t>
        </is>
      </c>
      <c r="B274" t="inlineStr">
        <is>
          <t>ENC111817</t>
        </is>
      </c>
      <c r="C274" t="inlineStr">
        <is>
          <t>Evergreen Mutual Insurance</t>
        </is>
      </c>
      <c r="D274" t="inlineStr">
        <is>
          <t>Observation</t>
        </is>
      </c>
      <c r="E274" s="29" t="n">
        <v>45689</v>
      </c>
      <c r="F274" s="29" t="n">
        <v>45700</v>
      </c>
      <c r="G274" s="31" t="n">
        <v>9453.77</v>
      </c>
      <c r="H274" s="31" t="n">
        <v>4028.33</v>
      </c>
      <c r="I274" t="inlineStr">
        <is>
          <t>Paid</t>
        </is>
      </c>
      <c r="K274" s="29" t="n">
        <v>45739</v>
      </c>
      <c r="L274" s="33" t="n"/>
    </row>
    <row r="275">
      <c r="A275" t="inlineStr">
        <is>
          <t>CLM511818</t>
        </is>
      </c>
      <c r="B275" t="inlineStr">
        <is>
          <t>ENC111818</t>
        </is>
      </c>
      <c r="C275" t="inlineStr">
        <is>
          <t>Evergreen Mutual Insurance</t>
        </is>
      </c>
      <c r="D275" t="inlineStr">
        <is>
          <t>Inpatient</t>
        </is>
      </c>
      <c r="E275" s="29" t="n">
        <v>45693</v>
      </c>
      <c r="F275" s="29" t="n">
        <v>45700</v>
      </c>
      <c r="G275" s="31" t="n">
        <v>19910.69</v>
      </c>
      <c r="H275" s="31" t="n">
        <v>7883.5</v>
      </c>
      <c r="I275" t="inlineStr">
        <is>
          <t>Paid</t>
        </is>
      </c>
      <c r="K275" s="29" t="n">
        <v>45737</v>
      </c>
      <c r="L275" s="33" t="n"/>
    </row>
    <row r="276">
      <c r="A276" t="inlineStr">
        <is>
          <t>CLM511825</t>
        </is>
      </c>
      <c r="B276" t="inlineStr">
        <is>
          <t>ENC111825</t>
        </is>
      </c>
      <c r="C276" t="inlineStr">
        <is>
          <t>Medicare</t>
        </is>
      </c>
      <c r="D276" t="inlineStr">
        <is>
          <t>Outpatient</t>
        </is>
      </c>
      <c r="E276" s="29" t="n">
        <v>45688</v>
      </c>
      <c r="F276" s="29" t="n">
        <v>45694</v>
      </c>
      <c r="G276" s="31" t="n">
        <v>222.97</v>
      </c>
      <c r="H276" s="31" t="n">
        <v>62.89</v>
      </c>
      <c r="I276" t="inlineStr">
        <is>
          <t>Paid</t>
        </is>
      </c>
      <c r="K276" s="29" t="n">
        <v>45706</v>
      </c>
      <c r="L276" s="33" t="n"/>
    </row>
    <row r="277">
      <c r="A277" t="inlineStr">
        <is>
          <t>CLM511827</t>
        </is>
      </c>
      <c r="B277" t="inlineStr">
        <is>
          <t>ENC111827</t>
        </is>
      </c>
      <c r="C277" t="inlineStr">
        <is>
          <t>Medicare</t>
        </is>
      </c>
      <c r="D277" t="inlineStr">
        <is>
          <t>Observation</t>
        </is>
      </c>
      <c r="E277" s="29" t="n">
        <v>45689</v>
      </c>
      <c r="F277" s="29" t="n">
        <v>45695</v>
      </c>
      <c r="G277" s="31" t="n">
        <v>9726.17</v>
      </c>
      <c r="H277" s="31" t="n">
        <v>2678.71</v>
      </c>
      <c r="I277" t="inlineStr">
        <is>
          <t>Paid</t>
        </is>
      </c>
      <c r="K277" s="29" t="n">
        <v>45709</v>
      </c>
      <c r="L277" s="33" t="n"/>
    </row>
    <row r="278">
      <c r="A278" t="inlineStr">
        <is>
          <t>CLM511829</t>
        </is>
      </c>
      <c r="B278" t="inlineStr">
        <is>
          <t>ENC111829</t>
        </is>
      </c>
      <c r="C278" t="inlineStr">
        <is>
          <t>Medicare</t>
        </is>
      </c>
      <c r="D278" t="inlineStr">
        <is>
          <t>Inpatient</t>
        </is>
      </c>
      <c r="E278" s="29" t="n">
        <v>45690</v>
      </c>
      <c r="F278" s="29" t="n">
        <v>45694</v>
      </c>
      <c r="G278" s="31" t="n">
        <v>9021.43</v>
      </c>
      <c r="H278" s="31" t="n">
        <v>2390.56</v>
      </c>
      <c r="I278" t="inlineStr">
        <is>
          <t>Paid</t>
        </is>
      </c>
      <c r="K278" s="29" t="n">
        <v>45705</v>
      </c>
      <c r="L278" s="33" t="n"/>
    </row>
    <row r="279">
      <c r="A279" t="inlineStr">
        <is>
          <t>CLM511835</t>
        </is>
      </c>
      <c r="B279" t="inlineStr">
        <is>
          <t>ENC111835</t>
        </is>
      </c>
      <c r="C279" t="inlineStr">
        <is>
          <t>Silverline Medicare Advantage</t>
        </is>
      </c>
      <c r="D279" t="inlineStr">
        <is>
          <t>Emergency</t>
        </is>
      </c>
      <c r="E279" s="29" t="n">
        <v>45688</v>
      </c>
      <c r="F279" s="29" t="n">
        <v>45690</v>
      </c>
      <c r="G279" s="31" t="n">
        <v>923.0700000000001</v>
      </c>
      <c r="H279" s="31" t="n">
        <v>292.14</v>
      </c>
      <c r="I279" t="inlineStr">
        <is>
          <t>Paid</t>
        </is>
      </c>
      <c r="K279" s="29" t="n">
        <v>45730</v>
      </c>
      <c r="L279" s="33" t="n"/>
    </row>
    <row r="280">
      <c r="A280" t="inlineStr">
        <is>
          <t>CLM511838</t>
        </is>
      </c>
      <c r="B280" t="inlineStr">
        <is>
          <t>ENC111838</t>
        </is>
      </c>
      <c r="C280" t="inlineStr">
        <is>
          <t>Medicare</t>
        </is>
      </c>
      <c r="D280" t="inlineStr">
        <is>
          <t>Outpatient</t>
        </is>
      </c>
      <c r="E280" s="29" t="n">
        <v>45688</v>
      </c>
      <c r="F280" s="29" t="n">
        <v>45808</v>
      </c>
      <c r="G280" s="31" t="n">
        <v>139.2</v>
      </c>
      <c r="H280" s="31" t="n">
        <v>35.31</v>
      </c>
      <c r="I280" t="inlineStr">
        <is>
          <t>Paid</t>
        </is>
      </c>
      <c r="K280" s="29" t="n">
        <v>45822</v>
      </c>
      <c r="L280" s="33" t="n"/>
    </row>
    <row r="281">
      <c r="A281" t="inlineStr">
        <is>
          <t>CLM511841</t>
        </is>
      </c>
      <c r="B281" t="inlineStr">
        <is>
          <t>ENC111841</t>
        </is>
      </c>
      <c r="C281" t="inlineStr">
        <is>
          <t>Evergreen Mutual Insurance</t>
        </is>
      </c>
      <c r="D281" t="inlineStr">
        <is>
          <t>Inpatient</t>
        </is>
      </c>
      <c r="E281" s="29" t="n">
        <v>45692</v>
      </c>
      <c r="F281" s="29" t="n">
        <v>45695</v>
      </c>
      <c r="G281" s="31" t="n">
        <v>47373.66</v>
      </c>
      <c r="H281" s="31" t="n">
        <v>19219.42</v>
      </c>
      <c r="I281" t="inlineStr">
        <is>
          <t>Paid</t>
        </is>
      </c>
      <c r="K281" s="29" t="n">
        <v>45720</v>
      </c>
      <c r="L281" s="33" t="n"/>
    </row>
    <row r="282">
      <c r="A282" t="inlineStr">
        <is>
          <t>CLM511842</t>
        </is>
      </c>
      <c r="B282" t="inlineStr">
        <is>
          <t>ENC111842</t>
        </is>
      </c>
      <c r="C282" t="inlineStr">
        <is>
          <t>Silverline Medicare Advantage</t>
        </is>
      </c>
      <c r="D282" t="inlineStr">
        <is>
          <t>Inpatient</t>
        </is>
      </c>
      <c r="E282" s="29" t="n">
        <v>45691</v>
      </c>
      <c r="F282" s="29" t="n">
        <v>45694</v>
      </c>
      <c r="G282" s="31" t="n">
        <v>12241.19</v>
      </c>
      <c r="H282" s="31" t="n">
        <v>3683.37</v>
      </c>
      <c r="I282" t="inlineStr">
        <is>
          <t>Paid</t>
        </is>
      </c>
      <c r="K282" s="29" t="n">
        <v>45724</v>
      </c>
      <c r="L282" s="33" t="n"/>
    </row>
    <row r="283">
      <c r="A283" t="inlineStr">
        <is>
          <t>CLM511847</t>
        </is>
      </c>
      <c r="B283" t="inlineStr">
        <is>
          <t>ENC111847</t>
        </is>
      </c>
      <c r="C283" t="inlineStr">
        <is>
          <t>Keystone Health Partners</t>
        </is>
      </c>
      <c r="D283" t="inlineStr">
        <is>
          <t>Outpatient</t>
        </is>
      </c>
      <c r="E283" s="29" t="n">
        <v>45688</v>
      </c>
      <c r="F283" s="29" t="n">
        <v>45692</v>
      </c>
      <c r="G283" s="31" t="n">
        <v>428.05</v>
      </c>
      <c r="H283" s="31" t="n">
        <v>179.45</v>
      </c>
      <c r="I283" t="inlineStr">
        <is>
          <t>Paid</t>
        </is>
      </c>
      <c r="K283" s="29" t="n">
        <v>45720</v>
      </c>
      <c r="L283" s="33" t="n"/>
    </row>
    <row r="284">
      <c r="A284" t="inlineStr">
        <is>
          <t>CLM511853</t>
        </is>
      </c>
      <c r="B284" t="inlineStr">
        <is>
          <t>ENC111853</t>
        </is>
      </c>
      <c r="C284" t="inlineStr">
        <is>
          <t>Medicare</t>
        </is>
      </c>
      <c r="D284" t="inlineStr">
        <is>
          <t>Emergency</t>
        </is>
      </c>
      <c r="E284" s="29" t="n">
        <v>45689</v>
      </c>
      <c r="F284" s="29" t="n">
        <v>45693</v>
      </c>
      <c r="G284" s="31" t="n">
        <v>547.6900000000001</v>
      </c>
      <c r="H284" s="31" t="n">
        <v>162.64</v>
      </c>
      <c r="I284" t="inlineStr">
        <is>
          <t>Paid</t>
        </is>
      </c>
      <c r="K284" s="29" t="n">
        <v>45704</v>
      </c>
      <c r="L284" s="33" t="n"/>
    </row>
    <row r="285">
      <c r="A285" t="inlineStr">
        <is>
          <t>CLM511854</t>
        </is>
      </c>
      <c r="B285" t="inlineStr">
        <is>
          <t>ENC111854</t>
        </is>
      </c>
      <c r="C285" t="inlineStr">
        <is>
          <t>Evergreen Mutual Insurance</t>
        </is>
      </c>
      <c r="D285" t="inlineStr">
        <is>
          <t>Emergency</t>
        </is>
      </c>
      <c r="E285" s="29" t="n">
        <v>45689</v>
      </c>
      <c r="F285" s="29" t="n">
        <v>45696</v>
      </c>
      <c r="G285" s="31" t="n">
        <v>2776.94</v>
      </c>
      <c r="H285" s="31" t="n">
        <v>1415.11</v>
      </c>
      <c r="I285" t="inlineStr">
        <is>
          <t>Paid</t>
        </is>
      </c>
      <c r="K285" s="29" t="n">
        <v>45731</v>
      </c>
      <c r="L285" s="33" t="n"/>
    </row>
    <row r="286">
      <c r="A286" t="inlineStr">
        <is>
          <t>CLM511855</t>
        </is>
      </c>
      <c r="B286" t="inlineStr">
        <is>
          <t>ENC111855</t>
        </is>
      </c>
      <c r="C286" t="inlineStr">
        <is>
          <t>Keystone Health Partners</t>
        </is>
      </c>
      <c r="D286" t="inlineStr">
        <is>
          <t>Emergency</t>
        </is>
      </c>
      <c r="E286" s="29" t="n">
        <v>45689</v>
      </c>
      <c r="F286" s="29" t="n">
        <v>45693</v>
      </c>
      <c r="G286" s="31" t="n">
        <v>1150.19</v>
      </c>
      <c r="H286" s="31" t="n">
        <v>501.29</v>
      </c>
      <c r="I286" t="inlineStr">
        <is>
          <t>Paid</t>
        </is>
      </c>
      <c r="K286" s="29" t="n">
        <v>45736</v>
      </c>
      <c r="L286" s="33" t="n"/>
    </row>
    <row r="287">
      <c r="A287" t="inlineStr">
        <is>
          <t>CLM511860</t>
        </is>
      </c>
      <c r="B287" t="inlineStr">
        <is>
          <t>ENC111860</t>
        </is>
      </c>
      <c r="C287" t="inlineStr">
        <is>
          <t>Self-Pay</t>
        </is>
      </c>
      <c r="D287" t="inlineStr">
        <is>
          <t>Emergency</t>
        </is>
      </c>
      <c r="E287" s="29" t="n">
        <v>45689</v>
      </c>
      <c r="F287" s="29" t="n">
        <v>45691</v>
      </c>
      <c r="G287" s="31" t="n">
        <v>3485.08</v>
      </c>
      <c r="H287" s="31" t="n">
        <v>0</v>
      </c>
      <c r="I287" t="inlineStr">
        <is>
          <t>Pending</t>
        </is>
      </c>
      <c r="L287" s="33" t="n"/>
    </row>
    <row r="288">
      <c r="A288" t="inlineStr">
        <is>
          <t>CLM511868</t>
        </is>
      </c>
      <c r="B288" t="inlineStr">
        <is>
          <t>ENC111868</t>
        </is>
      </c>
      <c r="C288" t="inlineStr">
        <is>
          <t>State Medicaid</t>
        </is>
      </c>
      <c r="D288" t="inlineStr">
        <is>
          <t>Observation</t>
        </is>
      </c>
      <c r="E288" s="29" t="n">
        <v>45690</v>
      </c>
      <c r="F288" s="29" t="n">
        <v>45704</v>
      </c>
      <c r="G288" s="31" t="n">
        <v>8953.83</v>
      </c>
      <c r="H288" s="31" t="n">
        <v>1039.04</v>
      </c>
      <c r="I288" t="inlineStr">
        <is>
          <t>Partially Paid</t>
        </is>
      </c>
      <c r="J288" t="inlineStr">
        <is>
          <t>Coding Error</t>
        </is>
      </c>
      <c r="K288" s="29" t="n">
        <v>45737</v>
      </c>
      <c r="L288" s="33" t="n"/>
    </row>
    <row r="289">
      <c r="A289" t="inlineStr">
        <is>
          <t>CLM511875</t>
        </is>
      </c>
      <c r="B289" t="inlineStr">
        <is>
          <t>ENC111875</t>
        </is>
      </c>
      <c r="C289" t="inlineStr">
        <is>
          <t>State Medicaid</t>
        </is>
      </c>
      <c r="D289" t="inlineStr">
        <is>
          <t>Observation</t>
        </is>
      </c>
      <c r="E289" s="29" t="n">
        <v>45691</v>
      </c>
      <c r="F289" s="29" t="n">
        <v>45698</v>
      </c>
      <c r="G289" s="31" t="n">
        <v>7302.48</v>
      </c>
      <c r="H289" s="31" t="n">
        <v>1659.26</v>
      </c>
      <c r="I289" t="inlineStr">
        <is>
          <t>Paid</t>
        </is>
      </c>
      <c r="K289" s="29" t="n">
        <v>45719</v>
      </c>
      <c r="L289" s="33" t="n"/>
    </row>
    <row r="290">
      <c r="A290" t="inlineStr">
        <is>
          <t>CLM511876</t>
        </is>
      </c>
      <c r="B290" t="inlineStr">
        <is>
          <t>ENC111876</t>
        </is>
      </c>
      <c r="C290" t="inlineStr">
        <is>
          <t>Silverline Medicare Advantage</t>
        </is>
      </c>
      <c r="D290" t="inlineStr">
        <is>
          <t>Inpatient</t>
        </is>
      </c>
      <c r="E290" s="29" t="n">
        <v>45692</v>
      </c>
      <c r="F290" s="29" t="n">
        <v>45694</v>
      </c>
      <c r="G290" s="31" t="n">
        <v>26626.82</v>
      </c>
      <c r="H290" s="31" t="n">
        <v>0</v>
      </c>
      <c r="I290" t="inlineStr">
        <is>
          <t>Denied</t>
        </is>
      </c>
      <c r="J290" t="inlineStr">
        <is>
          <t>Missing Documentation</t>
        </is>
      </c>
      <c r="L290" s="33" t="n"/>
    </row>
    <row r="291">
      <c r="A291" t="inlineStr">
        <is>
          <t>CLM511879</t>
        </is>
      </c>
      <c r="B291" t="inlineStr">
        <is>
          <t>ENC111879</t>
        </is>
      </c>
      <c r="C291" t="inlineStr">
        <is>
          <t>State Medicaid</t>
        </is>
      </c>
      <c r="D291" t="inlineStr">
        <is>
          <t>Emergency</t>
        </is>
      </c>
      <c r="E291" s="29" t="n">
        <v>45690</v>
      </c>
      <c r="F291" s="29" t="n">
        <v>45699</v>
      </c>
      <c r="G291" s="31" t="n">
        <v>1347.3</v>
      </c>
      <c r="H291" s="31" t="n">
        <v>297.04</v>
      </c>
      <c r="I291" t="inlineStr">
        <is>
          <t>Paid</t>
        </is>
      </c>
      <c r="K291" s="29" t="n">
        <v>45736</v>
      </c>
      <c r="L291" s="33" t="n"/>
    </row>
    <row r="292">
      <c r="A292" t="inlineStr">
        <is>
          <t>CLM511880</t>
        </is>
      </c>
      <c r="B292" t="inlineStr">
        <is>
          <t>ENC111880</t>
        </is>
      </c>
      <c r="C292" t="inlineStr">
        <is>
          <t>Evergreen Mutual Insurance</t>
        </is>
      </c>
      <c r="D292" t="inlineStr">
        <is>
          <t>Inpatient</t>
        </is>
      </c>
      <c r="E292" s="29" t="n">
        <v>45703</v>
      </c>
      <c r="F292" s="29" t="n">
        <v>45705</v>
      </c>
      <c r="G292" s="31" t="n">
        <v>100929.04</v>
      </c>
      <c r="H292" s="31" t="n">
        <v>43283.65</v>
      </c>
      <c r="I292" t="inlineStr">
        <is>
          <t>Paid</t>
        </is>
      </c>
      <c r="K292" s="29" t="n">
        <v>45731</v>
      </c>
      <c r="L292" s="33" t="n"/>
    </row>
    <row r="293">
      <c r="A293" t="inlineStr">
        <is>
          <t>CLM511892</t>
        </is>
      </c>
      <c r="B293" t="inlineStr">
        <is>
          <t>ENC111892</t>
        </is>
      </c>
      <c r="C293" t="inlineStr">
        <is>
          <t>Evergreen Mutual Insurance</t>
        </is>
      </c>
      <c r="D293" t="inlineStr">
        <is>
          <t>Inpatient</t>
        </is>
      </c>
      <c r="E293" s="29" t="n">
        <v>45694</v>
      </c>
      <c r="F293" s="29" t="n">
        <v>45699</v>
      </c>
      <c r="G293" s="31" t="n">
        <v>21672.2</v>
      </c>
      <c r="H293" s="31" t="n">
        <v>9296.860000000001</v>
      </c>
      <c r="I293" t="inlineStr">
        <is>
          <t>Paid</t>
        </is>
      </c>
      <c r="K293" s="29" t="n">
        <v>45728</v>
      </c>
      <c r="L293" s="33" t="n"/>
    </row>
    <row r="294">
      <c r="A294" t="inlineStr">
        <is>
          <t>CLM511896</t>
        </is>
      </c>
      <c r="B294" t="inlineStr">
        <is>
          <t>ENC111896</t>
        </is>
      </c>
      <c r="C294" t="inlineStr">
        <is>
          <t>Evergreen Mutual Insurance</t>
        </is>
      </c>
      <c r="D294" t="inlineStr">
        <is>
          <t>Observation</t>
        </is>
      </c>
      <c r="E294" s="29" t="n">
        <v>45691</v>
      </c>
      <c r="F294" s="29" t="n">
        <v>45728</v>
      </c>
      <c r="G294" s="31" t="n">
        <v>8886</v>
      </c>
      <c r="H294" s="31" t="n">
        <v>3365.65</v>
      </c>
      <c r="I294" t="inlineStr">
        <is>
          <t>Paid</t>
        </is>
      </c>
      <c r="K294" s="29" t="n">
        <v>45746</v>
      </c>
      <c r="L294" s="33" t="n"/>
    </row>
    <row r="295">
      <c r="A295" t="inlineStr">
        <is>
          <t>CLM511904</t>
        </is>
      </c>
      <c r="B295" t="inlineStr">
        <is>
          <t>ENC111904</t>
        </is>
      </c>
      <c r="C295" t="inlineStr">
        <is>
          <t>Silverline Medicare Advantage</t>
        </is>
      </c>
      <c r="D295" t="inlineStr">
        <is>
          <t>Outpatient</t>
        </is>
      </c>
      <c r="E295" s="29" t="n">
        <v>45691</v>
      </c>
      <c r="F295" s="29" t="n">
        <v>45696</v>
      </c>
      <c r="G295" s="31" t="n">
        <v>224.51</v>
      </c>
      <c r="H295" s="31" t="n">
        <v>74.7</v>
      </c>
      <c r="I295" t="inlineStr">
        <is>
          <t>Paid</t>
        </is>
      </c>
      <c r="K295" s="29" t="n">
        <v>45741</v>
      </c>
      <c r="L295" s="33" t="n"/>
    </row>
    <row r="296">
      <c r="A296" t="inlineStr">
        <is>
          <t>CLM511906</t>
        </is>
      </c>
      <c r="B296" t="inlineStr">
        <is>
          <t>ENC111906</t>
        </is>
      </c>
      <c r="C296" t="inlineStr">
        <is>
          <t>Medicare</t>
        </is>
      </c>
      <c r="D296" t="inlineStr">
        <is>
          <t>Outpatient</t>
        </is>
      </c>
      <c r="E296" s="29" t="n">
        <v>45691</v>
      </c>
      <c r="F296" s="29" t="n">
        <v>45696</v>
      </c>
      <c r="G296" s="31" t="n">
        <v>302.13</v>
      </c>
      <c r="H296" s="31" t="n">
        <v>77.17</v>
      </c>
      <c r="I296" t="inlineStr">
        <is>
          <t>Paid</t>
        </is>
      </c>
      <c r="K296" s="29" t="n">
        <v>45707</v>
      </c>
      <c r="L296" s="33" t="n"/>
    </row>
    <row r="297">
      <c r="A297" t="inlineStr">
        <is>
          <t>CLM511912</t>
        </is>
      </c>
      <c r="B297" t="inlineStr">
        <is>
          <t>ENC111912</t>
        </is>
      </c>
      <c r="C297" t="inlineStr">
        <is>
          <t>Self-Pay</t>
        </is>
      </c>
      <c r="D297" t="inlineStr">
        <is>
          <t>Inpatient</t>
        </is>
      </c>
      <c r="E297" s="29" t="n">
        <v>45698</v>
      </c>
      <c r="F297" s="29" t="n">
        <v>45703</v>
      </c>
      <c r="G297" s="31" t="n">
        <v>20935.61</v>
      </c>
      <c r="H297" s="31" t="n">
        <v>6575.36</v>
      </c>
      <c r="I297" t="inlineStr">
        <is>
          <t>Partially Paid</t>
        </is>
      </c>
      <c r="K297" s="29" t="n">
        <v>45774</v>
      </c>
      <c r="L297" s="33" t="n"/>
    </row>
    <row r="298">
      <c r="A298" t="inlineStr">
        <is>
          <t>CLM511920</t>
        </is>
      </c>
      <c r="B298" t="inlineStr">
        <is>
          <t>ENC111920</t>
        </is>
      </c>
      <c r="C298" t="inlineStr">
        <is>
          <t>State Medicaid</t>
        </is>
      </c>
      <c r="D298" t="inlineStr">
        <is>
          <t>Observation</t>
        </is>
      </c>
      <c r="E298" s="29" t="n">
        <v>45693</v>
      </c>
      <c r="F298" s="29" t="n">
        <v>45704</v>
      </c>
      <c r="G298" s="31" t="n">
        <v>11019.73</v>
      </c>
      <c r="H298" s="31" t="n">
        <v>2420.62</v>
      </c>
      <c r="I298" t="inlineStr">
        <is>
          <t>Paid</t>
        </is>
      </c>
      <c r="K298" s="29" t="n">
        <v>45745</v>
      </c>
      <c r="L298" s="33" t="n"/>
    </row>
    <row r="299">
      <c r="A299" t="inlineStr">
        <is>
          <t>CLM511927</t>
        </is>
      </c>
      <c r="B299" t="inlineStr">
        <is>
          <t>ENC111927</t>
        </is>
      </c>
      <c r="C299" t="inlineStr">
        <is>
          <t>Evergreen Mutual Insurance</t>
        </is>
      </c>
      <c r="D299" t="inlineStr">
        <is>
          <t>Emergency</t>
        </is>
      </c>
      <c r="E299" s="29" t="n">
        <v>45691</v>
      </c>
      <c r="F299" s="29" t="n">
        <v>45695</v>
      </c>
      <c r="G299" s="31" t="n">
        <v>3022.78</v>
      </c>
      <c r="H299" s="31" t="n">
        <v>1267.23</v>
      </c>
      <c r="I299" t="inlineStr">
        <is>
          <t>Paid</t>
        </is>
      </c>
      <c r="K299" s="29" t="n">
        <v>45726</v>
      </c>
      <c r="L299" s="33" t="n"/>
    </row>
    <row r="300">
      <c r="A300" t="inlineStr">
        <is>
          <t>CLM511928</t>
        </is>
      </c>
      <c r="B300" t="inlineStr">
        <is>
          <t>ENC111928</t>
        </is>
      </c>
      <c r="C300" t="inlineStr">
        <is>
          <t>Summit Choice PPO</t>
        </is>
      </c>
      <c r="D300" t="inlineStr">
        <is>
          <t>Inpatient</t>
        </is>
      </c>
      <c r="E300" s="29" t="n">
        <v>45694</v>
      </c>
      <c r="F300" s="29" t="n">
        <v>45701</v>
      </c>
      <c r="G300" s="31" t="n">
        <v>22525.26</v>
      </c>
      <c r="H300" s="31" t="n">
        <v>11220.92</v>
      </c>
      <c r="I300" t="inlineStr">
        <is>
          <t>Paid</t>
        </is>
      </c>
      <c r="K300" s="29" t="n">
        <v>45749</v>
      </c>
      <c r="L300" s="33" t="n"/>
    </row>
    <row r="301">
      <c r="A301" t="inlineStr">
        <is>
          <t>CLM511929</t>
        </is>
      </c>
      <c r="B301" t="inlineStr">
        <is>
          <t>ENC111929</t>
        </is>
      </c>
      <c r="C301" t="inlineStr">
        <is>
          <t>Evergreen Mutual Insurance</t>
        </is>
      </c>
      <c r="D301" t="inlineStr">
        <is>
          <t>Outpatient</t>
        </is>
      </c>
      <c r="E301" s="29" t="n">
        <v>45691</v>
      </c>
      <c r="F301" s="29" t="n">
        <v>45692</v>
      </c>
      <c r="G301" s="31" t="n">
        <v>308.1</v>
      </c>
      <c r="H301" s="31" t="n">
        <v>117.14</v>
      </c>
      <c r="I301" t="inlineStr">
        <is>
          <t>Paid</t>
        </is>
      </c>
      <c r="K301" s="29" t="n">
        <v>45724</v>
      </c>
      <c r="L301" s="33" t="n"/>
    </row>
    <row r="302">
      <c r="A302" t="inlineStr">
        <is>
          <t>CLM511931</t>
        </is>
      </c>
      <c r="B302" t="inlineStr">
        <is>
          <t>ENC111931</t>
        </is>
      </c>
      <c r="C302" t="inlineStr">
        <is>
          <t>Medicare</t>
        </is>
      </c>
      <c r="D302" t="inlineStr">
        <is>
          <t>Emergency</t>
        </is>
      </c>
      <c r="E302" s="29" t="n">
        <v>45691</v>
      </c>
      <c r="F302" s="29" t="n">
        <v>45697</v>
      </c>
      <c r="G302" s="31" t="n">
        <v>2748.31</v>
      </c>
      <c r="H302" s="31" t="n">
        <v>877.67</v>
      </c>
      <c r="I302" t="inlineStr">
        <is>
          <t>Paid</t>
        </is>
      </c>
      <c r="K302" s="29" t="n">
        <v>45722</v>
      </c>
      <c r="L302" s="33" t="n"/>
    </row>
    <row r="303">
      <c r="A303" t="inlineStr">
        <is>
          <t>CLM511934</t>
        </is>
      </c>
      <c r="B303" t="inlineStr">
        <is>
          <t>ENC111934</t>
        </is>
      </c>
      <c r="C303" t="inlineStr">
        <is>
          <t>State Medicaid</t>
        </is>
      </c>
      <c r="D303" t="inlineStr">
        <is>
          <t>Inpatient</t>
        </is>
      </c>
      <c r="E303" s="29" t="n">
        <v>45696</v>
      </c>
      <c r="F303" s="29" t="n">
        <v>45700</v>
      </c>
      <c r="G303" s="31" t="n">
        <v>17435.07</v>
      </c>
      <c r="H303" s="31" t="n">
        <v>4066.02</v>
      </c>
      <c r="I303" t="inlineStr">
        <is>
          <t>Paid</t>
        </is>
      </c>
      <c r="K303" s="29" t="n">
        <v>45731</v>
      </c>
      <c r="L303" s="33" t="n"/>
    </row>
    <row r="304">
      <c r="A304" t="inlineStr">
        <is>
          <t>CLM511936</t>
        </is>
      </c>
      <c r="B304" t="inlineStr">
        <is>
          <t>ENC111936</t>
        </is>
      </c>
      <c r="C304" t="inlineStr">
        <is>
          <t>Summit Choice PPO</t>
        </is>
      </c>
      <c r="D304" t="inlineStr">
        <is>
          <t>Observation</t>
        </is>
      </c>
      <c r="E304" s="29" t="n">
        <v>45693</v>
      </c>
      <c r="F304" s="29" t="n">
        <v>45697</v>
      </c>
      <c r="G304" s="31" t="n">
        <v>8098.12</v>
      </c>
      <c r="H304" s="31" t="n">
        <v>3708.63</v>
      </c>
      <c r="I304" t="inlineStr">
        <is>
          <t>Paid</t>
        </is>
      </c>
      <c r="K304" s="29" t="n">
        <v>45723</v>
      </c>
      <c r="L304" s="33" t="n"/>
    </row>
    <row r="305">
      <c r="A305" t="inlineStr">
        <is>
          <t>CLM511938</t>
        </is>
      </c>
      <c r="B305" t="inlineStr">
        <is>
          <t>ENC111938</t>
        </is>
      </c>
      <c r="C305" t="inlineStr">
        <is>
          <t>Keystone Health Partners</t>
        </is>
      </c>
      <c r="D305" t="inlineStr">
        <is>
          <t>Emergency</t>
        </is>
      </c>
      <c r="E305" s="29" t="n">
        <v>45692</v>
      </c>
      <c r="F305" s="29" t="n">
        <v>45694</v>
      </c>
      <c r="G305" s="31" t="n">
        <v>4091.08</v>
      </c>
      <c r="H305" s="31" t="n">
        <v>0</v>
      </c>
      <c r="I305" t="inlineStr">
        <is>
          <t>Denied</t>
        </is>
      </c>
      <c r="J305" t="inlineStr">
        <is>
          <t>Missing Documentation</t>
        </is>
      </c>
      <c r="L305" s="33" t="n"/>
    </row>
    <row r="306">
      <c r="A306" t="inlineStr">
        <is>
          <t>CLM511940</t>
        </is>
      </c>
      <c r="B306" t="inlineStr">
        <is>
          <t>ENC111940</t>
        </is>
      </c>
      <c r="C306" t="inlineStr">
        <is>
          <t>Summit Choice PPO</t>
        </is>
      </c>
      <c r="D306" t="inlineStr">
        <is>
          <t>Inpatient</t>
        </is>
      </c>
      <c r="E306" s="29" t="n">
        <v>45694</v>
      </c>
      <c r="F306" s="29" t="n">
        <v>45698</v>
      </c>
      <c r="G306" s="31" t="n">
        <v>15797.68</v>
      </c>
      <c r="H306" s="31" t="n">
        <v>7636.16</v>
      </c>
      <c r="I306" t="inlineStr">
        <is>
          <t>Paid</t>
        </is>
      </c>
      <c r="K306" s="29" t="n">
        <v>45712</v>
      </c>
      <c r="L306" s="33" t="n"/>
    </row>
    <row r="307">
      <c r="A307" t="inlineStr">
        <is>
          <t>CLM511943</t>
        </is>
      </c>
      <c r="B307" t="inlineStr">
        <is>
          <t>ENC111943</t>
        </is>
      </c>
      <c r="C307" t="inlineStr">
        <is>
          <t>Medicare</t>
        </is>
      </c>
      <c r="D307" t="inlineStr">
        <is>
          <t>Emergency</t>
        </is>
      </c>
      <c r="E307" s="29" t="n">
        <v>45692</v>
      </c>
      <c r="F307" s="29" t="n">
        <v>45695</v>
      </c>
      <c r="G307" s="31" t="n">
        <v>1760.35</v>
      </c>
      <c r="H307" s="31" t="n">
        <v>505.68</v>
      </c>
      <c r="I307" t="inlineStr">
        <is>
          <t>Paid</t>
        </is>
      </c>
      <c r="K307" s="29" t="n">
        <v>45704</v>
      </c>
      <c r="L307" s="33" t="n"/>
    </row>
    <row r="308">
      <c r="A308" t="inlineStr">
        <is>
          <t>CLM511948</t>
        </is>
      </c>
      <c r="B308" t="inlineStr">
        <is>
          <t>ENC111948</t>
        </is>
      </c>
      <c r="C308" t="inlineStr">
        <is>
          <t>Keystone Health Partners</t>
        </is>
      </c>
      <c r="D308" t="inlineStr">
        <is>
          <t>Outpatient</t>
        </is>
      </c>
      <c r="E308" s="29" t="n">
        <v>45692</v>
      </c>
      <c r="F308" s="29" t="n">
        <v>45697</v>
      </c>
      <c r="G308" s="31" t="n">
        <v>8783.5</v>
      </c>
      <c r="H308" s="31" t="n">
        <v>4251.05</v>
      </c>
      <c r="I308" t="inlineStr">
        <is>
          <t>Paid</t>
        </is>
      </c>
      <c r="K308" s="29" t="n">
        <v>45720</v>
      </c>
      <c r="L308" s="33" t="n"/>
    </row>
    <row r="309">
      <c r="A309" t="inlineStr">
        <is>
          <t>CLM511961</t>
        </is>
      </c>
      <c r="B309" t="inlineStr">
        <is>
          <t>ENC111961</t>
        </is>
      </c>
      <c r="C309" t="inlineStr">
        <is>
          <t>State Medicaid</t>
        </is>
      </c>
      <c r="D309" t="inlineStr">
        <is>
          <t>Emergency</t>
        </is>
      </c>
      <c r="E309" s="29" t="n">
        <v>45692</v>
      </c>
      <c r="F309" s="29" t="n">
        <v>45695</v>
      </c>
      <c r="G309" s="31" t="n">
        <v>3641.87</v>
      </c>
      <c r="H309" s="31" t="n">
        <v>0</v>
      </c>
      <c r="I309" t="inlineStr">
        <is>
          <t>Appealed</t>
        </is>
      </c>
      <c r="J309" t="inlineStr">
        <is>
          <t>Coding Error</t>
        </is>
      </c>
      <c r="L309" s="33" t="n"/>
    </row>
    <row r="310">
      <c r="A310" t="inlineStr">
        <is>
          <t>CLM511962</t>
        </is>
      </c>
      <c r="B310" t="inlineStr">
        <is>
          <t>ENC111962</t>
        </is>
      </c>
      <c r="C310" t="inlineStr">
        <is>
          <t>Self-Pay</t>
        </is>
      </c>
      <c r="D310" t="inlineStr">
        <is>
          <t>Emergency</t>
        </is>
      </c>
      <c r="E310" s="29" t="n">
        <v>45692</v>
      </c>
      <c r="F310" s="29" t="n">
        <v>45697</v>
      </c>
      <c r="G310" s="31" t="n">
        <v>1251.25</v>
      </c>
      <c r="H310" s="31" t="n">
        <v>92.7</v>
      </c>
      <c r="I310" t="inlineStr">
        <is>
          <t>Partially Paid</t>
        </is>
      </c>
      <c r="K310" s="29" t="n">
        <v>45760</v>
      </c>
      <c r="L310" s="33" t="n"/>
    </row>
    <row r="311">
      <c r="A311" t="inlineStr">
        <is>
          <t>CLM511966</t>
        </is>
      </c>
      <c r="B311" t="inlineStr">
        <is>
          <t>ENC111966</t>
        </is>
      </c>
      <c r="C311" t="inlineStr">
        <is>
          <t>State Medicaid</t>
        </is>
      </c>
      <c r="D311" t="inlineStr">
        <is>
          <t>Emergency</t>
        </is>
      </c>
      <c r="E311" s="29" t="n">
        <v>45692</v>
      </c>
      <c r="F311" s="29" t="n">
        <v>45693</v>
      </c>
      <c r="G311" s="31" t="n">
        <v>1371.58</v>
      </c>
      <c r="H311" s="31" t="n">
        <v>327.03</v>
      </c>
      <c r="I311" t="inlineStr">
        <is>
          <t>Paid</t>
        </is>
      </c>
      <c r="K311" s="29" t="n">
        <v>45718</v>
      </c>
      <c r="L311" s="33" t="n"/>
    </row>
    <row r="312">
      <c r="A312" t="inlineStr">
        <is>
          <t>CLM511969</t>
        </is>
      </c>
      <c r="B312" t="inlineStr">
        <is>
          <t>ENC111969</t>
        </is>
      </c>
      <c r="C312" t="inlineStr">
        <is>
          <t>Medicare</t>
        </is>
      </c>
      <c r="D312" t="inlineStr">
        <is>
          <t>Outpatient</t>
        </is>
      </c>
      <c r="E312" s="29" t="n">
        <v>45692</v>
      </c>
      <c r="F312" s="29" t="n">
        <v>45752</v>
      </c>
      <c r="G312" s="31" t="n">
        <v>154.34</v>
      </c>
      <c r="H312" s="31" t="n">
        <v>25.03</v>
      </c>
      <c r="I312" t="inlineStr">
        <is>
          <t>Partially Paid</t>
        </is>
      </c>
      <c r="J312" t="inlineStr">
        <is>
          <t>Coding Error</t>
        </is>
      </c>
      <c r="K312" s="29" t="n">
        <v>45771</v>
      </c>
      <c r="L312" s="33" t="n"/>
    </row>
    <row r="313">
      <c r="A313" t="inlineStr">
        <is>
          <t>CLM511970</t>
        </is>
      </c>
      <c r="B313" t="inlineStr">
        <is>
          <t>ENC111970</t>
        </is>
      </c>
      <c r="C313" t="inlineStr">
        <is>
          <t>Medicare</t>
        </is>
      </c>
      <c r="D313" t="inlineStr">
        <is>
          <t>Emergency</t>
        </is>
      </c>
      <c r="E313" s="29" t="n">
        <v>45692</v>
      </c>
      <c r="F313" s="29" t="n">
        <v>45693</v>
      </c>
      <c r="G313" s="31" t="n">
        <v>3989.77</v>
      </c>
      <c r="H313" s="31" t="n">
        <v>1199.3</v>
      </c>
      <c r="I313" t="inlineStr">
        <is>
          <t>Paid</t>
        </is>
      </c>
      <c r="K313" s="29" t="n">
        <v>45709</v>
      </c>
      <c r="L313" s="33" t="n"/>
    </row>
    <row r="314">
      <c r="A314" t="inlineStr">
        <is>
          <t>CLM511972</t>
        </is>
      </c>
      <c r="B314" t="inlineStr">
        <is>
          <t>ENC111972</t>
        </is>
      </c>
      <c r="C314" t="inlineStr">
        <is>
          <t>Keystone Health Partners</t>
        </is>
      </c>
      <c r="D314" t="inlineStr">
        <is>
          <t>Inpatient</t>
        </is>
      </c>
      <c r="E314" s="29" t="n">
        <v>45693</v>
      </c>
      <c r="F314" s="29" t="n">
        <v>45699</v>
      </c>
      <c r="G314" s="31" t="n">
        <v>26939.61</v>
      </c>
      <c r="H314" s="31" t="n">
        <v>11674.6</v>
      </c>
      <c r="I314" t="inlineStr">
        <is>
          <t>Paid</t>
        </is>
      </c>
      <c r="K314" s="29" t="n">
        <v>45723</v>
      </c>
      <c r="L314" s="33" t="n"/>
    </row>
    <row r="315">
      <c r="A315" t="inlineStr">
        <is>
          <t>CLM511978</t>
        </is>
      </c>
      <c r="B315" t="inlineStr">
        <is>
          <t>ENC111978</t>
        </is>
      </c>
      <c r="C315" t="inlineStr">
        <is>
          <t>Keystone Health Partners</t>
        </is>
      </c>
      <c r="D315" t="inlineStr">
        <is>
          <t>Emergency</t>
        </is>
      </c>
      <c r="E315" s="29" t="n">
        <v>45692</v>
      </c>
      <c r="F315" s="29" t="n">
        <v>45693</v>
      </c>
      <c r="G315" s="31" t="n">
        <v>3368.15</v>
      </c>
      <c r="H315" s="31" t="n">
        <v>1262.93</v>
      </c>
      <c r="I315" t="inlineStr">
        <is>
          <t>Paid</t>
        </is>
      </c>
      <c r="K315" s="29" t="n">
        <v>45716</v>
      </c>
      <c r="L315" s="33" t="n"/>
    </row>
    <row r="316">
      <c r="A316" t="inlineStr">
        <is>
          <t>CLM511984</t>
        </is>
      </c>
      <c r="B316" t="inlineStr">
        <is>
          <t>ENC111984</t>
        </is>
      </c>
      <c r="C316" t="inlineStr">
        <is>
          <t>Self-Pay</t>
        </is>
      </c>
      <c r="D316" t="inlineStr">
        <is>
          <t>Inpatient</t>
        </is>
      </c>
      <c r="E316" s="29" t="n">
        <v>45697</v>
      </c>
      <c r="F316" s="29" t="n">
        <v>45699</v>
      </c>
      <c r="G316" s="31" t="n">
        <v>26528.65</v>
      </c>
      <c r="H316" s="31" t="n">
        <v>0</v>
      </c>
      <c r="I316" t="inlineStr">
        <is>
          <t>Pending</t>
        </is>
      </c>
      <c r="L316" s="33" t="n"/>
    </row>
    <row r="317">
      <c r="A317" t="inlineStr">
        <is>
          <t>CLM511985</t>
        </is>
      </c>
      <c r="B317" t="inlineStr">
        <is>
          <t>ENC111985</t>
        </is>
      </c>
      <c r="C317" t="inlineStr">
        <is>
          <t>Summit Choice PPO</t>
        </is>
      </c>
      <c r="D317" t="inlineStr">
        <is>
          <t>Inpatient</t>
        </is>
      </c>
      <c r="E317" s="29" t="n">
        <v>45697</v>
      </c>
      <c r="F317" s="29" t="n">
        <v>45707</v>
      </c>
      <c r="G317" s="31" t="n">
        <v>94169.03</v>
      </c>
      <c r="H317" s="31" t="n">
        <v>19425.47</v>
      </c>
      <c r="I317" t="inlineStr">
        <is>
          <t>Partially Paid</t>
        </is>
      </c>
      <c r="J317" t="inlineStr">
        <is>
          <t>Medical Necessity</t>
        </is>
      </c>
      <c r="K317" s="29" t="n">
        <v>45721</v>
      </c>
      <c r="L317" s="33" t="n"/>
    </row>
    <row r="318">
      <c r="A318" t="inlineStr">
        <is>
          <t>CLM511987</t>
        </is>
      </c>
      <c r="B318" t="inlineStr">
        <is>
          <t>ENC111987</t>
        </is>
      </c>
      <c r="C318" t="inlineStr">
        <is>
          <t>State Medicaid</t>
        </is>
      </c>
      <c r="D318" t="inlineStr">
        <is>
          <t>Inpatient</t>
        </is>
      </c>
      <c r="E318" s="29" t="n">
        <v>45696</v>
      </c>
      <c r="F318" s="29" t="n">
        <v>45703</v>
      </c>
      <c r="G318" s="31" t="n">
        <v>15653.67</v>
      </c>
      <c r="H318" s="31" t="n">
        <v>3834.75</v>
      </c>
      <c r="I318" t="inlineStr">
        <is>
          <t>Paid</t>
        </is>
      </c>
      <c r="K318" s="29" t="n">
        <v>45736</v>
      </c>
      <c r="L318" s="33" t="n"/>
    </row>
    <row r="319">
      <c r="A319" t="inlineStr">
        <is>
          <t>CLM511999</t>
        </is>
      </c>
      <c r="B319" t="inlineStr">
        <is>
          <t>ENC111999</t>
        </is>
      </c>
      <c r="C319" t="inlineStr">
        <is>
          <t>Medicare</t>
        </is>
      </c>
      <c r="D319" t="inlineStr">
        <is>
          <t>Emergency</t>
        </is>
      </c>
      <c r="E319" s="29" t="n">
        <v>45693</v>
      </c>
      <c r="F319" s="29" t="n">
        <v>45695</v>
      </c>
      <c r="G319" s="31" t="n">
        <v>1342.81</v>
      </c>
      <c r="H319" s="31" t="n">
        <v>143.37</v>
      </c>
      <c r="I319" t="inlineStr">
        <is>
          <t>Partially Paid</t>
        </is>
      </c>
      <c r="J319" t="inlineStr">
        <is>
          <t>Medical Necessity</t>
        </is>
      </c>
      <c r="K319" s="29" t="n">
        <v>45704</v>
      </c>
      <c r="L319" s="33" t="n"/>
    </row>
    <row r="320">
      <c r="A320" t="inlineStr">
        <is>
          <t>CLM512001</t>
        </is>
      </c>
      <c r="B320" t="inlineStr">
        <is>
          <t>ENC112001</t>
        </is>
      </c>
      <c r="C320" t="inlineStr">
        <is>
          <t>Medicare</t>
        </is>
      </c>
      <c r="D320" t="inlineStr">
        <is>
          <t>Outpatient</t>
        </is>
      </c>
      <c r="E320" s="29" t="n">
        <v>45693</v>
      </c>
      <c r="F320" s="29" t="n">
        <v>45695</v>
      </c>
      <c r="G320" s="31" t="n">
        <v>156.94</v>
      </c>
      <c r="H320" s="31" t="n">
        <v>43.8</v>
      </c>
      <c r="I320" t="inlineStr">
        <is>
          <t>Paid</t>
        </is>
      </c>
      <c r="K320" s="29" t="n">
        <v>45709</v>
      </c>
      <c r="L320" s="33" t="n"/>
    </row>
    <row r="321">
      <c r="A321" t="inlineStr">
        <is>
          <t>CLM512003</t>
        </is>
      </c>
      <c r="B321" t="inlineStr">
        <is>
          <t>ENC112003</t>
        </is>
      </c>
      <c r="C321" t="inlineStr">
        <is>
          <t>Evergreen Mutual Insurance</t>
        </is>
      </c>
      <c r="D321" t="inlineStr">
        <is>
          <t>Inpatient</t>
        </is>
      </c>
      <c r="E321" s="29" t="n">
        <v>45699</v>
      </c>
      <c r="F321" s="29" t="n">
        <v>45704</v>
      </c>
      <c r="G321" s="31" t="n">
        <v>81635.77</v>
      </c>
      <c r="H321" s="31" t="n">
        <v>36366.45</v>
      </c>
      <c r="I321" t="inlineStr">
        <is>
          <t>Paid</t>
        </is>
      </c>
      <c r="K321" s="29" t="n">
        <v>45730</v>
      </c>
      <c r="L321" s="33" t="n"/>
    </row>
    <row r="322">
      <c r="A322" t="inlineStr">
        <is>
          <t>CLM512005</t>
        </is>
      </c>
      <c r="B322" t="inlineStr">
        <is>
          <t>ENC112005</t>
        </is>
      </c>
      <c r="C322" t="inlineStr">
        <is>
          <t>Silverline Medicare Advantage</t>
        </is>
      </c>
      <c r="D322" t="inlineStr">
        <is>
          <t>Emergency</t>
        </is>
      </c>
      <c r="E322" s="29" t="n">
        <v>45693</v>
      </c>
      <c r="F322" s="29" t="n">
        <v>45699</v>
      </c>
      <c r="G322" s="31" t="n">
        <v>1729.17</v>
      </c>
      <c r="H322" s="31" t="n">
        <v>549.03</v>
      </c>
      <c r="I322" t="inlineStr">
        <is>
          <t>Paid</t>
        </is>
      </c>
      <c r="K322" s="29" t="n">
        <v>45722</v>
      </c>
      <c r="L322" s="33" t="n"/>
    </row>
    <row r="323">
      <c r="A323" t="inlineStr">
        <is>
          <t>CLM512006</t>
        </is>
      </c>
      <c r="B323" t="inlineStr">
        <is>
          <t>ENC112006</t>
        </is>
      </c>
      <c r="C323" t="inlineStr">
        <is>
          <t>Medicare</t>
        </is>
      </c>
      <c r="D323" t="inlineStr">
        <is>
          <t>Inpatient</t>
        </is>
      </c>
      <c r="E323" s="29" t="n">
        <v>45698</v>
      </c>
      <c r="F323" s="29" t="n">
        <v>45703</v>
      </c>
      <c r="G323" s="31" t="n">
        <v>34463.21</v>
      </c>
      <c r="H323" s="31" t="n">
        <v>10076.99</v>
      </c>
      <c r="I323" t="inlineStr">
        <is>
          <t>Paid</t>
        </is>
      </c>
      <c r="K323" s="29" t="n">
        <v>45719</v>
      </c>
      <c r="L323" s="33" t="n"/>
    </row>
    <row r="324">
      <c r="A324" t="inlineStr">
        <is>
          <t>CLM512011</t>
        </is>
      </c>
      <c r="B324" t="inlineStr">
        <is>
          <t>ENC112011</t>
        </is>
      </c>
      <c r="C324" t="inlineStr">
        <is>
          <t>State Medicaid</t>
        </is>
      </c>
      <c r="D324" t="inlineStr">
        <is>
          <t>Outpatient</t>
        </is>
      </c>
      <c r="E324" s="29" t="n">
        <v>45693</v>
      </c>
      <c r="F324" s="29" t="n">
        <v>45697</v>
      </c>
      <c r="G324" s="31" t="n">
        <v>463.85</v>
      </c>
      <c r="H324" s="31" t="n">
        <v>102</v>
      </c>
      <c r="I324" t="inlineStr">
        <is>
          <t>Paid</t>
        </is>
      </c>
      <c r="K324" s="29" t="n">
        <v>45723</v>
      </c>
      <c r="L324" s="33" t="n"/>
    </row>
    <row r="325">
      <c r="A325" t="inlineStr">
        <is>
          <t>CLM512013</t>
        </is>
      </c>
      <c r="B325" t="inlineStr">
        <is>
          <t>ENC112013</t>
        </is>
      </c>
      <c r="C325" t="inlineStr">
        <is>
          <t>Evergreen Mutual Insurance</t>
        </is>
      </c>
      <c r="D325" t="inlineStr">
        <is>
          <t>Outpatient</t>
        </is>
      </c>
      <c r="E325" s="29" t="n">
        <v>45693</v>
      </c>
      <c r="F325" s="29" t="n">
        <v>45699</v>
      </c>
      <c r="G325" s="31" t="n">
        <v>9302.59</v>
      </c>
      <c r="H325" s="31" t="n">
        <v>3668.88</v>
      </c>
      <c r="I325" t="inlineStr">
        <is>
          <t>Partially Paid</t>
        </is>
      </c>
      <c r="J325" t="inlineStr">
        <is>
          <t>Coding Error</t>
        </is>
      </c>
      <c r="K325" s="29" t="n">
        <v>45734</v>
      </c>
      <c r="L325" s="33" t="n"/>
    </row>
    <row r="326">
      <c r="A326" t="inlineStr">
        <is>
          <t>CLM512015</t>
        </is>
      </c>
      <c r="B326" t="inlineStr">
        <is>
          <t>ENC112015</t>
        </is>
      </c>
      <c r="C326" t="inlineStr">
        <is>
          <t>Medicare</t>
        </is>
      </c>
      <c r="D326" t="inlineStr">
        <is>
          <t>Outpatient</t>
        </is>
      </c>
      <c r="E326" s="29" t="n">
        <v>45693</v>
      </c>
      <c r="F326" s="29" t="n">
        <v>45695</v>
      </c>
      <c r="G326" s="31" t="n">
        <v>365.19</v>
      </c>
      <c r="H326" s="31" t="n">
        <v>97.89</v>
      </c>
      <c r="I326" t="inlineStr">
        <is>
          <t>Paid</t>
        </is>
      </c>
      <c r="K326" s="29" t="n">
        <v>45715</v>
      </c>
      <c r="L326" s="33" t="n"/>
    </row>
    <row r="327">
      <c r="A327" t="inlineStr">
        <is>
          <t>CLM512016</t>
        </is>
      </c>
      <c r="B327" t="inlineStr">
        <is>
          <t>ENC112016</t>
        </is>
      </c>
      <c r="C327" t="inlineStr">
        <is>
          <t>Self-Pay</t>
        </is>
      </c>
      <c r="D327" t="inlineStr">
        <is>
          <t>Outpatient</t>
        </is>
      </c>
      <c r="E327" s="29" t="n">
        <v>45693</v>
      </c>
      <c r="F327" s="29" t="n">
        <v>45697</v>
      </c>
      <c r="G327" s="31" t="n">
        <v>98.56999999999999</v>
      </c>
      <c r="H327" s="31" t="n">
        <v>39.71</v>
      </c>
      <c r="I327" t="inlineStr">
        <is>
          <t>Paid</t>
        </is>
      </c>
      <c r="K327" s="29" t="n">
        <v>45743</v>
      </c>
      <c r="L327" s="33" t="n"/>
    </row>
    <row r="328">
      <c r="A328" t="inlineStr">
        <is>
          <t>CLM512019</t>
        </is>
      </c>
      <c r="B328" t="inlineStr">
        <is>
          <t>ENC112019</t>
        </is>
      </c>
      <c r="C328" t="inlineStr">
        <is>
          <t>Silverline Medicare Advantage</t>
        </is>
      </c>
      <c r="D328" t="inlineStr">
        <is>
          <t>Outpatient</t>
        </is>
      </c>
      <c r="E328" s="29" t="n">
        <v>45693</v>
      </c>
      <c r="F328" s="29" t="n">
        <v>45696</v>
      </c>
      <c r="G328" s="31" t="n">
        <v>336.58</v>
      </c>
      <c r="H328" s="31" t="n">
        <v>93.13</v>
      </c>
      <c r="I328" t="inlineStr">
        <is>
          <t>Paid</t>
        </is>
      </c>
      <c r="K328" s="29" t="n">
        <v>45714</v>
      </c>
      <c r="L328" s="33" t="n"/>
    </row>
    <row r="329">
      <c r="A329" t="inlineStr">
        <is>
          <t>CLM512020</t>
        </is>
      </c>
      <c r="B329" t="inlineStr">
        <is>
          <t>ENC112020</t>
        </is>
      </c>
      <c r="C329" t="inlineStr">
        <is>
          <t>State Medicaid</t>
        </is>
      </c>
      <c r="D329" t="inlineStr">
        <is>
          <t>Outpatient</t>
        </is>
      </c>
      <c r="E329" s="29" t="n">
        <v>45693</v>
      </c>
      <c r="F329" s="29" t="n">
        <v>45698</v>
      </c>
      <c r="G329" s="31" t="n">
        <v>341.14</v>
      </c>
      <c r="H329" s="31" t="n">
        <v>71.55</v>
      </c>
      <c r="I329" t="inlineStr">
        <is>
          <t>Paid</t>
        </is>
      </c>
      <c r="K329" s="29" t="n">
        <v>45727</v>
      </c>
      <c r="L329" s="33" t="n"/>
    </row>
    <row r="330">
      <c r="A330" t="inlineStr">
        <is>
          <t>CLM512023</t>
        </is>
      </c>
      <c r="B330" t="inlineStr">
        <is>
          <t>ENC112023</t>
        </is>
      </c>
      <c r="C330" t="inlineStr">
        <is>
          <t>Medicare</t>
        </is>
      </c>
      <c r="D330" t="inlineStr">
        <is>
          <t>Outpatient</t>
        </is>
      </c>
      <c r="E330" s="29" t="n">
        <v>45693</v>
      </c>
      <c r="F330" s="29" t="n">
        <v>45699</v>
      </c>
      <c r="G330" s="31" t="n">
        <v>308.34</v>
      </c>
      <c r="H330" s="31" t="n">
        <v>62.99</v>
      </c>
      <c r="I330" t="inlineStr">
        <is>
          <t>Partially Paid</t>
        </is>
      </c>
      <c r="J330" t="inlineStr">
        <is>
          <t>Coding Error</t>
        </is>
      </c>
      <c r="K330" s="29" t="n">
        <v>45712</v>
      </c>
      <c r="L330" s="33" t="n"/>
    </row>
    <row r="331">
      <c r="A331" t="inlineStr">
        <is>
          <t>CLM512029</t>
        </is>
      </c>
      <c r="B331" t="inlineStr">
        <is>
          <t>ENC112029</t>
        </is>
      </c>
      <c r="C331" t="inlineStr">
        <is>
          <t>Keystone Health Partners</t>
        </is>
      </c>
      <c r="D331" t="inlineStr">
        <is>
          <t>Inpatient</t>
        </is>
      </c>
      <c r="E331" s="29" t="n">
        <v>45696</v>
      </c>
      <c r="F331" s="29" t="n">
        <v>45702</v>
      </c>
      <c r="G331" s="31" t="n">
        <v>13520.49</v>
      </c>
      <c r="H331" s="31" t="n">
        <v>5718.82</v>
      </c>
      <c r="I331" t="inlineStr">
        <is>
          <t>Paid</t>
        </is>
      </c>
      <c r="K331" s="29" t="n">
        <v>45737</v>
      </c>
      <c r="L331" s="33" t="n"/>
    </row>
    <row r="332">
      <c r="A332" t="inlineStr">
        <is>
          <t>CLM512031</t>
        </is>
      </c>
      <c r="B332" t="inlineStr">
        <is>
          <t>ENC112031</t>
        </is>
      </c>
      <c r="C332" t="inlineStr">
        <is>
          <t>Medicare</t>
        </is>
      </c>
      <c r="D332" t="inlineStr">
        <is>
          <t>Inpatient</t>
        </is>
      </c>
      <c r="E332" s="29" t="n">
        <v>45697</v>
      </c>
      <c r="F332" s="29" t="n">
        <v>45700</v>
      </c>
      <c r="G332" s="31" t="n">
        <v>54383.38</v>
      </c>
      <c r="H332" s="31" t="n">
        <v>16847.44</v>
      </c>
      <c r="I332" t="inlineStr">
        <is>
          <t>Paid</t>
        </is>
      </c>
      <c r="K332" s="29" t="n">
        <v>45711</v>
      </c>
      <c r="L332" s="33" t="n"/>
    </row>
    <row r="333">
      <c r="A333" t="inlineStr">
        <is>
          <t>CLM512033</t>
        </is>
      </c>
      <c r="B333" t="inlineStr">
        <is>
          <t>ENC112033</t>
        </is>
      </c>
      <c r="C333" t="inlineStr">
        <is>
          <t>Silverline Medicare Advantage</t>
        </is>
      </c>
      <c r="D333" t="inlineStr">
        <is>
          <t>Inpatient</t>
        </is>
      </c>
      <c r="E333" s="29" t="n">
        <v>45699</v>
      </c>
      <c r="F333" s="29" t="n">
        <v>45702</v>
      </c>
      <c r="G333" s="31" t="n">
        <v>30941.69</v>
      </c>
      <c r="H333" s="31" t="n">
        <v>9971.25</v>
      </c>
      <c r="I333" t="inlineStr">
        <is>
          <t>Paid</t>
        </is>
      </c>
      <c r="K333" s="29" t="n">
        <v>45754</v>
      </c>
      <c r="L333" s="33" t="n"/>
    </row>
    <row r="334">
      <c r="A334" t="inlineStr">
        <is>
          <t>CLM512039</t>
        </is>
      </c>
      <c r="B334" t="inlineStr">
        <is>
          <t>ENC112039</t>
        </is>
      </c>
      <c r="C334" t="inlineStr">
        <is>
          <t>Silverline Medicare Advantage</t>
        </is>
      </c>
      <c r="D334" t="inlineStr">
        <is>
          <t>Inpatient</t>
        </is>
      </c>
      <c r="E334" s="29" t="n">
        <v>45700</v>
      </c>
      <c r="F334" s="29" t="n">
        <v>45704</v>
      </c>
      <c r="G334" s="31" t="n">
        <v>44281.28</v>
      </c>
      <c r="H334" s="31" t="n">
        <v>12591.49</v>
      </c>
      <c r="I334" t="inlineStr">
        <is>
          <t>Paid</t>
        </is>
      </c>
      <c r="K334" s="29" t="n">
        <v>45735</v>
      </c>
      <c r="L334" s="33" t="n"/>
    </row>
    <row r="335">
      <c r="A335" t="inlineStr">
        <is>
          <t>CLM512043</t>
        </is>
      </c>
      <c r="B335" t="inlineStr">
        <is>
          <t>ENC112043</t>
        </is>
      </c>
      <c r="C335" t="inlineStr">
        <is>
          <t>Medicare</t>
        </is>
      </c>
      <c r="D335" t="inlineStr">
        <is>
          <t>Inpatient</t>
        </is>
      </c>
      <c r="E335" s="29" t="n">
        <v>45700</v>
      </c>
      <c r="F335" s="29" t="n">
        <v>45702</v>
      </c>
      <c r="G335" s="31" t="n">
        <v>29320.53</v>
      </c>
      <c r="H335" s="31" t="n">
        <v>7573.23</v>
      </c>
      <c r="I335" t="inlineStr">
        <is>
          <t>Paid</t>
        </is>
      </c>
      <c r="K335" s="29" t="n">
        <v>45727</v>
      </c>
      <c r="L335" s="33" t="n"/>
    </row>
    <row r="336">
      <c r="A336" t="inlineStr">
        <is>
          <t>CLM512052</t>
        </is>
      </c>
      <c r="B336" t="inlineStr">
        <is>
          <t>ENC112052</t>
        </is>
      </c>
      <c r="C336" t="inlineStr">
        <is>
          <t>Medicare</t>
        </is>
      </c>
      <c r="D336" t="inlineStr">
        <is>
          <t>Emergency</t>
        </is>
      </c>
      <c r="E336" s="29" t="n">
        <v>45694</v>
      </c>
      <c r="F336" s="29" t="n">
        <v>45699</v>
      </c>
      <c r="G336" s="31" t="n">
        <v>1412.08</v>
      </c>
      <c r="H336" s="31" t="n">
        <v>408.99</v>
      </c>
      <c r="I336" t="inlineStr">
        <is>
          <t>Paid</t>
        </is>
      </c>
      <c r="K336" s="29" t="n">
        <v>45711</v>
      </c>
      <c r="L336" s="33" t="n"/>
    </row>
    <row r="337">
      <c r="A337" t="inlineStr">
        <is>
          <t>CLM512055</t>
        </is>
      </c>
      <c r="B337" t="inlineStr">
        <is>
          <t>ENC112055</t>
        </is>
      </c>
      <c r="C337" t="inlineStr">
        <is>
          <t>Evergreen Mutual Insurance</t>
        </is>
      </c>
      <c r="D337" t="inlineStr">
        <is>
          <t>Outpatient</t>
        </is>
      </c>
      <c r="E337" s="29" t="n">
        <v>45694</v>
      </c>
      <c r="F337" s="29" t="n">
        <v>45696</v>
      </c>
      <c r="G337" s="31" t="n">
        <v>356.77</v>
      </c>
      <c r="H337" s="31" t="n">
        <v>156.09</v>
      </c>
      <c r="I337" t="inlineStr">
        <is>
          <t>Paid</t>
        </is>
      </c>
      <c r="K337" s="29" t="n">
        <v>45713</v>
      </c>
      <c r="L337" s="33" t="n"/>
    </row>
    <row r="338">
      <c r="A338" t="inlineStr">
        <is>
          <t>CLM512057</t>
        </is>
      </c>
      <c r="B338" t="inlineStr">
        <is>
          <t>ENC112057</t>
        </is>
      </c>
      <c r="C338" t="inlineStr">
        <is>
          <t>State Medicaid</t>
        </is>
      </c>
      <c r="D338" t="inlineStr">
        <is>
          <t>Emergency</t>
        </is>
      </c>
      <c r="E338" s="29" t="n">
        <v>45694</v>
      </c>
      <c r="F338" s="29" t="n">
        <v>45704</v>
      </c>
      <c r="G338" s="31" t="n">
        <v>4476.8</v>
      </c>
      <c r="H338" s="31" t="n">
        <v>0</v>
      </c>
      <c r="I338" t="inlineStr">
        <is>
          <t>Denied</t>
        </is>
      </c>
      <c r="J338" t="inlineStr">
        <is>
          <t>Duplicate Claim</t>
        </is>
      </c>
      <c r="L338" s="33" t="n"/>
    </row>
    <row r="339">
      <c r="A339" t="inlineStr">
        <is>
          <t>CLM512058</t>
        </is>
      </c>
      <c r="B339" t="inlineStr">
        <is>
          <t>ENC112058</t>
        </is>
      </c>
      <c r="C339" t="inlineStr">
        <is>
          <t>Medicare</t>
        </is>
      </c>
      <c r="D339" t="inlineStr">
        <is>
          <t>Emergency</t>
        </is>
      </c>
      <c r="E339" s="29" t="n">
        <v>45694</v>
      </c>
      <c r="F339" s="29" t="n">
        <v>45809</v>
      </c>
      <c r="G339" s="31" t="n">
        <v>929.05</v>
      </c>
      <c r="H339" s="31" t="n">
        <v>270.23</v>
      </c>
      <c r="I339" t="inlineStr">
        <is>
          <t>Paid</t>
        </is>
      </c>
      <c r="K339" s="29" t="n">
        <v>45824</v>
      </c>
      <c r="L339" s="33" t="n"/>
    </row>
    <row r="340">
      <c r="A340" t="inlineStr">
        <is>
          <t>CLM512061</t>
        </is>
      </c>
      <c r="B340" t="inlineStr">
        <is>
          <t>ENC112061</t>
        </is>
      </c>
      <c r="C340" t="inlineStr">
        <is>
          <t>Medicare</t>
        </is>
      </c>
      <c r="D340" t="inlineStr">
        <is>
          <t>Emergency</t>
        </is>
      </c>
      <c r="E340" s="29" t="n">
        <v>45694</v>
      </c>
      <c r="F340" s="29" t="n">
        <v>45696</v>
      </c>
      <c r="G340" s="31" t="n">
        <v>2761.05</v>
      </c>
      <c r="H340" s="31" t="n">
        <v>711.76</v>
      </c>
      <c r="I340" t="inlineStr">
        <is>
          <t>Paid</t>
        </is>
      </c>
      <c r="K340" s="29" t="n">
        <v>45720</v>
      </c>
      <c r="L340" s="33" t="n"/>
    </row>
    <row r="341">
      <c r="A341" t="inlineStr">
        <is>
          <t>CLM512063</t>
        </is>
      </c>
      <c r="B341" t="inlineStr">
        <is>
          <t>ENC112063</t>
        </is>
      </c>
      <c r="C341" t="inlineStr">
        <is>
          <t>Medicare</t>
        </is>
      </c>
      <c r="D341" t="inlineStr">
        <is>
          <t>Inpatient</t>
        </is>
      </c>
      <c r="E341" s="29" t="n">
        <v>45699</v>
      </c>
      <c r="F341" s="29" t="n">
        <v>45706</v>
      </c>
      <c r="G341" s="31" t="n">
        <v>25561.45</v>
      </c>
      <c r="H341" s="31" t="n">
        <v>6639.93</v>
      </c>
      <c r="I341" t="inlineStr">
        <is>
          <t>Paid</t>
        </is>
      </c>
      <c r="K341" s="29" t="n">
        <v>45722</v>
      </c>
      <c r="L341" s="33" t="n"/>
    </row>
    <row r="342">
      <c r="A342" t="inlineStr">
        <is>
          <t>CLM512065</t>
        </is>
      </c>
      <c r="B342" t="inlineStr">
        <is>
          <t>ENC112065</t>
        </is>
      </c>
      <c r="C342" t="inlineStr">
        <is>
          <t>Summit Choice PPO</t>
        </is>
      </c>
      <c r="D342" t="inlineStr">
        <is>
          <t>Outpatient</t>
        </is>
      </c>
      <c r="E342" s="29" t="n">
        <v>45694</v>
      </c>
      <c r="F342" s="29" t="n">
        <v>45697</v>
      </c>
      <c r="G342" s="31" t="n">
        <v>342.72</v>
      </c>
      <c r="H342" s="31" t="n">
        <v>184.44</v>
      </c>
      <c r="I342" t="inlineStr">
        <is>
          <t>Paid</t>
        </is>
      </c>
      <c r="K342" s="29" t="n">
        <v>45716</v>
      </c>
      <c r="L342" s="33" t="n"/>
    </row>
    <row r="343">
      <c r="A343" t="inlineStr">
        <is>
          <t>CLM512066</t>
        </is>
      </c>
      <c r="B343" t="inlineStr">
        <is>
          <t>ENC112066</t>
        </is>
      </c>
      <c r="C343" t="inlineStr">
        <is>
          <t>Silverline Medicare Advantage</t>
        </is>
      </c>
      <c r="D343" t="inlineStr">
        <is>
          <t>Emergency</t>
        </is>
      </c>
      <c r="E343" s="29" t="n">
        <v>45694</v>
      </c>
      <c r="F343" s="29" t="n">
        <v>45699</v>
      </c>
      <c r="G343" s="31" t="n">
        <v>1129.04</v>
      </c>
      <c r="H343" s="31" t="n">
        <v>369.01</v>
      </c>
      <c r="I343" t="inlineStr">
        <is>
          <t>Paid</t>
        </is>
      </c>
      <c r="K343" s="29" t="n">
        <v>45719</v>
      </c>
      <c r="L343" s="33" t="n"/>
    </row>
    <row r="344">
      <c r="A344" t="inlineStr">
        <is>
          <t>CLM512068</t>
        </is>
      </c>
      <c r="B344" t="inlineStr">
        <is>
          <t>ENC112068</t>
        </is>
      </c>
      <c r="C344" t="inlineStr">
        <is>
          <t>Evergreen Mutual Insurance</t>
        </is>
      </c>
      <c r="D344" t="inlineStr">
        <is>
          <t>Inpatient</t>
        </is>
      </c>
      <c r="E344" s="29" t="n">
        <v>45701</v>
      </c>
      <c r="F344" s="29" t="n">
        <v>45705</v>
      </c>
      <c r="G344" s="31" t="n">
        <v>36436.31</v>
      </c>
      <c r="H344" s="31" t="n">
        <v>0</v>
      </c>
      <c r="I344" t="inlineStr">
        <is>
          <t>Denied</t>
        </is>
      </c>
      <c r="J344" t="inlineStr">
        <is>
          <t>Medical Necessity</t>
        </is>
      </c>
      <c r="L344" s="33" t="n"/>
    </row>
    <row r="345">
      <c r="A345" t="inlineStr">
        <is>
          <t>CLM512071</t>
        </is>
      </c>
      <c r="B345" t="inlineStr">
        <is>
          <t>ENC112071</t>
        </is>
      </c>
      <c r="C345" t="inlineStr">
        <is>
          <t>Silverline Medicare Advantage</t>
        </is>
      </c>
      <c r="D345" t="inlineStr">
        <is>
          <t>Outpatient</t>
        </is>
      </c>
      <c r="E345" s="29" t="n">
        <v>45694</v>
      </c>
      <c r="F345" s="29" t="n">
        <v>45703</v>
      </c>
      <c r="G345" s="31" t="n">
        <v>167.4</v>
      </c>
      <c r="H345" s="31" t="n">
        <v>53.21</v>
      </c>
      <c r="I345" t="inlineStr">
        <is>
          <t>Paid</t>
        </is>
      </c>
      <c r="K345" s="29" t="n">
        <v>45734</v>
      </c>
      <c r="L345" s="33" t="n"/>
    </row>
    <row r="346">
      <c r="A346" t="inlineStr">
        <is>
          <t>CLM512074</t>
        </is>
      </c>
      <c r="B346" t="inlineStr">
        <is>
          <t>ENC112074</t>
        </is>
      </c>
      <c r="C346" t="inlineStr">
        <is>
          <t>Evergreen Mutual Insurance</t>
        </is>
      </c>
      <c r="D346" t="inlineStr">
        <is>
          <t>Outpatient</t>
        </is>
      </c>
      <c r="E346" s="29" t="n">
        <v>45694</v>
      </c>
      <c r="F346" s="29" t="n">
        <v>45700</v>
      </c>
      <c r="G346" s="31" t="n">
        <v>247.26</v>
      </c>
      <c r="H346" s="31" t="n">
        <v>93.12</v>
      </c>
      <c r="I346" t="inlineStr">
        <is>
          <t>Partially Paid</t>
        </is>
      </c>
      <c r="J346" t="inlineStr">
        <is>
          <t>Medical Necessity</t>
        </is>
      </c>
      <c r="K346" s="29" t="n">
        <v>45738</v>
      </c>
      <c r="L346" s="33" t="n"/>
    </row>
    <row r="347">
      <c r="A347" t="inlineStr">
        <is>
          <t>CLM512077</t>
        </is>
      </c>
      <c r="B347" t="inlineStr">
        <is>
          <t>ENC112077</t>
        </is>
      </c>
      <c r="C347" t="inlineStr">
        <is>
          <t>Self-Pay</t>
        </is>
      </c>
      <c r="D347" t="inlineStr">
        <is>
          <t>Inpatient</t>
        </is>
      </c>
      <c r="E347" s="29" t="n">
        <v>45695</v>
      </c>
      <c r="F347" s="29" t="n">
        <v>45697</v>
      </c>
      <c r="G347" s="31" t="n">
        <v>19573.63</v>
      </c>
      <c r="H347" s="31" t="n">
        <v>0</v>
      </c>
      <c r="I347" t="inlineStr">
        <is>
          <t>Pending</t>
        </is>
      </c>
      <c r="L347" s="33" t="n"/>
    </row>
    <row r="348">
      <c r="A348" t="inlineStr">
        <is>
          <t>CLM512078</t>
        </is>
      </c>
      <c r="B348" t="inlineStr">
        <is>
          <t>ENC112078</t>
        </is>
      </c>
      <c r="C348" t="inlineStr">
        <is>
          <t>Summit Choice PPO</t>
        </is>
      </c>
      <c r="D348" t="inlineStr">
        <is>
          <t>Emergency</t>
        </is>
      </c>
      <c r="E348" s="29" t="n">
        <v>45695</v>
      </c>
      <c r="F348" s="29" t="n">
        <v>45699</v>
      </c>
      <c r="G348" s="31" t="n">
        <v>3468.21</v>
      </c>
      <c r="H348" s="31" t="n">
        <v>1881.59</v>
      </c>
      <c r="I348" t="inlineStr">
        <is>
          <t>Paid</t>
        </is>
      </c>
      <c r="K348" s="29" t="n">
        <v>45719</v>
      </c>
      <c r="L348" s="33" t="n"/>
    </row>
    <row r="349">
      <c r="A349" t="inlineStr">
        <is>
          <t>CLM512079</t>
        </is>
      </c>
      <c r="B349" t="inlineStr">
        <is>
          <t>ENC112079</t>
        </is>
      </c>
      <c r="C349" t="inlineStr">
        <is>
          <t>Keystone Health Partners</t>
        </is>
      </c>
      <c r="D349" t="inlineStr">
        <is>
          <t>Inpatient</t>
        </is>
      </c>
      <c r="E349" s="29" t="n">
        <v>45698</v>
      </c>
      <c r="F349" s="29" t="n">
        <v>45701</v>
      </c>
      <c r="G349" s="31" t="n">
        <v>20922.26</v>
      </c>
      <c r="H349" s="31" t="n">
        <v>9758.6</v>
      </c>
      <c r="I349" t="inlineStr">
        <is>
          <t>Paid</t>
        </is>
      </c>
      <c r="K349" s="29" t="n">
        <v>45719</v>
      </c>
      <c r="L349" s="33" t="n"/>
    </row>
    <row r="350">
      <c r="A350" t="inlineStr">
        <is>
          <t>CLM512080</t>
        </is>
      </c>
      <c r="B350" t="inlineStr">
        <is>
          <t>ENC112080</t>
        </is>
      </c>
      <c r="C350" t="inlineStr">
        <is>
          <t>Medicare</t>
        </is>
      </c>
      <c r="D350" t="inlineStr">
        <is>
          <t>Inpatient</t>
        </is>
      </c>
      <c r="E350" s="29" t="n">
        <v>45703</v>
      </c>
      <c r="F350" s="29" t="n">
        <v>45709</v>
      </c>
      <c r="G350" s="31" t="n">
        <v>40189.87</v>
      </c>
      <c r="H350" s="31" t="n">
        <v>12548.77</v>
      </c>
      <c r="I350" t="inlineStr">
        <is>
          <t>Paid</t>
        </is>
      </c>
      <c r="K350" s="29" t="n">
        <v>45724</v>
      </c>
      <c r="L350" s="33" t="n"/>
    </row>
    <row r="351">
      <c r="A351" t="inlineStr">
        <is>
          <t>CLM512083</t>
        </is>
      </c>
      <c r="B351" t="inlineStr">
        <is>
          <t>ENC112083</t>
        </is>
      </c>
      <c r="C351" t="inlineStr">
        <is>
          <t>State Medicaid</t>
        </is>
      </c>
      <c r="D351" t="inlineStr">
        <is>
          <t>Inpatient</t>
        </is>
      </c>
      <c r="E351" s="29" t="n">
        <v>45699</v>
      </c>
      <c r="F351" s="29" t="n">
        <v>45703</v>
      </c>
      <c r="G351" s="31" t="n">
        <v>18730.23</v>
      </c>
      <c r="H351" s="31" t="n">
        <v>4125.39</v>
      </c>
      <c r="I351" t="inlineStr">
        <is>
          <t>Paid</t>
        </is>
      </c>
      <c r="K351" s="29" t="n">
        <v>45752</v>
      </c>
      <c r="L351" s="33" t="n"/>
    </row>
    <row r="352">
      <c r="A352" t="inlineStr">
        <is>
          <t>CLM512086</t>
        </is>
      </c>
      <c r="B352" t="inlineStr">
        <is>
          <t>ENC112086</t>
        </is>
      </c>
      <c r="C352" t="inlineStr">
        <is>
          <t>Medicare</t>
        </is>
      </c>
      <c r="D352" t="inlineStr">
        <is>
          <t>Inpatient</t>
        </is>
      </c>
      <c r="E352" s="29" t="n">
        <v>45698</v>
      </c>
      <c r="F352" s="29" t="n">
        <v>45699</v>
      </c>
      <c r="G352" s="31" t="n">
        <v>65582.95</v>
      </c>
      <c r="H352" s="31" t="n">
        <v>18488.16</v>
      </c>
      <c r="I352" t="inlineStr">
        <is>
          <t>Paid</t>
        </is>
      </c>
      <c r="K352" s="29" t="n">
        <v>45720</v>
      </c>
      <c r="L352" s="33" t="n"/>
    </row>
    <row r="353">
      <c r="A353" t="inlineStr">
        <is>
          <t>CLM512092</t>
        </is>
      </c>
      <c r="B353" t="inlineStr">
        <is>
          <t>ENC112092</t>
        </is>
      </c>
      <c r="C353" t="inlineStr">
        <is>
          <t>Silverline Medicare Advantage</t>
        </is>
      </c>
      <c r="D353" t="inlineStr">
        <is>
          <t>Outpatient</t>
        </is>
      </c>
      <c r="E353" s="29" t="n">
        <v>45695</v>
      </c>
      <c r="F353" s="29" t="n">
        <v>45700</v>
      </c>
      <c r="G353" s="31" t="n">
        <v>370.28</v>
      </c>
      <c r="H353" s="31" t="n">
        <v>111.79</v>
      </c>
      <c r="I353" t="inlineStr">
        <is>
          <t>Paid</t>
        </is>
      </c>
      <c r="K353" s="29" t="n">
        <v>45724</v>
      </c>
      <c r="L353" s="33" t="n"/>
    </row>
    <row r="354">
      <c r="A354" t="inlineStr">
        <is>
          <t>CLM512094</t>
        </is>
      </c>
      <c r="B354" t="inlineStr">
        <is>
          <t>ENC112094</t>
        </is>
      </c>
      <c r="C354" t="inlineStr">
        <is>
          <t>Keystone Health Partners</t>
        </is>
      </c>
      <c r="D354" t="inlineStr">
        <is>
          <t>Outpatient</t>
        </is>
      </c>
      <c r="E354" s="29" t="n">
        <v>45695</v>
      </c>
      <c r="F354" s="29" t="n">
        <v>45699</v>
      </c>
      <c r="G354" s="31" t="n">
        <v>302.22</v>
      </c>
      <c r="H354" s="31" t="n">
        <v>133.04</v>
      </c>
      <c r="I354" t="inlineStr">
        <is>
          <t>Paid</t>
        </is>
      </c>
      <c r="K354" s="29" t="n">
        <v>45720</v>
      </c>
      <c r="L354" s="33" t="n"/>
    </row>
    <row r="355">
      <c r="A355" t="inlineStr">
        <is>
          <t>CLM512096</t>
        </is>
      </c>
      <c r="B355" t="inlineStr">
        <is>
          <t>ENC112096</t>
        </is>
      </c>
      <c r="C355" t="inlineStr">
        <is>
          <t>State Medicaid</t>
        </is>
      </c>
      <c r="D355" t="inlineStr">
        <is>
          <t>Inpatient</t>
        </is>
      </c>
      <c r="E355" s="29" t="n">
        <v>45707</v>
      </c>
      <c r="F355" s="29" t="n">
        <v>45714</v>
      </c>
      <c r="G355" s="31" t="n">
        <v>126999.12</v>
      </c>
      <c r="H355" s="31" t="n">
        <v>19109.25</v>
      </c>
      <c r="I355" t="inlineStr">
        <is>
          <t>Partially Paid</t>
        </is>
      </c>
      <c r="J355" t="inlineStr">
        <is>
          <t>Coding Error</t>
        </is>
      </c>
      <c r="K355" s="29" t="n">
        <v>45742</v>
      </c>
      <c r="L355" s="33" t="n"/>
    </row>
    <row r="356">
      <c r="A356" t="inlineStr">
        <is>
          <t>CLM512107</t>
        </is>
      </c>
      <c r="B356" t="inlineStr">
        <is>
          <t>ENC112107</t>
        </is>
      </c>
      <c r="C356" t="inlineStr">
        <is>
          <t>Evergreen Mutual Insurance</t>
        </is>
      </c>
      <c r="D356" t="inlineStr">
        <is>
          <t>Inpatient</t>
        </is>
      </c>
      <c r="E356" s="29" t="n">
        <v>45701</v>
      </c>
      <c r="F356" s="29" t="n">
        <v>45706</v>
      </c>
      <c r="G356" s="31" t="n">
        <v>25461.35</v>
      </c>
      <c r="H356" s="31" t="n">
        <v>9709.5</v>
      </c>
      <c r="I356" t="inlineStr">
        <is>
          <t>Paid</t>
        </is>
      </c>
      <c r="K356" s="29" t="n">
        <v>45719</v>
      </c>
      <c r="L356" s="33" t="n"/>
    </row>
    <row r="357">
      <c r="A357" t="inlineStr">
        <is>
          <t>CLM512112</t>
        </is>
      </c>
      <c r="B357" t="inlineStr">
        <is>
          <t>ENC112112</t>
        </is>
      </c>
      <c r="C357" t="inlineStr">
        <is>
          <t>Medicare</t>
        </is>
      </c>
      <c r="D357" t="inlineStr">
        <is>
          <t>Inpatient</t>
        </is>
      </c>
      <c r="E357" s="29" t="n">
        <v>45700</v>
      </c>
      <c r="F357" s="29" t="n">
        <v>45704</v>
      </c>
      <c r="G357" s="31" t="n">
        <v>21661.68</v>
      </c>
      <c r="H357" s="31" t="n">
        <v>5725.48</v>
      </c>
      <c r="I357" t="inlineStr">
        <is>
          <t>Paid</t>
        </is>
      </c>
      <c r="K357" s="29" t="n">
        <v>45721</v>
      </c>
      <c r="L357" s="33" t="n"/>
    </row>
    <row r="358">
      <c r="A358" t="inlineStr">
        <is>
          <t>CLM512113</t>
        </is>
      </c>
      <c r="B358" t="inlineStr">
        <is>
          <t>ENC112113</t>
        </is>
      </c>
      <c r="C358" t="inlineStr">
        <is>
          <t>Keystone Health Partners</t>
        </is>
      </c>
      <c r="D358" t="inlineStr">
        <is>
          <t>Emergency</t>
        </is>
      </c>
      <c r="E358" s="29" t="n">
        <v>45695</v>
      </c>
      <c r="F358" s="29" t="n">
        <v>45697</v>
      </c>
      <c r="G358" s="31" t="n">
        <v>541.08</v>
      </c>
      <c r="H358" s="31" t="n">
        <v>262.88</v>
      </c>
      <c r="I358" t="inlineStr">
        <is>
          <t>Paid</t>
        </is>
      </c>
      <c r="K358" s="29" t="n">
        <v>45718</v>
      </c>
      <c r="L358" s="33" t="n"/>
    </row>
    <row r="359">
      <c r="A359" t="inlineStr">
        <is>
          <t>CLM512115</t>
        </is>
      </c>
      <c r="B359" t="inlineStr">
        <is>
          <t>ENC112115</t>
        </is>
      </c>
      <c r="C359" t="inlineStr">
        <is>
          <t>Evergreen Mutual Insurance</t>
        </is>
      </c>
      <c r="D359" t="inlineStr">
        <is>
          <t>Emergency</t>
        </is>
      </c>
      <c r="E359" s="29" t="n">
        <v>45695</v>
      </c>
      <c r="F359" s="29" t="n">
        <v>45703</v>
      </c>
      <c r="G359" s="31" t="n">
        <v>985.88</v>
      </c>
      <c r="H359" s="31" t="n">
        <v>437.37</v>
      </c>
      <c r="I359" t="inlineStr">
        <is>
          <t>Paid</t>
        </is>
      </c>
      <c r="K359" s="29" t="n">
        <v>45749</v>
      </c>
      <c r="L359" s="33" t="n"/>
    </row>
    <row r="360">
      <c r="A360" t="inlineStr">
        <is>
          <t>CLM512118</t>
        </is>
      </c>
      <c r="B360" t="inlineStr">
        <is>
          <t>ENC112118</t>
        </is>
      </c>
      <c r="C360" t="inlineStr">
        <is>
          <t>State Medicaid</t>
        </is>
      </c>
      <c r="D360" t="inlineStr">
        <is>
          <t>Emergency</t>
        </is>
      </c>
      <c r="E360" s="29" t="n">
        <v>45696</v>
      </c>
      <c r="F360" s="29" t="n">
        <v>45699</v>
      </c>
      <c r="G360" s="31" t="n">
        <v>1753.06</v>
      </c>
      <c r="H360" s="31" t="n">
        <v>0</v>
      </c>
      <c r="I360" t="inlineStr">
        <is>
          <t>Denied</t>
        </is>
      </c>
      <c r="J360" t="inlineStr">
        <is>
          <t>Medical Necessity</t>
        </is>
      </c>
      <c r="L360" s="33" t="n"/>
    </row>
    <row r="361">
      <c r="A361" t="inlineStr">
        <is>
          <t>CLM512119</t>
        </is>
      </c>
      <c r="B361" t="inlineStr">
        <is>
          <t>ENC112119</t>
        </is>
      </c>
      <c r="C361" t="inlineStr">
        <is>
          <t>Keystone Health Partners</t>
        </is>
      </c>
      <c r="D361" t="inlineStr">
        <is>
          <t>Emergency</t>
        </is>
      </c>
      <c r="E361" s="29" t="n">
        <v>45696</v>
      </c>
      <c r="F361" s="29" t="n">
        <v>45700</v>
      </c>
      <c r="G361" s="31" t="n">
        <v>2113.1</v>
      </c>
      <c r="H361" s="31" t="n">
        <v>911.4299999999999</v>
      </c>
      <c r="I361" t="inlineStr">
        <is>
          <t>Paid</t>
        </is>
      </c>
      <c r="K361" s="29" t="n">
        <v>45723</v>
      </c>
      <c r="L361" s="33" t="n"/>
    </row>
    <row r="362">
      <c r="A362" t="inlineStr">
        <is>
          <t>CLM512122</t>
        </is>
      </c>
      <c r="B362" t="inlineStr">
        <is>
          <t>ENC112122</t>
        </is>
      </c>
      <c r="C362" t="inlineStr">
        <is>
          <t>Keystone Health Partners</t>
        </is>
      </c>
      <c r="D362" t="inlineStr">
        <is>
          <t>Emergency</t>
        </is>
      </c>
      <c r="E362" s="29" t="n">
        <v>45696</v>
      </c>
      <c r="F362" s="29" t="n">
        <v>45698</v>
      </c>
      <c r="G362" s="31" t="n">
        <v>1202</v>
      </c>
      <c r="H362" s="31" t="n">
        <v>597.6799999999999</v>
      </c>
      <c r="I362" t="inlineStr">
        <is>
          <t>Paid</t>
        </is>
      </c>
      <c r="K362" s="29" t="n">
        <v>45716</v>
      </c>
      <c r="L362" s="33" t="n"/>
    </row>
    <row r="363">
      <c r="A363" t="inlineStr">
        <is>
          <t>CLM512126</t>
        </is>
      </c>
      <c r="B363" t="inlineStr">
        <is>
          <t>ENC112126</t>
        </is>
      </c>
      <c r="C363" t="inlineStr">
        <is>
          <t>State Medicaid</t>
        </is>
      </c>
      <c r="D363" t="inlineStr">
        <is>
          <t>Inpatient</t>
        </is>
      </c>
      <c r="E363" s="29" t="n">
        <v>45699</v>
      </c>
      <c r="F363" s="29" t="n">
        <v>45702</v>
      </c>
      <c r="G363" s="31" t="n">
        <v>18923.83</v>
      </c>
      <c r="H363" s="31" t="n">
        <v>4276.36</v>
      </c>
      <c r="I363" t="inlineStr">
        <is>
          <t>Paid</t>
        </is>
      </c>
      <c r="K363" s="29" t="n">
        <v>45750</v>
      </c>
      <c r="L363" s="33" t="n"/>
    </row>
    <row r="364">
      <c r="A364" t="inlineStr">
        <is>
          <t>CLM512129</t>
        </is>
      </c>
      <c r="B364" t="inlineStr">
        <is>
          <t>ENC112129</t>
        </is>
      </c>
      <c r="C364" t="inlineStr">
        <is>
          <t>Silverline Medicare Advantage</t>
        </is>
      </c>
      <c r="D364" t="inlineStr">
        <is>
          <t>Inpatient</t>
        </is>
      </c>
      <c r="E364" s="29" t="n">
        <v>45704</v>
      </c>
      <c r="F364" s="29" t="n">
        <v>45710</v>
      </c>
      <c r="G364" s="31" t="n">
        <v>90864.39</v>
      </c>
      <c r="H364" s="31" t="n">
        <v>28818.69</v>
      </c>
      <c r="I364" t="inlineStr">
        <is>
          <t>Paid</t>
        </is>
      </c>
      <c r="K364" s="29" t="n">
        <v>45737</v>
      </c>
      <c r="L364" s="33" t="n"/>
    </row>
    <row r="365">
      <c r="A365" t="inlineStr">
        <is>
          <t>CLM512135</t>
        </is>
      </c>
      <c r="B365" t="inlineStr">
        <is>
          <t>ENC112135</t>
        </is>
      </c>
      <c r="C365" t="inlineStr">
        <is>
          <t>Keystone Health Partners</t>
        </is>
      </c>
      <c r="D365" t="inlineStr">
        <is>
          <t>Inpatient</t>
        </is>
      </c>
      <c r="E365" s="29" t="n">
        <v>45700</v>
      </c>
      <c r="F365" s="29" t="n">
        <v>45705</v>
      </c>
      <c r="G365" s="31" t="n">
        <v>15607.32</v>
      </c>
      <c r="H365" s="31" t="n">
        <v>6566.53</v>
      </c>
      <c r="I365" t="inlineStr">
        <is>
          <t>Paid</t>
        </is>
      </c>
      <c r="K365" s="29" t="n">
        <v>45716</v>
      </c>
      <c r="L365" s="33" t="n"/>
    </row>
    <row r="366">
      <c r="A366" t="inlineStr">
        <is>
          <t>CLM512136</t>
        </is>
      </c>
      <c r="B366" t="inlineStr">
        <is>
          <t>ENC112136</t>
        </is>
      </c>
      <c r="C366" t="inlineStr">
        <is>
          <t>Self-Pay</t>
        </is>
      </c>
      <c r="D366" t="inlineStr">
        <is>
          <t>Inpatient</t>
        </is>
      </c>
      <c r="E366" s="29" t="n">
        <v>45700</v>
      </c>
      <c r="F366" s="29" t="n">
        <v>45706</v>
      </c>
      <c r="G366" s="31" t="n">
        <v>18965.09</v>
      </c>
      <c r="H366" s="31" t="n">
        <v>0</v>
      </c>
      <c r="I366" t="inlineStr">
        <is>
          <t>Pending</t>
        </is>
      </c>
      <c r="L366" s="33" t="n"/>
    </row>
    <row r="367">
      <c r="A367" t="inlineStr">
        <is>
          <t>CLM512140</t>
        </is>
      </c>
      <c r="B367" t="inlineStr">
        <is>
          <t>ENC112140</t>
        </is>
      </c>
      <c r="C367" t="inlineStr">
        <is>
          <t>State Medicaid</t>
        </is>
      </c>
      <c r="D367" t="inlineStr">
        <is>
          <t>Emergency</t>
        </is>
      </c>
      <c r="E367" s="29" t="n">
        <v>45697</v>
      </c>
      <c r="F367" s="29" t="n">
        <v>45702</v>
      </c>
      <c r="G367" s="31" t="n">
        <v>667.09</v>
      </c>
      <c r="H367" s="31" t="n">
        <v>151.36</v>
      </c>
      <c r="I367" t="inlineStr">
        <is>
          <t>Paid</t>
        </is>
      </c>
      <c r="K367" s="29" t="n">
        <v>45713</v>
      </c>
      <c r="L367" s="33" t="n"/>
    </row>
    <row r="368">
      <c r="A368" t="inlineStr">
        <is>
          <t>CLM512141</t>
        </is>
      </c>
      <c r="B368" t="inlineStr">
        <is>
          <t>ENC112141</t>
        </is>
      </c>
      <c r="C368" t="inlineStr">
        <is>
          <t>Evergreen Mutual Insurance</t>
        </is>
      </c>
      <c r="D368" t="inlineStr">
        <is>
          <t>Inpatient</t>
        </is>
      </c>
      <c r="E368" s="29" t="n">
        <v>45701</v>
      </c>
      <c r="F368" s="29" t="n">
        <v>45710</v>
      </c>
      <c r="G368" s="31" t="n">
        <v>18604.03</v>
      </c>
      <c r="H368" s="31" t="n">
        <v>7466.51</v>
      </c>
      <c r="I368" t="inlineStr">
        <is>
          <t>Partially Paid</t>
        </is>
      </c>
      <c r="J368" t="inlineStr">
        <is>
          <t>Medical Necessity</t>
        </is>
      </c>
      <c r="K368" s="29" t="n">
        <v>45758</v>
      </c>
      <c r="L368" s="33" t="n"/>
    </row>
    <row r="369">
      <c r="A369" t="inlineStr">
        <is>
          <t>CLM512144</t>
        </is>
      </c>
      <c r="B369" t="inlineStr">
        <is>
          <t>ENC112144</t>
        </is>
      </c>
      <c r="C369" t="inlineStr">
        <is>
          <t>Keystone Health Partners</t>
        </is>
      </c>
      <c r="D369" t="inlineStr">
        <is>
          <t>Inpatient</t>
        </is>
      </c>
      <c r="E369" s="29" t="n">
        <v>45703</v>
      </c>
      <c r="F369" s="29" t="n">
        <v>45706</v>
      </c>
      <c r="G369" s="31" t="n">
        <v>66370.78999999999</v>
      </c>
      <c r="H369" s="31" t="n">
        <v>35429.8</v>
      </c>
      <c r="I369" t="inlineStr">
        <is>
          <t>Paid</t>
        </is>
      </c>
      <c r="K369" s="29" t="n">
        <v>45728</v>
      </c>
      <c r="L369" s="33" t="n"/>
    </row>
    <row r="370">
      <c r="A370" t="inlineStr">
        <is>
          <t>CLM512145</t>
        </is>
      </c>
      <c r="B370" t="inlineStr">
        <is>
          <t>ENC112145</t>
        </is>
      </c>
      <c r="C370" t="inlineStr">
        <is>
          <t>Summit Choice PPO</t>
        </is>
      </c>
      <c r="D370" t="inlineStr">
        <is>
          <t>Emergency</t>
        </is>
      </c>
      <c r="E370" s="29" t="n">
        <v>45697</v>
      </c>
      <c r="F370" s="29" t="n">
        <v>45708</v>
      </c>
      <c r="G370" s="31" t="n">
        <v>967.61</v>
      </c>
      <c r="H370" s="31" t="n">
        <v>463.74</v>
      </c>
      <c r="I370" t="inlineStr">
        <is>
          <t>Paid</t>
        </is>
      </c>
      <c r="K370" s="29" t="n">
        <v>45721</v>
      </c>
      <c r="L370" s="33" t="n"/>
    </row>
    <row r="371">
      <c r="A371" t="inlineStr">
        <is>
          <t>CLM512160</t>
        </is>
      </c>
      <c r="B371" t="inlineStr">
        <is>
          <t>ENC112160</t>
        </is>
      </c>
      <c r="C371" t="inlineStr">
        <is>
          <t>Medicare</t>
        </is>
      </c>
      <c r="D371" t="inlineStr">
        <is>
          <t>Emergency</t>
        </is>
      </c>
      <c r="E371" s="29" t="n">
        <v>45697</v>
      </c>
      <c r="F371" s="29" t="n">
        <v>45704</v>
      </c>
      <c r="G371" s="31" t="n">
        <v>495.91</v>
      </c>
      <c r="H371" s="31" t="n">
        <v>141.97</v>
      </c>
      <c r="I371" t="inlineStr">
        <is>
          <t>Paid</t>
        </is>
      </c>
      <c r="K371" s="29" t="n">
        <v>45727</v>
      </c>
      <c r="L371" s="33" t="n"/>
    </row>
    <row r="372">
      <c r="A372" t="inlineStr">
        <is>
          <t>CLM512169</t>
        </is>
      </c>
      <c r="B372" t="inlineStr">
        <is>
          <t>ENC112169</t>
        </is>
      </c>
      <c r="C372" t="inlineStr">
        <is>
          <t>Keystone Health Partners</t>
        </is>
      </c>
      <c r="D372" t="inlineStr">
        <is>
          <t>Inpatient</t>
        </is>
      </c>
      <c r="E372" s="29" t="n">
        <v>45704</v>
      </c>
      <c r="F372" s="29" t="n">
        <v>45744</v>
      </c>
      <c r="G372" s="31" t="n">
        <v>27857.79</v>
      </c>
      <c r="H372" s="31" t="n">
        <v>12330.42</v>
      </c>
      <c r="I372" t="inlineStr">
        <is>
          <t>Paid</t>
        </is>
      </c>
      <c r="K372" s="29" t="n">
        <v>45778</v>
      </c>
      <c r="L372" s="33" t="n"/>
    </row>
    <row r="373">
      <c r="A373" t="inlineStr">
        <is>
          <t>CLM512176</t>
        </is>
      </c>
      <c r="B373" t="inlineStr">
        <is>
          <t>ENC112176</t>
        </is>
      </c>
      <c r="C373" t="inlineStr">
        <is>
          <t>Keystone Health Partners</t>
        </is>
      </c>
      <c r="D373" t="inlineStr">
        <is>
          <t>Outpatient</t>
        </is>
      </c>
      <c r="E373" s="29" t="n">
        <v>45698</v>
      </c>
      <c r="F373" s="29" t="n">
        <v>45703</v>
      </c>
      <c r="G373" s="31" t="n">
        <v>125.4</v>
      </c>
      <c r="H373" s="31" t="n">
        <v>58.66</v>
      </c>
      <c r="I373" t="inlineStr">
        <is>
          <t>Paid</t>
        </is>
      </c>
      <c r="K373" s="29" t="n">
        <v>45734</v>
      </c>
      <c r="L373" s="33" t="n"/>
    </row>
    <row r="374">
      <c r="A374" t="inlineStr">
        <is>
          <t>CLM512184</t>
        </is>
      </c>
      <c r="B374" t="inlineStr">
        <is>
          <t>ENC112184</t>
        </is>
      </c>
      <c r="C374" t="inlineStr">
        <is>
          <t>Silverline Medicare Advantage</t>
        </is>
      </c>
      <c r="D374" t="inlineStr">
        <is>
          <t>Outpatient</t>
        </is>
      </c>
      <c r="E374" s="29" t="n">
        <v>45698</v>
      </c>
      <c r="F374" s="29" t="n">
        <v>45706</v>
      </c>
      <c r="G374" s="31" t="n">
        <v>429.38</v>
      </c>
      <c r="H374" s="31" t="n">
        <v>136.93</v>
      </c>
      <c r="I374" t="inlineStr">
        <is>
          <t>Paid</t>
        </is>
      </c>
      <c r="K374" s="29" t="n">
        <v>45758</v>
      </c>
      <c r="L374" s="33" t="n"/>
    </row>
    <row r="375">
      <c r="A375" t="inlineStr">
        <is>
          <t>CLM512185</t>
        </is>
      </c>
      <c r="B375" t="inlineStr">
        <is>
          <t>ENC112185</t>
        </is>
      </c>
      <c r="C375" t="inlineStr">
        <is>
          <t>Evergreen Mutual Insurance</t>
        </is>
      </c>
      <c r="D375" t="inlineStr">
        <is>
          <t>Outpatient</t>
        </is>
      </c>
      <c r="E375" s="29" t="n">
        <v>45698</v>
      </c>
      <c r="F375" s="29" t="n">
        <v>45700</v>
      </c>
      <c r="G375" s="31" t="n">
        <v>98.84</v>
      </c>
      <c r="H375" s="31" t="n">
        <v>39.65</v>
      </c>
      <c r="I375" t="inlineStr">
        <is>
          <t>Paid</t>
        </is>
      </c>
      <c r="K375" s="29" t="n">
        <v>45743</v>
      </c>
      <c r="L375" s="33" t="n"/>
    </row>
    <row r="376">
      <c r="A376" t="inlineStr">
        <is>
          <t>CLM512189</t>
        </is>
      </c>
      <c r="B376" t="inlineStr">
        <is>
          <t>ENC112189</t>
        </is>
      </c>
      <c r="C376" t="inlineStr">
        <is>
          <t>Keystone Health Partners</t>
        </is>
      </c>
      <c r="D376" t="inlineStr">
        <is>
          <t>Inpatient</t>
        </is>
      </c>
      <c r="E376" s="29" t="n">
        <v>45702</v>
      </c>
      <c r="F376" s="29" t="n">
        <v>45708</v>
      </c>
      <c r="G376" s="31" t="n">
        <v>29390.22</v>
      </c>
      <c r="H376" s="31" t="n">
        <v>12236.41</v>
      </c>
      <c r="I376" t="inlineStr">
        <is>
          <t>Paid</t>
        </is>
      </c>
      <c r="K376" s="29" t="n">
        <v>45734</v>
      </c>
      <c r="L376" s="33" t="n"/>
    </row>
    <row r="377">
      <c r="A377" t="inlineStr">
        <is>
          <t>CLM512190</t>
        </is>
      </c>
      <c r="B377" t="inlineStr">
        <is>
          <t>ENC112190</t>
        </is>
      </c>
      <c r="C377" t="inlineStr">
        <is>
          <t>Medicare</t>
        </is>
      </c>
      <c r="D377" t="inlineStr">
        <is>
          <t>Inpatient</t>
        </is>
      </c>
      <c r="E377" s="29" t="n">
        <v>45700</v>
      </c>
      <c r="F377" s="29" t="n">
        <v>45701</v>
      </c>
      <c r="G377" s="31" t="n">
        <v>11960.67</v>
      </c>
      <c r="H377" s="31" t="n">
        <v>0</v>
      </c>
      <c r="I377" t="inlineStr">
        <is>
          <t>Denied</t>
        </is>
      </c>
      <c r="J377" t="inlineStr">
        <is>
          <t>Authorization Required</t>
        </is>
      </c>
      <c r="L377" s="33" t="n"/>
    </row>
    <row r="378">
      <c r="A378" t="inlineStr">
        <is>
          <t>CLM512191</t>
        </is>
      </c>
      <c r="B378" t="inlineStr">
        <is>
          <t>ENC112191</t>
        </is>
      </c>
      <c r="C378" t="inlineStr">
        <is>
          <t>State Medicaid</t>
        </is>
      </c>
      <c r="D378" t="inlineStr">
        <is>
          <t>Emergency</t>
        </is>
      </c>
      <c r="E378" s="29" t="n">
        <v>45698</v>
      </c>
      <c r="F378" s="29" t="n">
        <v>45712</v>
      </c>
      <c r="G378" s="31" t="n">
        <v>3733.66</v>
      </c>
      <c r="H378" s="31" t="n">
        <v>890.45</v>
      </c>
      <c r="I378" t="inlineStr">
        <is>
          <t>Paid</t>
        </is>
      </c>
      <c r="K378" s="29" t="n">
        <v>45757</v>
      </c>
      <c r="L378" s="33" t="n"/>
    </row>
    <row r="379">
      <c r="A379" t="inlineStr">
        <is>
          <t>CLM512196</t>
        </is>
      </c>
      <c r="B379" t="inlineStr">
        <is>
          <t>ENC112196</t>
        </is>
      </c>
      <c r="C379" t="inlineStr">
        <is>
          <t>Keystone Health Partners</t>
        </is>
      </c>
      <c r="D379" t="inlineStr">
        <is>
          <t>Inpatient</t>
        </is>
      </c>
      <c r="E379" s="29" t="n">
        <v>45701</v>
      </c>
      <c r="F379" s="29" t="n">
        <v>45704</v>
      </c>
      <c r="G379" s="31" t="n">
        <v>27511.43</v>
      </c>
      <c r="H379" s="31" t="n">
        <v>12735.64</v>
      </c>
      <c r="I379" t="inlineStr">
        <is>
          <t>Paid</t>
        </is>
      </c>
      <c r="K379" s="29" t="n">
        <v>45735</v>
      </c>
      <c r="L379" s="33" t="n"/>
    </row>
    <row r="380">
      <c r="A380" t="inlineStr">
        <is>
          <t>CLM512197</t>
        </is>
      </c>
      <c r="B380" t="inlineStr">
        <is>
          <t>ENC112197</t>
        </is>
      </c>
      <c r="C380" t="inlineStr">
        <is>
          <t>Workers' Compensation</t>
        </is>
      </c>
      <c r="D380" t="inlineStr">
        <is>
          <t>Emergency</t>
        </is>
      </c>
      <c r="E380" s="29" t="n">
        <v>45698</v>
      </c>
      <c r="F380" s="29" t="n">
        <v>45702</v>
      </c>
      <c r="G380" s="31" t="n">
        <v>2708.25</v>
      </c>
      <c r="H380" s="31" t="n">
        <v>1857.46</v>
      </c>
      <c r="I380" t="inlineStr">
        <is>
          <t>Paid</t>
        </is>
      </c>
      <c r="K380" s="29" t="n">
        <v>45765</v>
      </c>
      <c r="L380" s="33" t="n"/>
    </row>
    <row r="381">
      <c r="A381" t="inlineStr">
        <is>
          <t>CLM512203</t>
        </is>
      </c>
      <c r="B381" t="inlineStr">
        <is>
          <t>ENC112203</t>
        </is>
      </c>
      <c r="C381" t="inlineStr">
        <is>
          <t>Summit Choice PPO</t>
        </is>
      </c>
      <c r="D381" t="inlineStr">
        <is>
          <t>Emergency</t>
        </is>
      </c>
      <c r="E381" s="29" t="n">
        <v>45699</v>
      </c>
      <c r="F381" s="29" t="n">
        <v>45705</v>
      </c>
      <c r="G381" s="31" t="n">
        <v>2554.58</v>
      </c>
      <c r="H381" s="31" t="n">
        <v>1090.61</v>
      </c>
      <c r="I381" t="inlineStr">
        <is>
          <t>Paid</t>
        </is>
      </c>
      <c r="K381" s="29" t="n">
        <v>45732</v>
      </c>
      <c r="L381" s="33" t="n"/>
    </row>
    <row r="382">
      <c r="A382" t="inlineStr">
        <is>
          <t>CLM512204</t>
        </is>
      </c>
      <c r="B382" t="inlineStr">
        <is>
          <t>ENC112204</t>
        </is>
      </c>
      <c r="C382" t="inlineStr">
        <is>
          <t>Silverline Medicare Advantage</t>
        </is>
      </c>
      <c r="D382" t="inlineStr">
        <is>
          <t>Inpatient</t>
        </is>
      </c>
      <c r="E382" s="29" t="n">
        <v>45705</v>
      </c>
      <c r="F382" s="29" t="n">
        <v>45709</v>
      </c>
      <c r="G382" s="31" t="n">
        <v>22844.4</v>
      </c>
      <c r="H382" s="31" t="n">
        <v>0</v>
      </c>
      <c r="I382" t="inlineStr">
        <is>
          <t>Denied</t>
        </is>
      </c>
      <c r="J382" t="inlineStr">
        <is>
          <t>Authorization Required</t>
        </is>
      </c>
      <c r="L382" s="33" t="n"/>
    </row>
    <row r="383">
      <c r="A383" t="inlineStr">
        <is>
          <t>CLM512215</t>
        </is>
      </c>
      <c r="B383" t="inlineStr">
        <is>
          <t>ENC112215</t>
        </is>
      </c>
      <c r="C383" t="inlineStr">
        <is>
          <t>Evergreen Mutual Insurance</t>
        </is>
      </c>
      <c r="D383" t="inlineStr">
        <is>
          <t>Outpatient</t>
        </is>
      </c>
      <c r="E383" s="29" t="n">
        <v>45699</v>
      </c>
      <c r="F383" s="29" t="n">
        <v>45701</v>
      </c>
      <c r="G383" s="31" t="n">
        <v>372.93</v>
      </c>
      <c r="H383" s="31" t="n">
        <v>159.33</v>
      </c>
      <c r="I383" t="inlineStr">
        <is>
          <t>Paid</t>
        </is>
      </c>
      <c r="K383" s="29" t="n">
        <v>45721</v>
      </c>
      <c r="L383" s="33" t="n"/>
    </row>
    <row r="384">
      <c r="A384" t="inlineStr">
        <is>
          <t>CLM512218</t>
        </is>
      </c>
      <c r="B384" t="inlineStr">
        <is>
          <t>ENC112218</t>
        </is>
      </c>
      <c r="C384" t="inlineStr">
        <is>
          <t>Medicare</t>
        </is>
      </c>
      <c r="D384" t="inlineStr">
        <is>
          <t>Outpatient</t>
        </is>
      </c>
      <c r="E384" s="29" t="n">
        <v>45699</v>
      </c>
      <c r="F384" s="29" t="n">
        <v>45704</v>
      </c>
      <c r="G384" s="31" t="n">
        <v>121.97</v>
      </c>
      <c r="H384" s="31" t="n">
        <v>36.66</v>
      </c>
      <c r="I384" t="inlineStr">
        <is>
          <t>Paid</t>
        </is>
      </c>
      <c r="K384" s="29" t="n">
        <v>45713</v>
      </c>
      <c r="L384" s="33" t="n"/>
    </row>
    <row r="385">
      <c r="A385" t="inlineStr">
        <is>
          <t>CLM512221</t>
        </is>
      </c>
      <c r="B385" t="inlineStr">
        <is>
          <t>ENC112221</t>
        </is>
      </c>
      <c r="C385" t="inlineStr">
        <is>
          <t>State Medicaid</t>
        </is>
      </c>
      <c r="D385" t="inlineStr">
        <is>
          <t>Outpatient</t>
        </is>
      </c>
      <c r="E385" s="29" t="n">
        <v>45699</v>
      </c>
      <c r="F385" s="29" t="n">
        <v>45704</v>
      </c>
      <c r="G385" s="31" t="n">
        <v>105.21</v>
      </c>
      <c r="H385" s="31" t="n">
        <v>24.07</v>
      </c>
      <c r="I385" t="inlineStr">
        <is>
          <t>Paid</t>
        </is>
      </c>
      <c r="K385" s="29" t="n">
        <v>45740</v>
      </c>
      <c r="L385" s="33" t="n"/>
    </row>
    <row r="386">
      <c r="A386" t="inlineStr">
        <is>
          <t>CLM512222</t>
        </is>
      </c>
      <c r="B386" t="inlineStr">
        <is>
          <t>ENC112222</t>
        </is>
      </c>
      <c r="C386" t="inlineStr">
        <is>
          <t>State Medicaid</t>
        </is>
      </c>
      <c r="D386" t="inlineStr">
        <is>
          <t>Outpatient</t>
        </is>
      </c>
      <c r="E386" s="29" t="n">
        <v>45699</v>
      </c>
      <c r="F386" s="29" t="n">
        <v>45702</v>
      </c>
      <c r="G386" s="31" t="n">
        <v>10721.04</v>
      </c>
      <c r="H386" s="31" t="n">
        <v>2259.24</v>
      </c>
      <c r="I386" t="inlineStr">
        <is>
          <t>Paid</t>
        </is>
      </c>
      <c r="K386" s="29" t="n">
        <v>45778</v>
      </c>
      <c r="L386" s="33" t="n"/>
    </row>
    <row r="387">
      <c r="A387" t="inlineStr">
        <is>
          <t>CLM512223</t>
        </is>
      </c>
      <c r="B387" t="inlineStr">
        <is>
          <t>ENC112223</t>
        </is>
      </c>
      <c r="C387" t="inlineStr">
        <is>
          <t>Summit Choice PPO</t>
        </is>
      </c>
      <c r="D387" t="inlineStr">
        <is>
          <t>Outpatient</t>
        </is>
      </c>
      <c r="E387" s="29" t="n">
        <v>45699</v>
      </c>
      <c r="F387" s="29" t="n">
        <v>45717</v>
      </c>
      <c r="G387" s="31" t="n">
        <v>232.79</v>
      </c>
      <c r="H387" s="31" t="n">
        <v>70.73999999999999</v>
      </c>
      <c r="I387" t="inlineStr">
        <is>
          <t>Partially Paid</t>
        </is>
      </c>
      <c r="J387" t="inlineStr">
        <is>
          <t>Missing Documentation</t>
        </is>
      </c>
      <c r="K387" s="29" t="n">
        <v>45733</v>
      </c>
      <c r="L387" s="33" t="n"/>
    </row>
    <row r="388">
      <c r="A388" t="inlineStr">
        <is>
          <t>CLM512225</t>
        </is>
      </c>
      <c r="B388" t="inlineStr">
        <is>
          <t>ENC112225</t>
        </is>
      </c>
      <c r="C388" t="inlineStr">
        <is>
          <t>Keystone Health Partners</t>
        </is>
      </c>
      <c r="D388" t="inlineStr">
        <is>
          <t>Inpatient</t>
        </is>
      </c>
      <c r="E388" s="29" t="n">
        <v>45715</v>
      </c>
      <c r="F388" s="29" t="n">
        <v>45716</v>
      </c>
      <c r="G388" s="31" t="n">
        <v>165467.2</v>
      </c>
      <c r="H388" s="31" t="n">
        <v>81269.52</v>
      </c>
      <c r="I388" t="inlineStr">
        <is>
          <t>Paid</t>
        </is>
      </c>
      <c r="K388" s="29" t="n">
        <v>45735</v>
      </c>
      <c r="L388" s="33" t="n"/>
    </row>
    <row r="389">
      <c r="A389" t="inlineStr">
        <is>
          <t>CLM512234</t>
        </is>
      </c>
      <c r="B389" t="inlineStr">
        <is>
          <t>ENC112234</t>
        </is>
      </c>
      <c r="C389" t="inlineStr">
        <is>
          <t>Self-Pay</t>
        </is>
      </c>
      <c r="D389" t="inlineStr">
        <is>
          <t>Outpatient</t>
        </is>
      </c>
      <c r="E389" s="29" t="n">
        <v>45699</v>
      </c>
      <c r="F389" s="29" t="n">
        <v>45704</v>
      </c>
      <c r="G389" s="31" t="n">
        <v>296.58</v>
      </c>
      <c r="H389" s="31" t="n">
        <v>0</v>
      </c>
      <c r="I389" t="inlineStr">
        <is>
          <t>Pending</t>
        </is>
      </c>
      <c r="L389" s="33" t="n"/>
    </row>
    <row r="390">
      <c r="A390" t="inlineStr">
        <is>
          <t>CLM512236</t>
        </is>
      </c>
      <c r="B390" t="inlineStr">
        <is>
          <t>ENC112236</t>
        </is>
      </c>
      <c r="C390" t="inlineStr">
        <is>
          <t>Summit Choice PPO</t>
        </is>
      </c>
      <c r="D390" t="inlineStr">
        <is>
          <t>Emergency</t>
        </is>
      </c>
      <c r="E390" s="29" t="n">
        <v>45699</v>
      </c>
      <c r="F390" s="29" t="n">
        <v>45703</v>
      </c>
      <c r="G390" s="31" t="n">
        <v>4332</v>
      </c>
      <c r="H390" s="31" t="n">
        <v>2247.79</v>
      </c>
      <c r="I390" t="inlineStr">
        <is>
          <t>Paid</t>
        </is>
      </c>
      <c r="K390" s="29" t="n">
        <v>45727</v>
      </c>
      <c r="L390" s="33" t="n"/>
    </row>
    <row r="391">
      <c r="A391" t="inlineStr">
        <is>
          <t>CLM512237</t>
        </is>
      </c>
      <c r="B391" t="inlineStr">
        <is>
          <t>ENC112237</t>
        </is>
      </c>
      <c r="C391" t="inlineStr">
        <is>
          <t>State Medicaid</t>
        </is>
      </c>
      <c r="D391" t="inlineStr">
        <is>
          <t>Emergency</t>
        </is>
      </c>
      <c r="E391" s="29" t="n">
        <v>45699</v>
      </c>
      <c r="F391" s="29" t="n">
        <v>45707</v>
      </c>
      <c r="G391" s="31" t="n">
        <v>4128.33</v>
      </c>
      <c r="H391" s="31" t="n">
        <v>1012.01</v>
      </c>
      <c r="I391" t="inlineStr">
        <is>
          <t>Paid</t>
        </is>
      </c>
      <c r="K391" s="29" t="n">
        <v>45752</v>
      </c>
      <c r="L391" s="33" t="n"/>
    </row>
    <row r="392">
      <c r="A392" t="inlineStr">
        <is>
          <t>CLM512238</t>
        </is>
      </c>
      <c r="B392" t="inlineStr">
        <is>
          <t>ENC112238</t>
        </is>
      </c>
      <c r="C392" t="inlineStr">
        <is>
          <t>Silverline Medicare Advantage</t>
        </is>
      </c>
      <c r="D392" t="inlineStr">
        <is>
          <t>Outpatient</t>
        </is>
      </c>
      <c r="E392" s="29" t="n">
        <v>45699</v>
      </c>
      <c r="F392" s="29" t="n">
        <v>45706</v>
      </c>
      <c r="G392" s="31" t="n">
        <v>371.65</v>
      </c>
      <c r="H392" s="31" t="n">
        <v>111.25</v>
      </c>
      <c r="I392" t="inlineStr">
        <is>
          <t>Paid</t>
        </is>
      </c>
      <c r="K392" s="29" t="n">
        <v>45729</v>
      </c>
      <c r="L392" s="33" t="n"/>
    </row>
    <row r="393">
      <c r="A393" t="inlineStr">
        <is>
          <t>CLM512242</t>
        </is>
      </c>
      <c r="B393" t="inlineStr">
        <is>
          <t>ENC112242</t>
        </is>
      </c>
      <c r="C393" t="inlineStr">
        <is>
          <t>Keystone Health Partners</t>
        </is>
      </c>
      <c r="D393" t="inlineStr">
        <is>
          <t>Emergency</t>
        </is>
      </c>
      <c r="E393" s="29" t="n">
        <v>45699</v>
      </c>
      <c r="F393" s="29" t="n">
        <v>45708</v>
      </c>
      <c r="G393" s="31" t="n">
        <v>4132.17</v>
      </c>
      <c r="H393" s="31" t="n">
        <v>2050.58</v>
      </c>
      <c r="I393" t="inlineStr">
        <is>
          <t>Paid</t>
        </is>
      </c>
      <c r="K393" s="29" t="n">
        <v>45737</v>
      </c>
      <c r="L393" s="33" t="n"/>
    </row>
    <row r="394">
      <c r="A394" t="inlineStr">
        <is>
          <t>CLM512245</t>
        </is>
      </c>
      <c r="B394" t="inlineStr">
        <is>
          <t>ENC112245</t>
        </is>
      </c>
      <c r="C394" t="inlineStr">
        <is>
          <t>State Medicaid</t>
        </is>
      </c>
      <c r="D394" t="inlineStr">
        <is>
          <t>Emergency</t>
        </is>
      </c>
      <c r="E394" s="29" t="n">
        <v>45699</v>
      </c>
      <c r="F394" s="29" t="n">
        <v>45704</v>
      </c>
      <c r="G394" s="31" t="n">
        <v>1304.75</v>
      </c>
      <c r="H394" s="31" t="n">
        <v>314.32</v>
      </c>
      <c r="I394" t="inlineStr">
        <is>
          <t>Paid</t>
        </is>
      </c>
      <c r="K394" s="29" t="n">
        <v>45745</v>
      </c>
      <c r="L394" s="33" t="n"/>
    </row>
    <row r="395">
      <c r="A395" t="inlineStr">
        <is>
          <t>CLM512250</t>
        </is>
      </c>
      <c r="B395" t="inlineStr">
        <is>
          <t>ENC112250</t>
        </is>
      </c>
      <c r="C395" t="inlineStr">
        <is>
          <t>State Medicaid</t>
        </is>
      </c>
      <c r="D395" t="inlineStr">
        <is>
          <t>Emergency</t>
        </is>
      </c>
      <c r="E395" s="29" t="n">
        <v>45700</v>
      </c>
      <c r="F395" s="29" t="n">
        <v>45706</v>
      </c>
      <c r="G395" s="31" t="n">
        <v>3564.7</v>
      </c>
      <c r="H395" s="31" t="n">
        <v>790.89</v>
      </c>
      <c r="I395" t="inlineStr">
        <is>
          <t>Paid</t>
        </is>
      </c>
      <c r="K395" s="29" t="n">
        <v>45738</v>
      </c>
      <c r="L395" s="33" t="n"/>
    </row>
    <row r="396">
      <c r="A396" t="inlineStr">
        <is>
          <t>CLM512254</t>
        </is>
      </c>
      <c r="B396" t="inlineStr">
        <is>
          <t>ENC112254</t>
        </is>
      </c>
      <c r="C396" t="inlineStr">
        <is>
          <t>Evergreen Mutual Insurance</t>
        </is>
      </c>
      <c r="D396" t="inlineStr">
        <is>
          <t>Emergency</t>
        </is>
      </c>
      <c r="E396" s="29" t="n">
        <v>45700</v>
      </c>
      <c r="F396" s="29" t="n">
        <v>45705</v>
      </c>
      <c r="G396" s="31" t="n">
        <v>1033.31</v>
      </c>
      <c r="H396" s="31" t="n">
        <v>419.8</v>
      </c>
      <c r="I396" t="inlineStr">
        <is>
          <t>Paid</t>
        </is>
      </c>
      <c r="K396" s="29" t="n">
        <v>45733</v>
      </c>
      <c r="L396" s="33" t="n"/>
    </row>
    <row r="397">
      <c r="A397" t="inlineStr">
        <is>
          <t>CLM512256</t>
        </is>
      </c>
      <c r="B397" t="inlineStr">
        <is>
          <t>ENC112256</t>
        </is>
      </c>
      <c r="C397" t="inlineStr">
        <is>
          <t>Keystone Health Partners</t>
        </is>
      </c>
      <c r="D397" t="inlineStr">
        <is>
          <t>Outpatient</t>
        </is>
      </c>
      <c r="E397" s="29" t="n">
        <v>45700</v>
      </c>
      <c r="F397" s="29" t="n">
        <v>45705</v>
      </c>
      <c r="G397" s="31" t="n">
        <v>461.7</v>
      </c>
      <c r="H397" s="31" t="n">
        <v>221.24</v>
      </c>
      <c r="I397" t="inlineStr">
        <is>
          <t>Paid</t>
        </is>
      </c>
      <c r="K397" s="29" t="n">
        <v>45735</v>
      </c>
      <c r="L397" s="33" t="n"/>
    </row>
    <row r="398">
      <c r="A398" t="inlineStr">
        <is>
          <t>CLM512274</t>
        </is>
      </c>
      <c r="B398" t="inlineStr">
        <is>
          <t>ENC112274</t>
        </is>
      </c>
      <c r="C398" t="inlineStr">
        <is>
          <t>Keystone Health Partners</t>
        </is>
      </c>
      <c r="D398" t="inlineStr">
        <is>
          <t>Emergency</t>
        </is>
      </c>
      <c r="E398" s="29" t="n">
        <v>45700</v>
      </c>
      <c r="F398" s="29" t="n">
        <v>45703</v>
      </c>
      <c r="G398" s="31" t="n">
        <v>1844.45</v>
      </c>
      <c r="H398" s="31" t="n">
        <v>779.64</v>
      </c>
      <c r="I398" t="inlineStr">
        <is>
          <t>Paid</t>
        </is>
      </c>
      <c r="K398" s="29" t="n">
        <v>45725</v>
      </c>
      <c r="L398" s="33" t="n"/>
    </row>
    <row r="399">
      <c r="A399" t="inlineStr">
        <is>
          <t>CLM512277</t>
        </is>
      </c>
      <c r="B399" t="inlineStr">
        <is>
          <t>ENC112277</t>
        </is>
      </c>
      <c r="C399" t="inlineStr">
        <is>
          <t>State Medicaid</t>
        </is>
      </c>
      <c r="D399" t="inlineStr">
        <is>
          <t>Emergency</t>
        </is>
      </c>
      <c r="E399" s="29" t="n">
        <v>45700</v>
      </c>
      <c r="F399" s="29" t="n">
        <v>45702</v>
      </c>
      <c r="G399" s="31" t="n">
        <v>1449.88</v>
      </c>
      <c r="H399" s="31" t="n">
        <v>351.15</v>
      </c>
      <c r="I399" t="inlineStr">
        <is>
          <t>Paid</t>
        </is>
      </c>
      <c r="K399" s="29" t="n">
        <v>45729</v>
      </c>
      <c r="L399" s="33" t="n"/>
    </row>
    <row r="400">
      <c r="A400" t="inlineStr">
        <is>
          <t>CLM512292</t>
        </is>
      </c>
      <c r="B400" t="inlineStr">
        <is>
          <t>ENC112292</t>
        </is>
      </c>
      <c r="C400" t="inlineStr">
        <is>
          <t>Self-Pay</t>
        </is>
      </c>
      <c r="D400" t="inlineStr">
        <is>
          <t>Outpatient</t>
        </is>
      </c>
      <c r="E400" s="29" t="n">
        <v>45701</v>
      </c>
      <c r="F400" s="29" t="n">
        <v>45709</v>
      </c>
      <c r="G400" s="31" t="n">
        <v>123.51</v>
      </c>
      <c r="H400" s="31" t="n">
        <v>5.8</v>
      </c>
      <c r="I400" t="inlineStr">
        <is>
          <t>Partially Paid</t>
        </is>
      </c>
      <c r="K400" s="29" t="n">
        <v>45818</v>
      </c>
      <c r="L400" s="33" t="n"/>
    </row>
    <row r="401">
      <c r="A401" t="inlineStr">
        <is>
          <t>CLM512299</t>
        </is>
      </c>
      <c r="B401" t="inlineStr">
        <is>
          <t>ENC112299</t>
        </is>
      </c>
      <c r="C401" t="inlineStr">
        <is>
          <t>Medicare</t>
        </is>
      </c>
      <c r="D401" t="inlineStr">
        <is>
          <t>Outpatient</t>
        </is>
      </c>
      <c r="E401" s="29" t="n">
        <v>45701</v>
      </c>
      <c r="F401" s="29" t="n">
        <v>45706</v>
      </c>
      <c r="G401" s="31" t="n">
        <v>519.38</v>
      </c>
      <c r="H401" s="31" t="n">
        <v>127.02</v>
      </c>
      <c r="I401" t="inlineStr">
        <is>
          <t>Paid</t>
        </is>
      </c>
      <c r="K401" s="29" t="n">
        <v>45717</v>
      </c>
      <c r="L401" s="33" t="n"/>
    </row>
    <row r="402">
      <c r="A402" t="inlineStr">
        <is>
          <t>CLM512302</t>
        </is>
      </c>
      <c r="B402" t="inlineStr">
        <is>
          <t>ENC112302</t>
        </is>
      </c>
      <c r="C402" t="inlineStr">
        <is>
          <t>State Medicaid</t>
        </is>
      </c>
      <c r="D402" t="inlineStr">
        <is>
          <t>Outpatient</t>
        </is>
      </c>
      <c r="E402" s="29" t="n">
        <v>45701</v>
      </c>
      <c r="F402" s="29" t="n">
        <v>45707</v>
      </c>
      <c r="G402" s="31" t="n">
        <v>346.85</v>
      </c>
      <c r="H402" s="31" t="n">
        <v>81.09</v>
      </c>
      <c r="I402" t="inlineStr">
        <is>
          <t>Paid</t>
        </is>
      </c>
      <c r="K402" s="29" t="n">
        <v>45735</v>
      </c>
      <c r="L402" s="33" t="n"/>
    </row>
    <row r="403">
      <c r="A403" t="inlineStr">
        <is>
          <t>CLM512307</t>
        </is>
      </c>
      <c r="B403" t="inlineStr">
        <is>
          <t>ENC112307</t>
        </is>
      </c>
      <c r="C403" t="inlineStr">
        <is>
          <t>State Medicaid</t>
        </is>
      </c>
      <c r="D403" t="inlineStr">
        <is>
          <t>Outpatient</t>
        </is>
      </c>
      <c r="E403" s="29" t="n">
        <v>45701</v>
      </c>
      <c r="F403" s="29" t="n">
        <v>45707</v>
      </c>
      <c r="G403" s="31" t="n">
        <v>324.54</v>
      </c>
      <c r="H403" s="31" t="n">
        <v>79</v>
      </c>
      <c r="I403" t="inlineStr">
        <is>
          <t>Paid</t>
        </is>
      </c>
      <c r="K403" s="29" t="n">
        <v>45738</v>
      </c>
      <c r="L403" s="33" t="n"/>
    </row>
    <row r="404">
      <c r="A404" t="inlineStr">
        <is>
          <t>CLM512320</t>
        </is>
      </c>
      <c r="B404" t="inlineStr">
        <is>
          <t>ENC112320</t>
        </is>
      </c>
      <c r="C404" t="inlineStr">
        <is>
          <t>State Medicaid</t>
        </is>
      </c>
      <c r="D404" t="inlineStr">
        <is>
          <t>Outpatient</t>
        </is>
      </c>
      <c r="E404" s="29" t="n">
        <v>45701</v>
      </c>
      <c r="F404" s="29" t="n">
        <v>45705</v>
      </c>
      <c r="G404" s="31" t="n">
        <v>329.58</v>
      </c>
      <c r="H404" s="31" t="n">
        <v>76.84999999999999</v>
      </c>
      <c r="I404" t="inlineStr">
        <is>
          <t>Paid</t>
        </is>
      </c>
      <c r="K404" s="29" t="n">
        <v>45731</v>
      </c>
      <c r="L404" s="33" t="n"/>
    </row>
    <row r="405">
      <c r="A405" t="inlineStr">
        <is>
          <t>CLM512322</t>
        </is>
      </c>
      <c r="B405" t="inlineStr">
        <is>
          <t>ENC112322</t>
        </is>
      </c>
      <c r="C405" t="inlineStr">
        <is>
          <t>Keystone Health Partners</t>
        </is>
      </c>
      <c r="D405" t="inlineStr">
        <is>
          <t>Emergency</t>
        </is>
      </c>
      <c r="E405" s="29" t="n">
        <v>45701</v>
      </c>
      <c r="F405" s="29" t="n">
        <v>45703</v>
      </c>
      <c r="G405" s="31" t="n">
        <v>725.92</v>
      </c>
      <c r="H405" s="31" t="n">
        <v>365.1</v>
      </c>
      <c r="I405" t="inlineStr">
        <is>
          <t>Paid</t>
        </is>
      </c>
      <c r="K405" s="29" t="n">
        <v>45717</v>
      </c>
      <c r="L405" s="33" t="n"/>
    </row>
    <row r="406">
      <c r="A406" t="inlineStr">
        <is>
          <t>CLM512330</t>
        </is>
      </c>
      <c r="B406" t="inlineStr">
        <is>
          <t>ENC112330</t>
        </is>
      </c>
      <c r="C406" t="inlineStr">
        <is>
          <t>Evergreen Mutual Insurance</t>
        </is>
      </c>
      <c r="D406" t="inlineStr">
        <is>
          <t>Inpatient</t>
        </is>
      </c>
      <c r="E406" s="29" t="n">
        <v>45708</v>
      </c>
      <c r="F406" s="29" t="n">
        <v>45711</v>
      </c>
      <c r="G406" s="31" t="n">
        <v>28200.39</v>
      </c>
      <c r="H406" s="31" t="n">
        <v>0</v>
      </c>
      <c r="I406" t="inlineStr">
        <is>
          <t>Denied</t>
        </is>
      </c>
      <c r="J406" t="inlineStr">
        <is>
          <t>Authorization Required</t>
        </is>
      </c>
      <c r="L406" s="33" t="n"/>
    </row>
    <row r="407">
      <c r="A407" t="inlineStr">
        <is>
          <t>CLM512337</t>
        </is>
      </c>
      <c r="B407" t="inlineStr">
        <is>
          <t>ENC112337</t>
        </is>
      </c>
      <c r="C407" t="inlineStr">
        <is>
          <t>State Medicaid</t>
        </is>
      </c>
      <c r="D407" t="inlineStr">
        <is>
          <t>Outpatient</t>
        </is>
      </c>
      <c r="E407" s="29" t="n">
        <v>45702</v>
      </c>
      <c r="F407" s="29" t="n">
        <v>45707</v>
      </c>
      <c r="G407" s="31" t="n">
        <v>129.85</v>
      </c>
      <c r="H407" s="31" t="n">
        <v>31.98</v>
      </c>
      <c r="I407" t="inlineStr">
        <is>
          <t>Paid</t>
        </is>
      </c>
      <c r="K407" s="29" t="n">
        <v>45746</v>
      </c>
      <c r="L407" s="33" t="n"/>
    </row>
    <row r="408">
      <c r="A408" t="inlineStr">
        <is>
          <t>CLM512340</t>
        </is>
      </c>
      <c r="B408" t="inlineStr">
        <is>
          <t>ENC112340</t>
        </is>
      </c>
      <c r="C408" t="inlineStr">
        <is>
          <t>State Medicaid</t>
        </is>
      </c>
      <c r="D408" t="inlineStr">
        <is>
          <t>Outpatient</t>
        </is>
      </c>
      <c r="E408" s="29" t="n">
        <v>45702</v>
      </c>
      <c r="F408" s="29" t="n">
        <v>45709</v>
      </c>
      <c r="G408" s="31" t="n">
        <v>317.25</v>
      </c>
      <c r="H408" s="31" t="n">
        <v>79.3</v>
      </c>
      <c r="I408" t="inlineStr">
        <is>
          <t>Paid</t>
        </is>
      </c>
      <c r="K408" s="29" t="n">
        <v>45746</v>
      </c>
      <c r="L408" s="33" t="n"/>
    </row>
    <row r="409">
      <c r="A409" t="inlineStr">
        <is>
          <t>CLM512352</t>
        </is>
      </c>
      <c r="B409" t="inlineStr">
        <is>
          <t>ENC112352</t>
        </is>
      </c>
      <c r="C409" t="inlineStr">
        <is>
          <t>Keystone Health Partners</t>
        </is>
      </c>
      <c r="D409" t="inlineStr">
        <is>
          <t>Emergency</t>
        </is>
      </c>
      <c r="E409" s="29" t="n">
        <v>45702</v>
      </c>
      <c r="F409" s="29" t="n">
        <v>45709</v>
      </c>
      <c r="G409" s="31" t="n">
        <v>1957.31</v>
      </c>
      <c r="H409" s="31" t="n">
        <v>891.13</v>
      </c>
      <c r="I409" t="inlineStr">
        <is>
          <t>Paid</t>
        </is>
      </c>
      <c r="K409" s="29" t="n">
        <v>45730</v>
      </c>
      <c r="L409" s="33" t="n"/>
    </row>
    <row r="410">
      <c r="A410" t="inlineStr">
        <is>
          <t>CLM512355</t>
        </is>
      </c>
      <c r="B410" t="inlineStr">
        <is>
          <t>ENC112355</t>
        </is>
      </c>
      <c r="C410" t="inlineStr">
        <is>
          <t>Evergreen Mutual Insurance</t>
        </is>
      </c>
      <c r="D410" t="inlineStr">
        <is>
          <t>Inpatient</t>
        </is>
      </c>
      <c r="E410" s="29" t="n">
        <v>45705</v>
      </c>
      <c r="F410" s="29" t="n">
        <v>45708</v>
      </c>
      <c r="G410" s="31" t="n">
        <v>10999.42</v>
      </c>
      <c r="H410" s="31" t="n">
        <v>5628.18</v>
      </c>
      <c r="I410" t="inlineStr">
        <is>
          <t>Paid</t>
        </is>
      </c>
      <c r="K410" s="29" t="n">
        <v>45728</v>
      </c>
      <c r="L410" s="33" t="n"/>
    </row>
    <row r="411">
      <c r="A411" t="inlineStr">
        <is>
          <t>CLM512359</t>
        </is>
      </c>
      <c r="B411" t="inlineStr">
        <is>
          <t>ENC112359</t>
        </is>
      </c>
      <c r="C411" t="inlineStr">
        <is>
          <t>Medicare</t>
        </is>
      </c>
      <c r="D411" t="inlineStr">
        <is>
          <t>Inpatient</t>
        </is>
      </c>
      <c r="E411" s="29" t="n">
        <v>45706</v>
      </c>
      <c r="F411" s="29" t="n">
        <v>45708</v>
      </c>
      <c r="G411" s="31" t="n">
        <v>18440.45</v>
      </c>
      <c r="H411" s="31" t="n">
        <v>4543.42</v>
      </c>
      <c r="I411" t="inlineStr">
        <is>
          <t>Paid</t>
        </is>
      </c>
      <c r="K411" s="29" t="n">
        <v>45721</v>
      </c>
      <c r="L411" s="33" t="n"/>
    </row>
    <row r="412">
      <c r="A412" t="inlineStr">
        <is>
          <t>CLM512364</t>
        </is>
      </c>
      <c r="B412" t="inlineStr">
        <is>
          <t>ENC112364</t>
        </is>
      </c>
      <c r="C412" t="inlineStr">
        <is>
          <t>Evergreen Mutual Insurance</t>
        </is>
      </c>
      <c r="D412" t="inlineStr">
        <is>
          <t>Inpatient</t>
        </is>
      </c>
      <c r="E412" s="29" t="n">
        <v>45708</v>
      </c>
      <c r="F412" s="29" t="n">
        <v>45711</v>
      </c>
      <c r="G412" s="31" t="n">
        <v>26930.09</v>
      </c>
      <c r="H412" s="31" t="n">
        <v>11128.09</v>
      </c>
      <c r="I412" t="inlineStr">
        <is>
          <t>Paid</t>
        </is>
      </c>
      <c r="K412" s="29" t="n">
        <v>45749</v>
      </c>
      <c r="L412" s="33" t="n"/>
    </row>
    <row r="413">
      <c r="A413" t="inlineStr">
        <is>
          <t>CLM512370</t>
        </is>
      </c>
      <c r="B413" t="inlineStr">
        <is>
          <t>ENC112370</t>
        </is>
      </c>
      <c r="C413" t="inlineStr">
        <is>
          <t>Silverline Medicare Advantage</t>
        </is>
      </c>
      <c r="D413" t="inlineStr">
        <is>
          <t>Inpatient</t>
        </is>
      </c>
      <c r="E413" s="29" t="n">
        <v>45708</v>
      </c>
      <c r="F413" s="29" t="n">
        <v>45712</v>
      </c>
      <c r="G413" s="31" t="n">
        <v>16001.6</v>
      </c>
      <c r="H413" s="31" t="n">
        <v>4404.64</v>
      </c>
      <c r="I413" t="inlineStr">
        <is>
          <t>Paid</t>
        </is>
      </c>
      <c r="K413" s="29" t="n">
        <v>45749</v>
      </c>
      <c r="L413" s="33" t="n"/>
    </row>
    <row r="414">
      <c r="A414" t="inlineStr">
        <is>
          <t>CLM512377</t>
        </is>
      </c>
      <c r="B414" t="inlineStr">
        <is>
          <t>ENC112377</t>
        </is>
      </c>
      <c r="C414" t="inlineStr">
        <is>
          <t>Summit Choice PPO</t>
        </is>
      </c>
      <c r="D414" t="inlineStr">
        <is>
          <t>Inpatient</t>
        </is>
      </c>
      <c r="E414" s="29" t="n">
        <v>45707</v>
      </c>
      <c r="F414" s="29" t="n">
        <v>45711</v>
      </c>
      <c r="G414" s="31" t="n">
        <v>15958.25</v>
      </c>
      <c r="H414" s="31" t="n">
        <v>8157.67</v>
      </c>
      <c r="I414" t="inlineStr">
        <is>
          <t>Paid</t>
        </is>
      </c>
      <c r="K414" s="29" t="n">
        <v>45728</v>
      </c>
      <c r="L414" s="33" t="n"/>
    </row>
    <row r="415">
      <c r="A415" t="inlineStr">
        <is>
          <t>CLM512386</t>
        </is>
      </c>
      <c r="B415" t="inlineStr">
        <is>
          <t>ENC112386</t>
        </is>
      </c>
      <c r="C415" t="inlineStr">
        <is>
          <t>Silverline Medicare Advantage</t>
        </is>
      </c>
      <c r="D415" t="inlineStr">
        <is>
          <t>Emergency</t>
        </is>
      </c>
      <c r="E415" s="29" t="n">
        <v>45704</v>
      </c>
      <c r="F415" s="29" t="n">
        <v>45713</v>
      </c>
      <c r="G415" s="31" t="n">
        <v>1916.43</v>
      </c>
      <c r="H415" s="31" t="n">
        <v>630.15</v>
      </c>
      <c r="I415" t="inlineStr">
        <is>
          <t>Paid</t>
        </is>
      </c>
      <c r="K415" s="29" t="n">
        <v>45746</v>
      </c>
      <c r="L415" s="33" t="n"/>
    </row>
    <row r="416">
      <c r="A416" t="inlineStr">
        <is>
          <t>CLM512390</t>
        </is>
      </c>
      <c r="B416" t="inlineStr">
        <is>
          <t>ENC112390</t>
        </is>
      </c>
      <c r="C416" t="inlineStr">
        <is>
          <t>State Medicaid</t>
        </is>
      </c>
      <c r="D416" t="inlineStr">
        <is>
          <t>Emergency</t>
        </is>
      </c>
      <c r="E416" s="29" t="n">
        <v>45704</v>
      </c>
      <c r="F416" s="29" t="n">
        <v>45705</v>
      </c>
      <c r="G416" s="31" t="n">
        <v>3249.09</v>
      </c>
      <c r="H416" s="31" t="n">
        <v>836.9400000000001</v>
      </c>
      <c r="I416" t="inlineStr">
        <is>
          <t>Paid</t>
        </is>
      </c>
      <c r="K416" s="29" t="n">
        <v>45728</v>
      </c>
      <c r="L416" s="33" t="n"/>
    </row>
    <row r="417">
      <c r="A417" t="inlineStr">
        <is>
          <t>CLM512391</t>
        </is>
      </c>
      <c r="B417" t="inlineStr">
        <is>
          <t>ENC112391</t>
        </is>
      </c>
      <c r="C417" t="inlineStr">
        <is>
          <t>Self-Pay</t>
        </is>
      </c>
      <c r="D417" t="inlineStr">
        <is>
          <t>Inpatient</t>
        </is>
      </c>
      <c r="E417" s="29" t="n">
        <v>45709</v>
      </c>
      <c r="F417" s="29" t="n">
        <v>45713</v>
      </c>
      <c r="G417" s="31" t="n">
        <v>21455.55</v>
      </c>
      <c r="H417" s="31" t="n">
        <v>2628.42</v>
      </c>
      <c r="I417" t="inlineStr">
        <is>
          <t>Partially Paid</t>
        </is>
      </c>
      <c r="K417" s="29" t="n">
        <v>45801</v>
      </c>
      <c r="L417" s="33" t="n"/>
    </row>
    <row r="418">
      <c r="A418" t="inlineStr">
        <is>
          <t>CLM512393</t>
        </is>
      </c>
      <c r="B418" t="inlineStr">
        <is>
          <t>ENC112393</t>
        </is>
      </c>
      <c r="C418" t="inlineStr">
        <is>
          <t>Keystone Health Partners</t>
        </is>
      </c>
      <c r="D418" t="inlineStr">
        <is>
          <t>Emergency</t>
        </is>
      </c>
      <c r="E418" s="29" t="n">
        <v>45704</v>
      </c>
      <c r="F418" s="29" t="n">
        <v>45710</v>
      </c>
      <c r="G418" s="31" t="n">
        <v>4101.47</v>
      </c>
      <c r="H418" s="31" t="n">
        <v>1933.57</v>
      </c>
      <c r="I418" t="inlineStr">
        <is>
          <t>Paid</t>
        </is>
      </c>
      <c r="K418" s="29" t="n">
        <v>45732</v>
      </c>
      <c r="L418" s="33" t="n"/>
    </row>
    <row r="419">
      <c r="A419" t="inlineStr">
        <is>
          <t>CLM512400</t>
        </is>
      </c>
      <c r="B419" t="inlineStr">
        <is>
          <t>ENC112400</t>
        </is>
      </c>
      <c r="C419" t="inlineStr">
        <is>
          <t>Silverline Medicare Advantage</t>
        </is>
      </c>
      <c r="D419" t="inlineStr">
        <is>
          <t>Emergency</t>
        </is>
      </c>
      <c r="E419" s="29" t="n">
        <v>45704</v>
      </c>
      <c r="F419" s="29" t="n">
        <v>45710</v>
      </c>
      <c r="G419" s="31" t="n">
        <v>612.11</v>
      </c>
      <c r="H419" s="31" t="n">
        <v>202.85</v>
      </c>
      <c r="I419" t="inlineStr">
        <is>
          <t>Paid</t>
        </is>
      </c>
      <c r="K419" s="29" t="n">
        <v>45737</v>
      </c>
      <c r="L419" s="33" t="n"/>
    </row>
    <row r="420">
      <c r="A420" t="inlineStr">
        <is>
          <t>CLM512404</t>
        </is>
      </c>
      <c r="B420" t="inlineStr">
        <is>
          <t>ENC112404</t>
        </is>
      </c>
      <c r="C420" t="inlineStr">
        <is>
          <t>Silverline Medicare Advantage</t>
        </is>
      </c>
      <c r="D420" t="inlineStr">
        <is>
          <t>Observation</t>
        </is>
      </c>
      <c r="E420" s="29" t="n">
        <v>45706</v>
      </c>
      <c r="F420" s="29" t="n">
        <v>45710</v>
      </c>
      <c r="G420" s="31" t="n">
        <v>5717.5</v>
      </c>
      <c r="H420" s="31" t="n">
        <v>1925.03</v>
      </c>
      <c r="I420" t="inlineStr">
        <is>
          <t>Paid</t>
        </is>
      </c>
      <c r="K420" s="29" t="n">
        <v>45748</v>
      </c>
      <c r="L420" s="33" t="n"/>
    </row>
    <row r="421">
      <c r="A421" t="inlineStr">
        <is>
          <t>CLM512413</t>
        </is>
      </c>
      <c r="B421" t="inlineStr">
        <is>
          <t>ENC112413</t>
        </is>
      </c>
      <c r="C421" t="inlineStr">
        <is>
          <t>Medicare</t>
        </is>
      </c>
      <c r="D421" t="inlineStr">
        <is>
          <t>Inpatient</t>
        </is>
      </c>
      <c r="E421" s="29" t="n">
        <v>45717</v>
      </c>
      <c r="F421" s="29" t="n">
        <v>45719</v>
      </c>
      <c r="G421" s="31" t="n">
        <v>99346.28</v>
      </c>
      <c r="H421" s="31" t="n">
        <v>27722.7</v>
      </c>
      <c r="I421" t="inlineStr">
        <is>
          <t>Paid</t>
        </is>
      </c>
      <c r="K421" s="29" t="n">
        <v>45733</v>
      </c>
      <c r="L421" s="33" t="n"/>
    </row>
    <row r="422">
      <c r="A422" t="inlineStr">
        <is>
          <t>CLM512416</t>
        </is>
      </c>
      <c r="B422" t="inlineStr">
        <is>
          <t>ENC112416</t>
        </is>
      </c>
      <c r="C422" t="inlineStr">
        <is>
          <t>State Medicaid</t>
        </is>
      </c>
      <c r="D422" t="inlineStr">
        <is>
          <t>Outpatient</t>
        </is>
      </c>
      <c r="E422" s="29" t="n">
        <v>45705</v>
      </c>
      <c r="F422" s="29" t="n">
        <v>45711</v>
      </c>
      <c r="G422" s="31" t="n">
        <v>341.04</v>
      </c>
      <c r="H422" s="31" t="n">
        <v>0</v>
      </c>
      <c r="I422" t="inlineStr">
        <is>
          <t>Denied</t>
        </is>
      </c>
      <c r="J422" t="inlineStr">
        <is>
          <t>Authorization Required</t>
        </is>
      </c>
      <c r="L422" s="33" t="n"/>
    </row>
    <row r="423">
      <c r="A423" t="inlineStr">
        <is>
          <t>CLM512429</t>
        </is>
      </c>
      <c r="B423" t="inlineStr">
        <is>
          <t>ENC112429</t>
        </is>
      </c>
      <c r="C423" t="inlineStr">
        <is>
          <t>Silverline Medicare Advantage</t>
        </is>
      </c>
      <c r="D423" t="inlineStr">
        <is>
          <t>Outpatient</t>
        </is>
      </c>
      <c r="E423" s="29" t="n">
        <v>45705</v>
      </c>
      <c r="F423" s="29" t="n">
        <v>45715</v>
      </c>
      <c r="G423" s="31" t="n">
        <v>394.39</v>
      </c>
      <c r="H423" s="31" t="n">
        <v>0</v>
      </c>
      <c r="I423" t="inlineStr">
        <is>
          <t>Denied</t>
        </is>
      </c>
      <c r="J423" t="inlineStr">
        <is>
          <t>Authorization Required</t>
        </is>
      </c>
      <c r="L423" s="33" t="n"/>
    </row>
    <row r="424">
      <c r="A424" t="inlineStr">
        <is>
          <t>CLM512439</t>
        </is>
      </c>
      <c r="B424" t="inlineStr">
        <is>
          <t>ENC112439</t>
        </is>
      </c>
      <c r="C424" t="inlineStr">
        <is>
          <t>Self-Pay</t>
        </is>
      </c>
      <c r="D424" t="inlineStr">
        <is>
          <t>Inpatient</t>
        </is>
      </c>
      <c r="E424" s="29" t="n">
        <v>45707</v>
      </c>
      <c r="F424" s="29" t="n">
        <v>45709</v>
      </c>
      <c r="G424" s="31" t="n">
        <v>11654.5</v>
      </c>
      <c r="H424" s="31" t="n">
        <v>998.77</v>
      </c>
      <c r="I424" t="inlineStr">
        <is>
          <t>Partially Paid</t>
        </is>
      </c>
      <c r="K424" s="29" t="n">
        <v>45756</v>
      </c>
      <c r="L424" s="33" t="n"/>
    </row>
    <row r="425">
      <c r="A425" t="inlineStr">
        <is>
          <t>CLM512443</t>
        </is>
      </c>
      <c r="B425" t="inlineStr">
        <is>
          <t>ENC112443</t>
        </is>
      </c>
      <c r="C425" t="inlineStr">
        <is>
          <t>Keystone Health Partners</t>
        </is>
      </c>
      <c r="D425" t="inlineStr">
        <is>
          <t>Inpatient</t>
        </is>
      </c>
      <c r="E425" s="29" t="n">
        <v>45710</v>
      </c>
      <c r="F425" s="29" t="n">
        <v>45715</v>
      </c>
      <c r="G425" s="31" t="n">
        <v>43404.16</v>
      </c>
      <c r="H425" s="31" t="n">
        <v>20942.96</v>
      </c>
      <c r="I425" t="inlineStr">
        <is>
          <t>Paid</t>
        </is>
      </c>
      <c r="K425" s="29" t="n">
        <v>45741</v>
      </c>
      <c r="L425" s="33" t="n"/>
    </row>
    <row r="426">
      <c r="A426" t="inlineStr">
        <is>
          <t>CLM512451</t>
        </is>
      </c>
      <c r="B426" t="inlineStr">
        <is>
          <t>ENC112451</t>
        </is>
      </c>
      <c r="C426" t="inlineStr">
        <is>
          <t>State Medicaid</t>
        </is>
      </c>
      <c r="D426" t="inlineStr">
        <is>
          <t>Outpatient</t>
        </is>
      </c>
      <c r="E426" s="29" t="n">
        <v>45706</v>
      </c>
      <c r="F426" s="29" t="n">
        <v>45714</v>
      </c>
      <c r="G426" s="31" t="n">
        <v>321.92</v>
      </c>
      <c r="H426" s="31" t="n">
        <v>75.94</v>
      </c>
      <c r="I426" t="inlineStr">
        <is>
          <t>Paid</t>
        </is>
      </c>
      <c r="K426" s="29" t="n">
        <v>45755</v>
      </c>
      <c r="L426" s="33" t="n"/>
    </row>
    <row r="427">
      <c r="A427" t="inlineStr">
        <is>
          <t>CLM512452</t>
        </is>
      </c>
      <c r="B427" t="inlineStr">
        <is>
          <t>ENC112452</t>
        </is>
      </c>
      <c r="C427" t="inlineStr">
        <is>
          <t>Medicare</t>
        </is>
      </c>
      <c r="D427" t="inlineStr">
        <is>
          <t>Outpatient</t>
        </is>
      </c>
      <c r="E427" s="29" t="n">
        <v>45706</v>
      </c>
      <c r="F427" s="29" t="n">
        <v>45714</v>
      </c>
      <c r="G427" s="31" t="n">
        <v>123.55</v>
      </c>
      <c r="H427" s="31" t="n">
        <v>33.04</v>
      </c>
      <c r="I427" t="inlineStr">
        <is>
          <t>Paid</t>
        </is>
      </c>
      <c r="K427" s="29" t="n">
        <v>45733</v>
      </c>
      <c r="L427" s="33" t="n"/>
    </row>
    <row r="428">
      <c r="A428" t="inlineStr">
        <is>
          <t>CLM512454</t>
        </is>
      </c>
      <c r="B428" t="inlineStr">
        <is>
          <t>ENC112454</t>
        </is>
      </c>
      <c r="C428" t="inlineStr">
        <is>
          <t>Medicare</t>
        </is>
      </c>
      <c r="D428" t="inlineStr">
        <is>
          <t>Outpatient</t>
        </is>
      </c>
      <c r="E428" s="29" t="n">
        <v>45706</v>
      </c>
      <c r="F428" s="29" t="n">
        <v>45712</v>
      </c>
      <c r="G428" s="31" t="n">
        <v>129.33</v>
      </c>
      <c r="H428" s="31" t="n">
        <v>38.67</v>
      </c>
      <c r="I428" t="inlineStr">
        <is>
          <t>Paid</t>
        </is>
      </c>
      <c r="K428" s="29" t="n">
        <v>45725</v>
      </c>
      <c r="L428" s="33" t="n"/>
    </row>
    <row r="429">
      <c r="A429" t="inlineStr">
        <is>
          <t>CLM512455</t>
        </is>
      </c>
      <c r="B429" t="inlineStr">
        <is>
          <t>ENC112455</t>
        </is>
      </c>
      <c r="C429" t="inlineStr">
        <is>
          <t>Medicare</t>
        </is>
      </c>
      <c r="D429" t="inlineStr">
        <is>
          <t>Outpatient</t>
        </is>
      </c>
      <c r="E429" s="29" t="n">
        <v>45706</v>
      </c>
      <c r="F429" s="29" t="n">
        <v>45716</v>
      </c>
      <c r="G429" s="31" t="n">
        <v>198.23</v>
      </c>
      <c r="H429" s="31" t="n">
        <v>53.16</v>
      </c>
      <c r="I429" t="inlineStr">
        <is>
          <t>Paid</t>
        </is>
      </c>
      <c r="K429" s="29" t="n">
        <v>45740</v>
      </c>
      <c r="L429" s="33" t="n"/>
    </row>
    <row r="430">
      <c r="A430" t="inlineStr">
        <is>
          <t>CLM512460</t>
        </is>
      </c>
      <c r="B430" t="inlineStr">
        <is>
          <t>ENC112460</t>
        </is>
      </c>
      <c r="C430" t="inlineStr">
        <is>
          <t>Silverline Medicare Advantage</t>
        </is>
      </c>
      <c r="D430" t="inlineStr">
        <is>
          <t>Outpatient</t>
        </is>
      </c>
      <c r="E430" s="29" t="n">
        <v>45706</v>
      </c>
      <c r="F430" s="29" t="n">
        <v>45709</v>
      </c>
      <c r="G430" s="31" t="n">
        <v>147.26</v>
      </c>
      <c r="H430" s="31" t="n">
        <v>47.52</v>
      </c>
      <c r="I430" t="inlineStr">
        <is>
          <t>Paid</t>
        </is>
      </c>
      <c r="K430" s="29" t="n">
        <v>45725</v>
      </c>
      <c r="L430" s="33" t="n"/>
    </row>
    <row r="431">
      <c r="A431" t="inlineStr">
        <is>
          <t>CLM512478</t>
        </is>
      </c>
      <c r="B431" t="inlineStr">
        <is>
          <t>ENC112478</t>
        </is>
      </c>
      <c r="C431" t="inlineStr">
        <is>
          <t>Medicare</t>
        </is>
      </c>
      <c r="D431" t="inlineStr">
        <is>
          <t>Inpatient</t>
        </is>
      </c>
      <c r="E431" s="29" t="n">
        <v>45708</v>
      </c>
      <c r="F431" s="29" t="n">
        <v>45712</v>
      </c>
      <c r="G431" s="31" t="n">
        <v>7732.76</v>
      </c>
      <c r="H431" s="31" t="n">
        <v>1737.71</v>
      </c>
      <c r="I431" t="inlineStr">
        <is>
          <t>Partially Paid</t>
        </is>
      </c>
      <c r="J431" t="inlineStr">
        <is>
          <t>Missing Documentation</t>
        </is>
      </c>
      <c r="K431" s="29" t="n">
        <v>45749</v>
      </c>
      <c r="L431" s="33" t="n"/>
    </row>
    <row r="432">
      <c r="A432" t="inlineStr">
        <is>
          <t>CLM512479</t>
        </is>
      </c>
      <c r="B432" t="inlineStr">
        <is>
          <t>ENC112479</t>
        </is>
      </c>
      <c r="C432" t="inlineStr">
        <is>
          <t>State Medicaid</t>
        </is>
      </c>
      <c r="D432" t="inlineStr">
        <is>
          <t>Emergency</t>
        </is>
      </c>
      <c r="E432" s="29" t="n">
        <v>45706</v>
      </c>
      <c r="F432" s="29" t="n">
        <v>45709</v>
      </c>
      <c r="G432" s="31" t="n">
        <v>749.0700000000001</v>
      </c>
      <c r="H432" s="31" t="n">
        <v>193.43</v>
      </c>
      <c r="I432" t="inlineStr">
        <is>
          <t>Paid</t>
        </is>
      </c>
      <c r="K432" s="29" t="n">
        <v>45755</v>
      </c>
      <c r="L432" s="33" t="n"/>
    </row>
    <row r="433">
      <c r="A433" t="inlineStr">
        <is>
          <t>CLM512482</t>
        </is>
      </c>
      <c r="B433" t="inlineStr">
        <is>
          <t>ENC112482</t>
        </is>
      </c>
      <c r="C433" t="inlineStr">
        <is>
          <t>Evergreen Mutual Insurance</t>
        </is>
      </c>
      <c r="D433" t="inlineStr">
        <is>
          <t>Emergency</t>
        </is>
      </c>
      <c r="E433" s="29" t="n">
        <v>45707</v>
      </c>
      <c r="F433" s="29" t="n">
        <v>45710</v>
      </c>
      <c r="G433" s="31" t="n">
        <v>3411.64</v>
      </c>
      <c r="H433" s="31" t="n">
        <v>557.87</v>
      </c>
      <c r="I433" t="inlineStr">
        <is>
          <t>Partially Paid</t>
        </is>
      </c>
      <c r="J433" t="inlineStr">
        <is>
          <t>Medical Necessity</t>
        </is>
      </c>
      <c r="K433" s="29" t="n">
        <v>45742</v>
      </c>
      <c r="L433" s="33" t="n"/>
    </row>
    <row r="434">
      <c r="A434" t="inlineStr">
        <is>
          <t>CLM512485</t>
        </is>
      </c>
      <c r="B434" t="inlineStr">
        <is>
          <t>ENC112485</t>
        </is>
      </c>
      <c r="C434" t="inlineStr">
        <is>
          <t>Evergreen Mutual Insurance</t>
        </is>
      </c>
      <c r="D434" t="inlineStr">
        <is>
          <t>Emergency</t>
        </is>
      </c>
      <c r="E434" s="29" t="n">
        <v>45707</v>
      </c>
      <c r="F434" s="29" t="n">
        <v>45710</v>
      </c>
      <c r="G434" s="31" t="n">
        <v>476.6</v>
      </c>
      <c r="H434" s="31" t="n">
        <v>201.11</v>
      </c>
      <c r="I434" t="inlineStr">
        <is>
          <t>Paid</t>
        </is>
      </c>
      <c r="K434" s="29" t="n">
        <v>45732</v>
      </c>
      <c r="L434" s="33" t="n"/>
    </row>
    <row r="435">
      <c r="A435" t="inlineStr">
        <is>
          <t>CLM512488</t>
        </is>
      </c>
      <c r="B435" t="inlineStr">
        <is>
          <t>ENC112488</t>
        </is>
      </c>
      <c r="C435" t="inlineStr">
        <is>
          <t>Keystone Health Partners</t>
        </is>
      </c>
      <c r="D435" t="inlineStr">
        <is>
          <t>Outpatient</t>
        </is>
      </c>
      <c r="E435" s="29" t="n">
        <v>45707</v>
      </c>
      <c r="F435" s="29" t="n">
        <v>45713</v>
      </c>
      <c r="G435" s="31" t="n">
        <v>291.38</v>
      </c>
      <c r="H435" s="31" t="n">
        <v>129.89</v>
      </c>
      <c r="I435" t="inlineStr">
        <is>
          <t>Paid</t>
        </is>
      </c>
      <c r="K435" s="29" t="n">
        <v>45743</v>
      </c>
      <c r="L435" s="33" t="n"/>
    </row>
    <row r="436">
      <c r="A436" t="inlineStr">
        <is>
          <t>CLM512490</t>
        </is>
      </c>
      <c r="B436" t="inlineStr">
        <is>
          <t>ENC112490</t>
        </is>
      </c>
      <c r="C436" t="inlineStr">
        <is>
          <t>Summit Choice PPO</t>
        </is>
      </c>
      <c r="D436" t="inlineStr">
        <is>
          <t>Inpatient</t>
        </is>
      </c>
      <c r="E436" s="29" t="n">
        <v>45709</v>
      </c>
      <c r="F436" s="29" t="n">
        <v>45711</v>
      </c>
      <c r="G436" s="31" t="n">
        <v>29862.82</v>
      </c>
      <c r="H436" s="31" t="n">
        <v>16230.64</v>
      </c>
      <c r="I436" t="inlineStr">
        <is>
          <t>Paid</t>
        </is>
      </c>
      <c r="K436" s="29" t="n">
        <v>45722</v>
      </c>
      <c r="L436" s="33" t="n"/>
    </row>
    <row r="437">
      <c r="A437" t="inlineStr">
        <is>
          <t>CLM512495</t>
        </is>
      </c>
      <c r="B437" t="inlineStr">
        <is>
          <t>ENC112495</t>
        </is>
      </c>
      <c r="C437" t="inlineStr">
        <is>
          <t>Silverline Medicare Advantage</t>
        </is>
      </c>
      <c r="D437" t="inlineStr">
        <is>
          <t>Inpatient</t>
        </is>
      </c>
      <c r="E437" s="29" t="n">
        <v>45721</v>
      </c>
      <c r="F437" s="29" t="n">
        <v>45730</v>
      </c>
      <c r="G437" s="31" t="n">
        <v>117879.84</v>
      </c>
      <c r="H437" s="31" t="n">
        <v>0</v>
      </c>
      <c r="I437" t="inlineStr">
        <is>
          <t>Appealed</t>
        </is>
      </c>
      <c r="J437" t="inlineStr">
        <is>
          <t>Medical Necessity</t>
        </is>
      </c>
      <c r="L437" s="33" t="n"/>
    </row>
    <row r="438">
      <c r="A438" t="inlineStr">
        <is>
          <t>CLM512509</t>
        </is>
      </c>
      <c r="B438" t="inlineStr">
        <is>
          <t>ENC112509</t>
        </is>
      </c>
      <c r="C438" t="inlineStr">
        <is>
          <t>Silverline Medicare Advantage</t>
        </is>
      </c>
      <c r="D438" t="inlineStr">
        <is>
          <t>Emergency</t>
        </is>
      </c>
      <c r="E438" s="29" t="n">
        <v>45707</v>
      </c>
      <c r="F438" s="29" t="n">
        <v>45709</v>
      </c>
      <c r="G438" s="31" t="n">
        <v>5442.19</v>
      </c>
      <c r="H438" s="31" t="n">
        <v>1586.31</v>
      </c>
      <c r="I438" t="inlineStr">
        <is>
          <t>Paid</t>
        </is>
      </c>
      <c r="K438" s="29" t="n">
        <v>45721</v>
      </c>
      <c r="L438" s="33" t="n"/>
    </row>
    <row r="439">
      <c r="A439" t="inlineStr">
        <is>
          <t>CLM512513</t>
        </is>
      </c>
      <c r="B439" t="inlineStr">
        <is>
          <t>ENC112513</t>
        </is>
      </c>
      <c r="C439" t="inlineStr">
        <is>
          <t>Keystone Health Partners</t>
        </is>
      </c>
      <c r="D439" t="inlineStr">
        <is>
          <t>Outpatient</t>
        </is>
      </c>
      <c r="E439" s="29" t="n">
        <v>45707</v>
      </c>
      <c r="F439" s="29" t="n">
        <v>45709</v>
      </c>
      <c r="G439" s="31" t="n">
        <v>426.07</v>
      </c>
      <c r="H439" s="31" t="n">
        <v>186.98</v>
      </c>
      <c r="I439" t="inlineStr">
        <is>
          <t>Paid</t>
        </is>
      </c>
      <c r="K439" s="29" t="n">
        <v>45723</v>
      </c>
      <c r="L439" s="33" t="n"/>
    </row>
    <row r="440">
      <c r="A440" t="inlineStr">
        <is>
          <t>CLM512514</t>
        </is>
      </c>
      <c r="B440" t="inlineStr">
        <is>
          <t>ENC112514</t>
        </is>
      </c>
      <c r="C440" t="inlineStr">
        <is>
          <t>State Medicaid</t>
        </is>
      </c>
      <c r="D440" t="inlineStr">
        <is>
          <t>Inpatient</t>
        </is>
      </c>
      <c r="E440" s="29" t="n">
        <v>45709</v>
      </c>
      <c r="F440" s="29" t="n">
        <v>45711</v>
      </c>
      <c r="G440" s="31" t="n">
        <v>27774.05</v>
      </c>
      <c r="H440" s="31" t="n">
        <v>6738.47</v>
      </c>
      <c r="I440" t="inlineStr">
        <is>
          <t>Paid</t>
        </is>
      </c>
      <c r="K440" s="29" t="n">
        <v>45749</v>
      </c>
      <c r="L440" s="33" t="n"/>
    </row>
    <row r="441">
      <c r="A441" t="inlineStr">
        <is>
          <t>CLM512520</t>
        </is>
      </c>
      <c r="B441" t="inlineStr">
        <is>
          <t>ENC112520</t>
        </is>
      </c>
      <c r="C441" t="inlineStr">
        <is>
          <t>State Medicaid</t>
        </is>
      </c>
      <c r="D441" t="inlineStr">
        <is>
          <t>Emergency</t>
        </is>
      </c>
      <c r="E441" s="29" t="n">
        <v>45707</v>
      </c>
      <c r="F441" s="29" t="n">
        <v>45708</v>
      </c>
      <c r="G441" s="31" t="n">
        <v>1546.7</v>
      </c>
      <c r="H441" s="31" t="n">
        <v>0</v>
      </c>
      <c r="I441" t="inlineStr">
        <is>
          <t>Denied</t>
        </is>
      </c>
      <c r="J441" t="inlineStr">
        <is>
          <t>Coding Error</t>
        </is>
      </c>
      <c r="L441" s="33" t="n"/>
    </row>
    <row r="442">
      <c r="A442" t="inlineStr">
        <is>
          <t>CLM512524</t>
        </is>
      </c>
      <c r="B442" t="inlineStr">
        <is>
          <t>ENC112524</t>
        </is>
      </c>
      <c r="C442" t="inlineStr">
        <is>
          <t>Silverline Medicare Advantage</t>
        </is>
      </c>
      <c r="D442" t="inlineStr">
        <is>
          <t>Inpatient</t>
        </is>
      </c>
      <c r="E442" s="29" t="n">
        <v>45714</v>
      </c>
      <c r="F442" s="29" t="n">
        <v>45717</v>
      </c>
      <c r="G442" s="31" t="n">
        <v>55458.39</v>
      </c>
      <c r="H442" s="31" t="n">
        <v>0</v>
      </c>
      <c r="I442" t="inlineStr">
        <is>
          <t>Denied</t>
        </is>
      </c>
      <c r="J442" t="inlineStr">
        <is>
          <t>Medical Necessity</t>
        </is>
      </c>
      <c r="L442" s="33" t="n"/>
    </row>
    <row r="443">
      <c r="A443" t="inlineStr">
        <is>
          <t>CLM512530</t>
        </is>
      </c>
      <c r="B443" t="inlineStr">
        <is>
          <t>ENC112530</t>
        </is>
      </c>
      <c r="C443" t="inlineStr">
        <is>
          <t>Keystone Health Partners</t>
        </is>
      </c>
      <c r="D443" t="inlineStr">
        <is>
          <t>Emergency</t>
        </is>
      </c>
      <c r="E443" s="29" t="n">
        <v>45708</v>
      </c>
      <c r="F443" s="29" t="n">
        <v>45723</v>
      </c>
      <c r="G443" s="31" t="n">
        <v>2632.22</v>
      </c>
      <c r="H443" s="31" t="n">
        <v>1364.82</v>
      </c>
      <c r="I443" t="inlineStr">
        <is>
          <t>Paid</t>
        </is>
      </c>
      <c r="K443" s="29" t="n">
        <v>45745</v>
      </c>
      <c r="L443" s="33" t="n"/>
    </row>
    <row r="444">
      <c r="A444" t="inlineStr">
        <is>
          <t>CLM512545</t>
        </is>
      </c>
      <c r="B444" t="inlineStr">
        <is>
          <t>ENC112545</t>
        </is>
      </c>
      <c r="C444" t="inlineStr">
        <is>
          <t>State Medicaid</t>
        </is>
      </c>
      <c r="D444" t="inlineStr">
        <is>
          <t>Outpatient</t>
        </is>
      </c>
      <c r="E444" s="29" t="n">
        <v>45708</v>
      </c>
      <c r="F444" s="29" t="n">
        <v>45712</v>
      </c>
      <c r="G444" s="31" t="n">
        <v>363.67</v>
      </c>
      <c r="H444" s="31" t="n">
        <v>88.22</v>
      </c>
      <c r="I444" t="inlineStr">
        <is>
          <t>Paid</t>
        </is>
      </c>
      <c r="K444" s="29" t="n">
        <v>45760</v>
      </c>
      <c r="L444" s="33" t="n"/>
    </row>
    <row r="445">
      <c r="A445" t="inlineStr">
        <is>
          <t>CLM512547</t>
        </is>
      </c>
      <c r="B445" t="inlineStr">
        <is>
          <t>ENC112547</t>
        </is>
      </c>
      <c r="C445" t="inlineStr">
        <is>
          <t>Evergreen Mutual Insurance</t>
        </is>
      </c>
      <c r="D445" t="inlineStr">
        <is>
          <t>Outpatient</t>
        </is>
      </c>
      <c r="E445" s="29" t="n">
        <v>45708</v>
      </c>
      <c r="F445" s="29" t="n">
        <v>45720</v>
      </c>
      <c r="G445" s="31" t="n">
        <v>196.95</v>
      </c>
      <c r="H445" s="31" t="n">
        <v>92.76000000000001</v>
      </c>
      <c r="I445" t="inlineStr">
        <is>
          <t>Paid</t>
        </is>
      </c>
      <c r="K445" s="29" t="n">
        <v>45746</v>
      </c>
      <c r="L445" s="33" t="n"/>
    </row>
    <row r="446">
      <c r="A446" t="inlineStr">
        <is>
          <t>CLM512557</t>
        </is>
      </c>
      <c r="B446" t="inlineStr">
        <is>
          <t>ENC112557</t>
        </is>
      </c>
      <c r="C446" t="inlineStr">
        <is>
          <t>Evergreen Mutual Insurance</t>
        </is>
      </c>
      <c r="D446" t="inlineStr">
        <is>
          <t>Outpatient</t>
        </is>
      </c>
      <c r="E446" s="29" t="n">
        <v>45708</v>
      </c>
      <c r="F446" s="29" t="n">
        <v>45805</v>
      </c>
      <c r="G446" s="31" t="n">
        <v>261.54</v>
      </c>
      <c r="H446" s="31" t="n">
        <v>98.42</v>
      </c>
      <c r="I446" t="inlineStr">
        <is>
          <t>Paid</t>
        </is>
      </c>
      <c r="K446" s="29" t="n">
        <v>45829</v>
      </c>
      <c r="L446" s="33" t="n"/>
    </row>
    <row r="447">
      <c r="A447" t="inlineStr">
        <is>
          <t>CLM512560</t>
        </is>
      </c>
      <c r="B447" t="inlineStr">
        <is>
          <t>ENC112560</t>
        </is>
      </c>
      <c r="C447" t="inlineStr">
        <is>
          <t>Summit Choice PPO</t>
        </is>
      </c>
      <c r="D447" t="inlineStr">
        <is>
          <t>Outpatient</t>
        </is>
      </c>
      <c r="E447" s="29" t="n">
        <v>45708</v>
      </c>
      <c r="F447" s="29" t="n">
        <v>45710</v>
      </c>
      <c r="G447" s="31" t="n">
        <v>170.13</v>
      </c>
      <c r="H447" s="31" t="n">
        <v>79</v>
      </c>
      <c r="I447" t="inlineStr">
        <is>
          <t>Paid</t>
        </is>
      </c>
      <c r="K447" s="29" t="n">
        <v>45735</v>
      </c>
      <c r="L447" s="33" t="n"/>
    </row>
    <row r="448">
      <c r="A448" t="inlineStr">
        <is>
          <t>CLM512563</t>
        </is>
      </c>
      <c r="B448" t="inlineStr">
        <is>
          <t>ENC112563</t>
        </is>
      </c>
      <c r="C448" t="inlineStr">
        <is>
          <t>Keystone Health Partners</t>
        </is>
      </c>
      <c r="D448" t="inlineStr">
        <is>
          <t>Emergency</t>
        </is>
      </c>
      <c r="E448" s="29" t="n">
        <v>45708</v>
      </c>
      <c r="F448" s="29" t="n">
        <v>45718</v>
      </c>
      <c r="G448" s="31" t="n">
        <v>1838.68</v>
      </c>
      <c r="H448" s="31" t="n">
        <v>798.4299999999999</v>
      </c>
      <c r="I448" t="inlineStr">
        <is>
          <t>Paid</t>
        </is>
      </c>
      <c r="K448" s="29" t="n">
        <v>45744</v>
      </c>
      <c r="L448" s="33" t="n"/>
    </row>
    <row r="449">
      <c r="A449" t="inlineStr">
        <is>
          <t>CLM512572</t>
        </is>
      </c>
      <c r="B449" t="inlineStr">
        <is>
          <t>ENC112572</t>
        </is>
      </c>
      <c r="C449" t="inlineStr">
        <is>
          <t>Summit Choice PPO</t>
        </is>
      </c>
      <c r="D449" t="inlineStr">
        <is>
          <t>Emergency</t>
        </is>
      </c>
      <c r="E449" s="29" t="n">
        <v>45708</v>
      </c>
      <c r="F449" s="29" t="n">
        <v>45719</v>
      </c>
      <c r="G449" s="31" t="n">
        <v>1245.7</v>
      </c>
      <c r="H449" s="31" t="n">
        <v>550.26</v>
      </c>
      <c r="I449" t="inlineStr">
        <is>
          <t>Paid</t>
        </is>
      </c>
      <c r="K449" s="29" t="n">
        <v>45735</v>
      </c>
      <c r="L449" s="33" t="n"/>
    </row>
    <row r="450">
      <c r="A450" t="inlineStr">
        <is>
          <t>CLM512574</t>
        </is>
      </c>
      <c r="B450" t="inlineStr">
        <is>
          <t>ENC112574</t>
        </is>
      </c>
      <c r="C450" t="inlineStr">
        <is>
          <t>Keystone Health Partners</t>
        </is>
      </c>
      <c r="D450" t="inlineStr">
        <is>
          <t>Emergency</t>
        </is>
      </c>
      <c r="E450" s="29" t="n">
        <v>45708</v>
      </c>
      <c r="F450" s="29" t="n">
        <v>45721</v>
      </c>
      <c r="G450" s="31" t="n">
        <v>725.08</v>
      </c>
      <c r="H450" s="31" t="n">
        <v>305.5</v>
      </c>
      <c r="I450" t="inlineStr">
        <is>
          <t>Paid</t>
        </is>
      </c>
      <c r="K450" s="29" t="n">
        <v>45743</v>
      </c>
      <c r="L450" s="33" t="n"/>
    </row>
    <row r="451">
      <c r="A451" t="inlineStr">
        <is>
          <t>CLM512582</t>
        </is>
      </c>
      <c r="B451" t="inlineStr">
        <is>
          <t>ENC112582</t>
        </is>
      </c>
      <c r="C451" t="inlineStr">
        <is>
          <t>Evergreen Mutual Insurance</t>
        </is>
      </c>
      <c r="D451" t="inlineStr">
        <is>
          <t>Outpatient</t>
        </is>
      </c>
      <c r="E451" s="29" t="n">
        <v>45709</v>
      </c>
      <c r="F451" s="29" t="n">
        <v>45713</v>
      </c>
      <c r="G451" s="31" t="n">
        <v>5127.13</v>
      </c>
      <c r="H451" s="31" t="n">
        <v>2459.14</v>
      </c>
      <c r="I451" t="inlineStr">
        <is>
          <t>Paid</t>
        </is>
      </c>
      <c r="K451" s="29" t="n">
        <v>45730</v>
      </c>
      <c r="L451" s="33" t="n"/>
    </row>
    <row r="452">
      <c r="A452" t="inlineStr">
        <is>
          <t>CLM512584</t>
        </is>
      </c>
      <c r="B452" t="inlineStr">
        <is>
          <t>ENC112584</t>
        </is>
      </c>
      <c r="C452" t="inlineStr">
        <is>
          <t>Medicare</t>
        </is>
      </c>
      <c r="D452" t="inlineStr">
        <is>
          <t>Emergency</t>
        </is>
      </c>
      <c r="E452" s="29" t="n">
        <v>45709</v>
      </c>
      <c r="F452" s="29" t="n">
        <v>45718</v>
      </c>
      <c r="G452" s="31" t="n">
        <v>818.15</v>
      </c>
      <c r="H452" s="31" t="n">
        <v>231.56</v>
      </c>
      <c r="I452" t="inlineStr">
        <is>
          <t>Paid</t>
        </is>
      </c>
      <c r="K452" s="29" t="n">
        <v>45731</v>
      </c>
      <c r="L452" s="33" t="n"/>
    </row>
    <row r="453">
      <c r="A453" t="inlineStr">
        <is>
          <t>CLM512585</t>
        </is>
      </c>
      <c r="B453" t="inlineStr">
        <is>
          <t>ENC112585</t>
        </is>
      </c>
      <c r="C453" t="inlineStr">
        <is>
          <t>Silverline Medicare Advantage</t>
        </is>
      </c>
      <c r="D453" t="inlineStr">
        <is>
          <t>Outpatient</t>
        </is>
      </c>
      <c r="E453" s="29" t="n">
        <v>45709</v>
      </c>
      <c r="F453" s="29" t="n">
        <v>45713</v>
      </c>
      <c r="G453" s="31" t="n">
        <v>385.51</v>
      </c>
      <c r="H453" s="31" t="n">
        <v>0</v>
      </c>
      <c r="I453" t="inlineStr">
        <is>
          <t>Denied</t>
        </is>
      </c>
      <c r="J453" t="inlineStr">
        <is>
          <t>Coding Error</t>
        </is>
      </c>
      <c r="L453" s="33" t="n"/>
    </row>
    <row r="454">
      <c r="A454" t="inlineStr">
        <is>
          <t>CLM512589</t>
        </is>
      </c>
      <c r="B454" t="inlineStr">
        <is>
          <t>ENC112589</t>
        </is>
      </c>
      <c r="C454" t="inlineStr">
        <is>
          <t>Self-Pay</t>
        </is>
      </c>
      <c r="D454" t="inlineStr">
        <is>
          <t>Outpatient</t>
        </is>
      </c>
      <c r="E454" s="29" t="n">
        <v>45709</v>
      </c>
      <c r="F454" s="29" t="n">
        <v>45713</v>
      </c>
      <c r="G454" s="31" t="n">
        <v>508.45</v>
      </c>
      <c r="H454" s="31" t="n">
        <v>232.12</v>
      </c>
      <c r="I454" t="inlineStr">
        <is>
          <t>Paid</t>
        </is>
      </c>
      <c r="K454" s="29" t="n">
        <v>45764</v>
      </c>
      <c r="L454" s="33" t="n"/>
    </row>
    <row r="455">
      <c r="A455" t="inlineStr">
        <is>
          <t>CLM512593</t>
        </is>
      </c>
      <c r="B455" t="inlineStr">
        <is>
          <t>ENC112593</t>
        </is>
      </c>
      <c r="C455" t="inlineStr">
        <is>
          <t>Evergreen Mutual Insurance</t>
        </is>
      </c>
      <c r="D455" t="inlineStr">
        <is>
          <t>Outpatient</t>
        </is>
      </c>
      <c r="E455" s="29" t="n">
        <v>45709</v>
      </c>
      <c r="F455" s="29" t="n">
        <v>45711</v>
      </c>
      <c r="G455" s="31" t="n">
        <v>210.94</v>
      </c>
      <c r="H455" s="31" t="n">
        <v>102.47</v>
      </c>
      <c r="I455" t="inlineStr">
        <is>
          <t>Paid</t>
        </is>
      </c>
      <c r="K455" s="29" t="n">
        <v>45750</v>
      </c>
      <c r="L455" s="33" t="n"/>
    </row>
    <row r="456">
      <c r="A456" t="inlineStr">
        <is>
          <t>CLM512595</t>
        </is>
      </c>
      <c r="B456" t="inlineStr">
        <is>
          <t>ENC112595</t>
        </is>
      </c>
      <c r="C456" t="inlineStr">
        <is>
          <t>State Medicaid</t>
        </is>
      </c>
      <c r="D456" t="inlineStr">
        <is>
          <t>Emergency</t>
        </is>
      </c>
      <c r="E456" s="29" t="n">
        <v>45709</v>
      </c>
      <c r="F456" s="29" t="n">
        <v>45713</v>
      </c>
      <c r="G456" s="31" t="n">
        <v>2259.91</v>
      </c>
      <c r="H456" s="31" t="n">
        <v>476.77</v>
      </c>
      <c r="I456" t="inlineStr">
        <is>
          <t>Paid</t>
        </is>
      </c>
      <c r="K456" s="29" t="n">
        <v>45759</v>
      </c>
      <c r="L456" s="33" t="n"/>
    </row>
    <row r="457">
      <c r="A457" t="inlineStr">
        <is>
          <t>CLM512599</t>
        </is>
      </c>
      <c r="B457" t="inlineStr">
        <is>
          <t>ENC112599</t>
        </is>
      </c>
      <c r="C457" t="inlineStr">
        <is>
          <t>State Medicaid</t>
        </is>
      </c>
      <c r="D457" t="inlineStr">
        <is>
          <t>Emergency</t>
        </is>
      </c>
      <c r="E457" s="29" t="n">
        <v>45709</v>
      </c>
      <c r="F457" s="29" t="n">
        <v>45715</v>
      </c>
      <c r="G457" s="31" t="n">
        <v>2943.76</v>
      </c>
      <c r="H457" s="31" t="n">
        <v>679.28</v>
      </c>
      <c r="I457" t="inlineStr">
        <is>
          <t>Paid</t>
        </is>
      </c>
      <c r="K457" s="29" t="n">
        <v>45741</v>
      </c>
      <c r="L457" s="33" t="n"/>
    </row>
    <row r="458">
      <c r="A458" t="inlineStr">
        <is>
          <t>CLM512603</t>
        </is>
      </c>
      <c r="B458" t="inlineStr">
        <is>
          <t>ENC112603</t>
        </is>
      </c>
      <c r="C458" t="inlineStr">
        <is>
          <t>Keystone Health Partners</t>
        </is>
      </c>
      <c r="D458" t="inlineStr">
        <is>
          <t>Outpatient</t>
        </is>
      </c>
      <c r="E458" s="29" t="n">
        <v>45709</v>
      </c>
      <c r="F458" s="29" t="n">
        <v>45711</v>
      </c>
      <c r="G458" s="31" t="n">
        <v>385.69</v>
      </c>
      <c r="H458" s="31" t="n">
        <v>176.75</v>
      </c>
      <c r="I458" t="inlineStr">
        <is>
          <t>Paid</t>
        </is>
      </c>
      <c r="K458" s="29" t="n">
        <v>45740</v>
      </c>
      <c r="L458" s="33" t="n"/>
    </row>
    <row r="459">
      <c r="A459" t="inlineStr">
        <is>
          <t>CLM512605</t>
        </is>
      </c>
      <c r="B459" t="inlineStr">
        <is>
          <t>ENC112605</t>
        </is>
      </c>
      <c r="C459" t="inlineStr">
        <is>
          <t>Keystone Health Partners</t>
        </is>
      </c>
      <c r="D459" t="inlineStr">
        <is>
          <t>Emergency</t>
        </is>
      </c>
      <c r="E459" s="29" t="n">
        <v>45709</v>
      </c>
      <c r="F459" s="29" t="n">
        <v>45713</v>
      </c>
      <c r="G459" s="31" t="n">
        <v>955.26</v>
      </c>
      <c r="H459" s="31" t="n">
        <v>442.86</v>
      </c>
      <c r="I459" t="inlineStr">
        <is>
          <t>Paid</t>
        </is>
      </c>
      <c r="K459" s="29" t="n">
        <v>45757</v>
      </c>
      <c r="L459" s="33" t="n"/>
    </row>
    <row r="460">
      <c r="A460" t="inlineStr">
        <is>
          <t>CLM512607</t>
        </is>
      </c>
      <c r="B460" t="inlineStr">
        <is>
          <t>ENC112607</t>
        </is>
      </c>
      <c r="C460" t="inlineStr">
        <is>
          <t>Silverline Medicare Advantage</t>
        </is>
      </c>
      <c r="D460" t="inlineStr">
        <is>
          <t>Emergency</t>
        </is>
      </c>
      <c r="E460" s="29" t="n">
        <v>45709</v>
      </c>
      <c r="F460" s="29" t="n">
        <v>45712</v>
      </c>
      <c r="G460" s="31" t="n">
        <v>4317.24</v>
      </c>
      <c r="H460" s="31" t="n">
        <v>1255.44</v>
      </c>
      <c r="I460" t="inlineStr">
        <is>
          <t>Paid</t>
        </is>
      </c>
      <c r="K460" s="29" t="n">
        <v>45738</v>
      </c>
      <c r="L460" s="33" t="n"/>
    </row>
    <row r="461">
      <c r="A461" t="inlineStr">
        <is>
          <t>CLM512610</t>
        </is>
      </c>
      <c r="B461" t="inlineStr">
        <is>
          <t>ENC112610</t>
        </is>
      </c>
      <c r="C461" t="inlineStr">
        <is>
          <t>Medicare</t>
        </is>
      </c>
      <c r="D461" t="inlineStr">
        <is>
          <t>Inpatient</t>
        </is>
      </c>
      <c r="E461" s="29" t="n">
        <v>45713</v>
      </c>
      <c r="F461" s="29" t="n">
        <v>45715</v>
      </c>
      <c r="G461" s="31" t="n">
        <v>60958.85</v>
      </c>
      <c r="H461" s="31" t="n">
        <v>16286.26</v>
      </c>
      <c r="I461" t="inlineStr">
        <is>
          <t>Paid</t>
        </is>
      </c>
      <c r="K461" s="29" t="n">
        <v>45729</v>
      </c>
      <c r="L461" s="33" t="n"/>
    </row>
    <row r="462">
      <c r="A462" t="inlineStr">
        <is>
          <t>CLM512617</t>
        </is>
      </c>
      <c r="B462" t="inlineStr">
        <is>
          <t>ENC112617</t>
        </is>
      </c>
      <c r="C462" t="inlineStr">
        <is>
          <t>Summit Choice PPO</t>
        </is>
      </c>
      <c r="D462" t="inlineStr">
        <is>
          <t>Emergency</t>
        </is>
      </c>
      <c r="E462" s="29" t="n">
        <v>45710</v>
      </c>
      <c r="F462" s="29" t="n">
        <v>45717</v>
      </c>
      <c r="G462" s="31" t="n">
        <v>3543.58</v>
      </c>
      <c r="H462" s="31" t="n">
        <v>1673.62</v>
      </c>
      <c r="I462" t="inlineStr">
        <is>
          <t>Paid</t>
        </is>
      </c>
      <c r="K462" s="29" t="n">
        <v>45737</v>
      </c>
      <c r="L462" s="33" t="n"/>
    </row>
    <row r="463">
      <c r="A463" t="inlineStr">
        <is>
          <t>CLM512622</t>
        </is>
      </c>
      <c r="B463" t="inlineStr">
        <is>
          <t>ENC112622</t>
        </is>
      </c>
      <c r="C463" t="inlineStr">
        <is>
          <t>Keystone Health Partners</t>
        </is>
      </c>
      <c r="D463" t="inlineStr">
        <is>
          <t>Emergency</t>
        </is>
      </c>
      <c r="E463" s="29" t="n">
        <v>45710</v>
      </c>
      <c r="F463" s="29" t="n">
        <v>45716</v>
      </c>
      <c r="G463" s="31" t="n">
        <v>3421.14</v>
      </c>
      <c r="H463" s="31" t="n">
        <v>1801.02</v>
      </c>
      <c r="I463" t="inlineStr">
        <is>
          <t>Paid</t>
        </is>
      </c>
      <c r="K463" s="29" t="n">
        <v>45735</v>
      </c>
      <c r="L463" s="33" t="n"/>
    </row>
    <row r="464">
      <c r="A464" t="inlineStr">
        <is>
          <t>CLM512623</t>
        </is>
      </c>
      <c r="B464" t="inlineStr">
        <is>
          <t>ENC112623</t>
        </is>
      </c>
      <c r="C464" t="inlineStr">
        <is>
          <t>Keystone Health Partners</t>
        </is>
      </c>
      <c r="D464" t="inlineStr">
        <is>
          <t>Emergency</t>
        </is>
      </c>
      <c r="E464" s="29" t="n">
        <v>45710</v>
      </c>
      <c r="F464" s="29" t="n">
        <v>45713</v>
      </c>
      <c r="G464" s="31" t="n">
        <v>3844.81</v>
      </c>
      <c r="H464" s="31" t="n">
        <v>1711.14</v>
      </c>
      <c r="I464" t="inlineStr">
        <is>
          <t>Paid</t>
        </is>
      </c>
      <c r="K464" s="29" t="n">
        <v>45740</v>
      </c>
      <c r="L464" s="33" t="n"/>
    </row>
    <row r="465">
      <c r="A465" t="inlineStr">
        <is>
          <t>CLM512624</t>
        </is>
      </c>
      <c r="B465" t="inlineStr">
        <is>
          <t>ENC112624</t>
        </is>
      </c>
      <c r="C465" t="inlineStr">
        <is>
          <t>Silverline Medicare Advantage</t>
        </is>
      </c>
      <c r="D465" t="inlineStr">
        <is>
          <t>Emergency</t>
        </is>
      </c>
      <c r="E465" s="29" t="n">
        <v>45710</v>
      </c>
      <c r="F465" s="29" t="n">
        <v>45717</v>
      </c>
      <c r="G465" s="31" t="n">
        <v>1594.43</v>
      </c>
      <c r="H465" s="31" t="n">
        <v>457.06</v>
      </c>
      <c r="I465" t="inlineStr">
        <is>
          <t>Paid</t>
        </is>
      </c>
      <c r="K465" s="29" t="n">
        <v>45746</v>
      </c>
      <c r="L465" s="33" t="n"/>
    </row>
    <row r="466">
      <c r="A466" t="inlineStr">
        <is>
          <t>CLM512625</t>
        </is>
      </c>
      <c r="B466" t="inlineStr">
        <is>
          <t>ENC112625</t>
        </is>
      </c>
      <c r="C466" t="inlineStr">
        <is>
          <t>Evergreen Mutual Insurance</t>
        </is>
      </c>
      <c r="D466" t="inlineStr">
        <is>
          <t>Emergency</t>
        </is>
      </c>
      <c r="E466" s="29" t="n">
        <v>45710</v>
      </c>
      <c r="F466" s="29" t="n">
        <v>45712</v>
      </c>
      <c r="G466" s="31" t="n">
        <v>757.3200000000001</v>
      </c>
      <c r="H466" s="31" t="n">
        <v>306.58</v>
      </c>
      <c r="I466" t="inlineStr">
        <is>
          <t>Paid</t>
        </is>
      </c>
      <c r="K466" s="29" t="n">
        <v>45748</v>
      </c>
      <c r="L466" s="33" t="n"/>
    </row>
    <row r="467">
      <c r="A467" t="inlineStr">
        <is>
          <t>CLM512641</t>
        </is>
      </c>
      <c r="B467" t="inlineStr">
        <is>
          <t>ENC112641</t>
        </is>
      </c>
      <c r="C467" t="inlineStr">
        <is>
          <t>Keystone Health Partners</t>
        </is>
      </c>
      <c r="D467" t="inlineStr">
        <is>
          <t>Emergency</t>
        </is>
      </c>
      <c r="E467" s="29" t="n">
        <v>45711</v>
      </c>
      <c r="F467" s="29" t="n">
        <v>45713</v>
      </c>
      <c r="G467" s="31" t="n">
        <v>775.48</v>
      </c>
      <c r="H467" s="31" t="n">
        <v>385.35</v>
      </c>
      <c r="I467" t="inlineStr">
        <is>
          <t>Paid</t>
        </is>
      </c>
      <c r="K467" s="29" t="n">
        <v>45745</v>
      </c>
      <c r="L467" s="33" t="n"/>
    </row>
    <row r="468">
      <c r="A468" t="inlineStr">
        <is>
          <t>CLM512648</t>
        </is>
      </c>
      <c r="B468" t="inlineStr">
        <is>
          <t>ENC112648</t>
        </is>
      </c>
      <c r="C468" t="inlineStr">
        <is>
          <t>Medicare</t>
        </is>
      </c>
      <c r="D468" t="inlineStr">
        <is>
          <t>Emergency</t>
        </is>
      </c>
      <c r="E468" s="29" t="n">
        <v>45711</v>
      </c>
      <c r="F468" s="29" t="n">
        <v>45715</v>
      </c>
      <c r="G468" s="31" t="n">
        <v>4391.79</v>
      </c>
      <c r="H468" s="31" t="n">
        <v>1293.47</v>
      </c>
      <c r="I468" t="inlineStr">
        <is>
          <t>Paid</t>
        </is>
      </c>
      <c r="K468" s="29" t="n">
        <v>45723</v>
      </c>
      <c r="L468" s="33" t="n"/>
    </row>
    <row r="469">
      <c r="A469" t="inlineStr">
        <is>
          <t>CLM512654</t>
        </is>
      </c>
      <c r="B469" t="inlineStr">
        <is>
          <t>ENC112654</t>
        </is>
      </c>
      <c r="C469" t="inlineStr">
        <is>
          <t>State Medicaid</t>
        </is>
      </c>
      <c r="D469" t="inlineStr">
        <is>
          <t>Emergency</t>
        </is>
      </c>
      <c r="E469" s="29" t="n">
        <v>45712</v>
      </c>
      <c r="F469" s="29" t="n">
        <v>45722</v>
      </c>
      <c r="G469" s="31" t="n">
        <v>2790.18</v>
      </c>
      <c r="H469" s="31" t="n">
        <v>712.96</v>
      </c>
      <c r="I469" t="inlineStr">
        <is>
          <t>Paid</t>
        </is>
      </c>
      <c r="K469" s="29" t="n">
        <v>45766</v>
      </c>
      <c r="L469" s="33" t="n"/>
    </row>
    <row r="470">
      <c r="A470" t="inlineStr">
        <is>
          <t>CLM512660</t>
        </is>
      </c>
      <c r="B470" t="inlineStr">
        <is>
          <t>ENC112660</t>
        </is>
      </c>
      <c r="C470" t="inlineStr">
        <is>
          <t>Workers' Compensation</t>
        </is>
      </c>
      <c r="D470" t="inlineStr">
        <is>
          <t>Outpatient</t>
        </is>
      </c>
      <c r="E470" s="29" t="n">
        <v>45712</v>
      </c>
      <c r="F470" s="29" t="n">
        <v>45822</v>
      </c>
      <c r="G470" s="31" t="n">
        <v>272.28</v>
      </c>
      <c r="H470" s="31" t="n">
        <v>174.53</v>
      </c>
      <c r="I470" t="inlineStr">
        <is>
          <t>Paid</t>
        </is>
      </c>
      <c r="K470" s="29" t="n">
        <v>45905</v>
      </c>
      <c r="L470" s="33" t="n"/>
    </row>
    <row r="471">
      <c r="A471" t="inlineStr">
        <is>
          <t>CLM512664</t>
        </is>
      </c>
      <c r="B471" t="inlineStr">
        <is>
          <t>ENC112664</t>
        </is>
      </c>
      <c r="C471" t="inlineStr">
        <is>
          <t>Silverline Medicare Advantage</t>
        </is>
      </c>
      <c r="D471" t="inlineStr">
        <is>
          <t>Emergency</t>
        </is>
      </c>
      <c r="E471" s="29" t="n">
        <v>45712</v>
      </c>
      <c r="F471" s="29" t="n">
        <v>45718</v>
      </c>
      <c r="G471" s="31" t="n">
        <v>6693.58</v>
      </c>
      <c r="H471" s="31" t="n">
        <v>2024.96</v>
      </c>
      <c r="I471" t="inlineStr">
        <is>
          <t>Paid</t>
        </is>
      </c>
      <c r="K471" s="29" t="n">
        <v>45752</v>
      </c>
      <c r="L471" s="33" t="n"/>
    </row>
    <row r="472">
      <c r="A472" t="inlineStr">
        <is>
          <t>CLM512666</t>
        </is>
      </c>
      <c r="B472" t="inlineStr">
        <is>
          <t>ENC112666</t>
        </is>
      </c>
      <c r="C472" t="inlineStr">
        <is>
          <t>Summit Choice PPO</t>
        </is>
      </c>
      <c r="D472" t="inlineStr">
        <is>
          <t>Outpatient</t>
        </is>
      </c>
      <c r="E472" s="29" t="n">
        <v>45712</v>
      </c>
      <c r="F472" s="29" t="n">
        <v>45714</v>
      </c>
      <c r="G472" s="31" t="n">
        <v>562.51</v>
      </c>
      <c r="H472" s="31" t="n">
        <v>320.83</v>
      </c>
      <c r="I472" t="inlineStr">
        <is>
          <t>Paid</t>
        </is>
      </c>
      <c r="K472" s="29" t="n">
        <v>45744</v>
      </c>
      <c r="L472" s="33" t="n"/>
    </row>
    <row r="473">
      <c r="A473" t="inlineStr">
        <is>
          <t>CLM512669</t>
        </is>
      </c>
      <c r="B473" t="inlineStr">
        <is>
          <t>ENC112669</t>
        </is>
      </c>
      <c r="C473" t="inlineStr">
        <is>
          <t>State Medicaid</t>
        </is>
      </c>
      <c r="D473" t="inlineStr">
        <is>
          <t>Outpatient</t>
        </is>
      </c>
      <c r="E473" s="29" t="n">
        <v>45712</v>
      </c>
      <c r="F473" s="29" t="n">
        <v>45715</v>
      </c>
      <c r="G473" s="31" t="n">
        <v>156.78</v>
      </c>
      <c r="H473" s="31" t="n">
        <v>39.1</v>
      </c>
      <c r="I473" t="inlineStr">
        <is>
          <t>Paid</t>
        </is>
      </c>
      <c r="K473" s="29" t="n">
        <v>45734</v>
      </c>
      <c r="L473" s="33" t="n"/>
    </row>
    <row r="474">
      <c r="A474" t="inlineStr">
        <is>
          <t>CLM512672</t>
        </is>
      </c>
      <c r="B474" t="inlineStr">
        <is>
          <t>ENC112672</t>
        </is>
      </c>
      <c r="C474" t="inlineStr">
        <is>
          <t>Summit Choice PPO</t>
        </is>
      </c>
      <c r="D474" t="inlineStr">
        <is>
          <t>Inpatient</t>
        </is>
      </c>
      <c r="E474" s="29" t="n">
        <v>45719</v>
      </c>
      <c r="F474" s="29" t="n">
        <v>45721</v>
      </c>
      <c r="G474" s="31" t="n">
        <v>85609.8</v>
      </c>
      <c r="H474" s="31" t="n">
        <v>46248.36</v>
      </c>
      <c r="I474" t="inlineStr">
        <is>
          <t>Paid</t>
        </is>
      </c>
      <c r="K474" s="29" t="n">
        <v>45745</v>
      </c>
      <c r="L474" s="33" t="n"/>
    </row>
    <row r="475">
      <c r="A475" t="inlineStr">
        <is>
          <t>CLM512675</t>
        </is>
      </c>
      <c r="B475" t="inlineStr">
        <is>
          <t>ENC112675</t>
        </is>
      </c>
      <c r="C475" t="inlineStr">
        <is>
          <t>Summit Choice PPO</t>
        </is>
      </c>
      <c r="D475" t="inlineStr">
        <is>
          <t>Emergency</t>
        </is>
      </c>
      <c r="E475" s="29" t="n">
        <v>45712</v>
      </c>
      <c r="F475" s="29" t="n">
        <v>45718</v>
      </c>
      <c r="G475" s="31" t="n">
        <v>1345.51</v>
      </c>
      <c r="H475" s="31" t="n">
        <v>0</v>
      </c>
      <c r="I475" t="inlineStr">
        <is>
          <t>Denied</t>
        </is>
      </c>
      <c r="J475" t="inlineStr">
        <is>
          <t>Coding Error</t>
        </is>
      </c>
      <c r="L475" s="33" t="n"/>
    </row>
    <row r="476">
      <c r="A476" t="inlineStr">
        <is>
          <t>CLM512679</t>
        </is>
      </c>
      <c r="B476" t="inlineStr">
        <is>
          <t>ENC112679</t>
        </is>
      </c>
      <c r="C476" t="inlineStr">
        <is>
          <t>Medicare</t>
        </is>
      </c>
      <c r="D476" t="inlineStr">
        <is>
          <t>Emergency</t>
        </is>
      </c>
      <c r="E476" s="29" t="n">
        <v>45712</v>
      </c>
      <c r="F476" s="29" t="n">
        <v>45718</v>
      </c>
      <c r="G476" s="31" t="n">
        <v>964.39</v>
      </c>
      <c r="H476" s="31" t="n">
        <v>288.7</v>
      </c>
      <c r="I476" t="inlineStr">
        <is>
          <t>Paid</t>
        </is>
      </c>
      <c r="K476" s="29" t="n">
        <v>45735</v>
      </c>
      <c r="L476" s="33" t="n"/>
    </row>
    <row r="477">
      <c r="A477" t="inlineStr">
        <is>
          <t>CLM512681</t>
        </is>
      </c>
      <c r="B477" t="inlineStr">
        <is>
          <t>ENC112681</t>
        </is>
      </c>
      <c r="C477" t="inlineStr">
        <is>
          <t>State Medicaid</t>
        </is>
      </c>
      <c r="D477" t="inlineStr">
        <is>
          <t>Emergency</t>
        </is>
      </c>
      <c r="E477" s="29" t="n">
        <v>45712</v>
      </c>
      <c r="F477" s="29" t="n">
        <v>45716</v>
      </c>
      <c r="G477" s="31" t="n">
        <v>4029.29</v>
      </c>
      <c r="H477" s="31" t="n">
        <v>912.6900000000001</v>
      </c>
      <c r="I477" t="inlineStr">
        <is>
          <t>Paid</t>
        </is>
      </c>
      <c r="K477" s="29" t="n">
        <v>45771</v>
      </c>
      <c r="L477" s="33" t="n"/>
    </row>
    <row r="478">
      <c r="A478" t="inlineStr">
        <is>
          <t>CLM512682</t>
        </is>
      </c>
      <c r="B478" t="inlineStr">
        <is>
          <t>ENC112682</t>
        </is>
      </c>
      <c r="C478" t="inlineStr">
        <is>
          <t>State Medicaid</t>
        </is>
      </c>
      <c r="D478" t="inlineStr">
        <is>
          <t>Outpatient</t>
        </is>
      </c>
      <c r="E478" s="29" t="n">
        <v>45712</v>
      </c>
      <c r="F478" s="29" t="n">
        <v>45719</v>
      </c>
      <c r="G478" s="31" t="n">
        <v>311.12</v>
      </c>
      <c r="H478" s="31" t="n">
        <v>68.70999999999999</v>
      </c>
      <c r="I478" t="inlineStr">
        <is>
          <t>Paid</t>
        </is>
      </c>
      <c r="K478" s="29" t="n">
        <v>45765</v>
      </c>
      <c r="L478" s="33" t="n"/>
    </row>
    <row r="479">
      <c r="A479" t="inlineStr">
        <is>
          <t>CLM512683</t>
        </is>
      </c>
      <c r="B479" t="inlineStr">
        <is>
          <t>ENC112683</t>
        </is>
      </c>
      <c r="C479" t="inlineStr">
        <is>
          <t>Medicare</t>
        </is>
      </c>
      <c r="D479" t="inlineStr">
        <is>
          <t>Outpatient</t>
        </is>
      </c>
      <c r="E479" s="29" t="n">
        <v>45712</v>
      </c>
      <c r="F479" s="29" t="n">
        <v>45715</v>
      </c>
      <c r="G479" s="31" t="n">
        <v>341.86</v>
      </c>
      <c r="H479" s="31" t="n">
        <v>90.04000000000001</v>
      </c>
      <c r="I479" t="inlineStr">
        <is>
          <t>Paid</t>
        </is>
      </c>
      <c r="K479" s="29" t="n">
        <v>45741</v>
      </c>
      <c r="L479" s="33" t="n"/>
    </row>
    <row r="480">
      <c r="A480" t="inlineStr">
        <is>
          <t>CLM512688</t>
        </is>
      </c>
      <c r="B480" t="inlineStr">
        <is>
          <t>ENC112688</t>
        </is>
      </c>
      <c r="C480" t="inlineStr">
        <is>
          <t>Silverline Medicare Advantage</t>
        </is>
      </c>
      <c r="D480" t="inlineStr">
        <is>
          <t>Outpatient</t>
        </is>
      </c>
      <c r="E480" s="29" t="n">
        <v>45712</v>
      </c>
      <c r="F480" s="29" t="n">
        <v>45713</v>
      </c>
      <c r="G480" s="31" t="n">
        <v>429.31</v>
      </c>
      <c r="H480" s="31" t="n">
        <v>126.47</v>
      </c>
      <c r="I480" t="inlineStr">
        <is>
          <t>Paid</t>
        </is>
      </c>
      <c r="K480" s="29" t="n">
        <v>45736</v>
      </c>
      <c r="L480" s="33" t="n"/>
    </row>
    <row r="481">
      <c r="A481" t="inlineStr">
        <is>
          <t>CLM512690</t>
        </is>
      </c>
      <c r="B481" t="inlineStr">
        <is>
          <t>ENC112690</t>
        </is>
      </c>
      <c r="C481" t="inlineStr">
        <is>
          <t>Self-Pay</t>
        </is>
      </c>
      <c r="D481" t="inlineStr">
        <is>
          <t>Observation</t>
        </is>
      </c>
      <c r="E481" s="29" t="n">
        <v>45713</v>
      </c>
      <c r="F481" s="29" t="n">
        <v>45719</v>
      </c>
      <c r="G481" s="31" t="n">
        <v>10484.96</v>
      </c>
      <c r="H481" s="31" t="n">
        <v>4375.35</v>
      </c>
      <c r="I481" t="inlineStr">
        <is>
          <t>Paid</t>
        </is>
      </c>
      <c r="K481" s="29" t="n">
        <v>45770</v>
      </c>
      <c r="L481" s="33" t="n"/>
    </row>
    <row r="482">
      <c r="A482" t="inlineStr">
        <is>
          <t>CLM512697</t>
        </is>
      </c>
      <c r="B482" t="inlineStr">
        <is>
          <t>ENC112697</t>
        </is>
      </c>
      <c r="C482" t="inlineStr">
        <is>
          <t>Medicare</t>
        </is>
      </c>
      <c r="D482" t="inlineStr">
        <is>
          <t>Inpatient</t>
        </is>
      </c>
      <c r="E482" s="29" t="n">
        <v>45715</v>
      </c>
      <c r="F482" s="29" t="n">
        <v>45716</v>
      </c>
      <c r="G482" s="31" t="n">
        <v>21969.4</v>
      </c>
      <c r="H482" s="31" t="n">
        <v>6283.14</v>
      </c>
      <c r="I482" t="inlineStr">
        <is>
          <t>Paid</t>
        </is>
      </c>
      <c r="K482" s="29" t="n">
        <v>45725</v>
      </c>
      <c r="L482" s="33" t="n"/>
    </row>
    <row r="483">
      <c r="A483" t="inlineStr">
        <is>
          <t>CLM512699</t>
        </is>
      </c>
      <c r="B483" t="inlineStr">
        <is>
          <t>ENC112699</t>
        </is>
      </c>
      <c r="C483" t="inlineStr">
        <is>
          <t>Self-Pay</t>
        </is>
      </c>
      <c r="D483" t="inlineStr">
        <is>
          <t>Outpatient</t>
        </is>
      </c>
      <c r="E483" s="29" t="n">
        <v>45712</v>
      </c>
      <c r="F483" s="29" t="n">
        <v>45716</v>
      </c>
      <c r="G483" s="31" t="n">
        <v>511.07</v>
      </c>
      <c r="H483" s="31" t="n">
        <v>0</v>
      </c>
      <c r="I483" t="inlineStr">
        <is>
          <t>Pending</t>
        </is>
      </c>
      <c r="L483" s="33" t="n"/>
    </row>
    <row r="484">
      <c r="A484" t="inlineStr">
        <is>
          <t>CLM512707</t>
        </is>
      </c>
      <c r="B484" t="inlineStr">
        <is>
          <t>ENC112707</t>
        </is>
      </c>
      <c r="C484" t="inlineStr">
        <is>
          <t>Evergreen Mutual Insurance</t>
        </is>
      </c>
      <c r="D484" t="inlineStr">
        <is>
          <t>Emergency</t>
        </is>
      </c>
      <c r="E484" s="29" t="n">
        <v>45713</v>
      </c>
      <c r="F484" s="29" t="n">
        <v>45729</v>
      </c>
      <c r="G484" s="31" t="n">
        <v>3309.2</v>
      </c>
      <c r="H484" s="31" t="n">
        <v>1277.19</v>
      </c>
      <c r="I484" t="inlineStr">
        <is>
          <t>Paid</t>
        </is>
      </c>
      <c r="K484" s="29" t="n">
        <v>45785</v>
      </c>
      <c r="L484" s="33" t="n"/>
    </row>
    <row r="485">
      <c r="A485" t="inlineStr">
        <is>
          <t>CLM512708</t>
        </is>
      </c>
      <c r="B485" t="inlineStr">
        <is>
          <t>ENC112708</t>
        </is>
      </c>
      <c r="C485" t="inlineStr">
        <is>
          <t>Evergreen Mutual Insurance</t>
        </is>
      </c>
      <c r="D485" t="inlineStr">
        <is>
          <t>Observation</t>
        </is>
      </c>
      <c r="E485" s="29" t="n">
        <v>45714</v>
      </c>
      <c r="F485" s="29" t="n">
        <v>45720</v>
      </c>
      <c r="G485" s="31" t="n">
        <v>4596.77</v>
      </c>
      <c r="H485" s="31" t="n">
        <v>2018.57</v>
      </c>
      <c r="I485" t="inlineStr">
        <is>
          <t>Paid</t>
        </is>
      </c>
      <c r="K485" s="29" t="n">
        <v>45766</v>
      </c>
      <c r="L485" s="33" t="n"/>
    </row>
    <row r="486">
      <c r="A486" t="inlineStr">
        <is>
          <t>CLM512718</t>
        </is>
      </c>
      <c r="B486" t="inlineStr">
        <is>
          <t>ENC112718</t>
        </is>
      </c>
      <c r="C486" t="inlineStr">
        <is>
          <t>Evergreen Mutual Insurance</t>
        </is>
      </c>
      <c r="D486" t="inlineStr">
        <is>
          <t>Outpatient</t>
        </is>
      </c>
      <c r="E486" s="29" t="n">
        <v>45713</v>
      </c>
      <c r="F486" s="29" t="n">
        <v>45723</v>
      </c>
      <c r="G486" s="31" t="n">
        <v>338.34</v>
      </c>
      <c r="H486" s="31" t="n">
        <v>0</v>
      </c>
      <c r="I486" t="inlineStr">
        <is>
          <t>Denied</t>
        </is>
      </c>
      <c r="J486" t="inlineStr">
        <is>
          <t>Authorization Required</t>
        </is>
      </c>
      <c r="L486" s="33" t="n"/>
    </row>
    <row r="487">
      <c r="A487" t="inlineStr">
        <is>
          <t>CLM512719</t>
        </is>
      </c>
      <c r="B487" t="inlineStr">
        <is>
          <t>ENC112719</t>
        </is>
      </c>
      <c r="C487" t="inlineStr">
        <is>
          <t>State Medicaid</t>
        </is>
      </c>
      <c r="D487" t="inlineStr">
        <is>
          <t>Observation</t>
        </is>
      </c>
      <c r="E487" s="29" t="n">
        <v>45714</v>
      </c>
      <c r="F487" s="29" t="n">
        <v>45802</v>
      </c>
      <c r="G487" s="31" t="n">
        <v>7448.34</v>
      </c>
      <c r="H487" s="31" t="n">
        <v>1809.45</v>
      </c>
      <c r="I487" t="inlineStr">
        <is>
          <t>Paid</t>
        </is>
      </c>
      <c r="K487" s="29" t="n">
        <v>45839</v>
      </c>
      <c r="L487" s="33" t="n"/>
    </row>
    <row r="488">
      <c r="A488" t="inlineStr">
        <is>
          <t>CLM512723</t>
        </is>
      </c>
      <c r="B488" t="inlineStr">
        <is>
          <t>ENC112723</t>
        </is>
      </c>
      <c r="C488" t="inlineStr">
        <is>
          <t>Self-Pay</t>
        </is>
      </c>
      <c r="D488" t="inlineStr">
        <is>
          <t>Outpatient</t>
        </is>
      </c>
      <c r="E488" s="29" t="n">
        <v>45713</v>
      </c>
      <c r="F488" s="29" t="n">
        <v>45719</v>
      </c>
      <c r="G488" s="31" t="n">
        <v>374.23</v>
      </c>
      <c r="H488" s="31" t="n">
        <v>99.53</v>
      </c>
      <c r="I488" t="inlineStr">
        <is>
          <t>Partially Paid</t>
        </is>
      </c>
      <c r="K488" s="29" t="n">
        <v>45782</v>
      </c>
      <c r="L488" s="33" t="n"/>
    </row>
    <row r="489">
      <c r="A489" t="inlineStr">
        <is>
          <t>CLM512724</t>
        </is>
      </c>
      <c r="B489" t="inlineStr">
        <is>
          <t>ENC112724</t>
        </is>
      </c>
      <c r="C489" t="inlineStr">
        <is>
          <t>Silverline Medicare Advantage</t>
        </is>
      </c>
      <c r="D489" t="inlineStr">
        <is>
          <t>Outpatient</t>
        </is>
      </c>
      <c r="E489" s="29" t="n">
        <v>45713</v>
      </c>
      <c r="F489" s="29" t="n">
        <v>45717</v>
      </c>
      <c r="G489" s="31" t="n">
        <v>375.09</v>
      </c>
      <c r="H489" s="31" t="n">
        <v>128.16</v>
      </c>
      <c r="I489" t="inlineStr">
        <is>
          <t>Paid</t>
        </is>
      </c>
      <c r="K489" s="29" t="n">
        <v>45750</v>
      </c>
      <c r="L489" s="33" t="n"/>
    </row>
    <row r="490">
      <c r="A490" t="inlineStr">
        <is>
          <t>CLM512726</t>
        </is>
      </c>
      <c r="B490" t="inlineStr">
        <is>
          <t>ENC112726</t>
        </is>
      </c>
      <c r="C490" t="inlineStr">
        <is>
          <t>Evergreen Mutual Insurance</t>
        </is>
      </c>
      <c r="D490" t="inlineStr">
        <is>
          <t>Outpatient</t>
        </is>
      </c>
      <c r="E490" s="29" t="n">
        <v>45713</v>
      </c>
      <c r="F490" s="29" t="n">
        <v>45715</v>
      </c>
      <c r="G490" s="31" t="n">
        <v>551.24</v>
      </c>
      <c r="H490" s="31" t="n">
        <v>248.07</v>
      </c>
      <c r="I490" t="inlineStr">
        <is>
          <t>Paid</t>
        </is>
      </c>
      <c r="K490" s="29" t="n">
        <v>45758</v>
      </c>
      <c r="L490" s="33" t="n"/>
    </row>
    <row r="491">
      <c r="A491" t="inlineStr">
        <is>
          <t>CLM512728</t>
        </is>
      </c>
      <c r="B491" t="inlineStr">
        <is>
          <t>ENC112728</t>
        </is>
      </c>
      <c r="C491" t="inlineStr">
        <is>
          <t>Silverline Medicare Advantage</t>
        </is>
      </c>
      <c r="D491" t="inlineStr">
        <is>
          <t>Inpatient</t>
        </is>
      </c>
      <c r="E491" s="29" t="n">
        <v>45720</v>
      </c>
      <c r="F491" s="29" t="n">
        <v>45725</v>
      </c>
      <c r="G491" s="31" t="n">
        <v>68739.32000000001</v>
      </c>
      <c r="H491" s="31" t="n">
        <v>21511.6</v>
      </c>
      <c r="I491" t="inlineStr">
        <is>
          <t>Paid</t>
        </is>
      </c>
      <c r="K491" s="29" t="n">
        <v>45758</v>
      </c>
      <c r="L491" s="33" t="n"/>
    </row>
    <row r="492">
      <c r="A492" t="inlineStr">
        <is>
          <t>CLM512731</t>
        </is>
      </c>
      <c r="B492" t="inlineStr">
        <is>
          <t>ENC112731</t>
        </is>
      </c>
      <c r="C492" t="inlineStr">
        <is>
          <t>Summit Choice PPO</t>
        </is>
      </c>
      <c r="D492" t="inlineStr">
        <is>
          <t>Emergency</t>
        </is>
      </c>
      <c r="E492" s="29" t="n">
        <v>45713</v>
      </c>
      <c r="F492" s="29" t="n">
        <v>45718</v>
      </c>
      <c r="G492" s="31" t="n">
        <v>5307.88</v>
      </c>
      <c r="H492" s="31" t="n">
        <v>1269.41</v>
      </c>
      <c r="I492" t="inlineStr">
        <is>
          <t>Partially Paid</t>
        </is>
      </c>
      <c r="J492" t="inlineStr">
        <is>
          <t>Coding Error</t>
        </is>
      </c>
      <c r="K492" s="29" t="n">
        <v>45733</v>
      </c>
      <c r="L492" s="33" t="n"/>
    </row>
    <row r="493">
      <c r="A493" t="inlineStr">
        <is>
          <t>CLM512747</t>
        </is>
      </c>
      <c r="B493" t="inlineStr">
        <is>
          <t>ENC112747</t>
        </is>
      </c>
      <c r="C493" t="inlineStr">
        <is>
          <t>Summit Choice PPO</t>
        </is>
      </c>
      <c r="D493" t="inlineStr">
        <is>
          <t>Emergency</t>
        </is>
      </c>
      <c r="E493" s="29" t="n">
        <v>45713</v>
      </c>
      <c r="F493" s="29" t="n">
        <v>45720</v>
      </c>
      <c r="G493" s="31" t="n">
        <v>2863.66</v>
      </c>
      <c r="H493" s="31" t="n">
        <v>1367.63</v>
      </c>
      <c r="I493" t="inlineStr">
        <is>
          <t>Paid</t>
        </is>
      </c>
      <c r="K493" s="29" t="n">
        <v>45756</v>
      </c>
      <c r="L493" s="33" t="n"/>
    </row>
    <row r="494">
      <c r="A494" t="inlineStr">
        <is>
          <t>CLM512748</t>
        </is>
      </c>
      <c r="B494" t="inlineStr">
        <is>
          <t>ENC112748</t>
        </is>
      </c>
      <c r="C494" t="inlineStr">
        <is>
          <t>Keystone Health Partners</t>
        </is>
      </c>
      <c r="D494" t="inlineStr">
        <is>
          <t>Inpatient</t>
        </is>
      </c>
      <c r="E494" s="29" t="n">
        <v>45716</v>
      </c>
      <c r="F494" s="29" t="n">
        <v>45722</v>
      </c>
      <c r="G494" s="31" t="n">
        <v>26500.23</v>
      </c>
      <c r="H494" s="31" t="n">
        <v>11784.6</v>
      </c>
      <c r="I494" t="inlineStr">
        <is>
          <t>Paid</t>
        </is>
      </c>
      <c r="K494" s="29" t="n">
        <v>45753</v>
      </c>
      <c r="L494" s="33" t="n"/>
    </row>
    <row r="495">
      <c r="A495" t="inlineStr">
        <is>
          <t>CLM512749</t>
        </is>
      </c>
      <c r="B495" t="inlineStr">
        <is>
          <t>ENC112749</t>
        </is>
      </c>
      <c r="C495" t="inlineStr">
        <is>
          <t>Summit Choice PPO</t>
        </is>
      </c>
      <c r="D495" t="inlineStr">
        <is>
          <t>Inpatient</t>
        </is>
      </c>
      <c r="E495" s="29" t="n">
        <v>45733</v>
      </c>
      <c r="F495" s="29" t="n">
        <v>45789</v>
      </c>
      <c r="G495" s="31" t="n">
        <v>167509.41</v>
      </c>
      <c r="H495" s="31" t="n">
        <v>80897.36</v>
      </c>
      <c r="I495" t="inlineStr">
        <is>
          <t>Paid</t>
        </is>
      </c>
      <c r="K495" s="29" t="n">
        <v>45803</v>
      </c>
      <c r="L495" s="33" t="n"/>
    </row>
    <row r="496">
      <c r="A496" t="inlineStr">
        <is>
          <t>CLM512750</t>
        </is>
      </c>
      <c r="B496" t="inlineStr">
        <is>
          <t>ENC112750</t>
        </is>
      </c>
      <c r="C496" t="inlineStr">
        <is>
          <t>State Medicaid</t>
        </is>
      </c>
      <c r="D496" t="inlineStr">
        <is>
          <t>Emergency</t>
        </is>
      </c>
      <c r="E496" s="29" t="n">
        <v>45713</v>
      </c>
      <c r="F496" s="29" t="n">
        <v>45718</v>
      </c>
      <c r="G496" s="31" t="n">
        <v>579.74</v>
      </c>
      <c r="H496" s="31" t="n">
        <v>0</v>
      </c>
      <c r="I496" t="inlineStr">
        <is>
          <t>Appealed</t>
        </is>
      </c>
      <c r="J496" t="inlineStr">
        <is>
          <t>Coding Error</t>
        </is>
      </c>
      <c r="L496" s="33" t="n"/>
    </row>
    <row r="497">
      <c r="A497" t="inlineStr">
        <is>
          <t>CLM512757</t>
        </is>
      </c>
      <c r="B497" t="inlineStr">
        <is>
          <t>ENC112757</t>
        </is>
      </c>
      <c r="C497" t="inlineStr">
        <is>
          <t>Medicare</t>
        </is>
      </c>
      <c r="D497" t="inlineStr">
        <is>
          <t>Inpatient</t>
        </is>
      </c>
      <c r="E497" s="29" t="n">
        <v>45721</v>
      </c>
      <c r="F497" s="29" t="n">
        <v>45726</v>
      </c>
      <c r="G497" s="31" t="n">
        <v>44954.72</v>
      </c>
      <c r="H497" s="31" t="n">
        <v>12358.76</v>
      </c>
      <c r="I497" t="inlineStr">
        <is>
          <t>Paid</t>
        </is>
      </c>
      <c r="K497" s="29" t="n">
        <v>45737</v>
      </c>
      <c r="L497" s="33" t="n"/>
    </row>
    <row r="498">
      <c r="A498" t="inlineStr">
        <is>
          <t>CLM512758</t>
        </is>
      </c>
      <c r="B498" t="inlineStr">
        <is>
          <t>ENC112758</t>
        </is>
      </c>
      <c r="C498" t="inlineStr">
        <is>
          <t>Summit Choice PPO</t>
        </is>
      </c>
      <c r="D498" t="inlineStr">
        <is>
          <t>Inpatient</t>
        </is>
      </c>
      <c r="E498" s="29" t="n">
        <v>45715</v>
      </c>
      <c r="F498" s="29" t="n">
        <v>45723</v>
      </c>
      <c r="G498" s="31" t="n">
        <v>77607.56</v>
      </c>
      <c r="H498" s="31" t="n">
        <v>39048.44</v>
      </c>
      <c r="I498" t="inlineStr">
        <is>
          <t>Paid</t>
        </is>
      </c>
      <c r="K498" s="29" t="n">
        <v>45746</v>
      </c>
      <c r="L498" s="33" t="n"/>
    </row>
    <row r="499">
      <c r="A499" t="inlineStr">
        <is>
          <t>CLM512763</t>
        </is>
      </c>
      <c r="B499" t="inlineStr">
        <is>
          <t>ENC112763</t>
        </is>
      </c>
      <c r="C499" t="inlineStr">
        <is>
          <t>State Medicaid</t>
        </is>
      </c>
      <c r="D499" t="inlineStr">
        <is>
          <t>Emergency</t>
        </is>
      </c>
      <c r="E499" s="29" t="n">
        <v>45714</v>
      </c>
      <c r="F499" s="29" t="n">
        <v>45719</v>
      </c>
      <c r="G499" s="31" t="n">
        <v>1691.4</v>
      </c>
      <c r="H499" s="31" t="n">
        <v>495.29</v>
      </c>
      <c r="I499" t="inlineStr">
        <is>
          <t>Paid</t>
        </is>
      </c>
      <c r="K499" s="29" t="n">
        <v>45743</v>
      </c>
      <c r="L499" s="33" t="n"/>
    </row>
    <row r="500">
      <c r="A500" t="inlineStr">
        <is>
          <t>CLM512770</t>
        </is>
      </c>
      <c r="B500" t="inlineStr">
        <is>
          <t>ENC112770</t>
        </is>
      </c>
      <c r="C500" t="inlineStr">
        <is>
          <t>Medicare</t>
        </is>
      </c>
      <c r="D500" t="inlineStr">
        <is>
          <t>Outpatient</t>
        </is>
      </c>
      <c r="E500" s="29" t="n">
        <v>45714</v>
      </c>
      <c r="F500" s="29" t="n">
        <v>45719</v>
      </c>
      <c r="G500" s="31" t="n">
        <v>577.0599999999999</v>
      </c>
      <c r="H500" s="31" t="n">
        <v>174.98</v>
      </c>
      <c r="I500" t="inlineStr">
        <is>
          <t>Paid</t>
        </is>
      </c>
      <c r="K500" s="29" t="n">
        <v>45734</v>
      </c>
      <c r="L500" s="33" t="n"/>
    </row>
    <row r="501">
      <c r="A501" t="inlineStr">
        <is>
          <t>CLM512774</t>
        </is>
      </c>
      <c r="B501" t="inlineStr">
        <is>
          <t>ENC112774</t>
        </is>
      </c>
      <c r="C501" t="inlineStr">
        <is>
          <t>Evergreen Mutual Insurance</t>
        </is>
      </c>
      <c r="D501" t="inlineStr">
        <is>
          <t>Outpatient</t>
        </is>
      </c>
      <c r="E501" s="29" t="n">
        <v>45714</v>
      </c>
      <c r="F501" s="29" t="n">
        <v>45719</v>
      </c>
      <c r="G501" s="31" t="n">
        <v>181.92</v>
      </c>
      <c r="H501" s="31" t="n">
        <v>79.34999999999999</v>
      </c>
      <c r="I501" t="inlineStr">
        <is>
          <t>Paid</t>
        </is>
      </c>
      <c r="K501" s="29" t="n">
        <v>45781</v>
      </c>
      <c r="L501" s="33" t="n"/>
    </row>
    <row r="502">
      <c r="A502" t="inlineStr">
        <is>
          <t>CLM512779</t>
        </is>
      </c>
      <c r="B502" t="inlineStr">
        <is>
          <t>ENC112779</t>
        </is>
      </c>
      <c r="C502" t="inlineStr">
        <is>
          <t>State Medicaid</t>
        </is>
      </c>
      <c r="D502" t="inlineStr">
        <is>
          <t>Outpatient</t>
        </is>
      </c>
      <c r="E502" s="29" t="n">
        <v>45714</v>
      </c>
      <c r="F502" s="29" t="n">
        <v>45719</v>
      </c>
      <c r="G502" s="31" t="n">
        <v>234.79</v>
      </c>
      <c r="H502" s="31" t="n">
        <v>52.2</v>
      </c>
      <c r="I502" t="inlineStr">
        <is>
          <t>Paid</t>
        </is>
      </c>
      <c r="K502" s="29" t="n">
        <v>45764</v>
      </c>
      <c r="L502" s="33" t="n"/>
    </row>
    <row r="503">
      <c r="A503" t="inlineStr">
        <is>
          <t>CLM512785</t>
        </is>
      </c>
      <c r="B503" t="inlineStr">
        <is>
          <t>ENC112785</t>
        </is>
      </c>
      <c r="C503" t="inlineStr">
        <is>
          <t>Keystone Health Partners</t>
        </is>
      </c>
      <c r="D503" t="inlineStr">
        <is>
          <t>Observation</t>
        </is>
      </c>
      <c r="E503" s="29" t="n">
        <v>45716</v>
      </c>
      <c r="F503" s="29" t="n">
        <v>45725</v>
      </c>
      <c r="G503" s="31" t="n">
        <v>6685.3</v>
      </c>
      <c r="H503" s="31" t="n">
        <v>3724.27</v>
      </c>
      <c r="I503" t="inlineStr">
        <is>
          <t>Paid</t>
        </is>
      </c>
      <c r="K503" s="29" t="n">
        <v>45749</v>
      </c>
      <c r="L503" s="33" t="n"/>
    </row>
    <row r="504">
      <c r="A504" t="inlineStr">
        <is>
          <t>CLM512798</t>
        </is>
      </c>
      <c r="B504" t="inlineStr">
        <is>
          <t>ENC112798</t>
        </is>
      </c>
      <c r="C504" t="inlineStr">
        <is>
          <t>Keystone Health Partners</t>
        </is>
      </c>
      <c r="D504" t="inlineStr">
        <is>
          <t>Outpatient</t>
        </is>
      </c>
      <c r="E504" s="29" t="n">
        <v>45715</v>
      </c>
      <c r="F504" s="29" t="n">
        <v>45720</v>
      </c>
      <c r="G504" s="31" t="n">
        <v>1042.12</v>
      </c>
      <c r="H504" s="31" t="n">
        <v>515.0700000000001</v>
      </c>
      <c r="I504" t="inlineStr">
        <is>
          <t>Paid</t>
        </is>
      </c>
      <c r="K504" s="29" t="n">
        <v>45740</v>
      </c>
      <c r="L504" s="33" t="n"/>
    </row>
    <row r="505">
      <c r="A505" t="inlineStr">
        <is>
          <t>CLM512806</t>
        </is>
      </c>
      <c r="B505" t="inlineStr">
        <is>
          <t>ENC112806</t>
        </is>
      </c>
      <c r="C505" t="inlineStr">
        <is>
          <t>Silverline Medicare Advantage</t>
        </is>
      </c>
      <c r="D505" t="inlineStr">
        <is>
          <t>Outpatient</t>
        </is>
      </c>
      <c r="E505" s="29" t="n">
        <v>45715</v>
      </c>
      <c r="F505" s="29" t="n">
        <v>45718</v>
      </c>
      <c r="G505" s="31" t="n">
        <v>10753.1</v>
      </c>
      <c r="H505" s="31" t="n">
        <v>3108.9</v>
      </c>
      <c r="I505" t="inlineStr">
        <is>
          <t>Paid</t>
        </is>
      </c>
      <c r="K505" s="29" t="n">
        <v>45744</v>
      </c>
      <c r="L505" s="33" t="n"/>
    </row>
    <row r="506">
      <c r="A506" t="inlineStr">
        <is>
          <t>CLM512807</t>
        </is>
      </c>
      <c r="B506" t="inlineStr">
        <is>
          <t>ENC112807</t>
        </is>
      </c>
      <c r="C506" t="inlineStr">
        <is>
          <t>Evergreen Mutual Insurance</t>
        </is>
      </c>
      <c r="D506" t="inlineStr">
        <is>
          <t>Outpatient</t>
        </is>
      </c>
      <c r="E506" s="29" t="n">
        <v>45715</v>
      </c>
      <c r="F506" s="29" t="n">
        <v>45721</v>
      </c>
      <c r="G506" s="31" t="n">
        <v>269.65</v>
      </c>
      <c r="H506" s="31" t="n">
        <v>112.64</v>
      </c>
      <c r="I506" t="inlineStr">
        <is>
          <t>Paid</t>
        </is>
      </c>
      <c r="K506" s="29" t="n">
        <v>45749</v>
      </c>
      <c r="L506" s="33" t="n"/>
    </row>
    <row r="507">
      <c r="A507" t="inlineStr">
        <is>
          <t>CLM512810</t>
        </is>
      </c>
      <c r="B507" t="inlineStr">
        <is>
          <t>ENC112810</t>
        </is>
      </c>
      <c r="C507" t="inlineStr">
        <is>
          <t>Evergreen Mutual Insurance</t>
        </is>
      </c>
      <c r="D507" t="inlineStr">
        <is>
          <t>Emergency</t>
        </is>
      </c>
      <c r="E507" s="29" t="n">
        <v>45715</v>
      </c>
      <c r="F507" s="29" t="n">
        <v>45716</v>
      </c>
      <c r="G507" s="31" t="n">
        <v>1293.77</v>
      </c>
      <c r="H507" s="31" t="n">
        <v>523.29</v>
      </c>
      <c r="I507" t="inlineStr">
        <is>
          <t>Paid</t>
        </is>
      </c>
      <c r="K507" s="29" t="n">
        <v>45740</v>
      </c>
      <c r="L507" s="33" t="n"/>
    </row>
    <row r="508">
      <c r="A508" t="inlineStr">
        <is>
          <t>CLM512817</t>
        </is>
      </c>
      <c r="B508" t="inlineStr">
        <is>
          <t>ENC112817</t>
        </is>
      </c>
      <c r="C508" t="inlineStr">
        <is>
          <t>Medicare</t>
        </is>
      </c>
      <c r="D508" t="inlineStr">
        <is>
          <t>Outpatient</t>
        </is>
      </c>
      <c r="E508" s="29" t="n">
        <v>45715</v>
      </c>
      <c r="F508" s="29" t="n">
        <v>45720</v>
      </c>
      <c r="G508" s="31" t="n">
        <v>298.46</v>
      </c>
      <c r="H508" s="31" t="n">
        <v>88.23</v>
      </c>
      <c r="I508" t="inlineStr">
        <is>
          <t>Paid</t>
        </is>
      </c>
      <c r="K508" s="29" t="n">
        <v>45734</v>
      </c>
      <c r="L508" s="33" t="n"/>
    </row>
    <row r="509">
      <c r="A509" t="inlineStr">
        <is>
          <t>CLM512818</t>
        </is>
      </c>
      <c r="B509" t="inlineStr">
        <is>
          <t>ENC112818</t>
        </is>
      </c>
      <c r="C509" t="inlineStr">
        <is>
          <t>Workers' Compensation</t>
        </is>
      </c>
      <c r="D509" t="inlineStr">
        <is>
          <t>Outpatient</t>
        </is>
      </c>
      <c r="E509" s="29" t="n">
        <v>45715</v>
      </c>
      <c r="F509" s="29" t="n">
        <v>45719</v>
      </c>
      <c r="G509" s="31" t="n">
        <v>445.66</v>
      </c>
      <c r="H509" s="31" t="n">
        <v>264.31</v>
      </c>
      <c r="I509" t="inlineStr">
        <is>
          <t>Paid</t>
        </is>
      </c>
      <c r="K509" s="29" t="n">
        <v>45766</v>
      </c>
      <c r="L509" s="33" t="n"/>
    </row>
    <row r="510">
      <c r="A510" t="inlineStr">
        <is>
          <t>CLM512824</t>
        </is>
      </c>
      <c r="B510" t="inlineStr">
        <is>
          <t>ENC112824</t>
        </is>
      </c>
      <c r="C510" t="inlineStr">
        <is>
          <t>State Medicaid</t>
        </is>
      </c>
      <c r="D510" t="inlineStr">
        <is>
          <t>Emergency</t>
        </is>
      </c>
      <c r="E510" s="29" t="n">
        <v>45715</v>
      </c>
      <c r="F510" s="29" t="n">
        <v>45717</v>
      </c>
      <c r="G510" s="31" t="n">
        <v>889.16</v>
      </c>
      <c r="H510" s="31" t="n">
        <v>215.42</v>
      </c>
      <c r="I510" t="inlineStr">
        <is>
          <t>Paid</t>
        </is>
      </c>
      <c r="K510" s="29" t="n">
        <v>45769</v>
      </c>
      <c r="L510" s="33" t="n"/>
    </row>
    <row r="511">
      <c r="A511" t="inlineStr">
        <is>
          <t>CLM512826</t>
        </is>
      </c>
      <c r="B511" t="inlineStr">
        <is>
          <t>ENC112826</t>
        </is>
      </c>
      <c r="C511" t="inlineStr">
        <is>
          <t>Medicare</t>
        </is>
      </c>
      <c r="D511" t="inlineStr">
        <is>
          <t>Emergency</t>
        </is>
      </c>
      <c r="E511" s="29" t="n">
        <v>45715</v>
      </c>
      <c r="F511" s="29" t="n">
        <v>45717</v>
      </c>
      <c r="G511" s="31" t="n">
        <v>1635.21</v>
      </c>
      <c r="H511" s="31" t="n">
        <v>438.17</v>
      </c>
      <c r="I511" t="inlineStr">
        <is>
          <t>Paid</t>
        </is>
      </c>
      <c r="K511" s="29" t="n">
        <v>45730</v>
      </c>
      <c r="L511" s="33" t="n"/>
    </row>
    <row r="512">
      <c r="A512" t="inlineStr">
        <is>
          <t>CLM512833</t>
        </is>
      </c>
      <c r="B512" t="inlineStr">
        <is>
          <t>ENC112833</t>
        </is>
      </c>
      <c r="C512" t="inlineStr">
        <is>
          <t>Evergreen Mutual Insurance</t>
        </is>
      </c>
      <c r="D512" t="inlineStr">
        <is>
          <t>Outpatient</t>
        </is>
      </c>
      <c r="E512" s="29" t="n">
        <v>45716</v>
      </c>
      <c r="F512" s="29" t="n">
        <v>45719</v>
      </c>
      <c r="G512" s="31" t="n">
        <v>348.37</v>
      </c>
      <c r="H512" s="31" t="n">
        <v>166.52</v>
      </c>
      <c r="I512" t="inlineStr">
        <is>
          <t>Paid</t>
        </is>
      </c>
      <c r="K512" s="29" t="n">
        <v>45753</v>
      </c>
      <c r="L512" s="33" t="n"/>
    </row>
    <row r="513">
      <c r="A513" t="inlineStr">
        <is>
          <t>CLM512836</t>
        </is>
      </c>
      <c r="B513" t="inlineStr">
        <is>
          <t>ENC112836</t>
        </is>
      </c>
      <c r="C513" t="inlineStr">
        <is>
          <t>Summit Choice PPO</t>
        </is>
      </c>
      <c r="D513" t="inlineStr">
        <is>
          <t>Outpatient</t>
        </is>
      </c>
      <c r="E513" s="29" t="n">
        <v>45716</v>
      </c>
      <c r="F513" s="29" t="n">
        <v>45721</v>
      </c>
      <c r="G513" s="31" t="n">
        <v>199.97</v>
      </c>
      <c r="H513" s="31" t="n">
        <v>101.09</v>
      </c>
      <c r="I513" t="inlineStr">
        <is>
          <t>Paid</t>
        </is>
      </c>
      <c r="K513" s="29" t="n">
        <v>45734</v>
      </c>
      <c r="L513" s="33" t="n"/>
    </row>
    <row r="514">
      <c r="A514" t="inlineStr">
        <is>
          <t>CLM512839</t>
        </is>
      </c>
      <c r="B514" t="inlineStr">
        <is>
          <t>ENC112839</t>
        </is>
      </c>
      <c r="C514" t="inlineStr">
        <is>
          <t>Summit Choice PPO</t>
        </is>
      </c>
      <c r="D514" t="inlineStr">
        <is>
          <t>Outpatient</t>
        </is>
      </c>
      <c r="E514" s="29" t="n">
        <v>45716</v>
      </c>
      <c r="F514" s="29" t="n">
        <v>45721</v>
      </c>
      <c r="G514" s="31" t="n">
        <v>261.43</v>
      </c>
      <c r="H514" s="31" t="n">
        <v>124.54</v>
      </c>
      <c r="I514" t="inlineStr">
        <is>
          <t>Paid</t>
        </is>
      </c>
      <c r="K514" s="29" t="n">
        <v>45737</v>
      </c>
      <c r="L514" s="33" t="n"/>
    </row>
    <row r="515">
      <c r="A515" t="inlineStr">
        <is>
          <t>CLM512841</t>
        </is>
      </c>
      <c r="B515" t="inlineStr">
        <is>
          <t>ENC112841</t>
        </is>
      </c>
      <c r="C515" t="inlineStr">
        <is>
          <t>Silverline Medicare Advantage</t>
        </is>
      </c>
      <c r="D515" t="inlineStr">
        <is>
          <t>Inpatient</t>
        </is>
      </c>
      <c r="E515" s="29" t="n">
        <v>45725</v>
      </c>
      <c r="F515" s="29" t="n">
        <v>45728</v>
      </c>
      <c r="G515" s="31" t="n">
        <v>55565.16</v>
      </c>
      <c r="H515" s="31" t="n">
        <v>18480.21</v>
      </c>
      <c r="I515" t="inlineStr">
        <is>
          <t>Paid</t>
        </is>
      </c>
      <c r="K515" s="29" t="n">
        <v>45764</v>
      </c>
      <c r="L515" s="33" t="n"/>
    </row>
    <row r="516">
      <c r="A516" t="inlineStr">
        <is>
          <t>CLM512842</t>
        </is>
      </c>
      <c r="B516" t="inlineStr">
        <is>
          <t>ENC112842</t>
        </is>
      </c>
      <c r="C516" t="inlineStr">
        <is>
          <t>State Medicaid</t>
        </is>
      </c>
      <c r="D516" t="inlineStr">
        <is>
          <t>Outpatient</t>
        </is>
      </c>
      <c r="E516" s="29" t="n">
        <v>45716</v>
      </c>
      <c r="F516" s="29" t="n">
        <v>45720</v>
      </c>
      <c r="G516" s="31" t="n">
        <v>137.77</v>
      </c>
      <c r="H516" s="31" t="n">
        <v>32.04</v>
      </c>
      <c r="I516" t="inlineStr">
        <is>
          <t>Paid</t>
        </is>
      </c>
      <c r="K516" s="29" t="n">
        <v>45761</v>
      </c>
      <c r="L516" s="33" t="n"/>
    </row>
    <row r="517">
      <c r="A517" t="inlineStr">
        <is>
          <t>CLM512843</t>
        </is>
      </c>
      <c r="B517" t="inlineStr">
        <is>
          <t>ENC112843</t>
        </is>
      </c>
      <c r="C517" t="inlineStr">
        <is>
          <t>Evergreen Mutual Insurance</t>
        </is>
      </c>
      <c r="D517" t="inlineStr">
        <is>
          <t>Outpatient</t>
        </is>
      </c>
      <c r="E517" s="29" t="n">
        <v>45716</v>
      </c>
      <c r="F517" s="29" t="n">
        <v>45718</v>
      </c>
      <c r="G517" s="31" t="n">
        <v>130.86</v>
      </c>
      <c r="H517" s="31" t="n">
        <v>53.88</v>
      </c>
      <c r="I517" t="inlineStr">
        <is>
          <t>Paid</t>
        </is>
      </c>
      <c r="K517" s="29" t="n">
        <v>45768</v>
      </c>
      <c r="L517" s="33" t="n"/>
    </row>
    <row r="518">
      <c r="A518" t="inlineStr">
        <is>
          <t>CLM512844</t>
        </is>
      </c>
      <c r="B518" t="inlineStr">
        <is>
          <t>ENC112844</t>
        </is>
      </c>
      <c r="C518" t="inlineStr">
        <is>
          <t>Evergreen Mutual Insurance</t>
        </is>
      </c>
      <c r="D518" t="inlineStr">
        <is>
          <t>Emergency</t>
        </is>
      </c>
      <c r="E518" s="29" t="n">
        <v>45716</v>
      </c>
      <c r="F518" s="29" t="n">
        <v>45799</v>
      </c>
      <c r="G518" s="31" t="n">
        <v>3006.02</v>
      </c>
      <c r="H518" s="31" t="n">
        <v>1237.81</v>
      </c>
      <c r="I518" t="inlineStr">
        <is>
          <t>Paid</t>
        </is>
      </c>
      <c r="K518" s="29" t="n">
        <v>45858</v>
      </c>
      <c r="L518" s="33" t="n"/>
    </row>
    <row r="519">
      <c r="A519" t="inlineStr">
        <is>
          <t>CLM512846</t>
        </is>
      </c>
      <c r="B519" t="inlineStr">
        <is>
          <t>ENC112846</t>
        </is>
      </c>
      <c r="C519" t="inlineStr">
        <is>
          <t>Keystone Health Partners</t>
        </is>
      </c>
      <c r="D519" t="inlineStr">
        <is>
          <t>Outpatient</t>
        </is>
      </c>
      <c r="E519" s="29" t="n">
        <v>45716</v>
      </c>
      <c r="F519" s="29" t="n">
        <v>45718</v>
      </c>
      <c r="G519" s="31" t="n">
        <v>12708.18</v>
      </c>
      <c r="H519" s="31" t="n">
        <v>5222.16</v>
      </c>
      <c r="I519" t="inlineStr">
        <is>
          <t>Paid</t>
        </is>
      </c>
      <c r="K519" s="29" t="n">
        <v>45739</v>
      </c>
      <c r="L519" s="33" t="n"/>
    </row>
    <row r="520">
      <c r="A520" t="inlineStr">
        <is>
          <t>CLM512848</t>
        </is>
      </c>
      <c r="B520" t="inlineStr">
        <is>
          <t>ENC112848</t>
        </is>
      </c>
      <c r="C520" t="inlineStr">
        <is>
          <t>State Medicaid</t>
        </is>
      </c>
      <c r="D520" t="inlineStr">
        <is>
          <t>Outpatient</t>
        </is>
      </c>
      <c r="E520" s="29" t="n">
        <v>45716</v>
      </c>
      <c r="F520" s="29" t="n">
        <v>45720</v>
      </c>
      <c r="G520" s="31" t="n">
        <v>453.26</v>
      </c>
      <c r="H520" s="31" t="n">
        <v>113.32</v>
      </c>
      <c r="I520" t="inlineStr">
        <is>
          <t>Paid</t>
        </is>
      </c>
      <c r="K520" s="29" t="n">
        <v>45741</v>
      </c>
      <c r="L520" s="33" t="n"/>
    </row>
    <row r="521">
      <c r="A521" t="inlineStr">
        <is>
          <t>CLM512856</t>
        </is>
      </c>
      <c r="B521" t="inlineStr">
        <is>
          <t>ENC112856</t>
        </is>
      </c>
      <c r="C521" t="inlineStr">
        <is>
          <t>Summit Choice PPO</t>
        </is>
      </c>
      <c r="D521" t="inlineStr">
        <is>
          <t>Emergency</t>
        </is>
      </c>
      <c r="E521" s="29" t="n">
        <v>45716</v>
      </c>
      <c r="F521" s="29" t="n">
        <v>45724</v>
      </c>
      <c r="G521" s="31" t="n">
        <v>2848.46</v>
      </c>
      <c r="H521" s="31" t="n">
        <v>0</v>
      </c>
      <c r="I521" t="inlineStr">
        <is>
          <t>Denied</t>
        </is>
      </c>
      <c r="J521" t="inlineStr">
        <is>
          <t>Coding Error</t>
        </is>
      </c>
      <c r="L521" s="33" t="n"/>
    </row>
    <row r="522">
      <c r="A522" t="inlineStr">
        <is>
          <t>CLM512859</t>
        </is>
      </c>
      <c r="B522" t="inlineStr">
        <is>
          <t>ENC112859</t>
        </is>
      </c>
      <c r="C522" t="inlineStr">
        <is>
          <t>Silverline Medicare Advantage</t>
        </is>
      </c>
      <c r="D522" t="inlineStr">
        <is>
          <t>Inpatient</t>
        </is>
      </c>
      <c r="E522" s="29" t="n">
        <v>45729</v>
      </c>
      <c r="F522" s="29" t="n">
        <v>45790</v>
      </c>
      <c r="G522" s="31" t="n">
        <v>62653.08</v>
      </c>
      <c r="H522" s="31" t="n">
        <v>19075.37</v>
      </c>
      <c r="I522" t="inlineStr">
        <is>
          <t>Paid</t>
        </is>
      </c>
      <c r="K522" s="29" t="n">
        <v>45824</v>
      </c>
      <c r="L522" s="33" t="n"/>
    </row>
    <row r="523">
      <c r="A523" t="inlineStr">
        <is>
          <t>CLM512870</t>
        </is>
      </c>
      <c r="B523" t="inlineStr">
        <is>
          <t>ENC112870</t>
        </is>
      </c>
      <c r="C523" t="inlineStr">
        <is>
          <t>State Medicaid</t>
        </is>
      </c>
      <c r="D523" t="inlineStr">
        <is>
          <t>Inpatient</t>
        </is>
      </c>
      <c r="E523" s="29" t="n">
        <v>45724</v>
      </c>
      <c r="F523" s="29" t="n">
        <v>45730</v>
      </c>
      <c r="G523" s="31" t="n">
        <v>28161.59</v>
      </c>
      <c r="H523" s="31" t="n">
        <v>7118.66</v>
      </c>
      <c r="I523" t="inlineStr">
        <is>
          <t>Paid</t>
        </is>
      </c>
      <c r="K523" s="29" t="n">
        <v>45756</v>
      </c>
      <c r="L523" s="33" t="n"/>
    </row>
    <row r="524">
      <c r="A524" t="inlineStr">
        <is>
          <t>CLM512871</t>
        </is>
      </c>
      <c r="B524" t="inlineStr">
        <is>
          <t>ENC112871</t>
        </is>
      </c>
      <c r="C524" t="inlineStr">
        <is>
          <t>Keystone Health Partners</t>
        </is>
      </c>
      <c r="D524" t="inlineStr">
        <is>
          <t>Emergency</t>
        </is>
      </c>
      <c r="E524" s="29" t="n">
        <v>45717</v>
      </c>
      <c r="F524" s="29" t="n">
        <v>45719</v>
      </c>
      <c r="G524" s="31" t="n">
        <v>1741.33</v>
      </c>
      <c r="H524" s="31" t="n">
        <v>712.6799999999999</v>
      </c>
      <c r="I524" t="inlineStr">
        <is>
          <t>Paid</t>
        </is>
      </c>
      <c r="K524" s="29" t="n">
        <v>45729</v>
      </c>
      <c r="L524" s="33" t="n"/>
    </row>
    <row r="525">
      <c r="A525" t="inlineStr">
        <is>
          <t>CLM512873</t>
        </is>
      </c>
      <c r="B525" t="inlineStr">
        <is>
          <t>ENC112873</t>
        </is>
      </c>
      <c r="C525" t="inlineStr">
        <is>
          <t>Keystone Health Partners</t>
        </is>
      </c>
      <c r="D525" t="inlineStr">
        <is>
          <t>Inpatient</t>
        </is>
      </c>
      <c r="E525" s="29" t="n">
        <v>45722</v>
      </c>
      <c r="F525" s="29" t="n">
        <v>45736</v>
      </c>
      <c r="G525" s="31" t="n">
        <v>19498.41</v>
      </c>
      <c r="H525" s="31" t="n">
        <v>8197.93</v>
      </c>
      <c r="I525" t="inlineStr">
        <is>
          <t>Paid</t>
        </is>
      </c>
      <c r="K525" s="29" t="n">
        <v>45760</v>
      </c>
      <c r="L525" s="33" t="n"/>
    </row>
    <row r="526">
      <c r="A526" t="inlineStr">
        <is>
          <t>CLM512874</t>
        </is>
      </c>
      <c r="B526" t="inlineStr">
        <is>
          <t>ENC112874</t>
        </is>
      </c>
      <c r="C526" t="inlineStr">
        <is>
          <t>Summit Choice PPO</t>
        </is>
      </c>
      <c r="D526" t="inlineStr">
        <is>
          <t>Emergency</t>
        </is>
      </c>
      <c r="E526" s="29" t="n">
        <v>45718</v>
      </c>
      <c r="F526" s="29" t="n">
        <v>45722</v>
      </c>
      <c r="G526" s="31" t="n">
        <v>3797.85</v>
      </c>
      <c r="H526" s="31" t="n">
        <v>1908.62</v>
      </c>
      <c r="I526" t="inlineStr">
        <is>
          <t>Paid</t>
        </is>
      </c>
      <c r="K526" s="29" t="n">
        <v>45739</v>
      </c>
      <c r="L526" s="33" t="n"/>
    </row>
    <row r="527">
      <c r="A527" t="inlineStr">
        <is>
          <t>CLM512883</t>
        </is>
      </c>
      <c r="B527" t="inlineStr">
        <is>
          <t>ENC112883</t>
        </is>
      </c>
      <c r="C527" t="inlineStr">
        <is>
          <t>State Medicaid</t>
        </is>
      </c>
      <c r="D527" t="inlineStr">
        <is>
          <t>Emergency</t>
        </is>
      </c>
      <c r="E527" s="29" t="n">
        <v>45718</v>
      </c>
      <c r="F527" s="29" t="n">
        <v>45721</v>
      </c>
      <c r="G527" s="31" t="n">
        <v>808.24</v>
      </c>
      <c r="H527" s="31" t="n">
        <v>173.11</v>
      </c>
      <c r="I527" t="inlineStr">
        <is>
          <t>Paid</t>
        </is>
      </c>
      <c r="K527" s="29" t="n">
        <v>45756</v>
      </c>
      <c r="L527" s="33" t="n"/>
    </row>
    <row r="528">
      <c r="A528" t="inlineStr">
        <is>
          <t>CLM512884</t>
        </is>
      </c>
      <c r="B528" t="inlineStr">
        <is>
          <t>ENC112884</t>
        </is>
      </c>
      <c r="C528" t="inlineStr">
        <is>
          <t>Summit Choice PPO</t>
        </is>
      </c>
      <c r="D528" t="inlineStr">
        <is>
          <t>Emergency</t>
        </is>
      </c>
      <c r="E528" s="29" t="n">
        <v>45718</v>
      </c>
      <c r="F528" s="29" t="n">
        <v>45722</v>
      </c>
      <c r="G528" s="31" t="n">
        <v>1882.91</v>
      </c>
      <c r="H528" s="31" t="n">
        <v>951.05</v>
      </c>
      <c r="I528" t="inlineStr">
        <is>
          <t>Paid</t>
        </is>
      </c>
      <c r="K528" s="29" t="n">
        <v>45742</v>
      </c>
      <c r="L528" s="33" t="n"/>
    </row>
    <row r="529">
      <c r="A529" t="inlineStr">
        <is>
          <t>CLM512886</t>
        </is>
      </c>
      <c r="B529" t="inlineStr">
        <is>
          <t>ENC112886</t>
        </is>
      </c>
      <c r="C529" t="inlineStr">
        <is>
          <t>Evergreen Mutual Insurance</t>
        </is>
      </c>
      <c r="D529" t="inlineStr">
        <is>
          <t>Inpatient</t>
        </is>
      </c>
      <c r="E529" s="29" t="n">
        <v>45721</v>
      </c>
      <c r="F529" s="29" t="n">
        <v>45722</v>
      </c>
      <c r="G529" s="31" t="n">
        <v>16191.59</v>
      </c>
      <c r="H529" s="31" t="n">
        <v>6462.6</v>
      </c>
      <c r="I529" t="inlineStr">
        <is>
          <t>Paid</t>
        </is>
      </c>
      <c r="K529" s="29" t="n">
        <v>45772</v>
      </c>
      <c r="L529" s="33" t="n"/>
    </row>
    <row r="530">
      <c r="A530" t="inlineStr">
        <is>
          <t>CLM512889</t>
        </is>
      </c>
      <c r="B530" t="inlineStr">
        <is>
          <t>ENC112889</t>
        </is>
      </c>
      <c r="C530" t="inlineStr">
        <is>
          <t>Keystone Health Partners</t>
        </is>
      </c>
      <c r="D530" t="inlineStr">
        <is>
          <t>Emergency</t>
        </is>
      </c>
      <c r="E530" s="29" t="n">
        <v>45718</v>
      </c>
      <c r="F530" s="29" t="n">
        <v>45728</v>
      </c>
      <c r="G530" s="31" t="n">
        <v>5354.64</v>
      </c>
      <c r="H530" s="31" t="n">
        <v>2796.14</v>
      </c>
      <c r="I530" t="inlineStr">
        <is>
          <t>Paid</t>
        </is>
      </c>
      <c r="K530" s="29" t="n">
        <v>45785</v>
      </c>
      <c r="L530" s="33" t="n"/>
    </row>
    <row r="531">
      <c r="A531" t="inlineStr">
        <is>
          <t>CLM512903</t>
        </is>
      </c>
      <c r="B531" t="inlineStr">
        <is>
          <t>ENC112903</t>
        </is>
      </c>
      <c r="C531" t="inlineStr">
        <is>
          <t>State Medicaid</t>
        </is>
      </c>
      <c r="D531" t="inlineStr">
        <is>
          <t>Emergency</t>
        </is>
      </c>
      <c r="E531" s="29" t="n">
        <v>45719</v>
      </c>
      <c r="F531" s="29" t="n">
        <v>45725</v>
      </c>
      <c r="G531" s="31" t="n">
        <v>826.23</v>
      </c>
      <c r="H531" s="31" t="n">
        <v>183.4</v>
      </c>
      <c r="I531" t="inlineStr">
        <is>
          <t>Paid</t>
        </is>
      </c>
      <c r="K531" s="29" t="n">
        <v>45755</v>
      </c>
      <c r="L531" s="33" t="n"/>
    </row>
    <row r="532">
      <c r="A532" t="inlineStr">
        <is>
          <t>CLM512906</t>
        </is>
      </c>
      <c r="B532" t="inlineStr">
        <is>
          <t>ENC112906</t>
        </is>
      </c>
      <c r="C532" t="inlineStr">
        <is>
          <t>Keystone Health Partners</t>
        </is>
      </c>
      <c r="D532" t="inlineStr">
        <is>
          <t>Outpatient</t>
        </is>
      </c>
      <c r="E532" s="29" t="n">
        <v>45719</v>
      </c>
      <c r="F532" s="29" t="n">
        <v>45722</v>
      </c>
      <c r="G532" s="31" t="n">
        <v>155.35</v>
      </c>
      <c r="H532" s="31" t="n">
        <v>66.8</v>
      </c>
      <c r="I532" t="inlineStr">
        <is>
          <t>Paid</t>
        </is>
      </c>
      <c r="K532" s="29" t="n">
        <v>45743</v>
      </c>
      <c r="L532" s="33" t="n"/>
    </row>
    <row r="533">
      <c r="A533" t="inlineStr">
        <is>
          <t>CLM512920</t>
        </is>
      </c>
      <c r="B533" t="inlineStr">
        <is>
          <t>ENC112920</t>
        </is>
      </c>
      <c r="C533" t="inlineStr">
        <is>
          <t>State Medicaid</t>
        </is>
      </c>
      <c r="D533" t="inlineStr">
        <is>
          <t>Inpatient</t>
        </is>
      </c>
      <c r="E533" s="29" t="n">
        <v>45722</v>
      </c>
      <c r="F533" s="29" t="n">
        <v>45729</v>
      </c>
      <c r="G533" s="31" t="n">
        <v>38351.48</v>
      </c>
      <c r="H533" s="31" t="n">
        <v>7465.24</v>
      </c>
      <c r="I533" t="inlineStr">
        <is>
          <t>Partially Paid</t>
        </is>
      </c>
      <c r="J533" t="inlineStr">
        <is>
          <t>Medical Necessity</t>
        </is>
      </c>
      <c r="K533" s="29" t="n">
        <v>45781</v>
      </c>
      <c r="L533" s="33" t="n"/>
    </row>
    <row r="534">
      <c r="A534" t="inlineStr">
        <is>
          <t>CLM512923</t>
        </is>
      </c>
      <c r="B534" t="inlineStr">
        <is>
          <t>ENC112923</t>
        </is>
      </c>
      <c r="C534" t="inlineStr">
        <is>
          <t>State Medicaid</t>
        </is>
      </c>
      <c r="D534" t="inlineStr">
        <is>
          <t>Emergency</t>
        </is>
      </c>
      <c r="E534" s="29" t="n">
        <v>45719</v>
      </c>
      <c r="F534" s="29" t="n">
        <v>45729</v>
      </c>
      <c r="G534" s="31" t="n">
        <v>627.1</v>
      </c>
      <c r="H534" s="31" t="n">
        <v>149.1</v>
      </c>
      <c r="I534" t="inlineStr">
        <is>
          <t>Paid</t>
        </is>
      </c>
      <c r="K534" s="29" t="n">
        <v>45789</v>
      </c>
      <c r="L534" s="33" t="n"/>
    </row>
    <row r="535">
      <c r="A535" t="inlineStr">
        <is>
          <t>CLM512924</t>
        </is>
      </c>
      <c r="B535" t="inlineStr">
        <is>
          <t>ENC112924</t>
        </is>
      </c>
      <c r="C535" t="inlineStr">
        <is>
          <t>Evergreen Mutual Insurance</t>
        </is>
      </c>
      <c r="D535" t="inlineStr">
        <is>
          <t>Emergency</t>
        </is>
      </c>
      <c r="E535" s="29" t="n">
        <v>45719</v>
      </c>
      <c r="F535" s="29" t="n">
        <v>45724</v>
      </c>
      <c r="G535" s="31" t="n">
        <v>1554.89</v>
      </c>
      <c r="H535" s="31" t="n">
        <v>683.48</v>
      </c>
      <c r="I535" t="inlineStr">
        <is>
          <t>Paid</t>
        </is>
      </c>
      <c r="K535" s="29" t="n">
        <v>45759</v>
      </c>
      <c r="L535" s="33" t="n"/>
    </row>
    <row r="536">
      <c r="A536" t="inlineStr">
        <is>
          <t>CLM512925</t>
        </is>
      </c>
      <c r="B536" t="inlineStr">
        <is>
          <t>ENC112925</t>
        </is>
      </c>
      <c r="C536" t="inlineStr">
        <is>
          <t>Self-Pay</t>
        </is>
      </c>
      <c r="D536" t="inlineStr">
        <is>
          <t>Emergency</t>
        </is>
      </c>
      <c r="E536" s="29" t="n">
        <v>45719</v>
      </c>
      <c r="F536" s="29" t="n">
        <v>45725</v>
      </c>
      <c r="G536" s="31" t="n">
        <v>1339.04</v>
      </c>
      <c r="H536" s="31" t="n">
        <v>0</v>
      </c>
      <c r="I536" t="inlineStr">
        <is>
          <t>Pending</t>
        </is>
      </c>
      <c r="L536" s="33" t="n"/>
    </row>
    <row r="537">
      <c r="A537" t="inlineStr">
        <is>
          <t>CLM512929</t>
        </is>
      </c>
      <c r="B537" t="inlineStr">
        <is>
          <t>ENC112929</t>
        </is>
      </c>
      <c r="C537" t="inlineStr">
        <is>
          <t>Medicare</t>
        </is>
      </c>
      <c r="D537" t="inlineStr">
        <is>
          <t>Inpatient</t>
        </is>
      </c>
      <c r="E537" s="29" t="n">
        <v>45735</v>
      </c>
      <c r="F537" s="29" t="n">
        <v>45739</v>
      </c>
      <c r="G537" s="31" t="n">
        <v>123069.88</v>
      </c>
      <c r="H537" s="31" t="n">
        <v>36939.92</v>
      </c>
      <c r="I537" t="inlineStr">
        <is>
          <t>Paid</t>
        </is>
      </c>
      <c r="K537" s="29" t="n">
        <v>45750</v>
      </c>
      <c r="L537" s="33" t="n"/>
    </row>
    <row r="538">
      <c r="A538" t="inlineStr">
        <is>
          <t>CLM512930</t>
        </is>
      </c>
      <c r="B538" t="inlineStr">
        <is>
          <t>ENC112930</t>
        </is>
      </c>
      <c r="C538" t="inlineStr">
        <is>
          <t>Silverline Medicare Advantage</t>
        </is>
      </c>
      <c r="D538" t="inlineStr">
        <is>
          <t>Emergency</t>
        </is>
      </c>
      <c r="E538" s="29" t="n">
        <v>45720</v>
      </c>
      <c r="F538" s="29" t="n">
        <v>45724</v>
      </c>
      <c r="G538" s="31" t="n">
        <v>2604.84</v>
      </c>
      <c r="H538" s="31" t="n">
        <v>903.86</v>
      </c>
      <c r="I538" t="inlineStr">
        <is>
          <t>Paid</t>
        </is>
      </c>
      <c r="K538" s="29" t="n">
        <v>45758</v>
      </c>
      <c r="L538" s="33" t="n"/>
    </row>
    <row r="539">
      <c r="A539" t="inlineStr">
        <is>
          <t>CLM512931</t>
        </is>
      </c>
      <c r="B539" t="inlineStr">
        <is>
          <t>ENC112931</t>
        </is>
      </c>
      <c r="C539" t="inlineStr">
        <is>
          <t>Summit Choice PPO</t>
        </is>
      </c>
      <c r="D539" t="inlineStr">
        <is>
          <t>Outpatient</t>
        </is>
      </c>
      <c r="E539" s="29" t="n">
        <v>45720</v>
      </c>
      <c r="F539" s="29" t="n">
        <v>45763</v>
      </c>
      <c r="G539" s="31" t="n">
        <v>197.88</v>
      </c>
      <c r="H539" s="31" t="n">
        <v>96.09999999999999</v>
      </c>
      <c r="I539" t="inlineStr">
        <is>
          <t>Paid</t>
        </is>
      </c>
      <c r="K539" s="29" t="n">
        <v>45779</v>
      </c>
      <c r="L539" s="33" t="n"/>
    </row>
    <row r="540">
      <c r="A540" t="inlineStr">
        <is>
          <t>CLM512932</t>
        </is>
      </c>
      <c r="B540" t="inlineStr">
        <is>
          <t>ENC112932</t>
        </is>
      </c>
      <c r="C540" t="inlineStr">
        <is>
          <t>State Medicaid</t>
        </is>
      </c>
      <c r="D540" t="inlineStr">
        <is>
          <t>Outpatient</t>
        </is>
      </c>
      <c r="E540" s="29" t="n">
        <v>45720</v>
      </c>
      <c r="F540" s="29" t="n">
        <v>45723</v>
      </c>
      <c r="G540" s="31" t="n">
        <v>254.69</v>
      </c>
      <c r="H540" s="31" t="n">
        <v>50.76</v>
      </c>
      <c r="I540" t="inlineStr">
        <is>
          <t>Paid</t>
        </is>
      </c>
      <c r="K540" s="29" t="n">
        <v>45749</v>
      </c>
      <c r="L540" s="33" t="n"/>
    </row>
    <row r="541">
      <c r="A541" t="inlineStr">
        <is>
          <t>CLM512940</t>
        </is>
      </c>
      <c r="B541" t="inlineStr">
        <is>
          <t>ENC112940</t>
        </is>
      </c>
      <c r="C541" t="inlineStr">
        <is>
          <t>State Medicaid</t>
        </is>
      </c>
      <c r="D541" t="inlineStr">
        <is>
          <t>Emergency</t>
        </is>
      </c>
      <c r="E541" s="29" t="n">
        <v>45720</v>
      </c>
      <c r="F541" s="29" t="n">
        <v>45826</v>
      </c>
      <c r="G541" s="31" t="n">
        <v>865.95</v>
      </c>
      <c r="H541" s="31" t="n">
        <v>220.92</v>
      </c>
      <c r="I541" t="inlineStr">
        <is>
          <t>Paid</t>
        </is>
      </c>
      <c r="K541" s="29" t="n">
        <v>45901</v>
      </c>
      <c r="L541" s="33" t="n"/>
    </row>
    <row r="542">
      <c r="A542" t="inlineStr">
        <is>
          <t>CLM512942</t>
        </is>
      </c>
      <c r="B542" t="inlineStr">
        <is>
          <t>ENC112942</t>
        </is>
      </c>
      <c r="C542" t="inlineStr">
        <is>
          <t>Medicare</t>
        </is>
      </c>
      <c r="D542" t="inlineStr">
        <is>
          <t>Outpatient</t>
        </is>
      </c>
      <c r="E542" s="29" t="n">
        <v>45720</v>
      </c>
      <c r="F542" s="29" t="n">
        <v>45725</v>
      </c>
      <c r="G542" s="31" t="n">
        <v>506.34</v>
      </c>
      <c r="H542" s="31" t="n">
        <v>124.73</v>
      </c>
      <c r="I542" t="inlineStr">
        <is>
          <t>Paid</t>
        </is>
      </c>
      <c r="K542" s="29" t="n">
        <v>45742</v>
      </c>
      <c r="L542" s="33" t="n"/>
    </row>
    <row r="543">
      <c r="A543" t="inlineStr">
        <is>
          <t>CLM512944</t>
        </is>
      </c>
      <c r="B543" t="inlineStr">
        <is>
          <t>ENC112944</t>
        </is>
      </c>
      <c r="C543" t="inlineStr">
        <is>
          <t>Keystone Health Partners</t>
        </is>
      </c>
      <c r="D543" t="inlineStr">
        <is>
          <t>Outpatient</t>
        </is>
      </c>
      <c r="E543" s="29" t="n">
        <v>45720</v>
      </c>
      <c r="F543" s="29" t="n">
        <v>45723</v>
      </c>
      <c r="G543" s="31" t="n">
        <v>237.75</v>
      </c>
      <c r="H543" s="31" t="n">
        <v>44.9</v>
      </c>
      <c r="I543" t="inlineStr">
        <is>
          <t>Partially Paid</t>
        </is>
      </c>
      <c r="J543" t="inlineStr">
        <is>
          <t>Coding Error</t>
        </is>
      </c>
      <c r="K543" s="29" t="n">
        <v>45758</v>
      </c>
      <c r="L543" s="33" t="n"/>
    </row>
    <row r="544">
      <c r="A544" t="inlineStr">
        <is>
          <t>CLM512948</t>
        </is>
      </c>
      <c r="B544" t="inlineStr">
        <is>
          <t>ENC112948</t>
        </is>
      </c>
      <c r="C544" t="inlineStr">
        <is>
          <t>Medicare</t>
        </is>
      </c>
      <c r="D544" t="inlineStr">
        <is>
          <t>Outpatient</t>
        </is>
      </c>
      <c r="E544" s="29" t="n">
        <v>45720</v>
      </c>
      <c r="F544" s="29" t="n">
        <v>45723</v>
      </c>
      <c r="G544" s="31" t="n">
        <v>286.44</v>
      </c>
      <c r="H544" s="31" t="n">
        <v>80.25</v>
      </c>
      <c r="I544" t="inlineStr">
        <is>
          <t>Paid</t>
        </is>
      </c>
      <c r="K544" s="29" t="n">
        <v>45745</v>
      </c>
      <c r="L544" s="33" t="n"/>
    </row>
    <row r="545">
      <c r="A545" t="inlineStr">
        <is>
          <t>CLM512949</t>
        </is>
      </c>
      <c r="B545" t="inlineStr">
        <is>
          <t>ENC112949</t>
        </is>
      </c>
      <c r="C545" t="inlineStr">
        <is>
          <t>Medicare</t>
        </is>
      </c>
      <c r="D545" t="inlineStr">
        <is>
          <t>Outpatient</t>
        </is>
      </c>
      <c r="E545" s="29" t="n">
        <v>45720</v>
      </c>
      <c r="F545" s="29" t="n">
        <v>45722</v>
      </c>
      <c r="G545" s="31" t="n">
        <v>254.29</v>
      </c>
      <c r="H545" s="31" t="n">
        <v>76.14</v>
      </c>
      <c r="I545" t="inlineStr">
        <is>
          <t>Paid</t>
        </is>
      </c>
      <c r="K545" s="29" t="n">
        <v>45733</v>
      </c>
      <c r="L545" s="33" t="n"/>
    </row>
    <row r="546">
      <c r="A546" t="inlineStr">
        <is>
          <t>CLM512957</t>
        </is>
      </c>
      <c r="B546" t="inlineStr">
        <is>
          <t>ENC112957</t>
        </is>
      </c>
      <c r="C546" t="inlineStr">
        <is>
          <t>State Medicaid</t>
        </is>
      </c>
      <c r="D546" t="inlineStr">
        <is>
          <t>Emergency</t>
        </is>
      </c>
      <c r="E546" s="29" t="n">
        <v>45721</v>
      </c>
      <c r="F546" s="29" t="n">
        <v>45728</v>
      </c>
      <c r="G546" s="31" t="n">
        <v>3117</v>
      </c>
      <c r="H546" s="31" t="n">
        <v>699.05</v>
      </c>
      <c r="I546" t="inlineStr">
        <is>
          <t>Paid</t>
        </is>
      </c>
      <c r="K546" s="29" t="n">
        <v>45751</v>
      </c>
      <c r="L546" s="33" t="n"/>
    </row>
    <row r="547">
      <c r="A547" t="inlineStr">
        <is>
          <t>CLM512963</t>
        </is>
      </c>
      <c r="B547" t="inlineStr">
        <is>
          <t>ENC112963</t>
        </is>
      </c>
      <c r="C547" t="inlineStr">
        <is>
          <t>State Medicaid</t>
        </is>
      </c>
      <c r="D547" t="inlineStr">
        <is>
          <t>Emergency</t>
        </is>
      </c>
      <c r="E547" s="29" t="n">
        <v>45721</v>
      </c>
      <c r="F547" s="29" t="n">
        <v>45724</v>
      </c>
      <c r="G547" s="31" t="n">
        <v>3283.52</v>
      </c>
      <c r="H547" s="31" t="n">
        <v>739.66</v>
      </c>
      <c r="I547" t="inlineStr">
        <is>
          <t>Paid</t>
        </is>
      </c>
      <c r="K547" s="29" t="n">
        <v>45744</v>
      </c>
      <c r="L547" s="33" t="n"/>
    </row>
    <row r="548">
      <c r="A548" t="inlineStr">
        <is>
          <t>CLM512966</t>
        </is>
      </c>
      <c r="B548" t="inlineStr">
        <is>
          <t>ENC112966</t>
        </is>
      </c>
      <c r="C548" t="inlineStr">
        <is>
          <t>State Medicaid</t>
        </is>
      </c>
      <c r="D548" t="inlineStr">
        <is>
          <t>Outpatient</t>
        </is>
      </c>
      <c r="E548" s="29" t="n">
        <v>45721</v>
      </c>
      <c r="F548" s="29" t="n">
        <v>45724</v>
      </c>
      <c r="G548" s="31" t="n">
        <v>512.35</v>
      </c>
      <c r="H548" s="31" t="n">
        <v>118.7</v>
      </c>
      <c r="I548" t="inlineStr">
        <is>
          <t>Paid</t>
        </is>
      </c>
      <c r="K548" s="29" t="n">
        <v>45752</v>
      </c>
      <c r="L548" s="33" t="n"/>
    </row>
    <row r="549">
      <c r="A549" t="inlineStr">
        <is>
          <t>CLM512968</t>
        </is>
      </c>
      <c r="B549" t="inlineStr">
        <is>
          <t>ENC112968</t>
        </is>
      </c>
      <c r="C549" t="inlineStr">
        <is>
          <t>Evergreen Mutual Insurance</t>
        </is>
      </c>
      <c r="D549" t="inlineStr">
        <is>
          <t>Inpatient</t>
        </is>
      </c>
      <c r="E549" s="29" t="n">
        <v>45724</v>
      </c>
      <c r="F549" s="29" t="n">
        <v>45729</v>
      </c>
      <c r="G549" s="31" t="n">
        <v>14855.64</v>
      </c>
      <c r="H549" s="31" t="n">
        <v>5608.24</v>
      </c>
      <c r="I549" t="inlineStr">
        <is>
          <t>Paid</t>
        </is>
      </c>
      <c r="K549" s="29" t="n">
        <v>45770</v>
      </c>
      <c r="L549" s="33" t="n"/>
    </row>
    <row r="550">
      <c r="A550" t="inlineStr">
        <is>
          <t>CLM512973</t>
        </is>
      </c>
      <c r="B550" t="inlineStr">
        <is>
          <t>ENC112973</t>
        </is>
      </c>
      <c r="C550" t="inlineStr">
        <is>
          <t>Silverline Medicare Advantage</t>
        </is>
      </c>
      <c r="D550" t="inlineStr">
        <is>
          <t>Inpatient</t>
        </is>
      </c>
      <c r="E550" s="29" t="n">
        <v>45723</v>
      </c>
      <c r="F550" s="29" t="n">
        <v>45727</v>
      </c>
      <c r="G550" s="31" t="n">
        <v>11813.93</v>
      </c>
      <c r="H550" s="31" t="n">
        <v>3953.52</v>
      </c>
      <c r="I550" t="inlineStr">
        <is>
          <t>Paid</t>
        </is>
      </c>
      <c r="K550" s="29" t="n">
        <v>45766</v>
      </c>
      <c r="L550" s="33" t="n"/>
    </row>
    <row r="551">
      <c r="A551" t="inlineStr">
        <is>
          <t>CLM512974</t>
        </is>
      </c>
      <c r="B551" t="inlineStr">
        <is>
          <t>ENC112974</t>
        </is>
      </c>
      <c r="C551" t="inlineStr">
        <is>
          <t>Evergreen Mutual Insurance</t>
        </is>
      </c>
      <c r="D551" t="inlineStr">
        <is>
          <t>Outpatient</t>
        </is>
      </c>
      <c r="E551" s="29" t="n">
        <v>45721</v>
      </c>
      <c r="F551" s="29" t="n">
        <v>45731</v>
      </c>
      <c r="G551" s="31" t="n">
        <v>233.08</v>
      </c>
      <c r="H551" s="31" t="n">
        <v>100.04</v>
      </c>
      <c r="I551" t="inlineStr">
        <is>
          <t>Paid</t>
        </is>
      </c>
      <c r="K551" s="29" t="n">
        <v>45759</v>
      </c>
      <c r="L551" s="33" t="n"/>
    </row>
    <row r="552">
      <c r="A552" t="inlineStr">
        <is>
          <t>CLM512980</t>
        </is>
      </c>
      <c r="B552" t="inlineStr">
        <is>
          <t>ENC112980</t>
        </is>
      </c>
      <c r="C552" t="inlineStr">
        <is>
          <t>State Medicaid</t>
        </is>
      </c>
      <c r="D552" t="inlineStr">
        <is>
          <t>Emergency</t>
        </is>
      </c>
      <c r="E552" s="29" t="n">
        <v>45721</v>
      </c>
      <c r="F552" s="29" t="n">
        <v>45726</v>
      </c>
      <c r="G552" s="31" t="n">
        <v>838.7</v>
      </c>
      <c r="H552" s="31" t="n">
        <v>210.1</v>
      </c>
      <c r="I552" t="inlineStr">
        <is>
          <t>Paid</t>
        </is>
      </c>
      <c r="K552" s="29" t="n">
        <v>45799</v>
      </c>
      <c r="L552" s="33" t="n"/>
    </row>
    <row r="553">
      <c r="A553" t="inlineStr">
        <is>
          <t>CLM512986</t>
        </is>
      </c>
      <c r="B553" t="inlineStr">
        <is>
          <t>ENC112986</t>
        </is>
      </c>
      <c r="C553" t="inlineStr">
        <is>
          <t>State Medicaid</t>
        </is>
      </c>
      <c r="D553" t="inlineStr">
        <is>
          <t>Emergency</t>
        </is>
      </c>
      <c r="E553" s="29" t="n">
        <v>45721</v>
      </c>
      <c r="F553" s="29" t="n">
        <v>45726</v>
      </c>
      <c r="G553" s="31" t="n">
        <v>699.9400000000001</v>
      </c>
      <c r="H553" s="31" t="n">
        <v>0</v>
      </c>
      <c r="I553" t="inlineStr">
        <is>
          <t>Denied</t>
        </is>
      </c>
      <c r="J553" t="inlineStr">
        <is>
          <t>Authorization Required</t>
        </is>
      </c>
      <c r="L553" s="33" t="n"/>
    </row>
    <row r="554">
      <c r="A554" t="inlineStr">
        <is>
          <t>CLM512987</t>
        </is>
      </c>
      <c r="B554" t="inlineStr">
        <is>
          <t>ENC112987</t>
        </is>
      </c>
      <c r="C554" t="inlineStr">
        <is>
          <t>Keystone Health Partners</t>
        </is>
      </c>
      <c r="D554" t="inlineStr">
        <is>
          <t>Emergency</t>
        </is>
      </c>
      <c r="E554" s="29" t="n">
        <v>45721</v>
      </c>
      <c r="F554" s="29" t="n">
        <v>45724</v>
      </c>
      <c r="G554" s="31" t="n">
        <v>3246.99</v>
      </c>
      <c r="H554" s="31" t="n">
        <v>1549.49</v>
      </c>
      <c r="I554" t="inlineStr">
        <is>
          <t>Paid</t>
        </is>
      </c>
      <c r="K554" s="29" t="n">
        <v>45754</v>
      </c>
      <c r="L554" s="33" t="n"/>
    </row>
    <row r="555">
      <c r="A555" t="inlineStr">
        <is>
          <t>CLM512989</t>
        </is>
      </c>
      <c r="B555" t="inlineStr">
        <is>
          <t>ENC112989</t>
        </is>
      </c>
      <c r="C555" t="inlineStr">
        <is>
          <t>State Medicaid</t>
        </is>
      </c>
      <c r="D555" t="inlineStr">
        <is>
          <t>Emergency</t>
        </is>
      </c>
      <c r="E555" s="29" t="n">
        <v>45721</v>
      </c>
      <c r="F555" s="29" t="n">
        <v>45724</v>
      </c>
      <c r="G555" s="31" t="n">
        <v>3905.47</v>
      </c>
      <c r="H555" s="31" t="n">
        <v>932.25</v>
      </c>
      <c r="I555" t="inlineStr">
        <is>
          <t>Paid</t>
        </is>
      </c>
      <c r="K555" s="29" t="n">
        <v>45756</v>
      </c>
      <c r="L555" s="33" t="n"/>
    </row>
    <row r="556">
      <c r="A556" t="inlineStr">
        <is>
          <t>CLM512993</t>
        </is>
      </c>
      <c r="B556" t="inlineStr">
        <is>
          <t>ENC112993</t>
        </is>
      </c>
      <c r="C556" t="inlineStr">
        <is>
          <t>Silverline Medicare Advantage</t>
        </is>
      </c>
      <c r="D556" t="inlineStr">
        <is>
          <t>Emergency</t>
        </is>
      </c>
      <c r="E556" s="29" t="n">
        <v>45721</v>
      </c>
      <c r="F556" s="29" t="n">
        <v>45728</v>
      </c>
      <c r="G556" s="31" t="n">
        <v>1458.51</v>
      </c>
      <c r="H556" s="31" t="n">
        <v>415.25</v>
      </c>
      <c r="I556" t="inlineStr">
        <is>
          <t>Paid</t>
        </is>
      </c>
      <c r="K556" s="29" t="n">
        <v>45757</v>
      </c>
      <c r="L556" s="33" t="n"/>
    </row>
    <row r="557">
      <c r="A557" t="inlineStr">
        <is>
          <t>CLM512996</t>
        </is>
      </c>
      <c r="B557" t="inlineStr">
        <is>
          <t>ENC112996</t>
        </is>
      </c>
      <c r="C557" t="inlineStr">
        <is>
          <t>Keystone Health Partners</t>
        </is>
      </c>
      <c r="D557" t="inlineStr">
        <is>
          <t>Inpatient</t>
        </is>
      </c>
      <c r="E557" s="29" t="n">
        <v>45725</v>
      </c>
      <c r="F557" s="29" t="n">
        <v>45728</v>
      </c>
      <c r="G557" s="31" t="n">
        <v>17743.35</v>
      </c>
      <c r="H557" s="31" t="n">
        <v>6804.93</v>
      </c>
      <c r="I557" t="inlineStr">
        <is>
          <t>Paid</t>
        </is>
      </c>
      <c r="K557" s="29" t="n">
        <v>45754</v>
      </c>
      <c r="L557" s="33" t="n"/>
    </row>
    <row r="558">
      <c r="A558" t="inlineStr">
        <is>
          <t>CLM512998</t>
        </is>
      </c>
      <c r="B558" t="inlineStr">
        <is>
          <t>ENC112998</t>
        </is>
      </c>
      <c r="C558" t="inlineStr">
        <is>
          <t>Summit Choice PPO</t>
        </is>
      </c>
      <c r="D558" t="inlineStr">
        <is>
          <t>Emergency</t>
        </is>
      </c>
      <c r="E558" s="29" t="n">
        <v>45722</v>
      </c>
      <c r="F558" s="29" t="n">
        <v>45725</v>
      </c>
      <c r="G558" s="31" t="n">
        <v>1261.98</v>
      </c>
      <c r="H558" s="31" t="n">
        <v>623.71</v>
      </c>
      <c r="I558" t="inlineStr">
        <is>
          <t>Paid</t>
        </is>
      </c>
      <c r="K558" s="29" t="n">
        <v>45740</v>
      </c>
      <c r="L558" s="33" t="n"/>
    </row>
    <row r="559">
      <c r="A559" t="inlineStr">
        <is>
          <t>CLM512999</t>
        </is>
      </c>
      <c r="B559" t="inlineStr">
        <is>
          <t>ENC112999</t>
        </is>
      </c>
      <c r="C559" t="inlineStr">
        <is>
          <t>Self-Pay</t>
        </is>
      </c>
      <c r="D559" t="inlineStr">
        <is>
          <t>Emergency</t>
        </is>
      </c>
      <c r="E559" s="29" t="n">
        <v>45722</v>
      </c>
      <c r="F559" s="29" t="n">
        <v>45726</v>
      </c>
      <c r="G559" s="31" t="n">
        <v>1154.36</v>
      </c>
      <c r="H559" s="31" t="n">
        <v>499.32</v>
      </c>
      <c r="I559" t="inlineStr">
        <is>
          <t>Paid</t>
        </is>
      </c>
      <c r="K559" s="29" t="n">
        <v>45770</v>
      </c>
      <c r="L559" s="33" t="n"/>
    </row>
    <row r="560">
      <c r="A560" t="inlineStr">
        <is>
          <t>CLM513001</t>
        </is>
      </c>
      <c r="B560" t="inlineStr">
        <is>
          <t>ENC113001</t>
        </is>
      </c>
      <c r="C560" t="inlineStr">
        <is>
          <t>Medicare</t>
        </is>
      </c>
      <c r="D560" t="inlineStr">
        <is>
          <t>Outpatient</t>
        </is>
      </c>
      <c r="E560" s="29" t="n">
        <v>45722</v>
      </c>
      <c r="F560" s="29" t="n">
        <v>45725</v>
      </c>
      <c r="G560" s="31" t="n">
        <v>314.18</v>
      </c>
      <c r="H560" s="31" t="n">
        <v>88.06999999999999</v>
      </c>
      <c r="I560" t="inlineStr">
        <is>
          <t>Paid</t>
        </is>
      </c>
      <c r="K560" s="29" t="n">
        <v>45733</v>
      </c>
      <c r="L560" s="33" t="n"/>
    </row>
    <row r="561">
      <c r="A561" t="inlineStr">
        <is>
          <t>CLM513003</t>
        </is>
      </c>
      <c r="B561" t="inlineStr">
        <is>
          <t>ENC113003</t>
        </is>
      </c>
      <c r="C561" t="inlineStr">
        <is>
          <t>Keystone Health Partners</t>
        </is>
      </c>
      <c r="D561" t="inlineStr">
        <is>
          <t>Inpatient</t>
        </is>
      </c>
      <c r="E561" s="29" t="n">
        <v>45730</v>
      </c>
      <c r="F561" s="29" t="n">
        <v>45740</v>
      </c>
      <c r="G561" s="31" t="n">
        <v>22844.78</v>
      </c>
      <c r="H561" s="31" t="n">
        <v>9850.01</v>
      </c>
      <c r="I561" t="inlineStr">
        <is>
          <t>Paid</t>
        </is>
      </c>
      <c r="K561" s="29" t="n">
        <v>45766</v>
      </c>
      <c r="L561" s="33" t="n"/>
    </row>
    <row r="562">
      <c r="A562" t="inlineStr">
        <is>
          <t>CLM513005</t>
        </is>
      </c>
      <c r="B562" t="inlineStr">
        <is>
          <t>ENC113005</t>
        </is>
      </c>
      <c r="C562" t="inlineStr">
        <is>
          <t>Keystone Health Partners</t>
        </is>
      </c>
      <c r="D562" t="inlineStr">
        <is>
          <t>Emergency</t>
        </is>
      </c>
      <c r="E562" s="29" t="n">
        <v>45722</v>
      </c>
      <c r="F562" s="29" t="n">
        <v>45726</v>
      </c>
      <c r="G562" s="31" t="n">
        <v>3778.4</v>
      </c>
      <c r="H562" s="31" t="n">
        <v>1836.08</v>
      </c>
      <c r="I562" t="inlineStr">
        <is>
          <t>Paid</t>
        </is>
      </c>
      <c r="K562" s="29" t="n">
        <v>45752</v>
      </c>
      <c r="L562" s="33" t="n"/>
    </row>
    <row r="563">
      <c r="A563" t="inlineStr">
        <is>
          <t>CLM513012</t>
        </is>
      </c>
      <c r="B563" t="inlineStr">
        <is>
          <t>ENC113012</t>
        </is>
      </c>
      <c r="C563" t="inlineStr">
        <is>
          <t>Keystone Health Partners</t>
        </is>
      </c>
      <c r="D563" t="inlineStr">
        <is>
          <t>Outpatient</t>
        </is>
      </c>
      <c r="E563" s="29" t="n">
        <v>45722</v>
      </c>
      <c r="F563" s="29" t="n">
        <v>45723</v>
      </c>
      <c r="G563" s="31" t="n">
        <v>327.98</v>
      </c>
      <c r="H563" s="31" t="n">
        <v>153.54</v>
      </c>
      <c r="I563" t="inlineStr">
        <is>
          <t>Paid</t>
        </is>
      </c>
      <c r="K563" s="29" t="n">
        <v>45745</v>
      </c>
      <c r="L563" s="33" t="n"/>
    </row>
    <row r="564">
      <c r="A564" t="inlineStr">
        <is>
          <t>CLM513013</t>
        </is>
      </c>
      <c r="B564" t="inlineStr">
        <is>
          <t>ENC113013</t>
        </is>
      </c>
      <c r="C564" t="inlineStr">
        <is>
          <t>Keystone Health Partners</t>
        </is>
      </c>
      <c r="D564" t="inlineStr">
        <is>
          <t>Outpatient</t>
        </is>
      </c>
      <c r="E564" s="29" t="n">
        <v>45722</v>
      </c>
      <c r="F564" s="29" t="n">
        <v>45724</v>
      </c>
      <c r="G564" s="31" t="n">
        <v>340.31</v>
      </c>
      <c r="H564" s="31" t="n">
        <v>149.71</v>
      </c>
      <c r="I564" t="inlineStr">
        <is>
          <t>Paid</t>
        </is>
      </c>
      <c r="K564" s="29" t="n">
        <v>45761</v>
      </c>
      <c r="L564" s="33" t="n"/>
    </row>
    <row r="565">
      <c r="A565" t="inlineStr">
        <is>
          <t>CLM513014</t>
        </is>
      </c>
      <c r="B565" t="inlineStr">
        <is>
          <t>ENC113014</t>
        </is>
      </c>
      <c r="C565" t="inlineStr">
        <is>
          <t>Self-Pay</t>
        </is>
      </c>
      <c r="D565" t="inlineStr">
        <is>
          <t>Outpatient</t>
        </is>
      </c>
      <c r="E565" s="29" t="n">
        <v>45722</v>
      </c>
      <c r="F565" s="29" t="n">
        <v>45728</v>
      </c>
      <c r="G565" s="31" t="n">
        <v>265.18</v>
      </c>
      <c r="H565" s="31" t="n">
        <v>48.2</v>
      </c>
      <c r="I565" t="inlineStr">
        <is>
          <t>Partially Paid</t>
        </is>
      </c>
      <c r="K565" s="29" t="n">
        <v>45769</v>
      </c>
      <c r="L565" s="33" t="n"/>
    </row>
    <row r="566">
      <c r="A566" t="inlineStr">
        <is>
          <t>CLM513024</t>
        </is>
      </c>
      <c r="B566" t="inlineStr">
        <is>
          <t>ENC113024</t>
        </is>
      </c>
      <c r="C566" t="inlineStr">
        <is>
          <t>State Medicaid</t>
        </is>
      </c>
      <c r="D566" t="inlineStr">
        <is>
          <t>Emergency</t>
        </is>
      </c>
      <c r="E566" s="29" t="n">
        <v>45723</v>
      </c>
      <c r="F566" s="29" t="n">
        <v>45732</v>
      </c>
      <c r="G566" s="31" t="n">
        <v>3344.31</v>
      </c>
      <c r="H566" s="31" t="n">
        <v>657.87</v>
      </c>
      <c r="I566" t="inlineStr">
        <is>
          <t>Paid</t>
        </is>
      </c>
      <c r="K566" s="29" t="n">
        <v>45758</v>
      </c>
      <c r="L566" s="33" t="n"/>
    </row>
    <row r="567">
      <c r="A567" t="inlineStr">
        <is>
          <t>CLM513026</t>
        </is>
      </c>
      <c r="B567" t="inlineStr">
        <is>
          <t>ENC113026</t>
        </is>
      </c>
      <c r="C567" t="inlineStr">
        <is>
          <t>Summit Choice PPO</t>
        </is>
      </c>
      <c r="D567" t="inlineStr">
        <is>
          <t>Inpatient</t>
        </is>
      </c>
      <c r="E567" s="29" t="n">
        <v>45727</v>
      </c>
      <c r="F567" s="29" t="n">
        <v>45731</v>
      </c>
      <c r="G567" s="31" t="n">
        <v>79867.34</v>
      </c>
      <c r="H567" s="31" t="n">
        <v>47165.44</v>
      </c>
      <c r="I567" t="inlineStr">
        <is>
          <t>Paid</t>
        </is>
      </c>
      <c r="K567" s="29" t="n">
        <v>45759</v>
      </c>
      <c r="L567" s="33" t="n"/>
    </row>
    <row r="568">
      <c r="A568" t="inlineStr">
        <is>
          <t>CLM513032</t>
        </is>
      </c>
      <c r="B568" t="inlineStr">
        <is>
          <t>ENC113032</t>
        </is>
      </c>
      <c r="C568" t="inlineStr">
        <is>
          <t>Silverline Medicare Advantage</t>
        </is>
      </c>
      <c r="D568" t="inlineStr">
        <is>
          <t>Inpatient</t>
        </is>
      </c>
      <c r="E568" s="29" t="n">
        <v>45726</v>
      </c>
      <c r="F568" s="29" t="n">
        <v>45735</v>
      </c>
      <c r="G568" s="31" t="n">
        <v>19222.51</v>
      </c>
      <c r="H568" s="31" t="n">
        <v>6267.47</v>
      </c>
      <c r="I568" t="inlineStr">
        <is>
          <t>Paid</t>
        </is>
      </c>
      <c r="K568" s="29" t="n">
        <v>45764</v>
      </c>
      <c r="L568" s="33" t="n"/>
    </row>
    <row r="569">
      <c r="A569" t="inlineStr">
        <is>
          <t>CLM513035</t>
        </is>
      </c>
      <c r="B569" t="inlineStr">
        <is>
          <t>ENC113035</t>
        </is>
      </c>
      <c r="C569" t="inlineStr">
        <is>
          <t>Medicare</t>
        </is>
      </c>
      <c r="D569" t="inlineStr">
        <is>
          <t>Outpatient</t>
        </is>
      </c>
      <c r="E569" s="29" t="n">
        <v>45723</v>
      </c>
      <c r="F569" s="29" t="n">
        <v>45727</v>
      </c>
      <c r="G569" s="31" t="n">
        <v>123.83</v>
      </c>
      <c r="H569" s="31" t="n">
        <v>29.39</v>
      </c>
      <c r="I569" t="inlineStr">
        <is>
          <t>Paid</t>
        </is>
      </c>
      <c r="K569" s="29" t="n">
        <v>45744</v>
      </c>
      <c r="L569" s="33" t="n"/>
    </row>
    <row r="570">
      <c r="A570" t="inlineStr">
        <is>
          <t>CLM513036</t>
        </is>
      </c>
      <c r="B570" t="inlineStr">
        <is>
          <t>ENC113036</t>
        </is>
      </c>
      <c r="C570" t="inlineStr">
        <is>
          <t>Keystone Health Partners</t>
        </is>
      </c>
      <c r="D570" t="inlineStr">
        <is>
          <t>Inpatient</t>
        </is>
      </c>
      <c r="E570" s="29" t="n">
        <v>45728</v>
      </c>
      <c r="F570" s="29" t="n">
        <v>45732</v>
      </c>
      <c r="G570" s="31" t="n">
        <v>26990.01</v>
      </c>
      <c r="H570" s="31" t="n">
        <v>13385.01</v>
      </c>
      <c r="I570" t="inlineStr">
        <is>
          <t>Paid</t>
        </is>
      </c>
      <c r="K570" s="29" t="n">
        <v>45763</v>
      </c>
      <c r="L570" s="33" t="n"/>
    </row>
    <row r="571">
      <c r="A571" t="inlineStr">
        <is>
          <t>CLM513041</t>
        </is>
      </c>
      <c r="B571" t="inlineStr">
        <is>
          <t>ENC113041</t>
        </is>
      </c>
      <c r="C571" t="inlineStr">
        <is>
          <t>Medicare</t>
        </is>
      </c>
      <c r="D571" t="inlineStr">
        <is>
          <t>Outpatient</t>
        </is>
      </c>
      <c r="E571" s="29" t="n">
        <v>45723</v>
      </c>
      <c r="F571" s="29" t="n">
        <v>45730</v>
      </c>
      <c r="G571" s="31" t="n">
        <v>313.53</v>
      </c>
      <c r="H571" s="31" t="n">
        <v>91.70999999999999</v>
      </c>
      <c r="I571" t="inlineStr">
        <is>
          <t>Paid</t>
        </is>
      </c>
      <c r="K571" s="29" t="n">
        <v>45750</v>
      </c>
      <c r="L571" s="33" t="n"/>
    </row>
    <row r="572">
      <c r="A572" t="inlineStr">
        <is>
          <t>CLM513048</t>
        </is>
      </c>
      <c r="B572" t="inlineStr">
        <is>
          <t>ENC113048</t>
        </is>
      </c>
      <c r="C572" t="inlineStr">
        <is>
          <t>Medicare</t>
        </is>
      </c>
      <c r="D572" t="inlineStr">
        <is>
          <t>Outpatient</t>
        </is>
      </c>
      <c r="E572" s="29" t="n">
        <v>45723</v>
      </c>
      <c r="F572" s="29" t="n">
        <v>45725</v>
      </c>
      <c r="G572" s="31" t="n">
        <v>187.02</v>
      </c>
      <c r="H572" s="31" t="n">
        <v>53.52</v>
      </c>
      <c r="I572" t="inlineStr">
        <is>
          <t>Paid</t>
        </is>
      </c>
      <c r="K572" s="29" t="n">
        <v>45738</v>
      </c>
      <c r="L572" s="33" t="n"/>
    </row>
    <row r="573">
      <c r="A573" t="inlineStr">
        <is>
          <t>CLM513052</t>
        </is>
      </c>
      <c r="B573" t="inlineStr">
        <is>
          <t>ENC113052</t>
        </is>
      </c>
      <c r="C573" t="inlineStr">
        <is>
          <t>Medicare</t>
        </is>
      </c>
      <c r="D573" t="inlineStr">
        <is>
          <t>Inpatient</t>
        </is>
      </c>
      <c r="E573" s="29" t="n">
        <v>45730</v>
      </c>
      <c r="F573" s="29" t="n">
        <v>45743</v>
      </c>
      <c r="G573" s="31" t="n">
        <v>18461.52</v>
      </c>
      <c r="H573" s="31" t="n">
        <v>5003.28</v>
      </c>
      <c r="I573" t="inlineStr">
        <is>
          <t>Paid</t>
        </is>
      </c>
      <c r="K573" s="29" t="n">
        <v>45750</v>
      </c>
      <c r="L573" s="33" t="n"/>
    </row>
    <row r="574">
      <c r="A574" t="inlineStr">
        <is>
          <t>CLM513056</t>
        </is>
      </c>
      <c r="B574" t="inlineStr">
        <is>
          <t>ENC113056</t>
        </is>
      </c>
      <c r="C574" t="inlineStr">
        <is>
          <t>Keystone Health Partners</t>
        </is>
      </c>
      <c r="D574" t="inlineStr">
        <is>
          <t>Observation</t>
        </is>
      </c>
      <c r="E574" s="29" t="n">
        <v>45725</v>
      </c>
      <c r="F574" s="29" t="n">
        <v>45726</v>
      </c>
      <c r="G574" s="31" t="n">
        <v>8846.99</v>
      </c>
      <c r="H574" s="31" t="n">
        <v>4263.56</v>
      </c>
      <c r="I574" t="inlineStr">
        <is>
          <t>Paid</t>
        </is>
      </c>
      <c r="K574" s="29" t="n">
        <v>45750</v>
      </c>
      <c r="L574" s="33" t="n"/>
    </row>
    <row r="575">
      <c r="A575" t="inlineStr">
        <is>
          <t>CLM513058</t>
        </is>
      </c>
      <c r="B575" t="inlineStr">
        <is>
          <t>ENC113058</t>
        </is>
      </c>
      <c r="C575" t="inlineStr">
        <is>
          <t>Summit Choice PPO</t>
        </is>
      </c>
      <c r="D575" t="inlineStr">
        <is>
          <t>Emergency</t>
        </is>
      </c>
      <c r="E575" s="29" t="n">
        <v>45724</v>
      </c>
      <c r="F575" s="29" t="n">
        <v>45727</v>
      </c>
      <c r="G575" s="31" t="n">
        <v>1183.9</v>
      </c>
      <c r="H575" s="31" t="n">
        <v>653.97</v>
      </c>
      <c r="I575" t="inlineStr">
        <is>
          <t>Paid</t>
        </is>
      </c>
      <c r="K575" s="29" t="n">
        <v>45749</v>
      </c>
      <c r="L575" s="33" t="n"/>
    </row>
    <row r="576">
      <c r="A576" t="inlineStr">
        <is>
          <t>CLM513060</t>
        </is>
      </c>
      <c r="B576" t="inlineStr">
        <is>
          <t>ENC113060</t>
        </is>
      </c>
      <c r="C576" t="inlineStr">
        <is>
          <t>State Medicaid</t>
        </is>
      </c>
      <c r="D576" t="inlineStr">
        <is>
          <t>Emergency</t>
        </is>
      </c>
      <c r="E576" s="29" t="n">
        <v>45724</v>
      </c>
      <c r="F576" s="29" t="n">
        <v>45727</v>
      </c>
      <c r="G576" s="31" t="n">
        <v>616.96</v>
      </c>
      <c r="H576" s="31" t="n">
        <v>0</v>
      </c>
      <c r="I576" t="inlineStr">
        <is>
          <t>Denied</t>
        </is>
      </c>
      <c r="J576" t="inlineStr">
        <is>
          <t>Missing Documentation</t>
        </is>
      </c>
      <c r="L576" s="33" t="n"/>
    </row>
    <row r="577">
      <c r="A577" t="inlineStr">
        <is>
          <t>CLM513062</t>
        </is>
      </c>
      <c r="B577" t="inlineStr">
        <is>
          <t>ENC113062</t>
        </is>
      </c>
      <c r="C577" t="inlineStr">
        <is>
          <t>Medicare</t>
        </is>
      </c>
      <c r="D577" t="inlineStr">
        <is>
          <t>Emergency</t>
        </is>
      </c>
      <c r="E577" s="29" t="n">
        <v>45724</v>
      </c>
      <c r="F577" s="29" t="n">
        <v>45730</v>
      </c>
      <c r="G577" s="31" t="n">
        <v>3576.8</v>
      </c>
      <c r="H577" s="31" t="n">
        <v>1015.13</v>
      </c>
      <c r="I577" t="inlineStr">
        <is>
          <t>Paid</t>
        </is>
      </c>
      <c r="K577" s="29" t="n">
        <v>45740</v>
      </c>
      <c r="L577" s="33" t="n"/>
    </row>
    <row r="578">
      <c r="A578" t="inlineStr">
        <is>
          <t>CLM513064</t>
        </is>
      </c>
      <c r="B578" t="inlineStr">
        <is>
          <t>ENC113064</t>
        </is>
      </c>
      <c r="C578" t="inlineStr">
        <is>
          <t>Self-Pay</t>
        </is>
      </c>
      <c r="D578" t="inlineStr">
        <is>
          <t>Inpatient</t>
        </is>
      </c>
      <c r="E578" s="29" t="n">
        <v>45728</v>
      </c>
      <c r="F578" s="29" t="n">
        <v>45732</v>
      </c>
      <c r="G578" s="31" t="n">
        <v>17718.89</v>
      </c>
      <c r="H578" s="31" t="n">
        <v>7268.93</v>
      </c>
      <c r="I578" t="inlineStr">
        <is>
          <t>Paid</t>
        </is>
      </c>
      <c r="K578" s="29" t="n">
        <v>45817</v>
      </c>
      <c r="L578" s="33" t="n"/>
    </row>
    <row r="579">
      <c r="A579" t="inlineStr">
        <is>
          <t>CLM513068</t>
        </is>
      </c>
      <c r="B579" t="inlineStr">
        <is>
          <t>ENC113068</t>
        </is>
      </c>
      <c r="C579" t="inlineStr">
        <is>
          <t>Medicare</t>
        </is>
      </c>
      <c r="D579" t="inlineStr">
        <is>
          <t>Inpatient</t>
        </is>
      </c>
      <c r="E579" s="29" t="n">
        <v>45731</v>
      </c>
      <c r="F579" s="29" t="n">
        <v>45737</v>
      </c>
      <c r="G579" s="31" t="n">
        <v>34198.08</v>
      </c>
      <c r="H579" s="31" t="n">
        <v>0</v>
      </c>
      <c r="I579" t="inlineStr">
        <is>
          <t>Denied</t>
        </is>
      </c>
      <c r="J579" t="inlineStr">
        <is>
          <t>Coding Error</t>
        </is>
      </c>
      <c r="L579" s="33" t="n"/>
    </row>
    <row r="580">
      <c r="A580" t="inlineStr">
        <is>
          <t>CLM513069</t>
        </is>
      </c>
      <c r="B580" t="inlineStr">
        <is>
          <t>ENC113069</t>
        </is>
      </c>
      <c r="C580" t="inlineStr">
        <is>
          <t>Keystone Health Partners</t>
        </is>
      </c>
      <c r="D580" t="inlineStr">
        <is>
          <t>Inpatient</t>
        </is>
      </c>
      <c r="E580" s="29" t="n">
        <v>45726</v>
      </c>
      <c r="F580" s="29" t="n">
        <v>45728</v>
      </c>
      <c r="G580" s="31" t="n">
        <v>14333.65</v>
      </c>
      <c r="H580" s="31" t="n">
        <v>0</v>
      </c>
      <c r="I580" t="inlineStr">
        <is>
          <t>Denied</t>
        </is>
      </c>
      <c r="J580" t="inlineStr">
        <is>
          <t>Medical Necessity</t>
        </is>
      </c>
      <c r="L580" s="33" t="n"/>
    </row>
    <row r="581">
      <c r="A581" t="inlineStr">
        <is>
          <t>CLM513070</t>
        </is>
      </c>
      <c r="B581" t="inlineStr">
        <is>
          <t>ENC113070</t>
        </is>
      </c>
      <c r="C581" t="inlineStr">
        <is>
          <t>Keystone Health Partners</t>
        </is>
      </c>
      <c r="D581" t="inlineStr">
        <is>
          <t>Inpatient</t>
        </is>
      </c>
      <c r="E581" s="29" t="n">
        <v>45730</v>
      </c>
      <c r="F581" s="29" t="n">
        <v>45735</v>
      </c>
      <c r="G581" s="31" t="n">
        <v>25944.82</v>
      </c>
      <c r="H581" s="31" t="n">
        <v>10947.23</v>
      </c>
      <c r="I581" t="inlineStr">
        <is>
          <t>Paid</t>
        </is>
      </c>
      <c r="K581" s="29" t="n">
        <v>45749</v>
      </c>
      <c r="L581" s="33" t="n"/>
    </row>
    <row r="582">
      <c r="A582" t="inlineStr">
        <is>
          <t>CLM513075</t>
        </is>
      </c>
      <c r="B582" t="inlineStr">
        <is>
          <t>ENC113075</t>
        </is>
      </c>
      <c r="C582" t="inlineStr">
        <is>
          <t>Keystone Health Partners</t>
        </is>
      </c>
      <c r="D582" t="inlineStr">
        <is>
          <t>Observation</t>
        </is>
      </c>
      <c r="E582" s="29" t="n">
        <v>45726</v>
      </c>
      <c r="F582" s="29" t="n">
        <v>45728</v>
      </c>
      <c r="G582" s="31" t="n">
        <v>7287.58</v>
      </c>
      <c r="H582" s="31" t="n">
        <v>3467.09</v>
      </c>
      <c r="I582" t="inlineStr">
        <is>
          <t>Paid</t>
        </is>
      </c>
      <c r="K582" s="29" t="n">
        <v>45756</v>
      </c>
      <c r="L582" s="33" t="n"/>
    </row>
    <row r="583">
      <c r="A583" t="inlineStr">
        <is>
          <t>CLM513079</t>
        </is>
      </c>
      <c r="B583" t="inlineStr">
        <is>
          <t>ENC113079</t>
        </is>
      </c>
      <c r="C583" t="inlineStr">
        <is>
          <t>Self-Pay</t>
        </is>
      </c>
      <c r="D583" t="inlineStr">
        <is>
          <t>Inpatient</t>
        </is>
      </c>
      <c r="E583" s="29" t="n">
        <v>45728</v>
      </c>
      <c r="F583" s="29" t="n">
        <v>45732</v>
      </c>
      <c r="G583" s="31" t="n">
        <v>18400.32</v>
      </c>
      <c r="H583" s="31" t="n">
        <v>0</v>
      </c>
      <c r="I583" t="inlineStr">
        <is>
          <t>Pending</t>
        </is>
      </c>
      <c r="L583" s="33" t="n"/>
    </row>
    <row r="584">
      <c r="A584" t="inlineStr">
        <is>
          <t>CLM513080</t>
        </is>
      </c>
      <c r="B584" t="inlineStr">
        <is>
          <t>ENC113080</t>
        </is>
      </c>
      <c r="C584" t="inlineStr">
        <is>
          <t>Silverline Medicare Advantage</t>
        </is>
      </c>
      <c r="D584" t="inlineStr">
        <is>
          <t>Emergency</t>
        </is>
      </c>
      <c r="E584" s="29" t="n">
        <v>45725</v>
      </c>
      <c r="F584" s="29" t="n">
        <v>45731</v>
      </c>
      <c r="G584" s="31" t="n">
        <v>865.02</v>
      </c>
      <c r="H584" s="31" t="n">
        <v>254.57</v>
      </c>
      <c r="I584" t="inlineStr">
        <is>
          <t>Paid</t>
        </is>
      </c>
      <c r="K584" s="29" t="n">
        <v>45747</v>
      </c>
      <c r="L584" s="33" t="n"/>
    </row>
    <row r="585">
      <c r="A585" t="inlineStr">
        <is>
          <t>CLM513086</t>
        </is>
      </c>
      <c r="B585" t="inlineStr">
        <is>
          <t>ENC113086</t>
        </is>
      </c>
      <c r="C585" t="inlineStr">
        <is>
          <t>Self-Pay</t>
        </is>
      </c>
      <c r="D585" t="inlineStr">
        <is>
          <t>Emergency</t>
        </is>
      </c>
      <c r="E585" s="29" t="n">
        <v>45725</v>
      </c>
      <c r="F585" s="29" t="n">
        <v>45738</v>
      </c>
      <c r="G585" s="31" t="n">
        <v>1331.86</v>
      </c>
      <c r="H585" s="31" t="n">
        <v>497.67</v>
      </c>
      <c r="I585" t="inlineStr">
        <is>
          <t>Paid</t>
        </is>
      </c>
      <c r="K585" s="29" t="n">
        <v>45776</v>
      </c>
      <c r="L585" s="33" t="n"/>
    </row>
    <row r="586">
      <c r="A586" t="inlineStr">
        <is>
          <t>CLM513087</t>
        </is>
      </c>
      <c r="B586" t="inlineStr">
        <is>
          <t>ENC113087</t>
        </is>
      </c>
      <c r="C586" t="inlineStr">
        <is>
          <t>Summit Choice PPO</t>
        </is>
      </c>
      <c r="D586" t="inlineStr">
        <is>
          <t>Emergency</t>
        </is>
      </c>
      <c r="E586" s="29" t="n">
        <v>45725</v>
      </c>
      <c r="F586" s="29" t="n">
        <v>45730</v>
      </c>
      <c r="G586" s="31" t="n">
        <v>1842.27</v>
      </c>
      <c r="H586" s="31" t="n">
        <v>1009.96</v>
      </c>
      <c r="I586" t="inlineStr">
        <is>
          <t>Paid</t>
        </is>
      </c>
      <c r="K586" s="29" t="n">
        <v>45749</v>
      </c>
      <c r="L586" s="33" t="n"/>
    </row>
    <row r="587">
      <c r="A587" t="inlineStr">
        <is>
          <t>CLM513099</t>
        </is>
      </c>
      <c r="B587" t="inlineStr">
        <is>
          <t>ENC113099</t>
        </is>
      </c>
      <c r="C587" t="inlineStr">
        <is>
          <t>Keystone Health Partners</t>
        </is>
      </c>
      <c r="D587" t="inlineStr">
        <is>
          <t>Emergency</t>
        </is>
      </c>
      <c r="E587" s="29" t="n">
        <v>45726</v>
      </c>
      <c r="F587" s="29" t="n">
        <v>45729</v>
      </c>
      <c r="G587" s="31" t="n">
        <v>3752.34</v>
      </c>
      <c r="H587" s="31" t="n">
        <v>1616.23</v>
      </c>
      <c r="I587" t="inlineStr">
        <is>
          <t>Paid</t>
        </is>
      </c>
      <c r="K587" s="29" t="n">
        <v>45756</v>
      </c>
      <c r="L587" s="33" t="n"/>
    </row>
    <row r="588">
      <c r="A588" t="inlineStr">
        <is>
          <t>CLM513100</t>
        </is>
      </c>
      <c r="B588" t="inlineStr">
        <is>
          <t>ENC113100</t>
        </is>
      </c>
      <c r="C588" t="inlineStr">
        <is>
          <t>State Medicaid</t>
        </is>
      </c>
      <c r="D588" t="inlineStr">
        <is>
          <t>Emergency</t>
        </is>
      </c>
      <c r="E588" s="29" t="n">
        <v>45726</v>
      </c>
      <c r="F588" s="29" t="n">
        <v>45732</v>
      </c>
      <c r="G588" s="31" t="n">
        <v>3630.77</v>
      </c>
      <c r="H588" s="31" t="n">
        <v>845.99</v>
      </c>
      <c r="I588" t="inlineStr">
        <is>
          <t>Paid</t>
        </is>
      </c>
      <c r="K588" s="29" t="n">
        <v>45780</v>
      </c>
      <c r="L588" s="33" t="n"/>
    </row>
    <row r="589">
      <c r="A589" t="inlineStr">
        <is>
          <t>CLM513101</t>
        </is>
      </c>
      <c r="B589" t="inlineStr">
        <is>
          <t>ENC113101</t>
        </is>
      </c>
      <c r="C589" t="inlineStr">
        <is>
          <t>Silverline Medicare Advantage</t>
        </is>
      </c>
      <c r="D589" t="inlineStr">
        <is>
          <t>Emergency</t>
        </is>
      </c>
      <c r="E589" s="29" t="n">
        <v>45726</v>
      </c>
      <c r="F589" s="29" t="n">
        <v>45733</v>
      </c>
      <c r="G589" s="31" t="n">
        <v>5666.77</v>
      </c>
      <c r="H589" s="31" t="n">
        <v>1728.34</v>
      </c>
      <c r="I589" t="inlineStr">
        <is>
          <t>Paid</t>
        </is>
      </c>
      <c r="K589" s="29" t="n">
        <v>45755</v>
      </c>
      <c r="L589" s="33" t="n"/>
    </row>
    <row r="590">
      <c r="A590" t="inlineStr">
        <is>
          <t>CLM513107</t>
        </is>
      </c>
      <c r="B590" t="inlineStr">
        <is>
          <t>ENC113107</t>
        </is>
      </c>
      <c r="C590" t="inlineStr">
        <is>
          <t>Self-Pay</t>
        </is>
      </c>
      <c r="D590" t="inlineStr">
        <is>
          <t>Outpatient</t>
        </is>
      </c>
      <c r="E590" s="29" t="n">
        <v>45726</v>
      </c>
      <c r="F590" s="29" t="n">
        <v>45728</v>
      </c>
      <c r="G590" s="31" t="n">
        <v>108.25</v>
      </c>
      <c r="H590" s="31" t="n">
        <v>25.87</v>
      </c>
      <c r="I590" t="inlineStr">
        <is>
          <t>Partially Paid</t>
        </is>
      </c>
      <c r="K590" s="29" t="n">
        <v>45777</v>
      </c>
      <c r="L590" s="33" t="n"/>
    </row>
    <row r="591">
      <c r="A591" t="inlineStr">
        <is>
          <t>CLM513110</t>
        </is>
      </c>
      <c r="B591" t="inlineStr">
        <is>
          <t>ENC113110</t>
        </is>
      </c>
      <c r="C591" t="inlineStr">
        <is>
          <t>Medicare</t>
        </is>
      </c>
      <c r="D591" t="inlineStr">
        <is>
          <t>Outpatient</t>
        </is>
      </c>
      <c r="E591" s="29" t="n">
        <v>45726</v>
      </c>
      <c r="F591" s="29" t="n">
        <v>45730</v>
      </c>
      <c r="G591" s="31" t="n">
        <v>405.18</v>
      </c>
      <c r="H591" s="31" t="n">
        <v>106.64</v>
      </c>
      <c r="I591" t="inlineStr">
        <is>
          <t>Paid</t>
        </is>
      </c>
      <c r="K591" s="29" t="n">
        <v>45742</v>
      </c>
      <c r="L591" s="33" t="n"/>
    </row>
    <row r="592">
      <c r="A592" t="inlineStr">
        <is>
          <t>CLM513114</t>
        </is>
      </c>
      <c r="B592" t="inlineStr">
        <is>
          <t>ENC113114</t>
        </is>
      </c>
      <c r="C592" t="inlineStr">
        <is>
          <t>Keystone Health Partners</t>
        </is>
      </c>
      <c r="D592" t="inlineStr">
        <is>
          <t>Inpatient</t>
        </is>
      </c>
      <c r="E592" s="29" t="n">
        <v>45730</v>
      </c>
      <c r="F592" s="29" t="n">
        <v>45735</v>
      </c>
      <c r="G592" s="31" t="n">
        <v>16889.3</v>
      </c>
      <c r="H592" s="31" t="n">
        <v>7979.37</v>
      </c>
      <c r="I592" t="inlineStr">
        <is>
          <t>Paid</t>
        </is>
      </c>
      <c r="K592" s="29" t="n">
        <v>45746</v>
      </c>
      <c r="L592" s="33" t="n"/>
    </row>
    <row r="593">
      <c r="A593" t="inlineStr">
        <is>
          <t>CLM513119</t>
        </is>
      </c>
      <c r="B593" t="inlineStr">
        <is>
          <t>ENC113119</t>
        </is>
      </c>
      <c r="C593" t="inlineStr">
        <is>
          <t>Keystone Health Partners</t>
        </is>
      </c>
      <c r="D593" t="inlineStr">
        <is>
          <t>Observation</t>
        </is>
      </c>
      <c r="E593" s="29" t="n">
        <v>45727</v>
      </c>
      <c r="F593" s="29" t="n">
        <v>45729</v>
      </c>
      <c r="G593" s="31" t="n">
        <v>8125.56</v>
      </c>
      <c r="H593" s="31" t="n">
        <v>0</v>
      </c>
      <c r="I593" t="inlineStr">
        <is>
          <t>Appealed</t>
        </is>
      </c>
      <c r="J593" t="inlineStr">
        <is>
          <t>Eligibility / Coverage</t>
        </is>
      </c>
      <c r="L593" s="33" t="n"/>
    </row>
    <row r="594">
      <c r="A594" t="inlineStr">
        <is>
          <t>CLM513128</t>
        </is>
      </c>
      <c r="B594" t="inlineStr">
        <is>
          <t>ENC113128</t>
        </is>
      </c>
      <c r="C594" t="inlineStr">
        <is>
          <t>Evergreen Mutual Insurance</t>
        </is>
      </c>
      <c r="D594" t="inlineStr">
        <is>
          <t>Outpatient</t>
        </is>
      </c>
      <c r="E594" s="29" t="n">
        <v>45726</v>
      </c>
      <c r="F594" s="29" t="n">
        <v>45729</v>
      </c>
      <c r="G594" s="31" t="n">
        <v>173.45</v>
      </c>
      <c r="H594" s="31" t="n">
        <v>74.06999999999999</v>
      </c>
      <c r="I594" t="inlineStr">
        <is>
          <t>Paid</t>
        </is>
      </c>
      <c r="K594" s="29" t="n">
        <v>45775</v>
      </c>
      <c r="L594" s="33" t="n"/>
    </row>
    <row r="595">
      <c r="A595" t="inlineStr">
        <is>
          <t>CLM513130</t>
        </is>
      </c>
      <c r="B595" t="inlineStr">
        <is>
          <t>ENC113130</t>
        </is>
      </c>
      <c r="C595" t="inlineStr">
        <is>
          <t>Medicare</t>
        </is>
      </c>
      <c r="D595" t="inlineStr">
        <is>
          <t>Outpatient</t>
        </is>
      </c>
      <c r="E595" s="29" t="n">
        <v>45726</v>
      </c>
      <c r="F595" s="29" t="n">
        <v>45733</v>
      </c>
      <c r="G595" s="31" t="n">
        <v>327.05</v>
      </c>
      <c r="H595" s="31" t="n">
        <v>96.23999999999999</v>
      </c>
      <c r="I595" t="inlineStr">
        <is>
          <t>Paid</t>
        </is>
      </c>
      <c r="K595" s="29" t="n">
        <v>45748</v>
      </c>
      <c r="L595" s="33" t="n"/>
    </row>
    <row r="596">
      <c r="A596" t="inlineStr">
        <is>
          <t>CLM513133</t>
        </is>
      </c>
      <c r="B596" t="inlineStr">
        <is>
          <t>ENC113133</t>
        </is>
      </c>
      <c r="C596" t="inlineStr">
        <is>
          <t>State Medicaid</t>
        </is>
      </c>
      <c r="D596" t="inlineStr">
        <is>
          <t>Inpatient</t>
        </is>
      </c>
      <c r="E596" s="29" t="n">
        <v>45730</v>
      </c>
      <c r="F596" s="29" t="n">
        <v>45736</v>
      </c>
      <c r="G596" s="31" t="n">
        <v>13148.57</v>
      </c>
      <c r="H596" s="31" t="n">
        <v>3055.21</v>
      </c>
      <c r="I596" t="inlineStr">
        <is>
          <t>Paid</t>
        </is>
      </c>
      <c r="K596" s="29" t="n">
        <v>45777</v>
      </c>
      <c r="L596" s="33" t="n"/>
    </row>
    <row r="597">
      <c r="A597" t="inlineStr">
        <is>
          <t>CLM513138</t>
        </is>
      </c>
      <c r="B597" t="inlineStr">
        <is>
          <t>ENC113138</t>
        </is>
      </c>
      <c r="C597" t="inlineStr">
        <is>
          <t>Evergreen Mutual Insurance</t>
        </is>
      </c>
      <c r="D597" t="inlineStr">
        <is>
          <t>Emergency</t>
        </is>
      </c>
      <c r="E597" s="29" t="n">
        <v>45727</v>
      </c>
      <c r="F597" s="29" t="n">
        <v>45729</v>
      </c>
      <c r="G597" s="31" t="n">
        <v>3527.01</v>
      </c>
      <c r="H597" s="31" t="n">
        <v>1673.98</v>
      </c>
      <c r="I597" t="inlineStr">
        <is>
          <t>Paid</t>
        </is>
      </c>
      <c r="K597" s="29" t="n">
        <v>45757</v>
      </c>
      <c r="L597" s="33" t="n"/>
    </row>
    <row r="598">
      <c r="A598" t="inlineStr">
        <is>
          <t>CLM513142</t>
        </is>
      </c>
      <c r="B598" t="inlineStr">
        <is>
          <t>ENC113142</t>
        </is>
      </c>
      <c r="C598" t="inlineStr">
        <is>
          <t>State Medicaid</t>
        </is>
      </c>
      <c r="D598" t="inlineStr">
        <is>
          <t>Inpatient</t>
        </is>
      </c>
      <c r="E598" s="29" t="n">
        <v>45735</v>
      </c>
      <c r="F598" s="29" t="n">
        <v>45737</v>
      </c>
      <c r="G598" s="31" t="n">
        <v>46268.08</v>
      </c>
      <c r="H598" s="31" t="n">
        <v>10298.42</v>
      </c>
      <c r="I598" t="inlineStr">
        <is>
          <t>Paid</t>
        </is>
      </c>
      <c r="K598" s="29" t="n">
        <v>45784</v>
      </c>
      <c r="L598" s="33" t="n"/>
    </row>
    <row r="599">
      <c r="A599" t="inlineStr">
        <is>
          <t>CLM513145</t>
        </is>
      </c>
      <c r="B599" t="inlineStr">
        <is>
          <t>ENC113145</t>
        </is>
      </c>
      <c r="C599" t="inlineStr">
        <is>
          <t>State Medicaid</t>
        </is>
      </c>
      <c r="D599" t="inlineStr">
        <is>
          <t>Outpatient</t>
        </is>
      </c>
      <c r="E599" s="29" t="n">
        <v>45727</v>
      </c>
      <c r="F599" s="29" t="n">
        <v>45734</v>
      </c>
      <c r="G599" s="31" t="n">
        <v>462.62</v>
      </c>
      <c r="H599" s="31" t="n">
        <v>72.64</v>
      </c>
      <c r="I599" t="inlineStr">
        <is>
          <t>Partially Paid</t>
        </is>
      </c>
      <c r="J599" t="inlineStr">
        <is>
          <t>Coding Error</t>
        </is>
      </c>
      <c r="K599" s="29" t="n">
        <v>45770</v>
      </c>
      <c r="L599" s="33" t="n"/>
    </row>
    <row r="600">
      <c r="A600" t="inlineStr">
        <is>
          <t>CLM513147</t>
        </is>
      </c>
      <c r="B600" t="inlineStr">
        <is>
          <t>ENC113147</t>
        </is>
      </c>
      <c r="C600" t="inlineStr">
        <is>
          <t>Medicare</t>
        </is>
      </c>
      <c r="D600" t="inlineStr">
        <is>
          <t>Outpatient</t>
        </is>
      </c>
      <c r="E600" s="29" t="n">
        <v>45727</v>
      </c>
      <c r="F600" s="29" t="n">
        <v>45736</v>
      </c>
      <c r="G600" s="31" t="n">
        <v>411.15</v>
      </c>
      <c r="H600" s="31" t="n">
        <v>101.8</v>
      </c>
      <c r="I600" t="inlineStr">
        <is>
          <t>Paid</t>
        </is>
      </c>
      <c r="K600" s="29" t="n">
        <v>45745</v>
      </c>
      <c r="L600" s="33" t="n"/>
    </row>
    <row r="601">
      <c r="A601" t="inlineStr">
        <is>
          <t>CLM513148</t>
        </is>
      </c>
      <c r="B601" t="inlineStr">
        <is>
          <t>ENC113148</t>
        </is>
      </c>
      <c r="C601" t="inlineStr">
        <is>
          <t>State Medicaid</t>
        </is>
      </c>
      <c r="D601" t="inlineStr">
        <is>
          <t>Outpatient</t>
        </is>
      </c>
      <c r="E601" s="29" t="n">
        <v>45727</v>
      </c>
      <c r="F601" s="29" t="n">
        <v>45730</v>
      </c>
      <c r="G601" s="31" t="n">
        <v>467</v>
      </c>
      <c r="H601" s="31" t="n">
        <v>114.87</v>
      </c>
      <c r="I601" t="inlineStr">
        <is>
          <t>Paid</t>
        </is>
      </c>
      <c r="K601" s="29" t="n">
        <v>45754</v>
      </c>
      <c r="L601" s="33" t="n"/>
    </row>
    <row r="602">
      <c r="A602" t="inlineStr">
        <is>
          <t>CLM513150</t>
        </is>
      </c>
      <c r="B602" t="inlineStr">
        <is>
          <t>ENC113150</t>
        </is>
      </c>
      <c r="C602" t="inlineStr">
        <is>
          <t>Medicare</t>
        </is>
      </c>
      <c r="D602" t="inlineStr">
        <is>
          <t>Inpatient</t>
        </is>
      </c>
      <c r="E602" s="29" t="n">
        <v>45730</v>
      </c>
      <c r="F602" s="29" t="n">
        <v>45731</v>
      </c>
      <c r="G602" s="31" t="n">
        <v>18627.42</v>
      </c>
      <c r="H602" s="31" t="n">
        <v>5796.79</v>
      </c>
      <c r="I602" t="inlineStr">
        <is>
          <t>Paid</t>
        </is>
      </c>
      <c r="K602" s="29" t="n">
        <v>45750</v>
      </c>
      <c r="L602" s="33" t="n"/>
    </row>
    <row r="603">
      <c r="A603" t="inlineStr">
        <is>
          <t>CLM513153</t>
        </is>
      </c>
      <c r="B603" t="inlineStr">
        <is>
          <t>ENC113153</t>
        </is>
      </c>
      <c r="C603" t="inlineStr">
        <is>
          <t>Self-Pay</t>
        </is>
      </c>
      <c r="D603" t="inlineStr">
        <is>
          <t>Inpatient</t>
        </is>
      </c>
      <c r="E603" s="29" t="n">
        <v>45733</v>
      </c>
      <c r="F603" s="29" t="n">
        <v>45734</v>
      </c>
      <c r="G603" s="31" t="n">
        <v>57834.68</v>
      </c>
      <c r="H603" s="31" t="n">
        <v>5132.53</v>
      </c>
      <c r="I603" t="inlineStr">
        <is>
          <t>Partially Paid</t>
        </is>
      </c>
      <c r="K603" s="29" t="n">
        <v>45850</v>
      </c>
      <c r="L603" s="33" t="n"/>
    </row>
    <row r="604">
      <c r="A604" t="inlineStr">
        <is>
          <t>CLM513154</t>
        </is>
      </c>
      <c r="B604" t="inlineStr">
        <is>
          <t>ENC113154</t>
        </is>
      </c>
      <c r="C604" t="inlineStr">
        <is>
          <t>Keystone Health Partners</t>
        </is>
      </c>
      <c r="D604" t="inlineStr">
        <is>
          <t>Outpatient</t>
        </is>
      </c>
      <c r="E604" s="29" t="n">
        <v>45727</v>
      </c>
      <c r="F604" s="29" t="n">
        <v>45729</v>
      </c>
      <c r="G604" s="31" t="n">
        <v>241.65</v>
      </c>
      <c r="H604" s="31" t="n">
        <v>110.88</v>
      </c>
      <c r="I604" t="inlineStr">
        <is>
          <t>Paid</t>
        </is>
      </c>
      <c r="K604" s="29" t="n">
        <v>45751</v>
      </c>
      <c r="L604" s="33" t="n"/>
    </row>
    <row r="605">
      <c r="A605" t="inlineStr">
        <is>
          <t>CLM513168</t>
        </is>
      </c>
      <c r="B605" t="inlineStr">
        <is>
          <t>ENC113168</t>
        </is>
      </c>
      <c r="C605" t="inlineStr">
        <is>
          <t>Self-Pay</t>
        </is>
      </c>
      <c r="D605" t="inlineStr">
        <is>
          <t>Outpatient</t>
        </is>
      </c>
      <c r="E605" s="29" t="n">
        <v>45727</v>
      </c>
      <c r="F605" s="29" t="n">
        <v>45729</v>
      </c>
      <c r="G605" s="31" t="n">
        <v>269.84</v>
      </c>
      <c r="H605" s="31" t="n">
        <v>0</v>
      </c>
      <c r="I605" t="inlineStr">
        <is>
          <t>Pending</t>
        </is>
      </c>
      <c r="L605" s="33" t="n"/>
    </row>
    <row r="606">
      <c r="A606" t="inlineStr">
        <is>
          <t>CLM513173</t>
        </is>
      </c>
      <c r="B606" t="inlineStr">
        <is>
          <t>ENC113173</t>
        </is>
      </c>
      <c r="C606" t="inlineStr">
        <is>
          <t>State Medicaid</t>
        </is>
      </c>
      <c r="D606" t="inlineStr">
        <is>
          <t>Inpatient</t>
        </is>
      </c>
      <c r="E606" s="29" t="n">
        <v>45741</v>
      </c>
      <c r="F606" s="29" t="n">
        <v>45743</v>
      </c>
      <c r="G606" s="31" t="n">
        <v>33859.02</v>
      </c>
      <c r="H606" s="31" t="n">
        <v>8661.18</v>
      </c>
      <c r="I606" t="inlineStr">
        <is>
          <t>Paid</t>
        </is>
      </c>
      <c r="K606" s="29" t="n">
        <v>45780</v>
      </c>
      <c r="L606" s="33" t="n"/>
    </row>
    <row r="607">
      <c r="A607" t="inlineStr">
        <is>
          <t>CLM513183</t>
        </is>
      </c>
      <c r="B607" t="inlineStr">
        <is>
          <t>ENC113183</t>
        </is>
      </c>
      <c r="C607" t="inlineStr">
        <is>
          <t>Silverline Medicare Advantage</t>
        </is>
      </c>
      <c r="D607" t="inlineStr">
        <is>
          <t>Inpatient</t>
        </is>
      </c>
      <c r="E607" s="29" t="n">
        <v>45731</v>
      </c>
      <c r="F607" s="29" t="n">
        <v>45734</v>
      </c>
      <c r="G607" s="31" t="n">
        <v>55359.8</v>
      </c>
      <c r="H607" s="31" t="n">
        <v>0</v>
      </c>
      <c r="I607" t="inlineStr">
        <is>
          <t>Denied</t>
        </is>
      </c>
      <c r="J607" t="inlineStr">
        <is>
          <t>Authorization Required</t>
        </is>
      </c>
      <c r="L607" s="33" t="n"/>
    </row>
    <row r="608">
      <c r="A608" t="inlineStr">
        <is>
          <t>CLM513192</t>
        </is>
      </c>
      <c r="B608" t="inlineStr">
        <is>
          <t>ENC113192</t>
        </is>
      </c>
      <c r="C608" t="inlineStr">
        <is>
          <t>Summit Choice PPO</t>
        </is>
      </c>
      <c r="D608" t="inlineStr">
        <is>
          <t>Outpatient</t>
        </is>
      </c>
      <c r="E608" s="29" t="n">
        <v>45728</v>
      </c>
      <c r="F608" s="29" t="n">
        <v>45737</v>
      </c>
      <c r="G608" s="31" t="n">
        <v>287.98</v>
      </c>
      <c r="H608" s="31" t="n">
        <v>69.89</v>
      </c>
      <c r="I608" t="inlineStr">
        <is>
          <t>Partially Paid</t>
        </is>
      </c>
      <c r="J608" t="inlineStr">
        <is>
          <t>Medical Necessity</t>
        </is>
      </c>
      <c r="K608" s="29" t="n">
        <v>45771</v>
      </c>
      <c r="L608" s="33" t="n"/>
    </row>
    <row r="609">
      <c r="A609" t="inlineStr">
        <is>
          <t>CLM513198</t>
        </is>
      </c>
      <c r="B609" t="inlineStr">
        <is>
          <t>ENC113198</t>
        </is>
      </c>
      <c r="C609" t="inlineStr">
        <is>
          <t>Self-Pay</t>
        </is>
      </c>
      <c r="D609" t="inlineStr">
        <is>
          <t>Emergency</t>
        </is>
      </c>
      <c r="E609" s="29" t="n">
        <v>45728</v>
      </c>
      <c r="F609" s="29" t="n">
        <v>45731</v>
      </c>
      <c r="G609" s="31" t="n">
        <v>3188.61</v>
      </c>
      <c r="H609" s="31" t="n">
        <v>338.28</v>
      </c>
      <c r="I609" t="inlineStr">
        <is>
          <t>Partially Paid</t>
        </is>
      </c>
      <c r="K609" s="29" t="n">
        <v>45808</v>
      </c>
      <c r="L609" s="33" t="n"/>
    </row>
    <row r="610">
      <c r="A610" t="inlineStr">
        <is>
          <t>CLM513200</t>
        </is>
      </c>
      <c r="B610" t="inlineStr">
        <is>
          <t>ENC113200</t>
        </is>
      </c>
      <c r="C610" t="inlineStr">
        <is>
          <t>Silverline Medicare Advantage</t>
        </is>
      </c>
      <c r="D610" t="inlineStr">
        <is>
          <t>Outpatient</t>
        </is>
      </c>
      <c r="E610" s="29" t="n">
        <v>45728</v>
      </c>
      <c r="F610" s="29" t="n">
        <v>45737</v>
      </c>
      <c r="G610" s="31" t="n">
        <v>329.38</v>
      </c>
      <c r="H610" s="31" t="n">
        <v>111.25</v>
      </c>
      <c r="I610" t="inlineStr">
        <is>
          <t>Paid</t>
        </is>
      </c>
      <c r="K610" s="29" t="n">
        <v>45768</v>
      </c>
      <c r="L610" s="33" t="n"/>
    </row>
    <row r="611">
      <c r="A611" t="inlineStr">
        <is>
          <t>CLM513202</t>
        </is>
      </c>
      <c r="B611" t="inlineStr">
        <is>
          <t>ENC113202</t>
        </is>
      </c>
      <c r="C611" t="inlineStr">
        <is>
          <t>Evergreen Mutual Insurance</t>
        </is>
      </c>
      <c r="D611" t="inlineStr">
        <is>
          <t>Outpatient</t>
        </is>
      </c>
      <c r="E611" s="29" t="n">
        <v>45728</v>
      </c>
      <c r="F611" s="29" t="n">
        <v>45731</v>
      </c>
      <c r="G611" s="31" t="n">
        <v>389.63</v>
      </c>
      <c r="H611" s="31" t="n">
        <v>191.62</v>
      </c>
      <c r="I611" t="inlineStr">
        <is>
          <t>Paid</t>
        </is>
      </c>
      <c r="K611" s="29" t="n">
        <v>45772</v>
      </c>
      <c r="L611" s="33" t="n"/>
    </row>
    <row r="612">
      <c r="A612" t="inlineStr">
        <is>
          <t>CLM513203</t>
        </is>
      </c>
      <c r="B612" t="inlineStr">
        <is>
          <t>ENC113203</t>
        </is>
      </c>
      <c r="C612" t="inlineStr">
        <is>
          <t>Silverline Medicare Advantage</t>
        </is>
      </c>
      <c r="D612" t="inlineStr">
        <is>
          <t>Outpatient</t>
        </is>
      </c>
      <c r="E612" s="29" t="n">
        <v>45728</v>
      </c>
      <c r="F612" s="29" t="n">
        <v>45731</v>
      </c>
      <c r="G612" s="31" t="n">
        <v>255.74</v>
      </c>
      <c r="H612" s="31" t="n">
        <v>90.14</v>
      </c>
      <c r="I612" t="inlineStr">
        <is>
          <t>Paid</t>
        </is>
      </c>
      <c r="K612" s="29" t="n">
        <v>45758</v>
      </c>
      <c r="L612" s="33" t="n"/>
    </row>
    <row r="613">
      <c r="A613" t="inlineStr">
        <is>
          <t>CLM513227</t>
        </is>
      </c>
      <c r="B613" t="inlineStr">
        <is>
          <t>ENC113227</t>
        </is>
      </c>
      <c r="C613" t="inlineStr">
        <is>
          <t>Silverline Medicare Advantage</t>
        </is>
      </c>
      <c r="D613" t="inlineStr">
        <is>
          <t>Outpatient</t>
        </is>
      </c>
      <c r="E613" s="29" t="n">
        <v>45729</v>
      </c>
      <c r="F613" s="29" t="n">
        <v>45731</v>
      </c>
      <c r="G613" s="31" t="n">
        <v>270.74</v>
      </c>
      <c r="H613" s="31" t="n">
        <v>77.02</v>
      </c>
      <c r="I613" t="inlineStr">
        <is>
          <t>Paid</t>
        </is>
      </c>
      <c r="K613" s="29" t="n">
        <v>45754</v>
      </c>
      <c r="L613" s="33" t="n"/>
    </row>
    <row r="614">
      <c r="A614" t="inlineStr">
        <is>
          <t>CLM513235</t>
        </is>
      </c>
      <c r="B614" t="inlineStr">
        <is>
          <t>ENC113235</t>
        </is>
      </c>
      <c r="C614" t="inlineStr">
        <is>
          <t>Evergreen Mutual Insurance</t>
        </is>
      </c>
      <c r="D614" t="inlineStr">
        <is>
          <t>Outpatient</t>
        </is>
      </c>
      <c r="E614" s="29" t="n">
        <v>45729</v>
      </c>
      <c r="F614" s="29" t="n">
        <v>45731</v>
      </c>
      <c r="G614" s="31" t="n">
        <v>187.12</v>
      </c>
      <c r="H614" s="31" t="n">
        <v>76.04000000000001</v>
      </c>
      <c r="I614" t="inlineStr">
        <is>
          <t>Paid</t>
        </is>
      </c>
      <c r="K614" s="29" t="n">
        <v>45757</v>
      </c>
      <c r="L614" s="33" t="n"/>
    </row>
    <row r="615">
      <c r="A615" t="inlineStr">
        <is>
          <t>CLM513239</t>
        </is>
      </c>
      <c r="B615" t="inlineStr">
        <is>
          <t>ENC113239</t>
        </is>
      </c>
      <c r="C615" t="inlineStr">
        <is>
          <t>Silverline Medicare Advantage</t>
        </is>
      </c>
      <c r="D615" t="inlineStr">
        <is>
          <t>Outpatient</t>
        </is>
      </c>
      <c r="E615" s="29" t="n">
        <v>45729</v>
      </c>
      <c r="F615" s="29" t="n">
        <v>45732</v>
      </c>
      <c r="G615" s="31" t="n">
        <v>112.54</v>
      </c>
      <c r="H615" s="31" t="n">
        <v>36.93</v>
      </c>
      <c r="I615" t="inlineStr">
        <is>
          <t>Paid</t>
        </is>
      </c>
      <c r="K615" s="29" t="n">
        <v>45764</v>
      </c>
      <c r="L615" s="33" t="n"/>
    </row>
    <row r="616">
      <c r="A616" t="inlineStr">
        <is>
          <t>CLM513240</t>
        </is>
      </c>
      <c r="B616" t="inlineStr">
        <is>
          <t>ENC113240</t>
        </is>
      </c>
      <c r="C616" t="inlineStr">
        <is>
          <t>Medicare</t>
        </is>
      </c>
      <c r="D616" t="inlineStr">
        <is>
          <t>Emergency</t>
        </is>
      </c>
      <c r="E616" s="29" t="n">
        <v>45729</v>
      </c>
      <c r="F616" s="29" t="n">
        <v>45733</v>
      </c>
      <c r="G616" s="31" t="n">
        <v>707.9</v>
      </c>
      <c r="H616" s="31" t="n">
        <v>193.38</v>
      </c>
      <c r="I616" t="inlineStr">
        <is>
          <t>Paid</t>
        </is>
      </c>
      <c r="K616" s="29" t="n">
        <v>45744</v>
      </c>
      <c r="L616" s="33" t="n"/>
    </row>
    <row r="617">
      <c r="A617" t="inlineStr">
        <is>
          <t>CLM513241</t>
        </is>
      </c>
      <c r="B617" t="inlineStr">
        <is>
          <t>ENC113241</t>
        </is>
      </c>
      <c r="C617" t="inlineStr">
        <is>
          <t>State Medicaid</t>
        </is>
      </c>
      <c r="D617" t="inlineStr">
        <is>
          <t>Outpatient</t>
        </is>
      </c>
      <c r="E617" s="29" t="n">
        <v>45729</v>
      </c>
      <c r="F617" s="29" t="n">
        <v>45734</v>
      </c>
      <c r="G617" s="31" t="n">
        <v>1470.22</v>
      </c>
      <c r="H617" s="31" t="n">
        <v>349.3</v>
      </c>
      <c r="I617" t="inlineStr">
        <is>
          <t>Paid</t>
        </is>
      </c>
      <c r="K617" s="29" t="n">
        <v>45755</v>
      </c>
      <c r="L617" s="33" t="n"/>
    </row>
    <row r="618">
      <c r="A618" t="inlineStr">
        <is>
          <t>CLM513242</t>
        </is>
      </c>
      <c r="B618" t="inlineStr">
        <is>
          <t>ENC113242</t>
        </is>
      </c>
      <c r="C618" t="inlineStr">
        <is>
          <t>Evergreen Mutual Insurance</t>
        </is>
      </c>
      <c r="D618" t="inlineStr">
        <is>
          <t>Emergency</t>
        </is>
      </c>
      <c r="E618" s="29" t="n">
        <v>45729</v>
      </c>
      <c r="F618" s="29" t="n">
        <v>45736</v>
      </c>
      <c r="G618" s="31" t="n">
        <v>3100.17</v>
      </c>
      <c r="H618" s="31" t="n">
        <v>1129.13</v>
      </c>
      <c r="I618" t="inlineStr">
        <is>
          <t>Paid</t>
        </is>
      </c>
      <c r="K618" s="29" t="n">
        <v>45758</v>
      </c>
      <c r="L618" s="33" t="n"/>
    </row>
    <row r="619">
      <c r="A619" t="inlineStr">
        <is>
          <t>CLM513244</t>
        </is>
      </c>
      <c r="B619" t="inlineStr">
        <is>
          <t>ENC113244</t>
        </is>
      </c>
      <c r="C619" t="inlineStr">
        <is>
          <t>Keystone Health Partners</t>
        </is>
      </c>
      <c r="D619" t="inlineStr">
        <is>
          <t>Outpatient</t>
        </is>
      </c>
      <c r="E619" s="29" t="n">
        <v>45729</v>
      </c>
      <c r="F619" s="29" t="n">
        <v>45733</v>
      </c>
      <c r="G619" s="31" t="n">
        <v>444.49</v>
      </c>
      <c r="H619" s="31" t="n">
        <v>220.37</v>
      </c>
      <c r="I619" t="inlineStr">
        <is>
          <t>Paid</t>
        </is>
      </c>
      <c r="K619" s="29" t="n">
        <v>45754</v>
      </c>
      <c r="L619" s="33" t="n"/>
    </row>
    <row r="620">
      <c r="A620" t="inlineStr">
        <is>
          <t>CLM513254</t>
        </is>
      </c>
      <c r="B620" t="inlineStr">
        <is>
          <t>ENC113254</t>
        </is>
      </c>
      <c r="C620" t="inlineStr">
        <is>
          <t>Keystone Health Partners</t>
        </is>
      </c>
      <c r="D620" t="inlineStr">
        <is>
          <t>Emergency</t>
        </is>
      </c>
      <c r="E620" s="29" t="n">
        <v>45730</v>
      </c>
      <c r="F620" s="29" t="n">
        <v>45733</v>
      </c>
      <c r="G620" s="31" t="n">
        <v>1235.23</v>
      </c>
      <c r="H620" s="31" t="n">
        <v>523.27</v>
      </c>
      <c r="I620" t="inlineStr">
        <is>
          <t>Paid</t>
        </is>
      </c>
      <c r="K620" s="29" t="n">
        <v>45745</v>
      </c>
      <c r="L620" s="33" t="n"/>
    </row>
    <row r="621">
      <c r="A621" t="inlineStr">
        <is>
          <t>CLM513255</t>
        </is>
      </c>
      <c r="B621" t="inlineStr">
        <is>
          <t>ENC113255</t>
        </is>
      </c>
      <c r="C621" t="inlineStr">
        <is>
          <t>Silverline Medicare Advantage</t>
        </is>
      </c>
      <c r="D621" t="inlineStr">
        <is>
          <t>Observation</t>
        </is>
      </c>
      <c r="E621" s="29" t="n">
        <v>45731</v>
      </c>
      <c r="F621" s="29" t="n">
        <v>45737</v>
      </c>
      <c r="G621" s="31" t="n">
        <v>5992.72</v>
      </c>
      <c r="H621" s="31" t="n">
        <v>1826.29</v>
      </c>
      <c r="I621" t="inlineStr">
        <is>
          <t>Paid</t>
        </is>
      </c>
      <c r="K621" s="29" t="n">
        <v>45770</v>
      </c>
      <c r="L621" s="33" t="n"/>
    </row>
    <row r="622">
      <c r="A622" t="inlineStr">
        <is>
          <t>CLM513256</t>
        </is>
      </c>
      <c r="B622" t="inlineStr">
        <is>
          <t>ENC113256</t>
        </is>
      </c>
      <c r="C622" t="inlineStr">
        <is>
          <t>Medicare</t>
        </is>
      </c>
      <c r="D622" t="inlineStr">
        <is>
          <t>Emergency</t>
        </is>
      </c>
      <c r="E622" s="29" t="n">
        <v>45730</v>
      </c>
      <c r="F622" s="29" t="n">
        <v>45732</v>
      </c>
      <c r="G622" s="31" t="n">
        <v>1531.79</v>
      </c>
      <c r="H622" s="31" t="n">
        <v>266.78</v>
      </c>
      <c r="I622" t="inlineStr">
        <is>
          <t>Partially Paid</t>
        </is>
      </c>
      <c r="J622" t="inlineStr">
        <is>
          <t>Coding Error</t>
        </is>
      </c>
      <c r="K622" s="29" t="n">
        <v>45743</v>
      </c>
      <c r="L622" s="33" t="n"/>
    </row>
    <row r="623">
      <c r="A623" t="inlineStr">
        <is>
          <t>CLM513257</t>
        </is>
      </c>
      <c r="B623" t="inlineStr">
        <is>
          <t>ENC113257</t>
        </is>
      </c>
      <c r="C623" t="inlineStr">
        <is>
          <t>State Medicaid</t>
        </is>
      </c>
      <c r="D623" t="inlineStr">
        <is>
          <t>Inpatient</t>
        </is>
      </c>
      <c r="E623" s="29" t="n">
        <v>45732</v>
      </c>
      <c r="F623" s="29" t="n">
        <v>45741</v>
      </c>
      <c r="G623" s="31" t="n">
        <v>50931.23</v>
      </c>
      <c r="H623" s="31" t="n">
        <v>12787.82</v>
      </c>
      <c r="I623" t="inlineStr">
        <is>
          <t>Paid</t>
        </is>
      </c>
      <c r="K623" s="29" t="n">
        <v>45765</v>
      </c>
      <c r="L623" s="33" t="n"/>
    </row>
    <row r="624">
      <c r="A624" t="inlineStr">
        <is>
          <t>CLM513261</t>
        </is>
      </c>
      <c r="B624" t="inlineStr">
        <is>
          <t>ENC113261</t>
        </is>
      </c>
      <c r="C624" t="inlineStr">
        <is>
          <t>State Medicaid</t>
        </is>
      </c>
      <c r="D624" t="inlineStr">
        <is>
          <t>Outpatient</t>
        </is>
      </c>
      <c r="E624" s="29" t="n">
        <v>45730</v>
      </c>
      <c r="F624" s="29" t="n">
        <v>45733</v>
      </c>
      <c r="G624" s="31" t="n">
        <v>99.97</v>
      </c>
      <c r="H624" s="31" t="n">
        <v>23.8</v>
      </c>
      <c r="I624" t="inlineStr">
        <is>
          <t>Paid</t>
        </is>
      </c>
      <c r="K624" s="29" t="n">
        <v>45768</v>
      </c>
      <c r="L624" s="33" t="n"/>
    </row>
    <row r="625">
      <c r="A625" t="inlineStr">
        <is>
          <t>CLM513267</t>
        </is>
      </c>
      <c r="B625" t="inlineStr">
        <is>
          <t>ENC113267</t>
        </is>
      </c>
      <c r="C625" t="inlineStr">
        <is>
          <t>Keystone Health Partners</t>
        </is>
      </c>
      <c r="D625" t="inlineStr">
        <is>
          <t>Outpatient</t>
        </is>
      </c>
      <c r="E625" s="29" t="n">
        <v>45730</v>
      </c>
      <c r="F625" s="29" t="n">
        <v>45733</v>
      </c>
      <c r="G625" s="31" t="n">
        <v>15169.02</v>
      </c>
      <c r="H625" s="31" t="n">
        <v>7120.31</v>
      </c>
      <c r="I625" t="inlineStr">
        <is>
          <t>Paid</t>
        </is>
      </c>
      <c r="K625" s="29" t="n">
        <v>45768</v>
      </c>
      <c r="L625" s="33" t="n"/>
    </row>
    <row r="626">
      <c r="A626" t="inlineStr">
        <is>
          <t>CLM513271</t>
        </is>
      </c>
      <c r="B626" t="inlineStr">
        <is>
          <t>ENC113271</t>
        </is>
      </c>
      <c r="C626" t="inlineStr">
        <is>
          <t>Keystone Health Partners</t>
        </is>
      </c>
      <c r="D626" t="inlineStr">
        <is>
          <t>Outpatient</t>
        </is>
      </c>
      <c r="E626" s="29" t="n">
        <v>45730</v>
      </c>
      <c r="F626" s="29" t="n">
        <v>45732</v>
      </c>
      <c r="G626" s="31" t="n">
        <v>347.43</v>
      </c>
      <c r="H626" s="31" t="n">
        <v>156.47</v>
      </c>
      <c r="I626" t="inlineStr">
        <is>
          <t>Paid</t>
        </is>
      </c>
      <c r="K626" s="29" t="n">
        <v>45761</v>
      </c>
      <c r="L626" s="33" t="n"/>
    </row>
    <row r="627">
      <c r="A627" t="inlineStr">
        <is>
          <t>CLM513273</t>
        </is>
      </c>
      <c r="B627" t="inlineStr">
        <is>
          <t>ENC113273</t>
        </is>
      </c>
      <c r="C627" t="inlineStr">
        <is>
          <t>State Medicaid</t>
        </is>
      </c>
      <c r="D627" t="inlineStr">
        <is>
          <t>Outpatient</t>
        </is>
      </c>
      <c r="E627" s="29" t="n">
        <v>45730</v>
      </c>
      <c r="F627" s="29" t="n">
        <v>45733</v>
      </c>
      <c r="G627" s="31" t="n">
        <v>336.24</v>
      </c>
      <c r="H627" s="31" t="n">
        <v>70.31999999999999</v>
      </c>
      <c r="I627" t="inlineStr">
        <is>
          <t>Paid</t>
        </is>
      </c>
      <c r="K627" s="29" t="n">
        <v>45767</v>
      </c>
      <c r="L627" s="33" t="n"/>
    </row>
    <row r="628">
      <c r="A628" t="inlineStr">
        <is>
          <t>CLM513274</t>
        </is>
      </c>
      <c r="B628" t="inlineStr">
        <is>
          <t>ENC113274</t>
        </is>
      </c>
      <c r="C628" t="inlineStr">
        <is>
          <t>State Medicaid</t>
        </is>
      </c>
      <c r="D628" t="inlineStr">
        <is>
          <t>Outpatient</t>
        </is>
      </c>
      <c r="E628" s="29" t="n">
        <v>45730</v>
      </c>
      <c r="F628" s="29" t="n">
        <v>45735</v>
      </c>
      <c r="G628" s="31" t="n">
        <v>465.45</v>
      </c>
      <c r="H628" s="31" t="n">
        <v>104.5</v>
      </c>
      <c r="I628" t="inlineStr">
        <is>
          <t>Paid</t>
        </is>
      </c>
      <c r="K628" s="29" t="n">
        <v>45782</v>
      </c>
      <c r="L628" s="33" t="n"/>
    </row>
    <row r="629">
      <c r="A629" t="inlineStr">
        <is>
          <t>CLM513276</t>
        </is>
      </c>
      <c r="B629" t="inlineStr">
        <is>
          <t>ENC113276</t>
        </is>
      </c>
      <c r="C629" t="inlineStr">
        <is>
          <t>Silverline Medicare Advantage</t>
        </is>
      </c>
      <c r="D629" t="inlineStr">
        <is>
          <t>Outpatient</t>
        </is>
      </c>
      <c r="E629" s="29" t="n">
        <v>45730</v>
      </c>
      <c r="F629" s="29" t="n">
        <v>45742</v>
      </c>
      <c r="G629" s="31" t="n">
        <v>395.22</v>
      </c>
      <c r="H629" s="31" t="n">
        <v>125.84</v>
      </c>
      <c r="I629" t="inlineStr">
        <is>
          <t>Paid</t>
        </is>
      </c>
      <c r="K629" s="29" t="n">
        <v>45780</v>
      </c>
      <c r="L629" s="33" t="n"/>
    </row>
    <row r="630">
      <c r="A630" t="inlineStr">
        <is>
          <t>CLM513277</t>
        </is>
      </c>
      <c r="B630" t="inlineStr">
        <is>
          <t>ENC113277</t>
        </is>
      </c>
      <c r="C630" t="inlineStr">
        <is>
          <t>Self-Pay</t>
        </is>
      </c>
      <c r="D630" t="inlineStr">
        <is>
          <t>Inpatient</t>
        </is>
      </c>
      <c r="E630" s="29" t="n">
        <v>45735</v>
      </c>
      <c r="F630" s="29" t="n">
        <v>45746</v>
      </c>
      <c r="G630" s="31" t="n">
        <v>22042.47</v>
      </c>
      <c r="H630" s="31" t="n">
        <v>7776.49</v>
      </c>
      <c r="I630" t="inlineStr">
        <is>
          <t>Paid</t>
        </is>
      </c>
      <c r="K630" s="29" t="n">
        <v>45849</v>
      </c>
      <c r="L630" s="33" t="n"/>
    </row>
    <row r="631">
      <c r="A631" t="inlineStr">
        <is>
          <t>CLM513283</t>
        </is>
      </c>
      <c r="B631" t="inlineStr">
        <is>
          <t>ENC113283</t>
        </is>
      </c>
      <c r="C631" t="inlineStr">
        <is>
          <t>State Medicaid</t>
        </is>
      </c>
      <c r="D631" t="inlineStr">
        <is>
          <t>Emergency</t>
        </is>
      </c>
      <c r="E631" s="29" t="n">
        <v>45730</v>
      </c>
      <c r="F631" s="29" t="n">
        <v>45734</v>
      </c>
      <c r="G631" s="31" t="n">
        <v>1481.19</v>
      </c>
      <c r="H631" s="31" t="n">
        <v>369.8</v>
      </c>
      <c r="I631" t="inlineStr">
        <is>
          <t>Paid</t>
        </is>
      </c>
      <c r="K631" s="29" t="n">
        <v>45772</v>
      </c>
      <c r="L631" s="33" t="n"/>
    </row>
    <row r="632">
      <c r="A632" t="inlineStr">
        <is>
          <t>CLM513284</t>
        </is>
      </c>
      <c r="B632" t="inlineStr">
        <is>
          <t>ENC113284</t>
        </is>
      </c>
      <c r="C632" t="inlineStr">
        <is>
          <t>Medicare</t>
        </is>
      </c>
      <c r="D632" t="inlineStr">
        <is>
          <t>Inpatient</t>
        </is>
      </c>
      <c r="E632" s="29" t="n">
        <v>45733</v>
      </c>
      <c r="F632" s="29" t="n">
        <v>45736</v>
      </c>
      <c r="G632" s="31" t="n">
        <v>24966.83</v>
      </c>
      <c r="H632" s="31" t="n">
        <v>6735.4</v>
      </c>
      <c r="I632" t="inlineStr">
        <is>
          <t>Paid</t>
        </is>
      </c>
      <c r="K632" s="29" t="n">
        <v>45751</v>
      </c>
      <c r="L632" s="33" t="n"/>
    </row>
    <row r="633">
      <c r="A633" t="inlineStr">
        <is>
          <t>CLM513286</t>
        </is>
      </c>
      <c r="B633" t="inlineStr">
        <is>
          <t>ENC113286</t>
        </is>
      </c>
      <c r="C633" t="inlineStr">
        <is>
          <t>State Medicaid</t>
        </is>
      </c>
      <c r="D633" t="inlineStr">
        <is>
          <t>Inpatient</t>
        </is>
      </c>
      <c r="E633" s="29" t="n">
        <v>45733</v>
      </c>
      <c r="F633" s="29" t="n">
        <v>45735</v>
      </c>
      <c r="G633" s="31" t="n">
        <v>11745.15</v>
      </c>
      <c r="H633" s="31" t="n">
        <v>2798.82</v>
      </c>
      <c r="I633" t="inlineStr">
        <is>
          <t>Paid</t>
        </is>
      </c>
      <c r="K633" s="29" t="n">
        <v>45773</v>
      </c>
      <c r="L633" s="33" t="n"/>
    </row>
    <row r="634">
      <c r="A634" t="inlineStr">
        <is>
          <t>CLM513287</t>
        </is>
      </c>
      <c r="B634" t="inlineStr">
        <is>
          <t>ENC113287</t>
        </is>
      </c>
      <c r="C634" t="inlineStr">
        <is>
          <t>State Medicaid</t>
        </is>
      </c>
      <c r="D634" t="inlineStr">
        <is>
          <t>Emergency</t>
        </is>
      </c>
      <c r="E634" s="29" t="n">
        <v>45731</v>
      </c>
      <c r="F634" s="29" t="n">
        <v>45739</v>
      </c>
      <c r="G634" s="31" t="n">
        <v>3176.73</v>
      </c>
      <c r="H634" s="31" t="n">
        <v>722.5700000000001</v>
      </c>
      <c r="I634" t="inlineStr">
        <is>
          <t>Paid</t>
        </is>
      </c>
      <c r="K634" s="29" t="n">
        <v>45773</v>
      </c>
      <c r="L634" s="33" t="n"/>
    </row>
    <row r="635">
      <c r="A635" t="inlineStr">
        <is>
          <t>CLM513288</t>
        </is>
      </c>
      <c r="B635" t="inlineStr">
        <is>
          <t>ENC113288</t>
        </is>
      </c>
      <c r="C635" t="inlineStr">
        <is>
          <t>Medicare</t>
        </is>
      </c>
      <c r="D635" t="inlineStr">
        <is>
          <t>Emergency</t>
        </is>
      </c>
      <c r="E635" s="29" t="n">
        <v>45731</v>
      </c>
      <c r="F635" s="29" t="n">
        <v>45735</v>
      </c>
      <c r="G635" s="31" t="n">
        <v>1135.47</v>
      </c>
      <c r="H635" s="31" t="n">
        <v>272.14</v>
      </c>
      <c r="I635" t="inlineStr">
        <is>
          <t>Paid</t>
        </is>
      </c>
      <c r="K635" s="29" t="n">
        <v>45751</v>
      </c>
      <c r="L635" s="33" t="n"/>
    </row>
    <row r="636">
      <c r="A636" t="inlineStr">
        <is>
          <t>CLM513290</t>
        </is>
      </c>
      <c r="B636" t="inlineStr">
        <is>
          <t>ENC113290</t>
        </is>
      </c>
      <c r="C636" t="inlineStr">
        <is>
          <t>Keystone Health Partners</t>
        </is>
      </c>
      <c r="D636" t="inlineStr">
        <is>
          <t>Emergency</t>
        </is>
      </c>
      <c r="E636" s="29" t="n">
        <v>45731</v>
      </c>
      <c r="F636" s="29" t="n">
        <v>45736</v>
      </c>
      <c r="G636" s="31" t="n">
        <v>1450.04</v>
      </c>
      <c r="H636" s="31" t="n">
        <v>719.5599999999999</v>
      </c>
      <c r="I636" t="inlineStr">
        <is>
          <t>Paid</t>
        </is>
      </c>
      <c r="K636" s="29" t="n">
        <v>45753</v>
      </c>
      <c r="L636" s="33" t="n"/>
    </row>
    <row r="637">
      <c r="A637" t="inlineStr">
        <is>
          <t>CLM513300</t>
        </is>
      </c>
      <c r="B637" t="inlineStr">
        <is>
          <t>ENC113300</t>
        </is>
      </c>
      <c r="C637" t="inlineStr">
        <is>
          <t>Silverline Medicare Advantage</t>
        </is>
      </c>
      <c r="D637" t="inlineStr">
        <is>
          <t>Inpatient</t>
        </is>
      </c>
      <c r="E637" s="29" t="n">
        <v>45739</v>
      </c>
      <c r="F637" s="29" t="n">
        <v>45744</v>
      </c>
      <c r="G637" s="31" t="n">
        <v>51311.54</v>
      </c>
      <c r="H637" s="31" t="n">
        <v>14326.21</v>
      </c>
      <c r="I637" t="inlineStr">
        <is>
          <t>Paid</t>
        </is>
      </c>
      <c r="K637" s="29" t="n">
        <v>45768</v>
      </c>
      <c r="L637" s="33" t="n"/>
    </row>
    <row r="638">
      <c r="A638" t="inlineStr">
        <is>
          <t>CLM513305</t>
        </is>
      </c>
      <c r="B638" t="inlineStr">
        <is>
          <t>ENC113305</t>
        </is>
      </c>
      <c r="C638" t="inlineStr">
        <is>
          <t>State Medicaid</t>
        </is>
      </c>
      <c r="D638" t="inlineStr">
        <is>
          <t>Inpatient</t>
        </is>
      </c>
      <c r="E638" s="29" t="n">
        <v>45735</v>
      </c>
      <c r="F638" s="29" t="n">
        <v>45738</v>
      </c>
      <c r="G638" s="31" t="n">
        <v>11780.94</v>
      </c>
      <c r="H638" s="31" t="n">
        <v>2646.37</v>
      </c>
      <c r="I638" t="inlineStr">
        <is>
          <t>Paid</t>
        </is>
      </c>
      <c r="K638" s="29" t="n">
        <v>45755</v>
      </c>
      <c r="L638" s="33" t="n"/>
    </row>
    <row r="639">
      <c r="A639" t="inlineStr">
        <is>
          <t>CLM513308</t>
        </is>
      </c>
      <c r="B639" t="inlineStr">
        <is>
          <t>ENC113308</t>
        </is>
      </c>
      <c r="C639" t="inlineStr">
        <is>
          <t>Self-Pay</t>
        </is>
      </c>
      <c r="D639" t="inlineStr">
        <is>
          <t>Inpatient</t>
        </is>
      </c>
      <c r="E639" s="29" t="n">
        <v>45735</v>
      </c>
      <c r="F639" s="29" t="n">
        <v>45746</v>
      </c>
      <c r="G639" s="31" t="n">
        <v>29297.3</v>
      </c>
      <c r="H639" s="31" t="n">
        <v>2066.3</v>
      </c>
      <c r="I639" t="inlineStr">
        <is>
          <t>Partially Paid</t>
        </is>
      </c>
      <c r="K639" s="29" t="n">
        <v>45831</v>
      </c>
      <c r="L639" s="33" t="n"/>
    </row>
    <row r="640">
      <c r="A640" t="inlineStr">
        <is>
          <t>CLM513309</t>
        </is>
      </c>
      <c r="B640" t="inlineStr">
        <is>
          <t>ENC113309</t>
        </is>
      </c>
      <c r="C640" t="inlineStr">
        <is>
          <t>Keystone Health Partners</t>
        </is>
      </c>
      <c r="D640" t="inlineStr">
        <is>
          <t>Observation</t>
        </is>
      </c>
      <c r="E640" s="29" t="n">
        <v>45732</v>
      </c>
      <c r="F640" s="29" t="n">
        <v>45733</v>
      </c>
      <c r="G640" s="31" t="n">
        <v>8381.120000000001</v>
      </c>
      <c r="H640" s="31" t="n">
        <v>4023.59</v>
      </c>
      <c r="I640" t="inlineStr">
        <is>
          <t>Paid</t>
        </is>
      </c>
      <c r="K640" s="29" t="n">
        <v>45749</v>
      </c>
      <c r="L640" s="33" t="n"/>
    </row>
    <row r="641">
      <c r="A641" t="inlineStr">
        <is>
          <t>CLM513311</t>
        </is>
      </c>
      <c r="B641" t="inlineStr">
        <is>
          <t>ENC113311</t>
        </is>
      </c>
      <c r="C641" t="inlineStr">
        <is>
          <t>Keystone Health Partners</t>
        </is>
      </c>
      <c r="D641" t="inlineStr">
        <is>
          <t>Emergency</t>
        </is>
      </c>
      <c r="E641" s="29" t="n">
        <v>45732</v>
      </c>
      <c r="F641" s="29" t="n">
        <v>45736</v>
      </c>
      <c r="G641" s="31" t="n">
        <v>3893</v>
      </c>
      <c r="H641" s="31" t="n">
        <v>1579.78</v>
      </c>
      <c r="I641" t="inlineStr">
        <is>
          <t>Paid</t>
        </is>
      </c>
      <c r="K641" s="29" t="n">
        <v>45767</v>
      </c>
      <c r="L641" s="33" t="n"/>
    </row>
    <row r="642">
      <c r="A642" t="inlineStr">
        <is>
          <t>CLM513319</t>
        </is>
      </c>
      <c r="B642" t="inlineStr">
        <is>
          <t>ENC113319</t>
        </is>
      </c>
      <c r="C642" t="inlineStr">
        <is>
          <t>Evergreen Mutual Insurance</t>
        </is>
      </c>
      <c r="D642" t="inlineStr">
        <is>
          <t>Observation</t>
        </is>
      </c>
      <c r="E642" s="29" t="n">
        <v>45733</v>
      </c>
      <c r="F642" s="29" t="n">
        <v>45742</v>
      </c>
      <c r="G642" s="31" t="n">
        <v>6983.53</v>
      </c>
      <c r="H642" s="31" t="n">
        <v>2955.61</v>
      </c>
      <c r="I642" t="inlineStr">
        <is>
          <t>Paid</t>
        </is>
      </c>
      <c r="K642" s="29" t="n">
        <v>45783</v>
      </c>
      <c r="L642" s="33" t="n"/>
    </row>
    <row r="643">
      <c r="A643" t="inlineStr">
        <is>
          <t>CLM513324</t>
        </is>
      </c>
      <c r="B643" t="inlineStr">
        <is>
          <t>ENC113324</t>
        </is>
      </c>
      <c r="C643" t="inlineStr">
        <is>
          <t>Silverline Medicare Advantage</t>
        </is>
      </c>
      <c r="D643" t="inlineStr">
        <is>
          <t>Inpatient</t>
        </is>
      </c>
      <c r="E643" s="29" t="n">
        <v>45739</v>
      </c>
      <c r="F643" s="29" t="n">
        <v>45748</v>
      </c>
      <c r="G643" s="31" t="n">
        <v>29577.11</v>
      </c>
      <c r="H643" s="31" t="n">
        <v>8460.360000000001</v>
      </c>
      <c r="I643" t="inlineStr">
        <is>
          <t>Paid</t>
        </is>
      </c>
      <c r="K643" s="29" t="n">
        <v>45777</v>
      </c>
      <c r="L643" s="33" t="n"/>
    </row>
    <row r="644">
      <c r="A644" t="inlineStr">
        <is>
          <t>CLM513325</t>
        </is>
      </c>
      <c r="B644" t="inlineStr">
        <is>
          <t>ENC113325</t>
        </is>
      </c>
      <c r="C644" t="inlineStr">
        <is>
          <t>Self-Pay</t>
        </is>
      </c>
      <c r="D644" t="inlineStr">
        <is>
          <t>Inpatient</t>
        </is>
      </c>
      <c r="E644" s="29" t="n">
        <v>45741</v>
      </c>
      <c r="F644" s="29" t="n">
        <v>45745</v>
      </c>
      <c r="G644" s="31" t="n">
        <v>59145.9</v>
      </c>
      <c r="H644" s="31" t="n">
        <v>3050.41</v>
      </c>
      <c r="I644" t="inlineStr">
        <is>
          <t>Partially Paid</t>
        </is>
      </c>
      <c r="K644" s="29" t="n">
        <v>45799</v>
      </c>
      <c r="L644" s="33" t="n"/>
    </row>
    <row r="645">
      <c r="A645" t="inlineStr">
        <is>
          <t>CLM513327</t>
        </is>
      </c>
      <c r="B645" t="inlineStr">
        <is>
          <t>ENC113327</t>
        </is>
      </c>
      <c r="C645" t="inlineStr">
        <is>
          <t>Self-Pay</t>
        </is>
      </c>
      <c r="D645" t="inlineStr">
        <is>
          <t>Inpatient</t>
        </is>
      </c>
      <c r="E645" s="29" t="n">
        <v>45740</v>
      </c>
      <c r="F645" s="29" t="n">
        <v>45744</v>
      </c>
      <c r="G645" s="31" t="n">
        <v>24708.91</v>
      </c>
      <c r="H645" s="31" t="n">
        <v>4981.38</v>
      </c>
      <c r="I645" t="inlineStr">
        <is>
          <t>Partially Paid</t>
        </is>
      </c>
      <c r="K645" s="29" t="n">
        <v>45794</v>
      </c>
      <c r="L645" s="33" t="n"/>
    </row>
    <row r="646">
      <c r="A646" t="inlineStr">
        <is>
          <t>CLM513333</t>
        </is>
      </c>
      <c r="B646" t="inlineStr">
        <is>
          <t>ENC113333</t>
        </is>
      </c>
      <c r="C646" t="inlineStr">
        <is>
          <t>State Medicaid</t>
        </is>
      </c>
      <c r="D646" t="inlineStr">
        <is>
          <t>Emergency</t>
        </is>
      </c>
      <c r="E646" s="29" t="n">
        <v>45733</v>
      </c>
      <c r="F646" s="29" t="n">
        <v>45735</v>
      </c>
      <c r="G646" s="31" t="n">
        <v>2037.6</v>
      </c>
      <c r="H646" s="31" t="n">
        <v>430.2</v>
      </c>
      <c r="I646" t="inlineStr">
        <is>
          <t>Paid</t>
        </is>
      </c>
      <c r="K646" s="29" t="n">
        <v>45786</v>
      </c>
      <c r="L646" s="33" t="n"/>
    </row>
    <row r="647">
      <c r="A647" t="inlineStr">
        <is>
          <t>CLM513336</t>
        </is>
      </c>
      <c r="B647" t="inlineStr">
        <is>
          <t>ENC113336</t>
        </is>
      </c>
      <c r="C647" t="inlineStr">
        <is>
          <t>Summit Choice PPO</t>
        </is>
      </c>
      <c r="D647" t="inlineStr">
        <is>
          <t>Observation</t>
        </is>
      </c>
      <c r="E647" s="29" t="n">
        <v>45734</v>
      </c>
      <c r="F647" s="29" t="n">
        <v>45735</v>
      </c>
      <c r="G647" s="31" t="n">
        <v>5511.06</v>
      </c>
      <c r="H647" s="31" t="n">
        <v>2584.18</v>
      </c>
      <c r="I647" t="inlineStr">
        <is>
          <t>Paid</t>
        </is>
      </c>
      <c r="K647" s="29" t="n">
        <v>45750</v>
      </c>
      <c r="L647" s="33" t="n"/>
    </row>
    <row r="648">
      <c r="A648" t="inlineStr">
        <is>
          <t>CLM513337</t>
        </is>
      </c>
      <c r="B648" t="inlineStr">
        <is>
          <t>ENC113337</t>
        </is>
      </c>
      <c r="C648" t="inlineStr">
        <is>
          <t>Medicare</t>
        </is>
      </c>
      <c r="D648" t="inlineStr">
        <is>
          <t>Emergency</t>
        </is>
      </c>
      <c r="E648" s="29" t="n">
        <v>45733</v>
      </c>
      <c r="F648" s="29" t="n">
        <v>45739</v>
      </c>
      <c r="G648" s="31" t="n">
        <v>1389.41</v>
      </c>
      <c r="H648" s="31" t="n">
        <v>353.59</v>
      </c>
      <c r="I648" t="inlineStr">
        <is>
          <t>Paid</t>
        </is>
      </c>
      <c r="K648" s="29" t="n">
        <v>45752</v>
      </c>
      <c r="L648" s="33" t="n"/>
    </row>
    <row r="649">
      <c r="A649" t="inlineStr">
        <is>
          <t>CLM513338</t>
        </is>
      </c>
      <c r="B649" t="inlineStr">
        <is>
          <t>ENC113338</t>
        </is>
      </c>
      <c r="C649" t="inlineStr">
        <is>
          <t>Silverline Medicare Advantage</t>
        </is>
      </c>
      <c r="D649" t="inlineStr">
        <is>
          <t>Emergency</t>
        </is>
      </c>
      <c r="E649" s="29" t="n">
        <v>45733</v>
      </c>
      <c r="F649" s="29" t="n">
        <v>45736</v>
      </c>
      <c r="G649" s="31" t="n">
        <v>1536.73</v>
      </c>
      <c r="H649" s="31" t="n">
        <v>492.88</v>
      </c>
      <c r="I649" t="inlineStr">
        <is>
          <t>Paid</t>
        </is>
      </c>
      <c r="K649" s="29" t="n">
        <v>45772</v>
      </c>
      <c r="L649" s="33" t="n"/>
    </row>
    <row r="650">
      <c r="A650" t="inlineStr">
        <is>
          <t>CLM513340</t>
        </is>
      </c>
      <c r="B650" t="inlineStr">
        <is>
          <t>ENC113340</t>
        </is>
      </c>
      <c r="C650" t="inlineStr">
        <is>
          <t>Medicare</t>
        </is>
      </c>
      <c r="D650" t="inlineStr">
        <is>
          <t>Inpatient</t>
        </is>
      </c>
      <c r="E650" s="29" t="n">
        <v>45738</v>
      </c>
      <c r="F650" s="29" t="n">
        <v>45744</v>
      </c>
      <c r="G650" s="31" t="n">
        <v>16881.86</v>
      </c>
      <c r="H650" s="31" t="n">
        <v>5006.55</v>
      </c>
      <c r="I650" t="inlineStr">
        <is>
          <t>Paid</t>
        </is>
      </c>
      <c r="K650" s="29" t="n">
        <v>45760</v>
      </c>
      <c r="L650" s="33" t="n"/>
    </row>
    <row r="651">
      <c r="A651" t="inlineStr">
        <is>
          <t>CLM513345</t>
        </is>
      </c>
      <c r="B651" t="inlineStr">
        <is>
          <t>ENC113345</t>
        </is>
      </c>
      <c r="C651" t="inlineStr">
        <is>
          <t>Evergreen Mutual Insurance</t>
        </is>
      </c>
      <c r="D651" t="inlineStr">
        <is>
          <t>Outpatient</t>
        </is>
      </c>
      <c r="E651" s="29" t="n">
        <v>45733</v>
      </c>
      <c r="F651" s="29" t="n">
        <v>45737</v>
      </c>
      <c r="G651" s="31" t="n">
        <v>174</v>
      </c>
      <c r="H651" s="31" t="n">
        <v>75.40000000000001</v>
      </c>
      <c r="I651" t="inlineStr">
        <is>
          <t>Paid</t>
        </is>
      </c>
      <c r="K651" s="29" t="n">
        <v>45760</v>
      </c>
      <c r="L651" s="33" t="n"/>
    </row>
    <row r="652">
      <c r="A652" t="inlineStr">
        <is>
          <t>CLM513348</t>
        </is>
      </c>
      <c r="B652" t="inlineStr">
        <is>
          <t>ENC113348</t>
        </is>
      </c>
      <c r="C652" t="inlineStr">
        <is>
          <t>Keystone Health Partners</t>
        </is>
      </c>
      <c r="D652" t="inlineStr">
        <is>
          <t>Outpatient</t>
        </is>
      </c>
      <c r="E652" s="29" t="n">
        <v>45733</v>
      </c>
      <c r="F652" s="29" t="n">
        <v>45738</v>
      </c>
      <c r="G652" s="31" t="n">
        <v>346.77</v>
      </c>
      <c r="H652" s="31" t="n">
        <v>161.9</v>
      </c>
      <c r="I652" t="inlineStr">
        <is>
          <t>Paid</t>
        </is>
      </c>
      <c r="K652" s="29" t="n">
        <v>45772</v>
      </c>
      <c r="L652" s="33" t="n"/>
    </row>
    <row r="653">
      <c r="A653" t="inlineStr">
        <is>
          <t>CLM513349</t>
        </is>
      </c>
      <c r="B653" t="inlineStr">
        <is>
          <t>ENC113349</t>
        </is>
      </c>
      <c r="C653" t="inlineStr">
        <is>
          <t>State Medicaid</t>
        </is>
      </c>
      <c r="D653" t="inlineStr">
        <is>
          <t>Emergency</t>
        </is>
      </c>
      <c r="E653" s="29" t="n">
        <v>45733</v>
      </c>
      <c r="F653" s="29" t="n">
        <v>45739</v>
      </c>
      <c r="G653" s="31" t="n">
        <v>3472.44</v>
      </c>
      <c r="H653" s="31" t="n">
        <v>851.6799999999999</v>
      </c>
      <c r="I653" t="inlineStr">
        <is>
          <t>Paid</t>
        </is>
      </c>
      <c r="K653" s="29" t="n">
        <v>45793</v>
      </c>
      <c r="L653" s="33" t="n"/>
    </row>
    <row r="654">
      <c r="A654" t="inlineStr">
        <is>
          <t>CLM513355</t>
        </is>
      </c>
      <c r="B654" t="inlineStr">
        <is>
          <t>ENC113355</t>
        </is>
      </c>
      <c r="C654" t="inlineStr">
        <is>
          <t>Summit Choice PPO</t>
        </is>
      </c>
      <c r="D654" t="inlineStr">
        <is>
          <t>Emergency</t>
        </is>
      </c>
      <c r="E654" s="29" t="n">
        <v>45733</v>
      </c>
      <c r="F654" s="29" t="n">
        <v>45741</v>
      </c>
      <c r="G654" s="31" t="n">
        <v>3713.56</v>
      </c>
      <c r="H654" s="31" t="n">
        <v>0</v>
      </c>
      <c r="I654" t="inlineStr">
        <is>
          <t>Appealed</t>
        </is>
      </c>
      <c r="J654" t="inlineStr">
        <is>
          <t>Coding Error</t>
        </is>
      </c>
      <c r="L654" s="33" t="n"/>
    </row>
    <row r="655">
      <c r="A655" t="inlineStr">
        <is>
          <t>CLM513359</t>
        </is>
      </c>
      <c r="B655" t="inlineStr">
        <is>
          <t>ENC113359</t>
        </is>
      </c>
      <c r="C655" t="inlineStr">
        <is>
          <t>State Medicaid</t>
        </is>
      </c>
      <c r="D655" t="inlineStr">
        <is>
          <t>Observation</t>
        </is>
      </c>
      <c r="E655" s="29" t="n">
        <v>45735</v>
      </c>
      <c r="F655" s="29" t="n">
        <v>45737</v>
      </c>
      <c r="G655" s="31" t="n">
        <v>8623.040000000001</v>
      </c>
      <c r="H655" s="31" t="n">
        <v>2063.26</v>
      </c>
      <c r="I655" t="inlineStr">
        <is>
          <t>Paid</t>
        </is>
      </c>
      <c r="K655" s="29" t="n">
        <v>45756</v>
      </c>
      <c r="L655" s="33" t="n"/>
    </row>
    <row r="656">
      <c r="A656" t="inlineStr">
        <is>
          <t>CLM513363</t>
        </is>
      </c>
      <c r="B656" t="inlineStr">
        <is>
          <t>ENC113363</t>
        </is>
      </c>
      <c r="C656" t="inlineStr">
        <is>
          <t>Keystone Health Partners</t>
        </is>
      </c>
      <c r="D656" t="inlineStr">
        <is>
          <t>Inpatient</t>
        </is>
      </c>
      <c r="E656" s="29" t="n">
        <v>45739</v>
      </c>
      <c r="F656" s="29" t="n">
        <v>45744</v>
      </c>
      <c r="G656" s="31" t="n">
        <v>22143.82</v>
      </c>
      <c r="H656" s="31" t="n">
        <v>10078.62</v>
      </c>
      <c r="I656" t="inlineStr">
        <is>
          <t>Paid</t>
        </is>
      </c>
      <c r="K656" s="29" t="n">
        <v>45770</v>
      </c>
      <c r="L656" s="33" t="n"/>
    </row>
    <row r="657">
      <c r="A657" t="inlineStr">
        <is>
          <t>CLM513365</t>
        </is>
      </c>
      <c r="B657" t="inlineStr">
        <is>
          <t>ENC113365</t>
        </is>
      </c>
      <c r="C657" t="inlineStr">
        <is>
          <t>Summit Choice PPO</t>
        </is>
      </c>
      <c r="D657" t="inlineStr">
        <is>
          <t>Inpatient</t>
        </is>
      </c>
      <c r="E657" s="29" t="n">
        <v>45749</v>
      </c>
      <c r="F657" s="29" t="n">
        <v>45751</v>
      </c>
      <c r="G657" s="31" t="n">
        <v>125594.18</v>
      </c>
      <c r="H657" s="31" t="n">
        <v>39099.23</v>
      </c>
      <c r="I657" t="inlineStr">
        <is>
          <t>Partially Paid</t>
        </is>
      </c>
      <c r="J657" t="inlineStr">
        <is>
          <t>Coding Error</t>
        </is>
      </c>
      <c r="K657" s="29" t="n">
        <v>45785</v>
      </c>
      <c r="L657" s="33" t="n"/>
    </row>
    <row r="658">
      <c r="A658" t="inlineStr">
        <is>
          <t>CLM513368</t>
        </is>
      </c>
      <c r="B658" t="inlineStr">
        <is>
          <t>ENC113368</t>
        </is>
      </c>
      <c r="C658" t="inlineStr">
        <is>
          <t>Evergreen Mutual Insurance</t>
        </is>
      </c>
      <c r="D658" t="inlineStr">
        <is>
          <t>Emergency</t>
        </is>
      </c>
      <c r="E658" s="29" t="n">
        <v>45734</v>
      </c>
      <c r="F658" s="29" t="n">
        <v>45735</v>
      </c>
      <c r="G658" s="31" t="n">
        <v>916.96</v>
      </c>
      <c r="H658" s="31" t="n">
        <v>403.59</v>
      </c>
      <c r="I658" t="inlineStr">
        <is>
          <t>Paid</t>
        </is>
      </c>
      <c r="K658" s="29" t="n">
        <v>45764</v>
      </c>
      <c r="L658" s="33" t="n"/>
    </row>
    <row r="659">
      <c r="A659" t="inlineStr">
        <is>
          <t>CLM513372</t>
        </is>
      </c>
      <c r="B659" t="inlineStr">
        <is>
          <t>ENC113372</t>
        </is>
      </c>
      <c r="C659" t="inlineStr">
        <is>
          <t>Keystone Health Partners</t>
        </is>
      </c>
      <c r="D659" t="inlineStr">
        <is>
          <t>Emergency</t>
        </is>
      </c>
      <c r="E659" s="29" t="n">
        <v>45734</v>
      </c>
      <c r="F659" s="29" t="n">
        <v>45736</v>
      </c>
      <c r="G659" s="31" t="n">
        <v>1540.26</v>
      </c>
      <c r="H659" s="31" t="n">
        <v>699.73</v>
      </c>
      <c r="I659" t="inlineStr">
        <is>
          <t>Paid</t>
        </is>
      </c>
      <c r="K659" s="29" t="n">
        <v>45764</v>
      </c>
      <c r="L659" s="33" t="n"/>
    </row>
    <row r="660">
      <c r="A660" t="inlineStr">
        <is>
          <t>CLM513375</t>
        </is>
      </c>
      <c r="B660" t="inlineStr">
        <is>
          <t>ENC113375</t>
        </is>
      </c>
      <c r="C660" t="inlineStr">
        <is>
          <t>Medicare</t>
        </is>
      </c>
      <c r="D660" t="inlineStr">
        <is>
          <t>Inpatient</t>
        </is>
      </c>
      <c r="E660" s="29" t="n">
        <v>45737</v>
      </c>
      <c r="F660" s="29" t="n">
        <v>45739</v>
      </c>
      <c r="G660" s="31" t="n">
        <v>38565.32</v>
      </c>
      <c r="H660" s="31" t="n">
        <v>10603.3</v>
      </c>
      <c r="I660" t="inlineStr">
        <is>
          <t>Paid</t>
        </is>
      </c>
      <c r="K660" s="29" t="n">
        <v>45750</v>
      </c>
      <c r="L660" s="33" t="n"/>
    </row>
    <row r="661">
      <c r="A661" t="inlineStr">
        <is>
          <t>CLM513383</t>
        </is>
      </c>
      <c r="B661" t="inlineStr">
        <is>
          <t>ENC113383</t>
        </is>
      </c>
      <c r="C661" t="inlineStr">
        <is>
          <t>Keystone Health Partners</t>
        </is>
      </c>
      <c r="D661" t="inlineStr">
        <is>
          <t>Outpatient</t>
        </is>
      </c>
      <c r="E661" s="29" t="n">
        <v>45734</v>
      </c>
      <c r="F661" s="29" t="n">
        <v>45746</v>
      </c>
      <c r="G661" s="31" t="n">
        <v>510.16</v>
      </c>
      <c r="H661" s="31" t="n">
        <v>233.16</v>
      </c>
      <c r="I661" t="inlineStr">
        <is>
          <t>Paid</t>
        </is>
      </c>
      <c r="K661" s="29" t="n">
        <v>45767</v>
      </c>
      <c r="L661" s="33" t="n"/>
    </row>
    <row r="662">
      <c r="A662" t="inlineStr">
        <is>
          <t>CLM513386</t>
        </is>
      </c>
      <c r="B662" t="inlineStr">
        <is>
          <t>ENC113386</t>
        </is>
      </c>
      <c r="C662" t="inlineStr">
        <is>
          <t>Self-Pay</t>
        </is>
      </c>
      <c r="D662" t="inlineStr">
        <is>
          <t>Outpatient</t>
        </is>
      </c>
      <c r="E662" s="29" t="n">
        <v>45734</v>
      </c>
      <c r="F662" s="29" t="n">
        <v>45736</v>
      </c>
      <c r="G662" s="31" t="n">
        <v>399.45</v>
      </c>
      <c r="H662" s="31" t="n">
        <v>160.4</v>
      </c>
      <c r="I662" t="inlineStr">
        <is>
          <t>Paid</t>
        </is>
      </c>
      <c r="K662" s="29" t="n">
        <v>45804</v>
      </c>
      <c r="L662" s="33" t="n"/>
    </row>
    <row r="663">
      <c r="A663" t="inlineStr">
        <is>
          <t>CLM513396</t>
        </is>
      </c>
      <c r="B663" t="inlineStr">
        <is>
          <t>ENC113396</t>
        </is>
      </c>
      <c r="C663" t="inlineStr">
        <is>
          <t>Summit Choice PPO</t>
        </is>
      </c>
      <c r="D663" t="inlineStr">
        <is>
          <t>Outpatient</t>
        </is>
      </c>
      <c r="E663" s="29" t="n">
        <v>45734</v>
      </c>
      <c r="F663" s="29" t="n">
        <v>45742</v>
      </c>
      <c r="G663" s="31" t="n">
        <v>361.99</v>
      </c>
      <c r="H663" s="31" t="n">
        <v>162.14</v>
      </c>
      <c r="I663" t="inlineStr">
        <is>
          <t>Paid</t>
        </is>
      </c>
      <c r="K663" s="29" t="n">
        <v>45767</v>
      </c>
      <c r="L663" s="33" t="n"/>
    </row>
    <row r="664">
      <c r="A664" t="inlineStr">
        <is>
          <t>CLM513402</t>
        </is>
      </c>
      <c r="B664" t="inlineStr">
        <is>
          <t>ENC113402</t>
        </is>
      </c>
      <c r="C664" t="inlineStr">
        <is>
          <t>State Medicaid</t>
        </is>
      </c>
      <c r="D664" t="inlineStr">
        <is>
          <t>Emergency</t>
        </is>
      </c>
      <c r="E664" s="29" t="n">
        <v>45734</v>
      </c>
      <c r="F664" s="29" t="n">
        <v>45739</v>
      </c>
      <c r="G664" s="31" t="n">
        <v>3348.83</v>
      </c>
      <c r="H664" s="31" t="n">
        <v>797.6</v>
      </c>
      <c r="I664" t="inlineStr">
        <is>
          <t>Paid</t>
        </is>
      </c>
      <c r="K664" s="29" t="n">
        <v>45787</v>
      </c>
      <c r="L664" s="33" t="n"/>
    </row>
    <row r="665">
      <c r="A665" t="inlineStr">
        <is>
          <t>CLM513404</t>
        </is>
      </c>
      <c r="B665" t="inlineStr">
        <is>
          <t>ENC113404</t>
        </is>
      </c>
      <c r="C665" t="inlineStr">
        <is>
          <t>Summit Choice PPO</t>
        </is>
      </c>
      <c r="D665" t="inlineStr">
        <is>
          <t>Observation</t>
        </is>
      </c>
      <c r="E665" s="29" t="n">
        <v>45735</v>
      </c>
      <c r="F665" s="29" t="n">
        <v>45738</v>
      </c>
      <c r="G665" s="31" t="n">
        <v>9683.969999999999</v>
      </c>
      <c r="H665" s="31" t="n">
        <v>4523.1</v>
      </c>
      <c r="I665" t="inlineStr">
        <is>
          <t>Paid</t>
        </is>
      </c>
      <c r="K665" s="29" t="n">
        <v>45758</v>
      </c>
      <c r="L665" s="33" t="n"/>
    </row>
    <row r="666">
      <c r="A666" t="inlineStr">
        <is>
          <t>CLM513408</t>
        </is>
      </c>
      <c r="B666" t="inlineStr">
        <is>
          <t>ENC113408</t>
        </is>
      </c>
      <c r="C666" t="inlineStr">
        <is>
          <t>Summit Choice PPO</t>
        </is>
      </c>
      <c r="D666" t="inlineStr">
        <is>
          <t>Emergency</t>
        </is>
      </c>
      <c r="E666" s="29" t="n">
        <v>45735</v>
      </c>
      <c r="F666" s="29" t="n">
        <v>45739</v>
      </c>
      <c r="G666" s="31" t="n">
        <v>626.54</v>
      </c>
      <c r="H666" s="31" t="n">
        <v>172.12</v>
      </c>
      <c r="I666" t="inlineStr">
        <is>
          <t>Partially Paid</t>
        </is>
      </c>
      <c r="J666" t="inlineStr">
        <is>
          <t>Coding Error</t>
        </is>
      </c>
      <c r="K666" s="29" t="n">
        <v>45769</v>
      </c>
      <c r="L666" s="33" t="n"/>
    </row>
    <row r="667">
      <c r="A667" t="inlineStr">
        <is>
          <t>CLM513409</t>
        </is>
      </c>
      <c r="B667" t="inlineStr">
        <is>
          <t>ENC113409</t>
        </is>
      </c>
      <c r="C667" t="inlineStr">
        <is>
          <t>Self-Pay</t>
        </is>
      </c>
      <c r="D667" t="inlineStr">
        <is>
          <t>Emergency</t>
        </is>
      </c>
      <c r="E667" s="29" t="n">
        <v>45735</v>
      </c>
      <c r="F667" s="29" t="n">
        <v>45738</v>
      </c>
      <c r="G667" s="31" t="n">
        <v>1299.39</v>
      </c>
      <c r="H667" s="31" t="n">
        <v>0</v>
      </c>
      <c r="I667" t="inlineStr">
        <is>
          <t>Pending</t>
        </is>
      </c>
      <c r="L667" s="33" t="n"/>
    </row>
    <row r="668">
      <c r="A668" t="inlineStr">
        <is>
          <t>CLM513411</t>
        </is>
      </c>
      <c r="B668" t="inlineStr">
        <is>
          <t>ENC113411</t>
        </is>
      </c>
      <c r="C668" t="inlineStr">
        <is>
          <t>Silverline Medicare Advantage</t>
        </is>
      </c>
      <c r="D668" t="inlineStr">
        <is>
          <t>Outpatient</t>
        </is>
      </c>
      <c r="E668" s="29" t="n">
        <v>45735</v>
      </c>
      <c r="F668" s="29" t="n">
        <v>45740</v>
      </c>
      <c r="G668" s="31" t="n">
        <v>507.36</v>
      </c>
      <c r="H668" s="31" t="n">
        <v>151.05</v>
      </c>
      <c r="I668" t="inlineStr">
        <is>
          <t>Paid</t>
        </is>
      </c>
      <c r="K668" s="29" t="n">
        <v>45797</v>
      </c>
      <c r="L668" s="33" t="n"/>
    </row>
    <row r="669">
      <c r="A669" t="inlineStr">
        <is>
          <t>CLM513412</t>
        </is>
      </c>
      <c r="B669" t="inlineStr">
        <is>
          <t>ENC113412</t>
        </is>
      </c>
      <c r="C669" t="inlineStr">
        <is>
          <t>State Medicaid</t>
        </is>
      </c>
      <c r="D669" t="inlineStr">
        <is>
          <t>Emergency</t>
        </is>
      </c>
      <c r="E669" s="29" t="n">
        <v>45735</v>
      </c>
      <c r="F669" s="29" t="n">
        <v>45743</v>
      </c>
      <c r="G669" s="31" t="n">
        <v>3075.87</v>
      </c>
      <c r="H669" s="31" t="n">
        <v>711.88</v>
      </c>
      <c r="I669" t="inlineStr">
        <is>
          <t>Paid</t>
        </is>
      </c>
      <c r="K669" s="29" t="n">
        <v>45781</v>
      </c>
      <c r="L669" s="33" t="n"/>
    </row>
    <row r="670">
      <c r="A670" t="inlineStr">
        <is>
          <t>CLM513420</t>
        </is>
      </c>
      <c r="B670" t="inlineStr">
        <is>
          <t>ENC113420</t>
        </is>
      </c>
      <c r="C670" t="inlineStr">
        <is>
          <t>Keystone Health Partners</t>
        </is>
      </c>
      <c r="D670" t="inlineStr">
        <is>
          <t>Outpatient</t>
        </is>
      </c>
      <c r="E670" s="29" t="n">
        <v>45735</v>
      </c>
      <c r="F670" s="29" t="n">
        <v>45737</v>
      </c>
      <c r="G670" s="31" t="n">
        <v>10980.16</v>
      </c>
      <c r="H670" s="31" t="n">
        <v>4409.26</v>
      </c>
      <c r="I670" t="inlineStr">
        <is>
          <t>Paid</t>
        </is>
      </c>
      <c r="K670" s="29" t="n">
        <v>45769</v>
      </c>
      <c r="L670" s="33" t="n"/>
    </row>
    <row r="671">
      <c r="A671" t="inlineStr">
        <is>
          <t>CLM513425</t>
        </is>
      </c>
      <c r="B671" t="inlineStr">
        <is>
          <t>ENC113425</t>
        </is>
      </c>
      <c r="C671" t="inlineStr">
        <is>
          <t>Evergreen Mutual Insurance</t>
        </is>
      </c>
      <c r="D671" t="inlineStr">
        <is>
          <t>Outpatient</t>
        </is>
      </c>
      <c r="E671" s="29" t="n">
        <v>45735</v>
      </c>
      <c r="F671" s="29" t="n">
        <v>45737</v>
      </c>
      <c r="G671" s="31" t="n">
        <v>239.76</v>
      </c>
      <c r="H671" s="31" t="n">
        <v>84.97</v>
      </c>
      <c r="I671" t="inlineStr">
        <is>
          <t>Paid</t>
        </is>
      </c>
      <c r="K671" s="29" t="n">
        <v>45764</v>
      </c>
      <c r="L671" s="33" t="n"/>
    </row>
    <row r="672">
      <c r="A672" t="inlineStr">
        <is>
          <t>CLM513429</t>
        </is>
      </c>
      <c r="B672" t="inlineStr">
        <is>
          <t>ENC113429</t>
        </is>
      </c>
      <c r="C672" t="inlineStr">
        <is>
          <t>Medicare</t>
        </is>
      </c>
      <c r="D672" t="inlineStr">
        <is>
          <t>Outpatient</t>
        </is>
      </c>
      <c r="E672" s="29" t="n">
        <v>45735</v>
      </c>
      <c r="F672" s="29" t="n">
        <v>45738</v>
      </c>
      <c r="G672" s="31" t="n">
        <v>378.02</v>
      </c>
      <c r="H672" s="31" t="n">
        <v>0</v>
      </c>
      <c r="I672" t="inlineStr">
        <is>
          <t>Denied</t>
        </is>
      </c>
      <c r="J672" t="inlineStr">
        <is>
          <t>Eligibility / Coverage</t>
        </is>
      </c>
      <c r="L672" s="33" t="n"/>
    </row>
    <row r="673">
      <c r="A673" t="inlineStr">
        <is>
          <t>CLM513430</t>
        </is>
      </c>
      <c r="B673" t="inlineStr">
        <is>
          <t>ENC113430</t>
        </is>
      </c>
      <c r="C673" t="inlineStr">
        <is>
          <t>Medicare</t>
        </is>
      </c>
      <c r="D673" t="inlineStr">
        <is>
          <t>Outpatient</t>
        </is>
      </c>
      <c r="E673" s="29" t="n">
        <v>45735</v>
      </c>
      <c r="F673" s="29" t="n">
        <v>45831</v>
      </c>
      <c r="G673" s="31" t="n">
        <v>185.5</v>
      </c>
      <c r="H673" s="31" t="n">
        <v>49.96</v>
      </c>
      <c r="I673" t="inlineStr">
        <is>
          <t>Paid</t>
        </is>
      </c>
      <c r="K673" s="29" t="n">
        <v>45847</v>
      </c>
      <c r="L673" s="33" t="n"/>
    </row>
    <row r="674">
      <c r="A674" t="inlineStr">
        <is>
          <t>CLM513437</t>
        </is>
      </c>
      <c r="B674" t="inlineStr">
        <is>
          <t>ENC113437</t>
        </is>
      </c>
      <c r="C674" t="inlineStr">
        <is>
          <t>Keystone Health Partners</t>
        </is>
      </c>
      <c r="D674" t="inlineStr">
        <is>
          <t>Emergency</t>
        </is>
      </c>
      <c r="E674" s="29" t="n">
        <v>45735</v>
      </c>
      <c r="F674" s="29" t="n">
        <v>45738</v>
      </c>
      <c r="G674" s="31" t="n">
        <v>3105.29</v>
      </c>
      <c r="H674" s="31" t="n">
        <v>0</v>
      </c>
      <c r="I674" t="inlineStr">
        <is>
          <t>Denied</t>
        </is>
      </c>
      <c r="J674" t="inlineStr">
        <is>
          <t>Authorization Required</t>
        </is>
      </c>
      <c r="L674" s="33" t="n"/>
    </row>
    <row r="675">
      <c r="A675" t="inlineStr">
        <is>
          <t>CLM513440</t>
        </is>
      </c>
      <c r="B675" t="inlineStr">
        <is>
          <t>ENC113440</t>
        </is>
      </c>
      <c r="C675" t="inlineStr">
        <is>
          <t>Keystone Health Partners</t>
        </is>
      </c>
      <c r="D675" t="inlineStr">
        <is>
          <t>Emergency</t>
        </is>
      </c>
      <c r="E675" s="29" t="n">
        <v>45735</v>
      </c>
      <c r="F675" s="29" t="n">
        <v>45738</v>
      </c>
      <c r="G675" s="31" t="n">
        <v>2857.47</v>
      </c>
      <c r="H675" s="31" t="n">
        <v>1264.38</v>
      </c>
      <c r="I675" t="inlineStr">
        <is>
          <t>Paid</t>
        </is>
      </c>
      <c r="K675" s="29" t="n">
        <v>45772</v>
      </c>
      <c r="L675" s="33" t="n"/>
    </row>
    <row r="676">
      <c r="A676" t="inlineStr">
        <is>
          <t>CLM513455</t>
        </is>
      </c>
      <c r="B676" t="inlineStr">
        <is>
          <t>ENC113455</t>
        </is>
      </c>
      <c r="C676" t="inlineStr">
        <is>
          <t>Medicare</t>
        </is>
      </c>
      <c r="D676" t="inlineStr">
        <is>
          <t>Emergency</t>
        </is>
      </c>
      <c r="E676" s="29" t="n">
        <v>45736</v>
      </c>
      <c r="F676" s="29" t="n">
        <v>45739</v>
      </c>
      <c r="G676" s="31" t="n">
        <v>1302.34</v>
      </c>
      <c r="H676" s="31" t="n">
        <v>371.72</v>
      </c>
      <c r="I676" t="inlineStr">
        <is>
          <t>Paid</t>
        </is>
      </c>
      <c r="K676" s="29" t="n">
        <v>45756</v>
      </c>
      <c r="L676" s="33" t="n"/>
    </row>
    <row r="677">
      <c r="A677" t="inlineStr">
        <is>
          <t>CLM513457</t>
        </is>
      </c>
      <c r="B677" t="inlineStr">
        <is>
          <t>ENC113457</t>
        </is>
      </c>
      <c r="C677" t="inlineStr">
        <is>
          <t>State Medicaid</t>
        </is>
      </c>
      <c r="D677" t="inlineStr">
        <is>
          <t>Outpatient</t>
        </is>
      </c>
      <c r="E677" s="29" t="n">
        <v>45736</v>
      </c>
      <c r="F677" s="29" t="n">
        <v>45739</v>
      </c>
      <c r="G677" s="31" t="n">
        <v>341.71</v>
      </c>
      <c r="H677" s="31" t="n">
        <v>81.29000000000001</v>
      </c>
      <c r="I677" t="inlineStr">
        <is>
          <t>Paid</t>
        </is>
      </c>
      <c r="K677" s="29" t="n">
        <v>45753</v>
      </c>
      <c r="L677" s="33" t="n"/>
    </row>
    <row r="678">
      <c r="A678" t="inlineStr">
        <is>
          <t>CLM513459</t>
        </is>
      </c>
      <c r="B678" t="inlineStr">
        <is>
          <t>ENC113459</t>
        </is>
      </c>
      <c r="C678" t="inlineStr">
        <is>
          <t>Silverline Medicare Advantage</t>
        </is>
      </c>
      <c r="D678" t="inlineStr">
        <is>
          <t>Outpatient</t>
        </is>
      </c>
      <c r="E678" s="29" t="n">
        <v>45736</v>
      </c>
      <c r="F678" s="29" t="n">
        <v>45744</v>
      </c>
      <c r="G678" s="31" t="n">
        <v>428.99</v>
      </c>
      <c r="H678" s="31" t="n">
        <v>119.32</v>
      </c>
      <c r="I678" t="inlineStr">
        <is>
          <t>Paid</t>
        </is>
      </c>
      <c r="K678" s="29" t="n">
        <v>45780</v>
      </c>
      <c r="L678" s="33" t="n"/>
    </row>
    <row r="679">
      <c r="A679" t="inlineStr">
        <is>
          <t>CLM513463</t>
        </is>
      </c>
      <c r="B679" t="inlineStr">
        <is>
          <t>ENC113463</t>
        </is>
      </c>
      <c r="C679" t="inlineStr">
        <is>
          <t>Medicare</t>
        </is>
      </c>
      <c r="D679" t="inlineStr">
        <is>
          <t>Inpatient</t>
        </is>
      </c>
      <c r="E679" s="29" t="n">
        <v>45743</v>
      </c>
      <c r="F679" s="29" t="n">
        <v>45744</v>
      </c>
      <c r="G679" s="31" t="n">
        <v>66654.32000000001</v>
      </c>
      <c r="H679" s="31" t="n">
        <v>19650.64</v>
      </c>
      <c r="I679" t="inlineStr">
        <is>
          <t>Paid</t>
        </is>
      </c>
      <c r="K679" s="29" t="n">
        <v>45761</v>
      </c>
      <c r="L679" s="33" t="n"/>
    </row>
    <row r="680">
      <c r="A680" t="inlineStr">
        <is>
          <t>CLM513466</t>
        </is>
      </c>
      <c r="B680" t="inlineStr">
        <is>
          <t>ENC113466</t>
        </is>
      </c>
      <c r="C680" t="inlineStr">
        <is>
          <t>State Medicaid</t>
        </is>
      </c>
      <c r="D680" t="inlineStr">
        <is>
          <t>Outpatient</t>
        </is>
      </c>
      <c r="E680" s="29" t="n">
        <v>45736</v>
      </c>
      <c r="F680" s="29" t="n">
        <v>45742</v>
      </c>
      <c r="G680" s="31" t="n">
        <v>742.28</v>
      </c>
      <c r="H680" s="31" t="n">
        <v>182.77</v>
      </c>
      <c r="I680" t="inlineStr">
        <is>
          <t>Paid</t>
        </is>
      </c>
      <c r="K680" s="29" t="n">
        <v>45781</v>
      </c>
      <c r="L680" s="33" t="n"/>
    </row>
    <row r="681">
      <c r="A681" t="inlineStr">
        <is>
          <t>CLM513486</t>
        </is>
      </c>
      <c r="B681" t="inlineStr">
        <is>
          <t>ENC113486</t>
        </is>
      </c>
      <c r="C681" t="inlineStr">
        <is>
          <t>State Medicaid</t>
        </is>
      </c>
      <c r="D681" t="inlineStr">
        <is>
          <t>Emergency</t>
        </is>
      </c>
      <c r="E681" s="29" t="n">
        <v>45737</v>
      </c>
      <c r="F681" s="29" t="n">
        <v>45744</v>
      </c>
      <c r="G681" s="31" t="n">
        <v>805.42</v>
      </c>
      <c r="H681" s="31" t="n">
        <v>180.84</v>
      </c>
      <c r="I681" t="inlineStr">
        <is>
          <t>Paid</t>
        </is>
      </c>
      <c r="K681" s="29" t="n">
        <v>45760</v>
      </c>
      <c r="L681" s="33" t="n"/>
    </row>
    <row r="682">
      <c r="A682" t="inlineStr">
        <is>
          <t>CLM513494</t>
        </is>
      </c>
      <c r="B682" t="inlineStr">
        <is>
          <t>ENC113494</t>
        </is>
      </c>
      <c r="C682" t="inlineStr">
        <is>
          <t>Keystone Health Partners</t>
        </is>
      </c>
      <c r="D682" t="inlineStr">
        <is>
          <t>Outpatient</t>
        </is>
      </c>
      <c r="E682" s="29" t="n">
        <v>45737</v>
      </c>
      <c r="F682" s="29" t="n">
        <v>45743</v>
      </c>
      <c r="G682" s="31" t="n">
        <v>170.28</v>
      </c>
      <c r="H682" s="31" t="n">
        <v>80.06</v>
      </c>
      <c r="I682" t="inlineStr">
        <is>
          <t>Paid</t>
        </is>
      </c>
      <c r="K682" s="29" t="n">
        <v>45767</v>
      </c>
      <c r="L682" s="33" t="n"/>
    </row>
    <row r="683">
      <c r="A683" t="inlineStr">
        <is>
          <t>CLM513496</t>
        </is>
      </c>
      <c r="B683" t="inlineStr">
        <is>
          <t>ENC113496</t>
        </is>
      </c>
      <c r="C683" t="inlineStr">
        <is>
          <t>State Medicaid</t>
        </is>
      </c>
      <c r="D683" t="inlineStr">
        <is>
          <t>Inpatient</t>
        </is>
      </c>
      <c r="E683" s="29" t="n">
        <v>45741</v>
      </c>
      <c r="F683" s="29" t="n">
        <v>45745</v>
      </c>
      <c r="G683" s="31" t="n">
        <v>22334.17</v>
      </c>
      <c r="H683" s="31" t="n">
        <v>3616.85</v>
      </c>
      <c r="I683" t="inlineStr">
        <is>
          <t>Partially Paid</t>
        </is>
      </c>
      <c r="J683" t="inlineStr">
        <is>
          <t>Coding Error</t>
        </is>
      </c>
      <c r="K683" s="29" t="n">
        <v>45778</v>
      </c>
      <c r="L683" s="33" t="n"/>
    </row>
    <row r="684">
      <c r="A684" t="inlineStr">
        <is>
          <t>CLM513502</t>
        </is>
      </c>
      <c r="B684" t="inlineStr">
        <is>
          <t>ENC113502</t>
        </is>
      </c>
      <c r="C684" t="inlineStr">
        <is>
          <t>Silverline Medicare Advantage</t>
        </is>
      </c>
      <c r="D684" t="inlineStr">
        <is>
          <t>Emergency</t>
        </is>
      </c>
      <c r="E684" s="29" t="n">
        <v>45737</v>
      </c>
      <c r="F684" s="29" t="n">
        <v>45738</v>
      </c>
      <c r="G684" s="31" t="n">
        <v>4679.22</v>
      </c>
      <c r="H684" s="31" t="n">
        <v>745.6900000000001</v>
      </c>
      <c r="I684" t="inlineStr">
        <is>
          <t>Partially Paid</t>
        </is>
      </c>
      <c r="J684" t="inlineStr">
        <is>
          <t>Medical Necessity</t>
        </is>
      </c>
      <c r="K684" s="29" t="n">
        <v>45752</v>
      </c>
      <c r="L684" s="33" t="n"/>
    </row>
    <row r="685">
      <c r="A685" t="inlineStr">
        <is>
          <t>CLM513506</t>
        </is>
      </c>
      <c r="B685" t="inlineStr">
        <is>
          <t>ENC113506</t>
        </is>
      </c>
      <c r="C685" t="inlineStr">
        <is>
          <t>State Medicaid</t>
        </is>
      </c>
      <c r="D685" t="inlineStr">
        <is>
          <t>Outpatient</t>
        </is>
      </c>
      <c r="E685" s="29" t="n">
        <v>45737</v>
      </c>
      <c r="F685" s="29" t="n">
        <v>45741</v>
      </c>
      <c r="G685" s="31" t="n">
        <v>458.89</v>
      </c>
      <c r="H685" s="31" t="n">
        <v>107.81</v>
      </c>
      <c r="I685" t="inlineStr">
        <is>
          <t>Paid</t>
        </is>
      </c>
      <c r="K685" s="29" t="n">
        <v>45764</v>
      </c>
      <c r="L685" s="33" t="n"/>
    </row>
    <row r="686">
      <c r="A686" t="inlineStr">
        <is>
          <t>CLM513518</t>
        </is>
      </c>
      <c r="B686" t="inlineStr">
        <is>
          <t>ENC113518</t>
        </is>
      </c>
      <c r="C686" t="inlineStr">
        <is>
          <t>Evergreen Mutual Insurance</t>
        </is>
      </c>
      <c r="D686" t="inlineStr">
        <is>
          <t>Inpatient</t>
        </is>
      </c>
      <c r="E686" s="29" t="n">
        <v>45741</v>
      </c>
      <c r="F686" s="29" t="n">
        <v>45750</v>
      </c>
      <c r="G686" s="31" t="n">
        <v>24153.3</v>
      </c>
      <c r="H686" s="31" t="n">
        <v>0</v>
      </c>
      <c r="I686" t="inlineStr">
        <is>
          <t>Appealed</t>
        </is>
      </c>
      <c r="J686" t="inlineStr">
        <is>
          <t>Coding Error</t>
        </is>
      </c>
      <c r="L686" s="33" t="n"/>
    </row>
    <row r="687">
      <c r="A687" t="inlineStr">
        <is>
          <t>CLM513521</t>
        </is>
      </c>
      <c r="B687" t="inlineStr">
        <is>
          <t>ENC113521</t>
        </is>
      </c>
      <c r="C687" t="inlineStr">
        <is>
          <t>Summit Choice PPO</t>
        </is>
      </c>
      <c r="D687" t="inlineStr">
        <is>
          <t>Inpatient</t>
        </is>
      </c>
      <c r="E687" s="29" t="n">
        <v>45739</v>
      </c>
      <c r="F687" s="29" t="n">
        <v>45742</v>
      </c>
      <c r="G687" s="31" t="n">
        <v>17832.74</v>
      </c>
      <c r="H687" s="31" t="n">
        <v>8611.700000000001</v>
      </c>
      <c r="I687" t="inlineStr">
        <is>
          <t>Paid</t>
        </is>
      </c>
      <c r="K687" s="29" t="n">
        <v>45789</v>
      </c>
      <c r="L687" s="33" t="n"/>
    </row>
    <row r="688">
      <c r="A688" t="inlineStr">
        <is>
          <t>CLM513531</t>
        </is>
      </c>
      <c r="B688" t="inlineStr">
        <is>
          <t>ENC113531</t>
        </is>
      </c>
      <c r="C688" t="inlineStr">
        <is>
          <t>Keystone Health Partners</t>
        </is>
      </c>
      <c r="D688" t="inlineStr">
        <is>
          <t>Emergency</t>
        </is>
      </c>
      <c r="E688" s="29" t="n">
        <v>45738</v>
      </c>
      <c r="F688" s="29" t="n">
        <v>45744</v>
      </c>
      <c r="G688" s="31" t="n">
        <v>4629.8</v>
      </c>
      <c r="H688" s="31" t="n">
        <v>1162.94</v>
      </c>
      <c r="I688" t="inlineStr">
        <is>
          <t>Partially Paid</t>
        </is>
      </c>
      <c r="J688" t="inlineStr">
        <is>
          <t>Medical Necessity</t>
        </is>
      </c>
      <c r="K688" s="29" t="n">
        <v>45764</v>
      </c>
      <c r="L688" s="33" t="n"/>
    </row>
    <row r="689">
      <c r="A689" t="inlineStr">
        <is>
          <t>CLM513532</t>
        </is>
      </c>
      <c r="B689" t="inlineStr">
        <is>
          <t>ENC113532</t>
        </is>
      </c>
      <c r="C689" t="inlineStr">
        <is>
          <t>State Medicaid</t>
        </is>
      </c>
      <c r="D689" t="inlineStr">
        <is>
          <t>Emergency</t>
        </is>
      </c>
      <c r="E689" s="29" t="n">
        <v>45738</v>
      </c>
      <c r="F689" s="29" t="n">
        <v>45740</v>
      </c>
      <c r="G689" s="31" t="n">
        <v>2569.33</v>
      </c>
      <c r="H689" s="31" t="n">
        <v>576.79</v>
      </c>
      <c r="I689" t="inlineStr">
        <is>
          <t>Paid</t>
        </is>
      </c>
      <c r="K689" s="29" t="n">
        <v>45820</v>
      </c>
      <c r="L689" s="33" t="n"/>
    </row>
    <row r="690">
      <c r="A690" t="inlineStr">
        <is>
          <t>CLM513536</t>
        </is>
      </c>
      <c r="B690" t="inlineStr">
        <is>
          <t>ENC113536</t>
        </is>
      </c>
      <c r="C690" t="inlineStr">
        <is>
          <t>State Medicaid</t>
        </is>
      </c>
      <c r="D690" t="inlineStr">
        <is>
          <t>Inpatient</t>
        </is>
      </c>
      <c r="E690" s="29" t="n">
        <v>45748</v>
      </c>
      <c r="F690" s="29" t="n">
        <v>45752</v>
      </c>
      <c r="G690" s="31" t="n">
        <v>79944.99000000001</v>
      </c>
      <c r="H690" s="31" t="n">
        <v>0</v>
      </c>
      <c r="I690" t="inlineStr">
        <is>
          <t>Denied</t>
        </is>
      </c>
      <c r="J690" t="inlineStr">
        <is>
          <t>Coding Error</t>
        </is>
      </c>
      <c r="L690" s="33" t="n"/>
    </row>
    <row r="691">
      <c r="A691" t="inlineStr">
        <is>
          <t>CLM513539</t>
        </is>
      </c>
      <c r="B691" t="inlineStr">
        <is>
          <t>ENC113539</t>
        </is>
      </c>
      <c r="C691" t="inlineStr">
        <is>
          <t>State Medicaid</t>
        </is>
      </c>
      <c r="D691" t="inlineStr">
        <is>
          <t>Emergency</t>
        </is>
      </c>
      <c r="E691" s="29" t="n">
        <v>45739</v>
      </c>
      <c r="F691" s="29" t="n">
        <v>45744</v>
      </c>
      <c r="G691" s="31" t="n">
        <v>1087.53</v>
      </c>
      <c r="H691" s="31" t="n">
        <v>250.82</v>
      </c>
      <c r="I691" t="inlineStr">
        <is>
          <t>Paid</t>
        </is>
      </c>
      <c r="K691" s="29" t="n">
        <v>45778</v>
      </c>
      <c r="L691" s="33" t="n"/>
    </row>
    <row r="692">
      <c r="A692" t="inlineStr">
        <is>
          <t>CLM513540</t>
        </is>
      </c>
      <c r="B692" t="inlineStr">
        <is>
          <t>ENC113540</t>
        </is>
      </c>
      <c r="C692" t="inlineStr">
        <is>
          <t>Keystone Health Partners</t>
        </is>
      </c>
      <c r="D692" t="inlineStr">
        <is>
          <t>Inpatient</t>
        </is>
      </c>
      <c r="E692" s="29" t="n">
        <v>45743</v>
      </c>
      <c r="F692" s="29" t="n">
        <v>45746</v>
      </c>
      <c r="G692" s="31" t="n">
        <v>46911.18</v>
      </c>
      <c r="H692" s="31" t="n">
        <v>19799.41</v>
      </c>
      <c r="I692" t="inlineStr">
        <is>
          <t>Paid</t>
        </is>
      </c>
      <c r="K692" s="29" t="n">
        <v>45768</v>
      </c>
      <c r="L692" s="33" t="n"/>
    </row>
    <row r="693">
      <c r="A693" t="inlineStr">
        <is>
          <t>CLM513545</t>
        </is>
      </c>
      <c r="B693" t="inlineStr">
        <is>
          <t>ENC113545</t>
        </is>
      </c>
      <c r="C693" t="inlineStr">
        <is>
          <t>Keystone Health Partners</t>
        </is>
      </c>
      <c r="D693" t="inlineStr">
        <is>
          <t>Emergency</t>
        </is>
      </c>
      <c r="E693" s="29" t="n">
        <v>45739</v>
      </c>
      <c r="F693" s="29" t="n">
        <v>45743</v>
      </c>
      <c r="G693" s="31" t="n">
        <v>859.78</v>
      </c>
      <c r="H693" s="31" t="n">
        <v>383.92</v>
      </c>
      <c r="I693" t="inlineStr">
        <is>
          <t>Paid</t>
        </is>
      </c>
      <c r="K693" s="29" t="n">
        <v>45774</v>
      </c>
      <c r="L693" s="33" t="n"/>
    </row>
    <row r="694">
      <c r="A694" t="inlineStr">
        <is>
          <t>CLM513550</t>
        </is>
      </c>
      <c r="B694" t="inlineStr">
        <is>
          <t>ENC113550</t>
        </is>
      </c>
      <c r="C694" t="inlineStr">
        <is>
          <t>Keystone Health Partners</t>
        </is>
      </c>
      <c r="D694" t="inlineStr">
        <is>
          <t>Emergency</t>
        </is>
      </c>
      <c r="E694" s="29" t="n">
        <v>45740</v>
      </c>
      <c r="F694" s="29" t="n">
        <v>45742</v>
      </c>
      <c r="G694" s="31" t="n">
        <v>2753.9</v>
      </c>
      <c r="H694" s="31" t="n">
        <v>1071.46</v>
      </c>
      <c r="I694" t="inlineStr">
        <is>
          <t>Paid</t>
        </is>
      </c>
      <c r="K694" s="29" t="n">
        <v>45770</v>
      </c>
      <c r="L694" s="33" t="n"/>
    </row>
    <row r="695">
      <c r="A695" t="inlineStr">
        <is>
          <t>CLM513564</t>
        </is>
      </c>
      <c r="B695" t="inlineStr">
        <is>
          <t>ENC113564</t>
        </is>
      </c>
      <c r="C695" t="inlineStr">
        <is>
          <t>Summit Choice PPO</t>
        </is>
      </c>
      <c r="D695" t="inlineStr">
        <is>
          <t>Outpatient</t>
        </is>
      </c>
      <c r="E695" s="29" t="n">
        <v>45740</v>
      </c>
      <c r="F695" s="29" t="n">
        <v>45743</v>
      </c>
      <c r="G695" s="31" t="n">
        <v>282.95</v>
      </c>
      <c r="H695" s="31" t="n">
        <v>129.9</v>
      </c>
      <c r="I695" t="inlineStr">
        <is>
          <t>Paid</t>
        </is>
      </c>
      <c r="K695" s="29" t="n">
        <v>45782</v>
      </c>
      <c r="L695" s="33" t="n"/>
    </row>
    <row r="696">
      <c r="A696" t="inlineStr">
        <is>
          <t>CLM513567</t>
        </is>
      </c>
      <c r="B696" t="inlineStr">
        <is>
          <t>ENC113567</t>
        </is>
      </c>
      <c r="C696" t="inlineStr">
        <is>
          <t>Evergreen Mutual Insurance</t>
        </is>
      </c>
      <c r="D696" t="inlineStr">
        <is>
          <t>Outpatient</t>
        </is>
      </c>
      <c r="E696" s="29" t="n">
        <v>45740</v>
      </c>
      <c r="F696" s="29" t="n">
        <v>45742</v>
      </c>
      <c r="G696" s="31" t="n">
        <v>265.21</v>
      </c>
      <c r="H696" s="31" t="n">
        <v>122.33</v>
      </c>
      <c r="I696" t="inlineStr">
        <is>
          <t>Paid</t>
        </is>
      </c>
      <c r="K696" s="29" t="n">
        <v>45776</v>
      </c>
      <c r="L696" s="33" t="n"/>
    </row>
    <row r="697">
      <c r="A697" t="inlineStr">
        <is>
          <t>CLM513568</t>
        </is>
      </c>
      <c r="B697" t="inlineStr">
        <is>
          <t>ENC113568</t>
        </is>
      </c>
      <c r="C697" t="inlineStr">
        <is>
          <t>Silverline Medicare Advantage</t>
        </is>
      </c>
      <c r="D697" t="inlineStr">
        <is>
          <t>Outpatient</t>
        </is>
      </c>
      <c r="E697" s="29" t="n">
        <v>45740</v>
      </c>
      <c r="F697" s="29" t="n">
        <v>45753</v>
      </c>
      <c r="G697" s="31" t="n">
        <v>230.16</v>
      </c>
      <c r="H697" s="31" t="n">
        <v>69.34</v>
      </c>
      <c r="I697" t="inlineStr">
        <is>
          <t>Paid</t>
        </is>
      </c>
      <c r="K697" s="29" t="n">
        <v>45769</v>
      </c>
      <c r="L697" s="33" t="n"/>
    </row>
    <row r="698">
      <c r="A698" t="inlineStr">
        <is>
          <t>CLM513571</t>
        </is>
      </c>
      <c r="B698" t="inlineStr">
        <is>
          <t>ENC113571</t>
        </is>
      </c>
      <c r="C698" t="inlineStr">
        <is>
          <t>Medicare</t>
        </is>
      </c>
      <c r="D698" t="inlineStr">
        <is>
          <t>Emergency</t>
        </is>
      </c>
      <c r="E698" s="29" t="n">
        <v>45740</v>
      </c>
      <c r="F698" s="29" t="n">
        <v>45744</v>
      </c>
      <c r="G698" s="31" t="n">
        <v>4803.36</v>
      </c>
      <c r="H698" s="31" t="n">
        <v>1314.97</v>
      </c>
      <c r="I698" t="inlineStr">
        <is>
          <t>Paid</t>
        </is>
      </c>
      <c r="K698" s="29" t="n">
        <v>45750</v>
      </c>
      <c r="L698" s="33" t="n"/>
    </row>
    <row r="699">
      <c r="A699" t="inlineStr">
        <is>
          <t>CLM513574</t>
        </is>
      </c>
      <c r="B699" t="inlineStr">
        <is>
          <t>ENC113574</t>
        </is>
      </c>
      <c r="C699" t="inlineStr">
        <is>
          <t>Medicare</t>
        </is>
      </c>
      <c r="D699" t="inlineStr">
        <is>
          <t>Inpatient</t>
        </is>
      </c>
      <c r="E699" s="29" t="n">
        <v>45744</v>
      </c>
      <c r="F699" s="29" t="n">
        <v>45750</v>
      </c>
      <c r="G699" s="31" t="n">
        <v>19153.78</v>
      </c>
      <c r="H699" s="31" t="n">
        <v>0</v>
      </c>
      <c r="I699" t="inlineStr">
        <is>
          <t>Denied</t>
        </is>
      </c>
      <c r="J699" t="inlineStr">
        <is>
          <t>Medical Necessity</t>
        </is>
      </c>
      <c r="L699" s="33" t="n"/>
    </row>
    <row r="700">
      <c r="A700" t="inlineStr">
        <is>
          <t>CLM513576</t>
        </is>
      </c>
      <c r="B700" t="inlineStr">
        <is>
          <t>ENC113576</t>
        </is>
      </c>
      <c r="C700" t="inlineStr">
        <is>
          <t>Evergreen Mutual Insurance</t>
        </is>
      </c>
      <c r="D700" t="inlineStr">
        <is>
          <t>Outpatient</t>
        </is>
      </c>
      <c r="E700" s="29" t="n">
        <v>45740</v>
      </c>
      <c r="F700" s="29" t="n">
        <v>45743</v>
      </c>
      <c r="G700" s="31" t="n">
        <v>244.73</v>
      </c>
      <c r="H700" s="31" t="n">
        <v>98.47</v>
      </c>
      <c r="I700" t="inlineStr">
        <is>
          <t>Paid</t>
        </is>
      </c>
      <c r="K700" s="29" t="n">
        <v>45768</v>
      </c>
      <c r="L700" s="33" t="n"/>
    </row>
    <row r="701">
      <c r="A701" t="inlineStr">
        <is>
          <t>CLM513577</t>
        </is>
      </c>
      <c r="B701" t="inlineStr">
        <is>
          <t>ENC113577</t>
        </is>
      </c>
      <c r="C701" t="inlineStr">
        <is>
          <t>State Medicaid</t>
        </is>
      </c>
      <c r="D701" t="inlineStr">
        <is>
          <t>Outpatient</t>
        </is>
      </c>
      <c r="E701" s="29" t="n">
        <v>45740</v>
      </c>
      <c r="F701" s="29" t="n">
        <v>45839</v>
      </c>
      <c r="G701" s="31" t="n">
        <v>391.18</v>
      </c>
      <c r="H701" s="31" t="n">
        <v>91.98</v>
      </c>
      <c r="I701" t="inlineStr">
        <is>
          <t>Paid</t>
        </is>
      </c>
      <c r="K701" s="29" t="n">
        <v>45867</v>
      </c>
      <c r="L701" s="33" t="n"/>
    </row>
    <row r="702">
      <c r="A702" t="inlineStr">
        <is>
          <t>CLM513579</t>
        </is>
      </c>
      <c r="B702" t="inlineStr">
        <is>
          <t>ENC113579</t>
        </is>
      </c>
      <c r="C702" t="inlineStr">
        <is>
          <t>Self-Pay</t>
        </is>
      </c>
      <c r="D702" t="inlineStr">
        <is>
          <t>Inpatient</t>
        </is>
      </c>
      <c r="E702" s="29" t="n">
        <v>45746</v>
      </c>
      <c r="F702" s="29" t="n">
        <v>45748</v>
      </c>
      <c r="G702" s="31" t="n">
        <v>73288.96000000001</v>
      </c>
      <c r="H702" s="31" t="n">
        <v>31984.7</v>
      </c>
      <c r="I702" t="inlineStr">
        <is>
          <t>Paid</t>
        </is>
      </c>
      <c r="K702" s="29" t="n">
        <v>45887</v>
      </c>
      <c r="L702" s="33" t="n"/>
    </row>
    <row r="703">
      <c r="A703" t="inlineStr">
        <is>
          <t>CLM513585</t>
        </is>
      </c>
      <c r="B703" t="inlineStr">
        <is>
          <t>ENC113585</t>
        </is>
      </c>
      <c r="C703" t="inlineStr">
        <is>
          <t>Self-Pay</t>
        </is>
      </c>
      <c r="D703" t="inlineStr">
        <is>
          <t>Outpatient</t>
        </is>
      </c>
      <c r="E703" s="29" t="n">
        <v>45740</v>
      </c>
      <c r="F703" s="29" t="n">
        <v>45741</v>
      </c>
      <c r="G703" s="31" t="n">
        <v>10019.11</v>
      </c>
      <c r="H703" s="31" t="n">
        <v>4707.95</v>
      </c>
      <c r="I703" t="inlineStr">
        <is>
          <t>Paid</t>
        </is>
      </c>
      <c r="K703" s="29" t="n">
        <v>45806</v>
      </c>
      <c r="L703" s="33" t="n"/>
    </row>
    <row r="704">
      <c r="A704" t="inlineStr">
        <is>
          <t>CLM513586</t>
        </is>
      </c>
      <c r="B704" t="inlineStr">
        <is>
          <t>ENC113586</t>
        </is>
      </c>
      <c r="C704" t="inlineStr">
        <is>
          <t>Evergreen Mutual Insurance</t>
        </is>
      </c>
      <c r="D704" t="inlineStr">
        <is>
          <t>Emergency</t>
        </is>
      </c>
      <c r="E704" s="29" t="n">
        <v>45740</v>
      </c>
      <c r="F704" s="29" t="n">
        <v>45745</v>
      </c>
      <c r="G704" s="31" t="n">
        <v>1321.5</v>
      </c>
      <c r="H704" s="31" t="n">
        <v>540.88</v>
      </c>
      <c r="I704" t="inlineStr">
        <is>
          <t>Paid</t>
        </is>
      </c>
      <c r="K704" s="29" t="n">
        <v>45787</v>
      </c>
      <c r="L704" s="33" t="n"/>
    </row>
    <row r="705">
      <c r="A705" t="inlineStr">
        <is>
          <t>CLM513587</t>
        </is>
      </c>
      <c r="B705" t="inlineStr">
        <is>
          <t>ENC113587</t>
        </is>
      </c>
      <c r="C705" t="inlineStr">
        <is>
          <t>Evergreen Mutual Insurance</t>
        </is>
      </c>
      <c r="D705" t="inlineStr">
        <is>
          <t>Emergency</t>
        </is>
      </c>
      <c r="E705" s="29" t="n">
        <v>45740</v>
      </c>
      <c r="F705" s="29" t="n">
        <v>45747</v>
      </c>
      <c r="G705" s="31" t="n">
        <v>3228.45</v>
      </c>
      <c r="H705" s="31" t="n">
        <v>1123.54</v>
      </c>
      <c r="I705" t="inlineStr">
        <is>
          <t>Paid</t>
        </is>
      </c>
      <c r="K705" s="29" t="n">
        <v>45766</v>
      </c>
      <c r="L705" s="33" t="n"/>
    </row>
    <row r="706">
      <c r="A706" t="inlineStr">
        <is>
          <t>CLM513589</t>
        </is>
      </c>
      <c r="B706" t="inlineStr">
        <is>
          <t>ENC113589</t>
        </is>
      </c>
      <c r="C706" t="inlineStr">
        <is>
          <t>Silverline Medicare Advantage</t>
        </is>
      </c>
      <c r="D706" t="inlineStr">
        <is>
          <t>Inpatient</t>
        </is>
      </c>
      <c r="E706" s="29" t="n">
        <v>45743</v>
      </c>
      <c r="F706" s="29" t="n">
        <v>45752</v>
      </c>
      <c r="G706" s="31" t="n">
        <v>15518.52</v>
      </c>
      <c r="H706" s="31" t="n">
        <v>4893.78</v>
      </c>
      <c r="I706" t="inlineStr">
        <is>
          <t>Paid</t>
        </is>
      </c>
      <c r="K706" s="29" t="n">
        <v>45778</v>
      </c>
      <c r="L706" s="33" t="n"/>
    </row>
    <row r="707">
      <c r="A707" t="inlineStr">
        <is>
          <t>CLM513596</t>
        </is>
      </c>
      <c r="B707" t="inlineStr">
        <is>
          <t>ENC113596</t>
        </is>
      </c>
      <c r="C707" t="inlineStr">
        <is>
          <t>Medicare</t>
        </is>
      </c>
      <c r="D707" t="inlineStr">
        <is>
          <t>Inpatient</t>
        </is>
      </c>
      <c r="E707" s="29" t="n">
        <v>45750</v>
      </c>
      <c r="F707" s="29" t="n">
        <v>45752</v>
      </c>
      <c r="G707" s="31" t="n">
        <v>55773.25</v>
      </c>
      <c r="H707" s="31" t="n">
        <v>14984.58</v>
      </c>
      <c r="I707" t="inlineStr">
        <is>
          <t>Paid</t>
        </is>
      </c>
      <c r="K707" s="29" t="n">
        <v>45766</v>
      </c>
      <c r="L707" s="33" t="n"/>
    </row>
    <row r="708">
      <c r="A708" t="inlineStr">
        <is>
          <t>CLM513597</t>
        </is>
      </c>
      <c r="B708" t="inlineStr">
        <is>
          <t>ENC113597</t>
        </is>
      </c>
      <c r="C708" t="inlineStr">
        <is>
          <t>Evergreen Mutual Insurance</t>
        </is>
      </c>
      <c r="D708" t="inlineStr">
        <is>
          <t>Emergency</t>
        </is>
      </c>
      <c r="E708" s="29" t="n">
        <v>45741</v>
      </c>
      <c r="F708" s="29" t="n">
        <v>45745</v>
      </c>
      <c r="G708" s="31" t="n">
        <v>2352.44</v>
      </c>
      <c r="H708" s="31" t="n">
        <v>560.48</v>
      </c>
      <c r="I708" t="inlineStr">
        <is>
          <t>Partially Paid</t>
        </is>
      </c>
      <c r="J708" t="inlineStr">
        <is>
          <t>Missing Documentation</t>
        </is>
      </c>
      <c r="K708" s="29" t="n">
        <v>45770</v>
      </c>
      <c r="L708" s="33" t="n"/>
    </row>
    <row r="709">
      <c r="A709" t="inlineStr">
        <is>
          <t>CLM513610</t>
        </is>
      </c>
      <c r="B709" t="inlineStr">
        <is>
          <t>ENC113610</t>
        </is>
      </c>
      <c r="C709" t="inlineStr">
        <is>
          <t>Silverline Medicare Advantage</t>
        </is>
      </c>
      <c r="D709" t="inlineStr">
        <is>
          <t>Outpatient</t>
        </is>
      </c>
      <c r="E709" s="29" t="n">
        <v>45741</v>
      </c>
      <c r="F709" s="29" t="n">
        <v>45744</v>
      </c>
      <c r="G709" s="31" t="n">
        <v>246.03</v>
      </c>
      <c r="H709" s="31" t="n">
        <v>78.72</v>
      </c>
      <c r="I709" t="inlineStr">
        <is>
          <t>Paid</t>
        </is>
      </c>
      <c r="K709" s="29" t="n">
        <v>45764</v>
      </c>
      <c r="L709" s="33" t="n"/>
    </row>
    <row r="710">
      <c r="A710" t="inlineStr">
        <is>
          <t>CLM513615</t>
        </is>
      </c>
      <c r="B710" t="inlineStr">
        <is>
          <t>ENC113615</t>
        </is>
      </c>
      <c r="C710" t="inlineStr">
        <is>
          <t>Silverline Medicare Advantage</t>
        </is>
      </c>
      <c r="D710" t="inlineStr">
        <is>
          <t>Outpatient</t>
        </is>
      </c>
      <c r="E710" s="29" t="n">
        <v>45741</v>
      </c>
      <c r="F710" s="29" t="n">
        <v>45751</v>
      </c>
      <c r="G710" s="31" t="n">
        <v>278.79</v>
      </c>
      <c r="H710" s="31" t="n">
        <v>96.28</v>
      </c>
      <c r="I710" t="inlineStr">
        <is>
          <t>Paid</t>
        </is>
      </c>
      <c r="K710" s="29" t="n">
        <v>45774</v>
      </c>
      <c r="L710" s="33" t="n"/>
    </row>
    <row r="711">
      <c r="A711" t="inlineStr">
        <is>
          <t>CLM513616</t>
        </is>
      </c>
      <c r="B711" t="inlineStr">
        <is>
          <t>ENC113616</t>
        </is>
      </c>
      <c r="C711" t="inlineStr">
        <is>
          <t>Summit Choice PPO</t>
        </is>
      </c>
      <c r="D711" t="inlineStr">
        <is>
          <t>Outpatient</t>
        </is>
      </c>
      <c r="E711" s="29" t="n">
        <v>45741</v>
      </c>
      <c r="F711" s="29" t="n">
        <v>45745</v>
      </c>
      <c r="G711" s="31" t="n">
        <v>437.36</v>
      </c>
      <c r="H711" s="31" t="n">
        <v>221.76</v>
      </c>
      <c r="I711" t="inlineStr">
        <is>
          <t>Paid</t>
        </is>
      </c>
      <c r="K711" s="29" t="n">
        <v>45760</v>
      </c>
      <c r="L711" s="33" t="n"/>
    </row>
    <row r="712">
      <c r="A712" t="inlineStr">
        <is>
          <t>CLM513619</t>
        </is>
      </c>
      <c r="B712" t="inlineStr">
        <is>
          <t>ENC113619</t>
        </is>
      </c>
      <c r="C712" t="inlineStr">
        <is>
          <t>Medicare</t>
        </is>
      </c>
      <c r="D712" t="inlineStr">
        <is>
          <t>Inpatient</t>
        </is>
      </c>
      <c r="E712" s="29" t="n">
        <v>45753</v>
      </c>
      <c r="F712" s="29" t="n">
        <v>45755</v>
      </c>
      <c r="G712" s="31" t="n">
        <v>75967.13</v>
      </c>
      <c r="H712" s="31" t="n">
        <v>20391.75</v>
      </c>
      <c r="I712" t="inlineStr">
        <is>
          <t>Paid</t>
        </is>
      </c>
      <c r="K712" s="29" t="n">
        <v>45766</v>
      </c>
      <c r="L712" s="33" t="n"/>
    </row>
    <row r="713">
      <c r="A713" t="inlineStr">
        <is>
          <t>CLM513621</t>
        </is>
      </c>
      <c r="B713" t="inlineStr">
        <is>
          <t>ENC113621</t>
        </is>
      </c>
      <c r="C713" t="inlineStr">
        <is>
          <t>Self-Pay</t>
        </is>
      </c>
      <c r="D713" t="inlineStr">
        <is>
          <t>Inpatient</t>
        </is>
      </c>
      <c r="E713" s="29" t="n">
        <v>45744</v>
      </c>
      <c r="F713" s="29" t="n">
        <v>45749</v>
      </c>
      <c r="G713" s="31" t="n">
        <v>17371.92</v>
      </c>
      <c r="H713" s="31" t="n">
        <v>1770.12</v>
      </c>
      <c r="I713" t="inlineStr">
        <is>
          <t>Partially Paid</t>
        </is>
      </c>
      <c r="K713" s="29" t="n">
        <v>45800</v>
      </c>
      <c r="L713" s="33" t="n"/>
    </row>
    <row r="714">
      <c r="A714" t="inlineStr">
        <is>
          <t>CLM513622</t>
        </is>
      </c>
      <c r="B714" t="inlineStr">
        <is>
          <t>ENC113622</t>
        </is>
      </c>
      <c r="C714" t="inlineStr">
        <is>
          <t>Keystone Health Partners</t>
        </is>
      </c>
      <c r="D714" t="inlineStr">
        <is>
          <t>Outpatient</t>
        </is>
      </c>
      <c r="E714" s="29" t="n">
        <v>45741</v>
      </c>
      <c r="F714" s="29" t="n">
        <v>45746</v>
      </c>
      <c r="G714" s="31" t="n">
        <v>321.09</v>
      </c>
      <c r="H714" s="31" t="n">
        <v>0</v>
      </c>
      <c r="I714" t="inlineStr">
        <is>
          <t>Appealed</t>
        </is>
      </c>
      <c r="J714" t="inlineStr">
        <is>
          <t>Authorization Required</t>
        </is>
      </c>
      <c r="L714" s="33" t="n"/>
    </row>
    <row r="715">
      <c r="A715" t="inlineStr">
        <is>
          <t>CLM513624</t>
        </is>
      </c>
      <c r="B715" t="inlineStr">
        <is>
          <t>ENC113624</t>
        </is>
      </c>
      <c r="C715" t="inlineStr">
        <is>
          <t>Evergreen Mutual Insurance</t>
        </is>
      </c>
      <c r="D715" t="inlineStr">
        <is>
          <t>Outpatient</t>
        </is>
      </c>
      <c r="E715" s="29" t="n">
        <v>45741</v>
      </c>
      <c r="F715" s="29" t="n">
        <v>45745</v>
      </c>
      <c r="G715" s="31" t="n">
        <v>8422.5</v>
      </c>
      <c r="H715" s="31" t="n">
        <v>3799.22</v>
      </c>
      <c r="I715" t="inlineStr">
        <is>
          <t>Paid</t>
        </is>
      </c>
      <c r="K715" s="29" t="n">
        <v>45775</v>
      </c>
      <c r="L715" s="33" t="n"/>
    </row>
    <row r="716">
      <c r="A716" t="inlineStr">
        <is>
          <t>CLM513628</t>
        </is>
      </c>
      <c r="B716" t="inlineStr">
        <is>
          <t>ENC113628</t>
        </is>
      </c>
      <c r="C716" t="inlineStr">
        <is>
          <t>Summit Choice PPO</t>
        </is>
      </c>
      <c r="D716" t="inlineStr">
        <is>
          <t>Emergency</t>
        </is>
      </c>
      <c r="E716" s="29" t="n">
        <v>45741</v>
      </c>
      <c r="F716" s="29" t="n">
        <v>45747</v>
      </c>
      <c r="G716" s="31" t="n">
        <v>2781.12</v>
      </c>
      <c r="H716" s="31" t="n">
        <v>1405.51</v>
      </c>
      <c r="I716" t="inlineStr">
        <is>
          <t>Paid</t>
        </is>
      </c>
      <c r="K716" s="29" t="n">
        <v>45772</v>
      </c>
      <c r="L716" s="33" t="n"/>
    </row>
    <row r="717">
      <c r="A717" t="inlineStr">
        <is>
          <t>CLM513630</t>
        </is>
      </c>
      <c r="B717" t="inlineStr">
        <is>
          <t>ENC113630</t>
        </is>
      </c>
      <c r="C717" t="inlineStr">
        <is>
          <t>Medicare</t>
        </is>
      </c>
      <c r="D717" t="inlineStr">
        <is>
          <t>Emergency</t>
        </is>
      </c>
      <c r="E717" s="29" t="n">
        <v>45742</v>
      </c>
      <c r="F717" s="29" t="n">
        <v>45749</v>
      </c>
      <c r="G717" s="31" t="n">
        <v>3197.16</v>
      </c>
      <c r="H717" s="31" t="n">
        <v>918.78</v>
      </c>
      <c r="I717" t="inlineStr">
        <is>
          <t>Paid</t>
        </is>
      </c>
      <c r="K717" s="29" t="n">
        <v>45768</v>
      </c>
      <c r="L717" s="33" t="n"/>
    </row>
    <row r="718">
      <c r="A718" t="inlineStr">
        <is>
          <t>CLM513631</t>
        </is>
      </c>
      <c r="B718" t="inlineStr">
        <is>
          <t>ENC113631</t>
        </is>
      </c>
      <c r="C718" t="inlineStr">
        <is>
          <t>Silverline Medicare Advantage</t>
        </is>
      </c>
      <c r="D718" t="inlineStr">
        <is>
          <t>Emergency</t>
        </is>
      </c>
      <c r="E718" s="29" t="n">
        <v>45742</v>
      </c>
      <c r="F718" s="29" t="n">
        <v>45749</v>
      </c>
      <c r="G718" s="31" t="n">
        <v>5839.15</v>
      </c>
      <c r="H718" s="31" t="n">
        <v>1703.24</v>
      </c>
      <c r="I718" t="inlineStr">
        <is>
          <t>Paid</t>
        </is>
      </c>
      <c r="K718" s="29" t="n">
        <v>45771</v>
      </c>
      <c r="L718" s="33" t="n"/>
    </row>
    <row r="719">
      <c r="A719" t="inlineStr">
        <is>
          <t>CLM513635</t>
        </is>
      </c>
      <c r="B719" t="inlineStr">
        <is>
          <t>ENC113635</t>
        </is>
      </c>
      <c r="C719" t="inlineStr">
        <is>
          <t>Medicare</t>
        </is>
      </c>
      <c r="D719" t="inlineStr">
        <is>
          <t>Outpatient</t>
        </is>
      </c>
      <c r="E719" s="29" t="n">
        <v>45742</v>
      </c>
      <c r="F719" s="29" t="n">
        <v>45745</v>
      </c>
      <c r="G719" s="31" t="n">
        <v>166.69</v>
      </c>
      <c r="H719" s="31" t="n">
        <v>47.11</v>
      </c>
      <c r="I719" t="inlineStr">
        <is>
          <t>Paid</t>
        </is>
      </c>
      <c r="K719" s="29" t="n">
        <v>45761</v>
      </c>
      <c r="L719" s="33" t="n"/>
    </row>
    <row r="720">
      <c r="A720" t="inlineStr">
        <is>
          <t>CLM513638</t>
        </is>
      </c>
      <c r="B720" t="inlineStr">
        <is>
          <t>ENC113638</t>
        </is>
      </c>
      <c r="C720" t="inlineStr">
        <is>
          <t>Evergreen Mutual Insurance</t>
        </is>
      </c>
      <c r="D720" t="inlineStr">
        <is>
          <t>Outpatient</t>
        </is>
      </c>
      <c r="E720" s="29" t="n">
        <v>45742</v>
      </c>
      <c r="F720" s="29" t="n">
        <v>45745</v>
      </c>
      <c r="G720" s="31" t="n">
        <v>406.37</v>
      </c>
      <c r="H720" s="31" t="n">
        <v>175.94</v>
      </c>
      <c r="I720" t="inlineStr">
        <is>
          <t>Paid</t>
        </is>
      </c>
      <c r="K720" s="29" t="n">
        <v>45768</v>
      </c>
      <c r="L720" s="33" t="n"/>
    </row>
    <row r="721">
      <c r="A721" t="inlineStr">
        <is>
          <t>CLM513644</t>
        </is>
      </c>
      <c r="B721" t="inlineStr">
        <is>
          <t>ENC113644</t>
        </is>
      </c>
      <c r="C721" t="inlineStr">
        <is>
          <t>Evergreen Mutual Insurance</t>
        </is>
      </c>
      <c r="D721" t="inlineStr">
        <is>
          <t>Outpatient</t>
        </is>
      </c>
      <c r="E721" s="29" t="n">
        <v>45742</v>
      </c>
      <c r="F721" s="29" t="n">
        <v>45748</v>
      </c>
      <c r="G721" s="31" t="n">
        <v>297.88</v>
      </c>
      <c r="H721" s="31" t="n">
        <v>125.8</v>
      </c>
      <c r="I721" t="inlineStr">
        <is>
          <t>Paid</t>
        </is>
      </c>
      <c r="K721" s="29" t="n">
        <v>45783</v>
      </c>
      <c r="L721" s="33" t="n"/>
    </row>
    <row r="722">
      <c r="A722" t="inlineStr">
        <is>
          <t>CLM513648</t>
        </is>
      </c>
      <c r="B722" t="inlineStr">
        <is>
          <t>ENC113648</t>
        </is>
      </c>
      <c r="C722" t="inlineStr">
        <is>
          <t>State Medicaid</t>
        </is>
      </c>
      <c r="D722" t="inlineStr">
        <is>
          <t>Outpatient</t>
        </is>
      </c>
      <c r="E722" s="29" t="n">
        <v>45742</v>
      </c>
      <c r="F722" s="29" t="n">
        <v>45749</v>
      </c>
      <c r="G722" s="31" t="n">
        <v>357.85</v>
      </c>
      <c r="H722" s="31" t="n">
        <v>86.5</v>
      </c>
      <c r="I722" t="inlineStr">
        <is>
          <t>Paid</t>
        </is>
      </c>
      <c r="K722" s="29" t="n">
        <v>45778</v>
      </c>
      <c r="L722" s="33" t="n"/>
    </row>
    <row r="723">
      <c r="A723" t="inlineStr">
        <is>
          <t>CLM513653</t>
        </is>
      </c>
      <c r="B723" t="inlineStr">
        <is>
          <t>ENC113653</t>
        </is>
      </c>
      <c r="C723" t="inlineStr">
        <is>
          <t>Medicare</t>
        </is>
      </c>
      <c r="D723" t="inlineStr">
        <is>
          <t>Outpatient</t>
        </is>
      </c>
      <c r="E723" s="29" t="n">
        <v>45742</v>
      </c>
      <c r="F723" s="29" t="n">
        <v>45745</v>
      </c>
      <c r="G723" s="31" t="n">
        <v>391.65</v>
      </c>
      <c r="H723" s="31" t="n">
        <v>99.81</v>
      </c>
      <c r="I723" t="inlineStr">
        <is>
          <t>Paid</t>
        </is>
      </c>
      <c r="K723" s="29" t="n">
        <v>45756</v>
      </c>
      <c r="L723" s="33" t="n"/>
    </row>
    <row r="724">
      <c r="A724" t="inlineStr">
        <is>
          <t>CLM513655</t>
        </is>
      </c>
      <c r="B724" t="inlineStr">
        <is>
          <t>ENC113655</t>
        </is>
      </c>
      <c r="C724" t="inlineStr">
        <is>
          <t>Silverline Medicare Advantage</t>
        </is>
      </c>
      <c r="D724" t="inlineStr">
        <is>
          <t>Emergency</t>
        </is>
      </c>
      <c r="E724" s="29" t="n">
        <v>45742</v>
      </c>
      <c r="F724" s="29" t="n">
        <v>45745</v>
      </c>
      <c r="G724" s="31" t="n">
        <v>2013.63</v>
      </c>
      <c r="H724" s="31" t="n">
        <v>0</v>
      </c>
      <c r="I724" t="inlineStr">
        <is>
          <t>Denied</t>
        </is>
      </c>
      <c r="J724" t="inlineStr">
        <is>
          <t>Eligibility / Coverage</t>
        </is>
      </c>
      <c r="L724" s="33" t="n"/>
    </row>
    <row r="725">
      <c r="A725" t="inlineStr">
        <is>
          <t>CLM513656</t>
        </is>
      </c>
      <c r="B725" t="inlineStr">
        <is>
          <t>ENC113656</t>
        </is>
      </c>
      <c r="C725" t="inlineStr">
        <is>
          <t>Silverline Medicare Advantage</t>
        </is>
      </c>
      <c r="D725" t="inlineStr">
        <is>
          <t>Outpatient</t>
        </is>
      </c>
      <c r="E725" s="29" t="n">
        <v>45742</v>
      </c>
      <c r="F725" s="29" t="n">
        <v>45751</v>
      </c>
      <c r="G725" s="31" t="n">
        <v>292.86</v>
      </c>
      <c r="H725" s="31" t="n">
        <v>98.23999999999999</v>
      </c>
      <c r="I725" t="inlineStr">
        <is>
          <t>Paid</t>
        </is>
      </c>
      <c r="K725" s="29" t="n">
        <v>45791</v>
      </c>
      <c r="L725" s="33" t="n"/>
    </row>
    <row r="726">
      <c r="A726" t="inlineStr">
        <is>
          <t>CLM513657</t>
        </is>
      </c>
      <c r="B726" t="inlineStr">
        <is>
          <t>ENC113657</t>
        </is>
      </c>
      <c r="C726" t="inlineStr">
        <is>
          <t>Self-Pay</t>
        </is>
      </c>
      <c r="D726" t="inlineStr">
        <is>
          <t>Outpatient</t>
        </is>
      </c>
      <c r="E726" s="29" t="n">
        <v>45742</v>
      </c>
      <c r="F726" s="29" t="n">
        <v>45744</v>
      </c>
      <c r="G726" s="31" t="n">
        <v>476.77</v>
      </c>
      <c r="H726" s="31" t="n">
        <v>23.15</v>
      </c>
      <c r="I726" t="inlineStr">
        <is>
          <t>Partially Paid</t>
        </is>
      </c>
      <c r="K726" s="29" t="n">
        <v>45790</v>
      </c>
      <c r="L726" s="33" t="n"/>
    </row>
    <row r="727">
      <c r="A727" t="inlineStr">
        <is>
          <t>CLM513658</t>
        </is>
      </c>
      <c r="B727" t="inlineStr">
        <is>
          <t>ENC113658</t>
        </is>
      </c>
      <c r="C727" t="inlineStr">
        <is>
          <t>Summit Choice PPO</t>
        </is>
      </c>
      <c r="D727" t="inlineStr">
        <is>
          <t>Emergency</t>
        </is>
      </c>
      <c r="E727" s="29" t="n">
        <v>45742</v>
      </c>
      <c r="F727" s="29" t="n">
        <v>45745</v>
      </c>
      <c r="G727" s="31" t="n">
        <v>1173.36</v>
      </c>
      <c r="H727" s="31" t="n">
        <v>535</v>
      </c>
      <c r="I727" t="inlineStr">
        <is>
          <t>Paid</t>
        </is>
      </c>
      <c r="K727" s="29" t="n">
        <v>45760</v>
      </c>
      <c r="L727" s="33" t="n"/>
    </row>
    <row r="728">
      <c r="A728" t="inlineStr">
        <is>
          <t>CLM513660</t>
        </is>
      </c>
      <c r="B728" t="inlineStr">
        <is>
          <t>ENC113660</t>
        </is>
      </c>
      <c r="C728" t="inlineStr">
        <is>
          <t>Medicare</t>
        </is>
      </c>
      <c r="D728" t="inlineStr">
        <is>
          <t>Emergency</t>
        </is>
      </c>
      <c r="E728" s="29" t="n">
        <v>45742</v>
      </c>
      <c r="F728" s="29" t="n">
        <v>45744</v>
      </c>
      <c r="G728" s="31" t="n">
        <v>1491.28</v>
      </c>
      <c r="H728" s="31" t="n">
        <v>386.44</v>
      </c>
      <c r="I728" t="inlineStr">
        <is>
          <t>Paid</t>
        </is>
      </c>
      <c r="K728" s="29" t="n">
        <v>45760</v>
      </c>
      <c r="L728" s="33" t="n"/>
    </row>
    <row r="729">
      <c r="A729" t="inlineStr">
        <is>
          <t>CLM513669</t>
        </is>
      </c>
      <c r="B729" t="inlineStr">
        <is>
          <t>ENC113669</t>
        </is>
      </c>
      <c r="C729" t="inlineStr">
        <is>
          <t>State Medicaid</t>
        </is>
      </c>
      <c r="D729" t="inlineStr">
        <is>
          <t>Observation</t>
        </is>
      </c>
      <c r="E729" s="29" t="n">
        <v>45744</v>
      </c>
      <c r="F729" s="29" t="n">
        <v>45751</v>
      </c>
      <c r="G729" s="31" t="n">
        <v>10044.6</v>
      </c>
      <c r="H729" s="31" t="n">
        <v>0</v>
      </c>
      <c r="I729" t="inlineStr">
        <is>
          <t>Denied</t>
        </is>
      </c>
      <c r="J729" t="inlineStr">
        <is>
          <t>Medical Necessity</t>
        </is>
      </c>
      <c r="L729" s="33" t="n"/>
    </row>
    <row r="730">
      <c r="A730" t="inlineStr">
        <is>
          <t>CLM513672</t>
        </is>
      </c>
      <c r="B730" t="inlineStr">
        <is>
          <t>ENC113672</t>
        </is>
      </c>
      <c r="C730" t="inlineStr">
        <is>
          <t>State Medicaid</t>
        </is>
      </c>
      <c r="D730" t="inlineStr">
        <is>
          <t>Emergency</t>
        </is>
      </c>
      <c r="E730" s="29" t="n">
        <v>45743</v>
      </c>
      <c r="F730" s="29" t="n">
        <v>45746</v>
      </c>
      <c r="G730" s="31" t="n">
        <v>875.22</v>
      </c>
      <c r="H730" s="31" t="n">
        <v>190.02</v>
      </c>
      <c r="I730" t="inlineStr">
        <is>
          <t>Paid</t>
        </is>
      </c>
      <c r="K730" s="29" t="n">
        <v>45804</v>
      </c>
      <c r="L730" s="33" t="n"/>
    </row>
    <row r="731">
      <c r="A731" t="inlineStr">
        <is>
          <t>CLM513674</t>
        </is>
      </c>
      <c r="B731" t="inlineStr">
        <is>
          <t>ENC113674</t>
        </is>
      </c>
      <c r="C731" t="inlineStr">
        <is>
          <t>Medicare</t>
        </is>
      </c>
      <c r="D731" t="inlineStr">
        <is>
          <t>Outpatient</t>
        </is>
      </c>
      <c r="E731" s="29" t="n">
        <v>45743</v>
      </c>
      <c r="F731" s="29" t="n">
        <v>45746</v>
      </c>
      <c r="G731" s="31" t="n">
        <v>135.9</v>
      </c>
      <c r="H731" s="31" t="n">
        <v>37.41</v>
      </c>
      <c r="I731" t="inlineStr">
        <is>
          <t>Paid</t>
        </is>
      </c>
      <c r="K731" s="29" t="n">
        <v>45751</v>
      </c>
      <c r="L731" s="33" t="n"/>
    </row>
    <row r="732">
      <c r="A732" t="inlineStr">
        <is>
          <t>CLM513681</t>
        </is>
      </c>
      <c r="B732" t="inlineStr">
        <is>
          <t>ENC113681</t>
        </is>
      </c>
      <c r="C732" t="inlineStr">
        <is>
          <t>Silverline Medicare Advantage</t>
        </is>
      </c>
      <c r="D732" t="inlineStr">
        <is>
          <t>Inpatient</t>
        </is>
      </c>
      <c r="E732" s="29" t="n">
        <v>45746</v>
      </c>
      <c r="F732" s="29" t="n">
        <v>45752</v>
      </c>
      <c r="G732" s="31" t="n">
        <v>15272.22</v>
      </c>
      <c r="H732" s="31" t="n">
        <v>5194.26</v>
      </c>
      <c r="I732" t="inlineStr">
        <is>
          <t>Paid</t>
        </is>
      </c>
      <c r="K732" s="29" t="n">
        <v>45784</v>
      </c>
      <c r="L732" s="33" t="n"/>
    </row>
    <row r="733">
      <c r="A733" t="inlineStr">
        <is>
          <t>CLM513686</t>
        </is>
      </c>
      <c r="B733" t="inlineStr">
        <is>
          <t>ENC113686</t>
        </is>
      </c>
      <c r="C733" t="inlineStr">
        <is>
          <t>Medicare</t>
        </is>
      </c>
      <c r="D733" t="inlineStr">
        <is>
          <t>Outpatient</t>
        </is>
      </c>
      <c r="E733" s="29" t="n">
        <v>45743</v>
      </c>
      <c r="F733" s="29" t="n">
        <v>45745</v>
      </c>
      <c r="G733" s="31" t="n">
        <v>288.32</v>
      </c>
      <c r="H733" s="31" t="n">
        <v>80.66</v>
      </c>
      <c r="I733" t="inlineStr">
        <is>
          <t>Paid</t>
        </is>
      </c>
      <c r="K733" s="29" t="n">
        <v>45770</v>
      </c>
      <c r="L733" s="33" t="n"/>
    </row>
    <row r="734">
      <c r="A734" t="inlineStr">
        <is>
          <t>CLM513689</t>
        </is>
      </c>
      <c r="B734" t="inlineStr">
        <is>
          <t>ENC113689</t>
        </is>
      </c>
      <c r="C734" t="inlineStr">
        <is>
          <t>Evergreen Mutual Insurance</t>
        </is>
      </c>
      <c r="D734" t="inlineStr">
        <is>
          <t>Outpatient</t>
        </is>
      </c>
      <c r="E734" s="29" t="n">
        <v>45743</v>
      </c>
      <c r="F734" s="29" t="n">
        <v>45749</v>
      </c>
      <c r="G734" s="31" t="n">
        <v>13663.08</v>
      </c>
      <c r="H734" s="31" t="n">
        <v>5446.87</v>
      </c>
      <c r="I734" t="inlineStr">
        <is>
          <t>Paid</t>
        </is>
      </c>
      <c r="K734" s="29" t="n">
        <v>45781</v>
      </c>
      <c r="L734" s="33" t="n"/>
    </row>
    <row r="735">
      <c r="A735" t="inlineStr">
        <is>
          <t>CLM513703</t>
        </is>
      </c>
      <c r="B735" t="inlineStr">
        <is>
          <t>ENC113703</t>
        </is>
      </c>
      <c r="C735" t="inlineStr">
        <is>
          <t>Medicare</t>
        </is>
      </c>
      <c r="D735" t="inlineStr">
        <is>
          <t>Observation</t>
        </is>
      </c>
      <c r="E735" s="29" t="n">
        <v>45745</v>
      </c>
      <c r="F735" s="29" t="n">
        <v>45761</v>
      </c>
      <c r="G735" s="31" t="n">
        <v>11501.68</v>
      </c>
      <c r="H735" s="31" t="n">
        <v>2512.17</v>
      </c>
      <c r="I735" t="inlineStr">
        <is>
          <t>Partially Paid</t>
        </is>
      </c>
      <c r="J735" t="inlineStr">
        <is>
          <t>Missing Documentation</t>
        </is>
      </c>
      <c r="K735" s="29" t="n">
        <v>45772</v>
      </c>
      <c r="L735" s="33" t="n"/>
    </row>
    <row r="736">
      <c r="A736" t="inlineStr">
        <is>
          <t>CLM513709</t>
        </is>
      </c>
      <c r="B736" t="inlineStr">
        <is>
          <t>ENC113709</t>
        </is>
      </c>
      <c r="C736" t="inlineStr">
        <is>
          <t>Silverline Medicare Advantage</t>
        </is>
      </c>
      <c r="D736" t="inlineStr">
        <is>
          <t>Outpatient</t>
        </is>
      </c>
      <c r="E736" s="29" t="n">
        <v>45744</v>
      </c>
      <c r="F736" s="29" t="n">
        <v>45746</v>
      </c>
      <c r="G736" s="31" t="n">
        <v>435.39</v>
      </c>
      <c r="H736" s="31" t="n">
        <v>129.15</v>
      </c>
      <c r="I736" t="inlineStr">
        <is>
          <t>Paid</t>
        </is>
      </c>
      <c r="K736" s="29" t="n">
        <v>45772</v>
      </c>
      <c r="L736" s="33" t="n"/>
    </row>
    <row r="737">
      <c r="A737" t="inlineStr">
        <is>
          <t>CLM513721</t>
        </is>
      </c>
      <c r="B737" t="inlineStr">
        <is>
          <t>ENC113721</t>
        </is>
      </c>
      <c r="C737" t="inlineStr">
        <is>
          <t>Summit Choice PPO</t>
        </is>
      </c>
      <c r="D737" t="inlineStr">
        <is>
          <t>Emergency</t>
        </is>
      </c>
      <c r="E737" s="29" t="n">
        <v>45744</v>
      </c>
      <c r="F737" s="29" t="n">
        <v>45746</v>
      </c>
      <c r="G737" s="31" t="n">
        <v>5498.52</v>
      </c>
      <c r="H737" s="31" t="n">
        <v>2413.31</v>
      </c>
      <c r="I737" t="inlineStr">
        <is>
          <t>Paid</t>
        </is>
      </c>
      <c r="K737" s="29" t="n">
        <v>45760</v>
      </c>
      <c r="L737" s="33" t="n"/>
    </row>
    <row r="738">
      <c r="A738" t="inlineStr">
        <is>
          <t>CLM513724</t>
        </is>
      </c>
      <c r="B738" t="inlineStr">
        <is>
          <t>ENC113724</t>
        </is>
      </c>
      <c r="C738" t="inlineStr">
        <is>
          <t>Medicare</t>
        </is>
      </c>
      <c r="D738" t="inlineStr">
        <is>
          <t>Emergency</t>
        </is>
      </c>
      <c r="E738" s="29" t="n">
        <v>45744</v>
      </c>
      <c r="F738" s="29" t="n">
        <v>45789</v>
      </c>
      <c r="G738" s="31" t="n">
        <v>1376.18</v>
      </c>
      <c r="H738" s="31" t="n">
        <v>423.88</v>
      </c>
      <c r="I738" t="inlineStr">
        <is>
          <t>Paid</t>
        </is>
      </c>
      <c r="K738" s="29" t="n">
        <v>45810</v>
      </c>
      <c r="L738" s="33" t="n"/>
    </row>
    <row r="739">
      <c r="A739" t="inlineStr">
        <is>
          <t>CLM513730</t>
        </is>
      </c>
      <c r="B739" t="inlineStr">
        <is>
          <t>ENC113730</t>
        </is>
      </c>
      <c r="C739" t="inlineStr">
        <is>
          <t>Medicare</t>
        </is>
      </c>
      <c r="D739" t="inlineStr">
        <is>
          <t>Inpatient</t>
        </is>
      </c>
      <c r="E739" s="29" t="n">
        <v>45748</v>
      </c>
      <c r="F739" s="29" t="n">
        <v>45759</v>
      </c>
      <c r="G739" s="31" t="n">
        <v>11750.21</v>
      </c>
      <c r="H739" s="31" t="n">
        <v>3394.32</v>
      </c>
      <c r="I739" t="inlineStr">
        <is>
          <t>Paid</t>
        </is>
      </c>
      <c r="K739" s="29" t="n">
        <v>45770</v>
      </c>
      <c r="L739" s="33" t="n"/>
    </row>
    <row r="740">
      <c r="A740" t="inlineStr">
        <is>
          <t>CLM513731</t>
        </is>
      </c>
      <c r="B740" t="inlineStr">
        <is>
          <t>ENC113731</t>
        </is>
      </c>
      <c r="C740" t="inlineStr">
        <is>
          <t>State Medicaid</t>
        </is>
      </c>
      <c r="D740" t="inlineStr">
        <is>
          <t>Inpatient</t>
        </is>
      </c>
      <c r="E740" s="29" t="n">
        <v>45753</v>
      </c>
      <c r="F740" s="29" t="n">
        <v>45755</v>
      </c>
      <c r="G740" s="31" t="n">
        <v>32019.2</v>
      </c>
      <c r="H740" s="31" t="n">
        <v>8082.58</v>
      </c>
      <c r="I740" t="inlineStr">
        <is>
          <t>Paid</t>
        </is>
      </c>
      <c r="K740" s="29" t="n">
        <v>45780</v>
      </c>
      <c r="L740" s="33" t="n"/>
    </row>
    <row r="741">
      <c r="A741" t="inlineStr">
        <is>
          <t>CLM513742</t>
        </is>
      </c>
      <c r="B741" t="inlineStr">
        <is>
          <t>ENC113742</t>
        </is>
      </c>
      <c r="C741" t="inlineStr">
        <is>
          <t>Medicare</t>
        </is>
      </c>
      <c r="D741" t="inlineStr">
        <is>
          <t>Outpatient</t>
        </is>
      </c>
      <c r="E741" s="29" t="n">
        <v>45744</v>
      </c>
      <c r="F741" s="29" t="n">
        <v>45746</v>
      </c>
      <c r="G741" s="31" t="n">
        <v>485.97</v>
      </c>
      <c r="H741" s="31" t="n">
        <v>133.27</v>
      </c>
      <c r="I741" t="inlineStr">
        <is>
          <t>Paid</t>
        </is>
      </c>
      <c r="K741" s="29" t="n">
        <v>45756</v>
      </c>
      <c r="L741" s="33" t="n"/>
    </row>
    <row r="742">
      <c r="A742" t="inlineStr">
        <is>
          <t>CLM513744</t>
        </is>
      </c>
      <c r="B742" t="inlineStr">
        <is>
          <t>ENC113744</t>
        </is>
      </c>
      <c r="C742" t="inlineStr">
        <is>
          <t>Keystone Health Partners</t>
        </is>
      </c>
      <c r="D742" t="inlineStr">
        <is>
          <t>Outpatient</t>
        </is>
      </c>
      <c r="E742" s="29" t="n">
        <v>45744</v>
      </c>
      <c r="F742" s="29" t="n">
        <v>45749</v>
      </c>
      <c r="G742" s="31" t="n">
        <v>349.03</v>
      </c>
      <c r="H742" s="31" t="n">
        <v>134.75</v>
      </c>
      <c r="I742" t="inlineStr">
        <is>
          <t>Paid</t>
        </is>
      </c>
      <c r="K742" s="29" t="n">
        <v>45767</v>
      </c>
      <c r="L742" s="33" t="n"/>
    </row>
    <row r="743">
      <c r="A743" t="inlineStr">
        <is>
          <t>CLM513746</t>
        </is>
      </c>
      <c r="B743" t="inlineStr">
        <is>
          <t>ENC113746</t>
        </is>
      </c>
      <c r="C743" t="inlineStr">
        <is>
          <t>Silverline Medicare Advantage</t>
        </is>
      </c>
      <c r="D743" t="inlineStr">
        <is>
          <t>Inpatient</t>
        </is>
      </c>
      <c r="E743" s="29" t="n">
        <v>45747</v>
      </c>
      <c r="F743" s="29" t="n">
        <v>45751</v>
      </c>
      <c r="G743" s="31" t="n">
        <v>16483.71</v>
      </c>
      <c r="H743" s="31" t="n">
        <v>4924.27</v>
      </c>
      <c r="I743" t="inlineStr">
        <is>
          <t>Paid</t>
        </is>
      </c>
      <c r="K743" s="29" t="n">
        <v>45781</v>
      </c>
      <c r="L743" s="33" t="n"/>
    </row>
    <row r="744">
      <c r="A744" t="inlineStr">
        <is>
          <t>CLM513752</t>
        </is>
      </c>
      <c r="B744" t="inlineStr">
        <is>
          <t>ENC113752</t>
        </is>
      </c>
      <c r="C744" t="inlineStr">
        <is>
          <t>Silverline Medicare Advantage</t>
        </is>
      </c>
      <c r="D744" t="inlineStr">
        <is>
          <t>Emergency</t>
        </is>
      </c>
      <c r="E744" s="29" t="n">
        <v>45745</v>
      </c>
      <c r="F744" s="29" t="n">
        <v>45746</v>
      </c>
      <c r="G744" s="31" t="n">
        <v>4872.49</v>
      </c>
      <c r="H744" s="31" t="n">
        <v>1395.26</v>
      </c>
      <c r="I744" t="inlineStr">
        <is>
          <t>Paid</t>
        </is>
      </c>
      <c r="K744" s="29" t="n">
        <v>45765</v>
      </c>
      <c r="L744" s="33" t="n"/>
    </row>
    <row r="745">
      <c r="A745" t="inlineStr">
        <is>
          <t>CLM513753</t>
        </is>
      </c>
      <c r="B745" t="inlineStr">
        <is>
          <t>ENC113753</t>
        </is>
      </c>
      <c r="C745" t="inlineStr">
        <is>
          <t>State Medicaid</t>
        </is>
      </c>
      <c r="D745" t="inlineStr">
        <is>
          <t>Observation</t>
        </is>
      </c>
      <c r="E745" s="29" t="n">
        <v>45746</v>
      </c>
      <c r="F745" s="29" t="n">
        <v>45751</v>
      </c>
      <c r="G745" s="31" t="n">
        <v>7592.67</v>
      </c>
      <c r="H745" s="31" t="n">
        <v>1944.96</v>
      </c>
      <c r="I745" t="inlineStr">
        <is>
          <t>Paid</t>
        </is>
      </c>
      <c r="K745" s="29" t="n">
        <v>45785</v>
      </c>
      <c r="L745" s="33" t="n"/>
    </row>
    <row r="746">
      <c r="A746" t="inlineStr">
        <is>
          <t>CLM513758</t>
        </is>
      </c>
      <c r="B746" t="inlineStr">
        <is>
          <t>ENC113758</t>
        </is>
      </c>
      <c r="C746" t="inlineStr">
        <is>
          <t>Summit Choice PPO</t>
        </is>
      </c>
      <c r="D746" t="inlineStr">
        <is>
          <t>Observation</t>
        </is>
      </c>
      <c r="E746" s="29" t="n">
        <v>45746</v>
      </c>
      <c r="F746" s="29" t="n">
        <v>45749</v>
      </c>
      <c r="G746" s="31" t="n">
        <v>6894.48</v>
      </c>
      <c r="H746" s="31" t="n">
        <v>3422.41</v>
      </c>
      <c r="I746" t="inlineStr">
        <is>
          <t>Paid</t>
        </is>
      </c>
      <c r="K746" s="29" t="n">
        <v>45772</v>
      </c>
      <c r="L746" s="33" t="n"/>
    </row>
    <row r="747">
      <c r="A747" t="inlineStr">
        <is>
          <t>CLM513766</t>
        </is>
      </c>
      <c r="B747" t="inlineStr">
        <is>
          <t>ENC113766</t>
        </is>
      </c>
      <c r="C747" t="inlineStr">
        <is>
          <t>Medicare</t>
        </is>
      </c>
      <c r="D747" t="inlineStr">
        <is>
          <t>Emergency</t>
        </is>
      </c>
      <c r="E747" s="29" t="n">
        <v>45745</v>
      </c>
      <c r="F747" s="29" t="n">
        <v>45751</v>
      </c>
      <c r="G747" s="31" t="n">
        <v>2304.59</v>
      </c>
      <c r="H747" s="31" t="n">
        <v>629.6799999999999</v>
      </c>
      <c r="I747" t="inlineStr">
        <is>
          <t>Paid</t>
        </is>
      </c>
      <c r="K747" s="29" t="n">
        <v>45758</v>
      </c>
      <c r="L747" s="33" t="n"/>
    </row>
    <row r="748">
      <c r="A748" t="inlineStr">
        <is>
          <t>CLM513769</t>
        </is>
      </c>
      <c r="B748" t="inlineStr">
        <is>
          <t>ENC113769</t>
        </is>
      </c>
      <c r="C748" t="inlineStr">
        <is>
          <t>Evergreen Mutual Insurance</t>
        </is>
      </c>
      <c r="D748" t="inlineStr">
        <is>
          <t>Inpatient</t>
        </is>
      </c>
      <c r="E748" s="29" t="n">
        <v>45747</v>
      </c>
      <c r="F748" s="29" t="n">
        <v>45837</v>
      </c>
      <c r="G748" s="31" t="n">
        <v>10583.64</v>
      </c>
      <c r="H748" s="31" t="n">
        <v>4310.93</v>
      </c>
      <c r="I748" t="inlineStr">
        <is>
          <t>Paid</t>
        </is>
      </c>
      <c r="K748" s="29" t="n">
        <v>45867</v>
      </c>
      <c r="L748" s="33" t="n"/>
    </row>
    <row r="749">
      <c r="A749" t="inlineStr">
        <is>
          <t>CLM513771</t>
        </is>
      </c>
      <c r="B749" t="inlineStr">
        <is>
          <t>ENC113771</t>
        </is>
      </c>
      <c r="C749" t="inlineStr">
        <is>
          <t>Medicare</t>
        </is>
      </c>
      <c r="D749" t="inlineStr">
        <is>
          <t>Inpatient</t>
        </is>
      </c>
      <c r="E749" s="29" t="n">
        <v>45749</v>
      </c>
      <c r="F749" s="29" t="n">
        <v>45751</v>
      </c>
      <c r="G749" s="31" t="n">
        <v>10088.08</v>
      </c>
      <c r="H749" s="31" t="n">
        <v>2879.96</v>
      </c>
      <c r="I749" t="inlineStr">
        <is>
          <t>Paid</t>
        </is>
      </c>
      <c r="K749" s="29" t="n">
        <v>45762</v>
      </c>
      <c r="L749" s="33" t="n"/>
    </row>
    <row r="750">
      <c r="A750" t="inlineStr">
        <is>
          <t>CLM513776</t>
        </is>
      </c>
      <c r="B750" t="inlineStr">
        <is>
          <t>ENC113776</t>
        </is>
      </c>
      <c r="C750" t="inlineStr">
        <is>
          <t>State Medicaid</t>
        </is>
      </c>
      <c r="D750" t="inlineStr">
        <is>
          <t>Emergency</t>
        </is>
      </c>
      <c r="E750" s="29" t="n">
        <v>45746</v>
      </c>
      <c r="F750" s="29" t="n">
        <v>45749</v>
      </c>
      <c r="G750" s="31" t="n">
        <v>1498.43</v>
      </c>
      <c r="H750" s="31" t="n">
        <v>0</v>
      </c>
      <c r="I750" t="inlineStr">
        <is>
          <t>Denied</t>
        </is>
      </c>
      <c r="J750" t="inlineStr">
        <is>
          <t>Medical Necessity</t>
        </is>
      </c>
      <c r="L750" s="33" t="n"/>
    </row>
    <row r="751">
      <c r="A751" t="inlineStr">
        <is>
          <t>CLM513778</t>
        </is>
      </c>
      <c r="B751" t="inlineStr">
        <is>
          <t>ENC113778</t>
        </is>
      </c>
      <c r="C751" t="inlineStr">
        <is>
          <t>Summit Choice PPO</t>
        </is>
      </c>
      <c r="D751" t="inlineStr">
        <is>
          <t>Emergency</t>
        </is>
      </c>
      <c r="E751" s="29" t="n">
        <v>45746</v>
      </c>
      <c r="F751" s="29" t="n">
        <v>45748</v>
      </c>
      <c r="G751" s="31" t="n">
        <v>1698.45</v>
      </c>
      <c r="H751" s="31" t="n">
        <v>870.6900000000001</v>
      </c>
      <c r="I751" t="inlineStr">
        <is>
          <t>Paid</t>
        </is>
      </c>
      <c r="K751" s="29" t="n">
        <v>45784</v>
      </c>
      <c r="L751" s="33" t="n"/>
    </row>
    <row r="752">
      <c r="A752" t="inlineStr">
        <is>
          <t>CLM513780</t>
        </is>
      </c>
      <c r="B752" t="inlineStr">
        <is>
          <t>ENC113780</t>
        </is>
      </c>
      <c r="C752" t="inlineStr">
        <is>
          <t>State Medicaid</t>
        </is>
      </c>
      <c r="D752" t="inlineStr">
        <is>
          <t>Emergency</t>
        </is>
      </c>
      <c r="E752" s="29" t="n">
        <v>45746</v>
      </c>
      <c r="F752" s="29" t="n">
        <v>45749</v>
      </c>
      <c r="G752" s="31" t="n">
        <v>1298.27</v>
      </c>
      <c r="H752" s="31" t="n">
        <v>318.11</v>
      </c>
      <c r="I752" t="inlineStr">
        <is>
          <t>Paid</t>
        </is>
      </c>
      <c r="K752" s="29" t="n">
        <v>45781</v>
      </c>
      <c r="L752" s="33" t="n"/>
    </row>
    <row r="753">
      <c r="A753" t="inlineStr">
        <is>
          <t>CLM513782</t>
        </is>
      </c>
      <c r="B753" t="inlineStr">
        <is>
          <t>ENC113782</t>
        </is>
      </c>
      <c r="C753" t="inlineStr">
        <is>
          <t>Medicare</t>
        </is>
      </c>
      <c r="D753" t="inlineStr">
        <is>
          <t>Emergency</t>
        </is>
      </c>
      <c r="E753" s="29" t="n">
        <v>45747</v>
      </c>
      <c r="F753" s="29" t="n">
        <v>45772</v>
      </c>
      <c r="G753" s="31" t="n">
        <v>2931.54</v>
      </c>
      <c r="H753" s="31" t="n">
        <v>838.59</v>
      </c>
      <c r="I753" t="inlineStr">
        <is>
          <t>Paid</t>
        </is>
      </c>
      <c r="K753" s="29" t="n">
        <v>45783</v>
      </c>
      <c r="L753" s="33" t="n"/>
    </row>
    <row r="754">
      <c r="A754" t="inlineStr">
        <is>
          <t>CLM513784</t>
        </is>
      </c>
      <c r="B754" t="inlineStr">
        <is>
          <t>ENC113784</t>
        </is>
      </c>
      <c r="C754" t="inlineStr">
        <is>
          <t>Self-Pay</t>
        </is>
      </c>
      <c r="D754" t="inlineStr">
        <is>
          <t>Emergency</t>
        </is>
      </c>
      <c r="E754" s="29" t="n">
        <v>45747</v>
      </c>
      <c r="F754" s="29" t="n">
        <v>45751</v>
      </c>
      <c r="G754" s="31" t="n">
        <v>1214.32</v>
      </c>
      <c r="H754" s="31" t="n">
        <v>0</v>
      </c>
      <c r="I754" t="inlineStr">
        <is>
          <t>Pending</t>
        </is>
      </c>
      <c r="L754" s="33" t="n"/>
    </row>
    <row r="755">
      <c r="A755" t="inlineStr">
        <is>
          <t>CLM513790</t>
        </is>
      </c>
      <c r="B755" t="inlineStr">
        <is>
          <t>ENC113790</t>
        </is>
      </c>
      <c r="C755" t="inlineStr">
        <is>
          <t>Medicare</t>
        </is>
      </c>
      <c r="D755" t="inlineStr">
        <is>
          <t>Outpatient</t>
        </is>
      </c>
      <c r="E755" s="29" t="n">
        <v>45747</v>
      </c>
      <c r="F755" s="29" t="n">
        <v>45750</v>
      </c>
      <c r="G755" s="31" t="n">
        <v>333.36</v>
      </c>
      <c r="H755" s="31" t="n">
        <v>92.44</v>
      </c>
      <c r="I755" t="inlineStr">
        <is>
          <t>Paid</t>
        </is>
      </c>
      <c r="K755" s="29" t="n">
        <v>45758</v>
      </c>
      <c r="L755" s="33" t="n"/>
    </row>
    <row r="756">
      <c r="A756" t="inlineStr">
        <is>
          <t>CLM513792</t>
        </is>
      </c>
      <c r="B756" t="inlineStr">
        <is>
          <t>ENC113792</t>
        </is>
      </c>
      <c r="C756" t="inlineStr">
        <is>
          <t>Evergreen Mutual Insurance</t>
        </is>
      </c>
      <c r="D756" t="inlineStr">
        <is>
          <t>Outpatient</t>
        </is>
      </c>
      <c r="E756" s="29" t="n">
        <v>45747</v>
      </c>
      <c r="F756" s="29" t="n">
        <v>45750</v>
      </c>
      <c r="G756" s="31" t="n">
        <v>105.64</v>
      </c>
      <c r="H756" s="31" t="n">
        <v>44.5</v>
      </c>
      <c r="I756" t="inlineStr">
        <is>
          <t>Paid</t>
        </is>
      </c>
      <c r="K756" s="29" t="n">
        <v>45768</v>
      </c>
      <c r="L756" s="33" t="n"/>
    </row>
    <row r="757">
      <c r="A757" t="inlineStr">
        <is>
          <t>CLM513795</t>
        </is>
      </c>
      <c r="B757" t="inlineStr">
        <is>
          <t>ENC113795</t>
        </is>
      </c>
      <c r="C757" t="inlineStr">
        <is>
          <t>Keystone Health Partners</t>
        </is>
      </c>
      <c r="D757" t="inlineStr">
        <is>
          <t>Outpatient</t>
        </is>
      </c>
      <c r="E757" s="29" t="n">
        <v>45747</v>
      </c>
      <c r="F757" s="29" t="n">
        <v>45755</v>
      </c>
      <c r="G757" s="31" t="n">
        <v>327.29</v>
      </c>
      <c r="H757" s="31" t="n">
        <v>75.36</v>
      </c>
      <c r="I757" t="inlineStr">
        <is>
          <t>Partially Paid</t>
        </is>
      </c>
      <c r="J757" t="inlineStr">
        <is>
          <t>Medical Necessity</t>
        </is>
      </c>
      <c r="K757" s="29" t="n">
        <v>45802</v>
      </c>
      <c r="L757" s="33" t="n"/>
    </row>
    <row r="758">
      <c r="A758" t="inlineStr">
        <is>
          <t>CLM513799</t>
        </is>
      </c>
      <c r="B758" t="inlineStr">
        <is>
          <t>ENC113799</t>
        </is>
      </c>
      <c r="C758" t="inlineStr">
        <is>
          <t>Keystone Health Partners</t>
        </is>
      </c>
      <c r="D758" t="inlineStr">
        <is>
          <t>Emergency</t>
        </is>
      </c>
      <c r="E758" s="29" t="n">
        <v>45747</v>
      </c>
      <c r="F758" s="29" t="n">
        <v>45755</v>
      </c>
      <c r="G758" s="31" t="n">
        <v>1404.28</v>
      </c>
      <c r="H758" s="31" t="n">
        <v>650.23</v>
      </c>
      <c r="I758" t="inlineStr">
        <is>
          <t>Paid</t>
        </is>
      </c>
      <c r="K758" s="29" t="n">
        <v>45778</v>
      </c>
      <c r="L758" s="33" t="n"/>
    </row>
    <row r="759">
      <c r="A759" t="inlineStr">
        <is>
          <t>CLM513803</t>
        </is>
      </c>
      <c r="B759" t="inlineStr">
        <is>
          <t>ENC113803</t>
        </is>
      </c>
      <c r="C759" t="inlineStr">
        <is>
          <t>Keystone Health Partners</t>
        </is>
      </c>
      <c r="D759" t="inlineStr">
        <is>
          <t>Outpatient</t>
        </is>
      </c>
      <c r="E759" s="29" t="n">
        <v>45747</v>
      </c>
      <c r="F759" s="29" t="n">
        <v>45749</v>
      </c>
      <c r="G759" s="31" t="n">
        <v>231.27</v>
      </c>
      <c r="H759" s="31" t="n">
        <v>104.93</v>
      </c>
      <c r="I759" t="inlineStr">
        <is>
          <t>Paid</t>
        </is>
      </c>
      <c r="K759" s="29" t="n">
        <v>45775</v>
      </c>
      <c r="L759" s="33" t="n"/>
    </row>
    <row r="760">
      <c r="A760" t="inlineStr">
        <is>
          <t>CLM513807</t>
        </is>
      </c>
      <c r="B760" t="inlineStr">
        <is>
          <t>ENC113807</t>
        </is>
      </c>
      <c r="C760" t="inlineStr">
        <is>
          <t>Keystone Health Partners</t>
        </is>
      </c>
      <c r="D760" t="inlineStr">
        <is>
          <t>Outpatient</t>
        </is>
      </c>
      <c r="E760" s="29" t="n">
        <v>45747</v>
      </c>
      <c r="F760" s="29" t="n">
        <v>45751</v>
      </c>
      <c r="G760" s="31" t="n">
        <v>270.76</v>
      </c>
      <c r="H760" s="31" t="n">
        <v>124.55</v>
      </c>
      <c r="I760" t="inlineStr">
        <is>
          <t>Paid</t>
        </is>
      </c>
      <c r="K760" s="29" t="n">
        <v>45774</v>
      </c>
      <c r="L760" s="33" t="n"/>
    </row>
    <row r="761">
      <c r="A761" t="inlineStr">
        <is>
          <t>CLM513808</t>
        </is>
      </c>
      <c r="B761" t="inlineStr">
        <is>
          <t>ENC113808</t>
        </is>
      </c>
      <c r="C761" t="inlineStr">
        <is>
          <t>Evergreen Mutual Insurance</t>
        </is>
      </c>
      <c r="D761" t="inlineStr">
        <is>
          <t>Emergency</t>
        </is>
      </c>
      <c r="E761" s="29" t="n">
        <v>45747</v>
      </c>
      <c r="F761" s="29" t="n">
        <v>45750</v>
      </c>
      <c r="G761" s="31" t="n">
        <v>2019.23</v>
      </c>
      <c r="H761" s="31" t="n">
        <v>1041.24</v>
      </c>
      <c r="I761" t="inlineStr">
        <is>
          <t>Paid</t>
        </is>
      </c>
      <c r="K761" s="29" t="n">
        <v>45784</v>
      </c>
      <c r="L761" s="33" t="n"/>
    </row>
    <row r="762">
      <c r="A762" t="inlineStr">
        <is>
          <t>CLM513817</t>
        </is>
      </c>
      <c r="B762" t="inlineStr">
        <is>
          <t>ENC113817</t>
        </is>
      </c>
      <c r="C762" t="inlineStr">
        <is>
          <t>Keystone Health Partners</t>
        </is>
      </c>
      <c r="D762" t="inlineStr">
        <is>
          <t>Outpatient</t>
        </is>
      </c>
      <c r="E762" s="29" t="n">
        <v>45748</v>
      </c>
      <c r="F762" s="29" t="n">
        <v>45879</v>
      </c>
      <c r="G762" s="31" t="n">
        <v>394.62</v>
      </c>
      <c r="H762" s="31" t="n">
        <v>0</v>
      </c>
      <c r="I762" t="inlineStr">
        <is>
          <t>Appealed</t>
        </is>
      </c>
      <c r="J762" t="inlineStr">
        <is>
          <t>Timely Filing</t>
        </is>
      </c>
      <c r="L762" s="33" t="n"/>
    </row>
    <row r="763">
      <c r="A763" t="inlineStr">
        <is>
          <t>CLM513820</t>
        </is>
      </c>
      <c r="B763" t="inlineStr">
        <is>
          <t>ENC113820</t>
        </is>
      </c>
      <c r="C763" t="inlineStr">
        <is>
          <t>Silverline Medicare Advantage</t>
        </is>
      </c>
      <c r="D763" t="inlineStr">
        <is>
          <t>Outpatient</t>
        </is>
      </c>
      <c r="E763" s="29" t="n">
        <v>45748</v>
      </c>
      <c r="F763" s="29" t="n">
        <v>45750</v>
      </c>
      <c r="G763" s="31" t="n">
        <v>509.31</v>
      </c>
      <c r="H763" s="31" t="n">
        <v>164.71</v>
      </c>
      <c r="I763" t="inlineStr">
        <is>
          <t>Paid</t>
        </is>
      </c>
      <c r="K763" s="29" t="n">
        <v>45778</v>
      </c>
      <c r="L763" s="33" t="n"/>
    </row>
    <row r="764">
      <c r="A764" t="inlineStr">
        <is>
          <t>CLM513821</t>
        </is>
      </c>
      <c r="B764" t="inlineStr">
        <is>
          <t>ENC113821</t>
        </is>
      </c>
      <c r="C764" t="inlineStr">
        <is>
          <t>Medicare</t>
        </is>
      </c>
      <c r="D764" t="inlineStr">
        <is>
          <t>Outpatient</t>
        </is>
      </c>
      <c r="E764" s="29" t="n">
        <v>45748</v>
      </c>
      <c r="F764" s="29" t="n">
        <v>45751</v>
      </c>
      <c r="G764" s="31" t="n">
        <v>473.49</v>
      </c>
      <c r="H764" s="31" t="n">
        <v>133.98</v>
      </c>
      <c r="I764" t="inlineStr">
        <is>
          <t>Paid</t>
        </is>
      </c>
      <c r="K764" s="29" t="n">
        <v>45764</v>
      </c>
      <c r="L764" s="33" t="n"/>
    </row>
    <row r="765">
      <c r="A765" t="inlineStr">
        <is>
          <t>CLM513839</t>
        </is>
      </c>
      <c r="B765" t="inlineStr">
        <is>
          <t>ENC113839</t>
        </is>
      </c>
      <c r="C765" t="inlineStr">
        <is>
          <t>State Medicaid</t>
        </is>
      </c>
      <c r="D765" t="inlineStr">
        <is>
          <t>Inpatient</t>
        </is>
      </c>
      <c r="E765" s="29" t="n">
        <v>45753</v>
      </c>
      <c r="F765" s="29" t="n">
        <v>45759</v>
      </c>
      <c r="G765" s="31" t="n">
        <v>33353.92</v>
      </c>
      <c r="H765" s="31" t="n">
        <v>8671.450000000001</v>
      </c>
      <c r="I765" t="inlineStr">
        <is>
          <t>Paid</t>
        </is>
      </c>
      <c r="K765" s="29" t="n">
        <v>45835</v>
      </c>
      <c r="L765" s="33" t="n"/>
    </row>
    <row r="766">
      <c r="A766" t="inlineStr">
        <is>
          <t>CLM513840</t>
        </is>
      </c>
      <c r="B766" t="inlineStr">
        <is>
          <t>ENC113840</t>
        </is>
      </c>
      <c r="C766" t="inlineStr">
        <is>
          <t>State Medicaid</t>
        </is>
      </c>
      <c r="D766" t="inlineStr">
        <is>
          <t>Emergency</t>
        </is>
      </c>
      <c r="E766" s="29" t="n">
        <v>45748</v>
      </c>
      <c r="F766" s="29" t="n">
        <v>45752</v>
      </c>
      <c r="G766" s="31" t="n">
        <v>3148.42</v>
      </c>
      <c r="H766" s="31" t="n">
        <v>0</v>
      </c>
      <c r="I766" t="inlineStr">
        <is>
          <t>Denied</t>
        </is>
      </c>
      <c r="J766" t="inlineStr">
        <is>
          <t>Authorization Required</t>
        </is>
      </c>
      <c r="L766" s="33" t="n"/>
    </row>
    <row r="767">
      <c r="A767" t="inlineStr">
        <is>
          <t>CLM513841</t>
        </is>
      </c>
      <c r="B767" t="inlineStr">
        <is>
          <t>ENC113841</t>
        </is>
      </c>
      <c r="C767" t="inlineStr">
        <is>
          <t>Medicare</t>
        </is>
      </c>
      <c r="D767" t="inlineStr">
        <is>
          <t>Emergency</t>
        </is>
      </c>
      <c r="E767" s="29" t="n">
        <v>45748</v>
      </c>
      <c r="F767" s="29" t="n">
        <v>45749</v>
      </c>
      <c r="G767" s="31" t="n">
        <v>2688.02</v>
      </c>
      <c r="H767" s="31" t="n">
        <v>708.1799999999999</v>
      </c>
      <c r="I767" t="inlineStr">
        <is>
          <t>Partially Paid</t>
        </is>
      </c>
      <c r="J767" t="inlineStr">
        <is>
          <t>Coding Error</t>
        </is>
      </c>
      <c r="K767" s="29" t="n">
        <v>45763</v>
      </c>
      <c r="L767" s="33" t="n"/>
    </row>
    <row r="768">
      <c r="A768" t="inlineStr">
        <is>
          <t>CLM513846</t>
        </is>
      </c>
      <c r="B768" t="inlineStr">
        <is>
          <t>ENC113846</t>
        </is>
      </c>
      <c r="C768" t="inlineStr">
        <is>
          <t>Keystone Health Partners</t>
        </is>
      </c>
      <c r="D768" t="inlineStr">
        <is>
          <t>Emergency</t>
        </is>
      </c>
      <c r="E768" s="29" t="n">
        <v>45749</v>
      </c>
      <c r="F768" s="29" t="n">
        <v>45755</v>
      </c>
      <c r="G768" s="31" t="n">
        <v>3580.5</v>
      </c>
      <c r="H768" s="31" t="n">
        <v>1675.97</v>
      </c>
      <c r="I768" t="inlineStr">
        <is>
          <t>Paid</t>
        </is>
      </c>
      <c r="K768" s="29" t="n">
        <v>45782</v>
      </c>
      <c r="L768" s="33" t="n"/>
    </row>
    <row r="769">
      <c r="A769" t="inlineStr">
        <is>
          <t>CLM513851</t>
        </is>
      </c>
      <c r="B769" t="inlineStr">
        <is>
          <t>ENC113851</t>
        </is>
      </c>
      <c r="C769" t="inlineStr">
        <is>
          <t>Keystone Health Partners</t>
        </is>
      </c>
      <c r="D769" t="inlineStr">
        <is>
          <t>Outpatient</t>
        </is>
      </c>
      <c r="E769" s="29" t="n">
        <v>45749</v>
      </c>
      <c r="F769" s="29" t="n">
        <v>45758</v>
      </c>
      <c r="G769" s="31" t="n">
        <v>110.95</v>
      </c>
      <c r="H769" s="31" t="n">
        <v>51.35</v>
      </c>
      <c r="I769" t="inlineStr">
        <is>
          <t>Paid</t>
        </is>
      </c>
      <c r="K769" s="29" t="n">
        <v>45775</v>
      </c>
      <c r="L769" s="33" t="n"/>
    </row>
    <row r="770">
      <c r="A770" t="inlineStr">
        <is>
          <t>CLM513852</t>
        </is>
      </c>
      <c r="B770" t="inlineStr">
        <is>
          <t>ENC113852</t>
        </is>
      </c>
      <c r="C770" t="inlineStr">
        <is>
          <t>State Medicaid</t>
        </is>
      </c>
      <c r="D770" t="inlineStr">
        <is>
          <t>Outpatient</t>
        </is>
      </c>
      <c r="E770" s="29" t="n">
        <v>45749</v>
      </c>
      <c r="F770" s="29" t="n">
        <v>45752</v>
      </c>
      <c r="G770" s="31" t="n">
        <v>492.65</v>
      </c>
      <c r="H770" s="31" t="n">
        <v>0</v>
      </c>
      <c r="I770" t="inlineStr">
        <is>
          <t>Denied</t>
        </is>
      </c>
      <c r="J770" t="inlineStr">
        <is>
          <t>Medical Necessity</t>
        </is>
      </c>
      <c r="L770" s="33" t="n"/>
    </row>
    <row r="771">
      <c r="A771" t="inlineStr">
        <is>
          <t>CLM513856</t>
        </is>
      </c>
      <c r="B771" t="inlineStr">
        <is>
          <t>ENC113856</t>
        </is>
      </c>
      <c r="C771" t="inlineStr">
        <is>
          <t>Evergreen Mutual Insurance</t>
        </is>
      </c>
      <c r="D771" t="inlineStr">
        <is>
          <t>Outpatient</t>
        </is>
      </c>
      <c r="E771" s="29" t="n">
        <v>45749</v>
      </c>
      <c r="F771" s="29" t="n">
        <v>45758</v>
      </c>
      <c r="G771" s="31" t="n">
        <v>337.29</v>
      </c>
      <c r="H771" s="31" t="n">
        <v>150.93</v>
      </c>
      <c r="I771" t="inlineStr">
        <is>
          <t>Paid</t>
        </is>
      </c>
      <c r="K771" s="29" t="n">
        <v>45776</v>
      </c>
      <c r="L771" s="33" t="n"/>
    </row>
    <row r="772">
      <c r="A772" t="inlineStr">
        <is>
          <t>CLM513857</t>
        </is>
      </c>
      <c r="B772" t="inlineStr">
        <is>
          <t>ENC113857</t>
        </is>
      </c>
      <c r="C772" t="inlineStr">
        <is>
          <t>Silverline Medicare Advantage</t>
        </is>
      </c>
      <c r="D772" t="inlineStr">
        <is>
          <t>Emergency</t>
        </is>
      </c>
      <c r="E772" s="29" t="n">
        <v>45749</v>
      </c>
      <c r="F772" s="29" t="n">
        <v>45753</v>
      </c>
      <c r="G772" s="31" t="n">
        <v>1746.41</v>
      </c>
      <c r="H772" s="31" t="n">
        <v>589.74</v>
      </c>
      <c r="I772" t="inlineStr">
        <is>
          <t>Paid</t>
        </is>
      </c>
      <c r="K772" s="29" t="n">
        <v>45775</v>
      </c>
      <c r="L772" s="33" t="n"/>
    </row>
    <row r="773">
      <c r="A773" t="inlineStr">
        <is>
          <t>CLM513865</t>
        </is>
      </c>
      <c r="B773" t="inlineStr">
        <is>
          <t>ENC113865</t>
        </is>
      </c>
      <c r="C773" t="inlineStr">
        <is>
          <t>Keystone Health Partners</t>
        </is>
      </c>
      <c r="D773" t="inlineStr">
        <is>
          <t>Outpatient</t>
        </is>
      </c>
      <c r="E773" s="29" t="n">
        <v>45749</v>
      </c>
      <c r="F773" s="29" t="n">
        <v>45751</v>
      </c>
      <c r="G773" s="31" t="n">
        <v>284.35</v>
      </c>
      <c r="H773" s="31" t="n">
        <v>123.63</v>
      </c>
      <c r="I773" t="inlineStr">
        <is>
          <t>Paid</t>
        </is>
      </c>
      <c r="K773" s="29" t="n">
        <v>45776</v>
      </c>
      <c r="L773" s="33" t="n"/>
    </row>
    <row r="774">
      <c r="A774" t="inlineStr">
        <is>
          <t>CLM513866</t>
        </is>
      </c>
      <c r="B774" t="inlineStr">
        <is>
          <t>ENC113866</t>
        </is>
      </c>
      <c r="C774" t="inlineStr">
        <is>
          <t>Medicare</t>
        </is>
      </c>
      <c r="D774" t="inlineStr">
        <is>
          <t>Emergency</t>
        </is>
      </c>
      <c r="E774" s="29" t="n">
        <v>45749</v>
      </c>
      <c r="F774" s="29" t="n">
        <v>45764</v>
      </c>
      <c r="G774" s="31" t="n">
        <v>2182.97</v>
      </c>
      <c r="H774" s="31" t="n">
        <v>639.9299999999999</v>
      </c>
      <c r="I774" t="inlineStr">
        <is>
          <t>Paid</t>
        </is>
      </c>
      <c r="K774" s="29" t="n">
        <v>45778</v>
      </c>
      <c r="L774" s="33" t="n"/>
    </row>
    <row r="775">
      <c r="A775" t="inlineStr">
        <is>
          <t>CLM513868</t>
        </is>
      </c>
      <c r="B775" t="inlineStr">
        <is>
          <t>ENC113868</t>
        </is>
      </c>
      <c r="C775" t="inlineStr">
        <is>
          <t>Summit Choice PPO</t>
        </is>
      </c>
      <c r="D775" t="inlineStr">
        <is>
          <t>Inpatient</t>
        </is>
      </c>
      <c r="E775" s="29" t="n">
        <v>45754</v>
      </c>
      <c r="F775" s="29" t="n">
        <v>45759</v>
      </c>
      <c r="G775" s="31" t="n">
        <v>82008.28</v>
      </c>
      <c r="H775" s="31" t="n">
        <v>39951.43</v>
      </c>
      <c r="I775" t="inlineStr">
        <is>
          <t>Paid</t>
        </is>
      </c>
      <c r="K775" s="29" t="n">
        <v>45773</v>
      </c>
      <c r="L775" s="33" t="n"/>
    </row>
    <row r="776">
      <c r="A776" t="inlineStr">
        <is>
          <t>CLM513869</t>
        </is>
      </c>
      <c r="B776" t="inlineStr">
        <is>
          <t>ENC113869</t>
        </is>
      </c>
      <c r="C776" t="inlineStr">
        <is>
          <t>Keystone Health Partners</t>
        </is>
      </c>
      <c r="D776" t="inlineStr">
        <is>
          <t>Outpatient</t>
        </is>
      </c>
      <c r="E776" s="29" t="n">
        <v>45749</v>
      </c>
      <c r="F776" s="29" t="n">
        <v>45755</v>
      </c>
      <c r="G776" s="31" t="n">
        <v>306.26</v>
      </c>
      <c r="H776" s="31" t="n">
        <v>132.86</v>
      </c>
      <c r="I776" t="inlineStr">
        <is>
          <t>Paid</t>
        </is>
      </c>
      <c r="K776" s="29" t="n">
        <v>45780</v>
      </c>
      <c r="L776" s="33" t="n"/>
    </row>
    <row r="777">
      <c r="A777" t="inlineStr">
        <is>
          <t>CLM513871</t>
        </is>
      </c>
      <c r="B777" t="inlineStr">
        <is>
          <t>ENC113871</t>
        </is>
      </c>
      <c r="C777" t="inlineStr">
        <is>
          <t>Silverline Medicare Advantage</t>
        </is>
      </c>
      <c r="D777" t="inlineStr">
        <is>
          <t>Outpatient</t>
        </is>
      </c>
      <c r="E777" s="29" t="n">
        <v>45749</v>
      </c>
      <c r="F777" s="29" t="n">
        <v>45750</v>
      </c>
      <c r="G777" s="31" t="n">
        <v>410.64</v>
      </c>
      <c r="H777" s="31" t="n">
        <v>135.23</v>
      </c>
      <c r="I777" t="inlineStr">
        <is>
          <t>Paid</t>
        </is>
      </c>
      <c r="K777" s="29" t="n">
        <v>45776</v>
      </c>
      <c r="L777" s="33" t="n"/>
    </row>
    <row r="778">
      <c r="A778" t="inlineStr">
        <is>
          <t>CLM513872</t>
        </is>
      </c>
      <c r="B778" t="inlineStr">
        <is>
          <t>ENC113872</t>
        </is>
      </c>
      <c r="C778" t="inlineStr">
        <is>
          <t>State Medicaid</t>
        </is>
      </c>
      <c r="D778" t="inlineStr">
        <is>
          <t>Outpatient</t>
        </is>
      </c>
      <c r="E778" s="29" t="n">
        <v>45749</v>
      </c>
      <c r="F778" s="29" t="n">
        <v>45751</v>
      </c>
      <c r="G778" s="31" t="n">
        <v>425.38</v>
      </c>
      <c r="H778" s="31" t="n">
        <v>97.62</v>
      </c>
      <c r="I778" t="inlineStr">
        <is>
          <t>Paid</t>
        </is>
      </c>
      <c r="K778" s="29" t="n">
        <v>45779</v>
      </c>
      <c r="L778" s="33" t="n"/>
    </row>
    <row r="779">
      <c r="A779" t="inlineStr">
        <is>
          <t>CLM513874</t>
        </is>
      </c>
      <c r="B779" t="inlineStr">
        <is>
          <t>ENC113874</t>
        </is>
      </c>
      <c r="C779" t="inlineStr">
        <is>
          <t>Medicare</t>
        </is>
      </c>
      <c r="D779" t="inlineStr">
        <is>
          <t>Inpatient</t>
        </is>
      </c>
      <c r="E779" s="29" t="n">
        <v>45756</v>
      </c>
      <c r="F779" s="29" t="n">
        <v>45761</v>
      </c>
      <c r="G779" s="31" t="n">
        <v>17589.73</v>
      </c>
      <c r="H779" s="31" t="n">
        <v>5547.84</v>
      </c>
      <c r="I779" t="inlineStr">
        <is>
          <t>Paid</t>
        </is>
      </c>
      <c r="K779" s="29" t="n">
        <v>45776</v>
      </c>
      <c r="L779" s="33" t="n"/>
    </row>
    <row r="780">
      <c r="A780" t="inlineStr">
        <is>
          <t>CLM513887</t>
        </is>
      </c>
      <c r="B780" t="inlineStr">
        <is>
          <t>ENC113887</t>
        </is>
      </c>
      <c r="C780" t="inlineStr">
        <is>
          <t>Summit Choice PPO</t>
        </is>
      </c>
      <c r="D780" t="inlineStr">
        <is>
          <t>Inpatient</t>
        </is>
      </c>
      <c r="E780" s="29" t="n">
        <v>45751</v>
      </c>
      <c r="F780" s="29" t="n">
        <v>45753</v>
      </c>
      <c r="G780" s="31" t="n">
        <v>13006.93</v>
      </c>
      <c r="H780" s="31" t="n">
        <v>6768.22</v>
      </c>
      <c r="I780" t="inlineStr">
        <is>
          <t>Paid</t>
        </is>
      </c>
      <c r="K780" s="29" t="n">
        <v>45792</v>
      </c>
      <c r="L780" s="33" t="n"/>
    </row>
    <row r="781">
      <c r="A781" t="inlineStr">
        <is>
          <t>CLM513892</t>
        </is>
      </c>
      <c r="B781" t="inlineStr">
        <is>
          <t>ENC113892</t>
        </is>
      </c>
      <c r="C781" t="inlineStr">
        <is>
          <t>Silverline Medicare Advantage</t>
        </is>
      </c>
      <c r="D781" t="inlineStr">
        <is>
          <t>Emergency</t>
        </is>
      </c>
      <c r="E781" s="29" t="n">
        <v>45750</v>
      </c>
      <c r="F781" s="29" t="n">
        <v>45752</v>
      </c>
      <c r="G781" s="31" t="n">
        <v>2174.3</v>
      </c>
      <c r="H781" s="31" t="n">
        <v>722.16</v>
      </c>
      <c r="I781" t="inlineStr">
        <is>
          <t>Paid</t>
        </is>
      </c>
      <c r="K781" s="29" t="n">
        <v>45777</v>
      </c>
      <c r="L781" s="33" t="n"/>
    </row>
    <row r="782">
      <c r="A782" t="inlineStr">
        <is>
          <t>CLM513897</t>
        </is>
      </c>
      <c r="B782" t="inlineStr">
        <is>
          <t>ENC113897</t>
        </is>
      </c>
      <c r="C782" t="inlineStr">
        <is>
          <t>Medicare</t>
        </is>
      </c>
      <c r="D782" t="inlineStr">
        <is>
          <t>Outpatient</t>
        </is>
      </c>
      <c r="E782" s="29" t="n">
        <v>45750</v>
      </c>
      <c r="F782" s="29" t="n">
        <v>45752</v>
      </c>
      <c r="G782" s="31" t="n">
        <v>359.5</v>
      </c>
      <c r="H782" s="31" t="n">
        <v>105.75</v>
      </c>
      <c r="I782" t="inlineStr">
        <is>
          <t>Paid</t>
        </is>
      </c>
      <c r="K782" s="29" t="n">
        <v>45769</v>
      </c>
      <c r="L782" s="33" t="n"/>
    </row>
    <row r="783">
      <c r="A783" t="inlineStr">
        <is>
          <t>CLM513907</t>
        </is>
      </c>
      <c r="B783" t="inlineStr">
        <is>
          <t>ENC113907</t>
        </is>
      </c>
      <c r="C783" t="inlineStr">
        <is>
          <t>State Medicaid</t>
        </is>
      </c>
      <c r="D783" t="inlineStr">
        <is>
          <t>Observation</t>
        </is>
      </c>
      <c r="E783" s="29" t="n">
        <v>45751</v>
      </c>
      <c r="F783" s="29" t="n">
        <v>45755</v>
      </c>
      <c r="G783" s="31" t="n">
        <v>5831.99</v>
      </c>
      <c r="H783" s="31" t="n">
        <v>1478.24</v>
      </c>
      <c r="I783" t="inlineStr">
        <is>
          <t>Paid</t>
        </is>
      </c>
      <c r="K783" s="29" t="n">
        <v>45784</v>
      </c>
      <c r="L783" s="33" t="n"/>
    </row>
    <row r="784">
      <c r="A784" t="inlineStr">
        <is>
          <t>CLM513914</t>
        </is>
      </c>
      <c r="B784" t="inlineStr">
        <is>
          <t>ENC113914</t>
        </is>
      </c>
      <c r="C784" t="inlineStr">
        <is>
          <t>Medicare</t>
        </is>
      </c>
      <c r="D784" t="inlineStr">
        <is>
          <t>Emergency</t>
        </is>
      </c>
      <c r="E784" s="29" t="n">
        <v>45751</v>
      </c>
      <c r="F784" s="29" t="n">
        <v>45753</v>
      </c>
      <c r="G784" s="31" t="n">
        <v>3530.65</v>
      </c>
      <c r="H784" s="31" t="n">
        <v>1008.37</v>
      </c>
      <c r="I784" t="inlineStr">
        <is>
          <t>Paid</t>
        </is>
      </c>
      <c r="K784" s="29" t="n">
        <v>45759</v>
      </c>
      <c r="L784" s="33" t="n"/>
    </row>
    <row r="785">
      <c r="A785" t="inlineStr">
        <is>
          <t>CLM513915</t>
        </is>
      </c>
      <c r="B785" t="inlineStr">
        <is>
          <t>ENC113915</t>
        </is>
      </c>
      <c r="C785" t="inlineStr">
        <is>
          <t>State Medicaid</t>
        </is>
      </c>
      <c r="D785" t="inlineStr">
        <is>
          <t>Observation</t>
        </is>
      </c>
      <c r="E785" s="29" t="n">
        <v>45752</v>
      </c>
      <c r="F785" s="29" t="n">
        <v>45772</v>
      </c>
      <c r="G785" s="31" t="n">
        <v>7453.25</v>
      </c>
      <c r="H785" s="31" t="n">
        <v>1650.93</v>
      </c>
      <c r="I785" t="inlineStr">
        <is>
          <t>Paid</t>
        </is>
      </c>
      <c r="K785" s="29" t="n">
        <v>45808</v>
      </c>
      <c r="L785" s="33" t="n"/>
    </row>
    <row r="786">
      <c r="A786" t="inlineStr">
        <is>
          <t>CLM513921</t>
        </is>
      </c>
      <c r="B786" t="inlineStr">
        <is>
          <t>ENC113921</t>
        </is>
      </c>
      <c r="C786" t="inlineStr">
        <is>
          <t>Summit Choice PPO</t>
        </is>
      </c>
      <c r="D786" t="inlineStr">
        <is>
          <t>Inpatient</t>
        </is>
      </c>
      <c r="E786" s="29" t="n">
        <v>45755</v>
      </c>
      <c r="F786" s="29" t="n">
        <v>45763</v>
      </c>
      <c r="G786" s="31" t="n">
        <v>23752.11</v>
      </c>
      <c r="H786" s="31" t="n">
        <v>11611.05</v>
      </c>
      <c r="I786" t="inlineStr">
        <is>
          <t>Paid</t>
        </is>
      </c>
      <c r="K786" s="29" t="n">
        <v>45781</v>
      </c>
      <c r="L786" s="33" t="n"/>
    </row>
    <row r="787">
      <c r="A787" t="inlineStr">
        <is>
          <t>CLM513922</t>
        </is>
      </c>
      <c r="B787" t="inlineStr">
        <is>
          <t>ENC113922</t>
        </is>
      </c>
      <c r="C787" t="inlineStr">
        <is>
          <t>Medicare</t>
        </is>
      </c>
      <c r="D787" t="inlineStr">
        <is>
          <t>Outpatient</t>
        </is>
      </c>
      <c r="E787" s="29" t="n">
        <v>45751</v>
      </c>
      <c r="F787" s="29" t="n">
        <v>45754</v>
      </c>
      <c r="G787" s="31" t="n">
        <v>389.04</v>
      </c>
      <c r="H787" s="31" t="n">
        <v>108.76</v>
      </c>
      <c r="I787" t="inlineStr">
        <is>
          <t>Paid</t>
        </is>
      </c>
      <c r="K787" s="29" t="n">
        <v>45763</v>
      </c>
      <c r="L787" s="33" t="n"/>
    </row>
    <row r="788">
      <c r="A788" t="inlineStr">
        <is>
          <t>CLM513926</t>
        </is>
      </c>
      <c r="B788" t="inlineStr">
        <is>
          <t>ENC113926</t>
        </is>
      </c>
      <c r="C788" t="inlineStr">
        <is>
          <t>Keystone Health Partners</t>
        </is>
      </c>
      <c r="D788" t="inlineStr">
        <is>
          <t>Outpatient</t>
        </is>
      </c>
      <c r="E788" s="29" t="n">
        <v>45751</v>
      </c>
      <c r="F788" s="29" t="n">
        <v>45759</v>
      </c>
      <c r="G788" s="31" t="n">
        <v>382.24</v>
      </c>
      <c r="H788" s="31" t="n">
        <v>174.54</v>
      </c>
      <c r="I788" t="inlineStr">
        <is>
          <t>Paid</t>
        </is>
      </c>
      <c r="K788" s="29" t="n">
        <v>45789</v>
      </c>
      <c r="L788" s="33" t="n"/>
    </row>
    <row r="789">
      <c r="A789" t="inlineStr">
        <is>
          <t>CLM513930</t>
        </is>
      </c>
      <c r="B789" t="inlineStr">
        <is>
          <t>ENC113930</t>
        </is>
      </c>
      <c r="C789" t="inlineStr">
        <is>
          <t>Medicare</t>
        </is>
      </c>
      <c r="D789" t="inlineStr">
        <is>
          <t>Emergency</t>
        </is>
      </c>
      <c r="E789" s="29" t="n">
        <v>45751</v>
      </c>
      <c r="F789" s="29" t="n">
        <v>45758</v>
      </c>
      <c r="G789" s="31" t="n">
        <v>584.65</v>
      </c>
      <c r="H789" s="31" t="n">
        <v>176.51</v>
      </c>
      <c r="I789" t="inlineStr">
        <is>
          <t>Paid</t>
        </is>
      </c>
      <c r="K789" s="29" t="n">
        <v>45768</v>
      </c>
      <c r="L789" s="33" t="n"/>
    </row>
    <row r="790">
      <c r="A790" t="inlineStr">
        <is>
          <t>CLM513931</t>
        </is>
      </c>
      <c r="B790" t="inlineStr">
        <is>
          <t>ENC113931</t>
        </is>
      </c>
      <c r="C790" t="inlineStr">
        <is>
          <t>Keystone Health Partners</t>
        </is>
      </c>
      <c r="D790" t="inlineStr">
        <is>
          <t>Outpatient</t>
        </is>
      </c>
      <c r="E790" s="29" t="n">
        <v>45751</v>
      </c>
      <c r="F790" s="29" t="n">
        <v>45756</v>
      </c>
      <c r="G790" s="31" t="n">
        <v>382.86</v>
      </c>
      <c r="H790" s="31" t="n">
        <v>168.89</v>
      </c>
      <c r="I790" t="inlineStr">
        <is>
          <t>Paid</t>
        </is>
      </c>
      <c r="K790" s="29" t="n">
        <v>45804</v>
      </c>
      <c r="L790" s="33" t="n"/>
    </row>
    <row r="791">
      <c r="A791" t="inlineStr">
        <is>
          <t>CLM513933</t>
        </is>
      </c>
      <c r="B791" t="inlineStr">
        <is>
          <t>ENC113933</t>
        </is>
      </c>
      <c r="C791" t="inlineStr">
        <is>
          <t>Keystone Health Partners</t>
        </is>
      </c>
      <c r="D791" t="inlineStr">
        <is>
          <t>Outpatient</t>
        </is>
      </c>
      <c r="E791" s="29" t="n">
        <v>45751</v>
      </c>
      <c r="F791" s="29" t="n">
        <v>45753</v>
      </c>
      <c r="G791" s="31" t="n">
        <v>257.28</v>
      </c>
      <c r="H791" s="31" t="n">
        <v>106.41</v>
      </c>
      <c r="I791" t="inlineStr">
        <is>
          <t>Paid</t>
        </is>
      </c>
      <c r="K791" s="29" t="n">
        <v>45782</v>
      </c>
      <c r="L791" s="33" t="n"/>
    </row>
    <row r="792">
      <c r="A792" t="inlineStr">
        <is>
          <t>CLM513936</t>
        </is>
      </c>
      <c r="B792" t="inlineStr">
        <is>
          <t>ENC113936</t>
        </is>
      </c>
      <c r="C792" t="inlineStr">
        <is>
          <t>Summit Choice PPO</t>
        </is>
      </c>
      <c r="D792" t="inlineStr">
        <is>
          <t>Emergency</t>
        </is>
      </c>
      <c r="E792" s="29" t="n">
        <v>45751</v>
      </c>
      <c r="F792" s="29" t="n">
        <v>45755</v>
      </c>
      <c r="G792" s="31" t="n">
        <v>5154.88</v>
      </c>
      <c r="H792" s="31" t="n">
        <v>2642.04</v>
      </c>
      <c r="I792" t="inlineStr">
        <is>
          <t>Paid</t>
        </is>
      </c>
      <c r="K792" s="29" t="n">
        <v>45775</v>
      </c>
      <c r="L792" s="33" t="n"/>
    </row>
    <row r="793">
      <c r="A793" t="inlineStr">
        <is>
          <t>CLM513940</t>
        </is>
      </c>
      <c r="B793" t="inlineStr">
        <is>
          <t>ENC113940</t>
        </is>
      </c>
      <c r="C793" t="inlineStr">
        <is>
          <t>Medicare</t>
        </is>
      </c>
      <c r="D793" t="inlineStr">
        <is>
          <t>Emergency</t>
        </is>
      </c>
      <c r="E793" s="29" t="n">
        <v>45751</v>
      </c>
      <c r="F793" s="29" t="n">
        <v>45758</v>
      </c>
      <c r="G793" s="31" t="n">
        <v>3629.32</v>
      </c>
      <c r="H793" s="31" t="n">
        <v>1015.66</v>
      </c>
      <c r="I793" t="inlineStr">
        <is>
          <t>Paid</t>
        </is>
      </c>
      <c r="K793" s="29" t="n">
        <v>45770</v>
      </c>
      <c r="L793" s="33" t="n"/>
    </row>
    <row r="794">
      <c r="A794" t="inlineStr">
        <is>
          <t>CLM513943</t>
        </is>
      </c>
      <c r="B794" t="inlineStr">
        <is>
          <t>ENC113943</t>
        </is>
      </c>
      <c r="C794" t="inlineStr">
        <is>
          <t>Keystone Health Partners</t>
        </is>
      </c>
      <c r="D794" t="inlineStr">
        <is>
          <t>Inpatient</t>
        </is>
      </c>
      <c r="E794" s="29" t="n">
        <v>45754</v>
      </c>
      <c r="F794" s="29" t="n">
        <v>45763</v>
      </c>
      <c r="G794" s="31" t="n">
        <v>14235.28</v>
      </c>
      <c r="H794" s="31" t="n">
        <v>7355.46</v>
      </c>
      <c r="I794" t="inlineStr">
        <is>
          <t>Paid</t>
        </is>
      </c>
      <c r="K794" s="29" t="n">
        <v>45782</v>
      </c>
      <c r="L794" s="33" t="n"/>
    </row>
    <row r="795">
      <c r="A795" t="inlineStr">
        <is>
          <t>CLM513945</t>
        </is>
      </c>
      <c r="B795" t="inlineStr">
        <is>
          <t>ENC113945</t>
        </is>
      </c>
      <c r="C795" t="inlineStr">
        <is>
          <t>Evergreen Mutual Insurance</t>
        </is>
      </c>
      <c r="D795" t="inlineStr">
        <is>
          <t>Inpatient</t>
        </is>
      </c>
      <c r="E795" s="29" t="n">
        <v>45754</v>
      </c>
      <c r="F795" s="29" t="n">
        <v>45758</v>
      </c>
      <c r="G795" s="31" t="n">
        <v>9663.049999999999</v>
      </c>
      <c r="H795" s="31" t="n">
        <v>0</v>
      </c>
      <c r="I795" t="inlineStr">
        <is>
          <t>Denied</t>
        </is>
      </c>
      <c r="J795" t="inlineStr">
        <is>
          <t>Authorization Required</t>
        </is>
      </c>
      <c r="L795" s="33" t="n"/>
    </row>
    <row r="796">
      <c r="A796" t="inlineStr">
        <is>
          <t>CLM513948</t>
        </is>
      </c>
      <c r="B796" t="inlineStr">
        <is>
          <t>ENC113948</t>
        </is>
      </c>
      <c r="C796" t="inlineStr">
        <is>
          <t>Silverline Medicare Advantage</t>
        </is>
      </c>
      <c r="D796" t="inlineStr">
        <is>
          <t>Inpatient</t>
        </is>
      </c>
      <c r="E796" s="29" t="n">
        <v>45756</v>
      </c>
      <c r="F796" s="29" t="n">
        <v>45761</v>
      </c>
      <c r="G796" s="31" t="n">
        <v>45846.66</v>
      </c>
      <c r="H796" s="31" t="n">
        <v>13447.98</v>
      </c>
      <c r="I796" t="inlineStr">
        <is>
          <t>Paid</t>
        </is>
      </c>
      <c r="K796" s="29" t="n">
        <v>45781</v>
      </c>
      <c r="L796" s="33" t="n"/>
    </row>
    <row r="797">
      <c r="A797" t="inlineStr">
        <is>
          <t>CLM513951</t>
        </is>
      </c>
      <c r="B797" t="inlineStr">
        <is>
          <t>ENC113951</t>
        </is>
      </c>
      <c r="C797" t="inlineStr">
        <is>
          <t>Silverline Medicare Advantage</t>
        </is>
      </c>
      <c r="D797" t="inlineStr">
        <is>
          <t>Emergency</t>
        </is>
      </c>
      <c r="E797" s="29" t="n">
        <v>45752</v>
      </c>
      <c r="F797" s="29" t="n">
        <v>45759</v>
      </c>
      <c r="G797" s="31" t="n">
        <v>643.21</v>
      </c>
      <c r="H797" s="31" t="n">
        <v>191.59</v>
      </c>
      <c r="I797" t="inlineStr">
        <is>
          <t>Paid</t>
        </is>
      </c>
      <c r="K797" s="29" t="n">
        <v>45799</v>
      </c>
      <c r="L797" s="33" t="n"/>
    </row>
    <row r="798">
      <c r="A798" t="inlineStr">
        <is>
          <t>CLM513958</t>
        </is>
      </c>
      <c r="B798" t="inlineStr">
        <is>
          <t>ENC113958</t>
        </is>
      </c>
      <c r="C798" t="inlineStr">
        <is>
          <t>Medicare</t>
        </is>
      </c>
      <c r="D798" t="inlineStr">
        <is>
          <t>Emergency</t>
        </is>
      </c>
      <c r="E798" s="29" t="n">
        <v>45752</v>
      </c>
      <c r="F798" s="29" t="n">
        <v>45761</v>
      </c>
      <c r="G798" s="31" t="n">
        <v>4190.74</v>
      </c>
      <c r="H798" s="31" t="n">
        <v>1073.2</v>
      </c>
      <c r="I798" t="inlineStr">
        <is>
          <t>Paid</t>
        </is>
      </c>
      <c r="K798" s="29" t="n">
        <v>45773</v>
      </c>
      <c r="L798" s="33" t="n"/>
    </row>
    <row r="799">
      <c r="A799" t="inlineStr">
        <is>
          <t>CLM513960</t>
        </is>
      </c>
      <c r="B799" t="inlineStr">
        <is>
          <t>ENC113960</t>
        </is>
      </c>
      <c r="C799" t="inlineStr">
        <is>
          <t>State Medicaid</t>
        </is>
      </c>
      <c r="D799" t="inlineStr">
        <is>
          <t>Inpatient</t>
        </is>
      </c>
      <c r="E799" s="29" t="n">
        <v>45756</v>
      </c>
      <c r="F799" s="29" t="n">
        <v>45758</v>
      </c>
      <c r="G799" s="31" t="n">
        <v>13267.93</v>
      </c>
      <c r="H799" s="31" t="n">
        <v>0</v>
      </c>
      <c r="I799" t="inlineStr">
        <is>
          <t>Denied</t>
        </is>
      </c>
      <c r="J799" t="inlineStr">
        <is>
          <t>Medical Necessity</t>
        </is>
      </c>
      <c r="L799" s="33" t="n"/>
    </row>
    <row r="800">
      <c r="A800" t="inlineStr">
        <is>
          <t>CLM513963</t>
        </is>
      </c>
      <c r="B800" t="inlineStr">
        <is>
          <t>ENC113963</t>
        </is>
      </c>
      <c r="C800" t="inlineStr">
        <is>
          <t>Medicare</t>
        </is>
      </c>
      <c r="D800" t="inlineStr">
        <is>
          <t>Emergency</t>
        </is>
      </c>
      <c r="E800" s="29" t="n">
        <v>45753</v>
      </c>
      <c r="F800" s="29" t="n">
        <v>45774</v>
      </c>
      <c r="G800" s="31" t="n">
        <v>1379.94</v>
      </c>
      <c r="H800" s="31" t="n">
        <v>364.64</v>
      </c>
      <c r="I800" t="inlineStr">
        <is>
          <t>Paid</t>
        </is>
      </c>
      <c r="K800" s="29" t="n">
        <v>45787</v>
      </c>
      <c r="L800" s="33" t="n"/>
    </row>
    <row r="801">
      <c r="A801" t="inlineStr">
        <is>
          <t>CLM513964</t>
        </is>
      </c>
      <c r="B801" t="inlineStr">
        <is>
          <t>ENC113964</t>
        </is>
      </c>
      <c r="C801" t="inlineStr">
        <is>
          <t>State Medicaid</t>
        </is>
      </c>
      <c r="D801" t="inlineStr">
        <is>
          <t>Inpatient</t>
        </is>
      </c>
      <c r="E801" s="29" t="n">
        <v>45765</v>
      </c>
      <c r="F801" s="29" t="n">
        <v>45768</v>
      </c>
      <c r="G801" s="31" t="n">
        <v>87442.19</v>
      </c>
      <c r="H801" s="31" t="n">
        <v>20145.31</v>
      </c>
      <c r="I801" t="inlineStr">
        <is>
          <t>Paid</t>
        </is>
      </c>
      <c r="K801" s="29" t="n">
        <v>45809</v>
      </c>
      <c r="L801" s="33" t="n"/>
    </row>
    <row r="802">
      <c r="A802" t="inlineStr">
        <is>
          <t>CLM513965</t>
        </is>
      </c>
      <c r="B802" t="inlineStr">
        <is>
          <t>ENC113965</t>
        </is>
      </c>
      <c r="C802" t="inlineStr">
        <is>
          <t>Summit Choice PPO</t>
        </is>
      </c>
      <c r="D802" t="inlineStr">
        <is>
          <t>Emergency</t>
        </is>
      </c>
      <c r="E802" s="29" t="n">
        <v>45753</v>
      </c>
      <c r="F802" s="29" t="n">
        <v>45755</v>
      </c>
      <c r="G802" s="31" t="n">
        <v>1348.15</v>
      </c>
      <c r="H802" s="31" t="n">
        <v>659.28</v>
      </c>
      <c r="I802" t="inlineStr">
        <is>
          <t>Paid</t>
        </is>
      </c>
      <c r="K802" s="29" t="n">
        <v>45782</v>
      </c>
      <c r="L802" s="33" t="n"/>
    </row>
    <row r="803">
      <c r="A803" t="inlineStr">
        <is>
          <t>CLM513981</t>
        </is>
      </c>
      <c r="B803" t="inlineStr">
        <is>
          <t>ENC113981</t>
        </is>
      </c>
      <c r="C803" t="inlineStr">
        <is>
          <t>Evergreen Mutual Insurance</t>
        </is>
      </c>
      <c r="D803" t="inlineStr">
        <is>
          <t>Inpatient</t>
        </is>
      </c>
      <c r="E803" s="29" t="n">
        <v>45756</v>
      </c>
      <c r="F803" s="29" t="n">
        <v>45768</v>
      </c>
      <c r="G803" s="31" t="n">
        <v>16179.02</v>
      </c>
      <c r="H803" s="31" t="n">
        <v>7367.04</v>
      </c>
      <c r="I803" t="inlineStr">
        <is>
          <t>Paid</t>
        </is>
      </c>
      <c r="K803" s="29" t="n">
        <v>45795</v>
      </c>
      <c r="L803" s="33" t="n"/>
    </row>
    <row r="804">
      <c r="A804" t="inlineStr">
        <is>
          <t>CLM513985</t>
        </is>
      </c>
      <c r="B804" t="inlineStr">
        <is>
          <t>ENC113985</t>
        </is>
      </c>
      <c r="C804" t="inlineStr">
        <is>
          <t>Medicare</t>
        </is>
      </c>
      <c r="D804" t="inlineStr">
        <is>
          <t>Inpatient</t>
        </is>
      </c>
      <c r="E804" s="29" t="n">
        <v>45759</v>
      </c>
      <c r="F804" s="29" t="n">
        <v>45765</v>
      </c>
      <c r="G804" s="31" t="n">
        <v>31504.31</v>
      </c>
      <c r="H804" s="31" t="n">
        <v>8672.17</v>
      </c>
      <c r="I804" t="inlineStr">
        <is>
          <t>Paid</t>
        </is>
      </c>
      <c r="K804" s="29" t="n">
        <v>45784</v>
      </c>
      <c r="L804" s="33" t="n"/>
    </row>
    <row r="805">
      <c r="A805" t="inlineStr">
        <is>
          <t>CLM513987</t>
        </is>
      </c>
      <c r="B805" t="inlineStr">
        <is>
          <t>ENC113987</t>
        </is>
      </c>
      <c r="C805" t="inlineStr">
        <is>
          <t>Summit Choice PPO</t>
        </is>
      </c>
      <c r="D805" t="inlineStr">
        <is>
          <t>Outpatient</t>
        </is>
      </c>
      <c r="E805" s="29" t="n">
        <v>45754</v>
      </c>
      <c r="F805" s="29" t="n">
        <v>45758</v>
      </c>
      <c r="G805" s="31" t="n">
        <v>205.78</v>
      </c>
      <c r="H805" s="31" t="n">
        <v>98</v>
      </c>
      <c r="I805" t="inlineStr">
        <is>
          <t>Paid</t>
        </is>
      </c>
      <c r="K805" s="29" t="n">
        <v>45777</v>
      </c>
      <c r="L805" s="33" t="n"/>
    </row>
    <row r="806">
      <c r="A806" t="inlineStr">
        <is>
          <t>CLM513999</t>
        </is>
      </c>
      <c r="B806" t="inlineStr">
        <is>
          <t>ENC113999</t>
        </is>
      </c>
      <c r="C806" t="inlineStr">
        <is>
          <t>Evergreen Mutual Insurance</t>
        </is>
      </c>
      <c r="D806" t="inlineStr">
        <is>
          <t>Outpatient</t>
        </is>
      </c>
      <c r="E806" s="29" t="n">
        <v>45754</v>
      </c>
      <c r="F806" s="29" t="n">
        <v>45764</v>
      </c>
      <c r="G806" s="31" t="n">
        <v>203.51</v>
      </c>
      <c r="H806" s="31" t="n">
        <v>81.18000000000001</v>
      </c>
      <c r="I806" t="inlineStr">
        <is>
          <t>Paid</t>
        </is>
      </c>
      <c r="K806" s="29" t="n">
        <v>45793</v>
      </c>
      <c r="L806" s="33" t="n"/>
    </row>
    <row r="807">
      <c r="A807" t="inlineStr">
        <is>
          <t>CLM514000</t>
        </is>
      </c>
      <c r="B807" t="inlineStr">
        <is>
          <t>ENC114000</t>
        </is>
      </c>
      <c r="C807" t="inlineStr">
        <is>
          <t>Keystone Health Partners</t>
        </is>
      </c>
      <c r="D807" t="inlineStr">
        <is>
          <t>Emergency</t>
        </is>
      </c>
      <c r="E807" s="29" t="n">
        <v>45754</v>
      </c>
      <c r="F807" s="29" t="n">
        <v>45757</v>
      </c>
      <c r="G807" s="31" t="n">
        <v>842.48</v>
      </c>
      <c r="H807" s="31" t="n">
        <v>399.65</v>
      </c>
      <c r="I807" t="inlineStr">
        <is>
          <t>Paid</t>
        </is>
      </c>
      <c r="K807" s="29" t="n">
        <v>45781</v>
      </c>
      <c r="L807" s="33" t="n"/>
    </row>
    <row r="808">
      <c r="A808" t="inlineStr">
        <is>
          <t>CLM514001</t>
        </is>
      </c>
      <c r="B808" t="inlineStr">
        <is>
          <t>ENC114001</t>
        </is>
      </c>
      <c r="C808" t="inlineStr">
        <is>
          <t>Medicare</t>
        </is>
      </c>
      <c r="D808" t="inlineStr">
        <is>
          <t>Outpatient</t>
        </is>
      </c>
      <c r="E808" s="29" t="n">
        <v>45754</v>
      </c>
      <c r="F808" s="29" t="n">
        <v>45762</v>
      </c>
      <c r="G808" s="31" t="n">
        <v>237.66</v>
      </c>
      <c r="H808" s="31" t="n">
        <v>60.37</v>
      </c>
      <c r="I808" t="inlineStr">
        <is>
          <t>Paid</t>
        </is>
      </c>
      <c r="K808" s="29" t="n">
        <v>45772</v>
      </c>
      <c r="L808" s="33" t="n"/>
    </row>
    <row r="809">
      <c r="A809" t="inlineStr">
        <is>
          <t>CLM514004</t>
        </is>
      </c>
      <c r="B809" t="inlineStr">
        <is>
          <t>ENC114004</t>
        </is>
      </c>
      <c r="C809" t="inlineStr">
        <is>
          <t>Self-Pay</t>
        </is>
      </c>
      <c r="D809" t="inlineStr">
        <is>
          <t>Inpatient</t>
        </is>
      </c>
      <c r="E809" s="29" t="n">
        <v>45757</v>
      </c>
      <c r="F809" s="29" t="n">
        <v>45766</v>
      </c>
      <c r="G809" s="31" t="n">
        <v>17051.86</v>
      </c>
      <c r="H809" s="31" t="n">
        <v>6973.91</v>
      </c>
      <c r="I809" t="inlineStr">
        <is>
          <t>Paid</t>
        </is>
      </c>
      <c r="K809" s="29" t="n">
        <v>45798</v>
      </c>
      <c r="L809" s="33" t="n"/>
    </row>
    <row r="810">
      <c r="A810" t="inlineStr">
        <is>
          <t>CLM514006</t>
        </is>
      </c>
      <c r="B810" t="inlineStr">
        <is>
          <t>ENC114006</t>
        </is>
      </c>
      <c r="C810" t="inlineStr">
        <is>
          <t>Summit Choice PPO</t>
        </is>
      </c>
      <c r="D810" t="inlineStr">
        <is>
          <t>Outpatient</t>
        </is>
      </c>
      <c r="E810" s="29" t="n">
        <v>45754</v>
      </c>
      <c r="F810" s="29" t="n">
        <v>45821</v>
      </c>
      <c r="G810" s="31" t="n">
        <v>427.86</v>
      </c>
      <c r="H810" s="31" t="n">
        <v>248.88</v>
      </c>
      <c r="I810" t="inlineStr">
        <is>
          <t>Paid</t>
        </is>
      </c>
      <c r="K810" s="29" t="n">
        <v>45838</v>
      </c>
      <c r="L810" s="33" t="n"/>
    </row>
    <row r="811">
      <c r="A811" t="inlineStr">
        <is>
          <t>CLM514007</t>
        </is>
      </c>
      <c r="B811" t="inlineStr">
        <is>
          <t>ENC114007</t>
        </is>
      </c>
      <c r="C811" t="inlineStr">
        <is>
          <t>Evergreen Mutual Insurance</t>
        </is>
      </c>
      <c r="D811" t="inlineStr">
        <is>
          <t>Outpatient</t>
        </is>
      </c>
      <c r="E811" s="29" t="n">
        <v>45754</v>
      </c>
      <c r="F811" s="29" t="n">
        <v>45761</v>
      </c>
      <c r="G811" s="31" t="n">
        <v>286.62</v>
      </c>
      <c r="H811" s="31" t="n">
        <v>130.78</v>
      </c>
      <c r="I811" t="inlineStr">
        <is>
          <t>Paid</t>
        </is>
      </c>
      <c r="K811" s="29" t="n">
        <v>45781</v>
      </c>
      <c r="L811" s="33" t="n"/>
    </row>
    <row r="812">
      <c r="A812" t="inlineStr">
        <is>
          <t>CLM514008</t>
        </is>
      </c>
      <c r="B812" t="inlineStr">
        <is>
          <t>ENC114008</t>
        </is>
      </c>
      <c r="C812" t="inlineStr">
        <is>
          <t>Silverline Medicare Advantage</t>
        </is>
      </c>
      <c r="D812" t="inlineStr">
        <is>
          <t>Inpatient</t>
        </is>
      </c>
      <c r="E812" s="29" t="n">
        <v>45759</v>
      </c>
      <c r="F812" s="29" t="n">
        <v>45823</v>
      </c>
      <c r="G812" s="31" t="n">
        <v>28655.73</v>
      </c>
      <c r="H812" s="31" t="n">
        <v>9332.549999999999</v>
      </c>
      <c r="I812" t="inlineStr">
        <is>
          <t>Paid</t>
        </is>
      </c>
      <c r="K812" s="29" t="n">
        <v>45842</v>
      </c>
      <c r="L812" s="33" t="n"/>
    </row>
    <row r="813">
      <c r="A813" t="inlineStr">
        <is>
          <t>CLM514010</t>
        </is>
      </c>
      <c r="B813" t="inlineStr">
        <is>
          <t>ENC114010</t>
        </is>
      </c>
      <c r="C813" t="inlineStr">
        <is>
          <t>Silverline Medicare Advantage</t>
        </is>
      </c>
      <c r="D813" t="inlineStr">
        <is>
          <t>Inpatient</t>
        </is>
      </c>
      <c r="E813" s="29" t="n">
        <v>45757</v>
      </c>
      <c r="F813" s="29" t="n">
        <v>45761</v>
      </c>
      <c r="G813" s="31" t="n">
        <v>9104.09</v>
      </c>
      <c r="H813" s="31" t="n">
        <v>2822.9</v>
      </c>
      <c r="I813" t="inlineStr">
        <is>
          <t>Paid</t>
        </is>
      </c>
      <c r="K813" s="29" t="n">
        <v>45780</v>
      </c>
      <c r="L813" s="33" t="n"/>
    </row>
    <row r="814">
      <c r="A814" t="inlineStr">
        <is>
          <t>CLM514012</t>
        </is>
      </c>
      <c r="B814" t="inlineStr">
        <is>
          <t>ENC114012</t>
        </is>
      </c>
      <c r="C814" t="inlineStr">
        <is>
          <t>State Medicaid</t>
        </is>
      </c>
      <c r="D814" t="inlineStr">
        <is>
          <t>Inpatient</t>
        </is>
      </c>
      <c r="E814" s="29" t="n">
        <v>45757</v>
      </c>
      <c r="F814" s="29" t="n">
        <v>45760</v>
      </c>
      <c r="G814" s="31" t="n">
        <v>27928.97</v>
      </c>
      <c r="H814" s="31" t="n">
        <v>7035.32</v>
      </c>
      <c r="I814" t="inlineStr">
        <is>
          <t>Paid</t>
        </is>
      </c>
      <c r="K814" s="29" t="n">
        <v>45797</v>
      </c>
      <c r="L814" s="33" t="n"/>
    </row>
    <row r="815">
      <c r="A815" t="inlineStr">
        <is>
          <t>CLM514015</t>
        </is>
      </c>
      <c r="B815" t="inlineStr">
        <is>
          <t>ENC114015</t>
        </is>
      </c>
      <c r="C815" t="inlineStr">
        <is>
          <t>Keystone Health Partners</t>
        </is>
      </c>
      <c r="D815" t="inlineStr">
        <is>
          <t>Outpatient</t>
        </is>
      </c>
      <c r="E815" s="29" t="n">
        <v>45755</v>
      </c>
      <c r="F815" s="29" t="n">
        <v>45760</v>
      </c>
      <c r="G815" s="31" t="n">
        <v>386.05</v>
      </c>
      <c r="H815" s="31" t="n">
        <v>213.15</v>
      </c>
      <c r="I815" t="inlineStr">
        <is>
          <t>Paid</t>
        </is>
      </c>
      <c r="K815" s="29" t="n">
        <v>45786</v>
      </c>
      <c r="L815" s="33" t="n"/>
    </row>
    <row r="816">
      <c r="A816" t="inlineStr">
        <is>
          <t>CLM514017</t>
        </is>
      </c>
      <c r="B816" t="inlineStr">
        <is>
          <t>ENC114017</t>
        </is>
      </c>
      <c r="C816" t="inlineStr">
        <is>
          <t>Silverline Medicare Advantage</t>
        </is>
      </c>
      <c r="D816" t="inlineStr">
        <is>
          <t>Emergency</t>
        </is>
      </c>
      <c r="E816" s="29" t="n">
        <v>45755</v>
      </c>
      <c r="F816" s="29" t="n">
        <v>45765</v>
      </c>
      <c r="G816" s="31" t="n">
        <v>1887.95</v>
      </c>
      <c r="H816" s="31" t="n">
        <v>555.14</v>
      </c>
      <c r="I816" t="inlineStr">
        <is>
          <t>Paid</t>
        </is>
      </c>
      <c r="K816" s="29" t="n">
        <v>45800</v>
      </c>
      <c r="L816" s="33" t="n"/>
    </row>
    <row r="817">
      <c r="A817" t="inlineStr">
        <is>
          <t>CLM514020</t>
        </is>
      </c>
      <c r="B817" t="inlineStr">
        <is>
          <t>ENC114020</t>
        </is>
      </c>
      <c r="C817" t="inlineStr">
        <is>
          <t>Keystone Health Partners</t>
        </is>
      </c>
      <c r="D817" t="inlineStr">
        <is>
          <t>Outpatient</t>
        </is>
      </c>
      <c r="E817" s="29" t="n">
        <v>45755</v>
      </c>
      <c r="F817" s="29" t="n">
        <v>45765</v>
      </c>
      <c r="G817" s="31" t="n">
        <v>196.97</v>
      </c>
      <c r="H817" s="31" t="n">
        <v>98.73</v>
      </c>
      <c r="I817" t="inlineStr">
        <is>
          <t>Paid</t>
        </is>
      </c>
      <c r="K817" s="29" t="n">
        <v>45789</v>
      </c>
      <c r="L817" s="33" t="n"/>
    </row>
    <row r="818">
      <c r="A818" t="inlineStr">
        <is>
          <t>CLM514026</t>
        </is>
      </c>
      <c r="B818" t="inlineStr">
        <is>
          <t>ENC114026</t>
        </is>
      </c>
      <c r="C818" t="inlineStr">
        <is>
          <t>Medicare</t>
        </is>
      </c>
      <c r="D818" t="inlineStr">
        <is>
          <t>Outpatient</t>
        </is>
      </c>
      <c r="E818" s="29" t="n">
        <v>45755</v>
      </c>
      <c r="F818" s="29" t="n">
        <v>45759</v>
      </c>
      <c r="G818" s="31" t="n">
        <v>275.73</v>
      </c>
      <c r="H818" s="31" t="n">
        <v>70.92</v>
      </c>
      <c r="I818" t="inlineStr">
        <is>
          <t>Paid</t>
        </is>
      </c>
      <c r="K818" s="29" t="n">
        <v>45768</v>
      </c>
      <c r="L818" s="33" t="n"/>
    </row>
    <row r="819">
      <c r="A819" t="inlineStr">
        <is>
          <t>CLM514029</t>
        </is>
      </c>
      <c r="B819" t="inlineStr">
        <is>
          <t>ENC114029</t>
        </is>
      </c>
      <c r="C819" t="inlineStr">
        <is>
          <t>Silverline Medicare Advantage</t>
        </is>
      </c>
      <c r="D819" t="inlineStr">
        <is>
          <t>Outpatient</t>
        </is>
      </c>
      <c r="E819" s="29" t="n">
        <v>45755</v>
      </c>
      <c r="F819" s="29" t="n">
        <v>45762</v>
      </c>
      <c r="G819" s="31" t="n">
        <v>345.86</v>
      </c>
      <c r="H819" s="31" t="n">
        <v>0</v>
      </c>
      <c r="I819" t="inlineStr">
        <is>
          <t>Appealed</t>
        </is>
      </c>
      <c r="J819" t="inlineStr">
        <is>
          <t>Eligibility / Coverage</t>
        </is>
      </c>
      <c r="L819" s="33" t="n"/>
    </row>
    <row r="820">
      <c r="A820" t="inlineStr">
        <is>
          <t>CLM514031</t>
        </is>
      </c>
      <c r="B820" t="inlineStr">
        <is>
          <t>ENC114031</t>
        </is>
      </c>
      <c r="C820" t="inlineStr">
        <is>
          <t>Medicare</t>
        </is>
      </c>
      <c r="D820" t="inlineStr">
        <is>
          <t>Emergency</t>
        </is>
      </c>
      <c r="E820" s="29" t="n">
        <v>45755</v>
      </c>
      <c r="F820" s="29" t="n">
        <v>45762</v>
      </c>
      <c r="G820" s="31" t="n">
        <v>532.5</v>
      </c>
      <c r="H820" s="31" t="n">
        <v>123.13</v>
      </c>
      <c r="I820" t="inlineStr">
        <is>
          <t>Paid</t>
        </is>
      </c>
      <c r="K820" s="29" t="n">
        <v>45780</v>
      </c>
      <c r="L820" s="33" t="n"/>
    </row>
    <row r="821">
      <c r="A821" t="inlineStr">
        <is>
          <t>CLM514033</t>
        </is>
      </c>
      <c r="B821" t="inlineStr">
        <is>
          <t>ENC114033</t>
        </is>
      </c>
      <c r="C821" t="inlineStr">
        <is>
          <t>Evergreen Mutual Insurance</t>
        </is>
      </c>
      <c r="D821" t="inlineStr">
        <is>
          <t>Outpatient</t>
        </is>
      </c>
      <c r="E821" s="29" t="n">
        <v>45755</v>
      </c>
      <c r="F821" s="29" t="n">
        <v>45758</v>
      </c>
      <c r="G821" s="31" t="n">
        <v>213.69</v>
      </c>
      <c r="H821" s="31" t="n">
        <v>85.83</v>
      </c>
      <c r="I821" t="inlineStr">
        <is>
          <t>Paid</t>
        </is>
      </c>
      <c r="K821" s="29" t="n">
        <v>45795</v>
      </c>
      <c r="L821" s="33" t="n"/>
    </row>
    <row r="822">
      <c r="A822" t="inlineStr">
        <is>
          <t>CLM514043</t>
        </is>
      </c>
      <c r="B822" t="inlineStr">
        <is>
          <t>ENC114043</t>
        </is>
      </c>
      <c r="C822" t="inlineStr">
        <is>
          <t>Keystone Health Partners</t>
        </is>
      </c>
      <c r="D822" t="inlineStr">
        <is>
          <t>Outpatient</t>
        </is>
      </c>
      <c r="E822" s="29" t="n">
        <v>45756</v>
      </c>
      <c r="F822" s="29" t="n">
        <v>45763</v>
      </c>
      <c r="G822" s="31" t="n">
        <v>187.19</v>
      </c>
      <c r="H822" s="31" t="n">
        <v>69.83</v>
      </c>
      <c r="I822" t="inlineStr">
        <is>
          <t>Paid</t>
        </is>
      </c>
      <c r="K822" s="29" t="n">
        <v>45785</v>
      </c>
      <c r="L822" s="33" t="n"/>
    </row>
    <row r="823">
      <c r="A823" t="inlineStr">
        <is>
          <t>CLM514050</t>
        </is>
      </c>
      <c r="B823" t="inlineStr">
        <is>
          <t>ENC114050</t>
        </is>
      </c>
      <c r="C823" t="inlineStr">
        <is>
          <t>Silverline Medicare Advantage</t>
        </is>
      </c>
      <c r="D823" t="inlineStr">
        <is>
          <t>Emergency</t>
        </is>
      </c>
      <c r="E823" s="29" t="n">
        <v>45756</v>
      </c>
      <c r="F823" s="29" t="n">
        <v>45758</v>
      </c>
      <c r="G823" s="31" t="n">
        <v>4122.01</v>
      </c>
      <c r="H823" s="31" t="n">
        <v>1224.89</v>
      </c>
      <c r="I823" t="inlineStr">
        <is>
          <t>Paid</t>
        </is>
      </c>
      <c r="K823" s="29" t="n">
        <v>45780</v>
      </c>
      <c r="L823" s="33" t="n"/>
    </row>
    <row r="824">
      <c r="A824" t="inlineStr">
        <is>
          <t>CLM514068</t>
        </is>
      </c>
      <c r="B824" t="inlineStr">
        <is>
          <t>ENC114068</t>
        </is>
      </c>
      <c r="C824" t="inlineStr">
        <is>
          <t>Silverline Medicare Advantage</t>
        </is>
      </c>
      <c r="D824" t="inlineStr">
        <is>
          <t>Outpatient</t>
        </is>
      </c>
      <c r="E824" s="29" t="n">
        <v>45757</v>
      </c>
      <c r="F824" s="29" t="n">
        <v>45768</v>
      </c>
      <c r="G824" s="31" t="n">
        <v>347.68</v>
      </c>
      <c r="H824" s="31" t="n">
        <v>68.12</v>
      </c>
      <c r="I824" t="inlineStr">
        <is>
          <t>Partially Paid</t>
        </is>
      </c>
      <c r="J824" t="inlineStr">
        <is>
          <t>Medical Necessity</t>
        </is>
      </c>
      <c r="K824" s="29" t="n">
        <v>45784</v>
      </c>
      <c r="L824" s="33" t="n"/>
    </row>
    <row r="825">
      <c r="A825" t="inlineStr">
        <is>
          <t>CLM514069</t>
        </is>
      </c>
      <c r="B825" t="inlineStr">
        <is>
          <t>ENC114069</t>
        </is>
      </c>
      <c r="C825" t="inlineStr">
        <is>
          <t>State Medicaid</t>
        </is>
      </c>
      <c r="D825" t="inlineStr">
        <is>
          <t>Outpatient</t>
        </is>
      </c>
      <c r="E825" s="29" t="n">
        <v>45757</v>
      </c>
      <c r="F825" s="29" t="n">
        <v>45762</v>
      </c>
      <c r="G825" s="31" t="n">
        <v>279.16</v>
      </c>
      <c r="H825" s="31" t="n">
        <v>69.8</v>
      </c>
      <c r="I825" t="inlineStr">
        <is>
          <t>Paid</t>
        </is>
      </c>
      <c r="K825" s="29" t="n">
        <v>45791</v>
      </c>
      <c r="L825" s="33" t="n"/>
    </row>
    <row r="826">
      <c r="A826" t="inlineStr">
        <is>
          <t>CLM514083</t>
        </is>
      </c>
      <c r="B826" t="inlineStr">
        <is>
          <t>ENC114083</t>
        </is>
      </c>
      <c r="C826" t="inlineStr">
        <is>
          <t>Keystone Health Partners</t>
        </is>
      </c>
      <c r="D826" t="inlineStr">
        <is>
          <t>Observation</t>
        </is>
      </c>
      <c r="E826" s="29" t="n">
        <v>45758</v>
      </c>
      <c r="F826" s="29" t="n">
        <v>45766</v>
      </c>
      <c r="G826" s="31" t="n">
        <v>8474.67</v>
      </c>
      <c r="H826" s="31" t="n">
        <v>3249.31</v>
      </c>
      <c r="I826" t="inlineStr">
        <is>
          <t>Paid</t>
        </is>
      </c>
      <c r="K826" s="29" t="n">
        <v>45783</v>
      </c>
      <c r="L826" s="33" t="n"/>
    </row>
    <row r="827">
      <c r="A827" t="inlineStr">
        <is>
          <t>CLM514086</t>
        </is>
      </c>
      <c r="B827" t="inlineStr">
        <is>
          <t>ENC114086</t>
        </is>
      </c>
      <c r="C827" t="inlineStr">
        <is>
          <t>Medicare</t>
        </is>
      </c>
      <c r="D827" t="inlineStr">
        <is>
          <t>Outpatient</t>
        </is>
      </c>
      <c r="E827" s="29" t="n">
        <v>45757</v>
      </c>
      <c r="F827" s="29" t="n">
        <v>45766</v>
      </c>
      <c r="G827" s="31" t="n">
        <v>317.64</v>
      </c>
      <c r="H827" s="31" t="n">
        <v>87.39</v>
      </c>
      <c r="I827" t="inlineStr">
        <is>
          <t>Paid</t>
        </is>
      </c>
      <c r="K827" s="29" t="n">
        <v>45781</v>
      </c>
      <c r="L827" s="33" t="n"/>
    </row>
    <row r="828">
      <c r="A828" t="inlineStr">
        <is>
          <t>CLM514090</t>
        </is>
      </c>
      <c r="B828" t="inlineStr">
        <is>
          <t>ENC114090</t>
        </is>
      </c>
      <c r="C828" t="inlineStr">
        <is>
          <t>Silverline Medicare Advantage</t>
        </is>
      </c>
      <c r="D828" t="inlineStr">
        <is>
          <t>Emergency</t>
        </is>
      </c>
      <c r="E828" s="29" t="n">
        <v>45757</v>
      </c>
      <c r="F828" s="29" t="n">
        <v>45885</v>
      </c>
      <c r="G828" s="31" t="n">
        <v>845.6799999999999</v>
      </c>
      <c r="H828" s="31" t="n">
        <v>274.4</v>
      </c>
      <c r="I828" t="inlineStr">
        <is>
          <t>Paid</t>
        </is>
      </c>
      <c r="K828" s="29" t="n">
        <v>45907</v>
      </c>
      <c r="L828" s="33" t="n"/>
    </row>
    <row r="829">
      <c r="A829" t="inlineStr">
        <is>
          <t>CLM514091</t>
        </is>
      </c>
      <c r="B829" t="inlineStr">
        <is>
          <t>ENC114091</t>
        </is>
      </c>
      <c r="C829" t="inlineStr">
        <is>
          <t>State Medicaid</t>
        </is>
      </c>
      <c r="D829" t="inlineStr">
        <is>
          <t>Emergency</t>
        </is>
      </c>
      <c r="E829" s="29" t="n">
        <v>45757</v>
      </c>
      <c r="F829" s="29" t="n">
        <v>45761</v>
      </c>
      <c r="G829" s="31" t="n">
        <v>960.24</v>
      </c>
      <c r="H829" s="31" t="n">
        <v>252.71</v>
      </c>
      <c r="I829" t="inlineStr">
        <is>
          <t>Paid</t>
        </is>
      </c>
      <c r="K829" s="29" t="n">
        <v>45781</v>
      </c>
      <c r="L829" s="33" t="n"/>
    </row>
    <row r="830">
      <c r="A830" t="inlineStr">
        <is>
          <t>CLM514099</t>
        </is>
      </c>
      <c r="B830" t="inlineStr">
        <is>
          <t>ENC114099</t>
        </is>
      </c>
      <c r="C830" t="inlineStr">
        <is>
          <t>State Medicaid</t>
        </is>
      </c>
      <c r="D830" t="inlineStr">
        <is>
          <t>Emergency</t>
        </is>
      </c>
      <c r="E830" s="29" t="n">
        <v>45758</v>
      </c>
      <c r="F830" s="29" t="n">
        <v>45761</v>
      </c>
      <c r="G830" s="31" t="n">
        <v>642.1</v>
      </c>
      <c r="H830" s="31" t="n">
        <v>155.07</v>
      </c>
      <c r="I830" t="inlineStr">
        <is>
          <t>Paid</t>
        </is>
      </c>
      <c r="K830" s="29" t="n">
        <v>45813</v>
      </c>
      <c r="L830" s="33" t="n"/>
    </row>
    <row r="831">
      <c r="A831" t="inlineStr">
        <is>
          <t>CLM514103</t>
        </is>
      </c>
      <c r="B831" t="inlineStr">
        <is>
          <t>ENC114103</t>
        </is>
      </c>
      <c r="C831" t="inlineStr">
        <is>
          <t>Medicare</t>
        </is>
      </c>
      <c r="D831" t="inlineStr">
        <is>
          <t>Outpatient</t>
        </is>
      </c>
      <c r="E831" s="29" t="n">
        <v>45758</v>
      </c>
      <c r="F831" s="29" t="n">
        <v>45761</v>
      </c>
      <c r="G831" s="31" t="n">
        <v>469.46</v>
      </c>
      <c r="H831" s="31" t="n">
        <v>130.89</v>
      </c>
      <c r="I831" t="inlineStr">
        <is>
          <t>Paid</t>
        </is>
      </c>
      <c r="K831" s="29" t="n">
        <v>45779</v>
      </c>
      <c r="L831" s="33" t="n"/>
    </row>
    <row r="832">
      <c r="A832" t="inlineStr">
        <is>
          <t>CLM514107</t>
        </is>
      </c>
      <c r="B832" t="inlineStr">
        <is>
          <t>ENC114107</t>
        </is>
      </c>
      <c r="C832" t="inlineStr">
        <is>
          <t>Keystone Health Partners</t>
        </is>
      </c>
      <c r="D832" t="inlineStr">
        <is>
          <t>Emergency</t>
        </is>
      </c>
      <c r="E832" s="29" t="n">
        <v>45758</v>
      </c>
      <c r="F832" s="29" t="n">
        <v>45762</v>
      </c>
      <c r="G832" s="31" t="n">
        <v>3505.09</v>
      </c>
      <c r="H832" s="31" t="n">
        <v>1695.09</v>
      </c>
      <c r="I832" t="inlineStr">
        <is>
          <t>Paid</t>
        </is>
      </c>
      <c r="K832" s="29" t="n">
        <v>45771</v>
      </c>
      <c r="L832" s="33" t="n"/>
    </row>
    <row r="833">
      <c r="A833" t="inlineStr">
        <is>
          <t>CLM514109</t>
        </is>
      </c>
      <c r="B833" t="inlineStr">
        <is>
          <t>ENC114109</t>
        </is>
      </c>
      <c r="C833" t="inlineStr">
        <is>
          <t>Summit Choice PPO</t>
        </is>
      </c>
      <c r="D833" t="inlineStr">
        <is>
          <t>Outpatient</t>
        </is>
      </c>
      <c r="E833" s="29" t="n">
        <v>45758</v>
      </c>
      <c r="F833" s="29" t="n">
        <v>45760</v>
      </c>
      <c r="G833" s="31" t="n">
        <v>261.61</v>
      </c>
      <c r="H833" s="31" t="n">
        <v>0</v>
      </c>
      <c r="I833" t="inlineStr">
        <is>
          <t>Denied</t>
        </is>
      </c>
      <c r="J833" t="inlineStr">
        <is>
          <t>Medical Necessity</t>
        </is>
      </c>
      <c r="L833" s="33" t="n"/>
    </row>
    <row r="834">
      <c r="A834" t="inlineStr">
        <is>
          <t>CLM514126</t>
        </is>
      </c>
      <c r="B834" t="inlineStr">
        <is>
          <t>ENC114126</t>
        </is>
      </c>
      <c r="C834" t="inlineStr">
        <is>
          <t>Silverline Medicare Advantage</t>
        </is>
      </c>
      <c r="D834" t="inlineStr">
        <is>
          <t>Outpatient</t>
        </is>
      </c>
      <c r="E834" s="29" t="n">
        <v>45758</v>
      </c>
      <c r="F834" s="29" t="n">
        <v>45760</v>
      </c>
      <c r="G834" s="31" t="n">
        <v>325.93</v>
      </c>
      <c r="H834" s="31" t="n">
        <v>108.78</v>
      </c>
      <c r="I834" t="inlineStr">
        <is>
          <t>Paid</t>
        </is>
      </c>
      <c r="K834" s="29" t="n">
        <v>45792</v>
      </c>
      <c r="L834" s="33" t="n"/>
    </row>
    <row r="835">
      <c r="A835" t="inlineStr">
        <is>
          <t>CLM514133</t>
        </is>
      </c>
      <c r="B835" t="inlineStr">
        <is>
          <t>ENC114133</t>
        </is>
      </c>
      <c r="C835" t="inlineStr">
        <is>
          <t>Keystone Health Partners</t>
        </is>
      </c>
      <c r="D835" t="inlineStr">
        <is>
          <t>Inpatient</t>
        </is>
      </c>
      <c r="E835" s="29" t="n">
        <v>45764</v>
      </c>
      <c r="F835" s="29" t="n">
        <v>45768</v>
      </c>
      <c r="G835" s="31" t="n">
        <v>20910.69</v>
      </c>
      <c r="H835" s="31" t="n">
        <v>7099.36</v>
      </c>
      <c r="I835" t="inlineStr">
        <is>
          <t>Partially Paid</t>
        </is>
      </c>
      <c r="J835" t="inlineStr">
        <is>
          <t>Medical Necessity</t>
        </is>
      </c>
      <c r="K835" s="29" t="n">
        <v>45795</v>
      </c>
      <c r="L835" s="33" t="n"/>
    </row>
    <row r="836">
      <c r="A836" t="inlineStr">
        <is>
          <t>CLM514140</t>
        </is>
      </c>
      <c r="B836" t="inlineStr">
        <is>
          <t>ENC114140</t>
        </is>
      </c>
      <c r="C836" t="inlineStr">
        <is>
          <t>Evergreen Mutual Insurance</t>
        </is>
      </c>
      <c r="D836" t="inlineStr">
        <is>
          <t>Emergency</t>
        </is>
      </c>
      <c r="E836" s="29" t="n">
        <v>45759</v>
      </c>
      <c r="F836" s="29" t="n">
        <v>45762</v>
      </c>
      <c r="G836" s="31" t="n">
        <v>3740.25</v>
      </c>
      <c r="H836" s="31" t="n">
        <v>1671.82</v>
      </c>
      <c r="I836" t="inlineStr">
        <is>
          <t>Paid</t>
        </is>
      </c>
      <c r="K836" s="29" t="n">
        <v>45791</v>
      </c>
      <c r="L836" s="33" t="n"/>
    </row>
    <row r="837">
      <c r="A837" t="inlineStr">
        <is>
          <t>CLM514150</t>
        </is>
      </c>
      <c r="B837" t="inlineStr">
        <is>
          <t>ENC114150</t>
        </is>
      </c>
      <c r="C837" t="inlineStr">
        <is>
          <t>State Medicaid</t>
        </is>
      </c>
      <c r="D837" t="inlineStr">
        <is>
          <t>Inpatient</t>
        </is>
      </c>
      <c r="E837" s="29" t="n">
        <v>45763</v>
      </c>
      <c r="F837" s="29" t="n">
        <v>45765</v>
      </c>
      <c r="G837" s="31" t="n">
        <v>17107.79</v>
      </c>
      <c r="H837" s="31" t="n">
        <v>0</v>
      </c>
      <c r="I837" t="inlineStr">
        <is>
          <t>Denied</t>
        </is>
      </c>
      <c r="J837" t="inlineStr">
        <is>
          <t>Authorization Required</t>
        </is>
      </c>
      <c r="L837" s="33" t="n"/>
    </row>
    <row r="838">
      <c r="A838" t="inlineStr">
        <is>
          <t>CLM514158</t>
        </is>
      </c>
      <c r="B838" t="inlineStr">
        <is>
          <t>ENC114158</t>
        </is>
      </c>
      <c r="C838" t="inlineStr">
        <is>
          <t>Silverline Medicare Advantage</t>
        </is>
      </c>
      <c r="D838" t="inlineStr">
        <is>
          <t>Emergency</t>
        </is>
      </c>
      <c r="E838" s="29" t="n">
        <v>45760</v>
      </c>
      <c r="F838" s="29" t="n">
        <v>45766</v>
      </c>
      <c r="G838" s="31" t="n">
        <v>999.52</v>
      </c>
      <c r="H838" s="31" t="n">
        <v>311.63</v>
      </c>
      <c r="I838" t="inlineStr">
        <is>
          <t>Paid</t>
        </is>
      </c>
      <c r="K838" s="29" t="n">
        <v>45805</v>
      </c>
      <c r="L838" s="33" t="n"/>
    </row>
    <row r="839">
      <c r="A839" t="inlineStr">
        <is>
          <t>CLM514159</t>
        </is>
      </c>
      <c r="B839" t="inlineStr">
        <is>
          <t>ENC114159</t>
        </is>
      </c>
      <c r="C839" t="inlineStr">
        <is>
          <t>Keystone Health Partners</t>
        </is>
      </c>
      <c r="D839" t="inlineStr">
        <is>
          <t>Emergency</t>
        </is>
      </c>
      <c r="E839" s="29" t="n">
        <v>45760</v>
      </c>
      <c r="F839" s="29" t="n">
        <v>45762</v>
      </c>
      <c r="G839" s="31" t="n">
        <v>4252.79</v>
      </c>
      <c r="H839" s="31" t="n">
        <v>0</v>
      </c>
      <c r="I839" t="inlineStr">
        <is>
          <t>Appealed</t>
        </is>
      </c>
      <c r="J839" t="inlineStr">
        <is>
          <t>Duplicate Claim</t>
        </is>
      </c>
      <c r="L839" s="33" t="n"/>
    </row>
    <row r="840">
      <c r="A840" t="inlineStr">
        <is>
          <t>CLM514161</t>
        </is>
      </c>
      <c r="B840" t="inlineStr">
        <is>
          <t>ENC114161</t>
        </is>
      </c>
      <c r="C840" t="inlineStr">
        <is>
          <t>Summit Choice PPO</t>
        </is>
      </c>
      <c r="D840" t="inlineStr">
        <is>
          <t>Emergency</t>
        </is>
      </c>
      <c r="E840" s="29" t="n">
        <v>45761</v>
      </c>
      <c r="F840" s="29" t="n">
        <v>45766</v>
      </c>
      <c r="G840" s="31" t="n">
        <v>3690.14</v>
      </c>
      <c r="H840" s="31" t="n">
        <v>2014.55</v>
      </c>
      <c r="I840" t="inlineStr">
        <is>
          <t>Paid</t>
        </is>
      </c>
      <c r="K840" s="29" t="n">
        <v>45792</v>
      </c>
      <c r="L840" s="33" t="n"/>
    </row>
    <row r="841">
      <c r="A841" t="inlineStr">
        <is>
          <t>CLM514163</t>
        </is>
      </c>
      <c r="B841" t="inlineStr">
        <is>
          <t>ENC114163</t>
        </is>
      </c>
      <c r="C841" t="inlineStr">
        <is>
          <t>Medicare</t>
        </is>
      </c>
      <c r="D841" t="inlineStr">
        <is>
          <t>Inpatient</t>
        </is>
      </c>
      <c r="E841" s="29" t="n">
        <v>45768</v>
      </c>
      <c r="F841" s="29" t="n">
        <v>45771</v>
      </c>
      <c r="G841" s="31" t="n">
        <v>58202.53</v>
      </c>
      <c r="H841" s="31" t="n">
        <v>15463.78</v>
      </c>
      <c r="I841" t="inlineStr">
        <is>
          <t>Paid</t>
        </is>
      </c>
      <c r="K841" s="29" t="n">
        <v>45781</v>
      </c>
      <c r="L841" s="33" t="n"/>
    </row>
    <row r="842">
      <c r="A842" t="inlineStr">
        <is>
          <t>CLM514166</t>
        </is>
      </c>
      <c r="B842" t="inlineStr">
        <is>
          <t>ENC114166</t>
        </is>
      </c>
      <c r="C842" t="inlineStr">
        <is>
          <t>Keystone Health Partners</t>
        </is>
      </c>
      <c r="D842" t="inlineStr">
        <is>
          <t>Outpatient</t>
        </is>
      </c>
      <c r="E842" s="29" t="n">
        <v>45761</v>
      </c>
      <c r="F842" s="29" t="n">
        <v>45766</v>
      </c>
      <c r="G842" s="31" t="n">
        <v>397.51</v>
      </c>
      <c r="H842" s="31" t="n">
        <v>166.66</v>
      </c>
      <c r="I842" t="inlineStr">
        <is>
          <t>Paid</t>
        </is>
      </c>
      <c r="K842" s="29" t="n">
        <v>45786</v>
      </c>
      <c r="L842" s="33" t="n"/>
    </row>
    <row r="843">
      <c r="A843" t="inlineStr">
        <is>
          <t>CLM514167</t>
        </is>
      </c>
      <c r="B843" t="inlineStr">
        <is>
          <t>ENC114167</t>
        </is>
      </c>
      <c r="C843" t="inlineStr">
        <is>
          <t>Silverline Medicare Advantage</t>
        </is>
      </c>
      <c r="D843" t="inlineStr">
        <is>
          <t>Outpatient</t>
        </is>
      </c>
      <c r="E843" s="29" t="n">
        <v>45761</v>
      </c>
      <c r="F843" s="29" t="n">
        <v>45764</v>
      </c>
      <c r="G843" s="31" t="n">
        <v>356.73</v>
      </c>
      <c r="H843" s="31" t="n">
        <v>128.2</v>
      </c>
      <c r="I843" t="inlineStr">
        <is>
          <t>Paid</t>
        </is>
      </c>
      <c r="K843" s="29" t="n">
        <v>45784</v>
      </c>
      <c r="L843" s="33" t="n"/>
    </row>
    <row r="844">
      <c r="A844" t="inlineStr">
        <is>
          <t>CLM514169</t>
        </is>
      </c>
      <c r="B844" t="inlineStr">
        <is>
          <t>ENC114169</t>
        </is>
      </c>
      <c r="C844" t="inlineStr">
        <is>
          <t>Evergreen Mutual Insurance</t>
        </is>
      </c>
      <c r="D844" t="inlineStr">
        <is>
          <t>Outpatient</t>
        </is>
      </c>
      <c r="E844" s="29" t="n">
        <v>45761</v>
      </c>
      <c r="F844" s="29" t="n">
        <v>45765</v>
      </c>
      <c r="G844" s="31" t="n">
        <v>343.88</v>
      </c>
      <c r="H844" s="31" t="n">
        <v>147.67</v>
      </c>
      <c r="I844" t="inlineStr">
        <is>
          <t>Paid</t>
        </is>
      </c>
      <c r="K844" s="29" t="n">
        <v>45793</v>
      </c>
      <c r="L844" s="33" t="n"/>
    </row>
    <row r="845">
      <c r="A845" t="inlineStr">
        <is>
          <t>CLM514170</t>
        </is>
      </c>
      <c r="B845" t="inlineStr">
        <is>
          <t>ENC114170</t>
        </is>
      </c>
      <c r="C845" t="inlineStr">
        <is>
          <t>Keystone Health Partners</t>
        </is>
      </c>
      <c r="D845" t="inlineStr">
        <is>
          <t>Outpatient</t>
        </is>
      </c>
      <c r="E845" s="29" t="n">
        <v>45761</v>
      </c>
      <c r="F845" s="29" t="n">
        <v>45771</v>
      </c>
      <c r="G845" s="31" t="n">
        <v>395.56</v>
      </c>
      <c r="H845" s="31" t="n">
        <v>175.61</v>
      </c>
      <c r="I845" t="inlineStr">
        <is>
          <t>Paid</t>
        </is>
      </c>
      <c r="K845" s="29" t="n">
        <v>45800</v>
      </c>
      <c r="L845" s="33" t="n"/>
    </row>
    <row r="846">
      <c r="A846" t="inlineStr">
        <is>
          <t>CLM514174</t>
        </is>
      </c>
      <c r="B846" t="inlineStr">
        <is>
          <t>ENC114174</t>
        </is>
      </c>
      <c r="C846" t="inlineStr">
        <is>
          <t>Workers' Compensation</t>
        </is>
      </c>
      <c r="D846" t="inlineStr">
        <is>
          <t>Emergency</t>
        </is>
      </c>
      <c r="E846" s="29" t="n">
        <v>45761</v>
      </c>
      <c r="F846" s="29" t="n">
        <v>45766</v>
      </c>
      <c r="G846" s="31" t="n">
        <v>958.33</v>
      </c>
      <c r="H846" s="31" t="n">
        <v>531.1</v>
      </c>
      <c r="I846" t="inlineStr">
        <is>
          <t>Paid</t>
        </is>
      </c>
      <c r="K846" s="29" t="n">
        <v>45810</v>
      </c>
      <c r="L846" s="33" t="n"/>
    </row>
    <row r="847">
      <c r="A847" t="inlineStr">
        <is>
          <t>CLM514175</t>
        </is>
      </c>
      <c r="B847" t="inlineStr">
        <is>
          <t>ENC114175</t>
        </is>
      </c>
      <c r="C847" t="inlineStr">
        <is>
          <t>Silverline Medicare Advantage</t>
        </is>
      </c>
      <c r="D847" t="inlineStr">
        <is>
          <t>Outpatient</t>
        </is>
      </c>
      <c r="E847" s="29" t="n">
        <v>45761</v>
      </c>
      <c r="F847" s="29" t="n">
        <v>45772</v>
      </c>
      <c r="G847" s="31" t="n">
        <v>311.64</v>
      </c>
      <c r="H847" s="31" t="n">
        <v>100.32</v>
      </c>
      <c r="I847" t="inlineStr">
        <is>
          <t>Paid</t>
        </is>
      </c>
      <c r="K847" s="29" t="n">
        <v>45797</v>
      </c>
      <c r="L847" s="33" t="n"/>
    </row>
    <row r="848">
      <c r="A848" t="inlineStr">
        <is>
          <t>CLM514177</t>
        </is>
      </c>
      <c r="B848" t="inlineStr">
        <is>
          <t>ENC114177</t>
        </is>
      </c>
      <c r="C848" t="inlineStr">
        <is>
          <t>Evergreen Mutual Insurance</t>
        </is>
      </c>
      <c r="D848" t="inlineStr">
        <is>
          <t>Inpatient</t>
        </is>
      </c>
      <c r="E848" s="29" t="n">
        <v>45768</v>
      </c>
      <c r="F848" s="29" t="n">
        <v>45770</v>
      </c>
      <c r="G848" s="31" t="n">
        <v>30110.72</v>
      </c>
      <c r="H848" s="31" t="n">
        <v>10829.28</v>
      </c>
      <c r="I848" t="inlineStr">
        <is>
          <t>Paid</t>
        </is>
      </c>
      <c r="K848" s="29" t="n">
        <v>45782</v>
      </c>
      <c r="L848" s="33" t="n"/>
    </row>
    <row r="849">
      <c r="A849" t="inlineStr">
        <is>
          <t>CLM514181</t>
        </is>
      </c>
      <c r="B849" t="inlineStr">
        <is>
          <t>ENC114181</t>
        </is>
      </c>
      <c r="C849" t="inlineStr">
        <is>
          <t>Keystone Health Partners</t>
        </is>
      </c>
      <c r="D849" t="inlineStr">
        <is>
          <t>Outpatient</t>
        </is>
      </c>
      <c r="E849" s="29" t="n">
        <v>45761</v>
      </c>
      <c r="F849" s="29" t="n">
        <v>45768</v>
      </c>
      <c r="G849" s="31" t="n">
        <v>271.54</v>
      </c>
      <c r="H849" s="31" t="n">
        <v>119.49</v>
      </c>
      <c r="I849" t="inlineStr">
        <is>
          <t>Paid</t>
        </is>
      </c>
      <c r="K849" s="29" t="n">
        <v>45802</v>
      </c>
      <c r="L849" s="33" t="n"/>
    </row>
    <row r="850">
      <c r="A850" t="inlineStr">
        <is>
          <t>CLM514182</t>
        </is>
      </c>
      <c r="B850" t="inlineStr">
        <is>
          <t>ENC114182</t>
        </is>
      </c>
      <c r="C850" t="inlineStr">
        <is>
          <t>State Medicaid</t>
        </is>
      </c>
      <c r="D850" t="inlineStr">
        <is>
          <t>Outpatient</t>
        </is>
      </c>
      <c r="E850" s="29" t="n">
        <v>45761</v>
      </c>
      <c r="F850" s="29" t="n">
        <v>45765</v>
      </c>
      <c r="G850" s="31" t="n">
        <v>368.87</v>
      </c>
      <c r="H850" s="31" t="n">
        <v>85.77</v>
      </c>
      <c r="I850" t="inlineStr">
        <is>
          <t>Paid</t>
        </is>
      </c>
      <c r="K850" s="29" t="n">
        <v>45822</v>
      </c>
      <c r="L850" s="33" t="n"/>
    </row>
    <row r="851">
      <c r="A851" t="inlineStr">
        <is>
          <t>CLM514188</t>
        </is>
      </c>
      <c r="B851" t="inlineStr">
        <is>
          <t>ENC114188</t>
        </is>
      </c>
      <c r="C851" t="inlineStr">
        <is>
          <t>Summit Choice PPO</t>
        </is>
      </c>
      <c r="D851" t="inlineStr">
        <is>
          <t>Outpatient</t>
        </is>
      </c>
      <c r="E851" s="29" t="n">
        <v>45761</v>
      </c>
      <c r="F851" s="29" t="n">
        <v>45768</v>
      </c>
      <c r="G851" s="31" t="n">
        <v>476.8</v>
      </c>
      <c r="H851" s="31" t="n">
        <v>0</v>
      </c>
      <c r="I851" t="inlineStr">
        <is>
          <t>Appealed</t>
        </is>
      </c>
      <c r="J851" t="inlineStr">
        <is>
          <t>Eligibility / Coverage</t>
        </is>
      </c>
      <c r="L851" s="33" t="n"/>
    </row>
    <row r="852">
      <c r="A852" t="inlineStr">
        <is>
          <t>CLM514190</t>
        </is>
      </c>
      <c r="B852" t="inlineStr">
        <is>
          <t>ENC114190</t>
        </is>
      </c>
      <c r="C852" t="inlineStr">
        <is>
          <t>Silverline Medicare Advantage</t>
        </is>
      </c>
      <c r="D852" t="inlineStr">
        <is>
          <t>Emergency</t>
        </is>
      </c>
      <c r="E852" s="29" t="n">
        <v>45761</v>
      </c>
      <c r="F852" s="29" t="n">
        <v>45832</v>
      </c>
      <c r="G852" s="31" t="n">
        <v>750.36</v>
      </c>
      <c r="H852" s="31" t="n">
        <v>227.45</v>
      </c>
      <c r="I852" t="inlineStr">
        <is>
          <t>Paid</t>
        </is>
      </c>
      <c r="K852" s="29" t="n">
        <v>45889</v>
      </c>
      <c r="L852" s="33" t="n"/>
    </row>
    <row r="853">
      <c r="A853" t="inlineStr">
        <is>
          <t>CLM514191</t>
        </is>
      </c>
      <c r="B853" t="inlineStr">
        <is>
          <t>ENC114191</t>
        </is>
      </c>
      <c r="C853" t="inlineStr">
        <is>
          <t>Evergreen Mutual Insurance</t>
        </is>
      </c>
      <c r="D853" t="inlineStr">
        <is>
          <t>Observation</t>
        </is>
      </c>
      <c r="E853" s="29" t="n">
        <v>45762</v>
      </c>
      <c r="F853" s="29" t="n">
        <v>45765</v>
      </c>
      <c r="G853" s="31" t="n">
        <v>9663.27</v>
      </c>
      <c r="H853" s="31" t="n">
        <v>0</v>
      </c>
      <c r="I853" t="inlineStr">
        <is>
          <t>Denied</t>
        </is>
      </c>
      <c r="J853" t="inlineStr">
        <is>
          <t>Authorization Required</t>
        </is>
      </c>
      <c r="L853" s="33" t="n"/>
    </row>
    <row r="854">
      <c r="A854" t="inlineStr">
        <is>
          <t>CLM514192</t>
        </is>
      </c>
      <c r="B854" t="inlineStr">
        <is>
          <t>ENC114192</t>
        </is>
      </c>
      <c r="C854" t="inlineStr">
        <is>
          <t>Medicare</t>
        </is>
      </c>
      <c r="D854" t="inlineStr">
        <is>
          <t>Outpatient</t>
        </is>
      </c>
      <c r="E854" s="29" t="n">
        <v>45761</v>
      </c>
      <c r="F854" s="29" t="n">
        <v>45769</v>
      </c>
      <c r="G854" s="31" t="n">
        <v>630.75</v>
      </c>
      <c r="H854" s="31" t="n">
        <v>197.89</v>
      </c>
      <c r="I854" t="inlineStr">
        <is>
          <t>Paid</t>
        </is>
      </c>
      <c r="K854" s="29" t="n">
        <v>45787</v>
      </c>
      <c r="L854" s="33" t="n"/>
    </row>
    <row r="855">
      <c r="A855" t="inlineStr">
        <is>
          <t>CLM514198</t>
        </is>
      </c>
      <c r="B855" t="inlineStr">
        <is>
          <t>ENC114198</t>
        </is>
      </c>
      <c r="C855" t="inlineStr">
        <is>
          <t>State Medicaid</t>
        </is>
      </c>
      <c r="D855" t="inlineStr">
        <is>
          <t>Inpatient</t>
        </is>
      </c>
      <c r="E855" s="29" t="n">
        <v>45773</v>
      </c>
      <c r="F855" s="29" t="n">
        <v>45779</v>
      </c>
      <c r="G855" s="31" t="n">
        <v>52501.93</v>
      </c>
      <c r="H855" s="31" t="n">
        <v>12088.51</v>
      </c>
      <c r="I855" t="inlineStr">
        <is>
          <t>Paid</t>
        </is>
      </c>
      <c r="K855" s="29" t="n">
        <v>45827</v>
      </c>
      <c r="L855" s="33" t="n"/>
    </row>
    <row r="856">
      <c r="A856" t="inlineStr">
        <is>
          <t>CLM514203</t>
        </is>
      </c>
      <c r="B856" t="inlineStr">
        <is>
          <t>ENC114203</t>
        </is>
      </c>
      <c r="C856" t="inlineStr">
        <is>
          <t>Medicare</t>
        </is>
      </c>
      <c r="D856" t="inlineStr">
        <is>
          <t>Outpatient</t>
        </is>
      </c>
      <c r="E856" s="29" t="n">
        <v>45762</v>
      </c>
      <c r="F856" s="29" t="n">
        <v>45764</v>
      </c>
      <c r="G856" s="31" t="n">
        <v>227.95</v>
      </c>
      <c r="H856" s="31" t="n">
        <v>59.76</v>
      </c>
      <c r="I856" t="inlineStr">
        <is>
          <t>Paid</t>
        </is>
      </c>
      <c r="K856" s="29" t="n">
        <v>45773</v>
      </c>
      <c r="L856" s="33" t="n"/>
    </row>
    <row r="857">
      <c r="A857" t="inlineStr">
        <is>
          <t>CLM514204</t>
        </is>
      </c>
      <c r="B857" t="inlineStr">
        <is>
          <t>ENC114204</t>
        </is>
      </c>
      <c r="C857" t="inlineStr">
        <is>
          <t>Medicare</t>
        </is>
      </c>
      <c r="D857" t="inlineStr">
        <is>
          <t>Outpatient</t>
        </is>
      </c>
      <c r="E857" s="29" t="n">
        <v>45762</v>
      </c>
      <c r="F857" s="29" t="n">
        <v>45766</v>
      </c>
      <c r="G857" s="31" t="n">
        <v>8332.889999999999</v>
      </c>
      <c r="H857" s="31" t="n">
        <v>2452.72</v>
      </c>
      <c r="I857" t="inlineStr">
        <is>
          <t>Paid</t>
        </is>
      </c>
      <c r="K857" s="29" t="n">
        <v>45781</v>
      </c>
      <c r="L857" s="33" t="n"/>
    </row>
    <row r="858">
      <c r="A858" t="inlineStr">
        <is>
          <t>CLM514207</t>
        </is>
      </c>
      <c r="B858" t="inlineStr">
        <is>
          <t>ENC114207</t>
        </is>
      </c>
      <c r="C858" t="inlineStr">
        <is>
          <t>Silverline Medicare Advantage</t>
        </is>
      </c>
      <c r="D858" t="inlineStr">
        <is>
          <t>Outpatient</t>
        </is>
      </c>
      <c r="E858" s="29" t="n">
        <v>45762</v>
      </c>
      <c r="F858" s="29" t="n">
        <v>45768</v>
      </c>
      <c r="G858" s="31" t="n">
        <v>262.88</v>
      </c>
      <c r="H858" s="31" t="n">
        <v>70.86</v>
      </c>
      <c r="I858" t="inlineStr">
        <is>
          <t>Partially Paid</t>
        </is>
      </c>
      <c r="J858" t="inlineStr">
        <is>
          <t>Medical Necessity</t>
        </is>
      </c>
      <c r="K858" s="29" t="n">
        <v>45788</v>
      </c>
      <c r="L858" s="33" t="n"/>
    </row>
    <row r="859">
      <c r="A859" t="inlineStr">
        <is>
          <t>CLM514208</t>
        </is>
      </c>
      <c r="B859" t="inlineStr">
        <is>
          <t>ENC114208</t>
        </is>
      </c>
      <c r="C859" t="inlineStr">
        <is>
          <t>Keystone Health Partners</t>
        </is>
      </c>
      <c r="D859" t="inlineStr">
        <is>
          <t>Outpatient</t>
        </is>
      </c>
      <c r="E859" s="29" t="n">
        <v>45762</v>
      </c>
      <c r="F859" s="29" t="n">
        <v>45767</v>
      </c>
      <c r="G859" s="31" t="n">
        <v>422.31</v>
      </c>
      <c r="H859" s="31" t="n">
        <v>179.02</v>
      </c>
      <c r="I859" t="inlineStr">
        <is>
          <t>Paid</t>
        </is>
      </c>
      <c r="K859" s="29" t="n">
        <v>45791</v>
      </c>
      <c r="L859" s="33" t="n"/>
    </row>
    <row r="860">
      <c r="A860" t="inlineStr">
        <is>
          <t>CLM514209</t>
        </is>
      </c>
      <c r="B860" t="inlineStr">
        <is>
          <t>ENC114209</t>
        </is>
      </c>
      <c r="C860" t="inlineStr">
        <is>
          <t>Keystone Health Partners</t>
        </is>
      </c>
      <c r="D860" t="inlineStr">
        <is>
          <t>Inpatient</t>
        </is>
      </c>
      <c r="E860" s="29" t="n">
        <v>45763</v>
      </c>
      <c r="F860" s="29" t="n">
        <v>45767</v>
      </c>
      <c r="G860" s="31" t="n">
        <v>13696.38</v>
      </c>
      <c r="H860" s="31" t="n">
        <v>6637.87</v>
      </c>
      <c r="I860" t="inlineStr">
        <is>
          <t>Paid</t>
        </is>
      </c>
      <c r="K860" s="29" t="n">
        <v>45790</v>
      </c>
      <c r="L860" s="33" t="n"/>
    </row>
    <row r="861">
      <c r="A861" t="inlineStr">
        <is>
          <t>CLM514210</t>
        </is>
      </c>
      <c r="B861" t="inlineStr">
        <is>
          <t>ENC114210</t>
        </is>
      </c>
      <c r="C861" t="inlineStr">
        <is>
          <t>State Medicaid</t>
        </is>
      </c>
      <c r="D861" t="inlineStr">
        <is>
          <t>Outpatient</t>
        </is>
      </c>
      <c r="E861" s="29" t="n">
        <v>45762</v>
      </c>
      <c r="F861" s="29" t="n">
        <v>45769</v>
      </c>
      <c r="G861" s="31" t="n">
        <v>106.99</v>
      </c>
      <c r="H861" s="31" t="n">
        <v>22.68</v>
      </c>
      <c r="I861" t="inlineStr">
        <is>
          <t>Partially Paid</t>
        </is>
      </c>
      <c r="J861" t="inlineStr">
        <is>
          <t>Coding Error</t>
        </is>
      </c>
      <c r="K861" s="29" t="n">
        <v>45795</v>
      </c>
      <c r="L861" s="33" t="n"/>
    </row>
    <row r="862">
      <c r="A862" t="inlineStr">
        <is>
          <t>CLM514212</t>
        </is>
      </c>
      <c r="B862" t="inlineStr">
        <is>
          <t>ENC114212</t>
        </is>
      </c>
      <c r="C862" t="inlineStr">
        <is>
          <t>Medicare</t>
        </is>
      </c>
      <c r="D862" t="inlineStr">
        <is>
          <t>Outpatient</t>
        </is>
      </c>
      <c r="E862" s="29" t="n">
        <v>45762</v>
      </c>
      <c r="F862" s="29" t="n">
        <v>45765</v>
      </c>
      <c r="G862" s="31" t="n">
        <v>108.4</v>
      </c>
      <c r="H862" s="31" t="n">
        <v>30.4</v>
      </c>
      <c r="I862" t="inlineStr">
        <is>
          <t>Paid</t>
        </is>
      </c>
      <c r="K862" s="29" t="n">
        <v>45785</v>
      </c>
      <c r="L862" s="33" t="n"/>
    </row>
    <row r="863">
      <c r="A863" t="inlineStr">
        <is>
          <t>CLM514218</t>
        </is>
      </c>
      <c r="B863" t="inlineStr">
        <is>
          <t>ENC114218</t>
        </is>
      </c>
      <c r="C863" t="inlineStr">
        <is>
          <t>Keystone Health Partners</t>
        </is>
      </c>
      <c r="D863" t="inlineStr">
        <is>
          <t>Outpatient</t>
        </is>
      </c>
      <c r="E863" s="29" t="n">
        <v>45762</v>
      </c>
      <c r="F863" s="29" t="n">
        <v>45772</v>
      </c>
      <c r="G863" s="31" t="n">
        <v>346.5</v>
      </c>
      <c r="H863" s="31" t="n">
        <v>161.52</v>
      </c>
      <c r="I863" t="inlineStr">
        <is>
          <t>Paid</t>
        </is>
      </c>
      <c r="K863" s="29" t="n">
        <v>45793</v>
      </c>
      <c r="L863" s="33" t="n"/>
    </row>
    <row r="864">
      <c r="A864" t="inlineStr">
        <is>
          <t>CLM514223</t>
        </is>
      </c>
      <c r="B864" t="inlineStr">
        <is>
          <t>ENC114223</t>
        </is>
      </c>
      <c r="C864" t="inlineStr">
        <is>
          <t>Keystone Health Partners</t>
        </is>
      </c>
      <c r="D864" t="inlineStr">
        <is>
          <t>Inpatient</t>
        </is>
      </c>
      <c r="E864" s="29" t="n">
        <v>45766</v>
      </c>
      <c r="F864" s="29" t="n">
        <v>45770</v>
      </c>
      <c r="G864" s="31" t="n">
        <v>21955.7</v>
      </c>
      <c r="H864" s="31" t="n">
        <v>0</v>
      </c>
      <c r="I864" t="inlineStr">
        <is>
          <t>Denied</t>
        </is>
      </c>
      <c r="J864" t="inlineStr">
        <is>
          <t>Missing Documentation</t>
        </is>
      </c>
      <c r="L864" s="33" t="n"/>
    </row>
    <row r="865">
      <c r="A865" t="inlineStr">
        <is>
          <t>CLM514224</t>
        </is>
      </c>
      <c r="B865" t="inlineStr">
        <is>
          <t>ENC114224</t>
        </is>
      </c>
      <c r="C865" t="inlineStr">
        <is>
          <t>Evergreen Mutual Insurance</t>
        </is>
      </c>
      <c r="D865" t="inlineStr">
        <is>
          <t>Emergency</t>
        </is>
      </c>
      <c r="E865" s="29" t="n">
        <v>45762</v>
      </c>
      <c r="F865" s="29" t="n">
        <v>45766</v>
      </c>
      <c r="G865" s="31" t="n">
        <v>1198.12</v>
      </c>
      <c r="H865" s="31" t="n">
        <v>525.9299999999999</v>
      </c>
      <c r="I865" t="inlineStr">
        <is>
          <t>Paid</t>
        </is>
      </c>
      <c r="K865" s="29" t="n">
        <v>45791</v>
      </c>
      <c r="L865" s="33" t="n"/>
    </row>
    <row r="866">
      <c r="A866" t="inlineStr">
        <is>
          <t>CLM514230</t>
        </is>
      </c>
      <c r="B866" t="inlineStr">
        <is>
          <t>ENC114230</t>
        </is>
      </c>
      <c r="C866" t="inlineStr">
        <is>
          <t>Medicare</t>
        </is>
      </c>
      <c r="D866" t="inlineStr">
        <is>
          <t>Emergency</t>
        </is>
      </c>
      <c r="E866" s="29" t="n">
        <v>45763</v>
      </c>
      <c r="F866" s="29" t="n">
        <v>45770</v>
      </c>
      <c r="G866" s="31" t="n">
        <v>996.23</v>
      </c>
      <c r="H866" s="31" t="n">
        <v>273.93</v>
      </c>
      <c r="I866" t="inlineStr">
        <is>
          <t>Paid</t>
        </is>
      </c>
      <c r="K866" s="29" t="n">
        <v>45795</v>
      </c>
      <c r="L866" s="33" t="n"/>
    </row>
    <row r="867">
      <c r="A867" t="inlineStr">
        <is>
          <t>CLM514231</t>
        </is>
      </c>
      <c r="B867" t="inlineStr">
        <is>
          <t>ENC114231</t>
        </is>
      </c>
      <c r="C867" t="inlineStr">
        <is>
          <t>Self-Pay</t>
        </is>
      </c>
      <c r="D867" t="inlineStr">
        <is>
          <t>Outpatient</t>
        </is>
      </c>
      <c r="E867" s="29" t="n">
        <v>45763</v>
      </c>
      <c r="F867" s="29" t="n">
        <v>45777</v>
      </c>
      <c r="G867" s="31" t="n">
        <v>713.4299999999999</v>
      </c>
      <c r="H867" s="31" t="n">
        <v>0</v>
      </c>
      <c r="I867" t="inlineStr">
        <is>
          <t>Pending</t>
        </is>
      </c>
      <c r="L867" s="33" t="n"/>
    </row>
    <row r="868">
      <c r="A868" t="inlineStr">
        <is>
          <t>CLM514238</t>
        </is>
      </c>
      <c r="B868" t="inlineStr">
        <is>
          <t>ENC114238</t>
        </is>
      </c>
      <c r="C868" t="inlineStr">
        <is>
          <t>Keystone Health Partners</t>
        </is>
      </c>
      <c r="D868" t="inlineStr">
        <is>
          <t>Inpatient</t>
        </is>
      </c>
      <c r="E868" s="29" t="n">
        <v>45765</v>
      </c>
      <c r="F868" s="29" t="n">
        <v>45775</v>
      </c>
      <c r="G868" s="31" t="n">
        <v>13757.04</v>
      </c>
      <c r="H868" s="31" t="n">
        <v>6095.95</v>
      </c>
      <c r="I868" t="inlineStr">
        <is>
          <t>Paid</t>
        </is>
      </c>
      <c r="K868" s="29" t="n">
        <v>45790</v>
      </c>
      <c r="L868" s="33" t="n"/>
    </row>
    <row r="869">
      <c r="A869" t="inlineStr">
        <is>
          <t>CLM514247</t>
        </is>
      </c>
      <c r="B869" t="inlineStr">
        <is>
          <t>ENC114247</t>
        </is>
      </c>
      <c r="C869" t="inlineStr">
        <is>
          <t>Silverline Medicare Advantage</t>
        </is>
      </c>
      <c r="D869" t="inlineStr">
        <is>
          <t>Outpatient</t>
        </is>
      </c>
      <c r="E869" s="29" t="n">
        <v>45763</v>
      </c>
      <c r="F869" s="29" t="n">
        <v>45767</v>
      </c>
      <c r="G869" s="31" t="n">
        <v>142.41</v>
      </c>
      <c r="H869" s="31" t="n">
        <v>44.42</v>
      </c>
      <c r="I869" t="inlineStr">
        <is>
          <t>Paid</t>
        </is>
      </c>
      <c r="K869" s="29" t="n">
        <v>45818</v>
      </c>
      <c r="L869" s="33" t="n"/>
    </row>
    <row r="870">
      <c r="A870" t="inlineStr">
        <is>
          <t>CLM514248</t>
        </is>
      </c>
      <c r="B870" t="inlineStr">
        <is>
          <t>ENC114248</t>
        </is>
      </c>
      <c r="C870" t="inlineStr">
        <is>
          <t>Silverline Medicare Advantage</t>
        </is>
      </c>
      <c r="D870" t="inlineStr">
        <is>
          <t>Emergency</t>
        </is>
      </c>
      <c r="E870" s="29" t="n">
        <v>45763</v>
      </c>
      <c r="F870" s="29" t="n">
        <v>45768</v>
      </c>
      <c r="G870" s="31" t="n">
        <v>630.53</v>
      </c>
      <c r="H870" s="31" t="n">
        <v>169.46</v>
      </c>
      <c r="I870" t="inlineStr">
        <is>
          <t>Paid</t>
        </is>
      </c>
      <c r="K870" s="29" t="n">
        <v>45793</v>
      </c>
      <c r="L870" s="33" t="n"/>
    </row>
    <row r="871">
      <c r="A871" t="inlineStr">
        <is>
          <t>CLM514251</t>
        </is>
      </c>
      <c r="B871" t="inlineStr">
        <is>
          <t>ENC114251</t>
        </is>
      </c>
      <c r="C871" t="inlineStr">
        <is>
          <t>Medicare</t>
        </is>
      </c>
      <c r="D871" t="inlineStr">
        <is>
          <t>Outpatient</t>
        </is>
      </c>
      <c r="E871" s="29" t="n">
        <v>45763</v>
      </c>
      <c r="F871" s="29" t="n">
        <v>45772</v>
      </c>
      <c r="G871" s="31" t="n">
        <v>250.78</v>
      </c>
      <c r="H871" s="31" t="n">
        <v>67.52</v>
      </c>
      <c r="I871" t="inlineStr">
        <is>
          <t>Paid</t>
        </is>
      </c>
      <c r="K871" s="29" t="n">
        <v>45800</v>
      </c>
      <c r="L871" s="33" t="n"/>
    </row>
    <row r="872">
      <c r="A872" t="inlineStr">
        <is>
          <t>CLM514254</t>
        </is>
      </c>
      <c r="B872" t="inlineStr">
        <is>
          <t>ENC114254</t>
        </is>
      </c>
      <c r="C872" t="inlineStr">
        <is>
          <t>Medicare</t>
        </is>
      </c>
      <c r="D872" t="inlineStr">
        <is>
          <t>Outpatient</t>
        </is>
      </c>
      <c r="E872" s="29" t="n">
        <v>45763</v>
      </c>
      <c r="F872" s="29" t="n">
        <v>45772</v>
      </c>
      <c r="G872" s="31" t="n">
        <v>255.48</v>
      </c>
      <c r="H872" s="31" t="n">
        <v>70.03</v>
      </c>
      <c r="I872" t="inlineStr">
        <is>
          <t>Paid</t>
        </is>
      </c>
      <c r="K872" s="29" t="n">
        <v>45792</v>
      </c>
      <c r="L872" s="33" t="n"/>
    </row>
    <row r="873">
      <c r="A873" t="inlineStr">
        <is>
          <t>CLM514259</t>
        </is>
      </c>
      <c r="B873" t="inlineStr">
        <is>
          <t>ENC114259</t>
        </is>
      </c>
      <c r="C873" t="inlineStr">
        <is>
          <t>Medicare</t>
        </is>
      </c>
      <c r="D873" t="inlineStr">
        <is>
          <t>Inpatient</t>
        </is>
      </c>
      <c r="E873" s="29" t="n">
        <v>45765</v>
      </c>
      <c r="F873" s="29" t="n">
        <v>45767</v>
      </c>
      <c r="G873" s="31" t="n">
        <v>13900.62</v>
      </c>
      <c r="H873" s="31" t="n">
        <v>4222.52</v>
      </c>
      <c r="I873" t="inlineStr">
        <is>
          <t>Paid</t>
        </is>
      </c>
      <c r="K873" s="29" t="n">
        <v>45793</v>
      </c>
      <c r="L873" s="33" t="n"/>
    </row>
    <row r="874">
      <c r="A874" t="inlineStr">
        <is>
          <t>CLM514265</t>
        </is>
      </c>
      <c r="B874" t="inlineStr">
        <is>
          <t>ENC114265</t>
        </is>
      </c>
      <c r="C874" t="inlineStr">
        <is>
          <t>Medicare</t>
        </is>
      </c>
      <c r="D874" t="inlineStr">
        <is>
          <t>Emergency</t>
        </is>
      </c>
      <c r="E874" s="29" t="n">
        <v>45764</v>
      </c>
      <c r="F874" s="29" t="n">
        <v>45770</v>
      </c>
      <c r="G874" s="31" t="n">
        <v>1710.21</v>
      </c>
      <c r="H874" s="31" t="n">
        <v>295.47</v>
      </c>
      <c r="I874" t="inlineStr">
        <is>
          <t>Partially Paid</t>
        </is>
      </c>
      <c r="J874" t="inlineStr">
        <is>
          <t>Missing Documentation</t>
        </is>
      </c>
      <c r="K874" s="29" t="n">
        <v>45783</v>
      </c>
      <c r="L874" s="33" t="n"/>
    </row>
    <row r="875">
      <c r="A875" t="inlineStr">
        <is>
          <t>CLM514267</t>
        </is>
      </c>
      <c r="B875" t="inlineStr">
        <is>
          <t>ENC114267</t>
        </is>
      </c>
      <c r="C875" t="inlineStr">
        <is>
          <t>Medicare</t>
        </is>
      </c>
      <c r="D875" t="inlineStr">
        <is>
          <t>Emergency</t>
        </is>
      </c>
      <c r="E875" s="29" t="n">
        <v>45764</v>
      </c>
      <c r="F875" s="29" t="n">
        <v>45769</v>
      </c>
      <c r="G875" s="31" t="n">
        <v>2506.03</v>
      </c>
      <c r="H875" s="31" t="n">
        <v>0</v>
      </c>
      <c r="I875" t="inlineStr">
        <is>
          <t>Denied</t>
        </is>
      </c>
      <c r="J875" t="inlineStr">
        <is>
          <t>Duplicate Claim</t>
        </is>
      </c>
      <c r="L875" s="33" t="n"/>
    </row>
    <row r="876">
      <c r="A876" t="inlineStr">
        <is>
          <t>CLM514275</t>
        </is>
      </c>
      <c r="B876" t="inlineStr">
        <is>
          <t>ENC114275</t>
        </is>
      </c>
      <c r="C876" t="inlineStr">
        <is>
          <t>State Medicaid</t>
        </is>
      </c>
      <c r="D876" t="inlineStr">
        <is>
          <t>Outpatient</t>
        </is>
      </c>
      <c r="E876" s="29" t="n">
        <v>45764</v>
      </c>
      <c r="F876" s="29" t="n">
        <v>45766</v>
      </c>
      <c r="G876" s="31" t="n">
        <v>6115.47</v>
      </c>
      <c r="H876" s="31" t="n">
        <v>1329.37</v>
      </c>
      <c r="I876" t="inlineStr">
        <is>
          <t>Paid</t>
        </is>
      </c>
      <c r="K876" s="29" t="n">
        <v>45794</v>
      </c>
      <c r="L876" s="33" t="n"/>
    </row>
    <row r="877">
      <c r="A877" t="inlineStr">
        <is>
          <t>CLM514279</t>
        </is>
      </c>
      <c r="B877" t="inlineStr">
        <is>
          <t>ENC114279</t>
        </is>
      </c>
      <c r="C877" t="inlineStr">
        <is>
          <t>Evergreen Mutual Insurance</t>
        </is>
      </c>
      <c r="D877" t="inlineStr">
        <is>
          <t>Outpatient</t>
        </is>
      </c>
      <c r="E877" s="29" t="n">
        <v>45764</v>
      </c>
      <c r="F877" s="29" t="n">
        <v>45799</v>
      </c>
      <c r="G877" s="31" t="n">
        <v>263.65</v>
      </c>
      <c r="H877" s="31" t="n">
        <v>107.29</v>
      </c>
      <c r="I877" t="inlineStr">
        <is>
          <t>Paid</t>
        </is>
      </c>
      <c r="K877" s="29" t="n">
        <v>45854</v>
      </c>
      <c r="L877" s="33" t="n"/>
    </row>
    <row r="878">
      <c r="A878" t="inlineStr">
        <is>
          <t>CLM514281</t>
        </is>
      </c>
      <c r="B878" t="inlineStr">
        <is>
          <t>ENC114281</t>
        </is>
      </c>
      <c r="C878" t="inlineStr">
        <is>
          <t>State Medicaid</t>
        </is>
      </c>
      <c r="D878" t="inlineStr">
        <is>
          <t>Outpatient</t>
        </is>
      </c>
      <c r="E878" s="29" t="n">
        <v>45764</v>
      </c>
      <c r="F878" s="29" t="n">
        <v>45768</v>
      </c>
      <c r="G878" s="31" t="n">
        <v>695.76</v>
      </c>
      <c r="H878" s="31" t="n">
        <v>166.04</v>
      </c>
      <c r="I878" t="inlineStr">
        <is>
          <t>Paid</t>
        </is>
      </c>
      <c r="K878" s="29" t="n">
        <v>45798</v>
      </c>
      <c r="L878" s="33" t="n"/>
    </row>
    <row r="879">
      <c r="A879" t="inlineStr">
        <is>
          <t>CLM514284</t>
        </is>
      </c>
      <c r="B879" t="inlineStr">
        <is>
          <t>ENC114284</t>
        </is>
      </c>
      <c r="C879" t="inlineStr">
        <is>
          <t>State Medicaid</t>
        </is>
      </c>
      <c r="D879" t="inlineStr">
        <is>
          <t>Outpatient</t>
        </is>
      </c>
      <c r="E879" s="29" t="n">
        <v>45764</v>
      </c>
      <c r="F879" s="29" t="n">
        <v>45767</v>
      </c>
      <c r="G879" s="31" t="n">
        <v>751.23</v>
      </c>
      <c r="H879" s="31" t="n">
        <v>181.1</v>
      </c>
      <c r="I879" t="inlineStr">
        <is>
          <t>Paid</t>
        </is>
      </c>
      <c r="K879" s="29" t="n">
        <v>45807</v>
      </c>
      <c r="L879" s="33" t="n"/>
    </row>
    <row r="880">
      <c r="A880" t="inlineStr">
        <is>
          <t>CLM514287</t>
        </is>
      </c>
      <c r="B880" t="inlineStr">
        <is>
          <t>ENC114287</t>
        </is>
      </c>
      <c r="C880" t="inlineStr">
        <is>
          <t>Evergreen Mutual Insurance</t>
        </is>
      </c>
      <c r="D880" t="inlineStr">
        <is>
          <t>Outpatient</t>
        </is>
      </c>
      <c r="E880" s="29" t="n">
        <v>45764</v>
      </c>
      <c r="F880" s="29" t="n">
        <v>45768</v>
      </c>
      <c r="G880" s="31" t="n">
        <v>462.27</v>
      </c>
      <c r="H880" s="31" t="n">
        <v>196.66</v>
      </c>
      <c r="I880" t="inlineStr">
        <is>
          <t>Paid</t>
        </is>
      </c>
      <c r="K880" s="29" t="n">
        <v>45797</v>
      </c>
      <c r="L880" s="33" t="n"/>
    </row>
    <row r="881">
      <c r="A881" t="inlineStr">
        <is>
          <t>CLM514288</t>
        </is>
      </c>
      <c r="B881" t="inlineStr">
        <is>
          <t>ENC114288</t>
        </is>
      </c>
      <c r="C881" t="inlineStr">
        <is>
          <t>Silverline Medicare Advantage</t>
        </is>
      </c>
      <c r="D881" t="inlineStr">
        <is>
          <t>Outpatient</t>
        </is>
      </c>
      <c r="E881" s="29" t="n">
        <v>45764</v>
      </c>
      <c r="F881" s="29" t="n">
        <v>45771</v>
      </c>
      <c r="G881" s="31" t="n">
        <v>308.79</v>
      </c>
      <c r="H881" s="31" t="n">
        <v>88.56</v>
      </c>
      <c r="I881" t="inlineStr">
        <is>
          <t>Paid</t>
        </is>
      </c>
      <c r="K881" s="29" t="n">
        <v>45799</v>
      </c>
      <c r="L881" s="33" t="n"/>
    </row>
    <row r="882">
      <c r="A882" t="inlineStr">
        <is>
          <t>CLM514289</t>
        </is>
      </c>
      <c r="B882" t="inlineStr">
        <is>
          <t>ENC114289</t>
        </is>
      </c>
      <c r="C882" t="inlineStr">
        <is>
          <t>State Medicaid</t>
        </is>
      </c>
      <c r="D882" t="inlineStr">
        <is>
          <t>Emergency</t>
        </is>
      </c>
      <c r="E882" s="29" t="n">
        <v>45764</v>
      </c>
      <c r="F882" s="29" t="n">
        <v>45771</v>
      </c>
      <c r="G882" s="31" t="n">
        <v>3382.14</v>
      </c>
      <c r="H882" s="31" t="n">
        <v>802.4</v>
      </c>
      <c r="I882" t="inlineStr">
        <is>
          <t>Paid</t>
        </is>
      </c>
      <c r="K882" s="29" t="n">
        <v>45805</v>
      </c>
      <c r="L882" s="33" t="n"/>
    </row>
    <row r="883">
      <c r="A883" t="inlineStr">
        <is>
          <t>CLM514292</t>
        </is>
      </c>
      <c r="B883" t="inlineStr">
        <is>
          <t>ENC114292</t>
        </is>
      </c>
      <c r="C883" t="inlineStr">
        <is>
          <t>Self-Pay</t>
        </is>
      </c>
      <c r="D883" t="inlineStr">
        <is>
          <t>Inpatient</t>
        </is>
      </c>
      <c r="E883" s="29" t="n">
        <v>45773</v>
      </c>
      <c r="F883" s="29" t="n">
        <v>45777</v>
      </c>
      <c r="G883" s="31" t="n">
        <v>54714.9</v>
      </c>
      <c r="H883" s="31" t="n">
        <v>10177.2</v>
      </c>
      <c r="I883" t="inlineStr">
        <is>
          <t>Partially Paid</t>
        </is>
      </c>
      <c r="K883" s="29" t="n">
        <v>45807</v>
      </c>
      <c r="L883" s="33" t="n"/>
    </row>
    <row r="884">
      <c r="A884" t="inlineStr">
        <is>
          <t>CLM514295</t>
        </is>
      </c>
      <c r="B884" t="inlineStr">
        <is>
          <t>ENC114295</t>
        </is>
      </c>
      <c r="C884" t="inlineStr">
        <is>
          <t>State Medicaid</t>
        </is>
      </c>
      <c r="D884" t="inlineStr">
        <is>
          <t>Emergency</t>
        </is>
      </c>
      <c r="E884" s="29" t="n">
        <v>45764</v>
      </c>
      <c r="F884" s="29" t="n">
        <v>45769</v>
      </c>
      <c r="G884" s="31" t="n">
        <v>1538.74</v>
      </c>
      <c r="H884" s="31" t="n">
        <v>339.65</v>
      </c>
      <c r="I884" t="inlineStr">
        <is>
          <t>Paid</t>
        </is>
      </c>
      <c r="K884" s="29" t="n">
        <v>45810</v>
      </c>
      <c r="L884" s="33" t="n"/>
    </row>
    <row r="885">
      <c r="A885" t="inlineStr">
        <is>
          <t>CLM514296</t>
        </is>
      </c>
      <c r="B885" t="inlineStr">
        <is>
          <t>ENC114296</t>
        </is>
      </c>
      <c r="C885" t="inlineStr">
        <is>
          <t>State Medicaid</t>
        </is>
      </c>
      <c r="D885" t="inlineStr">
        <is>
          <t>Observation</t>
        </is>
      </c>
      <c r="E885" s="29" t="n">
        <v>45766</v>
      </c>
      <c r="F885" s="29" t="n">
        <v>45772</v>
      </c>
      <c r="G885" s="31" t="n">
        <v>7974.05</v>
      </c>
      <c r="H885" s="31" t="n">
        <v>1894.27</v>
      </c>
      <c r="I885" t="inlineStr">
        <is>
          <t>Paid</t>
        </is>
      </c>
      <c r="K885" s="29" t="n">
        <v>45813</v>
      </c>
      <c r="L885" s="33" t="n"/>
    </row>
    <row r="886">
      <c r="A886" t="inlineStr">
        <is>
          <t>CLM514324</t>
        </is>
      </c>
      <c r="B886" t="inlineStr">
        <is>
          <t>ENC114324</t>
        </is>
      </c>
      <c r="C886" t="inlineStr">
        <is>
          <t>Medicare</t>
        </is>
      </c>
      <c r="D886" t="inlineStr">
        <is>
          <t>Outpatient</t>
        </is>
      </c>
      <c r="E886" s="29" t="n">
        <v>45765</v>
      </c>
      <c r="F886" s="29" t="n">
        <v>45776</v>
      </c>
      <c r="G886" s="31" t="n">
        <v>187.17</v>
      </c>
      <c r="H886" s="31" t="n">
        <v>32.42</v>
      </c>
      <c r="I886" t="inlineStr">
        <is>
          <t>Partially Paid</t>
        </is>
      </c>
      <c r="J886" t="inlineStr">
        <is>
          <t>Coding Error</t>
        </is>
      </c>
      <c r="K886" s="29" t="n">
        <v>45796</v>
      </c>
      <c r="L886" s="33" t="n"/>
    </row>
    <row r="887">
      <c r="A887" t="inlineStr">
        <is>
          <t>CLM514325</t>
        </is>
      </c>
      <c r="B887" t="inlineStr">
        <is>
          <t>ENC114325</t>
        </is>
      </c>
      <c r="C887" t="inlineStr">
        <is>
          <t>Keystone Health Partners</t>
        </is>
      </c>
      <c r="D887" t="inlineStr">
        <is>
          <t>Outpatient</t>
        </is>
      </c>
      <c r="E887" s="29" t="n">
        <v>45765</v>
      </c>
      <c r="F887" s="29" t="n">
        <v>45773</v>
      </c>
      <c r="G887" s="31" t="n">
        <v>466.14</v>
      </c>
      <c r="H887" s="31" t="n">
        <v>206.52</v>
      </c>
      <c r="I887" t="inlineStr">
        <is>
          <t>Paid</t>
        </is>
      </c>
      <c r="K887" s="29" t="n">
        <v>45795</v>
      </c>
      <c r="L887" s="33" t="n"/>
    </row>
    <row r="888">
      <c r="A888" t="inlineStr">
        <is>
          <t>CLM514327</t>
        </is>
      </c>
      <c r="B888" t="inlineStr">
        <is>
          <t>ENC114327</t>
        </is>
      </c>
      <c r="C888" t="inlineStr">
        <is>
          <t>Medicare</t>
        </is>
      </c>
      <c r="D888" t="inlineStr">
        <is>
          <t>Outpatient</t>
        </is>
      </c>
      <c r="E888" s="29" t="n">
        <v>45765</v>
      </c>
      <c r="F888" s="29" t="n">
        <v>45768</v>
      </c>
      <c r="G888" s="31" t="n">
        <v>9529.98</v>
      </c>
      <c r="H888" s="31" t="n">
        <v>2475.55</v>
      </c>
      <c r="I888" t="inlineStr">
        <is>
          <t>Paid</t>
        </is>
      </c>
      <c r="K888" s="29" t="n">
        <v>45790</v>
      </c>
      <c r="L888" s="33" t="n"/>
    </row>
    <row r="889">
      <c r="A889" t="inlineStr">
        <is>
          <t>CLM514334</t>
        </is>
      </c>
      <c r="B889" t="inlineStr">
        <is>
          <t>ENC114334</t>
        </is>
      </c>
      <c r="C889" t="inlineStr">
        <is>
          <t>Keystone Health Partners</t>
        </is>
      </c>
      <c r="D889" t="inlineStr">
        <is>
          <t>Emergency</t>
        </is>
      </c>
      <c r="E889" s="29" t="n">
        <v>45766</v>
      </c>
      <c r="F889" s="29" t="n">
        <v>45769</v>
      </c>
      <c r="G889" s="31" t="n">
        <v>6023.09</v>
      </c>
      <c r="H889" s="31" t="n">
        <v>2703.7</v>
      </c>
      <c r="I889" t="inlineStr">
        <is>
          <t>Paid</t>
        </is>
      </c>
      <c r="K889" s="29" t="n">
        <v>45801</v>
      </c>
      <c r="L889" s="33" t="n"/>
    </row>
    <row r="890">
      <c r="A890" t="inlineStr">
        <is>
          <t>CLM514341</t>
        </is>
      </c>
      <c r="B890" t="inlineStr">
        <is>
          <t>ENC114341</t>
        </is>
      </c>
      <c r="C890" t="inlineStr">
        <is>
          <t>Keystone Health Partners</t>
        </is>
      </c>
      <c r="D890" t="inlineStr">
        <is>
          <t>Inpatient</t>
        </is>
      </c>
      <c r="E890" s="29" t="n">
        <v>45772</v>
      </c>
      <c r="F890" s="29" t="n">
        <v>45780</v>
      </c>
      <c r="G890" s="31" t="n">
        <v>27465.91</v>
      </c>
      <c r="H890" s="31" t="n">
        <v>12696.28</v>
      </c>
      <c r="I890" t="inlineStr">
        <is>
          <t>Paid</t>
        </is>
      </c>
      <c r="K890" s="29" t="n">
        <v>45802</v>
      </c>
      <c r="L890" s="33" t="n"/>
    </row>
    <row r="891">
      <c r="A891" t="inlineStr">
        <is>
          <t>CLM514342</t>
        </is>
      </c>
      <c r="B891" t="inlineStr">
        <is>
          <t>ENC114342</t>
        </is>
      </c>
      <c r="C891" t="inlineStr">
        <is>
          <t>Medicare</t>
        </is>
      </c>
      <c r="D891" t="inlineStr">
        <is>
          <t>Inpatient</t>
        </is>
      </c>
      <c r="E891" s="29" t="n">
        <v>45772</v>
      </c>
      <c r="F891" s="29" t="n">
        <v>45774</v>
      </c>
      <c r="G891" s="31" t="n">
        <v>54926.7</v>
      </c>
      <c r="H891" s="31" t="n">
        <v>16112.58</v>
      </c>
      <c r="I891" t="inlineStr">
        <is>
          <t>Paid</t>
        </is>
      </c>
      <c r="K891" s="29" t="n">
        <v>45787</v>
      </c>
      <c r="L891" s="33" t="n"/>
    </row>
    <row r="892">
      <c r="A892" t="inlineStr">
        <is>
          <t>CLM514349</t>
        </is>
      </c>
      <c r="B892" t="inlineStr">
        <is>
          <t>ENC114349</t>
        </is>
      </c>
      <c r="C892" t="inlineStr">
        <is>
          <t>Summit Choice PPO</t>
        </is>
      </c>
      <c r="D892" t="inlineStr">
        <is>
          <t>Emergency</t>
        </is>
      </c>
      <c r="E892" s="29" t="n">
        <v>45767</v>
      </c>
      <c r="F892" s="29" t="n">
        <v>45770</v>
      </c>
      <c r="G892" s="31" t="n">
        <v>753.12</v>
      </c>
      <c r="H892" s="31" t="n">
        <v>0</v>
      </c>
      <c r="I892" t="inlineStr">
        <is>
          <t>Appealed</t>
        </is>
      </c>
      <c r="J892" t="inlineStr">
        <is>
          <t>Duplicate Claim</t>
        </is>
      </c>
      <c r="L892" s="33" t="n"/>
    </row>
    <row r="893">
      <c r="A893" t="inlineStr">
        <is>
          <t>CLM514351</t>
        </is>
      </c>
      <c r="B893" t="inlineStr">
        <is>
          <t>ENC114351</t>
        </is>
      </c>
      <c r="C893" t="inlineStr">
        <is>
          <t>State Medicaid</t>
        </is>
      </c>
      <c r="D893" t="inlineStr">
        <is>
          <t>Emergency</t>
        </is>
      </c>
      <c r="E893" s="29" t="n">
        <v>45767</v>
      </c>
      <c r="F893" s="29" t="n">
        <v>45773</v>
      </c>
      <c r="G893" s="31" t="n">
        <v>1252.97</v>
      </c>
      <c r="H893" s="31" t="n">
        <v>311.35</v>
      </c>
      <c r="I893" t="inlineStr">
        <is>
          <t>Paid</t>
        </is>
      </c>
      <c r="K893" s="29" t="n">
        <v>45815</v>
      </c>
      <c r="L893" s="33" t="n"/>
    </row>
    <row r="894">
      <c r="A894" t="inlineStr">
        <is>
          <t>CLM514354</t>
        </is>
      </c>
      <c r="B894" t="inlineStr">
        <is>
          <t>ENC114354</t>
        </is>
      </c>
      <c r="C894" t="inlineStr">
        <is>
          <t>Keystone Health Partners</t>
        </is>
      </c>
      <c r="D894" t="inlineStr">
        <is>
          <t>Observation</t>
        </is>
      </c>
      <c r="E894" s="29" t="n">
        <v>45768</v>
      </c>
      <c r="F894" s="29" t="n">
        <v>45807</v>
      </c>
      <c r="G894" s="31" t="n">
        <v>7532.16</v>
      </c>
      <c r="H894" s="31" t="n">
        <v>3213.04</v>
      </c>
      <c r="I894" t="inlineStr">
        <is>
          <t>Paid</t>
        </is>
      </c>
      <c r="K894" s="29" t="n">
        <v>45839</v>
      </c>
      <c r="L894" s="33" t="n"/>
    </row>
    <row r="895">
      <c r="A895" t="inlineStr">
        <is>
          <t>CLM514358</t>
        </is>
      </c>
      <c r="B895" t="inlineStr">
        <is>
          <t>ENC114358</t>
        </is>
      </c>
      <c r="C895" t="inlineStr">
        <is>
          <t>Medicare</t>
        </is>
      </c>
      <c r="D895" t="inlineStr">
        <is>
          <t>Emergency</t>
        </is>
      </c>
      <c r="E895" s="29" t="n">
        <v>45767</v>
      </c>
      <c r="F895" s="29" t="n">
        <v>45772</v>
      </c>
      <c r="G895" s="31" t="n">
        <v>4064.95</v>
      </c>
      <c r="H895" s="31" t="n">
        <v>1194.51</v>
      </c>
      <c r="I895" t="inlineStr">
        <is>
          <t>Paid</t>
        </is>
      </c>
      <c r="K895" s="29" t="n">
        <v>45794</v>
      </c>
      <c r="L895" s="33" t="n"/>
    </row>
    <row r="896">
      <c r="A896" t="inlineStr">
        <is>
          <t>CLM514359</t>
        </is>
      </c>
      <c r="B896" t="inlineStr">
        <is>
          <t>ENC114359</t>
        </is>
      </c>
      <c r="C896" t="inlineStr">
        <is>
          <t>Evergreen Mutual Insurance</t>
        </is>
      </c>
      <c r="D896" t="inlineStr">
        <is>
          <t>Emergency</t>
        </is>
      </c>
      <c r="E896" s="29" t="n">
        <v>45767</v>
      </c>
      <c r="F896" s="29" t="n">
        <v>45774</v>
      </c>
      <c r="G896" s="31" t="n">
        <v>942.4400000000001</v>
      </c>
      <c r="H896" s="31" t="n">
        <v>0</v>
      </c>
      <c r="I896" t="inlineStr">
        <is>
          <t>Denied</t>
        </is>
      </c>
      <c r="J896" t="inlineStr">
        <is>
          <t>Authorization Required</t>
        </is>
      </c>
      <c r="L896" s="33" t="n"/>
    </row>
    <row r="897">
      <c r="A897" t="inlineStr">
        <is>
          <t>CLM514361</t>
        </is>
      </c>
      <c r="B897" t="inlineStr">
        <is>
          <t>ENC114361</t>
        </is>
      </c>
      <c r="C897" t="inlineStr">
        <is>
          <t>Evergreen Mutual Insurance</t>
        </is>
      </c>
      <c r="D897" t="inlineStr">
        <is>
          <t>Emergency</t>
        </is>
      </c>
      <c r="E897" s="29" t="n">
        <v>45767</v>
      </c>
      <c r="F897" s="29" t="n">
        <v>45895</v>
      </c>
      <c r="G897" s="31" t="n">
        <v>3002.07</v>
      </c>
      <c r="H897" s="31" t="n">
        <v>0</v>
      </c>
      <c r="I897" t="inlineStr">
        <is>
          <t>Denied</t>
        </is>
      </c>
      <c r="J897" t="inlineStr">
        <is>
          <t>Timely Filing</t>
        </is>
      </c>
      <c r="L897" s="33" t="n"/>
    </row>
    <row r="898">
      <c r="A898" t="inlineStr">
        <is>
          <t>CLM514374</t>
        </is>
      </c>
      <c r="B898" t="inlineStr">
        <is>
          <t>ENC114374</t>
        </is>
      </c>
      <c r="C898" t="inlineStr">
        <is>
          <t>Self-Pay</t>
        </is>
      </c>
      <c r="D898" t="inlineStr">
        <is>
          <t>Emergency</t>
        </is>
      </c>
      <c r="E898" s="29" t="n">
        <v>45768</v>
      </c>
      <c r="F898" s="29" t="n">
        <v>45772</v>
      </c>
      <c r="G898" s="31" t="n">
        <v>5213.48</v>
      </c>
      <c r="H898" s="31" t="n">
        <v>0</v>
      </c>
      <c r="I898" t="inlineStr">
        <is>
          <t>Pending</t>
        </is>
      </c>
      <c r="L898" s="33" t="n"/>
    </row>
    <row r="899">
      <c r="A899" t="inlineStr">
        <is>
          <t>CLM514379</t>
        </is>
      </c>
      <c r="B899" t="inlineStr">
        <is>
          <t>ENC114379</t>
        </is>
      </c>
      <c r="C899" t="inlineStr">
        <is>
          <t>Self-Pay</t>
        </is>
      </c>
      <c r="D899" t="inlineStr">
        <is>
          <t>Outpatient</t>
        </is>
      </c>
      <c r="E899" s="29" t="n">
        <v>45768</v>
      </c>
      <c r="F899" s="29" t="n">
        <v>45771</v>
      </c>
      <c r="G899" s="31" t="n">
        <v>196.89</v>
      </c>
      <c r="H899" s="31" t="n">
        <v>0</v>
      </c>
      <c r="I899" t="inlineStr">
        <is>
          <t>Pending</t>
        </is>
      </c>
      <c r="L899" s="33" t="n"/>
    </row>
    <row r="900">
      <c r="A900" t="inlineStr">
        <is>
          <t>CLM514384</t>
        </is>
      </c>
      <c r="B900" t="inlineStr">
        <is>
          <t>ENC114384</t>
        </is>
      </c>
      <c r="C900" t="inlineStr">
        <is>
          <t>Medicare</t>
        </is>
      </c>
      <c r="D900" t="inlineStr">
        <is>
          <t>Outpatient</t>
        </is>
      </c>
      <c r="E900" s="29" t="n">
        <v>45768</v>
      </c>
      <c r="F900" s="29" t="n">
        <v>45772</v>
      </c>
      <c r="G900" s="31" t="n">
        <v>351.45</v>
      </c>
      <c r="H900" s="31" t="n">
        <v>0</v>
      </c>
      <c r="I900" t="inlineStr">
        <is>
          <t>Denied</t>
        </is>
      </c>
      <c r="J900" t="inlineStr">
        <is>
          <t>Coding Error</t>
        </is>
      </c>
      <c r="L900" s="33" t="n"/>
    </row>
    <row r="901">
      <c r="A901" t="inlineStr">
        <is>
          <t>CLM514386</t>
        </is>
      </c>
      <c r="B901" t="inlineStr">
        <is>
          <t>ENC114386</t>
        </is>
      </c>
      <c r="C901" t="inlineStr">
        <is>
          <t>Evergreen Mutual Insurance</t>
        </is>
      </c>
      <c r="D901" t="inlineStr">
        <is>
          <t>Outpatient</t>
        </is>
      </c>
      <c r="E901" s="29" t="n">
        <v>45768</v>
      </c>
      <c r="F901" s="29" t="n">
        <v>45770</v>
      </c>
      <c r="G901" s="31" t="n">
        <v>101.64</v>
      </c>
      <c r="H901" s="31" t="n">
        <v>49.18</v>
      </c>
      <c r="I901" t="inlineStr">
        <is>
          <t>Paid</t>
        </is>
      </c>
      <c r="K901" s="29" t="n">
        <v>45788</v>
      </c>
      <c r="L901" s="33" t="n"/>
    </row>
    <row r="902">
      <c r="A902" t="inlineStr">
        <is>
          <t>CLM514387</t>
        </is>
      </c>
      <c r="B902" t="inlineStr">
        <is>
          <t>ENC114387</t>
        </is>
      </c>
      <c r="C902" t="inlineStr">
        <is>
          <t>Medicare</t>
        </is>
      </c>
      <c r="D902" t="inlineStr">
        <is>
          <t>Inpatient</t>
        </is>
      </c>
      <c r="E902" s="29" t="n">
        <v>45774</v>
      </c>
      <c r="F902" s="29" t="n">
        <v>45776</v>
      </c>
      <c r="G902" s="31" t="n">
        <v>28332.51</v>
      </c>
      <c r="H902" s="31" t="n">
        <v>5631.83</v>
      </c>
      <c r="I902" t="inlineStr">
        <is>
          <t>Partially Paid</t>
        </is>
      </c>
      <c r="J902" t="inlineStr">
        <is>
          <t>Medical Necessity</t>
        </is>
      </c>
      <c r="K902" s="29" t="n">
        <v>45801</v>
      </c>
      <c r="L902" s="33" t="n"/>
    </row>
    <row r="903">
      <c r="A903" t="inlineStr">
        <is>
          <t>CLM514389</t>
        </is>
      </c>
      <c r="B903" t="inlineStr">
        <is>
          <t>ENC114389</t>
        </is>
      </c>
      <c r="C903" t="inlineStr">
        <is>
          <t>Medicare</t>
        </is>
      </c>
      <c r="D903" t="inlineStr">
        <is>
          <t>Outpatient</t>
        </is>
      </c>
      <c r="E903" s="29" t="n">
        <v>45768</v>
      </c>
      <c r="F903" s="29" t="n">
        <v>45772</v>
      </c>
      <c r="G903" s="31" t="n">
        <v>7805.14</v>
      </c>
      <c r="H903" s="31" t="n">
        <v>2676.09</v>
      </c>
      <c r="I903" t="inlineStr">
        <is>
          <t>Paid</t>
        </is>
      </c>
      <c r="K903" s="29" t="n">
        <v>45785</v>
      </c>
      <c r="L903" s="33" t="n"/>
    </row>
    <row r="904">
      <c r="A904" t="inlineStr">
        <is>
          <t>CLM514390</t>
        </is>
      </c>
      <c r="B904" t="inlineStr">
        <is>
          <t>ENC114390</t>
        </is>
      </c>
      <c r="C904" t="inlineStr">
        <is>
          <t>State Medicaid</t>
        </is>
      </c>
      <c r="D904" t="inlineStr">
        <is>
          <t>Outpatient</t>
        </is>
      </c>
      <c r="E904" s="29" t="n">
        <v>45768</v>
      </c>
      <c r="F904" s="29" t="n">
        <v>45776</v>
      </c>
      <c r="G904" s="31" t="n">
        <v>382.26</v>
      </c>
      <c r="H904" s="31" t="n">
        <v>87.28</v>
      </c>
      <c r="I904" t="inlineStr">
        <is>
          <t>Paid</t>
        </is>
      </c>
      <c r="K904" s="29" t="n">
        <v>45810</v>
      </c>
      <c r="L904" s="33" t="n"/>
    </row>
    <row r="905">
      <c r="A905" t="inlineStr">
        <is>
          <t>CLM514412</t>
        </is>
      </c>
      <c r="B905" t="inlineStr">
        <is>
          <t>ENC114412</t>
        </is>
      </c>
      <c r="C905" t="inlineStr">
        <is>
          <t>Medicare</t>
        </is>
      </c>
      <c r="D905" t="inlineStr">
        <is>
          <t>Inpatient</t>
        </is>
      </c>
      <c r="E905" s="29" t="n">
        <v>45772</v>
      </c>
      <c r="F905" s="29" t="n">
        <v>45774</v>
      </c>
      <c r="G905" s="31" t="n">
        <v>31822.85</v>
      </c>
      <c r="H905" s="31" t="n">
        <v>9921.629999999999</v>
      </c>
      <c r="I905" t="inlineStr">
        <is>
          <t>Paid</t>
        </is>
      </c>
      <c r="K905" s="29" t="n">
        <v>45787</v>
      </c>
      <c r="L905" s="33" t="n"/>
    </row>
    <row r="906">
      <c r="A906" t="inlineStr">
        <is>
          <t>CLM514413</t>
        </is>
      </c>
      <c r="B906" t="inlineStr">
        <is>
          <t>ENC114413</t>
        </is>
      </c>
      <c r="C906" t="inlineStr">
        <is>
          <t>Evergreen Mutual Insurance</t>
        </is>
      </c>
      <c r="D906" t="inlineStr">
        <is>
          <t>Outpatient</t>
        </is>
      </c>
      <c r="E906" s="29" t="n">
        <v>45769</v>
      </c>
      <c r="F906" s="29" t="n">
        <v>45771</v>
      </c>
      <c r="G906" s="31" t="n">
        <v>266.47</v>
      </c>
      <c r="H906" s="31" t="n">
        <v>111.25</v>
      </c>
      <c r="I906" t="inlineStr">
        <is>
          <t>Paid</t>
        </is>
      </c>
      <c r="K906" s="29" t="n">
        <v>45788</v>
      </c>
      <c r="L906" s="33" t="n"/>
    </row>
    <row r="907">
      <c r="A907" t="inlineStr">
        <is>
          <t>CLM514419</t>
        </is>
      </c>
      <c r="B907" t="inlineStr">
        <is>
          <t>ENC114419</t>
        </is>
      </c>
      <c r="C907" t="inlineStr">
        <is>
          <t>Medicare</t>
        </is>
      </c>
      <c r="D907" t="inlineStr">
        <is>
          <t>Outpatient</t>
        </is>
      </c>
      <c r="E907" s="29" t="n">
        <v>45769</v>
      </c>
      <c r="F907" s="29" t="n">
        <v>45772</v>
      </c>
      <c r="G907" s="31" t="n">
        <v>383.19</v>
      </c>
      <c r="H907" s="31" t="n">
        <v>106.88</v>
      </c>
      <c r="I907" t="inlineStr">
        <is>
          <t>Paid</t>
        </is>
      </c>
      <c r="K907" s="29" t="n">
        <v>45791</v>
      </c>
      <c r="L907" s="33" t="n"/>
    </row>
    <row r="908">
      <c r="A908" t="inlineStr">
        <is>
          <t>CLM514423</t>
        </is>
      </c>
      <c r="B908" t="inlineStr">
        <is>
          <t>ENC114423</t>
        </is>
      </c>
      <c r="C908" t="inlineStr">
        <is>
          <t>Medicare</t>
        </is>
      </c>
      <c r="D908" t="inlineStr">
        <is>
          <t>Inpatient</t>
        </is>
      </c>
      <c r="E908" s="29" t="n">
        <v>45780</v>
      </c>
      <c r="F908" s="29" t="n">
        <v>45787</v>
      </c>
      <c r="G908" s="31" t="n">
        <v>59105.15</v>
      </c>
      <c r="H908" s="31" t="n">
        <v>16546.4</v>
      </c>
      <c r="I908" t="inlineStr">
        <is>
          <t>Paid</t>
        </is>
      </c>
      <c r="K908" s="29" t="n">
        <v>45798</v>
      </c>
      <c r="L908" s="33" t="n"/>
    </row>
    <row r="909">
      <c r="A909" t="inlineStr">
        <is>
          <t>CLM514428</t>
        </is>
      </c>
      <c r="B909" t="inlineStr">
        <is>
          <t>ENC114428</t>
        </is>
      </c>
      <c r="C909" t="inlineStr">
        <is>
          <t>Evergreen Mutual Insurance</t>
        </is>
      </c>
      <c r="D909" t="inlineStr">
        <is>
          <t>Emergency</t>
        </is>
      </c>
      <c r="E909" s="29" t="n">
        <v>45769</v>
      </c>
      <c r="F909" s="29" t="n">
        <v>45773</v>
      </c>
      <c r="G909" s="31" t="n">
        <v>573.51</v>
      </c>
      <c r="H909" s="31" t="n">
        <v>0</v>
      </c>
      <c r="I909" t="inlineStr">
        <is>
          <t>Denied</t>
        </is>
      </c>
      <c r="J909" t="inlineStr">
        <is>
          <t>Authorization Required</t>
        </is>
      </c>
      <c r="L909" s="33" t="n"/>
    </row>
    <row r="910">
      <c r="A910" t="inlineStr">
        <is>
          <t>CLM514429</t>
        </is>
      </c>
      <c r="B910" t="inlineStr">
        <is>
          <t>ENC114429</t>
        </is>
      </c>
      <c r="C910" t="inlineStr">
        <is>
          <t>Silverline Medicare Advantage</t>
        </is>
      </c>
      <c r="D910" t="inlineStr">
        <is>
          <t>Emergency</t>
        </is>
      </c>
      <c r="E910" s="29" t="n">
        <v>45769</v>
      </c>
      <c r="F910" s="29" t="n">
        <v>45772</v>
      </c>
      <c r="G910" s="31" t="n">
        <v>6113.16</v>
      </c>
      <c r="H910" s="31" t="n">
        <v>1794.88</v>
      </c>
      <c r="I910" t="inlineStr">
        <is>
          <t>Paid</t>
        </is>
      </c>
      <c r="K910" s="29" t="n">
        <v>45786</v>
      </c>
      <c r="L910" s="33" t="n"/>
    </row>
    <row r="911">
      <c r="A911" t="inlineStr">
        <is>
          <t>CLM514432</t>
        </is>
      </c>
      <c r="B911" t="inlineStr">
        <is>
          <t>ENC114432</t>
        </is>
      </c>
      <c r="C911" t="inlineStr">
        <is>
          <t>Evergreen Mutual Insurance</t>
        </is>
      </c>
      <c r="D911" t="inlineStr">
        <is>
          <t>Inpatient</t>
        </is>
      </c>
      <c r="E911" s="29" t="n">
        <v>45774</v>
      </c>
      <c r="F911" s="29" t="n">
        <v>45781</v>
      </c>
      <c r="G911" s="31" t="n">
        <v>26617.81</v>
      </c>
      <c r="H911" s="31" t="n">
        <v>11701.75</v>
      </c>
      <c r="I911" t="inlineStr">
        <is>
          <t>Paid</t>
        </is>
      </c>
      <c r="K911" s="29" t="n">
        <v>45805</v>
      </c>
      <c r="L911" s="33" t="n"/>
    </row>
    <row r="912">
      <c r="A912" t="inlineStr">
        <is>
          <t>CLM514433</t>
        </is>
      </c>
      <c r="B912" t="inlineStr">
        <is>
          <t>ENC114433</t>
        </is>
      </c>
      <c r="C912" t="inlineStr">
        <is>
          <t>Silverline Medicare Advantage</t>
        </is>
      </c>
      <c r="D912" t="inlineStr">
        <is>
          <t>Emergency</t>
        </is>
      </c>
      <c r="E912" s="29" t="n">
        <v>45770</v>
      </c>
      <c r="F912" s="29" t="n">
        <v>45773</v>
      </c>
      <c r="G912" s="31" t="n">
        <v>3378.75</v>
      </c>
      <c r="H912" s="31" t="n">
        <v>1054.14</v>
      </c>
      <c r="I912" t="inlineStr">
        <is>
          <t>Paid</t>
        </is>
      </c>
      <c r="K912" s="29" t="n">
        <v>45800</v>
      </c>
      <c r="L912" s="33" t="n"/>
    </row>
    <row r="913">
      <c r="A913" t="inlineStr">
        <is>
          <t>CLM514437</t>
        </is>
      </c>
      <c r="B913" t="inlineStr">
        <is>
          <t>ENC114437</t>
        </is>
      </c>
      <c r="C913" t="inlineStr">
        <is>
          <t>Keystone Health Partners</t>
        </is>
      </c>
      <c r="D913" t="inlineStr">
        <is>
          <t>Inpatient</t>
        </is>
      </c>
      <c r="E913" s="29" t="n">
        <v>45781</v>
      </c>
      <c r="F913" s="29" t="n">
        <v>45786</v>
      </c>
      <c r="G913" s="31" t="n">
        <v>41297.66</v>
      </c>
      <c r="H913" s="31" t="n">
        <v>20996.86</v>
      </c>
      <c r="I913" t="inlineStr">
        <is>
          <t>Paid</t>
        </is>
      </c>
      <c r="K913" s="29" t="n">
        <v>45811</v>
      </c>
      <c r="L913" s="33" t="n"/>
    </row>
    <row r="914">
      <c r="A914" t="inlineStr">
        <is>
          <t>CLM514446</t>
        </is>
      </c>
      <c r="B914" t="inlineStr">
        <is>
          <t>ENC114446</t>
        </is>
      </c>
      <c r="C914" t="inlineStr">
        <is>
          <t>Keystone Health Partners</t>
        </is>
      </c>
      <c r="D914" t="inlineStr">
        <is>
          <t>Inpatient</t>
        </is>
      </c>
      <c r="E914" s="29" t="n">
        <v>45773</v>
      </c>
      <c r="F914" s="29" t="n">
        <v>45775</v>
      </c>
      <c r="G914" s="31" t="n">
        <v>39023.56</v>
      </c>
      <c r="H914" s="31" t="n">
        <v>17455.8</v>
      </c>
      <c r="I914" t="inlineStr">
        <is>
          <t>Paid</t>
        </is>
      </c>
      <c r="K914" s="29" t="n">
        <v>45795</v>
      </c>
      <c r="L914" s="33" t="n"/>
    </row>
    <row r="915">
      <c r="A915" t="inlineStr">
        <is>
          <t>CLM514448</t>
        </is>
      </c>
      <c r="B915" t="inlineStr">
        <is>
          <t>ENC114448</t>
        </is>
      </c>
      <c r="C915" t="inlineStr">
        <is>
          <t>Medicare</t>
        </is>
      </c>
      <c r="D915" t="inlineStr">
        <is>
          <t>Emergency</t>
        </is>
      </c>
      <c r="E915" s="29" t="n">
        <v>45770</v>
      </c>
      <c r="F915" s="29" t="n">
        <v>45774</v>
      </c>
      <c r="G915" s="31" t="n">
        <v>4515.83</v>
      </c>
      <c r="H915" s="31" t="n">
        <v>1017.74</v>
      </c>
      <c r="I915" t="inlineStr">
        <is>
          <t>Paid</t>
        </is>
      </c>
      <c r="K915" s="29" t="n">
        <v>45793</v>
      </c>
      <c r="L915" s="33" t="n"/>
    </row>
    <row r="916">
      <c r="A916" t="inlineStr">
        <is>
          <t>CLM514453</t>
        </is>
      </c>
      <c r="B916" t="inlineStr">
        <is>
          <t>ENC114453</t>
        </is>
      </c>
      <c r="C916" t="inlineStr">
        <is>
          <t>Evergreen Mutual Insurance</t>
        </is>
      </c>
      <c r="D916" t="inlineStr">
        <is>
          <t>Outpatient</t>
        </is>
      </c>
      <c r="E916" s="29" t="n">
        <v>45770</v>
      </c>
      <c r="F916" s="29" t="n">
        <v>45773</v>
      </c>
      <c r="G916" s="31" t="n">
        <v>363.35</v>
      </c>
      <c r="H916" s="31" t="n">
        <v>140.72</v>
      </c>
      <c r="I916" t="inlineStr">
        <is>
          <t>Paid</t>
        </is>
      </c>
      <c r="K916" s="29" t="n">
        <v>45813</v>
      </c>
      <c r="L916" s="33" t="n"/>
    </row>
    <row r="917">
      <c r="A917" t="inlineStr">
        <is>
          <t>CLM514456</t>
        </is>
      </c>
      <c r="B917" t="inlineStr">
        <is>
          <t>ENC114456</t>
        </is>
      </c>
      <c r="C917" t="inlineStr">
        <is>
          <t>Medicare</t>
        </is>
      </c>
      <c r="D917" t="inlineStr">
        <is>
          <t>Outpatient</t>
        </is>
      </c>
      <c r="E917" s="29" t="n">
        <v>45770</v>
      </c>
      <c r="F917" s="29" t="n">
        <v>45775</v>
      </c>
      <c r="G917" s="31" t="n">
        <v>207.43</v>
      </c>
      <c r="H917" s="31" t="n">
        <v>52.58</v>
      </c>
      <c r="I917" t="inlineStr">
        <is>
          <t>Paid</t>
        </is>
      </c>
      <c r="K917" s="29" t="n">
        <v>45791</v>
      </c>
      <c r="L917" s="33" t="n"/>
    </row>
    <row r="918">
      <c r="A918" t="inlineStr">
        <is>
          <t>CLM514459</t>
        </is>
      </c>
      <c r="B918" t="inlineStr">
        <is>
          <t>ENC114459</t>
        </is>
      </c>
      <c r="C918" t="inlineStr">
        <is>
          <t>Medicare</t>
        </is>
      </c>
      <c r="D918" t="inlineStr">
        <is>
          <t>Observation</t>
        </is>
      </c>
      <c r="E918" s="29" t="n">
        <v>45771</v>
      </c>
      <c r="F918" s="29" t="n">
        <v>45775</v>
      </c>
      <c r="G918" s="31" t="n">
        <v>3838.01</v>
      </c>
      <c r="H918" s="31" t="n">
        <v>1070.92</v>
      </c>
      <c r="I918" t="inlineStr">
        <is>
          <t>Paid</t>
        </is>
      </c>
      <c r="K918" s="29" t="n">
        <v>45795</v>
      </c>
      <c r="L918" s="33" t="n"/>
    </row>
    <row r="919">
      <c r="A919" t="inlineStr">
        <is>
          <t>CLM514461</t>
        </is>
      </c>
      <c r="B919" t="inlineStr">
        <is>
          <t>ENC114461</t>
        </is>
      </c>
      <c r="C919" t="inlineStr">
        <is>
          <t>Evergreen Mutual Insurance</t>
        </is>
      </c>
      <c r="D919" t="inlineStr">
        <is>
          <t>Observation</t>
        </is>
      </c>
      <c r="E919" s="29" t="n">
        <v>45771</v>
      </c>
      <c r="F919" s="29" t="n">
        <v>45779</v>
      </c>
      <c r="G919" s="31" t="n">
        <v>9161.719999999999</v>
      </c>
      <c r="H919" s="31" t="n">
        <v>4018.82</v>
      </c>
      <c r="I919" t="inlineStr">
        <is>
          <t>Paid</t>
        </is>
      </c>
      <c r="K919" s="29" t="n">
        <v>45795</v>
      </c>
      <c r="L919" s="33" t="n"/>
    </row>
    <row r="920">
      <c r="A920" t="inlineStr">
        <is>
          <t>CLM514463</t>
        </is>
      </c>
      <c r="B920" t="inlineStr">
        <is>
          <t>ENC114463</t>
        </is>
      </c>
      <c r="C920" t="inlineStr">
        <is>
          <t>State Medicaid</t>
        </is>
      </c>
      <c r="D920" t="inlineStr">
        <is>
          <t>Outpatient</t>
        </is>
      </c>
      <c r="E920" s="29" t="n">
        <v>45770</v>
      </c>
      <c r="F920" s="29" t="n">
        <v>45775</v>
      </c>
      <c r="G920" s="31" t="n">
        <v>202.58</v>
      </c>
      <c r="H920" s="31" t="n">
        <v>0</v>
      </c>
      <c r="I920" t="inlineStr">
        <is>
          <t>Denied</t>
        </is>
      </c>
      <c r="J920" t="inlineStr">
        <is>
          <t>Authorization Required</t>
        </is>
      </c>
      <c r="L920" s="33" t="n"/>
    </row>
    <row r="921">
      <c r="A921" t="inlineStr">
        <is>
          <t>CLM514467</t>
        </is>
      </c>
      <c r="B921" t="inlineStr">
        <is>
          <t>ENC114467</t>
        </is>
      </c>
      <c r="C921" t="inlineStr">
        <is>
          <t>Evergreen Mutual Insurance</t>
        </is>
      </c>
      <c r="D921" t="inlineStr">
        <is>
          <t>Emergency</t>
        </is>
      </c>
      <c r="E921" s="29" t="n">
        <v>45770</v>
      </c>
      <c r="F921" s="29" t="n">
        <v>45777</v>
      </c>
      <c r="G921" s="31" t="n">
        <v>1525.31</v>
      </c>
      <c r="H921" s="31" t="n">
        <v>694.11</v>
      </c>
      <c r="I921" t="inlineStr">
        <is>
          <t>Paid</t>
        </is>
      </c>
      <c r="K921" s="29" t="n">
        <v>45831</v>
      </c>
      <c r="L921" s="33" t="n"/>
    </row>
    <row r="922">
      <c r="A922" t="inlineStr">
        <is>
          <t>CLM514469</t>
        </is>
      </c>
      <c r="B922" t="inlineStr">
        <is>
          <t>ENC114469</t>
        </is>
      </c>
      <c r="C922" t="inlineStr">
        <is>
          <t>Keystone Health Partners</t>
        </is>
      </c>
      <c r="D922" t="inlineStr">
        <is>
          <t>Inpatient</t>
        </is>
      </c>
      <c r="E922" s="29" t="n">
        <v>45774</v>
      </c>
      <c r="F922" s="29" t="n">
        <v>45782</v>
      </c>
      <c r="G922" s="31" t="n">
        <v>16577.14</v>
      </c>
      <c r="H922" s="31" t="n">
        <v>7058.89</v>
      </c>
      <c r="I922" t="inlineStr">
        <is>
          <t>Paid</t>
        </is>
      </c>
      <c r="K922" s="29" t="n">
        <v>45800</v>
      </c>
      <c r="L922" s="33" t="n"/>
    </row>
    <row r="923">
      <c r="A923" t="inlineStr">
        <is>
          <t>CLM514475</t>
        </is>
      </c>
      <c r="B923" t="inlineStr">
        <is>
          <t>ENC114475</t>
        </is>
      </c>
      <c r="C923" t="inlineStr">
        <is>
          <t>Keystone Health Partners</t>
        </is>
      </c>
      <c r="D923" t="inlineStr">
        <is>
          <t>Inpatient</t>
        </is>
      </c>
      <c r="E923" s="29" t="n">
        <v>45772</v>
      </c>
      <c r="F923" s="29" t="n">
        <v>45775</v>
      </c>
      <c r="G923" s="31" t="n">
        <v>8164.25</v>
      </c>
      <c r="H923" s="31" t="n">
        <v>1986.93</v>
      </c>
      <c r="I923" t="inlineStr">
        <is>
          <t>Partially Paid</t>
        </is>
      </c>
      <c r="J923" t="inlineStr">
        <is>
          <t>Coding Error</t>
        </is>
      </c>
      <c r="K923" s="29" t="n">
        <v>45789</v>
      </c>
      <c r="L923" s="33" t="n"/>
    </row>
    <row r="924">
      <c r="A924" t="inlineStr">
        <is>
          <t>CLM514480</t>
        </is>
      </c>
      <c r="B924" t="inlineStr">
        <is>
          <t>ENC114480</t>
        </is>
      </c>
      <c r="C924" t="inlineStr">
        <is>
          <t>Silverline Medicare Advantage</t>
        </is>
      </c>
      <c r="D924" t="inlineStr">
        <is>
          <t>Outpatient</t>
        </is>
      </c>
      <c r="E924" s="29" t="n">
        <v>45771</v>
      </c>
      <c r="F924" s="29" t="n">
        <v>45868</v>
      </c>
      <c r="G924" s="31" t="n">
        <v>173.36</v>
      </c>
      <c r="H924" s="31" t="n">
        <v>58.7</v>
      </c>
      <c r="I924" t="inlineStr">
        <is>
          <t>Paid</t>
        </is>
      </c>
      <c r="K924" s="29" t="n">
        <v>45897</v>
      </c>
      <c r="L924" s="33" t="n"/>
    </row>
    <row r="925">
      <c r="A925" t="inlineStr">
        <is>
          <t>CLM514481</t>
        </is>
      </c>
      <c r="B925" t="inlineStr">
        <is>
          <t>ENC114481</t>
        </is>
      </c>
      <c r="C925" t="inlineStr">
        <is>
          <t>State Medicaid</t>
        </is>
      </c>
      <c r="D925" t="inlineStr">
        <is>
          <t>Observation</t>
        </is>
      </c>
      <c r="E925" s="29" t="n">
        <v>45772</v>
      </c>
      <c r="F925" s="29" t="n">
        <v>45775</v>
      </c>
      <c r="G925" s="31" t="n">
        <v>8062.59</v>
      </c>
      <c r="H925" s="31" t="n">
        <v>0</v>
      </c>
      <c r="I925" t="inlineStr">
        <is>
          <t>Denied</t>
        </is>
      </c>
      <c r="J925" t="inlineStr">
        <is>
          <t>Coding Error</t>
        </is>
      </c>
      <c r="L925" s="33" t="n"/>
    </row>
    <row r="926">
      <c r="A926" t="inlineStr">
        <is>
          <t>CLM514482</t>
        </is>
      </c>
      <c r="B926" t="inlineStr">
        <is>
          <t>ENC114482</t>
        </is>
      </c>
      <c r="C926" t="inlineStr">
        <is>
          <t>Keystone Health Partners</t>
        </is>
      </c>
      <c r="D926" t="inlineStr">
        <is>
          <t>Emergency</t>
        </is>
      </c>
      <c r="E926" s="29" t="n">
        <v>45771</v>
      </c>
      <c r="F926" s="29" t="n">
        <v>45833</v>
      </c>
      <c r="G926" s="31" t="n">
        <v>1556.05</v>
      </c>
      <c r="H926" s="31" t="n">
        <v>652.52</v>
      </c>
      <c r="I926" t="inlineStr">
        <is>
          <t>Paid</t>
        </is>
      </c>
      <c r="K926" s="29" t="n">
        <v>45846</v>
      </c>
      <c r="L926" s="33" t="n"/>
    </row>
    <row r="927">
      <c r="A927" t="inlineStr">
        <is>
          <t>CLM514483</t>
        </is>
      </c>
      <c r="B927" t="inlineStr">
        <is>
          <t>ENC114483</t>
        </is>
      </c>
      <c r="C927" t="inlineStr">
        <is>
          <t>Keystone Health Partners</t>
        </is>
      </c>
      <c r="D927" t="inlineStr">
        <is>
          <t>Outpatient</t>
        </is>
      </c>
      <c r="E927" s="29" t="n">
        <v>45771</v>
      </c>
      <c r="F927" s="29" t="n">
        <v>45774</v>
      </c>
      <c r="G927" s="31" t="n">
        <v>178.71</v>
      </c>
      <c r="H927" s="31" t="n">
        <v>84.86</v>
      </c>
      <c r="I927" t="inlineStr">
        <is>
          <t>Paid</t>
        </is>
      </c>
      <c r="K927" s="29" t="n">
        <v>45808</v>
      </c>
      <c r="L927" s="33" t="n"/>
    </row>
    <row r="928">
      <c r="A928" t="inlineStr">
        <is>
          <t>CLM514487</t>
        </is>
      </c>
      <c r="B928" t="inlineStr">
        <is>
          <t>ENC114487</t>
        </is>
      </c>
      <c r="C928" t="inlineStr">
        <is>
          <t>Evergreen Mutual Insurance</t>
        </is>
      </c>
      <c r="D928" t="inlineStr">
        <is>
          <t>Inpatient</t>
        </is>
      </c>
      <c r="E928" s="29" t="n">
        <v>45774</v>
      </c>
      <c r="F928" s="29" t="n">
        <v>45778</v>
      </c>
      <c r="G928" s="31" t="n">
        <v>28417.77</v>
      </c>
      <c r="H928" s="31" t="n">
        <v>11135.95</v>
      </c>
      <c r="I928" t="inlineStr">
        <is>
          <t>Paid</t>
        </is>
      </c>
      <c r="K928" s="29" t="n">
        <v>45805</v>
      </c>
      <c r="L928" s="33" t="n"/>
    </row>
    <row r="929">
      <c r="A929" t="inlineStr">
        <is>
          <t>CLM514488</t>
        </is>
      </c>
      <c r="B929" t="inlineStr">
        <is>
          <t>ENC114488</t>
        </is>
      </c>
      <c r="C929" t="inlineStr">
        <is>
          <t>State Medicaid</t>
        </is>
      </c>
      <c r="D929" t="inlineStr">
        <is>
          <t>Outpatient</t>
        </is>
      </c>
      <c r="E929" s="29" t="n">
        <v>45771</v>
      </c>
      <c r="F929" s="29" t="n">
        <v>45777</v>
      </c>
      <c r="G929" s="31" t="n">
        <v>356.02</v>
      </c>
      <c r="H929" s="31" t="n">
        <v>81.95</v>
      </c>
      <c r="I929" t="inlineStr">
        <is>
          <t>Paid</t>
        </is>
      </c>
      <c r="K929" s="29" t="n">
        <v>45804</v>
      </c>
      <c r="L929" s="33" t="n"/>
    </row>
    <row r="930">
      <c r="A930" t="inlineStr">
        <is>
          <t>CLM514495</t>
        </is>
      </c>
      <c r="B930" t="inlineStr">
        <is>
          <t>ENC114495</t>
        </is>
      </c>
      <c r="C930" t="inlineStr">
        <is>
          <t>Self-Pay</t>
        </is>
      </c>
      <c r="D930" t="inlineStr">
        <is>
          <t>Outpatient</t>
        </is>
      </c>
      <c r="E930" s="29" t="n">
        <v>45771</v>
      </c>
      <c r="F930" s="29" t="n">
        <v>45776</v>
      </c>
      <c r="G930" s="31" t="n">
        <v>216.33</v>
      </c>
      <c r="H930" s="31" t="n">
        <v>0</v>
      </c>
      <c r="I930" t="inlineStr">
        <is>
          <t>Pending</t>
        </is>
      </c>
      <c r="L930" s="33" t="n"/>
    </row>
    <row r="931">
      <c r="A931" t="inlineStr">
        <is>
          <t>CLM514498</t>
        </is>
      </c>
      <c r="B931" t="inlineStr">
        <is>
          <t>ENC114498</t>
        </is>
      </c>
      <c r="C931" t="inlineStr">
        <is>
          <t>Silverline Medicare Advantage</t>
        </is>
      </c>
      <c r="D931" t="inlineStr">
        <is>
          <t>Outpatient</t>
        </is>
      </c>
      <c r="E931" s="29" t="n">
        <v>45771</v>
      </c>
      <c r="F931" s="29" t="n">
        <v>45780</v>
      </c>
      <c r="G931" s="31" t="n">
        <v>355.08</v>
      </c>
      <c r="H931" s="31" t="n">
        <v>119.16</v>
      </c>
      <c r="I931" t="inlineStr">
        <is>
          <t>Paid</t>
        </is>
      </c>
      <c r="K931" s="29" t="n">
        <v>45802</v>
      </c>
      <c r="L931" s="33" t="n"/>
    </row>
    <row r="932">
      <c r="A932" t="inlineStr">
        <is>
          <t>CLM514503</t>
        </is>
      </c>
      <c r="B932" t="inlineStr">
        <is>
          <t>ENC114503</t>
        </is>
      </c>
      <c r="C932" t="inlineStr">
        <is>
          <t>State Medicaid</t>
        </is>
      </c>
      <c r="D932" t="inlineStr">
        <is>
          <t>Emergency</t>
        </is>
      </c>
      <c r="E932" s="29" t="n">
        <v>45771</v>
      </c>
      <c r="F932" s="29" t="n">
        <v>45776</v>
      </c>
      <c r="G932" s="31" t="n">
        <v>1622.99</v>
      </c>
      <c r="H932" s="31" t="n">
        <v>378.7</v>
      </c>
      <c r="I932" t="inlineStr">
        <is>
          <t>Paid</t>
        </is>
      </c>
      <c r="K932" s="29" t="n">
        <v>45826</v>
      </c>
      <c r="L932" s="33" t="n"/>
    </row>
    <row r="933">
      <c r="A933" t="inlineStr">
        <is>
          <t>CLM514504</t>
        </is>
      </c>
      <c r="B933" t="inlineStr">
        <is>
          <t>ENC114504</t>
        </is>
      </c>
      <c r="C933" t="inlineStr">
        <is>
          <t>Evergreen Mutual Insurance</t>
        </is>
      </c>
      <c r="D933" t="inlineStr">
        <is>
          <t>Observation</t>
        </is>
      </c>
      <c r="E933" s="29" t="n">
        <v>45773</v>
      </c>
      <c r="F933" s="29" t="n">
        <v>45778</v>
      </c>
      <c r="G933" s="31" t="n">
        <v>6832.69</v>
      </c>
      <c r="H933" s="31" t="n">
        <v>3092.65</v>
      </c>
      <c r="I933" t="inlineStr">
        <is>
          <t>Paid</t>
        </is>
      </c>
      <c r="K933" s="29" t="n">
        <v>45813</v>
      </c>
      <c r="L933" s="33" t="n"/>
    </row>
    <row r="934">
      <c r="A934" t="inlineStr">
        <is>
          <t>CLM514509</t>
        </is>
      </c>
      <c r="B934" t="inlineStr">
        <is>
          <t>ENC114509</t>
        </is>
      </c>
      <c r="C934" t="inlineStr">
        <is>
          <t>Medicare</t>
        </is>
      </c>
      <c r="D934" t="inlineStr">
        <is>
          <t>Outpatient</t>
        </is>
      </c>
      <c r="E934" s="29" t="n">
        <v>45772</v>
      </c>
      <c r="F934" s="29" t="n">
        <v>45775</v>
      </c>
      <c r="G934" s="31" t="n">
        <v>434.15</v>
      </c>
      <c r="H934" s="31" t="n">
        <v>121.77</v>
      </c>
      <c r="I934" t="inlineStr">
        <is>
          <t>Paid</t>
        </is>
      </c>
      <c r="K934" s="29" t="n">
        <v>45781</v>
      </c>
      <c r="L934" s="33" t="n"/>
    </row>
    <row r="935">
      <c r="A935" t="inlineStr">
        <is>
          <t>CLM514512</t>
        </is>
      </c>
      <c r="B935" t="inlineStr">
        <is>
          <t>ENC114512</t>
        </is>
      </c>
      <c r="C935" t="inlineStr">
        <is>
          <t>State Medicaid</t>
        </is>
      </c>
      <c r="D935" t="inlineStr">
        <is>
          <t>Outpatient</t>
        </is>
      </c>
      <c r="E935" s="29" t="n">
        <v>45772</v>
      </c>
      <c r="F935" s="29" t="n">
        <v>45775</v>
      </c>
      <c r="G935" s="31" t="n">
        <v>468.13</v>
      </c>
      <c r="H935" s="31" t="n">
        <v>112.98</v>
      </c>
      <c r="I935" t="inlineStr">
        <is>
          <t>Paid</t>
        </is>
      </c>
      <c r="K935" s="29" t="n">
        <v>45790</v>
      </c>
      <c r="L935" s="33" t="n"/>
    </row>
    <row r="936">
      <c r="A936" t="inlineStr">
        <is>
          <t>CLM514515</t>
        </is>
      </c>
      <c r="B936" t="inlineStr">
        <is>
          <t>ENC114515</t>
        </is>
      </c>
      <c r="C936" t="inlineStr">
        <is>
          <t>State Medicaid</t>
        </is>
      </c>
      <c r="D936" t="inlineStr">
        <is>
          <t>Inpatient</t>
        </is>
      </c>
      <c r="E936" s="29" t="n">
        <v>45774</v>
      </c>
      <c r="F936" s="29" t="n">
        <v>45778</v>
      </c>
      <c r="G936" s="31" t="n">
        <v>15880.02</v>
      </c>
      <c r="H936" s="31" t="n">
        <v>0</v>
      </c>
      <c r="I936" t="inlineStr">
        <is>
          <t>Denied</t>
        </is>
      </c>
      <c r="J936" t="inlineStr">
        <is>
          <t>Authorization Required</t>
        </is>
      </c>
      <c r="L936" s="33" t="n"/>
    </row>
    <row r="937">
      <c r="A937" t="inlineStr">
        <is>
          <t>CLM514525</t>
        </is>
      </c>
      <c r="B937" t="inlineStr">
        <is>
          <t>ENC114525</t>
        </is>
      </c>
      <c r="C937" t="inlineStr">
        <is>
          <t>Summit Choice PPO</t>
        </is>
      </c>
      <c r="D937" t="inlineStr">
        <is>
          <t>Inpatient</t>
        </is>
      </c>
      <c r="E937" s="29" t="n">
        <v>45776</v>
      </c>
      <c r="F937" s="29" t="n">
        <v>45777</v>
      </c>
      <c r="G937" s="31" t="n">
        <v>21009.9</v>
      </c>
      <c r="H937" s="31" t="n">
        <v>10711.02</v>
      </c>
      <c r="I937" t="inlineStr">
        <is>
          <t>Paid</t>
        </is>
      </c>
      <c r="K937" s="29" t="n">
        <v>45810</v>
      </c>
      <c r="L937" s="33" t="n"/>
    </row>
    <row r="938">
      <c r="A938" t="inlineStr">
        <is>
          <t>CLM514526</t>
        </is>
      </c>
      <c r="B938" t="inlineStr">
        <is>
          <t>ENC114526</t>
        </is>
      </c>
      <c r="C938" t="inlineStr">
        <is>
          <t>Silverline Medicare Advantage</t>
        </is>
      </c>
      <c r="D938" t="inlineStr">
        <is>
          <t>Emergency</t>
        </is>
      </c>
      <c r="E938" s="29" t="n">
        <v>45772</v>
      </c>
      <c r="F938" s="29" t="n">
        <v>45775</v>
      </c>
      <c r="G938" s="31" t="n">
        <v>4010.89</v>
      </c>
      <c r="H938" s="31" t="n">
        <v>1304.32</v>
      </c>
      <c r="I938" t="inlineStr">
        <is>
          <t>Paid</t>
        </is>
      </c>
      <c r="K938" s="29" t="n">
        <v>45820</v>
      </c>
      <c r="L938" s="33" t="n"/>
    </row>
    <row r="939">
      <c r="A939" t="inlineStr">
        <is>
          <t>CLM514532</t>
        </is>
      </c>
      <c r="B939" t="inlineStr">
        <is>
          <t>ENC114532</t>
        </is>
      </c>
      <c r="C939" t="inlineStr">
        <is>
          <t>State Medicaid</t>
        </is>
      </c>
      <c r="D939" t="inlineStr">
        <is>
          <t>Emergency</t>
        </is>
      </c>
      <c r="E939" s="29" t="n">
        <v>45772</v>
      </c>
      <c r="F939" s="29" t="n">
        <v>45776</v>
      </c>
      <c r="G939" s="31" t="n">
        <v>628.39</v>
      </c>
      <c r="H939" s="31" t="n">
        <v>165.43</v>
      </c>
      <c r="I939" t="inlineStr">
        <is>
          <t>Paid</t>
        </is>
      </c>
      <c r="K939" s="29" t="n">
        <v>45812</v>
      </c>
      <c r="L939" s="33" t="n"/>
    </row>
    <row r="940">
      <c r="A940" t="inlineStr">
        <is>
          <t>CLM514536</t>
        </is>
      </c>
      <c r="B940" t="inlineStr">
        <is>
          <t>ENC114536</t>
        </is>
      </c>
      <c r="C940" t="inlineStr">
        <is>
          <t>Evergreen Mutual Insurance</t>
        </is>
      </c>
      <c r="D940" t="inlineStr">
        <is>
          <t>Emergency</t>
        </is>
      </c>
      <c r="E940" s="29" t="n">
        <v>45773</v>
      </c>
      <c r="F940" s="29" t="n">
        <v>45782</v>
      </c>
      <c r="G940" s="31" t="n">
        <v>3232.1</v>
      </c>
      <c r="H940" s="31" t="n">
        <v>1360.83</v>
      </c>
      <c r="I940" t="inlineStr">
        <is>
          <t>Paid</t>
        </is>
      </c>
      <c r="K940" s="29" t="n">
        <v>45821</v>
      </c>
      <c r="L940" s="33" t="n"/>
    </row>
    <row r="941">
      <c r="A941" t="inlineStr">
        <is>
          <t>CLM514540</t>
        </is>
      </c>
      <c r="B941" t="inlineStr">
        <is>
          <t>ENC114540</t>
        </is>
      </c>
      <c r="C941" t="inlineStr">
        <is>
          <t>Medicare</t>
        </is>
      </c>
      <c r="D941" t="inlineStr">
        <is>
          <t>Inpatient</t>
        </is>
      </c>
      <c r="E941" s="29" t="n">
        <v>45778</v>
      </c>
      <c r="F941" s="29" t="n">
        <v>45782</v>
      </c>
      <c r="G941" s="31" t="n">
        <v>29245.43</v>
      </c>
      <c r="H941" s="31" t="n">
        <v>7981.7</v>
      </c>
      <c r="I941" t="inlineStr">
        <is>
          <t>Paid</t>
        </is>
      </c>
      <c r="K941" s="29" t="n">
        <v>45795</v>
      </c>
      <c r="L941" s="33" t="n"/>
    </row>
    <row r="942">
      <c r="A942" t="inlineStr">
        <is>
          <t>CLM514541</t>
        </is>
      </c>
      <c r="B942" t="inlineStr">
        <is>
          <t>ENC114541</t>
        </is>
      </c>
      <c r="C942" t="inlineStr">
        <is>
          <t>Keystone Health Partners</t>
        </is>
      </c>
      <c r="D942" t="inlineStr">
        <is>
          <t>Inpatient</t>
        </is>
      </c>
      <c r="E942" s="29" t="n">
        <v>45774</v>
      </c>
      <c r="F942" s="29" t="n">
        <v>45786</v>
      </c>
      <c r="G942" s="31" t="n">
        <v>5740.44</v>
      </c>
      <c r="H942" s="31" t="n">
        <v>2907.32</v>
      </c>
      <c r="I942" t="inlineStr">
        <is>
          <t>Paid</t>
        </is>
      </c>
      <c r="K942" s="29" t="n">
        <v>45806</v>
      </c>
      <c r="L942" s="33" t="n"/>
    </row>
    <row r="943">
      <c r="A943" t="inlineStr">
        <is>
          <t>CLM514558</t>
        </is>
      </c>
      <c r="B943" t="inlineStr">
        <is>
          <t>ENC114558</t>
        </is>
      </c>
      <c r="C943" t="inlineStr">
        <is>
          <t>Silverline Medicare Advantage</t>
        </is>
      </c>
      <c r="D943" t="inlineStr">
        <is>
          <t>Emergency</t>
        </is>
      </c>
      <c r="E943" s="29" t="n">
        <v>45774</v>
      </c>
      <c r="F943" s="29" t="n">
        <v>45776</v>
      </c>
      <c r="G943" s="31" t="n">
        <v>1356.46</v>
      </c>
      <c r="H943" s="31" t="n">
        <v>438.97</v>
      </c>
      <c r="I943" t="inlineStr">
        <is>
          <t>Paid</t>
        </is>
      </c>
      <c r="K943" s="29" t="n">
        <v>45816</v>
      </c>
      <c r="L943" s="33" t="n"/>
    </row>
    <row r="944">
      <c r="A944" t="inlineStr">
        <is>
          <t>CLM514562</t>
        </is>
      </c>
      <c r="B944" t="inlineStr">
        <is>
          <t>ENC114562</t>
        </is>
      </c>
      <c r="C944" t="inlineStr">
        <is>
          <t>Silverline Medicare Advantage</t>
        </is>
      </c>
      <c r="D944" t="inlineStr">
        <is>
          <t>Inpatient</t>
        </is>
      </c>
      <c r="E944" s="29" t="n">
        <v>45781</v>
      </c>
      <c r="F944" s="29" t="n">
        <v>45872</v>
      </c>
      <c r="G944" s="31" t="n">
        <v>43710.53</v>
      </c>
      <c r="H944" s="31" t="n">
        <v>0</v>
      </c>
      <c r="I944" t="inlineStr">
        <is>
          <t>Appealed</t>
        </is>
      </c>
      <c r="J944" t="inlineStr">
        <is>
          <t>Missing Documentation</t>
        </is>
      </c>
      <c r="L944" s="33" t="n"/>
    </row>
    <row r="945">
      <c r="A945" t="inlineStr">
        <is>
          <t>CLM514566</t>
        </is>
      </c>
      <c r="B945" t="inlineStr">
        <is>
          <t>ENC114566</t>
        </is>
      </c>
      <c r="C945" t="inlineStr">
        <is>
          <t>Summit Choice PPO</t>
        </is>
      </c>
      <c r="D945" t="inlineStr">
        <is>
          <t>Inpatient</t>
        </is>
      </c>
      <c r="E945" s="29" t="n">
        <v>45780</v>
      </c>
      <c r="F945" s="29" t="n">
        <v>45787</v>
      </c>
      <c r="G945" s="31" t="n">
        <v>19598.69</v>
      </c>
      <c r="H945" s="31" t="n">
        <v>9223.530000000001</v>
      </c>
      <c r="I945" t="inlineStr">
        <is>
          <t>Paid</t>
        </is>
      </c>
      <c r="K945" s="29" t="n">
        <v>45805</v>
      </c>
      <c r="L945" s="33" t="n"/>
    </row>
    <row r="946">
      <c r="A946" t="inlineStr">
        <is>
          <t>CLM514569</t>
        </is>
      </c>
      <c r="B946" t="inlineStr">
        <is>
          <t>ENC114569</t>
        </is>
      </c>
      <c r="C946" t="inlineStr">
        <is>
          <t>Summit Choice PPO</t>
        </is>
      </c>
      <c r="D946" t="inlineStr">
        <is>
          <t>Inpatient</t>
        </is>
      </c>
      <c r="E946" s="29" t="n">
        <v>45777</v>
      </c>
      <c r="F946" s="29" t="n">
        <v>45780</v>
      </c>
      <c r="G946" s="31" t="n">
        <v>19733.44</v>
      </c>
      <c r="H946" s="31" t="n">
        <v>9473.23</v>
      </c>
      <c r="I946" t="inlineStr">
        <is>
          <t>Paid</t>
        </is>
      </c>
      <c r="K946" s="29" t="n">
        <v>45810</v>
      </c>
      <c r="L946" s="33" t="n"/>
    </row>
    <row r="947">
      <c r="A947" t="inlineStr">
        <is>
          <t>CLM514583</t>
        </is>
      </c>
      <c r="B947" t="inlineStr">
        <is>
          <t>ENC114583</t>
        </is>
      </c>
      <c r="C947" t="inlineStr">
        <is>
          <t>Keystone Health Partners</t>
        </is>
      </c>
      <c r="D947" t="inlineStr">
        <is>
          <t>Emergency</t>
        </is>
      </c>
      <c r="E947" s="29" t="n">
        <v>45775</v>
      </c>
      <c r="F947" s="29" t="n">
        <v>45779</v>
      </c>
      <c r="G947" s="31" t="n">
        <v>3033.72</v>
      </c>
      <c r="H947" s="31" t="n">
        <v>1438.19</v>
      </c>
      <c r="I947" t="inlineStr">
        <is>
          <t>Paid</t>
        </is>
      </c>
      <c r="K947" s="29" t="n">
        <v>45814</v>
      </c>
      <c r="L947" s="33" t="n"/>
    </row>
    <row r="948">
      <c r="A948" t="inlineStr">
        <is>
          <t>CLM514585</t>
        </is>
      </c>
      <c r="B948" t="inlineStr">
        <is>
          <t>ENC114585</t>
        </is>
      </c>
      <c r="C948" t="inlineStr">
        <is>
          <t>State Medicaid</t>
        </is>
      </c>
      <c r="D948" t="inlineStr">
        <is>
          <t>Outpatient</t>
        </is>
      </c>
      <c r="E948" s="29" t="n">
        <v>45775</v>
      </c>
      <c r="F948" s="29" t="n">
        <v>45854</v>
      </c>
      <c r="G948" s="31" t="n">
        <v>309.64</v>
      </c>
      <c r="H948" s="31" t="n">
        <v>77.06999999999999</v>
      </c>
      <c r="I948" t="inlineStr">
        <is>
          <t>Paid</t>
        </is>
      </c>
      <c r="K948" s="29" t="n">
        <v>45891</v>
      </c>
      <c r="L948" s="33" t="n"/>
    </row>
    <row r="949">
      <c r="A949" t="inlineStr">
        <is>
          <t>CLM514590</t>
        </is>
      </c>
      <c r="B949" t="inlineStr">
        <is>
          <t>ENC114590</t>
        </is>
      </c>
      <c r="C949" t="inlineStr">
        <is>
          <t>Evergreen Mutual Insurance</t>
        </is>
      </c>
      <c r="D949" t="inlineStr">
        <is>
          <t>Inpatient</t>
        </is>
      </c>
      <c r="E949" s="29" t="n">
        <v>45781</v>
      </c>
      <c r="F949" s="29" t="n">
        <v>45789</v>
      </c>
      <c r="G949" s="31" t="n">
        <v>42614.45</v>
      </c>
      <c r="H949" s="31" t="n">
        <v>0</v>
      </c>
      <c r="I949" t="inlineStr">
        <is>
          <t>Appealed</t>
        </is>
      </c>
      <c r="J949" t="inlineStr">
        <is>
          <t>Authorization Required</t>
        </is>
      </c>
      <c r="L949" s="33" t="n"/>
    </row>
    <row r="950">
      <c r="A950" t="inlineStr">
        <is>
          <t>CLM514592</t>
        </is>
      </c>
      <c r="B950" t="inlineStr">
        <is>
          <t>ENC114592</t>
        </is>
      </c>
      <c r="C950" t="inlineStr">
        <is>
          <t>Silverline Medicare Advantage</t>
        </is>
      </c>
      <c r="D950" t="inlineStr">
        <is>
          <t>Inpatient</t>
        </is>
      </c>
      <c r="E950" s="29" t="n">
        <v>45778</v>
      </c>
      <c r="F950" s="29" t="n">
        <v>45779</v>
      </c>
      <c r="G950" s="31" t="n">
        <v>16174.04</v>
      </c>
      <c r="H950" s="31" t="n">
        <v>3976.16</v>
      </c>
      <c r="I950" t="inlineStr">
        <is>
          <t>Partially Paid</t>
        </is>
      </c>
      <c r="J950" t="inlineStr">
        <is>
          <t>Medical Necessity</t>
        </is>
      </c>
      <c r="K950" s="29" t="n">
        <v>45809</v>
      </c>
      <c r="L950" s="33" t="n"/>
    </row>
    <row r="951">
      <c r="A951" t="inlineStr">
        <is>
          <t>CLM514593</t>
        </is>
      </c>
      <c r="B951" t="inlineStr">
        <is>
          <t>ENC114593</t>
        </is>
      </c>
      <c r="C951" t="inlineStr">
        <is>
          <t>State Medicaid</t>
        </is>
      </c>
      <c r="D951" t="inlineStr">
        <is>
          <t>Inpatient</t>
        </is>
      </c>
      <c r="E951" s="29" t="n">
        <v>45784</v>
      </c>
      <c r="F951" s="29" t="n">
        <v>45798</v>
      </c>
      <c r="G951" s="31" t="n">
        <v>44471.43</v>
      </c>
      <c r="H951" s="31" t="n">
        <v>10068.4</v>
      </c>
      <c r="I951" t="inlineStr">
        <is>
          <t>Paid</t>
        </is>
      </c>
      <c r="K951" s="29" t="n">
        <v>45838</v>
      </c>
      <c r="L951" s="33" t="n"/>
    </row>
    <row r="952">
      <c r="A952" t="inlineStr">
        <is>
          <t>CLM514597</t>
        </is>
      </c>
      <c r="B952" t="inlineStr">
        <is>
          <t>ENC114597</t>
        </is>
      </c>
      <c r="C952" t="inlineStr">
        <is>
          <t>State Medicaid</t>
        </is>
      </c>
      <c r="D952" t="inlineStr">
        <is>
          <t>Emergency</t>
        </is>
      </c>
      <c r="E952" s="29" t="n">
        <v>45776</v>
      </c>
      <c r="F952" s="29" t="n">
        <v>45780</v>
      </c>
      <c r="G952" s="31" t="n">
        <v>1281.05</v>
      </c>
      <c r="H952" s="31" t="n">
        <v>292.54</v>
      </c>
      <c r="I952" t="inlineStr">
        <is>
          <t>Paid</t>
        </is>
      </c>
      <c r="K952" s="29" t="n">
        <v>45843</v>
      </c>
      <c r="L952" s="33" t="n"/>
    </row>
    <row r="953">
      <c r="A953" t="inlineStr">
        <is>
          <t>CLM514602</t>
        </is>
      </c>
      <c r="B953" t="inlineStr">
        <is>
          <t>ENC114602</t>
        </is>
      </c>
      <c r="C953" t="inlineStr">
        <is>
          <t>State Medicaid</t>
        </is>
      </c>
      <c r="D953" t="inlineStr">
        <is>
          <t>Inpatient</t>
        </is>
      </c>
      <c r="E953" s="29" t="n">
        <v>45779</v>
      </c>
      <c r="F953" s="29" t="n">
        <v>45784</v>
      </c>
      <c r="G953" s="31" t="n">
        <v>25447.12</v>
      </c>
      <c r="H953" s="31" t="n">
        <v>0</v>
      </c>
      <c r="I953" t="inlineStr">
        <is>
          <t>Denied</t>
        </is>
      </c>
      <c r="J953" t="inlineStr">
        <is>
          <t>Medical Necessity</t>
        </is>
      </c>
      <c r="L953" s="33" t="n"/>
    </row>
    <row r="954">
      <c r="A954" t="inlineStr">
        <is>
          <t>CLM514606</t>
        </is>
      </c>
      <c r="B954" t="inlineStr">
        <is>
          <t>ENC114606</t>
        </is>
      </c>
      <c r="C954" t="inlineStr">
        <is>
          <t>Evergreen Mutual Insurance</t>
        </is>
      </c>
      <c r="D954" t="inlineStr">
        <is>
          <t>Outpatient</t>
        </is>
      </c>
      <c r="E954" s="29" t="n">
        <v>45776</v>
      </c>
      <c r="F954" s="29" t="n">
        <v>45785</v>
      </c>
      <c r="G954" s="31" t="n">
        <v>217.66</v>
      </c>
      <c r="H954" s="31" t="n">
        <v>95.95</v>
      </c>
      <c r="I954" t="inlineStr">
        <is>
          <t>Paid</t>
        </is>
      </c>
      <c r="K954" s="29" t="n">
        <v>45815</v>
      </c>
      <c r="L954" s="33" t="n"/>
    </row>
    <row r="955">
      <c r="A955" t="inlineStr">
        <is>
          <t>CLM514611</t>
        </is>
      </c>
      <c r="B955" t="inlineStr">
        <is>
          <t>ENC114611</t>
        </is>
      </c>
      <c r="C955" t="inlineStr">
        <is>
          <t>Evergreen Mutual Insurance</t>
        </is>
      </c>
      <c r="D955" t="inlineStr">
        <is>
          <t>Inpatient</t>
        </is>
      </c>
      <c r="E955" s="29" t="n">
        <v>45780</v>
      </c>
      <c r="F955" s="29" t="n">
        <v>45782</v>
      </c>
      <c r="G955" s="31" t="n">
        <v>12676.45</v>
      </c>
      <c r="H955" s="31" t="n">
        <v>5872.48</v>
      </c>
      <c r="I955" t="inlineStr">
        <is>
          <t>Paid</t>
        </is>
      </c>
      <c r="K955" s="29" t="n">
        <v>45815</v>
      </c>
      <c r="L955" s="33" t="n"/>
    </row>
    <row r="956">
      <c r="A956" t="inlineStr">
        <is>
          <t>CLM514618</t>
        </is>
      </c>
      <c r="B956" t="inlineStr">
        <is>
          <t>ENC114618</t>
        </is>
      </c>
      <c r="C956" t="inlineStr">
        <is>
          <t>Summit Choice PPO</t>
        </is>
      </c>
      <c r="D956" t="inlineStr">
        <is>
          <t>Outpatient</t>
        </is>
      </c>
      <c r="E956" s="29" t="n">
        <v>45777</v>
      </c>
      <c r="F956" s="29" t="n">
        <v>45783</v>
      </c>
      <c r="G956" s="31" t="n">
        <v>503.29</v>
      </c>
      <c r="H956" s="31" t="n">
        <v>284.52</v>
      </c>
      <c r="I956" t="inlineStr">
        <is>
          <t>Paid</t>
        </is>
      </c>
      <c r="K956" s="29" t="n">
        <v>45819</v>
      </c>
      <c r="L956" s="33" t="n"/>
    </row>
    <row r="957">
      <c r="A957" t="inlineStr">
        <is>
          <t>CLM514624</t>
        </is>
      </c>
      <c r="B957" t="inlineStr">
        <is>
          <t>ENC114624</t>
        </is>
      </c>
      <c r="C957" t="inlineStr">
        <is>
          <t>Summit Choice PPO</t>
        </is>
      </c>
      <c r="D957" t="inlineStr">
        <is>
          <t>Inpatient</t>
        </is>
      </c>
      <c r="E957" s="29" t="n">
        <v>45780</v>
      </c>
      <c r="F957" s="29" t="n">
        <v>45783</v>
      </c>
      <c r="G957" s="31" t="n">
        <v>25762.32</v>
      </c>
      <c r="H957" s="31" t="n">
        <v>12308.97</v>
      </c>
      <c r="I957" t="inlineStr">
        <is>
          <t>Paid</t>
        </is>
      </c>
      <c r="K957" s="29" t="n">
        <v>45799</v>
      </c>
      <c r="L957" s="33" t="n"/>
    </row>
    <row r="958">
      <c r="A958" t="inlineStr">
        <is>
          <t>CLM514626</t>
        </is>
      </c>
      <c r="B958" t="inlineStr">
        <is>
          <t>ENC114626</t>
        </is>
      </c>
      <c r="C958" t="inlineStr">
        <is>
          <t>Evergreen Mutual Insurance</t>
        </is>
      </c>
      <c r="D958" t="inlineStr">
        <is>
          <t>Outpatient</t>
        </is>
      </c>
      <c r="E958" s="29" t="n">
        <v>45777</v>
      </c>
      <c r="F958" s="29" t="n">
        <v>45779</v>
      </c>
      <c r="G958" s="31" t="n">
        <v>242.65</v>
      </c>
      <c r="H958" s="31" t="n">
        <v>104.15</v>
      </c>
      <c r="I958" t="inlineStr">
        <is>
          <t>Paid</t>
        </is>
      </c>
      <c r="K958" s="29" t="n">
        <v>45817</v>
      </c>
      <c r="L958" s="33" t="n"/>
    </row>
    <row r="959">
      <c r="A959" t="inlineStr">
        <is>
          <t>CLM514646</t>
        </is>
      </c>
      <c r="B959" t="inlineStr">
        <is>
          <t>ENC114646</t>
        </is>
      </c>
      <c r="C959" t="inlineStr">
        <is>
          <t>Summit Choice PPO</t>
        </is>
      </c>
      <c r="D959" t="inlineStr">
        <is>
          <t>Inpatient</t>
        </is>
      </c>
      <c r="E959" s="29" t="n">
        <v>45781</v>
      </c>
      <c r="F959" s="29" t="n">
        <v>45783</v>
      </c>
      <c r="G959" s="31" t="n">
        <v>9018.66</v>
      </c>
      <c r="H959" s="31" t="n">
        <v>5143.36</v>
      </c>
      <c r="I959" t="inlineStr">
        <is>
          <t>Paid</t>
        </is>
      </c>
      <c r="K959" s="29" t="n">
        <v>45806</v>
      </c>
      <c r="L959" s="33" t="n"/>
    </row>
    <row r="960">
      <c r="A960" t="inlineStr">
        <is>
          <t>CLM514653</t>
        </is>
      </c>
      <c r="B960" t="inlineStr">
        <is>
          <t>ENC114653</t>
        </is>
      </c>
      <c r="C960" t="inlineStr">
        <is>
          <t>Medicare</t>
        </is>
      </c>
      <c r="D960" t="inlineStr">
        <is>
          <t>Emergency</t>
        </is>
      </c>
      <c r="E960" s="29" t="n">
        <v>45778</v>
      </c>
      <c r="F960" s="29" t="n">
        <v>45780</v>
      </c>
      <c r="G960" s="31" t="n">
        <v>1354.09</v>
      </c>
      <c r="H960" s="31" t="n">
        <v>432.27</v>
      </c>
      <c r="I960" t="inlineStr">
        <is>
          <t>Paid</t>
        </is>
      </c>
      <c r="K960" s="29" t="n">
        <v>45798</v>
      </c>
      <c r="L960" s="33" t="n"/>
    </row>
    <row r="961">
      <c r="A961" t="inlineStr">
        <is>
          <t>CLM514662</t>
        </is>
      </c>
      <c r="B961" t="inlineStr">
        <is>
          <t>ENC114662</t>
        </is>
      </c>
      <c r="C961" t="inlineStr">
        <is>
          <t>Keystone Health Partners</t>
        </is>
      </c>
      <c r="D961" t="inlineStr">
        <is>
          <t>Emergency</t>
        </is>
      </c>
      <c r="E961" s="29" t="n">
        <v>45778</v>
      </c>
      <c r="F961" s="29" t="n">
        <v>45779</v>
      </c>
      <c r="G961" s="31" t="n">
        <v>1345.77</v>
      </c>
      <c r="H961" s="31" t="n">
        <v>675.48</v>
      </c>
      <c r="I961" t="inlineStr">
        <is>
          <t>Paid</t>
        </is>
      </c>
      <c r="K961" s="29" t="n">
        <v>45802</v>
      </c>
      <c r="L961" s="33" t="n"/>
    </row>
    <row r="962">
      <c r="A962" t="inlineStr">
        <is>
          <t>CLM514674</t>
        </is>
      </c>
      <c r="B962" t="inlineStr">
        <is>
          <t>ENC114674</t>
        </is>
      </c>
      <c r="C962" t="inlineStr">
        <is>
          <t>Self-Pay</t>
        </is>
      </c>
      <c r="D962" t="inlineStr">
        <is>
          <t>Emergency</t>
        </is>
      </c>
      <c r="E962" s="29" t="n">
        <v>45778</v>
      </c>
      <c r="F962" s="29" t="n">
        <v>45780</v>
      </c>
      <c r="G962" s="31" t="n">
        <v>6242.7</v>
      </c>
      <c r="H962" s="31" t="n">
        <v>0</v>
      </c>
      <c r="I962" t="inlineStr">
        <is>
          <t>Pending</t>
        </is>
      </c>
      <c r="L962" s="33" t="n"/>
    </row>
    <row r="963">
      <c r="A963" t="inlineStr">
        <is>
          <t>CLM514681</t>
        </is>
      </c>
      <c r="B963" t="inlineStr">
        <is>
          <t>ENC114681</t>
        </is>
      </c>
      <c r="C963" t="inlineStr">
        <is>
          <t>Summit Choice PPO</t>
        </is>
      </c>
      <c r="D963" t="inlineStr">
        <is>
          <t>Emergency</t>
        </is>
      </c>
      <c r="E963" s="29" t="n">
        <v>45779</v>
      </c>
      <c r="F963" s="29" t="n">
        <v>45787</v>
      </c>
      <c r="G963" s="31" t="n">
        <v>1098.21</v>
      </c>
      <c r="H963" s="31" t="n">
        <v>500.96</v>
      </c>
      <c r="I963" t="inlineStr">
        <is>
          <t>Paid</t>
        </is>
      </c>
      <c r="K963" s="29" t="n">
        <v>45806</v>
      </c>
      <c r="L963" s="33" t="n"/>
    </row>
    <row r="964">
      <c r="A964" t="inlineStr">
        <is>
          <t>CLM514682</t>
        </is>
      </c>
      <c r="B964" t="inlineStr">
        <is>
          <t>ENC114682</t>
        </is>
      </c>
      <c r="C964" t="inlineStr">
        <is>
          <t>Summit Choice PPO</t>
        </is>
      </c>
      <c r="D964" t="inlineStr">
        <is>
          <t>Emergency</t>
        </is>
      </c>
      <c r="E964" s="29" t="n">
        <v>45779</v>
      </c>
      <c r="F964" s="29" t="n">
        <v>45787</v>
      </c>
      <c r="G964" s="31" t="n">
        <v>3748.53</v>
      </c>
      <c r="H964" s="31" t="n">
        <v>1774.2</v>
      </c>
      <c r="I964" t="inlineStr">
        <is>
          <t>Paid</t>
        </is>
      </c>
      <c r="K964" s="29" t="n">
        <v>45807</v>
      </c>
      <c r="L964" s="33" t="n"/>
    </row>
    <row r="965">
      <c r="A965" t="inlineStr">
        <is>
          <t>CLM514684</t>
        </is>
      </c>
      <c r="B965" t="inlineStr">
        <is>
          <t>ENC114684</t>
        </is>
      </c>
      <c r="C965" t="inlineStr">
        <is>
          <t>Silverline Medicare Advantage</t>
        </is>
      </c>
      <c r="D965" t="inlineStr">
        <is>
          <t>Emergency</t>
        </is>
      </c>
      <c r="E965" s="29" t="n">
        <v>45779</v>
      </c>
      <c r="F965" s="29" t="n">
        <v>45782</v>
      </c>
      <c r="G965" s="31" t="n">
        <v>1033.89</v>
      </c>
      <c r="H965" s="31" t="n">
        <v>340.51</v>
      </c>
      <c r="I965" t="inlineStr">
        <is>
          <t>Paid</t>
        </is>
      </c>
      <c r="K965" s="29" t="n">
        <v>45809</v>
      </c>
      <c r="L965" s="33" t="n"/>
    </row>
    <row r="966">
      <c r="A966" t="inlineStr">
        <is>
          <t>CLM514692</t>
        </is>
      </c>
      <c r="B966" t="inlineStr">
        <is>
          <t>ENC114692</t>
        </is>
      </c>
      <c r="C966" t="inlineStr">
        <is>
          <t>Medicare</t>
        </is>
      </c>
      <c r="D966" t="inlineStr">
        <is>
          <t>Observation</t>
        </is>
      </c>
      <c r="E966" s="29" t="n">
        <v>45780</v>
      </c>
      <c r="F966" s="29" t="n">
        <v>45783</v>
      </c>
      <c r="G966" s="31" t="n">
        <v>9713.190000000001</v>
      </c>
      <c r="H966" s="31" t="n">
        <v>2738.81</v>
      </c>
      <c r="I966" t="inlineStr">
        <is>
          <t>Paid</t>
        </is>
      </c>
      <c r="K966" s="29" t="n">
        <v>45793</v>
      </c>
      <c r="L966" s="33" t="n"/>
    </row>
    <row r="967">
      <c r="A967" t="inlineStr">
        <is>
          <t>CLM514697</t>
        </is>
      </c>
      <c r="B967" t="inlineStr">
        <is>
          <t>ENC114697</t>
        </is>
      </c>
      <c r="C967" t="inlineStr">
        <is>
          <t>State Medicaid</t>
        </is>
      </c>
      <c r="D967" t="inlineStr">
        <is>
          <t>Outpatient</t>
        </is>
      </c>
      <c r="E967" s="29" t="n">
        <v>45779</v>
      </c>
      <c r="F967" s="29" t="n">
        <v>45786</v>
      </c>
      <c r="G967" s="31" t="n">
        <v>211.17</v>
      </c>
      <c r="H967" s="31" t="n">
        <v>64.84999999999999</v>
      </c>
      <c r="I967" t="inlineStr">
        <is>
          <t>Paid</t>
        </is>
      </c>
      <c r="K967" s="29" t="n">
        <v>45812</v>
      </c>
      <c r="L967" s="33" t="n"/>
    </row>
    <row r="968">
      <c r="A968" t="inlineStr">
        <is>
          <t>CLM514698</t>
        </is>
      </c>
      <c r="B968" t="inlineStr">
        <is>
          <t>ENC114698</t>
        </is>
      </c>
      <c r="C968" t="inlineStr">
        <is>
          <t>Medicare</t>
        </is>
      </c>
      <c r="D968" t="inlineStr">
        <is>
          <t>Inpatient</t>
        </is>
      </c>
      <c r="E968" s="29" t="n">
        <v>45788</v>
      </c>
      <c r="F968" s="29" t="n">
        <v>45793</v>
      </c>
      <c r="G968" s="31" t="n">
        <v>96796.72</v>
      </c>
      <c r="H968" s="31" t="n">
        <v>30657.28</v>
      </c>
      <c r="I968" t="inlineStr">
        <is>
          <t>Paid</t>
        </is>
      </c>
      <c r="K968" s="29" t="n">
        <v>45805</v>
      </c>
      <c r="L968" s="33" t="n"/>
    </row>
    <row r="969">
      <c r="A969" t="inlineStr">
        <is>
          <t>CLM514704</t>
        </is>
      </c>
      <c r="B969" t="inlineStr">
        <is>
          <t>ENC114704</t>
        </is>
      </c>
      <c r="C969" t="inlineStr">
        <is>
          <t>Summit Choice PPO</t>
        </is>
      </c>
      <c r="D969" t="inlineStr">
        <is>
          <t>Inpatient</t>
        </is>
      </c>
      <c r="E969" s="29" t="n">
        <v>45781</v>
      </c>
      <c r="F969" s="29" t="n">
        <v>45785</v>
      </c>
      <c r="G969" s="31" t="n">
        <v>13442.77</v>
      </c>
      <c r="H969" s="31" t="n">
        <v>5730.1</v>
      </c>
      <c r="I969" t="inlineStr">
        <is>
          <t>Paid</t>
        </is>
      </c>
      <c r="K969" s="29" t="n">
        <v>45804</v>
      </c>
      <c r="L969" s="33" t="n"/>
    </row>
    <row r="970">
      <c r="A970" t="inlineStr">
        <is>
          <t>CLM514706</t>
        </is>
      </c>
      <c r="B970" t="inlineStr">
        <is>
          <t>ENC114706</t>
        </is>
      </c>
      <c r="C970" t="inlineStr">
        <is>
          <t>Keystone Health Partners</t>
        </is>
      </c>
      <c r="D970" t="inlineStr">
        <is>
          <t>Inpatient</t>
        </is>
      </c>
      <c r="E970" s="29" t="n">
        <v>45783</v>
      </c>
      <c r="F970" s="29" t="n">
        <v>45785</v>
      </c>
      <c r="G970" s="31" t="n">
        <v>55729.78</v>
      </c>
      <c r="H970" s="31" t="n">
        <v>26104.06</v>
      </c>
      <c r="I970" t="inlineStr">
        <is>
          <t>Paid</t>
        </is>
      </c>
      <c r="K970" s="29" t="n">
        <v>45805</v>
      </c>
      <c r="L970" s="33" t="n"/>
    </row>
    <row r="971">
      <c r="A971" t="inlineStr">
        <is>
          <t>CLM514710</t>
        </is>
      </c>
      <c r="B971" t="inlineStr">
        <is>
          <t>ENC114710</t>
        </is>
      </c>
      <c r="C971" t="inlineStr">
        <is>
          <t>Medicare</t>
        </is>
      </c>
      <c r="D971" t="inlineStr">
        <is>
          <t>Inpatient</t>
        </is>
      </c>
      <c r="E971" s="29" t="n">
        <v>45785</v>
      </c>
      <c r="F971" s="29" t="n">
        <v>45788</v>
      </c>
      <c r="G971" s="31" t="n">
        <v>61724.07</v>
      </c>
      <c r="H971" s="31" t="n">
        <v>0</v>
      </c>
      <c r="I971" t="inlineStr">
        <is>
          <t>Denied</t>
        </is>
      </c>
      <c r="J971" t="inlineStr">
        <is>
          <t>Medical Necessity</t>
        </is>
      </c>
      <c r="L971" s="33" t="n"/>
    </row>
    <row r="972">
      <c r="A972" t="inlineStr">
        <is>
          <t>CLM514711</t>
        </is>
      </c>
      <c r="B972" t="inlineStr">
        <is>
          <t>ENC114711</t>
        </is>
      </c>
      <c r="C972" t="inlineStr">
        <is>
          <t>Medicare</t>
        </is>
      </c>
      <c r="D972" t="inlineStr">
        <is>
          <t>Outpatient</t>
        </is>
      </c>
      <c r="E972" s="29" t="n">
        <v>45779</v>
      </c>
      <c r="F972" s="29" t="n">
        <v>45782</v>
      </c>
      <c r="G972" s="31" t="n">
        <v>360.46</v>
      </c>
      <c r="H972" s="31" t="n">
        <v>111.27</v>
      </c>
      <c r="I972" t="inlineStr">
        <is>
          <t>Paid</t>
        </is>
      </c>
      <c r="K972" s="29" t="n">
        <v>45793</v>
      </c>
      <c r="L972" s="33" t="n"/>
    </row>
    <row r="973">
      <c r="A973" t="inlineStr">
        <is>
          <t>CLM514716</t>
        </is>
      </c>
      <c r="B973" t="inlineStr">
        <is>
          <t>ENC114716</t>
        </is>
      </c>
      <c r="C973" t="inlineStr">
        <is>
          <t>State Medicaid</t>
        </is>
      </c>
      <c r="D973" t="inlineStr">
        <is>
          <t>Emergency</t>
        </is>
      </c>
      <c r="E973" s="29" t="n">
        <v>45779</v>
      </c>
      <c r="F973" s="29" t="n">
        <v>45783</v>
      </c>
      <c r="G973" s="31" t="n">
        <v>1657.47</v>
      </c>
      <c r="H973" s="31" t="n">
        <v>0</v>
      </c>
      <c r="I973" t="inlineStr">
        <is>
          <t>Denied</t>
        </is>
      </c>
      <c r="J973" t="inlineStr">
        <is>
          <t>Medical Necessity</t>
        </is>
      </c>
      <c r="L973" s="33" t="n"/>
    </row>
    <row r="974">
      <c r="A974" t="inlineStr">
        <is>
          <t>CLM514717</t>
        </is>
      </c>
      <c r="B974" t="inlineStr">
        <is>
          <t>ENC114717</t>
        </is>
      </c>
      <c r="C974" t="inlineStr">
        <is>
          <t>Summit Choice PPO</t>
        </is>
      </c>
      <c r="D974" t="inlineStr">
        <is>
          <t>Observation</t>
        </is>
      </c>
      <c r="E974" s="29" t="n">
        <v>45781</v>
      </c>
      <c r="F974" s="29" t="n">
        <v>45787</v>
      </c>
      <c r="G974" s="31" t="n">
        <v>16127.55</v>
      </c>
      <c r="H974" s="31" t="n">
        <v>8058.97</v>
      </c>
      <c r="I974" t="inlineStr">
        <is>
          <t>Paid</t>
        </is>
      </c>
      <c r="K974" s="29" t="n">
        <v>45804</v>
      </c>
      <c r="L974" s="33" t="n"/>
    </row>
    <row r="975">
      <c r="A975" t="inlineStr">
        <is>
          <t>CLM514720</t>
        </is>
      </c>
      <c r="B975" t="inlineStr">
        <is>
          <t>ENC114720</t>
        </is>
      </c>
      <c r="C975" t="inlineStr">
        <is>
          <t>Medicare</t>
        </is>
      </c>
      <c r="D975" t="inlineStr">
        <is>
          <t>Inpatient</t>
        </is>
      </c>
      <c r="E975" s="29" t="n">
        <v>45783</v>
      </c>
      <c r="F975" s="29" t="n">
        <v>45785</v>
      </c>
      <c r="G975" s="31" t="n">
        <v>20737.22</v>
      </c>
      <c r="H975" s="31" t="n">
        <v>5718.35</v>
      </c>
      <c r="I975" t="inlineStr">
        <is>
          <t>Paid</t>
        </is>
      </c>
      <c r="K975" s="29" t="n">
        <v>45797</v>
      </c>
      <c r="L975" s="33" t="n"/>
    </row>
    <row r="976">
      <c r="A976" t="inlineStr">
        <is>
          <t>CLM514722</t>
        </is>
      </c>
      <c r="B976" t="inlineStr">
        <is>
          <t>ENC114722</t>
        </is>
      </c>
      <c r="C976" t="inlineStr">
        <is>
          <t>Summit Choice PPO</t>
        </is>
      </c>
      <c r="D976" t="inlineStr">
        <is>
          <t>Emergency</t>
        </is>
      </c>
      <c r="E976" s="29" t="n">
        <v>45780</v>
      </c>
      <c r="F976" s="29" t="n">
        <v>45785</v>
      </c>
      <c r="G976" s="31" t="n">
        <v>2771.25</v>
      </c>
      <c r="H976" s="31" t="n">
        <v>1393.28</v>
      </c>
      <c r="I976" t="inlineStr">
        <is>
          <t>Paid</t>
        </is>
      </c>
      <c r="K976" s="29" t="n">
        <v>45809</v>
      </c>
      <c r="L976" s="33" t="n"/>
    </row>
    <row r="977">
      <c r="A977" t="inlineStr">
        <is>
          <t>CLM514723</t>
        </is>
      </c>
      <c r="B977" t="inlineStr">
        <is>
          <t>ENC114723</t>
        </is>
      </c>
      <c r="C977" t="inlineStr">
        <is>
          <t>Summit Choice PPO</t>
        </is>
      </c>
      <c r="D977" t="inlineStr">
        <is>
          <t>Inpatient</t>
        </is>
      </c>
      <c r="E977" s="29" t="n">
        <v>45793</v>
      </c>
      <c r="F977" s="29" t="n">
        <v>45795</v>
      </c>
      <c r="G977" s="31" t="n">
        <v>24127.41</v>
      </c>
      <c r="H977" s="31" t="n">
        <v>11683.45</v>
      </c>
      <c r="I977" t="inlineStr">
        <is>
          <t>Paid</t>
        </is>
      </c>
      <c r="K977" s="29" t="n">
        <v>45817</v>
      </c>
      <c r="L977" s="33" t="n"/>
    </row>
    <row r="978">
      <c r="A978" t="inlineStr">
        <is>
          <t>CLM514736</t>
        </is>
      </c>
      <c r="B978" t="inlineStr">
        <is>
          <t>ENC114736</t>
        </is>
      </c>
      <c r="C978" t="inlineStr">
        <is>
          <t>Medicare</t>
        </is>
      </c>
      <c r="D978" t="inlineStr">
        <is>
          <t>Emergency</t>
        </is>
      </c>
      <c r="E978" s="29" t="n">
        <v>45781</v>
      </c>
      <c r="F978" s="29" t="n">
        <v>45784</v>
      </c>
      <c r="G978" s="31" t="n">
        <v>638.34</v>
      </c>
      <c r="H978" s="31" t="n">
        <v>179.94</v>
      </c>
      <c r="I978" t="inlineStr">
        <is>
          <t>Paid</t>
        </is>
      </c>
      <c r="K978" s="29" t="n">
        <v>45797</v>
      </c>
      <c r="L978" s="33" t="n"/>
    </row>
    <row r="979">
      <c r="A979" t="inlineStr">
        <is>
          <t>CLM514745</t>
        </is>
      </c>
      <c r="B979" t="inlineStr">
        <is>
          <t>ENC114745</t>
        </is>
      </c>
      <c r="C979" t="inlineStr">
        <is>
          <t>Medicare</t>
        </is>
      </c>
      <c r="D979" t="inlineStr">
        <is>
          <t>Inpatient</t>
        </is>
      </c>
      <c r="E979" s="29" t="n">
        <v>45788</v>
      </c>
      <c r="F979" s="29" t="n">
        <v>45793</v>
      </c>
      <c r="G979" s="31" t="n">
        <v>25360.94</v>
      </c>
      <c r="H979" s="31" t="n">
        <v>7785.93</v>
      </c>
      <c r="I979" t="inlineStr">
        <is>
          <t>Paid</t>
        </is>
      </c>
      <c r="K979" s="29" t="n">
        <v>45805</v>
      </c>
      <c r="L979" s="33" t="n"/>
    </row>
    <row r="980">
      <c r="A980" t="inlineStr">
        <is>
          <t>CLM514753</t>
        </is>
      </c>
      <c r="B980" t="inlineStr">
        <is>
          <t>ENC114753</t>
        </is>
      </c>
      <c r="C980" t="inlineStr">
        <is>
          <t>Medicare</t>
        </is>
      </c>
      <c r="D980" t="inlineStr">
        <is>
          <t>Emergency</t>
        </is>
      </c>
      <c r="E980" s="29" t="n">
        <v>45782</v>
      </c>
      <c r="F980" s="29" t="n">
        <v>45785</v>
      </c>
      <c r="G980" s="31" t="n">
        <v>1543.1</v>
      </c>
      <c r="H980" s="31" t="n">
        <v>433.85</v>
      </c>
      <c r="I980" t="inlineStr">
        <is>
          <t>Paid</t>
        </is>
      </c>
      <c r="K980" s="29" t="n">
        <v>45817</v>
      </c>
      <c r="L980" s="33" t="n"/>
    </row>
    <row r="981">
      <c r="A981" t="inlineStr">
        <is>
          <t>CLM514756</t>
        </is>
      </c>
      <c r="B981" t="inlineStr">
        <is>
          <t>ENC114756</t>
        </is>
      </c>
      <c r="C981" t="inlineStr">
        <is>
          <t>State Medicaid</t>
        </is>
      </c>
      <c r="D981" t="inlineStr">
        <is>
          <t>Inpatient</t>
        </is>
      </c>
      <c r="E981" s="29" t="n">
        <v>45786</v>
      </c>
      <c r="F981" s="29" t="n">
        <v>45788</v>
      </c>
      <c r="G981" s="31" t="n">
        <v>47864.66</v>
      </c>
      <c r="H981" s="31" t="n">
        <v>0</v>
      </c>
      <c r="I981" t="inlineStr">
        <is>
          <t>Denied</t>
        </is>
      </c>
      <c r="J981" t="inlineStr">
        <is>
          <t>Authorization Required</t>
        </is>
      </c>
      <c r="L981" s="33" t="n"/>
    </row>
    <row r="982">
      <c r="A982" t="inlineStr">
        <is>
          <t>CLM514759</t>
        </is>
      </c>
      <c r="B982" t="inlineStr">
        <is>
          <t>ENC114759</t>
        </is>
      </c>
      <c r="C982" t="inlineStr">
        <is>
          <t>Self-Pay</t>
        </is>
      </c>
      <c r="D982" t="inlineStr">
        <is>
          <t>Outpatient</t>
        </is>
      </c>
      <c r="E982" s="29" t="n">
        <v>45782</v>
      </c>
      <c r="F982" s="29" t="n">
        <v>45790</v>
      </c>
      <c r="G982" s="31" t="n">
        <v>444.1</v>
      </c>
      <c r="H982" s="31" t="n">
        <v>0</v>
      </c>
      <c r="I982" t="inlineStr">
        <is>
          <t>Pending</t>
        </is>
      </c>
      <c r="L982" s="33" t="n"/>
    </row>
    <row r="983">
      <c r="A983" t="inlineStr">
        <is>
          <t>CLM514765</t>
        </is>
      </c>
      <c r="B983" t="inlineStr">
        <is>
          <t>ENC114765</t>
        </is>
      </c>
      <c r="C983" t="inlineStr">
        <is>
          <t>State Medicaid</t>
        </is>
      </c>
      <c r="D983" t="inlineStr">
        <is>
          <t>Inpatient</t>
        </is>
      </c>
      <c r="E983" s="29" t="n">
        <v>45790</v>
      </c>
      <c r="F983" s="29" t="n">
        <v>45793</v>
      </c>
      <c r="G983" s="31" t="n">
        <v>51250.73</v>
      </c>
      <c r="H983" s="31" t="n">
        <v>13217.54</v>
      </c>
      <c r="I983" t="inlineStr">
        <is>
          <t>Paid</t>
        </is>
      </c>
      <c r="K983" s="29" t="n">
        <v>45820</v>
      </c>
      <c r="L983" s="33" t="n"/>
    </row>
    <row r="984">
      <c r="A984" t="inlineStr">
        <is>
          <t>CLM514766</t>
        </is>
      </c>
      <c r="B984" t="inlineStr">
        <is>
          <t>ENC114766</t>
        </is>
      </c>
      <c r="C984" t="inlineStr">
        <is>
          <t>State Medicaid</t>
        </is>
      </c>
      <c r="D984" t="inlineStr">
        <is>
          <t>Emergency</t>
        </is>
      </c>
      <c r="E984" s="29" t="n">
        <v>45782</v>
      </c>
      <c r="F984" s="29" t="n">
        <v>45784</v>
      </c>
      <c r="G984" s="31" t="n">
        <v>680.6799999999999</v>
      </c>
      <c r="H984" s="31" t="n">
        <v>148.29</v>
      </c>
      <c r="I984" t="inlineStr">
        <is>
          <t>Paid</t>
        </is>
      </c>
      <c r="K984" s="29" t="n">
        <v>45799</v>
      </c>
      <c r="L984" s="33" t="n"/>
    </row>
    <row r="985">
      <c r="A985" t="inlineStr">
        <is>
          <t>CLM514769</t>
        </is>
      </c>
      <c r="B985" t="inlineStr">
        <is>
          <t>ENC114769</t>
        </is>
      </c>
      <c r="C985" t="inlineStr">
        <is>
          <t>State Medicaid</t>
        </is>
      </c>
      <c r="D985" t="inlineStr">
        <is>
          <t>Inpatient</t>
        </is>
      </c>
      <c r="E985" s="29" t="n">
        <v>45786</v>
      </c>
      <c r="F985" s="29" t="n">
        <v>45788</v>
      </c>
      <c r="G985" s="31" t="n">
        <v>32067.43</v>
      </c>
      <c r="H985" s="31" t="n">
        <v>7711.48</v>
      </c>
      <c r="I985" t="inlineStr">
        <is>
          <t>Paid</t>
        </is>
      </c>
      <c r="K985" s="29" t="n">
        <v>45829</v>
      </c>
      <c r="L985" s="33" t="n"/>
    </row>
    <row r="986">
      <c r="A986" t="inlineStr">
        <is>
          <t>CLM514770</t>
        </is>
      </c>
      <c r="B986" t="inlineStr">
        <is>
          <t>ENC114770</t>
        </is>
      </c>
      <c r="C986" t="inlineStr">
        <is>
          <t>Evergreen Mutual Insurance</t>
        </is>
      </c>
      <c r="D986" t="inlineStr">
        <is>
          <t>Outpatient</t>
        </is>
      </c>
      <c r="E986" s="29" t="n">
        <v>45782</v>
      </c>
      <c r="F986" s="29" t="n">
        <v>45785</v>
      </c>
      <c r="G986" s="31" t="n">
        <v>368.89</v>
      </c>
      <c r="H986" s="31" t="n">
        <v>156.95</v>
      </c>
      <c r="I986" t="inlineStr">
        <is>
          <t>Paid</t>
        </is>
      </c>
      <c r="K986" s="29" t="n">
        <v>45824</v>
      </c>
      <c r="L986" s="33" t="n"/>
    </row>
    <row r="987">
      <c r="A987" t="inlineStr">
        <is>
          <t>CLM514775</t>
        </is>
      </c>
      <c r="B987" t="inlineStr">
        <is>
          <t>ENC114775</t>
        </is>
      </c>
      <c r="C987" t="inlineStr">
        <is>
          <t>Medicare</t>
        </is>
      </c>
      <c r="D987" t="inlineStr">
        <is>
          <t>Outpatient</t>
        </is>
      </c>
      <c r="E987" s="29" t="n">
        <v>45782</v>
      </c>
      <c r="F987" s="29" t="n">
        <v>45788</v>
      </c>
      <c r="G987" s="31" t="n">
        <v>164.98</v>
      </c>
      <c r="H987" s="31" t="n">
        <v>45.33</v>
      </c>
      <c r="I987" t="inlineStr">
        <is>
          <t>Paid</t>
        </is>
      </c>
      <c r="K987" s="29" t="n">
        <v>45804</v>
      </c>
      <c r="L987" s="33" t="n"/>
    </row>
    <row r="988">
      <c r="A988" t="inlineStr">
        <is>
          <t>CLM514778</t>
        </is>
      </c>
      <c r="B988" t="inlineStr">
        <is>
          <t>ENC114778</t>
        </is>
      </c>
      <c r="C988" t="inlineStr">
        <is>
          <t>Silverline Medicare Advantage</t>
        </is>
      </c>
      <c r="D988" t="inlineStr">
        <is>
          <t>Outpatient</t>
        </is>
      </c>
      <c r="E988" s="29" t="n">
        <v>45782</v>
      </c>
      <c r="F988" s="29" t="n">
        <v>45784</v>
      </c>
      <c r="G988" s="31" t="n">
        <v>410.5</v>
      </c>
      <c r="H988" s="31" t="n">
        <v>140.07</v>
      </c>
      <c r="I988" t="inlineStr">
        <is>
          <t>Paid</t>
        </is>
      </c>
      <c r="K988" s="29" t="n">
        <v>45823</v>
      </c>
      <c r="L988" s="33" t="n"/>
    </row>
    <row r="989">
      <c r="A989" t="inlineStr">
        <is>
          <t>CLM514781</t>
        </is>
      </c>
      <c r="B989" t="inlineStr">
        <is>
          <t>ENC114781</t>
        </is>
      </c>
      <c r="C989" t="inlineStr">
        <is>
          <t>State Medicaid</t>
        </is>
      </c>
      <c r="D989" t="inlineStr">
        <is>
          <t>Outpatient</t>
        </is>
      </c>
      <c r="E989" s="29" t="n">
        <v>45782</v>
      </c>
      <c r="F989" s="29" t="n">
        <v>45789</v>
      </c>
      <c r="G989" s="31" t="n">
        <v>347.97</v>
      </c>
      <c r="H989" s="31" t="n">
        <v>93.81</v>
      </c>
      <c r="I989" t="inlineStr">
        <is>
          <t>Paid</t>
        </is>
      </c>
      <c r="K989" s="29" t="n">
        <v>45809</v>
      </c>
      <c r="L989" s="33" t="n"/>
    </row>
    <row r="990">
      <c r="A990" t="inlineStr">
        <is>
          <t>CLM514789</t>
        </is>
      </c>
      <c r="B990" t="inlineStr">
        <is>
          <t>ENC114789</t>
        </is>
      </c>
      <c r="C990" t="inlineStr">
        <is>
          <t>Keystone Health Partners</t>
        </is>
      </c>
      <c r="D990" t="inlineStr">
        <is>
          <t>Emergency</t>
        </is>
      </c>
      <c r="E990" s="29" t="n">
        <v>45782</v>
      </c>
      <c r="F990" s="29" t="n">
        <v>45785</v>
      </c>
      <c r="G990" s="31" t="n">
        <v>2186.25</v>
      </c>
      <c r="H990" s="31" t="n">
        <v>1092.8</v>
      </c>
      <c r="I990" t="inlineStr">
        <is>
          <t>Paid</t>
        </is>
      </c>
      <c r="K990" s="29" t="n">
        <v>45809</v>
      </c>
      <c r="L990" s="33" t="n"/>
    </row>
    <row r="991">
      <c r="A991" t="inlineStr">
        <is>
          <t>CLM514798</t>
        </is>
      </c>
      <c r="B991" t="inlineStr">
        <is>
          <t>ENC114798</t>
        </is>
      </c>
      <c r="C991" t="inlineStr">
        <is>
          <t>State Medicaid</t>
        </is>
      </c>
      <c r="D991" t="inlineStr">
        <is>
          <t>Emergency</t>
        </is>
      </c>
      <c r="E991" s="29" t="n">
        <v>45783</v>
      </c>
      <c r="F991" s="29" t="n">
        <v>45785</v>
      </c>
      <c r="G991" s="31" t="n">
        <v>1536.08</v>
      </c>
      <c r="H991" s="31" t="n">
        <v>374.75</v>
      </c>
      <c r="I991" t="inlineStr">
        <is>
          <t>Paid</t>
        </is>
      </c>
      <c r="K991" s="29" t="n">
        <v>45812</v>
      </c>
      <c r="L991" s="33" t="n"/>
    </row>
    <row r="992">
      <c r="A992" t="inlineStr">
        <is>
          <t>CLM514800</t>
        </is>
      </c>
      <c r="B992" t="inlineStr">
        <is>
          <t>ENC114800</t>
        </is>
      </c>
      <c r="C992" t="inlineStr">
        <is>
          <t>Silverline Medicare Advantage</t>
        </is>
      </c>
      <c r="D992" t="inlineStr">
        <is>
          <t>Inpatient</t>
        </is>
      </c>
      <c r="E992" s="29" t="n">
        <v>45789</v>
      </c>
      <c r="F992" s="29" t="n">
        <v>45804</v>
      </c>
      <c r="G992" s="31" t="n">
        <v>29706.23</v>
      </c>
      <c r="H992" s="31" t="n">
        <v>8231.799999999999</v>
      </c>
      <c r="I992" t="inlineStr">
        <is>
          <t>Paid</t>
        </is>
      </c>
      <c r="K992" s="29" t="n">
        <v>45829</v>
      </c>
      <c r="L992" s="33" t="n"/>
    </row>
    <row r="993">
      <c r="A993" t="inlineStr">
        <is>
          <t>CLM514808</t>
        </is>
      </c>
      <c r="B993" t="inlineStr">
        <is>
          <t>ENC114808</t>
        </is>
      </c>
      <c r="C993" t="inlineStr">
        <is>
          <t>Summit Choice PPO</t>
        </is>
      </c>
      <c r="D993" t="inlineStr">
        <is>
          <t>Outpatient</t>
        </is>
      </c>
      <c r="E993" s="29" t="n">
        <v>45783</v>
      </c>
      <c r="F993" s="29" t="n">
        <v>45788</v>
      </c>
      <c r="G993" s="31" t="n">
        <v>12314.85</v>
      </c>
      <c r="H993" s="31" t="n">
        <v>6277</v>
      </c>
      <c r="I993" t="inlineStr">
        <is>
          <t>Paid</t>
        </is>
      </c>
      <c r="K993" s="29" t="n">
        <v>45808</v>
      </c>
      <c r="L993" s="33" t="n"/>
    </row>
    <row r="994">
      <c r="A994" t="inlineStr">
        <is>
          <t>CLM514809</t>
        </is>
      </c>
      <c r="B994" t="inlineStr">
        <is>
          <t>ENC114809</t>
        </is>
      </c>
      <c r="C994" t="inlineStr">
        <is>
          <t>State Medicaid</t>
        </is>
      </c>
      <c r="D994" t="inlineStr">
        <is>
          <t>Emergency</t>
        </is>
      </c>
      <c r="E994" s="29" t="n">
        <v>45783</v>
      </c>
      <c r="F994" s="29" t="n">
        <v>45887</v>
      </c>
      <c r="G994" s="31" t="n">
        <v>2658.45</v>
      </c>
      <c r="H994" s="31" t="n">
        <v>498.53</v>
      </c>
      <c r="I994" t="inlineStr">
        <is>
          <t>Partially Paid</t>
        </is>
      </c>
      <c r="J994" t="inlineStr">
        <is>
          <t>Coding Error</t>
        </is>
      </c>
      <c r="K994" s="29" t="n">
        <v>45911</v>
      </c>
      <c r="L994" s="33" t="n"/>
    </row>
    <row r="995">
      <c r="A995" t="inlineStr">
        <is>
          <t>CLM514816</t>
        </is>
      </c>
      <c r="B995" t="inlineStr">
        <is>
          <t>ENC114816</t>
        </is>
      </c>
      <c r="C995" t="inlineStr">
        <is>
          <t>Self-Pay</t>
        </is>
      </c>
      <c r="D995" t="inlineStr">
        <is>
          <t>Outpatient</t>
        </is>
      </c>
      <c r="E995" s="29" t="n">
        <v>45783</v>
      </c>
      <c r="F995" s="29" t="n">
        <v>45787</v>
      </c>
      <c r="G995" s="31" t="n">
        <v>315.52</v>
      </c>
      <c r="H995" s="31" t="n">
        <v>0</v>
      </c>
      <c r="I995" t="inlineStr">
        <is>
          <t>Pending</t>
        </is>
      </c>
      <c r="L995" s="33" t="n"/>
    </row>
    <row r="996">
      <c r="A996" t="inlineStr">
        <is>
          <t>CLM514819</t>
        </is>
      </c>
      <c r="B996" t="inlineStr">
        <is>
          <t>ENC114819</t>
        </is>
      </c>
      <c r="C996" t="inlineStr">
        <is>
          <t>Keystone Health Partners</t>
        </is>
      </c>
      <c r="D996" t="inlineStr">
        <is>
          <t>Outpatient</t>
        </is>
      </c>
      <c r="E996" s="29" t="n">
        <v>45783</v>
      </c>
      <c r="F996" s="29" t="n">
        <v>45784</v>
      </c>
      <c r="G996" s="31" t="n">
        <v>454.53</v>
      </c>
      <c r="H996" s="31" t="n">
        <v>200.55</v>
      </c>
      <c r="I996" t="inlineStr">
        <is>
          <t>Paid</t>
        </is>
      </c>
      <c r="K996" s="29" t="n">
        <v>45803</v>
      </c>
      <c r="L996" s="33" t="n"/>
    </row>
    <row r="997">
      <c r="A997" t="inlineStr">
        <is>
          <t>CLM514823</t>
        </is>
      </c>
      <c r="B997" t="inlineStr">
        <is>
          <t>ENC114823</t>
        </is>
      </c>
      <c r="C997" t="inlineStr">
        <is>
          <t>Evergreen Mutual Insurance</t>
        </is>
      </c>
      <c r="D997" t="inlineStr">
        <is>
          <t>Emergency</t>
        </is>
      </c>
      <c r="E997" s="29" t="n">
        <v>45783</v>
      </c>
      <c r="F997" s="29" t="n">
        <v>45791</v>
      </c>
      <c r="G997" s="31" t="n">
        <v>1202.42</v>
      </c>
      <c r="H997" s="31" t="n">
        <v>570.89</v>
      </c>
      <c r="I997" t="inlineStr">
        <is>
          <t>Paid</t>
        </is>
      </c>
      <c r="K997" s="29" t="n">
        <v>45837</v>
      </c>
      <c r="L997" s="33" t="n"/>
    </row>
    <row r="998">
      <c r="A998" t="inlineStr">
        <is>
          <t>CLM514825</t>
        </is>
      </c>
      <c r="B998" t="inlineStr">
        <is>
          <t>ENC114825</t>
        </is>
      </c>
      <c r="C998" t="inlineStr">
        <is>
          <t>Evergreen Mutual Insurance</t>
        </is>
      </c>
      <c r="D998" t="inlineStr">
        <is>
          <t>Outpatient</t>
        </is>
      </c>
      <c r="E998" s="29" t="n">
        <v>45783</v>
      </c>
      <c r="F998" s="29" t="n">
        <v>45790</v>
      </c>
      <c r="G998" s="31" t="n">
        <v>215.18</v>
      </c>
      <c r="H998" s="31" t="n">
        <v>97.73</v>
      </c>
      <c r="I998" t="inlineStr">
        <is>
          <t>Paid</t>
        </is>
      </c>
      <c r="K998" s="29" t="n">
        <v>45819</v>
      </c>
      <c r="L998" s="33" t="n"/>
    </row>
    <row r="999">
      <c r="A999" t="inlineStr">
        <is>
          <t>CLM514828</t>
        </is>
      </c>
      <c r="B999" t="inlineStr">
        <is>
          <t>ENC114828</t>
        </is>
      </c>
      <c r="C999" t="inlineStr">
        <is>
          <t>Silverline Medicare Advantage</t>
        </is>
      </c>
      <c r="D999" t="inlineStr">
        <is>
          <t>Outpatient</t>
        </is>
      </c>
      <c r="E999" s="29" t="n">
        <v>45783</v>
      </c>
      <c r="F999" s="29" t="n">
        <v>45785</v>
      </c>
      <c r="G999" s="31" t="n">
        <v>280.18</v>
      </c>
      <c r="H999" s="31" t="n">
        <v>86.44</v>
      </c>
      <c r="I999" t="inlineStr">
        <is>
          <t>Paid</t>
        </is>
      </c>
      <c r="K999" s="29" t="n">
        <v>45808</v>
      </c>
      <c r="L999" s="33" t="n"/>
    </row>
    <row r="1000">
      <c r="A1000" t="inlineStr">
        <is>
          <t>CLM514832</t>
        </is>
      </c>
      <c r="B1000" t="inlineStr">
        <is>
          <t>ENC114832</t>
        </is>
      </c>
      <c r="C1000" t="inlineStr">
        <is>
          <t>Medicare</t>
        </is>
      </c>
      <c r="D1000" t="inlineStr">
        <is>
          <t>Outpatient</t>
        </is>
      </c>
      <c r="E1000" s="29" t="n">
        <v>45783</v>
      </c>
      <c r="F1000" s="29" t="n">
        <v>45790</v>
      </c>
      <c r="G1000" s="31" t="n">
        <v>286.09</v>
      </c>
      <c r="H1000" s="31" t="n">
        <v>72.70999999999999</v>
      </c>
      <c r="I1000" t="inlineStr">
        <is>
          <t>Paid</t>
        </is>
      </c>
      <c r="K1000" s="29" t="n">
        <v>45799</v>
      </c>
      <c r="L1000" s="33" t="n"/>
    </row>
    <row r="1001">
      <c r="A1001" t="inlineStr">
        <is>
          <t>CLM514842</t>
        </is>
      </c>
      <c r="B1001" t="inlineStr">
        <is>
          <t>ENC114842</t>
        </is>
      </c>
      <c r="C1001" t="inlineStr">
        <is>
          <t>Summit Choice PPO</t>
        </is>
      </c>
      <c r="D1001" t="inlineStr">
        <is>
          <t>Inpatient</t>
        </is>
      </c>
      <c r="E1001" s="29" t="n">
        <v>45791</v>
      </c>
      <c r="F1001" s="29" t="n">
        <v>45799</v>
      </c>
      <c r="G1001" s="31" t="n">
        <v>29580.37</v>
      </c>
      <c r="H1001" s="31" t="n">
        <v>12722.76</v>
      </c>
      <c r="I1001" t="inlineStr">
        <is>
          <t>Paid</t>
        </is>
      </c>
      <c r="K1001" s="29" t="n">
        <v>45831</v>
      </c>
      <c r="L1001" s="33" t="n"/>
    </row>
    <row r="1002">
      <c r="A1002" t="inlineStr">
        <is>
          <t>CLM514846</t>
        </is>
      </c>
      <c r="B1002" t="inlineStr">
        <is>
          <t>ENC114846</t>
        </is>
      </c>
      <c r="C1002" t="inlineStr">
        <is>
          <t>Medicare</t>
        </is>
      </c>
      <c r="D1002" t="inlineStr">
        <is>
          <t>Outpatient</t>
        </is>
      </c>
      <c r="E1002" s="29" t="n">
        <v>45784</v>
      </c>
      <c r="F1002" s="29" t="n">
        <v>45787</v>
      </c>
      <c r="G1002" s="31" t="n">
        <v>173.98</v>
      </c>
      <c r="H1002" s="31" t="n">
        <v>44.98</v>
      </c>
      <c r="I1002" t="inlineStr">
        <is>
          <t>Paid</t>
        </is>
      </c>
      <c r="K1002" s="29" t="n">
        <v>45798</v>
      </c>
      <c r="L1002" s="33" t="n"/>
    </row>
    <row r="1003">
      <c r="A1003" t="inlineStr">
        <is>
          <t>CLM514854</t>
        </is>
      </c>
      <c r="B1003" t="inlineStr">
        <is>
          <t>ENC114854</t>
        </is>
      </c>
      <c r="C1003" t="inlineStr">
        <is>
          <t>Evergreen Mutual Insurance</t>
        </is>
      </c>
      <c r="D1003" t="inlineStr">
        <is>
          <t>Outpatient</t>
        </is>
      </c>
      <c r="E1003" s="29" t="n">
        <v>45784</v>
      </c>
      <c r="F1003" s="29" t="n">
        <v>45788</v>
      </c>
      <c r="G1003" s="31" t="n">
        <v>397.48</v>
      </c>
      <c r="H1003" s="31" t="n">
        <v>0</v>
      </c>
      <c r="I1003" t="inlineStr">
        <is>
          <t>Denied</t>
        </is>
      </c>
      <c r="J1003" t="inlineStr">
        <is>
          <t>Eligibility / Coverage</t>
        </is>
      </c>
      <c r="L1003" s="33" t="n"/>
    </row>
    <row r="1004">
      <c r="A1004" t="inlineStr">
        <is>
          <t>CLM514859</t>
        </is>
      </c>
      <c r="B1004" t="inlineStr">
        <is>
          <t>ENC114859</t>
        </is>
      </c>
      <c r="C1004" t="inlineStr">
        <is>
          <t>Self-Pay</t>
        </is>
      </c>
      <c r="D1004" t="inlineStr">
        <is>
          <t>Emergency</t>
        </is>
      </c>
      <c r="E1004" s="29" t="n">
        <v>45784</v>
      </c>
      <c r="F1004" s="29" t="n">
        <v>45787</v>
      </c>
      <c r="G1004" s="31" t="n">
        <v>1082.2</v>
      </c>
      <c r="H1004" s="31" t="n">
        <v>440.75</v>
      </c>
      <c r="I1004" t="inlineStr">
        <is>
          <t>Paid</t>
        </is>
      </c>
      <c r="K1004" s="29" t="n">
        <v>45847</v>
      </c>
      <c r="L1004" s="33" t="n"/>
    </row>
    <row r="1005">
      <c r="A1005" t="inlineStr">
        <is>
          <t>CLM514871</t>
        </is>
      </c>
      <c r="B1005" t="inlineStr">
        <is>
          <t>ENC114871</t>
        </is>
      </c>
      <c r="C1005" t="inlineStr">
        <is>
          <t>Silverline Medicare Advantage</t>
        </is>
      </c>
      <c r="D1005" t="inlineStr">
        <is>
          <t>Outpatient</t>
        </is>
      </c>
      <c r="E1005" s="29" t="n">
        <v>45785</v>
      </c>
      <c r="F1005" s="29" t="n">
        <v>45791</v>
      </c>
      <c r="G1005" s="31" t="n">
        <v>367.66</v>
      </c>
      <c r="H1005" s="31" t="n">
        <v>56.08</v>
      </c>
      <c r="I1005" t="inlineStr">
        <is>
          <t>Partially Paid</t>
        </is>
      </c>
      <c r="J1005" t="inlineStr">
        <is>
          <t>Missing Documentation</t>
        </is>
      </c>
      <c r="K1005" s="29" t="n">
        <v>45819</v>
      </c>
      <c r="L1005" s="33" t="n"/>
    </row>
    <row r="1006">
      <c r="A1006" t="inlineStr">
        <is>
          <t>CLM514872</t>
        </is>
      </c>
      <c r="B1006" t="inlineStr">
        <is>
          <t>ENC114872</t>
        </is>
      </c>
      <c r="C1006" t="inlineStr">
        <is>
          <t>State Medicaid</t>
        </is>
      </c>
      <c r="D1006" t="inlineStr">
        <is>
          <t>Inpatient</t>
        </is>
      </c>
      <c r="E1006" s="29" t="n">
        <v>45787</v>
      </c>
      <c r="F1006" s="29" t="n">
        <v>45790</v>
      </c>
      <c r="G1006" s="31" t="n">
        <v>21054.18</v>
      </c>
      <c r="H1006" s="31" t="n">
        <v>4790.63</v>
      </c>
      <c r="I1006" t="inlineStr">
        <is>
          <t>Paid</t>
        </is>
      </c>
      <c r="K1006" s="29" t="n">
        <v>45828</v>
      </c>
      <c r="L1006" s="33" t="n"/>
    </row>
    <row r="1007">
      <c r="A1007" t="inlineStr">
        <is>
          <t>CLM514875</t>
        </is>
      </c>
      <c r="B1007" t="inlineStr">
        <is>
          <t>ENC114875</t>
        </is>
      </c>
      <c r="C1007" t="inlineStr">
        <is>
          <t>Silverline Medicare Advantage</t>
        </is>
      </c>
      <c r="D1007" t="inlineStr">
        <is>
          <t>Inpatient</t>
        </is>
      </c>
      <c r="E1007" s="29" t="n">
        <v>45788</v>
      </c>
      <c r="F1007" s="29" t="n">
        <v>45800</v>
      </c>
      <c r="G1007" s="31" t="n">
        <v>31657.46</v>
      </c>
      <c r="H1007" s="31" t="n">
        <v>9418.950000000001</v>
      </c>
      <c r="I1007" t="inlineStr">
        <is>
          <t>Paid</t>
        </is>
      </c>
      <c r="K1007" s="29" t="n">
        <v>45818</v>
      </c>
      <c r="L1007" s="33" t="n"/>
    </row>
    <row r="1008">
      <c r="A1008" t="inlineStr">
        <is>
          <t>CLM514876</t>
        </is>
      </c>
      <c r="B1008" t="inlineStr">
        <is>
          <t>ENC114876</t>
        </is>
      </c>
      <c r="C1008" t="inlineStr">
        <is>
          <t>Medicare</t>
        </is>
      </c>
      <c r="D1008" t="inlineStr">
        <is>
          <t>Inpatient</t>
        </is>
      </c>
      <c r="E1008" s="29" t="n">
        <v>45787</v>
      </c>
      <c r="F1008" s="29" t="n">
        <v>45789</v>
      </c>
      <c r="G1008" s="31" t="n">
        <v>8299.129999999999</v>
      </c>
      <c r="H1008" s="31" t="n">
        <v>1889.86</v>
      </c>
      <c r="I1008" t="inlineStr">
        <is>
          <t>Paid</t>
        </is>
      </c>
      <c r="K1008" s="29" t="n">
        <v>45803</v>
      </c>
      <c r="L1008" s="33" t="n"/>
    </row>
    <row r="1009">
      <c r="A1009" t="inlineStr">
        <is>
          <t>CLM514880</t>
        </is>
      </c>
      <c r="B1009" t="inlineStr">
        <is>
          <t>ENC114880</t>
        </is>
      </c>
      <c r="C1009" t="inlineStr">
        <is>
          <t>Keystone Health Partners</t>
        </is>
      </c>
      <c r="D1009" t="inlineStr">
        <is>
          <t>Outpatient</t>
        </is>
      </c>
      <c r="E1009" s="29" t="n">
        <v>45785</v>
      </c>
      <c r="F1009" s="29" t="n">
        <v>45789</v>
      </c>
      <c r="G1009" s="31" t="n">
        <v>18850.81</v>
      </c>
      <c r="H1009" s="31" t="n">
        <v>9169.540000000001</v>
      </c>
      <c r="I1009" t="inlineStr">
        <is>
          <t>Paid</t>
        </is>
      </c>
      <c r="K1009" s="29" t="n">
        <v>45816</v>
      </c>
      <c r="L1009" s="33" t="n"/>
    </row>
    <row r="1010">
      <c r="A1010" t="inlineStr">
        <is>
          <t>CLM514885</t>
        </is>
      </c>
      <c r="B1010" t="inlineStr">
        <is>
          <t>ENC114885</t>
        </is>
      </c>
      <c r="C1010" t="inlineStr">
        <is>
          <t>State Medicaid</t>
        </is>
      </c>
      <c r="D1010" t="inlineStr">
        <is>
          <t>Outpatient</t>
        </is>
      </c>
      <c r="E1010" s="29" t="n">
        <v>45785</v>
      </c>
      <c r="F1010" s="29" t="n">
        <v>45795</v>
      </c>
      <c r="G1010" s="31" t="n">
        <v>314.14</v>
      </c>
      <c r="H1010" s="31" t="n">
        <v>73.81</v>
      </c>
      <c r="I1010" t="inlineStr">
        <is>
          <t>Paid</t>
        </is>
      </c>
      <c r="K1010" s="29" t="n">
        <v>45827</v>
      </c>
      <c r="L1010" s="33" t="n"/>
    </row>
    <row r="1011">
      <c r="A1011" t="inlineStr">
        <is>
          <t>CLM514887</t>
        </is>
      </c>
      <c r="B1011" t="inlineStr">
        <is>
          <t>ENC114887</t>
        </is>
      </c>
      <c r="C1011" t="inlineStr">
        <is>
          <t>Medicare</t>
        </is>
      </c>
      <c r="D1011" t="inlineStr">
        <is>
          <t>Emergency</t>
        </is>
      </c>
      <c r="E1011" s="29" t="n">
        <v>45785</v>
      </c>
      <c r="F1011" s="29" t="n">
        <v>45790</v>
      </c>
      <c r="G1011" s="31" t="n">
        <v>2925.31</v>
      </c>
      <c r="H1011" s="31" t="n">
        <v>861.73</v>
      </c>
      <c r="I1011" t="inlineStr">
        <is>
          <t>Paid</t>
        </is>
      </c>
      <c r="K1011" s="29" t="n">
        <v>45807</v>
      </c>
      <c r="L1011" s="33" t="n"/>
    </row>
    <row r="1012">
      <c r="A1012" t="inlineStr">
        <is>
          <t>CLM514895</t>
        </is>
      </c>
      <c r="B1012" t="inlineStr">
        <is>
          <t>ENC114895</t>
        </is>
      </c>
      <c r="C1012" t="inlineStr">
        <is>
          <t>State Medicaid</t>
        </is>
      </c>
      <c r="D1012" t="inlineStr">
        <is>
          <t>Emergency</t>
        </is>
      </c>
      <c r="E1012" s="29" t="n">
        <v>45785</v>
      </c>
      <c r="F1012" s="29" t="n">
        <v>45787</v>
      </c>
      <c r="G1012" s="31" t="n">
        <v>7711.12</v>
      </c>
      <c r="H1012" s="31" t="n">
        <v>1709.32</v>
      </c>
      <c r="I1012" t="inlineStr">
        <is>
          <t>Paid</t>
        </is>
      </c>
      <c r="K1012" s="29" t="n">
        <v>45828</v>
      </c>
      <c r="L1012" s="33" t="n"/>
    </row>
    <row r="1013">
      <c r="A1013" t="inlineStr">
        <is>
          <t>CLM514897</t>
        </is>
      </c>
      <c r="B1013" t="inlineStr">
        <is>
          <t>ENC114897</t>
        </is>
      </c>
      <c r="C1013" t="inlineStr">
        <is>
          <t>Keystone Health Partners</t>
        </is>
      </c>
      <c r="D1013" t="inlineStr">
        <is>
          <t>Emergency</t>
        </is>
      </c>
      <c r="E1013" s="29" t="n">
        <v>45785</v>
      </c>
      <c r="F1013" s="29" t="n">
        <v>45787</v>
      </c>
      <c r="G1013" s="31" t="n">
        <v>4639.36</v>
      </c>
      <c r="H1013" s="31" t="n">
        <v>2149.47</v>
      </c>
      <c r="I1013" t="inlineStr">
        <is>
          <t>Paid</t>
        </is>
      </c>
      <c r="K1013" s="29" t="n">
        <v>45815</v>
      </c>
      <c r="L1013" s="33" t="n"/>
    </row>
    <row r="1014">
      <c r="A1014" t="inlineStr">
        <is>
          <t>CLM514898</t>
        </is>
      </c>
      <c r="B1014" t="inlineStr">
        <is>
          <t>ENC114898</t>
        </is>
      </c>
      <c r="C1014" t="inlineStr">
        <is>
          <t>Summit Choice PPO</t>
        </is>
      </c>
      <c r="D1014" t="inlineStr">
        <is>
          <t>Inpatient</t>
        </is>
      </c>
      <c r="E1014" s="29" t="n">
        <v>45795</v>
      </c>
      <c r="F1014" s="29" t="n">
        <v>45796</v>
      </c>
      <c r="G1014" s="31" t="n">
        <v>41775.86</v>
      </c>
      <c r="H1014" s="31" t="n">
        <v>19608.16</v>
      </c>
      <c r="I1014" t="inlineStr">
        <is>
          <t>Paid</t>
        </is>
      </c>
      <c r="K1014" s="29" t="n">
        <v>45817</v>
      </c>
      <c r="L1014" s="33" t="n"/>
    </row>
    <row r="1015">
      <c r="A1015" t="inlineStr">
        <is>
          <t>CLM514899</t>
        </is>
      </c>
      <c r="B1015" t="inlineStr">
        <is>
          <t>ENC114899</t>
        </is>
      </c>
      <c r="C1015" t="inlineStr">
        <is>
          <t>Silverline Medicare Advantage</t>
        </is>
      </c>
      <c r="D1015" t="inlineStr">
        <is>
          <t>Observation</t>
        </is>
      </c>
      <c r="E1015" s="29" t="n">
        <v>45787</v>
      </c>
      <c r="F1015" s="29" t="n">
        <v>45793</v>
      </c>
      <c r="G1015" s="31" t="n">
        <v>9821.620000000001</v>
      </c>
      <c r="H1015" s="31" t="n">
        <v>3276.96</v>
      </c>
      <c r="I1015" t="inlineStr">
        <is>
          <t>Paid</t>
        </is>
      </c>
      <c r="K1015" s="29" t="n">
        <v>45816</v>
      </c>
      <c r="L1015" s="33" t="n"/>
    </row>
    <row r="1016">
      <c r="A1016" t="inlineStr">
        <is>
          <t>CLM514900</t>
        </is>
      </c>
      <c r="B1016" t="inlineStr">
        <is>
          <t>ENC114900</t>
        </is>
      </c>
      <c r="C1016" t="inlineStr">
        <is>
          <t>Medicare</t>
        </is>
      </c>
      <c r="D1016" t="inlineStr">
        <is>
          <t>Emergency</t>
        </is>
      </c>
      <c r="E1016" s="29" t="n">
        <v>45786</v>
      </c>
      <c r="F1016" s="29" t="n">
        <v>45788</v>
      </c>
      <c r="G1016" s="31" t="n">
        <v>3747.69</v>
      </c>
      <c r="H1016" s="31" t="n">
        <v>1050.66</v>
      </c>
      <c r="I1016" t="inlineStr">
        <is>
          <t>Paid</t>
        </is>
      </c>
      <c r="K1016" s="29" t="n">
        <v>45795</v>
      </c>
      <c r="L1016" s="33" t="n"/>
    </row>
    <row r="1017">
      <c r="A1017" t="inlineStr">
        <is>
          <t>CLM514901</t>
        </is>
      </c>
      <c r="B1017" t="inlineStr">
        <is>
          <t>ENC114901</t>
        </is>
      </c>
      <c r="C1017" t="inlineStr">
        <is>
          <t>Self-Pay</t>
        </is>
      </c>
      <c r="D1017" t="inlineStr">
        <is>
          <t>Inpatient</t>
        </is>
      </c>
      <c r="E1017" s="29" t="n">
        <v>45794</v>
      </c>
      <c r="F1017" s="29" t="n">
        <v>45798</v>
      </c>
      <c r="G1017" s="31" t="n">
        <v>25992.82</v>
      </c>
      <c r="H1017" s="31" t="n">
        <v>12498.04</v>
      </c>
      <c r="I1017" t="inlineStr">
        <is>
          <t>Paid</t>
        </is>
      </c>
      <c r="K1017" s="29" t="n">
        <v>45841</v>
      </c>
      <c r="L1017" s="33" t="n"/>
    </row>
    <row r="1018">
      <c r="A1018" t="inlineStr">
        <is>
          <t>CLM514909</t>
        </is>
      </c>
      <c r="B1018" t="inlineStr">
        <is>
          <t>ENC114909</t>
        </is>
      </c>
      <c r="C1018" t="inlineStr">
        <is>
          <t>State Medicaid</t>
        </is>
      </c>
      <c r="D1018" t="inlineStr">
        <is>
          <t>Outpatient</t>
        </is>
      </c>
      <c r="E1018" s="29" t="n">
        <v>45786</v>
      </c>
      <c r="F1018" s="29" t="n">
        <v>45792</v>
      </c>
      <c r="G1018" s="31" t="n">
        <v>424.13</v>
      </c>
      <c r="H1018" s="31" t="n">
        <v>98.94</v>
      </c>
      <c r="I1018" t="inlineStr">
        <is>
          <t>Paid</t>
        </is>
      </c>
      <c r="K1018" s="29" t="n">
        <v>45813</v>
      </c>
      <c r="L1018" s="33" t="n"/>
    </row>
    <row r="1019">
      <c r="A1019" t="inlineStr">
        <is>
          <t>CLM514912</t>
        </is>
      </c>
      <c r="B1019" t="inlineStr">
        <is>
          <t>ENC114912</t>
        </is>
      </c>
      <c r="C1019" t="inlineStr">
        <is>
          <t>Keystone Health Partners</t>
        </is>
      </c>
      <c r="D1019" t="inlineStr">
        <is>
          <t>Inpatient</t>
        </is>
      </c>
      <c r="E1019" s="29" t="n">
        <v>45793</v>
      </c>
      <c r="F1019" s="29" t="n">
        <v>45798</v>
      </c>
      <c r="G1019" s="31" t="n">
        <v>113305.51</v>
      </c>
      <c r="H1019" s="31" t="n">
        <v>51505.2</v>
      </c>
      <c r="I1019" t="inlineStr">
        <is>
          <t>Paid</t>
        </is>
      </c>
      <c r="K1019" s="29" t="n">
        <v>45844</v>
      </c>
      <c r="L1019" s="33" t="n"/>
    </row>
    <row r="1020">
      <c r="A1020" t="inlineStr">
        <is>
          <t>CLM514913</t>
        </is>
      </c>
      <c r="B1020" t="inlineStr">
        <is>
          <t>ENC114913</t>
        </is>
      </c>
      <c r="C1020" t="inlineStr">
        <is>
          <t>Keystone Health Partners</t>
        </is>
      </c>
      <c r="D1020" t="inlineStr">
        <is>
          <t>Inpatient</t>
        </is>
      </c>
      <c r="E1020" s="29" t="n">
        <v>45793</v>
      </c>
      <c r="F1020" s="29" t="n">
        <v>45804</v>
      </c>
      <c r="G1020" s="31" t="n">
        <v>48753.42</v>
      </c>
      <c r="H1020" s="31" t="n">
        <v>22563.96</v>
      </c>
      <c r="I1020" t="inlineStr">
        <is>
          <t>Paid</t>
        </is>
      </c>
      <c r="K1020" s="29" t="n">
        <v>45835</v>
      </c>
      <c r="L1020" s="33" t="n"/>
    </row>
    <row r="1021">
      <c r="A1021" t="inlineStr">
        <is>
          <t>CLM514914</t>
        </is>
      </c>
      <c r="B1021" t="inlineStr">
        <is>
          <t>ENC114914</t>
        </is>
      </c>
      <c r="C1021" t="inlineStr">
        <is>
          <t>Evergreen Mutual Insurance</t>
        </is>
      </c>
      <c r="D1021" t="inlineStr">
        <is>
          <t>Emergency</t>
        </is>
      </c>
      <c r="E1021" s="29" t="n">
        <v>45786</v>
      </c>
      <c r="F1021" s="29" t="n">
        <v>45788</v>
      </c>
      <c r="G1021" s="31" t="n">
        <v>5113.99</v>
      </c>
      <c r="H1021" s="31" t="n">
        <v>1792.31</v>
      </c>
      <c r="I1021" t="inlineStr">
        <is>
          <t>Paid</t>
        </is>
      </c>
      <c r="K1021" s="29" t="n">
        <v>45821</v>
      </c>
      <c r="L1021" s="33" t="n"/>
    </row>
    <row r="1022">
      <c r="A1022" t="inlineStr">
        <is>
          <t>CLM514916</t>
        </is>
      </c>
      <c r="B1022" t="inlineStr">
        <is>
          <t>ENC114916</t>
        </is>
      </c>
      <c r="C1022" t="inlineStr">
        <is>
          <t>State Medicaid</t>
        </is>
      </c>
      <c r="D1022" t="inlineStr">
        <is>
          <t>Outpatient</t>
        </is>
      </c>
      <c r="E1022" s="29" t="n">
        <v>45786</v>
      </c>
      <c r="F1022" s="29" t="n">
        <v>45790</v>
      </c>
      <c r="G1022" s="31" t="n">
        <v>11670.68</v>
      </c>
      <c r="H1022" s="31" t="n">
        <v>0</v>
      </c>
      <c r="I1022" t="inlineStr">
        <is>
          <t>Denied</t>
        </is>
      </c>
      <c r="J1022" t="inlineStr">
        <is>
          <t>Medical Necessity</t>
        </is>
      </c>
      <c r="L1022" s="33" t="n"/>
    </row>
    <row r="1023">
      <c r="A1023" t="inlineStr">
        <is>
          <t>CLM514918</t>
        </is>
      </c>
      <c r="B1023" t="inlineStr">
        <is>
          <t>ENC114918</t>
        </is>
      </c>
      <c r="C1023" t="inlineStr">
        <is>
          <t>Medicare</t>
        </is>
      </c>
      <c r="D1023" t="inlineStr">
        <is>
          <t>Outpatient</t>
        </is>
      </c>
      <c r="E1023" s="29" t="n">
        <v>45786</v>
      </c>
      <c r="F1023" s="29" t="n">
        <v>45791</v>
      </c>
      <c r="G1023" s="31" t="n">
        <v>213.29</v>
      </c>
      <c r="H1023" s="31" t="n">
        <v>57.02</v>
      </c>
      <c r="I1023" t="inlineStr">
        <is>
          <t>Paid</t>
        </is>
      </c>
      <c r="K1023" s="29" t="n">
        <v>45800</v>
      </c>
      <c r="L1023" s="33" t="n"/>
    </row>
    <row r="1024">
      <c r="A1024" t="inlineStr">
        <is>
          <t>CLM514919</t>
        </is>
      </c>
      <c r="B1024" t="inlineStr">
        <is>
          <t>ENC114919</t>
        </is>
      </c>
      <c r="C1024" t="inlineStr">
        <is>
          <t>Evergreen Mutual Insurance</t>
        </is>
      </c>
      <c r="D1024" t="inlineStr">
        <is>
          <t>Outpatient</t>
        </is>
      </c>
      <c r="E1024" s="29" t="n">
        <v>45786</v>
      </c>
      <c r="F1024" s="29" t="n">
        <v>45788</v>
      </c>
      <c r="G1024" s="31" t="n">
        <v>338.96</v>
      </c>
      <c r="H1024" s="31" t="n">
        <v>147.71</v>
      </c>
      <c r="I1024" t="inlineStr">
        <is>
          <t>Paid</t>
        </is>
      </c>
      <c r="K1024" s="29" t="n">
        <v>45827</v>
      </c>
      <c r="L1024" s="33" t="n"/>
    </row>
    <row r="1025">
      <c r="A1025" t="inlineStr">
        <is>
          <t>CLM514922</t>
        </is>
      </c>
      <c r="B1025" t="inlineStr">
        <is>
          <t>ENC114922</t>
        </is>
      </c>
      <c r="C1025" t="inlineStr">
        <is>
          <t>Medicare</t>
        </is>
      </c>
      <c r="D1025" t="inlineStr">
        <is>
          <t>Outpatient</t>
        </is>
      </c>
      <c r="E1025" s="29" t="n">
        <v>45786</v>
      </c>
      <c r="F1025" s="29" t="n">
        <v>45788</v>
      </c>
      <c r="G1025" s="31" t="n">
        <v>228.92</v>
      </c>
      <c r="H1025" s="31" t="n">
        <v>0</v>
      </c>
      <c r="I1025" t="inlineStr">
        <is>
          <t>Appealed</t>
        </is>
      </c>
      <c r="J1025" t="inlineStr">
        <is>
          <t>Eligibility / Coverage</t>
        </is>
      </c>
      <c r="L1025" s="33" t="n"/>
    </row>
    <row r="1026">
      <c r="A1026" t="inlineStr">
        <is>
          <t>CLM514924</t>
        </is>
      </c>
      <c r="B1026" t="inlineStr">
        <is>
          <t>ENC114924</t>
        </is>
      </c>
      <c r="C1026" t="inlineStr">
        <is>
          <t>Medicare</t>
        </is>
      </c>
      <c r="D1026" t="inlineStr">
        <is>
          <t>Inpatient</t>
        </is>
      </c>
      <c r="E1026" s="29" t="n">
        <v>45789</v>
      </c>
      <c r="F1026" s="29" t="n">
        <v>45798</v>
      </c>
      <c r="G1026" s="31" t="n">
        <v>27691.43</v>
      </c>
      <c r="H1026" s="31" t="n">
        <v>6941.2</v>
      </c>
      <c r="I1026" t="inlineStr">
        <is>
          <t>Paid</t>
        </is>
      </c>
      <c r="K1026" s="29" t="n">
        <v>45812</v>
      </c>
      <c r="L1026" s="33" t="n"/>
    </row>
    <row r="1027">
      <c r="A1027" t="inlineStr">
        <is>
          <t>CLM514925</t>
        </is>
      </c>
      <c r="B1027" t="inlineStr">
        <is>
          <t>ENC114925</t>
        </is>
      </c>
      <c r="C1027" t="inlineStr">
        <is>
          <t>Medicare</t>
        </is>
      </c>
      <c r="D1027" t="inlineStr">
        <is>
          <t>Outpatient</t>
        </is>
      </c>
      <c r="E1027" s="29" t="n">
        <v>45786</v>
      </c>
      <c r="F1027" s="29" t="n">
        <v>45789</v>
      </c>
      <c r="G1027" s="31" t="n">
        <v>380.41</v>
      </c>
      <c r="H1027" s="31" t="n">
        <v>96.98999999999999</v>
      </c>
      <c r="I1027" t="inlineStr">
        <is>
          <t>Paid</t>
        </is>
      </c>
      <c r="K1027" s="29" t="n">
        <v>45807</v>
      </c>
      <c r="L1027" s="33" t="n"/>
    </row>
    <row r="1028">
      <c r="A1028" t="inlineStr">
        <is>
          <t>CLM514933</t>
        </is>
      </c>
      <c r="B1028" t="inlineStr">
        <is>
          <t>ENC114933</t>
        </is>
      </c>
      <c r="C1028" t="inlineStr">
        <is>
          <t>Keystone Health Partners</t>
        </is>
      </c>
      <c r="D1028" t="inlineStr">
        <is>
          <t>Emergency</t>
        </is>
      </c>
      <c r="E1028" s="29" t="n">
        <v>45787</v>
      </c>
      <c r="F1028" s="29" t="n">
        <v>45791</v>
      </c>
      <c r="G1028" s="31" t="n">
        <v>853.71</v>
      </c>
      <c r="H1028" s="31" t="n">
        <v>350.65</v>
      </c>
      <c r="I1028" t="inlineStr">
        <is>
          <t>Paid</t>
        </is>
      </c>
      <c r="K1028" s="29" t="n">
        <v>45815</v>
      </c>
      <c r="L1028" s="33" t="n"/>
    </row>
    <row r="1029">
      <c r="A1029" t="inlineStr">
        <is>
          <t>CLM514935</t>
        </is>
      </c>
      <c r="B1029" t="inlineStr">
        <is>
          <t>ENC114935</t>
        </is>
      </c>
      <c r="C1029" t="inlineStr">
        <is>
          <t>State Medicaid</t>
        </is>
      </c>
      <c r="D1029" t="inlineStr">
        <is>
          <t>Emergency</t>
        </is>
      </c>
      <c r="E1029" s="29" t="n">
        <v>45787</v>
      </c>
      <c r="F1029" s="29" t="n">
        <v>45790</v>
      </c>
      <c r="G1029" s="31" t="n">
        <v>804.01</v>
      </c>
      <c r="H1029" s="31" t="n">
        <v>182.04</v>
      </c>
      <c r="I1029" t="inlineStr">
        <is>
          <t>Partially Paid</t>
        </is>
      </c>
      <c r="J1029" t="inlineStr">
        <is>
          <t>Coding Error</t>
        </is>
      </c>
      <c r="K1029" s="29" t="n">
        <v>45826</v>
      </c>
      <c r="L1029" s="33" t="n"/>
    </row>
    <row r="1030">
      <c r="A1030" t="inlineStr">
        <is>
          <t>CLM514936</t>
        </is>
      </c>
      <c r="B1030" t="inlineStr">
        <is>
          <t>ENC114936</t>
        </is>
      </c>
      <c r="C1030" t="inlineStr">
        <is>
          <t>Medicare</t>
        </is>
      </c>
      <c r="D1030" t="inlineStr">
        <is>
          <t>Observation</t>
        </is>
      </c>
      <c r="E1030" s="29" t="n">
        <v>45788</v>
      </c>
      <c r="F1030" s="29" t="n">
        <v>45790</v>
      </c>
      <c r="G1030" s="31" t="n">
        <v>11096.16</v>
      </c>
      <c r="H1030" s="31" t="n">
        <v>0</v>
      </c>
      <c r="I1030" t="inlineStr">
        <is>
          <t>Denied</t>
        </is>
      </c>
      <c r="J1030" t="inlineStr">
        <is>
          <t>Coding Error</t>
        </is>
      </c>
      <c r="L1030" s="33" t="n"/>
    </row>
    <row r="1031">
      <c r="A1031" t="inlineStr">
        <is>
          <t>CLM514938</t>
        </is>
      </c>
      <c r="B1031" t="inlineStr">
        <is>
          <t>ENC114938</t>
        </is>
      </c>
      <c r="C1031" t="inlineStr">
        <is>
          <t>Evergreen Mutual Insurance</t>
        </is>
      </c>
      <c r="D1031" t="inlineStr">
        <is>
          <t>Emergency</t>
        </is>
      </c>
      <c r="E1031" s="29" t="n">
        <v>45787</v>
      </c>
      <c r="F1031" s="29" t="n">
        <v>45794</v>
      </c>
      <c r="G1031" s="31" t="n">
        <v>3101.76</v>
      </c>
      <c r="H1031" s="31" t="n">
        <v>1188.18</v>
      </c>
      <c r="I1031" t="inlineStr">
        <is>
          <t>Paid</t>
        </is>
      </c>
      <c r="K1031" s="29" t="n">
        <v>45807</v>
      </c>
      <c r="L1031" s="33" t="n"/>
    </row>
    <row r="1032">
      <c r="A1032" t="inlineStr">
        <is>
          <t>CLM514942</t>
        </is>
      </c>
      <c r="B1032" t="inlineStr">
        <is>
          <t>ENC114942</t>
        </is>
      </c>
      <c r="C1032" t="inlineStr">
        <is>
          <t>Medicare</t>
        </is>
      </c>
      <c r="D1032" t="inlineStr">
        <is>
          <t>Inpatient</t>
        </is>
      </c>
      <c r="E1032" s="29" t="n">
        <v>45793</v>
      </c>
      <c r="F1032" s="29" t="n">
        <v>45797</v>
      </c>
      <c r="G1032" s="31" t="n">
        <v>86929.14</v>
      </c>
      <c r="H1032" s="31" t="n">
        <v>23177.77</v>
      </c>
      <c r="I1032" t="inlineStr">
        <is>
          <t>Paid</t>
        </is>
      </c>
      <c r="K1032" s="29" t="n">
        <v>45802</v>
      </c>
      <c r="L1032" s="33" t="n"/>
    </row>
    <row r="1033">
      <c r="A1033" t="inlineStr">
        <is>
          <t>CLM514949</t>
        </is>
      </c>
      <c r="B1033" t="inlineStr">
        <is>
          <t>ENC114949</t>
        </is>
      </c>
      <c r="C1033" t="inlineStr">
        <is>
          <t>Silverline Medicare Advantage</t>
        </is>
      </c>
      <c r="D1033" t="inlineStr">
        <is>
          <t>Emergency</t>
        </is>
      </c>
      <c r="E1033" s="29" t="n">
        <v>45788</v>
      </c>
      <c r="F1033" s="29" t="n">
        <v>45792</v>
      </c>
      <c r="G1033" s="31" t="n">
        <v>1545.22</v>
      </c>
      <c r="H1033" s="31" t="n">
        <v>0</v>
      </c>
      <c r="I1033" t="inlineStr">
        <is>
          <t>Denied</t>
        </is>
      </c>
      <c r="J1033" t="inlineStr">
        <is>
          <t>Coding Error</t>
        </is>
      </c>
      <c r="L1033" s="33" t="n"/>
    </row>
    <row r="1034">
      <c r="A1034" t="inlineStr">
        <is>
          <t>CLM514951</t>
        </is>
      </c>
      <c r="B1034" t="inlineStr">
        <is>
          <t>ENC114951</t>
        </is>
      </c>
      <c r="C1034" t="inlineStr">
        <is>
          <t>Keystone Health Partners</t>
        </is>
      </c>
      <c r="D1034" t="inlineStr">
        <is>
          <t>Observation</t>
        </is>
      </c>
      <c r="E1034" s="29" t="n">
        <v>45789</v>
      </c>
      <c r="F1034" s="29" t="n">
        <v>45793</v>
      </c>
      <c r="G1034" s="31" t="n">
        <v>6014.86</v>
      </c>
      <c r="H1034" s="31" t="n">
        <v>2823.19</v>
      </c>
      <c r="I1034" t="inlineStr">
        <is>
          <t>Paid</t>
        </is>
      </c>
      <c r="K1034" s="29" t="n">
        <v>45816</v>
      </c>
      <c r="L1034" s="33" t="n"/>
    </row>
    <row r="1035">
      <c r="A1035" t="inlineStr">
        <is>
          <t>CLM514961</t>
        </is>
      </c>
      <c r="B1035" t="inlineStr">
        <is>
          <t>ENC114961</t>
        </is>
      </c>
      <c r="C1035" t="inlineStr">
        <is>
          <t>Summit Choice PPO</t>
        </is>
      </c>
      <c r="D1035" t="inlineStr">
        <is>
          <t>Emergency</t>
        </is>
      </c>
      <c r="E1035" s="29" t="n">
        <v>45788</v>
      </c>
      <c r="F1035" s="29" t="n">
        <v>45797</v>
      </c>
      <c r="G1035" s="31" t="n">
        <v>910.27</v>
      </c>
      <c r="H1035" s="31" t="n">
        <v>509.32</v>
      </c>
      <c r="I1035" t="inlineStr">
        <is>
          <t>Paid</t>
        </is>
      </c>
      <c r="K1035" s="29" t="n">
        <v>45821</v>
      </c>
      <c r="L1035" s="33" t="n"/>
    </row>
    <row r="1036">
      <c r="A1036" t="inlineStr">
        <is>
          <t>CLM514964</t>
        </is>
      </c>
      <c r="B1036" t="inlineStr">
        <is>
          <t>ENC114964</t>
        </is>
      </c>
      <c r="C1036" t="inlineStr">
        <is>
          <t>Silverline Medicare Advantage</t>
        </is>
      </c>
      <c r="D1036" t="inlineStr">
        <is>
          <t>Emergency</t>
        </is>
      </c>
      <c r="E1036" s="29" t="n">
        <v>45789</v>
      </c>
      <c r="F1036" s="29" t="n">
        <v>45792</v>
      </c>
      <c r="G1036" s="31" t="n">
        <v>5858.77</v>
      </c>
      <c r="H1036" s="31" t="n">
        <v>0</v>
      </c>
      <c r="I1036" t="inlineStr">
        <is>
          <t>Denied</t>
        </is>
      </c>
      <c r="J1036" t="inlineStr">
        <is>
          <t>Authorization Required</t>
        </is>
      </c>
      <c r="L1036" s="33" t="n"/>
    </row>
    <row r="1037">
      <c r="A1037" t="inlineStr">
        <is>
          <t>CLM514972</t>
        </is>
      </c>
      <c r="B1037" t="inlineStr">
        <is>
          <t>ENC114972</t>
        </is>
      </c>
      <c r="C1037" t="inlineStr">
        <is>
          <t>State Medicaid</t>
        </is>
      </c>
      <c r="D1037" t="inlineStr">
        <is>
          <t>Outpatient</t>
        </is>
      </c>
      <c r="E1037" s="29" t="n">
        <v>45789</v>
      </c>
      <c r="F1037" s="29" t="n">
        <v>45793</v>
      </c>
      <c r="G1037" s="31" t="n">
        <v>336.26</v>
      </c>
      <c r="H1037" s="31" t="n">
        <v>90.23</v>
      </c>
      <c r="I1037" t="inlineStr">
        <is>
          <t>Paid</t>
        </is>
      </c>
      <c r="K1037" s="29" t="n">
        <v>45815</v>
      </c>
      <c r="L1037" s="33" t="n"/>
    </row>
    <row r="1038">
      <c r="A1038" t="inlineStr">
        <is>
          <t>CLM514973</t>
        </is>
      </c>
      <c r="B1038" t="inlineStr">
        <is>
          <t>ENC114973</t>
        </is>
      </c>
      <c r="C1038" t="inlineStr">
        <is>
          <t>Evergreen Mutual Insurance</t>
        </is>
      </c>
      <c r="D1038" t="inlineStr">
        <is>
          <t>Emergency</t>
        </is>
      </c>
      <c r="E1038" s="29" t="n">
        <v>45789</v>
      </c>
      <c r="F1038" s="29" t="n">
        <v>45791</v>
      </c>
      <c r="G1038" s="31" t="n">
        <v>4401.49</v>
      </c>
      <c r="H1038" s="31" t="n">
        <v>2153.57</v>
      </c>
      <c r="I1038" t="inlineStr">
        <is>
          <t>Paid</t>
        </is>
      </c>
      <c r="K1038" s="29" t="n">
        <v>45820</v>
      </c>
      <c r="L1038" s="33" t="n"/>
    </row>
    <row r="1039">
      <c r="A1039" t="inlineStr">
        <is>
          <t>CLM514975</t>
        </is>
      </c>
      <c r="B1039" t="inlineStr">
        <is>
          <t>ENC114975</t>
        </is>
      </c>
      <c r="C1039" t="inlineStr">
        <is>
          <t>Silverline Medicare Advantage</t>
        </is>
      </c>
      <c r="D1039" t="inlineStr">
        <is>
          <t>Observation</t>
        </is>
      </c>
      <c r="E1039" s="29" t="n">
        <v>45790</v>
      </c>
      <c r="F1039" s="29" t="n">
        <v>45793</v>
      </c>
      <c r="G1039" s="31" t="n">
        <v>6391.1</v>
      </c>
      <c r="H1039" s="31" t="n">
        <v>1741.64</v>
      </c>
      <c r="I1039" t="inlineStr">
        <is>
          <t>Paid</t>
        </is>
      </c>
      <c r="K1039" s="29" t="n">
        <v>45806</v>
      </c>
      <c r="L1039" s="33" t="n"/>
    </row>
    <row r="1040">
      <c r="A1040" t="inlineStr">
        <is>
          <t>CLM514977</t>
        </is>
      </c>
      <c r="B1040" t="inlineStr">
        <is>
          <t>ENC114977</t>
        </is>
      </c>
      <c r="C1040" t="inlineStr">
        <is>
          <t>State Medicaid</t>
        </is>
      </c>
      <c r="D1040" t="inlineStr">
        <is>
          <t>Outpatient</t>
        </is>
      </c>
      <c r="E1040" s="29" t="n">
        <v>45789</v>
      </c>
      <c r="F1040" s="29" t="n">
        <v>45791</v>
      </c>
      <c r="G1040" s="31" t="n">
        <v>360.57</v>
      </c>
      <c r="H1040" s="31" t="n">
        <v>0</v>
      </c>
      <c r="I1040" t="inlineStr">
        <is>
          <t>Denied</t>
        </is>
      </c>
      <c r="J1040" t="inlineStr">
        <is>
          <t>Authorization Required</t>
        </is>
      </c>
      <c r="L1040" s="33" t="n"/>
    </row>
    <row r="1041">
      <c r="A1041" t="inlineStr">
        <is>
          <t>CLM514978</t>
        </is>
      </c>
      <c r="B1041" t="inlineStr">
        <is>
          <t>ENC114978</t>
        </is>
      </c>
      <c r="C1041" t="inlineStr">
        <is>
          <t>State Medicaid</t>
        </is>
      </c>
      <c r="D1041" t="inlineStr">
        <is>
          <t>Outpatient</t>
        </is>
      </c>
      <c r="E1041" s="29" t="n">
        <v>45789</v>
      </c>
      <c r="F1041" s="29" t="n">
        <v>45791</v>
      </c>
      <c r="G1041" s="31" t="n">
        <v>476.02</v>
      </c>
      <c r="H1041" s="31" t="n">
        <v>121.77</v>
      </c>
      <c r="I1041" t="inlineStr">
        <is>
          <t>Paid</t>
        </is>
      </c>
      <c r="K1041" s="29" t="n">
        <v>45813</v>
      </c>
      <c r="L1041" s="33" t="n"/>
    </row>
    <row r="1042">
      <c r="A1042" t="inlineStr">
        <is>
          <t>CLM514981</t>
        </is>
      </c>
      <c r="B1042" t="inlineStr">
        <is>
          <t>ENC114981</t>
        </is>
      </c>
      <c r="C1042" t="inlineStr">
        <is>
          <t>Keystone Health Partners</t>
        </is>
      </c>
      <c r="D1042" t="inlineStr">
        <is>
          <t>Outpatient</t>
        </is>
      </c>
      <c r="E1042" s="29" t="n">
        <v>45789</v>
      </c>
      <c r="F1042" s="29" t="n">
        <v>45790</v>
      </c>
      <c r="G1042" s="31" t="n">
        <v>318.31</v>
      </c>
      <c r="H1042" s="31" t="n">
        <v>79.73</v>
      </c>
      <c r="I1042" t="inlineStr">
        <is>
          <t>Partially Paid</t>
        </is>
      </c>
      <c r="J1042" t="inlineStr">
        <is>
          <t>Coding Error</t>
        </is>
      </c>
      <c r="K1042" s="29" t="n">
        <v>45809</v>
      </c>
      <c r="L1042" s="33" t="n"/>
    </row>
    <row r="1043">
      <c r="A1043" t="inlineStr">
        <is>
          <t>CLM514985</t>
        </is>
      </c>
      <c r="B1043" t="inlineStr">
        <is>
          <t>ENC114985</t>
        </is>
      </c>
      <c r="C1043" t="inlineStr">
        <is>
          <t>State Medicaid</t>
        </is>
      </c>
      <c r="D1043" t="inlineStr">
        <is>
          <t>Outpatient</t>
        </is>
      </c>
      <c r="E1043" s="29" t="n">
        <v>45789</v>
      </c>
      <c r="F1043" s="29" t="n">
        <v>45794</v>
      </c>
      <c r="G1043" s="31" t="n">
        <v>14506.5</v>
      </c>
      <c r="H1043" s="31" t="n">
        <v>0</v>
      </c>
      <c r="I1043" t="inlineStr">
        <is>
          <t>Denied</t>
        </is>
      </c>
      <c r="J1043" t="inlineStr">
        <is>
          <t>Eligibility / Coverage</t>
        </is>
      </c>
      <c r="L1043" s="33" t="n"/>
    </row>
    <row r="1044">
      <c r="A1044" t="inlineStr">
        <is>
          <t>CLM515002</t>
        </is>
      </c>
      <c r="B1044" t="inlineStr">
        <is>
          <t>ENC115002</t>
        </is>
      </c>
      <c r="C1044" t="inlineStr">
        <is>
          <t>Keystone Health Partners</t>
        </is>
      </c>
      <c r="D1044" t="inlineStr">
        <is>
          <t>Outpatient</t>
        </is>
      </c>
      <c r="E1044" s="29" t="n">
        <v>45790</v>
      </c>
      <c r="F1044" s="29" t="n">
        <v>45796</v>
      </c>
      <c r="G1044" s="31" t="n">
        <v>197.05</v>
      </c>
      <c r="H1044" s="31" t="n">
        <v>52.64</v>
      </c>
      <c r="I1044" t="inlineStr">
        <is>
          <t>Partially Paid</t>
        </is>
      </c>
      <c r="J1044" t="inlineStr">
        <is>
          <t>Coding Error</t>
        </is>
      </c>
      <c r="K1044" s="29" t="n">
        <v>45820</v>
      </c>
      <c r="L1044" s="33" t="n"/>
    </row>
    <row r="1045">
      <c r="A1045" t="inlineStr">
        <is>
          <t>CLM515003</t>
        </is>
      </c>
      <c r="B1045" t="inlineStr">
        <is>
          <t>ENC115003</t>
        </is>
      </c>
      <c r="C1045" t="inlineStr">
        <is>
          <t>Evergreen Mutual Insurance</t>
        </is>
      </c>
      <c r="D1045" t="inlineStr">
        <is>
          <t>Outpatient</t>
        </is>
      </c>
      <c r="E1045" s="29" t="n">
        <v>45790</v>
      </c>
      <c r="F1045" s="29" t="n">
        <v>45833</v>
      </c>
      <c r="G1045" s="31" t="n">
        <v>497.1</v>
      </c>
      <c r="H1045" s="31" t="n">
        <v>198.81</v>
      </c>
      <c r="I1045" t="inlineStr">
        <is>
          <t>Paid</t>
        </is>
      </c>
      <c r="K1045" s="29" t="n">
        <v>45868</v>
      </c>
      <c r="L1045" s="33" t="n"/>
    </row>
    <row r="1046">
      <c r="A1046" t="inlineStr">
        <is>
          <t>CLM515009</t>
        </is>
      </c>
      <c r="B1046" t="inlineStr">
        <is>
          <t>ENC115009</t>
        </is>
      </c>
      <c r="C1046" t="inlineStr">
        <is>
          <t>Self-Pay</t>
        </is>
      </c>
      <c r="D1046" t="inlineStr">
        <is>
          <t>Outpatient</t>
        </is>
      </c>
      <c r="E1046" s="29" t="n">
        <v>45790</v>
      </c>
      <c r="F1046" s="29" t="n">
        <v>45792</v>
      </c>
      <c r="G1046" s="31" t="n">
        <v>163.32</v>
      </c>
      <c r="H1046" s="31" t="n">
        <v>26.65</v>
      </c>
      <c r="I1046" t="inlineStr">
        <is>
          <t>Partially Paid</t>
        </is>
      </c>
      <c r="K1046" s="29" t="n">
        <v>45856</v>
      </c>
      <c r="L1046" s="33" t="n"/>
    </row>
    <row r="1047">
      <c r="A1047" t="inlineStr">
        <is>
          <t>CLM515010</t>
        </is>
      </c>
      <c r="B1047" t="inlineStr">
        <is>
          <t>ENC115010</t>
        </is>
      </c>
      <c r="C1047" t="inlineStr">
        <is>
          <t>Keystone Health Partners</t>
        </is>
      </c>
      <c r="D1047" t="inlineStr">
        <is>
          <t>Outpatient</t>
        </is>
      </c>
      <c r="E1047" s="29" t="n">
        <v>45790</v>
      </c>
      <c r="F1047" s="29" t="n">
        <v>45796</v>
      </c>
      <c r="G1047" s="31" t="n">
        <v>367.34</v>
      </c>
      <c r="H1047" s="31" t="n">
        <v>166.6</v>
      </c>
      <c r="I1047" t="inlineStr">
        <is>
          <t>Paid</t>
        </is>
      </c>
      <c r="K1047" s="29" t="n">
        <v>45822</v>
      </c>
      <c r="L1047" s="33" t="n"/>
    </row>
    <row r="1048">
      <c r="A1048" t="inlineStr">
        <is>
          <t>CLM515011</t>
        </is>
      </c>
      <c r="B1048" t="inlineStr">
        <is>
          <t>ENC115011</t>
        </is>
      </c>
      <c r="C1048" t="inlineStr">
        <is>
          <t>Summit Choice PPO</t>
        </is>
      </c>
      <c r="D1048" t="inlineStr">
        <is>
          <t>Outpatient</t>
        </is>
      </c>
      <c r="E1048" s="29" t="n">
        <v>45790</v>
      </c>
      <c r="F1048" s="29" t="n">
        <v>45797</v>
      </c>
      <c r="G1048" s="31" t="n">
        <v>168.51</v>
      </c>
      <c r="H1048" s="31" t="n">
        <v>0</v>
      </c>
      <c r="I1048" t="inlineStr">
        <is>
          <t>Denied</t>
        </is>
      </c>
      <c r="J1048" t="inlineStr">
        <is>
          <t>Coding Error</t>
        </is>
      </c>
      <c r="L1048" s="33" t="n"/>
    </row>
    <row r="1049">
      <c r="A1049" t="inlineStr">
        <is>
          <t>CLM515013</t>
        </is>
      </c>
      <c r="B1049" t="inlineStr">
        <is>
          <t>ENC115013</t>
        </is>
      </c>
      <c r="C1049" t="inlineStr">
        <is>
          <t>Silverline Medicare Advantage</t>
        </is>
      </c>
      <c r="D1049" t="inlineStr">
        <is>
          <t>Emergency</t>
        </is>
      </c>
      <c r="E1049" s="29" t="n">
        <v>45790</v>
      </c>
      <c r="F1049" s="29" t="n">
        <v>45793</v>
      </c>
      <c r="G1049" s="31" t="n">
        <v>1319.82</v>
      </c>
      <c r="H1049" s="31" t="n">
        <v>353.44</v>
      </c>
      <c r="I1049" t="inlineStr">
        <is>
          <t>Paid</t>
        </is>
      </c>
      <c r="K1049" s="29" t="n">
        <v>45818</v>
      </c>
      <c r="L1049" s="33" t="n"/>
    </row>
    <row r="1050">
      <c r="A1050" t="inlineStr">
        <is>
          <t>CLM515014</t>
        </is>
      </c>
      <c r="B1050" t="inlineStr">
        <is>
          <t>ENC115014</t>
        </is>
      </c>
      <c r="C1050" t="inlineStr">
        <is>
          <t>Keystone Health Partners</t>
        </is>
      </c>
      <c r="D1050" t="inlineStr">
        <is>
          <t>Observation</t>
        </is>
      </c>
      <c r="E1050" s="29" t="n">
        <v>45791</v>
      </c>
      <c r="F1050" s="29" t="n">
        <v>45794</v>
      </c>
      <c r="G1050" s="31" t="n">
        <v>6475.81</v>
      </c>
      <c r="H1050" s="31" t="n">
        <v>3075.18</v>
      </c>
      <c r="I1050" t="inlineStr">
        <is>
          <t>Paid</t>
        </is>
      </c>
      <c r="K1050" s="29" t="n">
        <v>45816</v>
      </c>
      <c r="L1050" s="33" t="n"/>
    </row>
    <row r="1051">
      <c r="A1051" t="inlineStr">
        <is>
          <t>CLM515016</t>
        </is>
      </c>
      <c r="B1051" t="inlineStr">
        <is>
          <t>ENC115016</t>
        </is>
      </c>
      <c r="C1051" t="inlineStr">
        <is>
          <t>Silverline Medicare Advantage</t>
        </is>
      </c>
      <c r="D1051" t="inlineStr">
        <is>
          <t>Outpatient</t>
        </is>
      </c>
      <c r="E1051" s="29" t="n">
        <v>45790</v>
      </c>
      <c r="F1051" s="29" t="n">
        <v>45853</v>
      </c>
      <c r="G1051" s="31" t="n">
        <v>236.21</v>
      </c>
      <c r="H1051" s="31" t="n">
        <v>85.39</v>
      </c>
      <c r="I1051" t="inlineStr">
        <is>
          <t>Paid</t>
        </is>
      </c>
      <c r="K1051" s="29" t="n">
        <v>45912</v>
      </c>
      <c r="L1051" s="33" t="n"/>
    </row>
    <row r="1052">
      <c r="A1052" t="inlineStr">
        <is>
          <t>CLM515027</t>
        </is>
      </c>
      <c r="B1052" t="inlineStr">
        <is>
          <t>ENC115027</t>
        </is>
      </c>
      <c r="C1052" t="inlineStr">
        <is>
          <t>Medicare</t>
        </is>
      </c>
      <c r="D1052" t="inlineStr">
        <is>
          <t>Outpatient</t>
        </is>
      </c>
      <c r="E1052" s="29" t="n">
        <v>45790</v>
      </c>
      <c r="F1052" s="29" t="n">
        <v>45799</v>
      </c>
      <c r="G1052" s="31" t="n">
        <v>562.61</v>
      </c>
      <c r="H1052" s="31" t="n">
        <v>128.61</v>
      </c>
      <c r="I1052" t="inlineStr">
        <is>
          <t>Paid</t>
        </is>
      </c>
      <c r="K1052" s="29" t="n">
        <v>45819</v>
      </c>
      <c r="L1052" s="33" t="n"/>
    </row>
    <row r="1053">
      <c r="A1053" t="inlineStr">
        <is>
          <t>CLM515031</t>
        </is>
      </c>
      <c r="B1053" t="inlineStr">
        <is>
          <t>ENC115031</t>
        </is>
      </c>
      <c r="C1053" t="inlineStr">
        <is>
          <t>Medicare</t>
        </is>
      </c>
      <c r="D1053" t="inlineStr">
        <is>
          <t>Inpatient</t>
        </is>
      </c>
      <c r="E1053" s="29" t="n">
        <v>45796</v>
      </c>
      <c r="F1053" s="29" t="n">
        <v>45799</v>
      </c>
      <c r="G1053" s="31" t="n">
        <v>24242.42</v>
      </c>
      <c r="H1053" s="31" t="n">
        <v>4667.34</v>
      </c>
      <c r="I1053" t="inlineStr">
        <is>
          <t>Partially Paid</t>
        </is>
      </c>
      <c r="J1053" t="inlineStr">
        <is>
          <t>Medical Necessity</t>
        </is>
      </c>
      <c r="K1053" s="29" t="n">
        <v>45813</v>
      </c>
      <c r="L1053" s="33" t="n"/>
    </row>
    <row r="1054">
      <c r="A1054" t="inlineStr">
        <is>
          <t>CLM515032</t>
        </is>
      </c>
      <c r="B1054" t="inlineStr">
        <is>
          <t>ENC115032</t>
        </is>
      </c>
      <c r="C1054" t="inlineStr">
        <is>
          <t>Silverline Medicare Advantage</t>
        </is>
      </c>
      <c r="D1054" t="inlineStr">
        <is>
          <t>Emergency</t>
        </is>
      </c>
      <c r="E1054" s="29" t="n">
        <v>45790</v>
      </c>
      <c r="F1054" s="29" t="n">
        <v>45793</v>
      </c>
      <c r="G1054" s="31" t="n">
        <v>7500.56</v>
      </c>
      <c r="H1054" s="31" t="n">
        <v>2479.4</v>
      </c>
      <c r="I1054" t="inlineStr">
        <is>
          <t>Paid</t>
        </is>
      </c>
      <c r="K1054" s="29" t="n">
        <v>45825</v>
      </c>
      <c r="L1054" s="33" t="n"/>
    </row>
    <row r="1055">
      <c r="A1055" t="inlineStr">
        <is>
          <t>CLM515035</t>
        </is>
      </c>
      <c r="B1055" t="inlineStr">
        <is>
          <t>ENC115035</t>
        </is>
      </c>
      <c r="C1055" t="inlineStr">
        <is>
          <t>Evergreen Mutual Insurance</t>
        </is>
      </c>
      <c r="D1055" t="inlineStr">
        <is>
          <t>Emergency</t>
        </is>
      </c>
      <c r="E1055" s="29" t="n">
        <v>45791</v>
      </c>
      <c r="F1055" s="29" t="n">
        <v>45792</v>
      </c>
      <c r="G1055" s="31" t="n">
        <v>2431.21</v>
      </c>
      <c r="H1055" s="31" t="n">
        <v>1143.1</v>
      </c>
      <c r="I1055" t="inlineStr">
        <is>
          <t>Paid</t>
        </is>
      </c>
      <c r="K1055" s="29" t="n">
        <v>45815</v>
      </c>
      <c r="L1055" s="33" t="n"/>
    </row>
    <row r="1056">
      <c r="A1056" t="inlineStr">
        <is>
          <t>CLM515038</t>
        </is>
      </c>
      <c r="B1056" t="inlineStr">
        <is>
          <t>ENC115038</t>
        </is>
      </c>
      <c r="C1056" t="inlineStr">
        <is>
          <t>State Medicaid</t>
        </is>
      </c>
      <c r="D1056" t="inlineStr">
        <is>
          <t>Emergency</t>
        </is>
      </c>
      <c r="E1056" s="29" t="n">
        <v>45790</v>
      </c>
      <c r="F1056" s="29" t="n">
        <v>45801</v>
      </c>
      <c r="G1056" s="31" t="n">
        <v>669.87</v>
      </c>
      <c r="H1056" s="31" t="n">
        <v>140.58</v>
      </c>
      <c r="I1056" t="inlineStr">
        <is>
          <t>Paid</t>
        </is>
      </c>
      <c r="K1056" s="29" t="n">
        <v>45833</v>
      </c>
      <c r="L1056" s="33" t="n"/>
    </row>
    <row r="1057">
      <c r="A1057" t="inlineStr">
        <is>
          <t>CLM515040</t>
        </is>
      </c>
      <c r="B1057" t="inlineStr">
        <is>
          <t>ENC115040</t>
        </is>
      </c>
      <c r="C1057" t="inlineStr">
        <is>
          <t>Medicare</t>
        </is>
      </c>
      <c r="D1057" t="inlineStr">
        <is>
          <t>Observation</t>
        </is>
      </c>
      <c r="E1057" s="29" t="n">
        <v>45791</v>
      </c>
      <c r="F1057" s="29" t="n">
        <v>45800</v>
      </c>
      <c r="G1057" s="31" t="n">
        <v>6781.63</v>
      </c>
      <c r="H1057" s="31" t="n">
        <v>0</v>
      </c>
      <c r="I1057" t="inlineStr">
        <is>
          <t>Denied</t>
        </is>
      </c>
      <c r="J1057" t="inlineStr">
        <is>
          <t>Coding Error</t>
        </is>
      </c>
      <c r="L1057" s="33" t="n"/>
    </row>
    <row r="1058">
      <c r="A1058" t="inlineStr">
        <is>
          <t>CLM515041</t>
        </is>
      </c>
      <c r="B1058" t="inlineStr">
        <is>
          <t>ENC115041</t>
        </is>
      </c>
      <c r="C1058" t="inlineStr">
        <is>
          <t>Silverline Medicare Advantage</t>
        </is>
      </c>
      <c r="D1058" t="inlineStr">
        <is>
          <t>Emergency</t>
        </is>
      </c>
      <c r="E1058" s="29" t="n">
        <v>45791</v>
      </c>
      <c r="F1058" s="29" t="n">
        <v>45899</v>
      </c>
      <c r="G1058" s="31" t="n">
        <v>919.04</v>
      </c>
      <c r="H1058" s="31" t="n">
        <v>289.73</v>
      </c>
      <c r="I1058" t="inlineStr">
        <is>
          <t>Paid</t>
        </is>
      </c>
      <c r="K1058" s="29" t="n">
        <v>45921</v>
      </c>
      <c r="L1058" s="33" t="n"/>
    </row>
    <row r="1059">
      <c r="A1059" t="inlineStr">
        <is>
          <t>CLM515043</t>
        </is>
      </c>
      <c r="B1059" t="inlineStr">
        <is>
          <t>ENC115043</t>
        </is>
      </c>
      <c r="C1059" t="inlineStr">
        <is>
          <t>Evergreen Mutual Insurance</t>
        </is>
      </c>
      <c r="D1059" t="inlineStr">
        <is>
          <t>Emergency</t>
        </is>
      </c>
      <c r="E1059" s="29" t="n">
        <v>45791</v>
      </c>
      <c r="F1059" s="29" t="n">
        <v>45797</v>
      </c>
      <c r="G1059" s="31" t="n">
        <v>3328.77</v>
      </c>
      <c r="H1059" s="31" t="n">
        <v>1394.95</v>
      </c>
      <c r="I1059" t="inlineStr">
        <is>
          <t>Paid</t>
        </is>
      </c>
      <c r="K1059" s="29" t="n">
        <v>45816</v>
      </c>
      <c r="L1059" s="33" t="n"/>
    </row>
    <row r="1060">
      <c r="A1060" t="inlineStr">
        <is>
          <t>CLM515047</t>
        </is>
      </c>
      <c r="B1060" t="inlineStr">
        <is>
          <t>ENC115047</t>
        </is>
      </c>
      <c r="C1060" t="inlineStr">
        <is>
          <t>Medicare</t>
        </is>
      </c>
      <c r="D1060" t="inlineStr">
        <is>
          <t>Inpatient</t>
        </is>
      </c>
      <c r="E1060" s="29" t="n">
        <v>45793</v>
      </c>
      <c r="F1060" s="29" t="n">
        <v>45798</v>
      </c>
      <c r="G1060" s="31" t="n">
        <v>66070.39999999999</v>
      </c>
      <c r="H1060" s="31" t="n">
        <v>16121.83</v>
      </c>
      <c r="I1060" t="inlineStr">
        <is>
          <t>Paid</t>
        </is>
      </c>
      <c r="K1060" s="29" t="n">
        <v>45818</v>
      </c>
      <c r="L1060" s="33" t="n"/>
    </row>
    <row r="1061">
      <c r="A1061" t="inlineStr">
        <is>
          <t>CLM515048</t>
        </is>
      </c>
      <c r="B1061" t="inlineStr">
        <is>
          <t>ENC115048</t>
        </is>
      </c>
      <c r="C1061" t="inlineStr">
        <is>
          <t>Medicare</t>
        </is>
      </c>
      <c r="D1061" t="inlineStr">
        <is>
          <t>Outpatient</t>
        </is>
      </c>
      <c r="E1061" s="29" t="n">
        <v>45791</v>
      </c>
      <c r="F1061" s="29" t="n">
        <v>45795</v>
      </c>
      <c r="G1061" s="31" t="n">
        <v>297.64</v>
      </c>
      <c r="H1061" s="31" t="n">
        <v>84.04000000000001</v>
      </c>
      <c r="I1061" t="inlineStr">
        <is>
          <t>Paid</t>
        </is>
      </c>
      <c r="K1061" s="29" t="n">
        <v>45808</v>
      </c>
      <c r="L1061" s="33" t="n"/>
    </row>
    <row r="1062">
      <c r="A1062" t="inlineStr">
        <is>
          <t>CLM515050</t>
        </is>
      </c>
      <c r="B1062" t="inlineStr">
        <is>
          <t>ENC115050</t>
        </is>
      </c>
      <c r="C1062" t="inlineStr">
        <is>
          <t>Evergreen Mutual Insurance</t>
        </is>
      </c>
      <c r="D1062" t="inlineStr">
        <is>
          <t>Outpatient</t>
        </is>
      </c>
      <c r="E1062" s="29" t="n">
        <v>45791</v>
      </c>
      <c r="F1062" s="29" t="n">
        <v>45808</v>
      </c>
      <c r="G1062" s="31" t="n">
        <v>15258.42</v>
      </c>
      <c r="H1062" s="31" t="n">
        <v>0</v>
      </c>
      <c r="I1062" t="inlineStr">
        <is>
          <t>Appealed</t>
        </is>
      </c>
      <c r="J1062" t="inlineStr">
        <is>
          <t>Coding Error</t>
        </is>
      </c>
      <c r="L1062" s="33" t="n"/>
    </row>
    <row r="1063">
      <c r="A1063" t="inlineStr">
        <is>
          <t>CLM515052</t>
        </is>
      </c>
      <c r="B1063" t="inlineStr">
        <is>
          <t>ENC115052</t>
        </is>
      </c>
      <c r="C1063" t="inlineStr">
        <is>
          <t>State Medicaid</t>
        </is>
      </c>
      <c r="D1063" t="inlineStr">
        <is>
          <t>Outpatient</t>
        </is>
      </c>
      <c r="E1063" s="29" t="n">
        <v>45791</v>
      </c>
      <c r="F1063" s="29" t="n">
        <v>45794</v>
      </c>
      <c r="G1063" s="31" t="n">
        <v>367.44</v>
      </c>
      <c r="H1063" s="31" t="n">
        <v>0</v>
      </c>
      <c r="I1063" t="inlineStr">
        <is>
          <t>Appealed</t>
        </is>
      </c>
      <c r="J1063" t="inlineStr">
        <is>
          <t>Authorization Required</t>
        </is>
      </c>
      <c r="L1063" s="33" t="n"/>
    </row>
    <row r="1064">
      <c r="A1064" t="inlineStr">
        <is>
          <t>CLM515057</t>
        </is>
      </c>
      <c r="B1064" t="inlineStr">
        <is>
          <t>ENC115057</t>
        </is>
      </c>
      <c r="C1064" t="inlineStr">
        <is>
          <t>Silverline Medicare Advantage</t>
        </is>
      </c>
      <c r="D1064" t="inlineStr">
        <is>
          <t>Inpatient</t>
        </is>
      </c>
      <c r="E1064" s="29" t="n">
        <v>45794</v>
      </c>
      <c r="F1064" s="29" t="n">
        <v>45796</v>
      </c>
      <c r="G1064" s="31" t="n">
        <v>10332.78</v>
      </c>
      <c r="H1064" s="31" t="n">
        <v>0</v>
      </c>
      <c r="I1064" t="inlineStr">
        <is>
          <t>Denied</t>
        </is>
      </c>
      <c r="J1064" t="inlineStr">
        <is>
          <t>Authorization Required</t>
        </is>
      </c>
      <c r="L1064" s="33" t="n"/>
    </row>
    <row r="1065">
      <c r="A1065" t="inlineStr">
        <is>
          <t>CLM515058</t>
        </is>
      </c>
      <c r="B1065" t="inlineStr">
        <is>
          <t>ENC115058</t>
        </is>
      </c>
      <c r="C1065" t="inlineStr">
        <is>
          <t>Medicare</t>
        </is>
      </c>
      <c r="D1065" t="inlineStr">
        <is>
          <t>Outpatient</t>
        </is>
      </c>
      <c r="E1065" s="29" t="n">
        <v>45791</v>
      </c>
      <c r="F1065" s="29" t="n">
        <v>45794</v>
      </c>
      <c r="G1065" s="31" t="n">
        <v>194.8</v>
      </c>
      <c r="H1065" s="31" t="n">
        <v>52.31</v>
      </c>
      <c r="I1065" t="inlineStr">
        <is>
          <t>Paid</t>
        </is>
      </c>
      <c r="K1065" s="29" t="n">
        <v>45811</v>
      </c>
      <c r="L1065" s="33" t="n"/>
    </row>
    <row r="1066">
      <c r="A1066" t="inlineStr">
        <is>
          <t>CLM515060</t>
        </is>
      </c>
      <c r="B1066" t="inlineStr">
        <is>
          <t>ENC115060</t>
        </is>
      </c>
      <c r="C1066" t="inlineStr">
        <is>
          <t>Silverline Medicare Advantage</t>
        </is>
      </c>
      <c r="D1066" t="inlineStr">
        <is>
          <t>Inpatient</t>
        </is>
      </c>
      <c r="E1066" s="29" t="n">
        <v>45795</v>
      </c>
      <c r="F1066" s="29" t="n">
        <v>45804</v>
      </c>
      <c r="G1066" s="31" t="n">
        <v>22256.82</v>
      </c>
      <c r="H1066" s="31" t="n">
        <v>0</v>
      </c>
      <c r="I1066" t="inlineStr">
        <is>
          <t>Denied</t>
        </is>
      </c>
      <c r="J1066" t="inlineStr">
        <is>
          <t>Authorization Required</t>
        </is>
      </c>
      <c r="L1066" s="33" t="n"/>
    </row>
    <row r="1067">
      <c r="A1067" t="inlineStr">
        <is>
          <t>CLM515068</t>
        </is>
      </c>
      <c r="B1067" t="inlineStr">
        <is>
          <t>ENC115068</t>
        </is>
      </c>
      <c r="C1067" t="inlineStr">
        <is>
          <t>Medicare</t>
        </is>
      </c>
      <c r="D1067" t="inlineStr">
        <is>
          <t>Emergency</t>
        </is>
      </c>
      <c r="E1067" s="29" t="n">
        <v>45791</v>
      </c>
      <c r="F1067" s="29" t="n">
        <v>45917</v>
      </c>
      <c r="G1067" s="31" t="n">
        <v>820.23</v>
      </c>
      <c r="H1067" s="31" t="n">
        <v>243.17</v>
      </c>
      <c r="I1067" t="inlineStr">
        <is>
          <t>Paid</t>
        </is>
      </c>
      <c r="K1067" s="29" t="n">
        <v>45934</v>
      </c>
      <c r="L1067" s="33" t="n"/>
    </row>
    <row r="1068">
      <c r="A1068" t="inlineStr">
        <is>
          <t>CLM515071</t>
        </is>
      </c>
      <c r="B1068" t="inlineStr">
        <is>
          <t>ENC115071</t>
        </is>
      </c>
      <c r="C1068" t="inlineStr">
        <is>
          <t>Medicare</t>
        </is>
      </c>
      <c r="D1068" t="inlineStr">
        <is>
          <t>Outpatient</t>
        </is>
      </c>
      <c r="E1068" s="29" t="n">
        <v>45791</v>
      </c>
      <c r="F1068" s="29" t="n">
        <v>45793</v>
      </c>
      <c r="G1068" s="31" t="n">
        <v>450.77</v>
      </c>
      <c r="H1068" s="31" t="n">
        <v>115.97</v>
      </c>
      <c r="I1068" t="inlineStr">
        <is>
          <t>Paid</t>
        </is>
      </c>
      <c r="K1068" s="29" t="n">
        <v>45808</v>
      </c>
      <c r="L1068" s="33" t="n"/>
    </row>
    <row r="1069">
      <c r="A1069" t="inlineStr">
        <is>
          <t>CLM515072</t>
        </is>
      </c>
      <c r="B1069" t="inlineStr">
        <is>
          <t>ENC115072</t>
        </is>
      </c>
      <c r="C1069" t="inlineStr">
        <is>
          <t>Silverline Medicare Advantage</t>
        </is>
      </c>
      <c r="D1069" t="inlineStr">
        <is>
          <t>Outpatient</t>
        </is>
      </c>
      <c r="E1069" s="29" t="n">
        <v>45791</v>
      </c>
      <c r="F1069" s="29" t="n">
        <v>45792</v>
      </c>
      <c r="G1069" s="31" t="n">
        <v>546.39</v>
      </c>
      <c r="H1069" s="31" t="n">
        <v>0</v>
      </c>
      <c r="I1069" t="inlineStr">
        <is>
          <t>Denied</t>
        </is>
      </c>
      <c r="J1069" t="inlineStr">
        <is>
          <t>Authorization Required</t>
        </is>
      </c>
      <c r="L1069" s="33" t="n"/>
    </row>
    <row r="1070">
      <c r="A1070" t="inlineStr">
        <is>
          <t>CLM515078</t>
        </is>
      </c>
      <c r="B1070" t="inlineStr">
        <is>
          <t>ENC115078</t>
        </is>
      </c>
      <c r="C1070" t="inlineStr">
        <is>
          <t>Silverline Medicare Advantage</t>
        </is>
      </c>
      <c r="D1070" t="inlineStr">
        <is>
          <t>Emergency</t>
        </is>
      </c>
      <c r="E1070" s="29" t="n">
        <v>45791</v>
      </c>
      <c r="F1070" s="29" t="n">
        <v>45800</v>
      </c>
      <c r="G1070" s="31" t="n">
        <v>1442.76</v>
      </c>
      <c r="H1070" s="31" t="n">
        <v>0</v>
      </c>
      <c r="I1070" t="inlineStr">
        <is>
          <t>Denied</t>
        </is>
      </c>
      <c r="J1070" t="inlineStr">
        <is>
          <t>Eligibility / Coverage</t>
        </is>
      </c>
      <c r="L1070" s="33" t="n"/>
    </row>
    <row r="1071">
      <c r="A1071" t="inlineStr">
        <is>
          <t>CLM515098</t>
        </is>
      </c>
      <c r="B1071" t="inlineStr">
        <is>
          <t>ENC115098</t>
        </is>
      </c>
      <c r="C1071" t="inlineStr">
        <is>
          <t>Evergreen Mutual Insurance</t>
        </is>
      </c>
      <c r="D1071" t="inlineStr">
        <is>
          <t>Observation</t>
        </is>
      </c>
      <c r="E1071" s="29" t="n">
        <v>45793</v>
      </c>
      <c r="F1071" s="29" t="n">
        <v>45801</v>
      </c>
      <c r="G1071" s="31" t="n">
        <v>10113.62</v>
      </c>
      <c r="H1071" s="31" t="n">
        <v>4123.85</v>
      </c>
      <c r="I1071" t="inlineStr">
        <is>
          <t>Paid</t>
        </is>
      </c>
      <c r="K1071" s="29" t="n">
        <v>45833</v>
      </c>
      <c r="L1071" s="33" t="n"/>
    </row>
    <row r="1072">
      <c r="A1072" t="inlineStr">
        <is>
          <t>CLM515100</t>
        </is>
      </c>
      <c r="B1072" t="inlineStr">
        <is>
          <t>ENC115100</t>
        </is>
      </c>
      <c r="C1072" t="inlineStr">
        <is>
          <t>Keystone Health Partners</t>
        </is>
      </c>
      <c r="D1072" t="inlineStr">
        <is>
          <t>Observation</t>
        </is>
      </c>
      <c r="E1072" s="29" t="n">
        <v>45793</v>
      </c>
      <c r="F1072" s="29" t="n">
        <v>45797</v>
      </c>
      <c r="G1072" s="31" t="n">
        <v>10603.66</v>
      </c>
      <c r="H1072" s="31" t="n">
        <v>4537.08</v>
      </c>
      <c r="I1072" t="inlineStr">
        <is>
          <t>Paid</t>
        </is>
      </c>
      <c r="K1072" s="29" t="n">
        <v>45817</v>
      </c>
      <c r="L1072" s="33" t="n"/>
    </row>
    <row r="1073">
      <c r="A1073" t="inlineStr">
        <is>
          <t>CLM515108</t>
        </is>
      </c>
      <c r="B1073" t="inlineStr">
        <is>
          <t>ENC115108</t>
        </is>
      </c>
      <c r="C1073" t="inlineStr">
        <is>
          <t>Evergreen Mutual Insurance</t>
        </is>
      </c>
      <c r="D1073" t="inlineStr">
        <is>
          <t>Outpatient</t>
        </is>
      </c>
      <c r="E1073" s="29" t="n">
        <v>45793</v>
      </c>
      <c r="F1073" s="29" t="n">
        <v>45798</v>
      </c>
      <c r="G1073" s="31" t="n">
        <v>789.46</v>
      </c>
      <c r="H1073" s="31" t="n">
        <v>281.38</v>
      </c>
      <c r="I1073" t="inlineStr">
        <is>
          <t>Paid</t>
        </is>
      </c>
      <c r="K1073" s="29" t="n">
        <v>45826</v>
      </c>
      <c r="L1073" s="33" t="n"/>
    </row>
    <row r="1074">
      <c r="A1074" t="inlineStr">
        <is>
          <t>CLM515110</t>
        </is>
      </c>
      <c r="B1074" t="inlineStr">
        <is>
          <t>ENC115110</t>
        </is>
      </c>
      <c r="C1074" t="inlineStr">
        <is>
          <t>Keystone Health Partners</t>
        </is>
      </c>
      <c r="D1074" t="inlineStr">
        <is>
          <t>Inpatient</t>
        </is>
      </c>
      <c r="E1074" s="29" t="n">
        <v>45798</v>
      </c>
      <c r="F1074" s="29" t="n">
        <v>45802</v>
      </c>
      <c r="G1074" s="31" t="n">
        <v>20880.25</v>
      </c>
      <c r="H1074" s="31" t="n">
        <v>9329.18</v>
      </c>
      <c r="I1074" t="inlineStr">
        <is>
          <t>Paid</t>
        </is>
      </c>
      <c r="K1074" s="29" t="n">
        <v>45815</v>
      </c>
      <c r="L1074" s="33" t="n"/>
    </row>
    <row r="1075">
      <c r="A1075" t="inlineStr">
        <is>
          <t>CLM515111</t>
        </is>
      </c>
      <c r="B1075" t="inlineStr">
        <is>
          <t>ENC115111</t>
        </is>
      </c>
      <c r="C1075" t="inlineStr">
        <is>
          <t>Keystone Health Partners</t>
        </is>
      </c>
      <c r="D1075" t="inlineStr">
        <is>
          <t>Outpatient</t>
        </is>
      </c>
      <c r="E1075" s="29" t="n">
        <v>45793</v>
      </c>
      <c r="F1075" s="29" t="n">
        <v>45796</v>
      </c>
      <c r="G1075" s="31" t="n">
        <v>325.57</v>
      </c>
      <c r="H1075" s="31" t="n">
        <v>0</v>
      </c>
      <c r="I1075" t="inlineStr">
        <is>
          <t>Denied</t>
        </is>
      </c>
      <c r="J1075" t="inlineStr">
        <is>
          <t>Authorization Required</t>
        </is>
      </c>
      <c r="L1075" s="33" t="n"/>
    </row>
    <row r="1076">
      <c r="A1076" t="inlineStr">
        <is>
          <t>CLM515112</t>
        </is>
      </c>
      <c r="B1076" t="inlineStr">
        <is>
          <t>ENC115112</t>
        </is>
      </c>
      <c r="C1076" t="inlineStr">
        <is>
          <t>Silverline Medicare Advantage</t>
        </is>
      </c>
      <c r="D1076" t="inlineStr">
        <is>
          <t>Inpatient</t>
        </is>
      </c>
      <c r="E1076" s="29" t="n">
        <v>45798</v>
      </c>
      <c r="F1076" s="29" t="n">
        <v>45929</v>
      </c>
      <c r="G1076" s="31" t="n">
        <v>48253.7</v>
      </c>
      <c r="H1076" s="31" t="n">
        <v>0</v>
      </c>
      <c r="I1076" t="inlineStr">
        <is>
          <t>Denied</t>
        </is>
      </c>
      <c r="J1076" t="inlineStr">
        <is>
          <t>Authorization Required</t>
        </is>
      </c>
      <c r="L1076" s="33" t="n"/>
    </row>
    <row r="1077">
      <c r="A1077" t="inlineStr">
        <is>
          <t>CLM515116</t>
        </is>
      </c>
      <c r="B1077" t="inlineStr">
        <is>
          <t>ENC115116</t>
        </is>
      </c>
      <c r="C1077" t="inlineStr">
        <is>
          <t>Medicare</t>
        </is>
      </c>
      <c r="D1077" t="inlineStr">
        <is>
          <t>Outpatient</t>
        </is>
      </c>
      <c r="E1077" s="29" t="n">
        <v>45793</v>
      </c>
      <c r="F1077" s="29" t="n">
        <v>45795</v>
      </c>
      <c r="G1077" s="31" t="n">
        <v>308.44</v>
      </c>
      <c r="H1077" s="31" t="n">
        <v>78.93000000000001</v>
      </c>
      <c r="I1077" t="inlineStr">
        <is>
          <t>Paid</t>
        </is>
      </c>
      <c r="K1077" s="29" t="n">
        <v>45807</v>
      </c>
      <c r="L1077" s="33" t="n"/>
    </row>
    <row r="1078">
      <c r="A1078" t="inlineStr">
        <is>
          <t>CLM515119</t>
        </is>
      </c>
      <c r="B1078" t="inlineStr">
        <is>
          <t>ENC115119</t>
        </is>
      </c>
      <c r="C1078" t="inlineStr">
        <is>
          <t>Evergreen Mutual Insurance</t>
        </is>
      </c>
      <c r="D1078" t="inlineStr">
        <is>
          <t>Outpatient</t>
        </is>
      </c>
      <c r="E1078" s="29" t="n">
        <v>45793</v>
      </c>
      <c r="F1078" s="29" t="n">
        <v>45796</v>
      </c>
      <c r="G1078" s="31" t="n">
        <v>161.12</v>
      </c>
      <c r="H1078" s="31" t="n">
        <v>67.25</v>
      </c>
      <c r="I1078" t="inlineStr">
        <is>
          <t>Paid</t>
        </is>
      </c>
      <c r="K1078" s="29" t="n">
        <v>45836</v>
      </c>
      <c r="L1078" s="33" t="n"/>
    </row>
    <row r="1079">
      <c r="A1079" t="inlineStr">
        <is>
          <t>CLM515129</t>
        </is>
      </c>
      <c r="B1079" t="inlineStr">
        <is>
          <t>ENC115129</t>
        </is>
      </c>
      <c r="C1079" t="inlineStr">
        <is>
          <t>Evergreen Mutual Insurance</t>
        </is>
      </c>
      <c r="D1079" t="inlineStr">
        <is>
          <t>Inpatient</t>
        </is>
      </c>
      <c r="E1079" s="29" t="n">
        <v>45797</v>
      </c>
      <c r="F1079" s="29" t="n">
        <v>45799</v>
      </c>
      <c r="G1079" s="31" t="n">
        <v>34310.75</v>
      </c>
      <c r="H1079" s="31" t="n">
        <v>14395.92</v>
      </c>
      <c r="I1079" t="inlineStr">
        <is>
          <t>Paid</t>
        </is>
      </c>
      <c r="K1079" s="29" t="n">
        <v>45822</v>
      </c>
      <c r="L1079" s="33" t="n"/>
    </row>
    <row r="1080">
      <c r="A1080" t="inlineStr">
        <is>
          <t>CLM515137</t>
        </is>
      </c>
      <c r="B1080" t="inlineStr">
        <is>
          <t>ENC115137</t>
        </is>
      </c>
      <c r="C1080" t="inlineStr">
        <is>
          <t>State Medicaid</t>
        </is>
      </c>
      <c r="D1080" t="inlineStr">
        <is>
          <t>Emergency</t>
        </is>
      </c>
      <c r="E1080" s="29" t="n">
        <v>45794</v>
      </c>
      <c r="F1080" s="29" t="n">
        <v>45802</v>
      </c>
      <c r="G1080" s="31" t="n">
        <v>2794.88</v>
      </c>
      <c r="H1080" s="31" t="n">
        <v>454.73</v>
      </c>
      <c r="I1080" t="inlineStr">
        <is>
          <t>Partially Paid</t>
        </is>
      </c>
      <c r="J1080" t="inlineStr">
        <is>
          <t>Medical Necessity</t>
        </is>
      </c>
      <c r="K1080" s="29" t="n">
        <v>45895</v>
      </c>
      <c r="L1080" s="33" t="n"/>
    </row>
    <row r="1081">
      <c r="A1081" t="inlineStr">
        <is>
          <t>CLM515153</t>
        </is>
      </c>
      <c r="B1081" t="inlineStr">
        <is>
          <t>ENC115153</t>
        </is>
      </c>
      <c r="C1081" t="inlineStr">
        <is>
          <t>Summit Choice PPO</t>
        </is>
      </c>
      <c r="D1081" t="inlineStr">
        <is>
          <t>Inpatient</t>
        </is>
      </c>
      <c r="E1081" s="29" t="n">
        <v>45798</v>
      </c>
      <c r="F1081" s="29" t="n">
        <v>45807</v>
      </c>
      <c r="G1081" s="31" t="n">
        <v>17722.18</v>
      </c>
      <c r="H1081" s="31" t="n">
        <v>4130.75</v>
      </c>
      <c r="I1081" t="inlineStr">
        <is>
          <t>Partially Paid</t>
        </is>
      </c>
      <c r="J1081" t="inlineStr">
        <is>
          <t>Medical Necessity</t>
        </is>
      </c>
      <c r="K1081" s="29" t="n">
        <v>45841</v>
      </c>
      <c r="L1081" s="33" t="n"/>
    </row>
    <row r="1082">
      <c r="A1082" t="inlineStr">
        <is>
          <t>CLM515155</t>
        </is>
      </c>
      <c r="B1082" t="inlineStr">
        <is>
          <t>ENC115155</t>
        </is>
      </c>
      <c r="C1082" t="inlineStr">
        <is>
          <t>Medicare</t>
        </is>
      </c>
      <c r="D1082" t="inlineStr">
        <is>
          <t>Emergency</t>
        </is>
      </c>
      <c r="E1082" s="29" t="n">
        <v>45795</v>
      </c>
      <c r="F1082" s="29" t="n">
        <v>45873</v>
      </c>
      <c r="G1082" s="31" t="n">
        <v>3627.59</v>
      </c>
      <c r="H1082" s="31" t="n">
        <v>1067.39</v>
      </c>
      <c r="I1082" t="inlineStr">
        <is>
          <t>Paid</t>
        </is>
      </c>
      <c r="K1082" s="29" t="n">
        <v>45884</v>
      </c>
      <c r="L1082" s="33" t="n"/>
    </row>
    <row r="1083">
      <c r="A1083" t="inlineStr">
        <is>
          <t>CLM515157</t>
        </is>
      </c>
      <c r="B1083" t="inlineStr">
        <is>
          <t>ENC115157</t>
        </is>
      </c>
      <c r="C1083" t="inlineStr">
        <is>
          <t>Keystone Health Partners</t>
        </is>
      </c>
      <c r="D1083" t="inlineStr">
        <is>
          <t>Inpatient</t>
        </is>
      </c>
      <c r="E1083" s="29" t="n">
        <v>45796</v>
      </c>
      <c r="F1083" s="29" t="n">
        <v>45800</v>
      </c>
      <c r="G1083" s="31" t="n">
        <v>14496.87</v>
      </c>
      <c r="H1083" s="31" t="n">
        <v>7055.89</v>
      </c>
      <c r="I1083" t="inlineStr">
        <is>
          <t>Paid</t>
        </is>
      </c>
      <c r="K1083" s="29" t="n">
        <v>45828</v>
      </c>
      <c r="L1083" s="33" t="n"/>
    </row>
    <row r="1084">
      <c r="A1084" t="inlineStr">
        <is>
          <t>CLM515166</t>
        </is>
      </c>
      <c r="B1084" t="inlineStr">
        <is>
          <t>ENC115166</t>
        </is>
      </c>
      <c r="C1084" t="inlineStr">
        <is>
          <t>Silverline Medicare Advantage</t>
        </is>
      </c>
      <c r="D1084" t="inlineStr">
        <is>
          <t>Emergency</t>
        </is>
      </c>
      <c r="E1084" s="29" t="n">
        <v>45795</v>
      </c>
      <c r="F1084" s="29" t="n">
        <v>45796</v>
      </c>
      <c r="G1084" s="31" t="n">
        <v>1798.52</v>
      </c>
      <c r="H1084" s="31" t="n">
        <v>0</v>
      </c>
      <c r="I1084" t="inlineStr">
        <is>
          <t>Denied</t>
        </is>
      </c>
      <c r="J1084" t="inlineStr">
        <is>
          <t>Coding Error</t>
        </is>
      </c>
      <c r="L1084" s="33" t="n"/>
    </row>
    <row r="1085">
      <c r="A1085" t="inlineStr">
        <is>
          <t>CLM515167</t>
        </is>
      </c>
      <c r="B1085" t="inlineStr">
        <is>
          <t>ENC115167</t>
        </is>
      </c>
      <c r="C1085" t="inlineStr">
        <is>
          <t>Medicare</t>
        </is>
      </c>
      <c r="D1085" t="inlineStr">
        <is>
          <t>Observation</t>
        </is>
      </c>
      <c r="E1085" s="29" t="n">
        <v>45797</v>
      </c>
      <c r="F1085" s="29" t="n">
        <v>45799</v>
      </c>
      <c r="G1085" s="31" t="n">
        <v>5579.19</v>
      </c>
      <c r="H1085" s="31" t="n">
        <v>1744.18</v>
      </c>
      <c r="I1085" t="inlineStr">
        <is>
          <t>Paid</t>
        </is>
      </c>
      <c r="K1085" s="29" t="n">
        <v>45805</v>
      </c>
      <c r="L1085" s="33" t="n"/>
    </row>
    <row r="1086">
      <c r="A1086" t="inlineStr">
        <is>
          <t>CLM515173</t>
        </is>
      </c>
      <c r="B1086" t="inlineStr">
        <is>
          <t>ENC115173</t>
        </is>
      </c>
      <c r="C1086" t="inlineStr">
        <is>
          <t>State Medicaid</t>
        </is>
      </c>
      <c r="D1086" t="inlineStr">
        <is>
          <t>Inpatient</t>
        </is>
      </c>
      <c r="E1086" s="29" t="n">
        <v>45801</v>
      </c>
      <c r="F1086" s="29" t="n">
        <v>45802</v>
      </c>
      <c r="G1086" s="31" t="n">
        <v>31889.47</v>
      </c>
      <c r="H1086" s="31" t="n">
        <v>0</v>
      </c>
      <c r="I1086" t="inlineStr">
        <is>
          <t>Denied</t>
        </is>
      </c>
      <c r="J1086" t="inlineStr">
        <is>
          <t>Authorization Required</t>
        </is>
      </c>
      <c r="L1086" s="33" t="n"/>
    </row>
    <row r="1087">
      <c r="A1087" t="inlineStr">
        <is>
          <t>CLM515179</t>
        </is>
      </c>
      <c r="B1087" t="inlineStr">
        <is>
          <t>ENC115179</t>
        </is>
      </c>
      <c r="C1087" t="inlineStr">
        <is>
          <t>Medicare</t>
        </is>
      </c>
      <c r="D1087" t="inlineStr">
        <is>
          <t>Outpatient</t>
        </is>
      </c>
      <c r="E1087" s="29" t="n">
        <v>45796</v>
      </c>
      <c r="F1087" s="29" t="n">
        <v>45799</v>
      </c>
      <c r="G1087" s="31" t="n">
        <v>122.15</v>
      </c>
      <c r="H1087" s="31" t="n">
        <v>37.22</v>
      </c>
      <c r="I1087" t="inlineStr">
        <is>
          <t>Paid</t>
        </is>
      </c>
      <c r="K1087" s="29" t="n">
        <v>45815</v>
      </c>
      <c r="L1087" s="33" t="n"/>
    </row>
    <row r="1088">
      <c r="A1088" t="inlineStr">
        <is>
          <t>CLM515181</t>
        </is>
      </c>
      <c r="B1088" t="inlineStr">
        <is>
          <t>ENC115181</t>
        </is>
      </c>
      <c r="C1088" t="inlineStr">
        <is>
          <t>Evergreen Mutual Insurance</t>
        </is>
      </c>
      <c r="D1088" t="inlineStr">
        <is>
          <t>Outpatient</t>
        </is>
      </c>
      <c r="E1088" s="29" t="n">
        <v>45796</v>
      </c>
      <c r="F1088" s="29" t="n">
        <v>45800</v>
      </c>
      <c r="G1088" s="31" t="n">
        <v>229.98</v>
      </c>
      <c r="H1088" s="31" t="n">
        <v>107.16</v>
      </c>
      <c r="I1088" t="inlineStr">
        <is>
          <t>Paid</t>
        </is>
      </c>
      <c r="K1088" s="29" t="n">
        <v>45818</v>
      </c>
      <c r="L1088" s="33" t="n"/>
    </row>
    <row r="1089">
      <c r="A1089" t="inlineStr">
        <is>
          <t>CLM515184</t>
        </is>
      </c>
      <c r="B1089" t="inlineStr">
        <is>
          <t>ENC115184</t>
        </is>
      </c>
      <c r="C1089" t="inlineStr">
        <is>
          <t>Silverline Medicare Advantage</t>
        </is>
      </c>
      <c r="D1089" t="inlineStr">
        <is>
          <t>Emergency</t>
        </is>
      </c>
      <c r="E1089" s="29" t="n">
        <v>45796</v>
      </c>
      <c r="F1089" s="29" t="n">
        <v>45801</v>
      </c>
      <c r="G1089" s="31" t="n">
        <v>1115.02</v>
      </c>
      <c r="H1089" s="31" t="n">
        <v>328.87</v>
      </c>
      <c r="I1089" t="inlineStr">
        <is>
          <t>Paid</t>
        </is>
      </c>
      <c r="K1089" s="29" t="n">
        <v>45836</v>
      </c>
      <c r="L1089" s="33" t="n"/>
    </row>
    <row r="1090">
      <c r="A1090" t="inlineStr">
        <is>
          <t>CLM515188</t>
        </is>
      </c>
      <c r="B1090" t="inlineStr">
        <is>
          <t>ENC115188</t>
        </is>
      </c>
      <c r="C1090" t="inlineStr">
        <is>
          <t>State Medicaid</t>
        </is>
      </c>
      <c r="D1090" t="inlineStr">
        <is>
          <t>Observation</t>
        </is>
      </c>
      <c r="E1090" s="29" t="n">
        <v>45797</v>
      </c>
      <c r="F1090" s="29" t="n">
        <v>45801</v>
      </c>
      <c r="G1090" s="31" t="n">
        <v>9056.370000000001</v>
      </c>
      <c r="H1090" s="31" t="n">
        <v>2245.66</v>
      </c>
      <c r="I1090" t="inlineStr">
        <is>
          <t>Paid</t>
        </is>
      </c>
      <c r="K1090" s="29" t="n">
        <v>45841</v>
      </c>
      <c r="L1090" s="33" t="n"/>
    </row>
    <row r="1091">
      <c r="A1091" t="inlineStr">
        <is>
          <t>CLM515189</t>
        </is>
      </c>
      <c r="B1091" t="inlineStr">
        <is>
          <t>ENC115189</t>
        </is>
      </c>
      <c r="C1091" t="inlineStr">
        <is>
          <t>Keystone Health Partners</t>
        </is>
      </c>
      <c r="D1091" t="inlineStr">
        <is>
          <t>Outpatient</t>
        </is>
      </c>
      <c r="E1091" s="29" t="n">
        <v>45796</v>
      </c>
      <c r="F1091" s="29" t="n">
        <v>45799</v>
      </c>
      <c r="G1091" s="31" t="n">
        <v>470.48</v>
      </c>
      <c r="H1091" s="31" t="n">
        <v>189.82</v>
      </c>
      <c r="I1091" t="inlineStr">
        <is>
          <t>Paid</t>
        </is>
      </c>
      <c r="K1091" s="29" t="n">
        <v>45829</v>
      </c>
      <c r="L1091" s="33" t="n"/>
    </row>
    <row r="1092">
      <c r="A1092" t="inlineStr">
        <is>
          <t>CLM515191</t>
        </is>
      </c>
      <c r="B1092" t="inlineStr">
        <is>
          <t>ENC115191</t>
        </is>
      </c>
      <c r="C1092" t="inlineStr">
        <is>
          <t>Evergreen Mutual Insurance</t>
        </is>
      </c>
      <c r="D1092" t="inlineStr">
        <is>
          <t>Inpatient</t>
        </is>
      </c>
      <c r="E1092" s="29" t="n">
        <v>45803</v>
      </c>
      <c r="F1092" s="29" t="n">
        <v>45805</v>
      </c>
      <c r="G1092" s="31" t="n">
        <v>31115.3</v>
      </c>
      <c r="H1092" s="31" t="n">
        <v>11055.59</v>
      </c>
      <c r="I1092" t="inlineStr">
        <is>
          <t>Paid</t>
        </is>
      </c>
      <c r="K1092" s="29" t="n">
        <v>45834</v>
      </c>
      <c r="L1092" s="33" t="n"/>
    </row>
    <row r="1093">
      <c r="A1093" t="inlineStr">
        <is>
          <t>CLM515194</t>
        </is>
      </c>
      <c r="B1093" t="inlineStr">
        <is>
          <t>ENC115194</t>
        </is>
      </c>
      <c r="C1093" t="inlineStr">
        <is>
          <t>Medicare</t>
        </is>
      </c>
      <c r="D1093" t="inlineStr">
        <is>
          <t>Inpatient</t>
        </is>
      </c>
      <c r="E1093" s="29" t="n">
        <v>45798</v>
      </c>
      <c r="F1093" s="29" t="n">
        <v>45800</v>
      </c>
      <c r="G1093" s="31" t="n">
        <v>9306.700000000001</v>
      </c>
      <c r="H1093" s="31" t="n">
        <v>2808.86</v>
      </c>
      <c r="I1093" t="inlineStr">
        <is>
          <t>Paid</t>
        </is>
      </c>
      <c r="K1093" s="29" t="n">
        <v>45823</v>
      </c>
      <c r="L1093" s="33" t="n"/>
    </row>
    <row r="1094">
      <c r="A1094" t="inlineStr">
        <is>
          <t>CLM515203</t>
        </is>
      </c>
      <c r="B1094" t="inlineStr">
        <is>
          <t>ENC115203</t>
        </is>
      </c>
      <c r="C1094" t="inlineStr">
        <is>
          <t>Medicare</t>
        </is>
      </c>
      <c r="D1094" t="inlineStr">
        <is>
          <t>Emergency</t>
        </is>
      </c>
      <c r="E1094" s="29" t="n">
        <v>45796</v>
      </c>
      <c r="F1094" s="29" t="n">
        <v>45798</v>
      </c>
      <c r="G1094" s="31" t="n">
        <v>3752.88</v>
      </c>
      <c r="H1094" s="31" t="n">
        <v>1235.77</v>
      </c>
      <c r="I1094" t="inlineStr">
        <is>
          <t>Paid</t>
        </is>
      </c>
      <c r="K1094" s="29" t="n">
        <v>45820</v>
      </c>
      <c r="L1094" s="33" t="n"/>
    </row>
    <row r="1095">
      <c r="A1095" t="inlineStr">
        <is>
          <t>CLM515204</t>
        </is>
      </c>
      <c r="B1095" t="inlineStr">
        <is>
          <t>ENC115204</t>
        </is>
      </c>
      <c r="C1095" t="inlineStr">
        <is>
          <t>Silverline Medicare Advantage</t>
        </is>
      </c>
      <c r="D1095" t="inlineStr">
        <is>
          <t>Inpatient</t>
        </is>
      </c>
      <c r="E1095" s="29" t="n">
        <v>45804</v>
      </c>
      <c r="F1095" s="29" t="n">
        <v>45806</v>
      </c>
      <c r="G1095" s="31" t="n">
        <v>19989.89</v>
      </c>
      <c r="H1095" s="31" t="n">
        <v>5909.89</v>
      </c>
      <c r="I1095" t="inlineStr">
        <is>
          <t>Paid</t>
        </is>
      </c>
      <c r="K1095" s="29" t="n">
        <v>45832</v>
      </c>
      <c r="L1095" s="33" t="n"/>
    </row>
    <row r="1096">
      <c r="A1096" t="inlineStr">
        <is>
          <t>CLM515205</t>
        </is>
      </c>
      <c r="B1096" t="inlineStr">
        <is>
          <t>ENC115205</t>
        </is>
      </c>
      <c r="C1096" t="inlineStr">
        <is>
          <t>Silverline Medicare Advantage</t>
        </is>
      </c>
      <c r="D1096" t="inlineStr">
        <is>
          <t>Inpatient</t>
        </is>
      </c>
      <c r="E1096" s="29" t="n">
        <v>45799</v>
      </c>
      <c r="F1096" s="29" t="n">
        <v>45801</v>
      </c>
      <c r="G1096" s="31" t="n">
        <v>65910.86</v>
      </c>
      <c r="H1096" s="31" t="n">
        <v>0</v>
      </c>
      <c r="I1096" t="inlineStr">
        <is>
          <t>Appealed</t>
        </is>
      </c>
      <c r="J1096" t="inlineStr">
        <is>
          <t>Authorization Required</t>
        </is>
      </c>
      <c r="L1096" s="33" t="n"/>
    </row>
    <row r="1097">
      <c r="A1097" t="inlineStr">
        <is>
          <t>CLM515206</t>
        </is>
      </c>
      <c r="B1097" t="inlineStr">
        <is>
          <t>ENC115206</t>
        </is>
      </c>
      <c r="C1097" t="inlineStr">
        <is>
          <t>Summit Choice PPO</t>
        </is>
      </c>
      <c r="D1097" t="inlineStr">
        <is>
          <t>Emergency</t>
        </is>
      </c>
      <c r="E1097" s="29" t="n">
        <v>45796</v>
      </c>
      <c r="F1097" s="29" t="n">
        <v>45799</v>
      </c>
      <c r="G1097" s="31" t="n">
        <v>1233.33</v>
      </c>
      <c r="H1097" s="31" t="n">
        <v>657.39</v>
      </c>
      <c r="I1097" t="inlineStr">
        <is>
          <t>Paid</t>
        </is>
      </c>
      <c r="K1097" s="29" t="n">
        <v>45810</v>
      </c>
      <c r="L1097" s="33" t="n"/>
    </row>
    <row r="1098">
      <c r="A1098" t="inlineStr">
        <is>
          <t>CLM515216</t>
        </is>
      </c>
      <c r="B1098" t="inlineStr">
        <is>
          <t>ENC115216</t>
        </is>
      </c>
      <c r="C1098" t="inlineStr">
        <is>
          <t>Keystone Health Partners</t>
        </is>
      </c>
      <c r="D1098" t="inlineStr">
        <is>
          <t>Outpatient</t>
        </is>
      </c>
      <c r="E1098" s="29" t="n">
        <v>45797</v>
      </c>
      <c r="F1098" s="29" t="n">
        <v>45803</v>
      </c>
      <c r="G1098" s="31" t="n">
        <v>437.57</v>
      </c>
      <c r="H1098" s="31" t="n">
        <v>0</v>
      </c>
      <c r="I1098" t="inlineStr">
        <is>
          <t>Denied</t>
        </is>
      </c>
      <c r="J1098" t="inlineStr">
        <is>
          <t>Medical Necessity</t>
        </is>
      </c>
      <c r="L1098" s="33" t="n"/>
    </row>
    <row r="1099">
      <c r="A1099" t="inlineStr">
        <is>
          <t>CLM515217</t>
        </is>
      </c>
      <c r="B1099" t="inlineStr">
        <is>
          <t>ENC115217</t>
        </is>
      </c>
      <c r="C1099" t="inlineStr">
        <is>
          <t>Silverline Medicare Advantage</t>
        </is>
      </c>
      <c r="D1099" t="inlineStr">
        <is>
          <t>Outpatient</t>
        </is>
      </c>
      <c r="E1099" s="29" t="n">
        <v>45797</v>
      </c>
      <c r="F1099" s="29" t="n">
        <v>45799</v>
      </c>
      <c r="G1099" s="31" t="n">
        <v>14219.13</v>
      </c>
      <c r="H1099" s="31" t="n">
        <v>4638.02</v>
      </c>
      <c r="I1099" t="inlineStr">
        <is>
          <t>Paid</t>
        </is>
      </c>
      <c r="K1099" s="29" t="n">
        <v>45820</v>
      </c>
      <c r="L1099" s="33" t="n"/>
    </row>
    <row r="1100">
      <c r="A1100" t="inlineStr">
        <is>
          <t>CLM515219</t>
        </is>
      </c>
      <c r="B1100" t="inlineStr">
        <is>
          <t>ENC115219</t>
        </is>
      </c>
      <c r="C1100" t="inlineStr">
        <is>
          <t>State Medicaid</t>
        </is>
      </c>
      <c r="D1100" t="inlineStr">
        <is>
          <t>Outpatient</t>
        </is>
      </c>
      <c r="E1100" s="29" t="n">
        <v>45797</v>
      </c>
      <c r="F1100" s="29" t="n">
        <v>45802</v>
      </c>
      <c r="G1100" s="31" t="n">
        <v>422.01</v>
      </c>
      <c r="H1100" s="31" t="n">
        <v>90.88</v>
      </c>
      <c r="I1100" t="inlineStr">
        <is>
          <t>Paid</t>
        </is>
      </c>
      <c r="K1100" s="29" t="n">
        <v>45832</v>
      </c>
      <c r="L1100" s="33" t="n"/>
    </row>
    <row r="1101">
      <c r="A1101" t="inlineStr">
        <is>
          <t>CLM515222</t>
        </is>
      </c>
      <c r="B1101" t="inlineStr">
        <is>
          <t>ENC115222</t>
        </is>
      </c>
      <c r="C1101" t="inlineStr">
        <is>
          <t>Silverline Medicare Advantage</t>
        </is>
      </c>
      <c r="D1101" t="inlineStr">
        <is>
          <t>Inpatient</t>
        </is>
      </c>
      <c r="E1101" s="29" t="n">
        <v>45801</v>
      </c>
      <c r="F1101" s="29" t="n">
        <v>45803</v>
      </c>
      <c r="G1101" s="31" t="n">
        <v>12645.44</v>
      </c>
      <c r="H1101" s="31" t="n">
        <v>3898.86</v>
      </c>
      <c r="I1101" t="inlineStr">
        <is>
          <t>Paid</t>
        </is>
      </c>
      <c r="K1101" s="29" t="n">
        <v>45819</v>
      </c>
      <c r="L1101" s="33" t="n"/>
    </row>
    <row r="1102">
      <c r="A1102" t="inlineStr">
        <is>
          <t>CLM515229</t>
        </is>
      </c>
      <c r="B1102" t="inlineStr">
        <is>
          <t>ENC115229</t>
        </is>
      </c>
      <c r="C1102" t="inlineStr">
        <is>
          <t>State Medicaid</t>
        </is>
      </c>
      <c r="D1102" t="inlineStr">
        <is>
          <t>Outpatient</t>
        </is>
      </c>
      <c r="E1102" s="29" t="n">
        <v>45797</v>
      </c>
      <c r="F1102" s="29" t="n">
        <v>45803</v>
      </c>
      <c r="G1102" s="31" t="n">
        <v>250.94</v>
      </c>
      <c r="H1102" s="31" t="n">
        <v>62.94</v>
      </c>
      <c r="I1102" t="inlineStr">
        <is>
          <t>Paid</t>
        </is>
      </c>
      <c r="K1102" s="29" t="n">
        <v>45829</v>
      </c>
      <c r="L1102" s="33" t="n"/>
    </row>
    <row r="1103">
      <c r="A1103" t="inlineStr">
        <is>
          <t>CLM515230</t>
        </is>
      </c>
      <c r="B1103" t="inlineStr">
        <is>
          <t>ENC115230</t>
        </is>
      </c>
      <c r="C1103" t="inlineStr">
        <is>
          <t>Medicare</t>
        </is>
      </c>
      <c r="D1103" t="inlineStr">
        <is>
          <t>Emergency</t>
        </is>
      </c>
      <c r="E1103" s="29" t="n">
        <v>45797</v>
      </c>
      <c r="F1103" s="29" t="n">
        <v>45805</v>
      </c>
      <c r="G1103" s="31" t="n">
        <v>2724.33</v>
      </c>
      <c r="H1103" s="31" t="n">
        <v>686.0700000000001</v>
      </c>
      <c r="I1103" t="inlineStr">
        <is>
          <t>Paid</t>
        </is>
      </c>
      <c r="K1103" s="29" t="n">
        <v>45818</v>
      </c>
      <c r="L1103" s="33" t="n"/>
    </row>
    <row r="1104">
      <c r="A1104" t="inlineStr">
        <is>
          <t>CLM515234</t>
        </is>
      </c>
      <c r="B1104" t="inlineStr">
        <is>
          <t>ENC115234</t>
        </is>
      </c>
      <c r="C1104" t="inlineStr">
        <is>
          <t>Silverline Medicare Advantage</t>
        </is>
      </c>
      <c r="D1104" t="inlineStr">
        <is>
          <t>Emergency</t>
        </is>
      </c>
      <c r="E1104" s="29" t="n">
        <v>45797</v>
      </c>
      <c r="F1104" s="29" t="n">
        <v>45801</v>
      </c>
      <c r="G1104" s="31" t="n">
        <v>1806.6</v>
      </c>
      <c r="H1104" s="31" t="n">
        <v>545.78</v>
      </c>
      <c r="I1104" t="inlineStr">
        <is>
          <t>Paid</t>
        </is>
      </c>
      <c r="K1104" s="29" t="n">
        <v>45849</v>
      </c>
      <c r="L1104" s="33" t="n"/>
    </row>
    <row r="1105">
      <c r="A1105" t="inlineStr">
        <is>
          <t>CLM515235</t>
        </is>
      </c>
      <c r="B1105" t="inlineStr">
        <is>
          <t>ENC115235</t>
        </is>
      </c>
      <c r="C1105" t="inlineStr">
        <is>
          <t>Medicare</t>
        </is>
      </c>
      <c r="D1105" t="inlineStr">
        <is>
          <t>Emergency</t>
        </is>
      </c>
      <c r="E1105" s="29" t="n">
        <v>45797</v>
      </c>
      <c r="F1105" s="29" t="n">
        <v>45804</v>
      </c>
      <c r="G1105" s="31" t="n">
        <v>1397.77</v>
      </c>
      <c r="H1105" s="31" t="n">
        <v>373.94</v>
      </c>
      <c r="I1105" t="inlineStr">
        <is>
          <t>Paid</t>
        </is>
      </c>
      <c r="K1105" s="29" t="n">
        <v>45814</v>
      </c>
      <c r="L1105" s="33" t="n"/>
    </row>
    <row r="1106">
      <c r="A1106" t="inlineStr">
        <is>
          <t>CLM515242</t>
        </is>
      </c>
      <c r="B1106" t="inlineStr">
        <is>
          <t>ENC115242</t>
        </is>
      </c>
      <c r="C1106" t="inlineStr">
        <is>
          <t>Medicare</t>
        </is>
      </c>
      <c r="D1106" t="inlineStr">
        <is>
          <t>Outpatient</t>
        </is>
      </c>
      <c r="E1106" s="29" t="n">
        <v>45797</v>
      </c>
      <c r="F1106" s="29" t="n">
        <v>45809</v>
      </c>
      <c r="G1106" s="31" t="n">
        <v>200.12</v>
      </c>
      <c r="H1106" s="31" t="n">
        <v>59.86</v>
      </c>
      <c r="I1106" t="inlineStr">
        <is>
          <t>Paid</t>
        </is>
      </c>
      <c r="K1106" s="29" t="n">
        <v>45824</v>
      </c>
      <c r="L1106" s="33" t="n"/>
    </row>
    <row r="1107">
      <c r="A1107" t="inlineStr">
        <is>
          <t>CLM515245</t>
        </is>
      </c>
      <c r="B1107" t="inlineStr">
        <is>
          <t>ENC115245</t>
        </is>
      </c>
      <c r="C1107" t="inlineStr">
        <is>
          <t>Evergreen Mutual Insurance</t>
        </is>
      </c>
      <c r="D1107" t="inlineStr">
        <is>
          <t>Observation</t>
        </is>
      </c>
      <c r="E1107" s="29" t="n">
        <v>45798</v>
      </c>
      <c r="F1107" s="29" t="n">
        <v>45804</v>
      </c>
      <c r="G1107" s="31" t="n">
        <v>8019.71</v>
      </c>
      <c r="H1107" s="31" t="n">
        <v>3804.56</v>
      </c>
      <c r="I1107" t="inlineStr">
        <is>
          <t>Paid</t>
        </is>
      </c>
      <c r="K1107" s="29" t="n">
        <v>45830</v>
      </c>
      <c r="L1107" s="33" t="n"/>
    </row>
    <row r="1108">
      <c r="A1108" t="inlineStr">
        <is>
          <t>CLM515246</t>
        </is>
      </c>
      <c r="B1108" t="inlineStr">
        <is>
          <t>ENC115246</t>
        </is>
      </c>
      <c r="C1108" t="inlineStr">
        <is>
          <t>Medicare</t>
        </is>
      </c>
      <c r="D1108" t="inlineStr">
        <is>
          <t>Emergency</t>
        </is>
      </c>
      <c r="E1108" s="29" t="n">
        <v>45797</v>
      </c>
      <c r="F1108" s="29" t="n">
        <v>45804</v>
      </c>
      <c r="G1108" s="31" t="n">
        <v>1261.79</v>
      </c>
      <c r="H1108" s="31" t="n">
        <v>381.32</v>
      </c>
      <c r="I1108" t="inlineStr">
        <is>
          <t>Paid</t>
        </is>
      </c>
      <c r="K1108" s="29" t="n">
        <v>45816</v>
      </c>
      <c r="L1108" s="33" t="n"/>
    </row>
    <row r="1109">
      <c r="A1109" t="inlineStr">
        <is>
          <t>CLM515251</t>
        </is>
      </c>
      <c r="B1109" t="inlineStr">
        <is>
          <t>ENC115251</t>
        </is>
      </c>
      <c r="C1109" t="inlineStr">
        <is>
          <t>Evergreen Mutual Insurance</t>
        </is>
      </c>
      <c r="D1109" t="inlineStr">
        <is>
          <t>Inpatient</t>
        </is>
      </c>
      <c r="E1109" s="29" t="n">
        <v>45800</v>
      </c>
      <c r="F1109" s="29" t="n">
        <v>45807</v>
      </c>
      <c r="G1109" s="31" t="n">
        <v>14965.47</v>
      </c>
      <c r="H1109" s="31" t="n">
        <v>0</v>
      </c>
      <c r="I1109" t="inlineStr">
        <is>
          <t>Denied</t>
        </is>
      </c>
      <c r="J1109" t="inlineStr">
        <is>
          <t>Medical Necessity</t>
        </is>
      </c>
      <c r="L1109" s="33" t="n"/>
    </row>
    <row r="1110">
      <c r="A1110" t="inlineStr">
        <is>
          <t>CLM515269</t>
        </is>
      </c>
      <c r="B1110" t="inlineStr">
        <is>
          <t>ENC115269</t>
        </is>
      </c>
      <c r="C1110" t="inlineStr">
        <is>
          <t>Silverline Medicare Advantage</t>
        </is>
      </c>
      <c r="D1110" t="inlineStr">
        <is>
          <t>Outpatient</t>
        </is>
      </c>
      <c r="E1110" s="29" t="n">
        <v>45798</v>
      </c>
      <c r="F1110" s="29" t="n">
        <v>45926</v>
      </c>
      <c r="G1110" s="31" t="n">
        <v>334.47</v>
      </c>
      <c r="H1110" s="31" t="n">
        <v>94.29000000000001</v>
      </c>
      <c r="I1110" t="inlineStr">
        <is>
          <t>Paid</t>
        </is>
      </c>
      <c r="K1110" s="29" t="n">
        <v>45971</v>
      </c>
      <c r="L1110" s="33" t="n"/>
    </row>
    <row r="1111">
      <c r="A1111" t="inlineStr">
        <is>
          <t>CLM515271</t>
        </is>
      </c>
      <c r="B1111" t="inlineStr">
        <is>
          <t>ENC115271</t>
        </is>
      </c>
      <c r="C1111" t="inlineStr">
        <is>
          <t>Medicare</t>
        </is>
      </c>
      <c r="D1111" t="inlineStr">
        <is>
          <t>Inpatient</t>
        </is>
      </c>
      <c r="E1111" s="29" t="n">
        <v>45804</v>
      </c>
      <c r="F1111" s="29" t="n">
        <v>45807</v>
      </c>
      <c r="G1111" s="31" t="n">
        <v>52715.75</v>
      </c>
      <c r="H1111" s="31" t="n">
        <v>15026.87</v>
      </c>
      <c r="I1111" t="inlineStr">
        <is>
          <t>Paid</t>
        </is>
      </c>
      <c r="K1111" s="29" t="n">
        <v>45829</v>
      </c>
      <c r="L1111" s="33" t="n"/>
    </row>
    <row r="1112">
      <c r="A1112" t="inlineStr">
        <is>
          <t>CLM515273</t>
        </is>
      </c>
      <c r="B1112" t="inlineStr">
        <is>
          <t>ENC115273</t>
        </is>
      </c>
      <c r="C1112" t="inlineStr">
        <is>
          <t>State Medicaid</t>
        </is>
      </c>
      <c r="D1112" t="inlineStr">
        <is>
          <t>Inpatient</t>
        </is>
      </c>
      <c r="E1112" s="29" t="n">
        <v>45801</v>
      </c>
      <c r="F1112" s="29" t="n">
        <v>45807</v>
      </c>
      <c r="G1112" s="31" t="n">
        <v>23090.03</v>
      </c>
      <c r="H1112" s="31" t="n">
        <v>5470.82</v>
      </c>
      <c r="I1112" t="inlineStr">
        <is>
          <t>Paid</t>
        </is>
      </c>
      <c r="K1112" s="29" t="n">
        <v>45849</v>
      </c>
      <c r="L1112" s="33" t="n"/>
    </row>
    <row r="1113">
      <c r="A1113" t="inlineStr">
        <is>
          <t>CLM515280</t>
        </is>
      </c>
      <c r="B1113" t="inlineStr">
        <is>
          <t>ENC115280</t>
        </is>
      </c>
      <c r="C1113" t="inlineStr">
        <is>
          <t>Silverline Medicare Advantage</t>
        </is>
      </c>
      <c r="D1113" t="inlineStr">
        <is>
          <t>Outpatient</t>
        </is>
      </c>
      <c r="E1113" s="29" t="n">
        <v>45799</v>
      </c>
      <c r="F1113" s="29" t="n">
        <v>45810</v>
      </c>
      <c r="G1113" s="31" t="n">
        <v>215.08</v>
      </c>
      <c r="H1113" s="31" t="n">
        <v>71.18000000000001</v>
      </c>
      <c r="I1113" t="inlineStr">
        <is>
          <t>Paid</t>
        </is>
      </c>
      <c r="K1113" s="29" t="n">
        <v>45844</v>
      </c>
      <c r="L1113" s="33" t="n"/>
    </row>
    <row r="1114">
      <c r="A1114" t="inlineStr">
        <is>
          <t>CLM515298</t>
        </is>
      </c>
      <c r="B1114" t="inlineStr">
        <is>
          <t>ENC115298</t>
        </is>
      </c>
      <c r="C1114" t="inlineStr">
        <is>
          <t>Keystone Health Partners</t>
        </is>
      </c>
      <c r="D1114" t="inlineStr">
        <is>
          <t>Outpatient</t>
        </is>
      </c>
      <c r="E1114" s="29" t="n">
        <v>45799</v>
      </c>
      <c r="F1114" s="29" t="n">
        <v>45807</v>
      </c>
      <c r="G1114" s="31" t="n">
        <v>379.07</v>
      </c>
      <c r="H1114" s="31" t="n">
        <v>94.42</v>
      </c>
      <c r="I1114" t="inlineStr">
        <is>
          <t>Partially Paid</t>
        </is>
      </c>
      <c r="J1114" t="inlineStr">
        <is>
          <t>Coding Error</t>
        </is>
      </c>
      <c r="K1114" s="29" t="n">
        <v>45837</v>
      </c>
      <c r="L1114" s="33" t="n"/>
    </row>
    <row r="1115">
      <c r="A1115" t="inlineStr">
        <is>
          <t>CLM515305</t>
        </is>
      </c>
      <c r="B1115" t="inlineStr">
        <is>
          <t>ENC115305</t>
        </is>
      </c>
      <c r="C1115" t="inlineStr">
        <is>
          <t>Medicare</t>
        </is>
      </c>
      <c r="D1115" t="inlineStr">
        <is>
          <t>Inpatient</t>
        </is>
      </c>
      <c r="E1115" s="29" t="n">
        <v>45806</v>
      </c>
      <c r="F1115" s="29" t="n">
        <v>45811</v>
      </c>
      <c r="G1115" s="31" t="n">
        <v>32111.85</v>
      </c>
      <c r="H1115" s="31" t="n">
        <v>10631.45</v>
      </c>
      <c r="I1115" t="inlineStr">
        <is>
          <t>Paid</t>
        </is>
      </c>
      <c r="K1115" s="29" t="n">
        <v>45828</v>
      </c>
      <c r="L1115" s="33" t="n"/>
    </row>
    <row r="1116">
      <c r="A1116" t="inlineStr">
        <is>
          <t>CLM515307</t>
        </is>
      </c>
      <c r="B1116" t="inlineStr">
        <is>
          <t>ENC115307</t>
        </is>
      </c>
      <c r="C1116" t="inlineStr">
        <is>
          <t>Medicare</t>
        </is>
      </c>
      <c r="D1116" t="inlineStr">
        <is>
          <t>Inpatient</t>
        </is>
      </c>
      <c r="E1116" s="29" t="n">
        <v>45805</v>
      </c>
      <c r="F1116" s="29" t="n">
        <v>45808</v>
      </c>
      <c r="G1116" s="31" t="n">
        <v>16605.55</v>
      </c>
      <c r="H1116" s="31" t="n">
        <v>4225.84</v>
      </c>
      <c r="I1116" t="inlineStr">
        <is>
          <t>Paid</t>
        </is>
      </c>
      <c r="K1116" s="29" t="n">
        <v>45827</v>
      </c>
      <c r="L1116" s="33" t="n"/>
    </row>
    <row r="1117">
      <c r="A1117" t="inlineStr">
        <is>
          <t>CLM515316</t>
        </is>
      </c>
      <c r="B1117" t="inlineStr">
        <is>
          <t>ENC115316</t>
        </is>
      </c>
      <c r="C1117" t="inlineStr">
        <is>
          <t>Medicare</t>
        </is>
      </c>
      <c r="D1117" t="inlineStr">
        <is>
          <t>Emergency</t>
        </is>
      </c>
      <c r="E1117" s="29" t="n">
        <v>45800</v>
      </c>
      <c r="F1117" s="29" t="n">
        <v>45809</v>
      </c>
      <c r="G1117" s="31" t="n">
        <v>3418.06</v>
      </c>
      <c r="H1117" s="31" t="n">
        <v>996.4299999999999</v>
      </c>
      <c r="I1117" t="inlineStr">
        <is>
          <t>Paid</t>
        </is>
      </c>
      <c r="K1117" s="29" t="n">
        <v>45822</v>
      </c>
      <c r="L1117" s="33" t="n"/>
    </row>
    <row r="1118">
      <c r="A1118" t="inlineStr">
        <is>
          <t>CLM515324</t>
        </is>
      </c>
      <c r="B1118" t="inlineStr">
        <is>
          <t>ENC115324</t>
        </is>
      </c>
      <c r="C1118" t="inlineStr">
        <is>
          <t>Silverline Medicare Advantage</t>
        </is>
      </c>
      <c r="D1118" t="inlineStr">
        <is>
          <t>Inpatient</t>
        </is>
      </c>
      <c r="E1118" s="29" t="n">
        <v>45802</v>
      </c>
      <c r="F1118" s="29" t="n">
        <v>45805</v>
      </c>
      <c r="G1118" s="31" t="n">
        <v>7873.32</v>
      </c>
      <c r="H1118" s="31" t="n">
        <v>0</v>
      </c>
      <c r="I1118" t="inlineStr">
        <is>
          <t>Appealed</t>
        </is>
      </c>
      <c r="J1118" t="inlineStr">
        <is>
          <t>Eligibility / Coverage</t>
        </is>
      </c>
      <c r="L1118" s="33" t="n"/>
    </row>
    <row r="1119">
      <c r="A1119" t="inlineStr">
        <is>
          <t>CLM515325</t>
        </is>
      </c>
      <c r="B1119" t="inlineStr">
        <is>
          <t>ENC115325</t>
        </is>
      </c>
      <c r="C1119" t="inlineStr">
        <is>
          <t>Silverline Medicare Advantage</t>
        </is>
      </c>
      <c r="D1119" t="inlineStr">
        <is>
          <t>Outpatient</t>
        </is>
      </c>
      <c r="E1119" s="29" t="n">
        <v>45800</v>
      </c>
      <c r="F1119" s="29" t="n">
        <v>45802</v>
      </c>
      <c r="G1119" s="31" t="n">
        <v>455.19</v>
      </c>
      <c r="H1119" s="31" t="n">
        <v>155.45</v>
      </c>
      <c r="I1119" t="inlineStr">
        <is>
          <t>Paid</t>
        </is>
      </c>
      <c r="K1119" s="29" t="n">
        <v>45854</v>
      </c>
      <c r="L1119" s="33" t="n"/>
    </row>
    <row r="1120">
      <c r="A1120" t="inlineStr">
        <is>
          <t>CLM515337</t>
        </is>
      </c>
      <c r="B1120" t="inlineStr">
        <is>
          <t>ENC115337</t>
        </is>
      </c>
      <c r="C1120" t="inlineStr">
        <is>
          <t>Medicare</t>
        </is>
      </c>
      <c r="D1120" t="inlineStr">
        <is>
          <t>Emergency</t>
        </is>
      </c>
      <c r="E1120" s="29" t="n">
        <v>45801</v>
      </c>
      <c r="F1120" s="29" t="n">
        <v>45802</v>
      </c>
      <c r="G1120" s="31" t="n">
        <v>3291.88</v>
      </c>
      <c r="H1120" s="31" t="n">
        <v>1034.27</v>
      </c>
      <c r="I1120" t="inlineStr">
        <is>
          <t>Paid</t>
        </is>
      </c>
      <c r="K1120" s="29" t="n">
        <v>45825</v>
      </c>
      <c r="L1120" s="33" t="n"/>
    </row>
    <row r="1121">
      <c r="A1121" t="inlineStr">
        <is>
          <t>CLM515341</t>
        </is>
      </c>
      <c r="B1121" t="inlineStr">
        <is>
          <t>ENC115341</t>
        </is>
      </c>
      <c r="C1121" t="inlineStr">
        <is>
          <t>Silverline Medicare Advantage</t>
        </is>
      </c>
      <c r="D1121" t="inlineStr">
        <is>
          <t>Inpatient</t>
        </is>
      </c>
      <c r="E1121" s="29" t="n">
        <v>45811</v>
      </c>
      <c r="F1121" s="29" t="n">
        <v>45819</v>
      </c>
      <c r="G1121" s="31" t="n">
        <v>78525.23</v>
      </c>
      <c r="H1121" s="31" t="n">
        <v>24574.57</v>
      </c>
      <c r="I1121" t="inlineStr">
        <is>
          <t>Paid</t>
        </is>
      </c>
      <c r="K1121" s="29" t="n">
        <v>45854</v>
      </c>
      <c r="L1121" s="33" t="n"/>
    </row>
    <row r="1122">
      <c r="A1122" t="inlineStr">
        <is>
          <t>CLM515348</t>
        </is>
      </c>
      <c r="B1122" t="inlineStr">
        <is>
          <t>ENC115348</t>
        </is>
      </c>
      <c r="C1122" t="inlineStr">
        <is>
          <t>State Medicaid</t>
        </is>
      </c>
      <c r="D1122" t="inlineStr">
        <is>
          <t>Inpatient</t>
        </is>
      </c>
      <c r="E1122" s="29" t="n">
        <v>45803</v>
      </c>
      <c r="F1122" s="29" t="n">
        <v>45809</v>
      </c>
      <c r="G1122" s="31" t="n">
        <v>21474.19</v>
      </c>
      <c r="H1122" s="31" t="n">
        <v>5053.64</v>
      </c>
      <c r="I1122" t="inlineStr">
        <is>
          <t>Paid</t>
        </is>
      </c>
      <c r="K1122" s="29" t="n">
        <v>45839</v>
      </c>
      <c r="L1122" s="33" t="n"/>
    </row>
    <row r="1123">
      <c r="A1123" t="inlineStr">
        <is>
          <t>CLM515354</t>
        </is>
      </c>
      <c r="B1123" t="inlineStr">
        <is>
          <t>ENC115354</t>
        </is>
      </c>
      <c r="C1123" t="inlineStr">
        <is>
          <t>Evergreen Mutual Insurance</t>
        </is>
      </c>
      <c r="D1123" t="inlineStr">
        <is>
          <t>Inpatient</t>
        </is>
      </c>
      <c r="E1123" s="29" t="n">
        <v>45807</v>
      </c>
      <c r="F1123" s="29" t="n">
        <v>45809</v>
      </c>
      <c r="G1123" s="31" t="n">
        <v>68783.67</v>
      </c>
      <c r="H1123" s="31" t="n">
        <v>32194.55</v>
      </c>
      <c r="I1123" t="inlineStr">
        <is>
          <t>Paid</t>
        </is>
      </c>
      <c r="K1123" s="29" t="n">
        <v>45838</v>
      </c>
      <c r="L1123" s="33" t="n"/>
    </row>
    <row r="1124">
      <c r="A1124" t="inlineStr">
        <is>
          <t>CLM515355</t>
        </is>
      </c>
      <c r="B1124" t="inlineStr">
        <is>
          <t>ENC115355</t>
        </is>
      </c>
      <c r="C1124" t="inlineStr">
        <is>
          <t>State Medicaid</t>
        </is>
      </c>
      <c r="D1124" t="inlineStr">
        <is>
          <t>Inpatient</t>
        </is>
      </c>
      <c r="E1124" s="29" t="n">
        <v>45805</v>
      </c>
      <c r="F1124" s="29" t="n">
        <v>45811</v>
      </c>
      <c r="G1124" s="31" t="n">
        <v>13358.37</v>
      </c>
      <c r="H1124" s="31" t="n">
        <v>3382.15</v>
      </c>
      <c r="I1124" t="inlineStr">
        <is>
          <t>Paid</t>
        </is>
      </c>
      <c r="K1124" s="29" t="n">
        <v>45848</v>
      </c>
      <c r="L1124" s="33" t="n"/>
    </row>
    <row r="1125">
      <c r="A1125" t="inlineStr">
        <is>
          <t>CLM515363</t>
        </is>
      </c>
      <c r="B1125" t="inlineStr">
        <is>
          <t>ENC115363</t>
        </is>
      </c>
      <c r="C1125" t="inlineStr">
        <is>
          <t>Medicare</t>
        </is>
      </c>
      <c r="D1125" t="inlineStr">
        <is>
          <t>Observation</t>
        </is>
      </c>
      <c r="E1125" s="29" t="n">
        <v>45803</v>
      </c>
      <c r="F1125" s="29" t="n">
        <v>45806</v>
      </c>
      <c r="G1125" s="31" t="n">
        <v>9949.48</v>
      </c>
      <c r="H1125" s="31" t="n">
        <v>2986.7</v>
      </c>
      <c r="I1125" t="inlineStr">
        <is>
          <t>Paid</t>
        </is>
      </c>
      <c r="K1125" s="29" t="n">
        <v>45827</v>
      </c>
      <c r="L1125" s="33" t="n"/>
    </row>
    <row r="1126">
      <c r="A1126" t="inlineStr">
        <is>
          <t>CLM515376</t>
        </is>
      </c>
      <c r="B1126" t="inlineStr">
        <is>
          <t>ENC115376</t>
        </is>
      </c>
      <c r="C1126" t="inlineStr">
        <is>
          <t>Medicare</t>
        </is>
      </c>
      <c r="D1126" t="inlineStr">
        <is>
          <t>Outpatient</t>
        </is>
      </c>
      <c r="E1126" s="29" t="n">
        <v>45803</v>
      </c>
      <c r="F1126" s="29" t="n">
        <v>45807</v>
      </c>
      <c r="G1126" s="31" t="n">
        <v>853.3</v>
      </c>
      <c r="H1126" s="31" t="n">
        <v>253.79</v>
      </c>
      <c r="I1126" t="inlineStr">
        <is>
          <t>Paid</t>
        </is>
      </c>
      <c r="K1126" s="29" t="n">
        <v>45814</v>
      </c>
      <c r="L1126" s="33" t="n"/>
    </row>
    <row r="1127">
      <c r="A1127" t="inlineStr">
        <is>
          <t>CLM515378</t>
        </is>
      </c>
      <c r="B1127" t="inlineStr">
        <is>
          <t>ENC115378</t>
        </is>
      </c>
      <c r="C1127" t="inlineStr">
        <is>
          <t>Keystone Health Partners</t>
        </is>
      </c>
      <c r="D1127" t="inlineStr">
        <is>
          <t>Inpatient</t>
        </is>
      </c>
      <c r="E1127" s="29" t="n">
        <v>45806</v>
      </c>
      <c r="F1127" s="29" t="n">
        <v>45808</v>
      </c>
      <c r="G1127" s="31" t="n">
        <v>28821.57</v>
      </c>
      <c r="H1127" s="31" t="n">
        <v>12889.3</v>
      </c>
      <c r="I1127" t="inlineStr">
        <is>
          <t>Paid</t>
        </is>
      </c>
      <c r="K1127" s="29" t="n">
        <v>45822</v>
      </c>
      <c r="L1127" s="33" t="n"/>
    </row>
    <row r="1128">
      <c r="A1128" t="inlineStr">
        <is>
          <t>CLM515381</t>
        </is>
      </c>
      <c r="B1128" t="inlineStr">
        <is>
          <t>ENC115381</t>
        </is>
      </c>
      <c r="C1128" t="inlineStr">
        <is>
          <t>Self-Pay</t>
        </is>
      </c>
      <c r="D1128" t="inlineStr">
        <is>
          <t>Outpatient</t>
        </is>
      </c>
      <c r="E1128" s="29" t="n">
        <v>45803</v>
      </c>
      <c r="F1128" s="29" t="n">
        <v>45809</v>
      </c>
      <c r="G1128" s="31" t="n">
        <v>364.64</v>
      </c>
      <c r="H1128" s="31" t="n">
        <v>21.26</v>
      </c>
      <c r="I1128" t="inlineStr">
        <is>
          <t>Partially Paid</t>
        </is>
      </c>
      <c r="K1128" s="29" t="n">
        <v>45842</v>
      </c>
      <c r="L1128" s="33" t="n"/>
    </row>
    <row r="1129">
      <c r="A1129" t="inlineStr">
        <is>
          <t>CLM515383</t>
        </is>
      </c>
      <c r="B1129" t="inlineStr">
        <is>
          <t>ENC115383</t>
        </is>
      </c>
      <c r="C1129" t="inlineStr">
        <is>
          <t>Keystone Health Partners</t>
        </is>
      </c>
      <c r="D1129" t="inlineStr">
        <is>
          <t>Inpatient</t>
        </is>
      </c>
      <c r="E1129" s="29" t="n">
        <v>45811</v>
      </c>
      <c r="F1129" s="29" t="n">
        <v>45813</v>
      </c>
      <c r="G1129" s="31" t="n">
        <v>20893.5</v>
      </c>
      <c r="H1129" s="31" t="n">
        <v>10031.31</v>
      </c>
      <c r="I1129" t="inlineStr">
        <is>
          <t>Paid</t>
        </is>
      </c>
      <c r="K1129" s="29" t="n">
        <v>45835</v>
      </c>
      <c r="L1129" s="33" t="n"/>
    </row>
    <row r="1130">
      <c r="A1130" t="inlineStr">
        <is>
          <t>CLM515384</t>
        </is>
      </c>
      <c r="B1130" t="inlineStr">
        <is>
          <t>ENC115384</t>
        </is>
      </c>
      <c r="C1130" t="inlineStr">
        <is>
          <t>State Medicaid</t>
        </is>
      </c>
      <c r="D1130" t="inlineStr">
        <is>
          <t>Emergency</t>
        </is>
      </c>
      <c r="E1130" s="29" t="n">
        <v>45803</v>
      </c>
      <c r="F1130" s="29" t="n">
        <v>45809</v>
      </c>
      <c r="G1130" s="31" t="n">
        <v>643.17</v>
      </c>
      <c r="H1130" s="31" t="n">
        <v>154.78</v>
      </c>
      <c r="I1130" t="inlineStr">
        <is>
          <t>Paid</t>
        </is>
      </c>
      <c r="K1130" s="29" t="n">
        <v>45833</v>
      </c>
      <c r="L1130" s="33" t="n"/>
    </row>
    <row r="1131">
      <c r="A1131" t="inlineStr">
        <is>
          <t>CLM515387</t>
        </is>
      </c>
      <c r="B1131" t="inlineStr">
        <is>
          <t>ENC115387</t>
        </is>
      </c>
      <c r="C1131" t="inlineStr">
        <is>
          <t>Medicare</t>
        </is>
      </c>
      <c r="D1131" t="inlineStr">
        <is>
          <t>Outpatient</t>
        </is>
      </c>
      <c r="E1131" s="29" t="n">
        <v>45803</v>
      </c>
      <c r="F1131" s="29" t="n">
        <v>45811</v>
      </c>
      <c r="G1131" s="31" t="n">
        <v>284.71</v>
      </c>
      <c r="H1131" s="31" t="n">
        <v>76.83</v>
      </c>
      <c r="I1131" t="inlineStr">
        <is>
          <t>Paid</t>
        </is>
      </c>
      <c r="K1131" s="29" t="n">
        <v>45832</v>
      </c>
      <c r="L1131" s="33" t="n"/>
    </row>
    <row r="1132">
      <c r="A1132" t="inlineStr">
        <is>
          <t>CLM515391</t>
        </is>
      </c>
      <c r="B1132" t="inlineStr">
        <is>
          <t>ENC115391</t>
        </is>
      </c>
      <c r="C1132" t="inlineStr">
        <is>
          <t>Keystone Health Partners</t>
        </is>
      </c>
      <c r="D1132" t="inlineStr">
        <is>
          <t>Outpatient</t>
        </is>
      </c>
      <c r="E1132" s="29" t="n">
        <v>45803</v>
      </c>
      <c r="F1132" s="29" t="n">
        <v>45806</v>
      </c>
      <c r="G1132" s="31" t="n">
        <v>377.15</v>
      </c>
      <c r="H1132" s="31" t="n">
        <v>165.24</v>
      </c>
      <c r="I1132" t="inlineStr">
        <is>
          <t>Paid</t>
        </is>
      </c>
      <c r="K1132" s="29" t="n">
        <v>45822</v>
      </c>
      <c r="L1132" s="33" t="n"/>
    </row>
    <row r="1133">
      <c r="A1133" t="inlineStr">
        <is>
          <t>CLM515394</t>
        </is>
      </c>
      <c r="B1133" t="inlineStr">
        <is>
          <t>ENC115394</t>
        </is>
      </c>
      <c r="C1133" t="inlineStr">
        <is>
          <t>State Medicaid</t>
        </is>
      </c>
      <c r="D1133" t="inlineStr">
        <is>
          <t>Emergency</t>
        </is>
      </c>
      <c r="E1133" s="29" t="n">
        <v>45803</v>
      </c>
      <c r="F1133" s="29" t="n">
        <v>45814</v>
      </c>
      <c r="G1133" s="31" t="n">
        <v>1188.83</v>
      </c>
      <c r="H1133" s="31" t="n">
        <v>327.67</v>
      </c>
      <c r="I1133" t="inlineStr">
        <is>
          <t>Paid</t>
        </is>
      </c>
      <c r="K1133" s="29" t="n">
        <v>45831</v>
      </c>
      <c r="L1133" s="33" t="n"/>
    </row>
    <row r="1134">
      <c r="A1134" t="inlineStr">
        <is>
          <t>CLM515397</t>
        </is>
      </c>
      <c r="B1134" t="inlineStr">
        <is>
          <t>ENC115397</t>
        </is>
      </c>
      <c r="C1134" t="inlineStr">
        <is>
          <t>Silverline Medicare Advantage</t>
        </is>
      </c>
      <c r="D1134" t="inlineStr">
        <is>
          <t>Inpatient</t>
        </is>
      </c>
      <c r="E1134" s="29" t="n">
        <v>45806</v>
      </c>
      <c r="F1134" s="29" t="n">
        <v>45813</v>
      </c>
      <c r="G1134" s="31" t="n">
        <v>11005.35</v>
      </c>
      <c r="H1134" s="31" t="n">
        <v>0</v>
      </c>
      <c r="I1134" t="inlineStr">
        <is>
          <t>Denied</t>
        </is>
      </c>
      <c r="J1134" t="inlineStr">
        <is>
          <t>Medical Necessity</t>
        </is>
      </c>
      <c r="L1134" s="33" t="n"/>
    </row>
    <row r="1135">
      <c r="A1135" t="inlineStr">
        <is>
          <t>CLM515400</t>
        </is>
      </c>
      <c r="B1135" t="inlineStr">
        <is>
          <t>ENC115400</t>
        </is>
      </c>
      <c r="C1135" t="inlineStr">
        <is>
          <t>State Medicaid</t>
        </is>
      </c>
      <c r="D1135" t="inlineStr">
        <is>
          <t>Emergency</t>
        </is>
      </c>
      <c r="E1135" s="29" t="n">
        <v>45804</v>
      </c>
      <c r="F1135" s="29" t="n">
        <v>45806</v>
      </c>
      <c r="G1135" s="31" t="n">
        <v>3271.82</v>
      </c>
      <c r="H1135" s="31" t="n">
        <v>877.51</v>
      </c>
      <c r="I1135" t="inlineStr">
        <is>
          <t>Paid</t>
        </is>
      </c>
      <c r="K1135" s="29" t="n">
        <v>45849</v>
      </c>
      <c r="L1135" s="33" t="n"/>
    </row>
    <row r="1136">
      <c r="A1136" t="inlineStr">
        <is>
          <t>CLM515408</t>
        </is>
      </c>
      <c r="B1136" t="inlineStr">
        <is>
          <t>ENC115408</t>
        </is>
      </c>
      <c r="C1136" t="inlineStr">
        <is>
          <t>Medicare</t>
        </is>
      </c>
      <c r="D1136" t="inlineStr">
        <is>
          <t>Emergency</t>
        </is>
      </c>
      <c r="E1136" s="29" t="n">
        <v>45804</v>
      </c>
      <c r="F1136" s="29" t="n">
        <v>45807</v>
      </c>
      <c r="G1136" s="31" t="n">
        <v>1622.8</v>
      </c>
      <c r="H1136" s="31" t="n">
        <v>533.3200000000001</v>
      </c>
      <c r="I1136" t="inlineStr">
        <is>
          <t>Paid</t>
        </is>
      </c>
      <c r="K1136" s="29" t="n">
        <v>45829</v>
      </c>
      <c r="L1136" s="33" t="n"/>
    </row>
    <row r="1137">
      <c r="A1137" t="inlineStr">
        <is>
          <t>CLM515411</t>
        </is>
      </c>
      <c r="B1137" t="inlineStr">
        <is>
          <t>ENC115411</t>
        </is>
      </c>
      <c r="C1137" t="inlineStr">
        <is>
          <t>Silverline Medicare Advantage</t>
        </is>
      </c>
      <c r="D1137" t="inlineStr">
        <is>
          <t>Observation</t>
        </is>
      </c>
      <c r="E1137" s="29" t="n">
        <v>45805</v>
      </c>
      <c r="F1137" s="29" t="n">
        <v>45809</v>
      </c>
      <c r="G1137" s="31" t="n">
        <v>7753.32</v>
      </c>
      <c r="H1137" s="31" t="n">
        <v>2297.74</v>
      </c>
      <c r="I1137" t="inlineStr">
        <is>
          <t>Paid</t>
        </is>
      </c>
      <c r="K1137" s="29" t="n">
        <v>45837</v>
      </c>
      <c r="L1137" s="33" t="n"/>
    </row>
    <row r="1138">
      <c r="A1138" t="inlineStr">
        <is>
          <t>CLM515412</t>
        </is>
      </c>
      <c r="B1138" t="inlineStr">
        <is>
          <t>ENC115412</t>
        </is>
      </c>
      <c r="C1138" t="inlineStr">
        <is>
          <t>State Medicaid</t>
        </is>
      </c>
      <c r="D1138" t="inlineStr">
        <is>
          <t>Emergency</t>
        </is>
      </c>
      <c r="E1138" s="29" t="n">
        <v>45804</v>
      </c>
      <c r="F1138" s="29" t="n">
        <v>45809</v>
      </c>
      <c r="G1138" s="31" t="n">
        <v>3312.38</v>
      </c>
      <c r="H1138" s="31" t="n">
        <v>816.8</v>
      </c>
      <c r="I1138" t="inlineStr">
        <is>
          <t>Paid</t>
        </is>
      </c>
      <c r="K1138" s="29" t="n">
        <v>45828</v>
      </c>
      <c r="L1138" s="33" t="n"/>
    </row>
    <row r="1139">
      <c r="A1139" t="inlineStr">
        <is>
          <t>CLM515414</t>
        </is>
      </c>
      <c r="B1139" t="inlineStr">
        <is>
          <t>ENC115414</t>
        </is>
      </c>
      <c r="C1139" t="inlineStr">
        <is>
          <t>Self-Pay</t>
        </is>
      </c>
      <c r="D1139" t="inlineStr">
        <is>
          <t>Outpatient</t>
        </is>
      </c>
      <c r="E1139" s="29" t="n">
        <v>45804</v>
      </c>
      <c r="F1139" s="29" t="n">
        <v>45806</v>
      </c>
      <c r="G1139" s="31" t="n">
        <v>14143.43</v>
      </c>
      <c r="H1139" s="31" t="n">
        <v>0</v>
      </c>
      <c r="I1139" t="inlineStr">
        <is>
          <t>Pending</t>
        </is>
      </c>
      <c r="L1139" s="33" t="n"/>
    </row>
    <row r="1140">
      <c r="A1140" t="inlineStr">
        <is>
          <t>CLM515415</t>
        </is>
      </c>
      <c r="B1140" t="inlineStr">
        <is>
          <t>ENC115415</t>
        </is>
      </c>
      <c r="C1140" t="inlineStr">
        <is>
          <t>Self-Pay</t>
        </is>
      </c>
      <c r="D1140" t="inlineStr">
        <is>
          <t>Outpatient</t>
        </is>
      </c>
      <c r="E1140" s="29" t="n">
        <v>45804</v>
      </c>
      <c r="F1140" s="29" t="n">
        <v>45806</v>
      </c>
      <c r="G1140" s="31" t="n">
        <v>331.51</v>
      </c>
      <c r="H1140" s="31" t="n">
        <v>33.84</v>
      </c>
      <c r="I1140" t="inlineStr">
        <is>
          <t>Partially Paid</t>
        </is>
      </c>
      <c r="K1140" s="29" t="n">
        <v>45830</v>
      </c>
      <c r="L1140" s="33" t="n"/>
    </row>
    <row r="1141">
      <c r="A1141" t="inlineStr">
        <is>
          <t>CLM515418</t>
        </is>
      </c>
      <c r="B1141" t="inlineStr">
        <is>
          <t>ENC115418</t>
        </is>
      </c>
      <c r="C1141" t="inlineStr">
        <is>
          <t>Self-Pay</t>
        </is>
      </c>
      <c r="D1141" t="inlineStr">
        <is>
          <t>Inpatient</t>
        </is>
      </c>
      <c r="E1141" s="29" t="n">
        <v>45809</v>
      </c>
      <c r="F1141" s="29" t="n">
        <v>45816</v>
      </c>
      <c r="G1141" s="31" t="n">
        <v>15969.93</v>
      </c>
      <c r="H1141" s="31" t="n">
        <v>6283.6</v>
      </c>
      <c r="I1141" t="inlineStr">
        <is>
          <t>Paid</t>
        </is>
      </c>
      <c r="K1141" s="29" t="n">
        <v>45879</v>
      </c>
      <c r="L1141" s="33" t="n"/>
    </row>
    <row r="1142">
      <c r="A1142" t="inlineStr">
        <is>
          <t>CLM515421</t>
        </is>
      </c>
      <c r="B1142" t="inlineStr">
        <is>
          <t>ENC115421</t>
        </is>
      </c>
      <c r="C1142" t="inlineStr">
        <is>
          <t>Medicare</t>
        </is>
      </c>
      <c r="D1142" t="inlineStr">
        <is>
          <t>Outpatient</t>
        </is>
      </c>
      <c r="E1142" s="29" t="n">
        <v>45804</v>
      </c>
      <c r="F1142" s="29" t="n">
        <v>45809</v>
      </c>
      <c r="G1142" s="31" t="n">
        <v>217.6</v>
      </c>
      <c r="H1142" s="31" t="n">
        <v>67.95999999999999</v>
      </c>
      <c r="I1142" t="inlineStr">
        <is>
          <t>Paid</t>
        </is>
      </c>
      <c r="K1142" s="29" t="n">
        <v>45828</v>
      </c>
      <c r="L1142" s="33" t="n"/>
    </row>
    <row r="1143">
      <c r="A1143" t="inlineStr">
        <is>
          <t>CLM515430</t>
        </is>
      </c>
      <c r="B1143" t="inlineStr">
        <is>
          <t>ENC115430</t>
        </is>
      </c>
      <c r="C1143" t="inlineStr">
        <is>
          <t>Keystone Health Partners</t>
        </is>
      </c>
      <c r="D1143" t="inlineStr">
        <is>
          <t>Emergency</t>
        </is>
      </c>
      <c r="E1143" s="29" t="n">
        <v>45804</v>
      </c>
      <c r="F1143" s="29" t="n">
        <v>45810</v>
      </c>
      <c r="G1143" s="31" t="n">
        <v>1237.01</v>
      </c>
      <c r="H1143" s="31" t="n">
        <v>544.6900000000001</v>
      </c>
      <c r="I1143" t="inlineStr">
        <is>
          <t>Paid</t>
        </is>
      </c>
      <c r="K1143" s="29" t="n">
        <v>45839</v>
      </c>
      <c r="L1143" s="33" t="n"/>
    </row>
    <row r="1144">
      <c r="A1144" t="inlineStr">
        <is>
          <t>CLM515435</t>
        </is>
      </c>
      <c r="B1144" t="inlineStr">
        <is>
          <t>ENC115435</t>
        </is>
      </c>
      <c r="C1144" t="inlineStr">
        <is>
          <t>Self-Pay</t>
        </is>
      </c>
      <c r="D1144" t="inlineStr">
        <is>
          <t>Inpatient</t>
        </is>
      </c>
      <c r="E1144" s="29" t="n">
        <v>45813</v>
      </c>
      <c r="F1144" s="29" t="n">
        <v>45920</v>
      </c>
      <c r="G1144" s="31" t="n">
        <v>98218.00999999999</v>
      </c>
      <c r="H1144" s="31" t="n">
        <v>0</v>
      </c>
      <c r="I1144" t="inlineStr">
        <is>
          <t>Pending</t>
        </is>
      </c>
      <c r="L1144" s="33" t="n"/>
    </row>
    <row r="1145">
      <c r="A1145" t="inlineStr">
        <is>
          <t>CLM515436</t>
        </is>
      </c>
      <c r="B1145" t="inlineStr">
        <is>
          <t>ENC115436</t>
        </is>
      </c>
      <c r="C1145" t="inlineStr">
        <is>
          <t>Self-Pay</t>
        </is>
      </c>
      <c r="D1145" t="inlineStr">
        <is>
          <t>Inpatient</t>
        </is>
      </c>
      <c r="E1145" s="29" t="n">
        <v>45807</v>
      </c>
      <c r="F1145" s="29" t="n">
        <v>45811</v>
      </c>
      <c r="G1145" s="31" t="n">
        <v>47849.54</v>
      </c>
      <c r="H1145" s="31" t="n">
        <v>12932.94</v>
      </c>
      <c r="I1145" t="inlineStr">
        <is>
          <t>Partially Paid</t>
        </is>
      </c>
      <c r="K1145" s="29" t="n">
        <v>45875</v>
      </c>
      <c r="L1145" s="33" t="n"/>
    </row>
    <row r="1146">
      <c r="A1146" t="inlineStr">
        <is>
          <t>CLM515437</t>
        </is>
      </c>
      <c r="B1146" t="inlineStr">
        <is>
          <t>ENC115437</t>
        </is>
      </c>
      <c r="C1146" t="inlineStr">
        <is>
          <t>State Medicaid</t>
        </is>
      </c>
      <c r="D1146" t="inlineStr">
        <is>
          <t>Inpatient</t>
        </is>
      </c>
      <c r="E1146" s="29" t="n">
        <v>45810</v>
      </c>
      <c r="F1146" s="29" t="n">
        <v>45811</v>
      </c>
      <c r="G1146" s="31" t="n">
        <v>19230.74</v>
      </c>
      <c r="H1146" s="31" t="n">
        <v>4146.13</v>
      </c>
      <c r="I1146" t="inlineStr">
        <is>
          <t>Paid</t>
        </is>
      </c>
      <c r="K1146" s="29" t="n">
        <v>45835</v>
      </c>
      <c r="L1146" s="33" t="n"/>
    </row>
    <row r="1147">
      <c r="A1147" t="inlineStr">
        <is>
          <t>CLM515438</t>
        </is>
      </c>
      <c r="B1147" t="inlineStr">
        <is>
          <t>ENC115438</t>
        </is>
      </c>
      <c r="C1147" t="inlineStr">
        <is>
          <t>State Medicaid</t>
        </is>
      </c>
      <c r="D1147" t="inlineStr">
        <is>
          <t>Emergency</t>
        </is>
      </c>
      <c r="E1147" s="29" t="n">
        <v>45805</v>
      </c>
      <c r="F1147" s="29" t="n">
        <v>45808</v>
      </c>
      <c r="G1147" s="31" t="n">
        <v>842.5700000000001</v>
      </c>
      <c r="H1147" s="31" t="n">
        <v>186.33</v>
      </c>
      <c r="I1147" t="inlineStr">
        <is>
          <t>Paid</t>
        </is>
      </c>
      <c r="K1147" s="29" t="n">
        <v>45843</v>
      </c>
      <c r="L1147" s="33" t="n"/>
    </row>
    <row r="1148">
      <c r="A1148" t="inlineStr">
        <is>
          <t>CLM515440</t>
        </is>
      </c>
      <c r="B1148" t="inlineStr">
        <is>
          <t>ENC115440</t>
        </is>
      </c>
      <c r="C1148" t="inlineStr">
        <is>
          <t>Medicare</t>
        </is>
      </c>
      <c r="D1148" t="inlineStr">
        <is>
          <t>Inpatient</t>
        </is>
      </c>
      <c r="E1148" s="29" t="n">
        <v>45807</v>
      </c>
      <c r="F1148" s="29" t="n">
        <v>45810</v>
      </c>
      <c r="G1148" s="31" t="n">
        <v>8126.74</v>
      </c>
      <c r="H1148" s="31" t="n">
        <v>2471.71</v>
      </c>
      <c r="I1148" t="inlineStr">
        <is>
          <t>Paid</t>
        </is>
      </c>
      <c r="K1148" s="29" t="n">
        <v>45818</v>
      </c>
      <c r="L1148" s="33" t="n"/>
    </row>
    <row r="1149">
      <c r="A1149" t="inlineStr">
        <is>
          <t>CLM515447</t>
        </is>
      </c>
      <c r="B1149" t="inlineStr">
        <is>
          <t>ENC115447</t>
        </is>
      </c>
      <c r="C1149" t="inlineStr">
        <is>
          <t>Keystone Health Partners</t>
        </is>
      </c>
      <c r="D1149" t="inlineStr">
        <is>
          <t>Outpatient</t>
        </is>
      </c>
      <c r="E1149" s="29" t="n">
        <v>45805</v>
      </c>
      <c r="F1149" s="29" t="n">
        <v>45806</v>
      </c>
      <c r="G1149" s="31" t="n">
        <v>365.64</v>
      </c>
      <c r="H1149" s="31" t="n">
        <v>173.58</v>
      </c>
      <c r="I1149" t="inlineStr">
        <is>
          <t>Paid</t>
        </is>
      </c>
      <c r="K1149" s="29" t="n">
        <v>45829</v>
      </c>
      <c r="L1149" s="33" t="n"/>
    </row>
    <row r="1150">
      <c r="A1150" t="inlineStr">
        <is>
          <t>CLM515454</t>
        </is>
      </c>
      <c r="B1150" t="inlineStr">
        <is>
          <t>ENC115454</t>
        </is>
      </c>
      <c r="C1150" t="inlineStr">
        <is>
          <t>Silverline Medicare Advantage</t>
        </is>
      </c>
      <c r="D1150" t="inlineStr">
        <is>
          <t>Outpatient</t>
        </is>
      </c>
      <c r="E1150" s="29" t="n">
        <v>45805</v>
      </c>
      <c r="F1150" s="29" t="n">
        <v>45814</v>
      </c>
      <c r="G1150" s="31" t="n">
        <v>229.49</v>
      </c>
      <c r="H1150" s="31" t="n">
        <v>72.2</v>
      </c>
      <c r="I1150" t="inlineStr">
        <is>
          <t>Paid</t>
        </is>
      </c>
      <c r="K1150" s="29" t="n">
        <v>45838</v>
      </c>
      <c r="L1150" s="33" t="n"/>
    </row>
    <row r="1151">
      <c r="A1151" t="inlineStr">
        <is>
          <t>CLM515459</t>
        </is>
      </c>
      <c r="B1151" t="inlineStr">
        <is>
          <t>ENC115459</t>
        </is>
      </c>
      <c r="C1151" t="inlineStr">
        <is>
          <t>Evergreen Mutual Insurance</t>
        </is>
      </c>
      <c r="D1151" t="inlineStr">
        <is>
          <t>Inpatient</t>
        </is>
      </c>
      <c r="E1151" s="29" t="n">
        <v>45811</v>
      </c>
      <c r="F1151" s="29" t="n">
        <v>45817</v>
      </c>
      <c r="G1151" s="31" t="n">
        <v>19714.92</v>
      </c>
      <c r="H1151" s="31" t="n">
        <v>6956.9</v>
      </c>
      <c r="I1151" t="inlineStr">
        <is>
          <t>Partially Paid</t>
        </is>
      </c>
      <c r="J1151" t="inlineStr">
        <is>
          <t>Coding Error</t>
        </is>
      </c>
      <c r="K1151" s="29" t="n">
        <v>45892</v>
      </c>
      <c r="L1151" s="33" t="n"/>
    </row>
    <row r="1152">
      <c r="A1152" t="inlineStr">
        <is>
          <t>CLM515479</t>
        </is>
      </c>
      <c r="B1152" t="inlineStr">
        <is>
          <t>ENC115479</t>
        </is>
      </c>
      <c r="C1152" t="inlineStr">
        <is>
          <t>Silverline Medicare Advantage</t>
        </is>
      </c>
      <c r="D1152" t="inlineStr">
        <is>
          <t>Emergency</t>
        </is>
      </c>
      <c r="E1152" s="29" t="n">
        <v>45806</v>
      </c>
      <c r="F1152" s="29" t="n">
        <v>45809</v>
      </c>
      <c r="G1152" s="31" t="n">
        <v>4240.97</v>
      </c>
      <c r="H1152" s="31" t="n">
        <v>1421.1</v>
      </c>
      <c r="I1152" t="inlineStr">
        <is>
          <t>Paid</t>
        </is>
      </c>
      <c r="K1152" s="29" t="n">
        <v>45831</v>
      </c>
      <c r="L1152" s="33" t="n"/>
    </row>
    <row r="1153">
      <c r="A1153" t="inlineStr">
        <is>
          <t>CLM515481</t>
        </is>
      </c>
      <c r="B1153" t="inlineStr">
        <is>
          <t>ENC115481</t>
        </is>
      </c>
      <c r="C1153" t="inlineStr">
        <is>
          <t>State Medicaid</t>
        </is>
      </c>
      <c r="D1153" t="inlineStr">
        <is>
          <t>Emergency</t>
        </is>
      </c>
      <c r="E1153" s="29" t="n">
        <v>45806</v>
      </c>
      <c r="F1153" s="29" t="n">
        <v>45811</v>
      </c>
      <c r="G1153" s="31" t="n">
        <v>3536.36</v>
      </c>
      <c r="H1153" s="31" t="n">
        <v>883.84</v>
      </c>
      <c r="I1153" t="inlineStr">
        <is>
          <t>Paid</t>
        </is>
      </c>
      <c r="K1153" s="29" t="n">
        <v>45842</v>
      </c>
      <c r="L1153" s="33" t="n"/>
    </row>
    <row r="1154">
      <c r="A1154" t="inlineStr">
        <is>
          <t>CLM515482</t>
        </is>
      </c>
      <c r="B1154" t="inlineStr">
        <is>
          <t>ENC115482</t>
        </is>
      </c>
      <c r="C1154" t="inlineStr">
        <is>
          <t>Summit Choice PPO</t>
        </is>
      </c>
      <c r="D1154" t="inlineStr">
        <is>
          <t>Outpatient</t>
        </is>
      </c>
      <c r="E1154" s="29" t="n">
        <v>45806</v>
      </c>
      <c r="F1154" s="29" t="n">
        <v>45813</v>
      </c>
      <c r="G1154" s="31" t="n">
        <v>382.5</v>
      </c>
      <c r="H1154" s="31" t="n">
        <v>153.57</v>
      </c>
      <c r="I1154" t="inlineStr">
        <is>
          <t>Paid</t>
        </is>
      </c>
      <c r="K1154" s="29" t="n">
        <v>45833</v>
      </c>
      <c r="L1154" s="33" t="n"/>
    </row>
    <row r="1155">
      <c r="A1155" t="inlineStr">
        <is>
          <t>CLM515485</t>
        </is>
      </c>
      <c r="B1155" t="inlineStr">
        <is>
          <t>ENC115485</t>
        </is>
      </c>
      <c r="C1155" t="inlineStr">
        <is>
          <t>Keystone Health Partners</t>
        </is>
      </c>
      <c r="D1155" t="inlineStr">
        <is>
          <t>Outpatient</t>
        </is>
      </c>
      <c r="E1155" s="29" t="n">
        <v>45806</v>
      </c>
      <c r="F1155" s="29" t="n">
        <v>45812</v>
      </c>
      <c r="G1155" s="31" t="n">
        <v>197.1</v>
      </c>
      <c r="H1155" s="31" t="n">
        <v>103.08</v>
      </c>
      <c r="I1155" t="inlineStr">
        <is>
          <t>Paid</t>
        </is>
      </c>
      <c r="K1155" s="29" t="n">
        <v>45831</v>
      </c>
      <c r="L1155" s="33" t="n"/>
    </row>
    <row r="1156">
      <c r="A1156" t="inlineStr">
        <is>
          <t>CLM515489</t>
        </is>
      </c>
      <c r="B1156" t="inlineStr">
        <is>
          <t>ENC115489</t>
        </is>
      </c>
      <c r="C1156" t="inlineStr">
        <is>
          <t>State Medicaid</t>
        </is>
      </c>
      <c r="D1156" t="inlineStr">
        <is>
          <t>Outpatient</t>
        </is>
      </c>
      <c r="E1156" s="29" t="n">
        <v>45806</v>
      </c>
      <c r="F1156" s="29" t="n">
        <v>45812</v>
      </c>
      <c r="G1156" s="31" t="n">
        <v>1195.44</v>
      </c>
      <c r="H1156" s="31" t="n">
        <v>346.21</v>
      </c>
      <c r="I1156" t="inlineStr">
        <is>
          <t>Paid</t>
        </is>
      </c>
      <c r="K1156" s="29" t="n">
        <v>45861</v>
      </c>
      <c r="L1156" s="33" t="n"/>
    </row>
    <row r="1157">
      <c r="A1157" t="inlineStr">
        <is>
          <t>CLM515493</t>
        </is>
      </c>
      <c r="B1157" t="inlineStr">
        <is>
          <t>ENC115493</t>
        </is>
      </c>
      <c r="C1157" t="inlineStr">
        <is>
          <t>State Medicaid</t>
        </is>
      </c>
      <c r="D1157" t="inlineStr">
        <is>
          <t>Emergency</t>
        </is>
      </c>
      <c r="E1157" s="29" t="n">
        <v>45806</v>
      </c>
      <c r="F1157" s="29" t="n">
        <v>45937</v>
      </c>
      <c r="G1157" s="31" t="n">
        <v>1374.19</v>
      </c>
      <c r="H1157" s="31" t="n">
        <v>324.66</v>
      </c>
      <c r="I1157" t="inlineStr">
        <is>
          <t>Paid</t>
        </is>
      </c>
      <c r="K1157" s="29" t="n">
        <v>45970</v>
      </c>
      <c r="L1157" s="33" t="n"/>
    </row>
    <row r="1158">
      <c r="A1158" t="inlineStr">
        <is>
          <t>CLM515497</t>
        </is>
      </c>
      <c r="B1158" t="inlineStr">
        <is>
          <t>ENC115497</t>
        </is>
      </c>
      <c r="C1158" t="inlineStr">
        <is>
          <t>Medicare</t>
        </is>
      </c>
      <c r="D1158" t="inlineStr">
        <is>
          <t>Inpatient</t>
        </is>
      </c>
      <c r="E1158" s="29" t="n">
        <v>45809</v>
      </c>
      <c r="F1158" s="29" t="n">
        <v>45813</v>
      </c>
      <c r="G1158" s="31" t="n">
        <v>5195.41</v>
      </c>
      <c r="H1158" s="31" t="n">
        <v>634.41</v>
      </c>
      <c r="I1158" t="inlineStr">
        <is>
          <t>Partially Paid</t>
        </is>
      </c>
      <c r="J1158" t="inlineStr">
        <is>
          <t>Medical Necessity</t>
        </is>
      </c>
      <c r="K1158" s="29" t="n">
        <v>45830</v>
      </c>
      <c r="L1158" s="33" t="n"/>
    </row>
    <row r="1159">
      <c r="A1159" t="inlineStr">
        <is>
          <t>CLM515499</t>
        </is>
      </c>
      <c r="B1159" t="inlineStr">
        <is>
          <t>ENC115499</t>
        </is>
      </c>
      <c r="C1159" t="inlineStr">
        <is>
          <t>Keystone Health Partners</t>
        </is>
      </c>
      <c r="D1159" t="inlineStr">
        <is>
          <t>Inpatient</t>
        </is>
      </c>
      <c r="E1159" s="29" t="n">
        <v>45808</v>
      </c>
      <c r="F1159" s="29" t="n">
        <v>45809</v>
      </c>
      <c r="G1159" s="31" t="n">
        <v>12007.04</v>
      </c>
      <c r="H1159" s="31" t="n">
        <v>6570.18</v>
      </c>
      <c r="I1159" t="inlineStr">
        <is>
          <t>Paid</t>
        </is>
      </c>
      <c r="K1159" s="29" t="n">
        <v>45830</v>
      </c>
      <c r="L1159" s="33" t="n"/>
    </row>
    <row r="1160">
      <c r="A1160" t="inlineStr">
        <is>
          <t>CLM515501</t>
        </is>
      </c>
      <c r="B1160" t="inlineStr">
        <is>
          <t>ENC115501</t>
        </is>
      </c>
      <c r="C1160" t="inlineStr">
        <is>
          <t>State Medicaid</t>
        </is>
      </c>
      <c r="D1160" t="inlineStr">
        <is>
          <t>Inpatient</t>
        </is>
      </c>
      <c r="E1160" s="29" t="n">
        <v>45808</v>
      </c>
      <c r="F1160" s="29" t="n">
        <v>45811</v>
      </c>
      <c r="G1160" s="31" t="n">
        <v>6234.09</v>
      </c>
      <c r="H1160" s="31" t="n">
        <v>1364.51</v>
      </c>
      <c r="I1160" t="inlineStr">
        <is>
          <t>Paid</t>
        </is>
      </c>
      <c r="K1160" s="29" t="n">
        <v>45839</v>
      </c>
      <c r="L1160" s="33" t="n"/>
    </row>
    <row r="1161">
      <c r="A1161" t="inlineStr">
        <is>
          <t>CLM515505</t>
        </is>
      </c>
      <c r="B1161" t="inlineStr">
        <is>
          <t>ENC115505</t>
        </is>
      </c>
      <c r="C1161" t="inlineStr">
        <is>
          <t>Evergreen Mutual Insurance</t>
        </is>
      </c>
      <c r="D1161" t="inlineStr">
        <is>
          <t>Outpatient</t>
        </is>
      </c>
      <c r="E1161" s="29" t="n">
        <v>45807</v>
      </c>
      <c r="F1161" s="29" t="n">
        <v>45816</v>
      </c>
      <c r="G1161" s="31" t="n">
        <v>335.09</v>
      </c>
      <c r="H1161" s="31" t="n">
        <v>152.52</v>
      </c>
      <c r="I1161" t="inlineStr">
        <is>
          <t>Paid</t>
        </is>
      </c>
      <c r="K1161" s="29" t="n">
        <v>45841</v>
      </c>
      <c r="L1161" s="33" t="n"/>
    </row>
    <row r="1162">
      <c r="A1162" t="inlineStr">
        <is>
          <t>CLM515510</t>
        </is>
      </c>
      <c r="B1162" t="inlineStr">
        <is>
          <t>ENC115510</t>
        </is>
      </c>
      <c r="C1162" t="inlineStr">
        <is>
          <t>State Medicaid</t>
        </is>
      </c>
      <c r="D1162" t="inlineStr">
        <is>
          <t>Outpatient</t>
        </is>
      </c>
      <c r="E1162" s="29" t="n">
        <v>45807</v>
      </c>
      <c r="F1162" s="29" t="n">
        <v>45811</v>
      </c>
      <c r="G1162" s="31" t="n">
        <v>132.16</v>
      </c>
      <c r="H1162" s="31" t="n">
        <v>0</v>
      </c>
      <c r="I1162" t="inlineStr">
        <is>
          <t>Appealed</t>
        </is>
      </c>
      <c r="J1162" t="inlineStr">
        <is>
          <t>Authorization Required</t>
        </is>
      </c>
      <c r="L1162" s="33" t="n"/>
    </row>
    <row r="1163">
      <c r="A1163" t="inlineStr">
        <is>
          <t>CLM515512</t>
        </is>
      </c>
      <c r="B1163" t="inlineStr">
        <is>
          <t>ENC115512</t>
        </is>
      </c>
      <c r="C1163" t="inlineStr">
        <is>
          <t>Silverline Medicare Advantage</t>
        </is>
      </c>
      <c r="D1163" t="inlineStr">
        <is>
          <t>Outpatient</t>
        </is>
      </c>
      <c r="E1163" s="29" t="n">
        <v>45807</v>
      </c>
      <c r="F1163" s="29" t="n">
        <v>45811</v>
      </c>
      <c r="G1163" s="31" t="n">
        <v>430.09</v>
      </c>
      <c r="H1163" s="31" t="n">
        <v>128.45</v>
      </c>
      <c r="I1163" t="inlineStr">
        <is>
          <t>Paid</t>
        </is>
      </c>
      <c r="K1163" s="29" t="n">
        <v>45829</v>
      </c>
      <c r="L1163" s="33" t="n"/>
    </row>
    <row r="1164">
      <c r="A1164" t="inlineStr">
        <is>
          <t>CLM515514</t>
        </is>
      </c>
      <c r="B1164" t="inlineStr">
        <is>
          <t>ENC115514</t>
        </is>
      </c>
      <c r="C1164" t="inlineStr">
        <is>
          <t>State Medicaid</t>
        </is>
      </c>
      <c r="D1164" t="inlineStr">
        <is>
          <t>Inpatient</t>
        </is>
      </c>
      <c r="E1164" s="29" t="n">
        <v>45810</v>
      </c>
      <c r="F1164" s="29" t="n">
        <v>45814</v>
      </c>
      <c r="G1164" s="31" t="n">
        <v>20833.87</v>
      </c>
      <c r="H1164" s="31" t="n">
        <v>4604.93</v>
      </c>
      <c r="I1164" t="inlineStr">
        <is>
          <t>Paid</t>
        </is>
      </c>
      <c r="K1164" s="29" t="n">
        <v>45839</v>
      </c>
      <c r="L1164" s="33" t="n"/>
    </row>
    <row r="1165">
      <c r="A1165" t="inlineStr">
        <is>
          <t>CLM515517</t>
        </is>
      </c>
      <c r="B1165" t="inlineStr">
        <is>
          <t>ENC115517</t>
        </is>
      </c>
      <c r="C1165" t="inlineStr">
        <is>
          <t>Summit Choice PPO</t>
        </is>
      </c>
      <c r="D1165" t="inlineStr">
        <is>
          <t>Outpatient</t>
        </is>
      </c>
      <c r="E1165" s="29" t="n">
        <v>45807</v>
      </c>
      <c r="F1165" s="29" t="n">
        <v>45809</v>
      </c>
      <c r="G1165" s="31" t="n">
        <v>256.63</v>
      </c>
      <c r="H1165" s="31" t="n">
        <v>131.77</v>
      </c>
      <c r="I1165" t="inlineStr">
        <is>
          <t>Paid</t>
        </is>
      </c>
      <c r="K1165" s="29" t="n">
        <v>45823</v>
      </c>
      <c r="L1165" s="33" t="n"/>
    </row>
    <row r="1166">
      <c r="A1166" t="inlineStr">
        <is>
          <t>CLM515520</t>
        </is>
      </c>
      <c r="B1166" t="inlineStr">
        <is>
          <t>ENC115520</t>
        </is>
      </c>
      <c r="C1166" t="inlineStr">
        <is>
          <t>State Medicaid</t>
        </is>
      </c>
      <c r="D1166" t="inlineStr">
        <is>
          <t>Outpatient</t>
        </is>
      </c>
      <c r="E1166" s="29" t="n">
        <v>45807</v>
      </c>
      <c r="F1166" s="29" t="n">
        <v>45809</v>
      </c>
      <c r="G1166" s="31" t="n">
        <v>400.17</v>
      </c>
      <c r="H1166" s="31" t="n">
        <v>99.8</v>
      </c>
      <c r="I1166" t="inlineStr">
        <is>
          <t>Paid</t>
        </is>
      </c>
      <c r="K1166" s="29" t="n">
        <v>45834</v>
      </c>
      <c r="L1166" s="33" t="n"/>
    </row>
    <row r="1167">
      <c r="A1167" t="inlineStr">
        <is>
          <t>CLM515537</t>
        </is>
      </c>
      <c r="B1167" t="inlineStr">
        <is>
          <t>ENC115537</t>
        </is>
      </c>
      <c r="C1167" t="inlineStr">
        <is>
          <t>Medicare</t>
        </is>
      </c>
      <c r="D1167" t="inlineStr">
        <is>
          <t>Emergency</t>
        </is>
      </c>
      <c r="E1167" s="29" t="n">
        <v>45808</v>
      </c>
      <c r="F1167" s="29" t="n">
        <v>45815</v>
      </c>
      <c r="G1167" s="31" t="n">
        <v>5358.68</v>
      </c>
      <c r="H1167" s="31" t="n">
        <v>1660.79</v>
      </c>
      <c r="I1167" t="inlineStr">
        <is>
          <t>Paid</t>
        </is>
      </c>
      <c r="K1167" s="29" t="n">
        <v>45828</v>
      </c>
      <c r="L1167" s="33" t="n"/>
    </row>
    <row r="1168">
      <c r="A1168" t="inlineStr">
        <is>
          <t>CLM515539</t>
        </is>
      </c>
      <c r="B1168" t="inlineStr">
        <is>
          <t>ENC115539</t>
        </is>
      </c>
      <c r="C1168" t="inlineStr">
        <is>
          <t>Medicare</t>
        </is>
      </c>
      <c r="D1168" t="inlineStr">
        <is>
          <t>Emergency</t>
        </is>
      </c>
      <c r="E1168" s="29" t="n">
        <v>45808</v>
      </c>
      <c r="F1168" s="29" t="n">
        <v>45810</v>
      </c>
      <c r="G1168" s="31" t="n">
        <v>751.46</v>
      </c>
      <c r="H1168" s="31" t="n">
        <v>196.12</v>
      </c>
      <c r="I1168" t="inlineStr">
        <is>
          <t>Paid</t>
        </is>
      </c>
      <c r="K1168" s="29" t="n">
        <v>45821</v>
      </c>
      <c r="L1168" s="33" t="n"/>
    </row>
    <row r="1169">
      <c r="A1169" t="inlineStr">
        <is>
          <t>CLM515542</t>
        </is>
      </c>
      <c r="B1169" t="inlineStr">
        <is>
          <t>ENC115542</t>
        </is>
      </c>
      <c r="C1169" t="inlineStr">
        <is>
          <t>Summit Choice PPO</t>
        </is>
      </c>
      <c r="D1169" t="inlineStr">
        <is>
          <t>Inpatient</t>
        </is>
      </c>
      <c r="E1169" s="29" t="n">
        <v>45810</v>
      </c>
      <c r="F1169" s="29" t="n">
        <v>45813</v>
      </c>
      <c r="G1169" s="31" t="n">
        <v>14896.64</v>
      </c>
      <c r="H1169" s="31" t="n">
        <v>7446.02</v>
      </c>
      <c r="I1169" t="inlineStr">
        <is>
          <t>Paid</t>
        </is>
      </c>
      <c r="K1169" s="29" t="n">
        <v>45825</v>
      </c>
      <c r="L1169" s="33" t="n"/>
    </row>
    <row r="1170">
      <c r="A1170" t="inlineStr">
        <is>
          <t>CLM515544</t>
        </is>
      </c>
      <c r="B1170" t="inlineStr">
        <is>
          <t>ENC115544</t>
        </is>
      </c>
      <c r="C1170" t="inlineStr">
        <is>
          <t>Evergreen Mutual Insurance</t>
        </is>
      </c>
      <c r="D1170" t="inlineStr">
        <is>
          <t>Inpatient</t>
        </is>
      </c>
      <c r="E1170" s="29" t="n">
        <v>45810</v>
      </c>
      <c r="F1170" s="29" t="n">
        <v>45818</v>
      </c>
      <c r="G1170" s="31" t="n">
        <v>13529.06</v>
      </c>
      <c r="H1170" s="31" t="n">
        <v>0</v>
      </c>
      <c r="I1170" t="inlineStr">
        <is>
          <t>Appealed</t>
        </is>
      </c>
      <c r="J1170" t="inlineStr">
        <is>
          <t>Coding Error</t>
        </is>
      </c>
      <c r="L1170" s="33" t="n"/>
    </row>
    <row r="1171">
      <c r="A1171" t="inlineStr">
        <is>
          <t>CLM515546</t>
        </is>
      </c>
      <c r="B1171" t="inlineStr">
        <is>
          <t>ENC115546</t>
        </is>
      </c>
      <c r="C1171" t="inlineStr">
        <is>
          <t>Silverline Medicare Advantage</t>
        </is>
      </c>
      <c r="D1171" t="inlineStr">
        <is>
          <t>Observation</t>
        </is>
      </c>
      <c r="E1171" s="29" t="n">
        <v>45810</v>
      </c>
      <c r="F1171" s="29" t="n">
        <v>45814</v>
      </c>
      <c r="G1171" s="31" t="n">
        <v>7125.44</v>
      </c>
      <c r="H1171" s="31" t="n">
        <v>2296.02</v>
      </c>
      <c r="I1171" t="inlineStr">
        <is>
          <t>Paid</t>
        </is>
      </c>
      <c r="K1171" s="29" t="n">
        <v>45838</v>
      </c>
      <c r="L1171" s="33" t="n"/>
    </row>
    <row r="1172">
      <c r="A1172" t="inlineStr">
        <is>
          <t>CLM515556</t>
        </is>
      </c>
      <c r="B1172" t="inlineStr">
        <is>
          <t>ENC115556</t>
        </is>
      </c>
      <c r="C1172" t="inlineStr">
        <is>
          <t>Evergreen Mutual Insurance</t>
        </is>
      </c>
      <c r="D1172" t="inlineStr">
        <is>
          <t>Emergency</t>
        </is>
      </c>
      <c r="E1172" s="29" t="n">
        <v>45809</v>
      </c>
      <c r="F1172" s="29" t="n">
        <v>45811</v>
      </c>
      <c r="G1172" s="31" t="n">
        <v>3052.23</v>
      </c>
      <c r="H1172" s="31" t="n">
        <v>0</v>
      </c>
      <c r="I1172" t="inlineStr">
        <is>
          <t>Denied</t>
        </is>
      </c>
      <c r="J1172" t="inlineStr">
        <is>
          <t>Medical Necessity</t>
        </is>
      </c>
      <c r="L1172" s="33" t="n"/>
    </row>
    <row r="1173">
      <c r="A1173" t="inlineStr">
        <is>
          <t>CLM515561</t>
        </is>
      </c>
      <c r="B1173" t="inlineStr">
        <is>
          <t>ENC115561</t>
        </is>
      </c>
      <c r="C1173" t="inlineStr">
        <is>
          <t>State Medicaid</t>
        </is>
      </c>
      <c r="D1173" t="inlineStr">
        <is>
          <t>Emergency</t>
        </is>
      </c>
      <c r="E1173" s="29" t="n">
        <v>45810</v>
      </c>
      <c r="F1173" s="29" t="n">
        <v>45813</v>
      </c>
      <c r="G1173" s="31" t="n">
        <v>2607.61</v>
      </c>
      <c r="H1173" s="31" t="n">
        <v>598.28</v>
      </c>
      <c r="I1173" t="inlineStr">
        <is>
          <t>Paid</t>
        </is>
      </c>
      <c r="K1173" s="29" t="n">
        <v>45851</v>
      </c>
      <c r="L1173" s="33" t="n"/>
    </row>
    <row r="1174">
      <c r="A1174" t="inlineStr">
        <is>
          <t>CLM515562</t>
        </is>
      </c>
      <c r="B1174" t="inlineStr">
        <is>
          <t>ENC115562</t>
        </is>
      </c>
      <c r="C1174" t="inlineStr">
        <is>
          <t>Keystone Health Partners</t>
        </is>
      </c>
      <c r="D1174" t="inlineStr">
        <is>
          <t>Emergency</t>
        </is>
      </c>
      <c r="E1174" s="29" t="n">
        <v>45810</v>
      </c>
      <c r="F1174" s="29" t="n">
        <v>45816</v>
      </c>
      <c r="G1174" s="31" t="n">
        <v>1004.53</v>
      </c>
      <c r="H1174" s="31" t="n">
        <v>409.11</v>
      </c>
      <c r="I1174" t="inlineStr">
        <is>
          <t>Paid</t>
        </is>
      </c>
      <c r="K1174" s="29" t="n">
        <v>45835</v>
      </c>
      <c r="L1174" s="33" t="n"/>
    </row>
    <row r="1175">
      <c r="A1175" t="inlineStr">
        <is>
          <t>CLM515567</t>
        </is>
      </c>
      <c r="B1175" t="inlineStr">
        <is>
          <t>ENC115567</t>
        </is>
      </c>
      <c r="C1175" t="inlineStr">
        <is>
          <t>Summit Choice PPO</t>
        </is>
      </c>
      <c r="D1175" t="inlineStr">
        <is>
          <t>Outpatient</t>
        </is>
      </c>
      <c r="E1175" s="29" t="n">
        <v>45810</v>
      </c>
      <c r="F1175" s="29" t="n">
        <v>45816</v>
      </c>
      <c r="G1175" s="31" t="n">
        <v>11603.25</v>
      </c>
      <c r="H1175" s="31" t="n">
        <v>5631.2</v>
      </c>
      <c r="I1175" t="inlineStr">
        <is>
          <t>Paid</t>
        </is>
      </c>
      <c r="K1175" s="29" t="n">
        <v>45835</v>
      </c>
      <c r="L1175" s="33" t="n"/>
    </row>
    <row r="1176">
      <c r="A1176" t="inlineStr">
        <is>
          <t>CLM515577</t>
        </is>
      </c>
      <c r="B1176" t="inlineStr">
        <is>
          <t>ENC115577</t>
        </is>
      </c>
      <c r="C1176" t="inlineStr">
        <is>
          <t>Summit Choice PPO</t>
        </is>
      </c>
      <c r="D1176" t="inlineStr">
        <is>
          <t>Inpatient</t>
        </is>
      </c>
      <c r="E1176" s="29" t="n">
        <v>45813</v>
      </c>
      <c r="F1176" s="29" t="n">
        <v>45819</v>
      </c>
      <c r="G1176" s="31" t="n">
        <v>24978.28</v>
      </c>
      <c r="H1176" s="31" t="n">
        <v>10422.87</v>
      </c>
      <c r="I1176" t="inlineStr">
        <is>
          <t>Paid</t>
        </is>
      </c>
      <c r="K1176" s="29" t="n">
        <v>45855</v>
      </c>
      <c r="L1176" s="33" t="n"/>
    </row>
    <row r="1177">
      <c r="A1177" t="inlineStr">
        <is>
          <t>CLM515584</t>
        </is>
      </c>
      <c r="B1177" t="inlineStr">
        <is>
          <t>ENC115584</t>
        </is>
      </c>
      <c r="C1177" t="inlineStr">
        <is>
          <t>Evergreen Mutual Insurance</t>
        </is>
      </c>
      <c r="D1177" t="inlineStr">
        <is>
          <t>Inpatient</t>
        </is>
      </c>
      <c r="E1177" s="29" t="n">
        <v>45815</v>
      </c>
      <c r="F1177" s="29" t="n">
        <v>45823</v>
      </c>
      <c r="G1177" s="31" t="n">
        <v>27385.87</v>
      </c>
      <c r="H1177" s="31" t="n">
        <v>14721.98</v>
      </c>
      <c r="I1177" t="inlineStr">
        <is>
          <t>Paid</t>
        </is>
      </c>
      <c r="K1177" s="29" t="n">
        <v>45848</v>
      </c>
      <c r="L1177" s="33" t="n"/>
    </row>
    <row r="1178">
      <c r="A1178" t="inlineStr">
        <is>
          <t>CLM515585</t>
        </is>
      </c>
      <c r="B1178" t="inlineStr">
        <is>
          <t>ENC115585</t>
        </is>
      </c>
      <c r="C1178" t="inlineStr">
        <is>
          <t>Self-Pay</t>
        </is>
      </c>
      <c r="D1178" t="inlineStr">
        <is>
          <t>Emergency</t>
        </is>
      </c>
      <c r="E1178" s="29" t="n">
        <v>45810</v>
      </c>
      <c r="F1178" s="29" t="n">
        <v>45817</v>
      </c>
      <c r="G1178" s="31" t="n">
        <v>603.9400000000001</v>
      </c>
      <c r="H1178" s="31" t="n">
        <v>0</v>
      </c>
      <c r="I1178" t="inlineStr">
        <is>
          <t>Pending</t>
        </is>
      </c>
      <c r="L1178" s="33" t="n"/>
    </row>
    <row r="1179">
      <c r="A1179" t="inlineStr">
        <is>
          <t>CLM515590</t>
        </is>
      </c>
      <c r="B1179" t="inlineStr">
        <is>
          <t>ENC115590</t>
        </is>
      </c>
      <c r="C1179" t="inlineStr">
        <is>
          <t>Keystone Health Partners</t>
        </is>
      </c>
      <c r="D1179" t="inlineStr">
        <is>
          <t>Inpatient</t>
        </is>
      </c>
      <c r="E1179" s="29" t="n">
        <v>45813</v>
      </c>
      <c r="F1179" s="29" t="n">
        <v>45814</v>
      </c>
      <c r="G1179" s="31" t="n">
        <v>17750.37</v>
      </c>
      <c r="H1179" s="31" t="n">
        <v>7241.58</v>
      </c>
      <c r="I1179" t="inlineStr">
        <is>
          <t>Paid</t>
        </is>
      </c>
      <c r="K1179" s="29" t="n">
        <v>45830</v>
      </c>
      <c r="L1179" s="33" t="n"/>
    </row>
    <row r="1180">
      <c r="A1180" t="inlineStr">
        <is>
          <t>CLM515591</t>
        </is>
      </c>
      <c r="B1180" t="inlineStr">
        <is>
          <t>ENC115591</t>
        </is>
      </c>
      <c r="C1180" t="inlineStr">
        <is>
          <t>State Medicaid</t>
        </is>
      </c>
      <c r="D1180" t="inlineStr">
        <is>
          <t>Inpatient</t>
        </is>
      </c>
      <c r="E1180" s="29" t="n">
        <v>45818</v>
      </c>
      <c r="F1180" s="29" t="n">
        <v>45823</v>
      </c>
      <c r="G1180" s="31" t="n">
        <v>22353.66</v>
      </c>
      <c r="H1180" s="31" t="n">
        <v>0</v>
      </c>
      <c r="I1180" t="inlineStr">
        <is>
          <t>Denied</t>
        </is>
      </c>
      <c r="J1180" t="inlineStr">
        <is>
          <t>Missing Documentation</t>
        </is>
      </c>
      <c r="L1180" s="33" t="n"/>
    </row>
    <row r="1181">
      <c r="A1181" t="inlineStr">
        <is>
          <t>CLM515593</t>
        </is>
      </c>
      <c r="B1181" t="inlineStr">
        <is>
          <t>ENC115593</t>
        </is>
      </c>
      <c r="C1181" t="inlineStr">
        <is>
          <t>Keystone Health Partners</t>
        </is>
      </c>
      <c r="D1181" t="inlineStr">
        <is>
          <t>Emergency</t>
        </is>
      </c>
      <c r="E1181" s="29" t="n">
        <v>45811</v>
      </c>
      <c r="F1181" s="29" t="n">
        <v>45819</v>
      </c>
      <c r="G1181" s="31" t="n">
        <v>1380.01</v>
      </c>
      <c r="H1181" s="31" t="n">
        <v>543.35</v>
      </c>
      <c r="I1181" t="inlineStr">
        <is>
          <t>Paid</t>
        </is>
      </c>
      <c r="K1181" s="29" t="n">
        <v>45842</v>
      </c>
      <c r="L1181" s="33" t="n"/>
    </row>
    <row r="1182">
      <c r="A1182" t="inlineStr">
        <is>
          <t>CLM515596</t>
        </is>
      </c>
      <c r="B1182" t="inlineStr">
        <is>
          <t>ENC115596</t>
        </is>
      </c>
      <c r="C1182" t="inlineStr">
        <is>
          <t>Silverline Medicare Advantage</t>
        </is>
      </c>
      <c r="D1182" t="inlineStr">
        <is>
          <t>Inpatient</t>
        </is>
      </c>
      <c r="E1182" s="29" t="n">
        <v>45813</v>
      </c>
      <c r="F1182" s="29" t="n">
        <v>45814</v>
      </c>
      <c r="G1182" s="31" t="n">
        <v>47868.74</v>
      </c>
      <c r="H1182" s="31" t="n">
        <v>16333.85</v>
      </c>
      <c r="I1182" t="inlineStr">
        <is>
          <t>Paid</t>
        </is>
      </c>
      <c r="K1182" s="29" t="n">
        <v>45834</v>
      </c>
      <c r="L1182" s="33" t="n"/>
    </row>
    <row r="1183">
      <c r="A1183" t="inlineStr">
        <is>
          <t>CLM515597</t>
        </is>
      </c>
      <c r="B1183" t="inlineStr">
        <is>
          <t>ENC115597</t>
        </is>
      </c>
      <c r="C1183" t="inlineStr">
        <is>
          <t>State Medicaid</t>
        </is>
      </c>
      <c r="D1183" t="inlineStr">
        <is>
          <t>Outpatient</t>
        </is>
      </c>
      <c r="E1183" s="29" t="n">
        <v>45811</v>
      </c>
      <c r="F1183" s="29" t="n">
        <v>45820</v>
      </c>
      <c r="G1183" s="31" t="n">
        <v>279.72</v>
      </c>
      <c r="H1183" s="31" t="n">
        <v>77.62</v>
      </c>
      <c r="I1183" t="inlineStr">
        <is>
          <t>Paid</t>
        </is>
      </c>
      <c r="K1183" s="29" t="n">
        <v>45851</v>
      </c>
      <c r="L1183" s="33" t="n"/>
    </row>
    <row r="1184">
      <c r="A1184" t="inlineStr">
        <is>
          <t>CLM515601</t>
        </is>
      </c>
      <c r="B1184" t="inlineStr">
        <is>
          <t>ENC115601</t>
        </is>
      </c>
      <c r="C1184" t="inlineStr">
        <is>
          <t>Summit Choice PPO</t>
        </is>
      </c>
      <c r="D1184" t="inlineStr">
        <is>
          <t>Outpatient</t>
        </is>
      </c>
      <c r="E1184" s="29" t="n">
        <v>45811</v>
      </c>
      <c r="F1184" s="29" t="n">
        <v>45815</v>
      </c>
      <c r="G1184" s="31" t="n">
        <v>352.59</v>
      </c>
      <c r="H1184" s="31" t="n">
        <v>165.51</v>
      </c>
      <c r="I1184" t="inlineStr">
        <is>
          <t>Paid</t>
        </is>
      </c>
      <c r="K1184" s="29" t="n">
        <v>45834</v>
      </c>
      <c r="L1184" s="33" t="n"/>
    </row>
    <row r="1185">
      <c r="A1185" t="inlineStr">
        <is>
          <t>CLM515616</t>
        </is>
      </c>
      <c r="B1185" t="inlineStr">
        <is>
          <t>ENC115616</t>
        </is>
      </c>
      <c r="C1185" t="inlineStr">
        <is>
          <t>Medicare</t>
        </is>
      </c>
      <c r="D1185" t="inlineStr">
        <is>
          <t>Outpatient</t>
        </is>
      </c>
      <c r="E1185" s="29" t="n">
        <v>45811</v>
      </c>
      <c r="F1185" s="29" t="n">
        <v>45820</v>
      </c>
      <c r="G1185" s="31" t="n">
        <v>802.29</v>
      </c>
      <c r="H1185" s="31" t="n">
        <v>242.05</v>
      </c>
      <c r="I1185" t="inlineStr">
        <is>
          <t>Paid</t>
        </is>
      </c>
      <c r="K1185" s="29" t="n">
        <v>45830</v>
      </c>
      <c r="L1185" s="33" t="n"/>
    </row>
    <row r="1186">
      <c r="A1186" t="inlineStr">
        <is>
          <t>CLM515618</t>
        </is>
      </c>
      <c r="B1186" t="inlineStr">
        <is>
          <t>ENC115618</t>
        </is>
      </c>
      <c r="C1186" t="inlineStr">
        <is>
          <t>Silverline Medicare Advantage</t>
        </is>
      </c>
      <c r="D1186" t="inlineStr">
        <is>
          <t>Outpatient</t>
        </is>
      </c>
      <c r="E1186" s="29" t="n">
        <v>45811</v>
      </c>
      <c r="F1186" s="29" t="n">
        <v>45814</v>
      </c>
      <c r="G1186" s="31" t="n">
        <v>294.31</v>
      </c>
      <c r="H1186" s="31" t="n">
        <v>90.47</v>
      </c>
      <c r="I1186" t="inlineStr">
        <is>
          <t>Paid</t>
        </is>
      </c>
      <c r="K1186" s="29" t="n">
        <v>45848</v>
      </c>
      <c r="L1186" s="33" t="n"/>
    </row>
    <row r="1187">
      <c r="A1187" t="inlineStr">
        <is>
          <t>CLM515625</t>
        </is>
      </c>
      <c r="B1187" t="inlineStr">
        <is>
          <t>ENC115625</t>
        </is>
      </c>
      <c r="C1187" t="inlineStr">
        <is>
          <t>Self-Pay</t>
        </is>
      </c>
      <c r="D1187" t="inlineStr">
        <is>
          <t>Emergency</t>
        </is>
      </c>
      <c r="E1187" s="29" t="n">
        <v>45812</v>
      </c>
      <c r="F1187" s="29" t="n">
        <v>45816</v>
      </c>
      <c r="G1187" s="31" t="n">
        <v>2858.93</v>
      </c>
      <c r="H1187" s="31" t="n">
        <v>1104.09</v>
      </c>
      <c r="I1187" t="inlineStr">
        <is>
          <t>Paid</t>
        </is>
      </c>
      <c r="K1187" s="29" t="n">
        <v>45874</v>
      </c>
      <c r="L1187" s="33" t="n"/>
    </row>
    <row r="1188">
      <c r="A1188" t="inlineStr">
        <is>
          <t>CLM515626</t>
        </is>
      </c>
      <c r="B1188" t="inlineStr">
        <is>
          <t>ENC115626</t>
        </is>
      </c>
      <c r="C1188" t="inlineStr">
        <is>
          <t>Evergreen Mutual Insurance</t>
        </is>
      </c>
      <c r="D1188" t="inlineStr">
        <is>
          <t>Outpatient</t>
        </is>
      </c>
      <c r="E1188" s="29" t="n">
        <v>45812</v>
      </c>
      <c r="F1188" s="29" t="n">
        <v>45816</v>
      </c>
      <c r="G1188" s="31" t="n">
        <v>374.55</v>
      </c>
      <c r="H1188" s="31" t="n">
        <v>156.97</v>
      </c>
      <c r="I1188" t="inlineStr">
        <is>
          <t>Paid</t>
        </is>
      </c>
      <c r="K1188" s="29" t="n">
        <v>45862</v>
      </c>
      <c r="L1188" s="33" t="n"/>
    </row>
    <row r="1189">
      <c r="A1189" t="inlineStr">
        <is>
          <t>CLM515628</t>
        </is>
      </c>
      <c r="B1189" t="inlineStr">
        <is>
          <t>ENC115628</t>
        </is>
      </c>
      <c r="C1189" t="inlineStr">
        <is>
          <t>Silverline Medicare Advantage</t>
        </is>
      </c>
      <c r="D1189" t="inlineStr">
        <is>
          <t>Inpatient</t>
        </is>
      </c>
      <c r="E1189" s="29" t="n">
        <v>45821</v>
      </c>
      <c r="F1189" s="29" t="n">
        <v>45828</v>
      </c>
      <c r="G1189" s="31" t="n">
        <v>24418.11</v>
      </c>
      <c r="H1189" s="31" t="n">
        <v>0</v>
      </c>
      <c r="I1189" t="inlineStr">
        <is>
          <t>Appealed</t>
        </is>
      </c>
      <c r="J1189" t="inlineStr">
        <is>
          <t>Coding Error</t>
        </is>
      </c>
      <c r="L1189" s="33" t="n"/>
    </row>
    <row r="1190">
      <c r="A1190" t="inlineStr">
        <is>
          <t>CLM515629</t>
        </is>
      </c>
      <c r="B1190" t="inlineStr">
        <is>
          <t>ENC115629</t>
        </is>
      </c>
      <c r="C1190" t="inlineStr">
        <is>
          <t>Medicare</t>
        </is>
      </c>
      <c r="D1190" t="inlineStr">
        <is>
          <t>Outpatient</t>
        </is>
      </c>
      <c r="E1190" s="29" t="n">
        <v>45812</v>
      </c>
      <c r="F1190" s="29" t="n">
        <v>45814</v>
      </c>
      <c r="G1190" s="31" t="n">
        <v>316.23</v>
      </c>
      <c r="H1190" s="31" t="n">
        <v>75.95</v>
      </c>
      <c r="I1190" t="inlineStr">
        <is>
          <t>Paid</t>
        </is>
      </c>
      <c r="K1190" s="29" t="n">
        <v>45822</v>
      </c>
      <c r="L1190" s="33" t="n"/>
    </row>
    <row r="1191">
      <c r="A1191" t="inlineStr">
        <is>
          <t>CLM515633</t>
        </is>
      </c>
      <c r="B1191" t="inlineStr">
        <is>
          <t>ENC115633</t>
        </is>
      </c>
      <c r="C1191" t="inlineStr">
        <is>
          <t>Summit Choice PPO</t>
        </is>
      </c>
      <c r="D1191" t="inlineStr">
        <is>
          <t>Emergency</t>
        </is>
      </c>
      <c r="E1191" s="29" t="n">
        <v>45812</v>
      </c>
      <c r="F1191" s="29" t="n">
        <v>45813</v>
      </c>
      <c r="G1191" s="31" t="n">
        <v>4116.42</v>
      </c>
      <c r="H1191" s="31" t="n">
        <v>1209.61</v>
      </c>
      <c r="I1191" t="inlineStr">
        <is>
          <t>Partially Paid</t>
        </is>
      </c>
      <c r="J1191" t="inlineStr">
        <is>
          <t>Coding Error</t>
        </is>
      </c>
      <c r="K1191" s="29" t="n">
        <v>45845</v>
      </c>
      <c r="L1191" s="33" t="n"/>
    </row>
    <row r="1192">
      <c r="A1192" t="inlineStr">
        <is>
          <t>CLM515638</t>
        </is>
      </c>
      <c r="B1192" t="inlineStr">
        <is>
          <t>ENC115638</t>
        </is>
      </c>
      <c r="C1192" t="inlineStr">
        <is>
          <t>State Medicaid</t>
        </is>
      </c>
      <c r="D1192" t="inlineStr">
        <is>
          <t>Outpatient</t>
        </is>
      </c>
      <c r="E1192" s="29" t="n">
        <v>45812</v>
      </c>
      <c r="F1192" s="29" t="n">
        <v>45813</v>
      </c>
      <c r="G1192" s="31" t="n">
        <v>200.05</v>
      </c>
      <c r="H1192" s="31" t="n">
        <v>0</v>
      </c>
      <c r="I1192" t="inlineStr">
        <is>
          <t>Denied</t>
        </is>
      </c>
      <c r="J1192" t="inlineStr">
        <is>
          <t>Eligibility / Coverage</t>
        </is>
      </c>
      <c r="L1192" s="33" t="n"/>
    </row>
    <row r="1193">
      <c r="A1193" t="inlineStr">
        <is>
          <t>CLM515641</t>
        </is>
      </c>
      <c r="B1193" t="inlineStr">
        <is>
          <t>ENC115641</t>
        </is>
      </c>
      <c r="C1193" t="inlineStr">
        <is>
          <t>Evergreen Mutual Insurance</t>
        </is>
      </c>
      <c r="D1193" t="inlineStr">
        <is>
          <t>Outpatient</t>
        </is>
      </c>
      <c r="E1193" s="29" t="n">
        <v>45812</v>
      </c>
      <c r="F1193" s="29" t="n">
        <v>45814</v>
      </c>
      <c r="G1193" s="31" t="n">
        <v>237.75</v>
      </c>
      <c r="H1193" s="31" t="n">
        <v>95.72</v>
      </c>
      <c r="I1193" t="inlineStr">
        <is>
          <t>Paid</t>
        </is>
      </c>
      <c r="K1193" s="29" t="n">
        <v>45830</v>
      </c>
      <c r="L1193" s="33" t="n"/>
    </row>
    <row r="1194">
      <c r="A1194" t="inlineStr">
        <is>
          <t>CLM515642</t>
        </is>
      </c>
      <c r="B1194" t="inlineStr">
        <is>
          <t>ENC115642</t>
        </is>
      </c>
      <c r="C1194" t="inlineStr">
        <is>
          <t>Medicare</t>
        </is>
      </c>
      <c r="D1194" t="inlineStr">
        <is>
          <t>Emergency</t>
        </is>
      </c>
      <c r="E1194" s="29" t="n">
        <v>45812</v>
      </c>
      <c r="F1194" s="29" t="n">
        <v>45818</v>
      </c>
      <c r="G1194" s="31" t="n">
        <v>1332.25</v>
      </c>
      <c r="H1194" s="31" t="n">
        <v>368.73</v>
      </c>
      <c r="I1194" t="inlineStr">
        <is>
          <t>Paid</t>
        </is>
      </c>
      <c r="K1194" s="29" t="n">
        <v>45825</v>
      </c>
      <c r="L1194" s="33" t="n"/>
    </row>
    <row r="1195">
      <c r="A1195" t="inlineStr">
        <is>
          <t>CLM515644</t>
        </is>
      </c>
      <c r="B1195" t="inlineStr">
        <is>
          <t>ENC115644</t>
        </is>
      </c>
      <c r="C1195" t="inlineStr">
        <is>
          <t>Self-Pay</t>
        </is>
      </c>
      <c r="D1195" t="inlineStr">
        <is>
          <t>Outpatient</t>
        </is>
      </c>
      <c r="E1195" s="29" t="n">
        <v>45812</v>
      </c>
      <c r="F1195" s="29" t="n">
        <v>45815</v>
      </c>
      <c r="G1195" s="31" t="n">
        <v>326.92</v>
      </c>
      <c r="H1195" s="31" t="n">
        <v>66.06999999999999</v>
      </c>
      <c r="I1195" t="inlineStr">
        <is>
          <t>Partially Paid</t>
        </is>
      </c>
      <c r="K1195" s="29" t="n">
        <v>45885</v>
      </c>
      <c r="L1195" s="33" t="n"/>
    </row>
    <row r="1196">
      <c r="A1196" t="inlineStr">
        <is>
          <t>CLM515648</t>
        </is>
      </c>
      <c r="B1196" t="inlineStr">
        <is>
          <t>ENC115648</t>
        </is>
      </c>
      <c r="C1196" t="inlineStr">
        <is>
          <t>State Medicaid</t>
        </is>
      </c>
      <c r="D1196" t="inlineStr">
        <is>
          <t>Outpatient</t>
        </is>
      </c>
      <c r="E1196" s="29" t="n">
        <v>45812</v>
      </c>
      <c r="F1196" s="29" t="n">
        <v>45816</v>
      </c>
      <c r="G1196" s="31" t="n">
        <v>558.59</v>
      </c>
      <c r="H1196" s="31" t="n">
        <v>125.97</v>
      </c>
      <c r="I1196" t="inlineStr">
        <is>
          <t>Paid</t>
        </is>
      </c>
      <c r="K1196" s="29" t="n">
        <v>45837</v>
      </c>
      <c r="L1196" s="33" t="n"/>
    </row>
    <row r="1197">
      <c r="A1197" t="inlineStr">
        <is>
          <t>CLM515649</t>
        </is>
      </c>
      <c r="B1197" t="inlineStr">
        <is>
          <t>ENC115649</t>
        </is>
      </c>
      <c r="C1197" t="inlineStr">
        <is>
          <t>Medicare</t>
        </is>
      </c>
      <c r="D1197" t="inlineStr">
        <is>
          <t>Emergency</t>
        </is>
      </c>
      <c r="E1197" s="29" t="n">
        <v>45812</v>
      </c>
      <c r="F1197" s="29" t="n">
        <v>45817</v>
      </c>
      <c r="G1197" s="31" t="n">
        <v>1382.06</v>
      </c>
      <c r="H1197" s="31" t="n">
        <v>0</v>
      </c>
      <c r="I1197" t="inlineStr">
        <is>
          <t>Denied</t>
        </is>
      </c>
      <c r="J1197" t="inlineStr">
        <is>
          <t>Authorization Required</t>
        </is>
      </c>
      <c r="L1197" s="33" t="n"/>
    </row>
    <row r="1198">
      <c r="A1198" t="inlineStr">
        <is>
          <t>CLM515652</t>
        </is>
      </c>
      <c r="B1198" t="inlineStr">
        <is>
          <t>ENC115652</t>
        </is>
      </c>
      <c r="C1198" t="inlineStr">
        <is>
          <t>Medicare</t>
        </is>
      </c>
      <c r="D1198" t="inlineStr">
        <is>
          <t>Outpatient</t>
        </is>
      </c>
      <c r="E1198" s="29" t="n">
        <v>45812</v>
      </c>
      <c r="F1198" s="29" t="n">
        <v>45817</v>
      </c>
      <c r="G1198" s="31" t="n">
        <v>456.02</v>
      </c>
      <c r="H1198" s="31" t="n">
        <v>126.52</v>
      </c>
      <c r="I1198" t="inlineStr">
        <is>
          <t>Paid</t>
        </is>
      </c>
      <c r="K1198" s="29" t="n">
        <v>45835</v>
      </c>
      <c r="L1198" s="33" t="n"/>
    </row>
    <row r="1199">
      <c r="A1199" t="inlineStr">
        <is>
          <t>CLM515658</t>
        </is>
      </c>
      <c r="B1199" t="inlineStr">
        <is>
          <t>ENC115658</t>
        </is>
      </c>
      <c r="C1199" t="inlineStr">
        <is>
          <t>Silverline Medicare Advantage</t>
        </is>
      </c>
      <c r="D1199" t="inlineStr">
        <is>
          <t>Inpatient</t>
        </is>
      </c>
      <c r="E1199" s="29" t="n">
        <v>45817</v>
      </c>
      <c r="F1199" s="29" t="n">
        <v>45823</v>
      </c>
      <c r="G1199" s="31" t="n">
        <v>23375.25</v>
      </c>
      <c r="H1199" s="31" t="n">
        <v>0</v>
      </c>
      <c r="I1199" t="inlineStr">
        <is>
          <t>Appealed</t>
        </is>
      </c>
      <c r="J1199" t="inlineStr">
        <is>
          <t>Medical Necessity</t>
        </is>
      </c>
      <c r="L1199" s="33" t="n"/>
    </row>
    <row r="1200">
      <c r="A1200" t="inlineStr">
        <is>
          <t>CLM515664</t>
        </is>
      </c>
      <c r="B1200" t="inlineStr">
        <is>
          <t>ENC115664</t>
        </is>
      </c>
      <c r="C1200" t="inlineStr">
        <is>
          <t>Summit Choice PPO</t>
        </is>
      </c>
      <c r="D1200" t="inlineStr">
        <is>
          <t>Emergency</t>
        </is>
      </c>
      <c r="E1200" s="29" t="n">
        <v>45813</v>
      </c>
      <c r="F1200" s="29" t="n">
        <v>45815</v>
      </c>
      <c r="G1200" s="31" t="n">
        <v>1314.26</v>
      </c>
      <c r="H1200" s="31" t="n">
        <v>647.38</v>
      </c>
      <c r="I1200" t="inlineStr">
        <is>
          <t>Paid</t>
        </is>
      </c>
      <c r="K1200" s="29" t="n">
        <v>45835</v>
      </c>
      <c r="L1200" s="33" t="n"/>
    </row>
    <row r="1201">
      <c r="A1201" t="inlineStr">
        <is>
          <t>CLM515666</t>
        </is>
      </c>
      <c r="B1201" t="inlineStr">
        <is>
          <t>ENC115666</t>
        </is>
      </c>
      <c r="C1201" t="inlineStr">
        <is>
          <t>Medicare</t>
        </is>
      </c>
      <c r="D1201" t="inlineStr">
        <is>
          <t>Inpatient</t>
        </is>
      </c>
      <c r="E1201" s="29" t="n">
        <v>45826</v>
      </c>
      <c r="F1201" s="29" t="n">
        <v>45830</v>
      </c>
      <c r="G1201" s="31" t="n">
        <v>52054.98</v>
      </c>
      <c r="H1201" s="31" t="n">
        <v>13360.56</v>
      </c>
      <c r="I1201" t="inlineStr">
        <is>
          <t>Paid</t>
        </is>
      </c>
      <c r="K1201" s="29" t="n">
        <v>45845</v>
      </c>
      <c r="L1201" s="33" t="n"/>
    </row>
    <row r="1202">
      <c r="A1202" t="inlineStr">
        <is>
          <t>CLM515669</t>
        </is>
      </c>
      <c r="B1202" t="inlineStr">
        <is>
          <t>ENC115669</t>
        </is>
      </c>
      <c r="C1202" t="inlineStr">
        <is>
          <t>Silverline Medicare Advantage</t>
        </is>
      </c>
      <c r="D1202" t="inlineStr">
        <is>
          <t>Observation</t>
        </is>
      </c>
      <c r="E1202" s="29" t="n">
        <v>45813</v>
      </c>
      <c r="F1202" s="29" t="n">
        <v>45924</v>
      </c>
      <c r="G1202" s="31" t="n">
        <v>7294.64</v>
      </c>
      <c r="H1202" s="31" t="n">
        <v>2351.78</v>
      </c>
      <c r="I1202" t="inlineStr">
        <is>
          <t>Paid</t>
        </is>
      </c>
      <c r="K1202" s="29" t="n">
        <v>45934</v>
      </c>
      <c r="L1202" s="33" t="n"/>
    </row>
    <row r="1203">
      <c r="A1203" t="inlineStr">
        <is>
          <t>CLM515672</t>
        </is>
      </c>
      <c r="B1203" t="inlineStr">
        <is>
          <t>ENC115672</t>
        </is>
      </c>
      <c r="C1203" t="inlineStr">
        <is>
          <t>Summit Choice PPO</t>
        </is>
      </c>
      <c r="D1203" t="inlineStr">
        <is>
          <t>Outpatient</t>
        </is>
      </c>
      <c r="E1203" s="29" t="n">
        <v>45813</v>
      </c>
      <c r="F1203" s="29" t="n">
        <v>45819</v>
      </c>
      <c r="G1203" s="31" t="n">
        <v>417.46</v>
      </c>
      <c r="H1203" s="31" t="n">
        <v>177.91</v>
      </c>
      <c r="I1203" t="inlineStr">
        <is>
          <t>Paid</t>
        </is>
      </c>
      <c r="K1203" s="29" t="n">
        <v>45837</v>
      </c>
      <c r="L1203" s="33" t="n"/>
    </row>
    <row r="1204">
      <c r="A1204" t="inlineStr">
        <is>
          <t>CLM515674</t>
        </is>
      </c>
      <c r="B1204" t="inlineStr">
        <is>
          <t>ENC115674</t>
        </is>
      </c>
      <c r="C1204" t="inlineStr">
        <is>
          <t>Self-Pay</t>
        </is>
      </c>
      <c r="D1204" t="inlineStr">
        <is>
          <t>Outpatient</t>
        </is>
      </c>
      <c r="E1204" s="29" t="n">
        <v>45813</v>
      </c>
      <c r="F1204" s="29" t="n">
        <v>45822</v>
      </c>
      <c r="G1204" s="31" t="n">
        <v>237.22</v>
      </c>
      <c r="H1204" s="31" t="n">
        <v>54.34</v>
      </c>
      <c r="I1204" t="inlineStr">
        <is>
          <t>Partially Paid</t>
        </is>
      </c>
      <c r="K1204" s="29" t="n">
        <v>45864</v>
      </c>
      <c r="L1204" s="33" t="n"/>
    </row>
    <row r="1205">
      <c r="A1205" t="inlineStr">
        <is>
          <t>CLM515678</t>
        </is>
      </c>
      <c r="B1205" t="inlineStr">
        <is>
          <t>ENC115678</t>
        </is>
      </c>
      <c r="C1205" t="inlineStr">
        <is>
          <t>Evergreen Mutual Insurance</t>
        </is>
      </c>
      <c r="D1205" t="inlineStr">
        <is>
          <t>Inpatient</t>
        </is>
      </c>
      <c r="E1205" s="29" t="n">
        <v>45824</v>
      </c>
      <c r="F1205" s="29" t="n">
        <v>45826</v>
      </c>
      <c r="G1205" s="31" t="n">
        <v>35404.73</v>
      </c>
      <c r="H1205" s="31" t="n">
        <v>14522.43</v>
      </c>
      <c r="I1205" t="inlineStr">
        <is>
          <t>Paid</t>
        </is>
      </c>
      <c r="K1205" s="29" t="n">
        <v>45853</v>
      </c>
      <c r="L1205" s="33" t="n"/>
    </row>
    <row r="1206">
      <c r="A1206" t="inlineStr">
        <is>
          <t>CLM515682</t>
        </is>
      </c>
      <c r="B1206" t="inlineStr">
        <is>
          <t>ENC115682</t>
        </is>
      </c>
      <c r="C1206" t="inlineStr">
        <is>
          <t>Evergreen Mutual Insurance</t>
        </is>
      </c>
      <c r="D1206" t="inlineStr">
        <is>
          <t>Outpatient</t>
        </is>
      </c>
      <c r="E1206" s="29" t="n">
        <v>45813</v>
      </c>
      <c r="F1206" s="29" t="n">
        <v>45817</v>
      </c>
      <c r="G1206" s="31" t="n">
        <v>356.85</v>
      </c>
      <c r="H1206" s="31" t="n">
        <v>152.05</v>
      </c>
      <c r="I1206" t="inlineStr">
        <is>
          <t>Paid</t>
        </is>
      </c>
      <c r="K1206" s="29" t="n">
        <v>45845</v>
      </c>
      <c r="L1206" s="33" t="n"/>
    </row>
    <row r="1207">
      <c r="A1207" t="inlineStr">
        <is>
          <t>CLM515691</t>
        </is>
      </c>
      <c r="B1207" t="inlineStr">
        <is>
          <t>ENC115691</t>
        </is>
      </c>
      <c r="C1207" t="inlineStr">
        <is>
          <t>Self-Pay</t>
        </is>
      </c>
      <c r="D1207" t="inlineStr">
        <is>
          <t>Inpatient</t>
        </is>
      </c>
      <c r="E1207" s="29" t="n">
        <v>45818</v>
      </c>
      <c r="F1207" s="29" t="n">
        <v>45821</v>
      </c>
      <c r="G1207" s="31" t="n">
        <v>57649.11</v>
      </c>
      <c r="H1207" s="31" t="n">
        <v>4748.38</v>
      </c>
      <c r="I1207" t="inlineStr">
        <is>
          <t>Partially Paid</t>
        </is>
      </c>
      <c r="K1207" s="29" t="n">
        <v>45878</v>
      </c>
      <c r="L1207" s="33" t="n"/>
    </row>
    <row r="1208">
      <c r="A1208" t="inlineStr">
        <is>
          <t>CLM515692</t>
        </is>
      </c>
      <c r="B1208" t="inlineStr">
        <is>
          <t>ENC115692</t>
        </is>
      </c>
      <c r="C1208" t="inlineStr">
        <is>
          <t>Summit Choice PPO</t>
        </is>
      </c>
      <c r="D1208" t="inlineStr">
        <is>
          <t>Inpatient</t>
        </is>
      </c>
      <c r="E1208" s="29" t="n">
        <v>45816</v>
      </c>
      <c r="F1208" s="29" t="n">
        <v>45823</v>
      </c>
      <c r="G1208" s="31" t="n">
        <v>14425.93</v>
      </c>
      <c r="H1208" s="31" t="n">
        <v>7068.2</v>
      </c>
      <c r="I1208" t="inlineStr">
        <is>
          <t>Paid</t>
        </is>
      </c>
      <c r="K1208" s="29" t="n">
        <v>45844</v>
      </c>
      <c r="L1208" s="33" t="n"/>
    </row>
    <row r="1209">
      <c r="A1209" t="inlineStr">
        <is>
          <t>CLM515693</t>
        </is>
      </c>
      <c r="B1209" t="inlineStr">
        <is>
          <t>ENC115693</t>
        </is>
      </c>
      <c r="C1209" t="inlineStr">
        <is>
          <t>Keystone Health Partners</t>
        </is>
      </c>
      <c r="D1209" t="inlineStr">
        <is>
          <t>Inpatient</t>
        </is>
      </c>
      <c r="E1209" s="29" t="n">
        <v>45818</v>
      </c>
      <c r="F1209" s="29" t="n">
        <v>45831</v>
      </c>
      <c r="G1209" s="31" t="n">
        <v>20438.37</v>
      </c>
      <c r="H1209" s="31" t="n">
        <v>8490.09</v>
      </c>
      <c r="I1209" t="inlineStr">
        <is>
          <t>Paid</t>
        </is>
      </c>
      <c r="K1209" s="29" t="n">
        <v>45857</v>
      </c>
      <c r="L1209" s="33" t="n"/>
    </row>
    <row r="1210">
      <c r="A1210" t="inlineStr">
        <is>
          <t>CLM515694</t>
        </is>
      </c>
      <c r="B1210" t="inlineStr">
        <is>
          <t>ENC115694</t>
        </is>
      </c>
      <c r="C1210" t="inlineStr">
        <is>
          <t>Evergreen Mutual Insurance</t>
        </is>
      </c>
      <c r="D1210" t="inlineStr">
        <is>
          <t>Outpatient</t>
        </is>
      </c>
      <c r="E1210" s="29" t="n">
        <v>45814</v>
      </c>
      <c r="F1210" s="29" t="n">
        <v>45819</v>
      </c>
      <c r="G1210" s="31" t="n">
        <v>452.16</v>
      </c>
      <c r="H1210" s="31" t="n">
        <v>191.35</v>
      </c>
      <c r="I1210" t="inlineStr">
        <is>
          <t>Paid</t>
        </is>
      </c>
      <c r="K1210" s="29" t="n">
        <v>45841</v>
      </c>
      <c r="L1210" s="33" t="n"/>
    </row>
    <row r="1211">
      <c r="A1211" t="inlineStr">
        <is>
          <t>CLM515710</t>
        </is>
      </c>
      <c r="B1211" t="inlineStr">
        <is>
          <t>ENC115710</t>
        </is>
      </c>
      <c r="C1211" t="inlineStr">
        <is>
          <t>Silverline Medicare Advantage</t>
        </is>
      </c>
      <c r="D1211" t="inlineStr">
        <is>
          <t>Outpatient</t>
        </is>
      </c>
      <c r="E1211" s="29" t="n">
        <v>45814</v>
      </c>
      <c r="F1211" s="29" t="n">
        <v>45821</v>
      </c>
      <c r="G1211" s="31" t="n">
        <v>11016.26</v>
      </c>
      <c r="H1211" s="31" t="n">
        <v>3312.4</v>
      </c>
      <c r="I1211" t="inlineStr">
        <is>
          <t>Paid</t>
        </is>
      </c>
      <c r="K1211" s="29" t="n">
        <v>45840</v>
      </c>
      <c r="L1211" s="33" t="n"/>
    </row>
    <row r="1212">
      <c r="A1212" t="inlineStr">
        <is>
          <t>CLM515711</t>
        </is>
      </c>
      <c r="B1212" t="inlineStr">
        <is>
          <t>ENC115711</t>
        </is>
      </c>
      <c r="C1212" t="inlineStr">
        <is>
          <t>State Medicaid</t>
        </is>
      </c>
      <c r="D1212" t="inlineStr">
        <is>
          <t>Outpatient</t>
        </is>
      </c>
      <c r="E1212" s="29" t="n">
        <v>45814</v>
      </c>
      <c r="F1212" s="29" t="n">
        <v>45821</v>
      </c>
      <c r="G1212" s="31" t="n">
        <v>473.06</v>
      </c>
      <c r="H1212" s="31" t="n">
        <v>0</v>
      </c>
      <c r="I1212" t="inlineStr">
        <is>
          <t>Denied</t>
        </is>
      </c>
      <c r="J1212" t="inlineStr">
        <is>
          <t>Medical Necessity</t>
        </is>
      </c>
      <c r="L1212" s="33" t="n"/>
    </row>
    <row r="1213">
      <c r="A1213" t="inlineStr">
        <is>
          <t>CLM515715</t>
        </is>
      </c>
      <c r="B1213" t="inlineStr">
        <is>
          <t>ENC115715</t>
        </is>
      </c>
      <c r="C1213" t="inlineStr">
        <is>
          <t>State Medicaid</t>
        </is>
      </c>
      <c r="D1213" t="inlineStr">
        <is>
          <t>Emergency</t>
        </is>
      </c>
      <c r="E1213" s="29" t="n">
        <v>45814</v>
      </c>
      <c r="F1213" s="29" t="n">
        <v>45815</v>
      </c>
      <c r="G1213" s="31" t="n">
        <v>3235.24</v>
      </c>
      <c r="H1213" s="31" t="n">
        <v>822.54</v>
      </c>
      <c r="I1213" t="inlineStr">
        <is>
          <t>Paid</t>
        </is>
      </c>
      <c r="K1213" s="29" t="n">
        <v>45837</v>
      </c>
      <c r="L1213" s="33" t="n"/>
    </row>
    <row r="1214">
      <c r="A1214" t="inlineStr">
        <is>
          <t>CLM515718</t>
        </is>
      </c>
      <c r="B1214" t="inlineStr">
        <is>
          <t>ENC115718</t>
        </is>
      </c>
      <c r="C1214" t="inlineStr">
        <is>
          <t>Evergreen Mutual Insurance</t>
        </is>
      </c>
      <c r="D1214" t="inlineStr">
        <is>
          <t>Observation</t>
        </is>
      </c>
      <c r="E1214" s="29" t="n">
        <v>45815</v>
      </c>
      <c r="F1214" s="29" t="n">
        <v>45817</v>
      </c>
      <c r="G1214" s="31" t="n">
        <v>8703.92</v>
      </c>
      <c r="H1214" s="31" t="n">
        <v>1940.91</v>
      </c>
      <c r="I1214" t="inlineStr">
        <is>
          <t>Partially Paid</t>
        </is>
      </c>
      <c r="J1214" t="inlineStr">
        <is>
          <t>Medical Necessity</t>
        </is>
      </c>
      <c r="K1214" s="29" t="n">
        <v>45855</v>
      </c>
      <c r="L1214" s="33" t="n"/>
    </row>
    <row r="1215">
      <c r="A1215" t="inlineStr">
        <is>
          <t>CLM515720</t>
        </is>
      </c>
      <c r="B1215" t="inlineStr">
        <is>
          <t>ENC115720</t>
        </is>
      </c>
      <c r="C1215" t="inlineStr">
        <is>
          <t>Medicare</t>
        </is>
      </c>
      <c r="D1215" t="inlineStr">
        <is>
          <t>Emergency</t>
        </is>
      </c>
      <c r="E1215" s="29" t="n">
        <v>45814</v>
      </c>
      <c r="F1215" s="29" t="n">
        <v>45824</v>
      </c>
      <c r="G1215" s="31" t="n">
        <v>2983.99</v>
      </c>
      <c r="H1215" s="31" t="n">
        <v>950.65</v>
      </c>
      <c r="I1215" t="inlineStr">
        <is>
          <t>Paid</t>
        </is>
      </c>
      <c r="K1215" s="29" t="n">
        <v>45833</v>
      </c>
      <c r="L1215" s="33" t="n"/>
    </row>
    <row r="1216">
      <c r="A1216" t="inlineStr">
        <is>
          <t>CLM515723</t>
        </is>
      </c>
      <c r="B1216" t="inlineStr">
        <is>
          <t>ENC115723</t>
        </is>
      </c>
      <c r="C1216" t="inlineStr">
        <is>
          <t>Medicare</t>
        </is>
      </c>
      <c r="D1216" t="inlineStr">
        <is>
          <t>Observation</t>
        </is>
      </c>
      <c r="E1216" s="29" t="n">
        <v>45816</v>
      </c>
      <c r="F1216" s="29" t="n">
        <v>45822</v>
      </c>
      <c r="G1216" s="31" t="n">
        <v>3380.88</v>
      </c>
      <c r="H1216" s="31" t="n">
        <v>1193.17</v>
      </c>
      <c r="I1216" t="inlineStr">
        <is>
          <t>Paid</t>
        </is>
      </c>
      <c r="K1216" s="29" t="n">
        <v>45837</v>
      </c>
      <c r="L1216" s="33" t="n"/>
    </row>
    <row r="1217">
      <c r="A1217" t="inlineStr">
        <is>
          <t>CLM515729</t>
        </is>
      </c>
      <c r="B1217" t="inlineStr">
        <is>
          <t>ENC115729</t>
        </is>
      </c>
      <c r="C1217" t="inlineStr">
        <is>
          <t>Medicare</t>
        </is>
      </c>
      <c r="D1217" t="inlineStr">
        <is>
          <t>Inpatient</t>
        </is>
      </c>
      <c r="E1217" s="29" t="n">
        <v>45817</v>
      </c>
      <c r="F1217" s="29" t="n">
        <v>45820</v>
      </c>
      <c r="G1217" s="31" t="n">
        <v>14950.97</v>
      </c>
      <c r="H1217" s="31" t="n">
        <v>4145.56</v>
      </c>
      <c r="I1217" t="inlineStr">
        <is>
          <t>Paid</t>
        </is>
      </c>
      <c r="K1217" s="29" t="n">
        <v>45829</v>
      </c>
      <c r="L1217" s="33" t="n"/>
    </row>
    <row r="1218">
      <c r="A1218" t="inlineStr">
        <is>
          <t>CLM515731</t>
        </is>
      </c>
      <c r="B1218" t="inlineStr">
        <is>
          <t>ENC115731</t>
        </is>
      </c>
      <c r="C1218" t="inlineStr">
        <is>
          <t>Summit Choice PPO</t>
        </is>
      </c>
      <c r="D1218" t="inlineStr">
        <is>
          <t>Emergency</t>
        </is>
      </c>
      <c r="E1218" s="29" t="n">
        <v>45815</v>
      </c>
      <c r="F1218" s="29" t="n">
        <v>45822</v>
      </c>
      <c r="G1218" s="31" t="n">
        <v>3469.59</v>
      </c>
      <c r="H1218" s="31" t="n">
        <v>0</v>
      </c>
      <c r="I1218" t="inlineStr">
        <is>
          <t>Appealed</t>
        </is>
      </c>
      <c r="J1218" t="inlineStr">
        <is>
          <t>Eligibility / Coverage</t>
        </is>
      </c>
      <c r="L1218" s="33" t="n"/>
    </row>
    <row r="1219">
      <c r="A1219" t="inlineStr">
        <is>
          <t>CLM515737</t>
        </is>
      </c>
      <c r="B1219" t="inlineStr">
        <is>
          <t>ENC115737</t>
        </is>
      </c>
      <c r="C1219" t="inlineStr">
        <is>
          <t>Self-Pay</t>
        </is>
      </c>
      <c r="D1219" t="inlineStr">
        <is>
          <t>Emergency</t>
        </is>
      </c>
      <c r="E1219" s="29" t="n">
        <v>45816</v>
      </c>
      <c r="F1219" s="29" t="n">
        <v>45951</v>
      </c>
      <c r="G1219" s="31" t="n">
        <v>7311.14</v>
      </c>
      <c r="H1219" s="31" t="n">
        <v>0</v>
      </c>
      <c r="I1219" t="inlineStr">
        <is>
          <t>Pending</t>
        </is>
      </c>
      <c r="L1219" s="33" t="n"/>
    </row>
    <row r="1220">
      <c r="A1220" t="inlineStr">
        <is>
          <t>CLM515739</t>
        </is>
      </c>
      <c r="B1220" t="inlineStr">
        <is>
          <t>ENC115739</t>
        </is>
      </c>
      <c r="C1220" t="inlineStr">
        <is>
          <t>Silverline Medicare Advantage</t>
        </is>
      </c>
      <c r="D1220" t="inlineStr">
        <is>
          <t>Emergency</t>
        </is>
      </c>
      <c r="E1220" s="29" t="n">
        <v>45816</v>
      </c>
      <c r="F1220" s="29" t="n">
        <v>45821</v>
      </c>
      <c r="G1220" s="31" t="n">
        <v>645</v>
      </c>
      <c r="H1220" s="31" t="n">
        <v>151.51</v>
      </c>
      <c r="I1220" t="inlineStr">
        <is>
          <t>Partially Paid</t>
        </is>
      </c>
      <c r="J1220" t="inlineStr">
        <is>
          <t>Coding Error</t>
        </is>
      </c>
      <c r="K1220" s="29" t="n">
        <v>45856</v>
      </c>
      <c r="L1220" s="33" t="n"/>
    </row>
    <row r="1221">
      <c r="A1221" t="inlineStr">
        <is>
          <t>CLM515741</t>
        </is>
      </c>
      <c r="B1221" t="inlineStr">
        <is>
          <t>ENC115741</t>
        </is>
      </c>
      <c r="C1221" t="inlineStr">
        <is>
          <t>State Medicaid</t>
        </is>
      </c>
      <c r="D1221" t="inlineStr">
        <is>
          <t>Emergency</t>
        </is>
      </c>
      <c r="E1221" s="29" t="n">
        <v>45816</v>
      </c>
      <c r="F1221" s="29" t="n">
        <v>45818</v>
      </c>
      <c r="G1221" s="31" t="n">
        <v>1208.42</v>
      </c>
      <c r="H1221" s="31" t="n">
        <v>323.24</v>
      </c>
      <c r="I1221" t="inlineStr">
        <is>
          <t>Paid</t>
        </is>
      </c>
      <c r="K1221" s="29" t="n">
        <v>45854</v>
      </c>
      <c r="L1221" s="33" t="n"/>
    </row>
    <row r="1222">
      <c r="A1222" t="inlineStr">
        <is>
          <t>CLM515745</t>
        </is>
      </c>
      <c r="B1222" t="inlineStr">
        <is>
          <t>ENC115745</t>
        </is>
      </c>
      <c r="C1222" t="inlineStr">
        <is>
          <t>Medicare</t>
        </is>
      </c>
      <c r="D1222" t="inlineStr">
        <is>
          <t>Observation</t>
        </is>
      </c>
      <c r="E1222" s="29" t="n">
        <v>45818</v>
      </c>
      <c r="F1222" s="29" t="n">
        <v>45827</v>
      </c>
      <c r="G1222" s="31" t="n">
        <v>7064.93</v>
      </c>
      <c r="H1222" s="31" t="n">
        <v>1931.83</v>
      </c>
      <c r="I1222" t="inlineStr">
        <is>
          <t>Paid</t>
        </is>
      </c>
      <c r="K1222" s="29" t="n">
        <v>45841</v>
      </c>
      <c r="L1222" s="33" t="n"/>
    </row>
    <row r="1223">
      <c r="A1223" t="inlineStr">
        <is>
          <t>CLM515751</t>
        </is>
      </c>
      <c r="B1223" t="inlineStr">
        <is>
          <t>ENC115751</t>
        </is>
      </c>
      <c r="C1223" t="inlineStr">
        <is>
          <t>State Medicaid</t>
        </is>
      </c>
      <c r="D1223" t="inlineStr">
        <is>
          <t>Observation</t>
        </is>
      </c>
      <c r="E1223" s="29" t="n">
        <v>45817</v>
      </c>
      <c r="F1223" s="29" t="n">
        <v>45823</v>
      </c>
      <c r="G1223" s="31" t="n">
        <v>10217.49</v>
      </c>
      <c r="H1223" s="31" t="n">
        <v>2566.25</v>
      </c>
      <c r="I1223" t="inlineStr">
        <is>
          <t>Paid</t>
        </is>
      </c>
      <c r="K1223" s="29" t="n">
        <v>45859</v>
      </c>
      <c r="L1223" s="33" t="n"/>
    </row>
    <row r="1224">
      <c r="A1224" t="inlineStr">
        <is>
          <t>CLM515765</t>
        </is>
      </c>
      <c r="B1224" t="inlineStr">
        <is>
          <t>ENC115765</t>
        </is>
      </c>
      <c r="C1224" t="inlineStr">
        <is>
          <t>Medicare</t>
        </is>
      </c>
      <c r="D1224" t="inlineStr">
        <is>
          <t>Outpatient</t>
        </is>
      </c>
      <c r="E1224" s="29" t="n">
        <v>45817</v>
      </c>
      <c r="F1224" s="29" t="n">
        <v>45822</v>
      </c>
      <c r="G1224" s="31" t="n">
        <v>332.15</v>
      </c>
      <c r="H1224" s="31" t="n">
        <v>91.68000000000001</v>
      </c>
      <c r="I1224" t="inlineStr">
        <is>
          <t>Paid</t>
        </is>
      </c>
      <c r="K1224" s="29" t="n">
        <v>45832</v>
      </c>
      <c r="L1224" s="33" t="n"/>
    </row>
    <row r="1225">
      <c r="A1225" t="inlineStr">
        <is>
          <t>CLM515766</t>
        </is>
      </c>
      <c r="B1225" t="inlineStr">
        <is>
          <t>ENC115766</t>
        </is>
      </c>
      <c r="C1225" t="inlineStr">
        <is>
          <t>Silverline Medicare Advantage</t>
        </is>
      </c>
      <c r="D1225" t="inlineStr">
        <is>
          <t>Outpatient</t>
        </is>
      </c>
      <c r="E1225" s="29" t="n">
        <v>45817</v>
      </c>
      <c r="F1225" s="29" t="n">
        <v>45821</v>
      </c>
      <c r="G1225" s="31" t="n">
        <v>311.17</v>
      </c>
      <c r="H1225" s="31" t="n">
        <v>94.58</v>
      </c>
      <c r="I1225" t="inlineStr">
        <is>
          <t>Paid</t>
        </is>
      </c>
      <c r="K1225" s="29" t="n">
        <v>45846</v>
      </c>
      <c r="L1225" s="33" t="n"/>
    </row>
    <row r="1226">
      <c r="A1226" t="inlineStr">
        <is>
          <t>CLM515770</t>
        </is>
      </c>
      <c r="B1226" t="inlineStr">
        <is>
          <t>ENC115770</t>
        </is>
      </c>
      <c r="C1226" t="inlineStr">
        <is>
          <t>Summit Choice PPO</t>
        </is>
      </c>
      <c r="D1226" t="inlineStr">
        <is>
          <t>Inpatient</t>
        </is>
      </c>
      <c r="E1226" s="29" t="n">
        <v>45820</v>
      </c>
      <c r="F1226" s="29" t="n">
        <v>45823</v>
      </c>
      <c r="G1226" s="31" t="n">
        <v>17896.71</v>
      </c>
      <c r="H1226" s="31" t="n">
        <v>10239.34</v>
      </c>
      <c r="I1226" t="inlineStr">
        <is>
          <t>Paid</t>
        </is>
      </c>
      <c r="K1226" s="29" t="n">
        <v>45861</v>
      </c>
      <c r="L1226" s="33" t="n"/>
    </row>
    <row r="1227">
      <c r="A1227" t="inlineStr">
        <is>
          <t>CLM515771</t>
        </is>
      </c>
      <c r="B1227" t="inlineStr">
        <is>
          <t>ENC115771</t>
        </is>
      </c>
      <c r="C1227" t="inlineStr">
        <is>
          <t>Evergreen Mutual Insurance</t>
        </is>
      </c>
      <c r="D1227" t="inlineStr">
        <is>
          <t>Outpatient</t>
        </is>
      </c>
      <c r="E1227" s="29" t="n">
        <v>45817</v>
      </c>
      <c r="F1227" s="29" t="n">
        <v>45823</v>
      </c>
      <c r="G1227" s="31" t="n">
        <v>237.39</v>
      </c>
      <c r="H1227" s="31" t="n">
        <v>98.31999999999999</v>
      </c>
      <c r="I1227" t="inlineStr">
        <is>
          <t>Paid</t>
        </is>
      </c>
      <c r="K1227" s="29" t="n">
        <v>45847</v>
      </c>
      <c r="L1227" s="33" t="n"/>
    </row>
    <row r="1228">
      <c r="A1228" t="inlineStr">
        <is>
          <t>CLM515776</t>
        </is>
      </c>
      <c r="B1228" t="inlineStr">
        <is>
          <t>ENC115776</t>
        </is>
      </c>
      <c r="C1228" t="inlineStr">
        <is>
          <t>Evergreen Mutual Insurance</t>
        </is>
      </c>
      <c r="D1228" t="inlineStr">
        <is>
          <t>Outpatient</t>
        </is>
      </c>
      <c r="E1228" s="29" t="n">
        <v>45817</v>
      </c>
      <c r="F1228" s="29" t="n">
        <v>45822</v>
      </c>
      <c r="G1228" s="31" t="n">
        <v>421.92</v>
      </c>
      <c r="H1228" s="31" t="n">
        <v>0</v>
      </c>
      <c r="I1228" t="inlineStr">
        <is>
          <t>Denied</t>
        </is>
      </c>
      <c r="J1228" t="inlineStr">
        <is>
          <t>Missing Documentation</t>
        </is>
      </c>
      <c r="L1228" s="33" t="n"/>
    </row>
    <row r="1229">
      <c r="A1229" t="inlineStr">
        <is>
          <t>CLM515777</t>
        </is>
      </c>
      <c r="B1229" t="inlineStr">
        <is>
          <t>ENC115777</t>
        </is>
      </c>
      <c r="C1229" t="inlineStr">
        <is>
          <t>State Medicaid</t>
        </is>
      </c>
      <c r="D1229" t="inlineStr">
        <is>
          <t>Outpatient</t>
        </is>
      </c>
      <c r="E1229" s="29" t="n">
        <v>45817</v>
      </c>
      <c r="F1229" s="29" t="n">
        <v>45825</v>
      </c>
      <c r="G1229" s="31" t="n">
        <v>12942.2</v>
      </c>
      <c r="H1229" s="31" t="n">
        <v>0</v>
      </c>
      <c r="I1229" t="inlineStr">
        <is>
          <t>Denied</t>
        </is>
      </c>
      <c r="J1229" t="inlineStr">
        <is>
          <t>Medical Necessity</t>
        </is>
      </c>
      <c r="L1229" s="33" t="n"/>
    </row>
    <row r="1230">
      <c r="A1230" t="inlineStr">
        <is>
          <t>CLM515778</t>
        </is>
      </c>
      <c r="B1230" t="inlineStr">
        <is>
          <t>ENC115778</t>
        </is>
      </c>
      <c r="C1230" t="inlineStr">
        <is>
          <t>Evergreen Mutual Insurance</t>
        </is>
      </c>
      <c r="D1230" t="inlineStr">
        <is>
          <t>Inpatient</t>
        </is>
      </c>
      <c r="E1230" s="29" t="n">
        <v>45819</v>
      </c>
      <c r="F1230" s="29" t="n">
        <v>45824</v>
      </c>
      <c r="G1230" s="31" t="n">
        <v>18839.98</v>
      </c>
      <c r="H1230" s="31" t="n">
        <v>8547.68</v>
      </c>
      <c r="I1230" t="inlineStr">
        <is>
          <t>Paid</t>
        </is>
      </c>
      <c r="K1230" s="29" t="n">
        <v>45853</v>
      </c>
      <c r="L1230" s="33" t="n"/>
    </row>
    <row r="1231">
      <c r="A1231" t="inlineStr">
        <is>
          <t>CLM515779</t>
        </is>
      </c>
      <c r="B1231" t="inlineStr">
        <is>
          <t>ENC115779</t>
        </is>
      </c>
      <c r="C1231" t="inlineStr">
        <is>
          <t>Medicare</t>
        </is>
      </c>
      <c r="D1231" t="inlineStr">
        <is>
          <t>Inpatient</t>
        </is>
      </c>
      <c r="E1231" s="29" t="n">
        <v>45822</v>
      </c>
      <c r="F1231" s="29" t="n">
        <v>45823</v>
      </c>
      <c r="G1231" s="31" t="n">
        <v>66754.42</v>
      </c>
      <c r="H1231" s="31" t="n">
        <v>18952.97</v>
      </c>
      <c r="I1231" t="inlineStr">
        <is>
          <t>Paid</t>
        </is>
      </c>
      <c r="K1231" s="29" t="n">
        <v>45841</v>
      </c>
      <c r="L1231" s="33" t="n"/>
    </row>
    <row r="1232">
      <c r="A1232" t="inlineStr">
        <is>
          <t>CLM515780</t>
        </is>
      </c>
      <c r="B1232" t="inlineStr">
        <is>
          <t>ENC115780</t>
        </is>
      </c>
      <c r="C1232" t="inlineStr">
        <is>
          <t>Medicare</t>
        </is>
      </c>
      <c r="D1232" t="inlineStr">
        <is>
          <t>Outpatient</t>
        </is>
      </c>
      <c r="E1232" s="29" t="n">
        <v>45817</v>
      </c>
      <c r="F1232" s="29" t="n">
        <v>45821</v>
      </c>
      <c r="G1232" s="31" t="n">
        <v>266.26</v>
      </c>
      <c r="H1232" s="31" t="n">
        <v>78.7</v>
      </c>
      <c r="I1232" t="inlineStr">
        <is>
          <t>Paid</t>
        </is>
      </c>
      <c r="K1232" s="29" t="n">
        <v>45835</v>
      </c>
      <c r="L1232" s="33" t="n"/>
    </row>
    <row r="1233">
      <c r="A1233" t="inlineStr">
        <is>
          <t>CLM515782</t>
        </is>
      </c>
      <c r="B1233" t="inlineStr">
        <is>
          <t>ENC115782</t>
        </is>
      </c>
      <c r="C1233" t="inlineStr">
        <is>
          <t>Medicare</t>
        </is>
      </c>
      <c r="D1233" t="inlineStr">
        <is>
          <t>Outpatient</t>
        </is>
      </c>
      <c r="E1233" s="29" t="n">
        <v>45817</v>
      </c>
      <c r="F1233" s="29" t="n">
        <v>45822</v>
      </c>
      <c r="G1233" s="31" t="n">
        <v>325.9</v>
      </c>
      <c r="H1233" s="31" t="n">
        <v>95.43000000000001</v>
      </c>
      <c r="I1233" t="inlineStr">
        <is>
          <t>Paid</t>
        </is>
      </c>
      <c r="K1233" s="29" t="n">
        <v>45829</v>
      </c>
      <c r="L1233" s="33" t="n"/>
    </row>
    <row r="1234">
      <c r="A1234" t="inlineStr">
        <is>
          <t>CLM515785</t>
        </is>
      </c>
      <c r="B1234" t="inlineStr">
        <is>
          <t>ENC115785</t>
        </is>
      </c>
      <c r="C1234" t="inlineStr">
        <is>
          <t>Self-Pay</t>
        </is>
      </c>
      <c r="D1234" t="inlineStr">
        <is>
          <t>Inpatient</t>
        </is>
      </c>
      <c r="E1234" s="29" t="n">
        <v>45827</v>
      </c>
      <c r="F1234" s="29" t="n">
        <v>45831</v>
      </c>
      <c r="G1234" s="31" t="n">
        <v>81062.64999999999</v>
      </c>
      <c r="H1234" s="31" t="n">
        <v>10063.72</v>
      </c>
      <c r="I1234" t="inlineStr">
        <is>
          <t>Partially Paid</t>
        </is>
      </c>
      <c r="K1234" s="29" t="n">
        <v>45917</v>
      </c>
      <c r="L1234" s="33" t="n"/>
    </row>
    <row r="1235">
      <c r="A1235" t="inlineStr">
        <is>
          <t>CLM515789</t>
        </is>
      </c>
      <c r="B1235" t="inlineStr">
        <is>
          <t>ENC115789</t>
        </is>
      </c>
      <c r="C1235" t="inlineStr">
        <is>
          <t>Evergreen Mutual Insurance</t>
        </is>
      </c>
      <c r="D1235" t="inlineStr">
        <is>
          <t>Inpatient</t>
        </is>
      </c>
      <c r="E1235" s="29" t="n">
        <v>45821</v>
      </c>
      <c r="F1235" s="29" t="n">
        <v>45826</v>
      </c>
      <c r="G1235" s="31" t="n">
        <v>17099.58</v>
      </c>
      <c r="H1235" s="31" t="n">
        <v>2618.47</v>
      </c>
      <c r="I1235" t="inlineStr">
        <is>
          <t>Partially Paid</t>
        </is>
      </c>
      <c r="J1235" t="inlineStr">
        <is>
          <t>Coding Error</t>
        </is>
      </c>
      <c r="K1235" s="29" t="n">
        <v>45862</v>
      </c>
      <c r="L1235" s="33" t="n"/>
    </row>
    <row r="1236">
      <c r="A1236" t="inlineStr">
        <is>
          <t>CLM515818</t>
        </is>
      </c>
      <c r="B1236" t="inlineStr">
        <is>
          <t>ENC115818</t>
        </is>
      </c>
      <c r="C1236" t="inlineStr">
        <is>
          <t>Summit Choice PPO</t>
        </is>
      </c>
      <c r="D1236" t="inlineStr">
        <is>
          <t>Emergency</t>
        </is>
      </c>
      <c r="E1236" s="29" t="n">
        <v>45818</v>
      </c>
      <c r="F1236" s="29" t="n">
        <v>45824</v>
      </c>
      <c r="G1236" s="31" t="n">
        <v>1112.2</v>
      </c>
      <c r="H1236" s="31" t="n">
        <v>0</v>
      </c>
      <c r="I1236" t="inlineStr">
        <is>
          <t>Denied</t>
        </is>
      </c>
      <c r="J1236" t="inlineStr">
        <is>
          <t>Eligibility / Coverage</t>
        </is>
      </c>
      <c r="L1236" s="33" t="n"/>
    </row>
    <row r="1237">
      <c r="A1237" t="inlineStr">
        <is>
          <t>CLM515819</t>
        </is>
      </c>
      <c r="B1237" t="inlineStr">
        <is>
          <t>ENC115819</t>
        </is>
      </c>
      <c r="C1237" t="inlineStr">
        <is>
          <t>Medicare</t>
        </is>
      </c>
      <c r="D1237" t="inlineStr">
        <is>
          <t>Emergency</t>
        </is>
      </c>
      <c r="E1237" s="29" t="n">
        <v>45818</v>
      </c>
      <c r="F1237" s="29" t="n">
        <v>45826</v>
      </c>
      <c r="G1237" s="31" t="n">
        <v>3534.58</v>
      </c>
      <c r="H1237" s="31" t="n">
        <v>1087.92</v>
      </c>
      <c r="I1237" t="inlineStr">
        <is>
          <t>Paid</t>
        </is>
      </c>
      <c r="K1237" s="29" t="n">
        <v>45838</v>
      </c>
      <c r="L1237" s="33" t="n"/>
    </row>
    <row r="1238">
      <c r="A1238" t="inlineStr">
        <is>
          <t>CLM515824</t>
        </is>
      </c>
      <c r="B1238" t="inlineStr">
        <is>
          <t>ENC115824</t>
        </is>
      </c>
      <c r="C1238" t="inlineStr">
        <is>
          <t>Summit Choice PPO</t>
        </is>
      </c>
      <c r="D1238" t="inlineStr">
        <is>
          <t>Emergency</t>
        </is>
      </c>
      <c r="E1238" s="29" t="n">
        <v>45819</v>
      </c>
      <c r="F1238" s="29" t="n">
        <v>45822</v>
      </c>
      <c r="G1238" s="31" t="n">
        <v>2940.39</v>
      </c>
      <c r="H1238" s="31" t="n">
        <v>1356.92</v>
      </c>
      <c r="I1238" t="inlineStr">
        <is>
          <t>Paid</t>
        </is>
      </c>
      <c r="K1238" s="29" t="n">
        <v>45835</v>
      </c>
      <c r="L1238" s="33" t="n"/>
    </row>
    <row r="1239">
      <c r="A1239" t="inlineStr">
        <is>
          <t>CLM515829</t>
        </is>
      </c>
      <c r="B1239" t="inlineStr">
        <is>
          <t>ENC115829</t>
        </is>
      </c>
      <c r="C1239" t="inlineStr">
        <is>
          <t>Silverline Medicare Advantage</t>
        </is>
      </c>
      <c r="D1239" t="inlineStr">
        <is>
          <t>Outpatient</t>
        </is>
      </c>
      <c r="E1239" s="29" t="n">
        <v>45819</v>
      </c>
      <c r="F1239" s="29" t="n">
        <v>45821</v>
      </c>
      <c r="G1239" s="31" t="n">
        <v>16293.37</v>
      </c>
      <c r="H1239" s="31" t="n">
        <v>5590.53</v>
      </c>
      <c r="I1239" t="inlineStr">
        <is>
          <t>Paid</t>
        </is>
      </c>
      <c r="K1239" s="29" t="n">
        <v>45839</v>
      </c>
      <c r="L1239" s="33" t="n"/>
    </row>
    <row r="1240">
      <c r="A1240" t="inlineStr">
        <is>
          <t>CLM515839</t>
        </is>
      </c>
      <c r="B1240" t="inlineStr">
        <is>
          <t>ENC115839</t>
        </is>
      </c>
      <c r="C1240" t="inlineStr">
        <is>
          <t>Silverline Medicare Advantage</t>
        </is>
      </c>
      <c r="D1240" t="inlineStr">
        <is>
          <t>Inpatient</t>
        </is>
      </c>
      <c r="E1240" s="29" t="n">
        <v>45824</v>
      </c>
      <c r="F1240" s="29" t="n">
        <v>45892</v>
      </c>
      <c r="G1240" s="31" t="n">
        <v>72484.13</v>
      </c>
      <c r="H1240" s="31" t="n">
        <v>22385</v>
      </c>
      <c r="I1240" t="inlineStr">
        <is>
          <t>Paid</t>
        </is>
      </c>
      <c r="K1240" s="29" t="n">
        <v>45921</v>
      </c>
      <c r="L1240" s="33" t="n"/>
    </row>
    <row r="1241">
      <c r="A1241" t="inlineStr">
        <is>
          <t>CLM515842</t>
        </is>
      </c>
      <c r="B1241" t="inlineStr">
        <is>
          <t>ENC115842</t>
        </is>
      </c>
      <c r="C1241" t="inlineStr">
        <is>
          <t>Medicare</t>
        </is>
      </c>
      <c r="D1241" t="inlineStr">
        <is>
          <t>Outpatient</t>
        </is>
      </c>
      <c r="E1241" s="29" t="n">
        <v>45819</v>
      </c>
      <c r="F1241" s="29" t="n">
        <v>45822</v>
      </c>
      <c r="G1241" s="31" t="n">
        <v>439.9</v>
      </c>
      <c r="H1241" s="31" t="n">
        <v>94.37</v>
      </c>
      <c r="I1241" t="inlineStr">
        <is>
          <t>Partially Paid</t>
        </is>
      </c>
      <c r="J1241" t="inlineStr">
        <is>
          <t>Medical Necessity</t>
        </is>
      </c>
      <c r="K1241" s="29" t="n">
        <v>45832</v>
      </c>
      <c r="L1241" s="33" t="n"/>
    </row>
    <row r="1242">
      <c r="A1242" t="inlineStr">
        <is>
          <t>CLM515849</t>
        </is>
      </c>
      <c r="B1242" t="inlineStr">
        <is>
          <t>ENC115849</t>
        </is>
      </c>
      <c r="C1242" t="inlineStr">
        <is>
          <t>Summit Choice PPO</t>
        </is>
      </c>
      <c r="D1242" t="inlineStr">
        <is>
          <t>Inpatient</t>
        </is>
      </c>
      <c r="E1242" s="29" t="n">
        <v>45823</v>
      </c>
      <c r="F1242" s="29" t="n">
        <v>45825</v>
      </c>
      <c r="G1242" s="31" t="n">
        <v>19092.37</v>
      </c>
      <c r="H1242" s="31" t="n">
        <v>9894.77</v>
      </c>
      <c r="I1242" t="inlineStr">
        <is>
          <t>Paid</t>
        </is>
      </c>
      <c r="K1242" s="29" t="n">
        <v>45853</v>
      </c>
      <c r="L1242" s="33" t="n"/>
    </row>
    <row r="1243">
      <c r="A1243" t="inlineStr">
        <is>
          <t>CLM515850</t>
        </is>
      </c>
      <c r="B1243" t="inlineStr">
        <is>
          <t>ENC115850</t>
        </is>
      </c>
      <c r="C1243" t="inlineStr">
        <is>
          <t>State Medicaid</t>
        </is>
      </c>
      <c r="D1243" t="inlineStr">
        <is>
          <t>Emergency</t>
        </is>
      </c>
      <c r="E1243" s="29" t="n">
        <v>45820</v>
      </c>
      <c r="F1243" s="29" t="n">
        <v>45827</v>
      </c>
      <c r="G1243" s="31" t="n">
        <v>3133.08</v>
      </c>
      <c r="H1243" s="31" t="n">
        <v>700.23</v>
      </c>
      <c r="I1243" t="inlineStr">
        <is>
          <t>Paid</t>
        </is>
      </c>
      <c r="K1243" s="29" t="n">
        <v>45882</v>
      </c>
      <c r="L1243" s="33" t="n"/>
    </row>
    <row r="1244">
      <c r="A1244" t="inlineStr">
        <is>
          <t>CLM515854</t>
        </is>
      </c>
      <c r="B1244" t="inlineStr">
        <is>
          <t>ENC115854</t>
        </is>
      </c>
      <c r="C1244" t="inlineStr">
        <is>
          <t>Medicare</t>
        </is>
      </c>
      <c r="D1244" t="inlineStr">
        <is>
          <t>Emergency</t>
        </is>
      </c>
      <c r="E1244" s="29" t="n">
        <v>45820</v>
      </c>
      <c r="F1244" s="29" t="n">
        <v>45823</v>
      </c>
      <c r="G1244" s="31" t="n">
        <v>2981.31</v>
      </c>
      <c r="H1244" s="31" t="n">
        <v>812.97</v>
      </c>
      <c r="I1244" t="inlineStr">
        <is>
          <t>Paid</t>
        </is>
      </c>
      <c r="K1244" s="29" t="n">
        <v>45834</v>
      </c>
      <c r="L1244" s="33" t="n"/>
    </row>
    <row r="1245">
      <c r="A1245" t="inlineStr">
        <is>
          <t>CLM515858</t>
        </is>
      </c>
      <c r="B1245" t="inlineStr">
        <is>
          <t>ENC115858</t>
        </is>
      </c>
      <c r="C1245" t="inlineStr">
        <is>
          <t>State Medicaid</t>
        </is>
      </c>
      <c r="D1245" t="inlineStr">
        <is>
          <t>Outpatient</t>
        </is>
      </c>
      <c r="E1245" s="29" t="n">
        <v>45820</v>
      </c>
      <c r="F1245" s="29" t="n">
        <v>45823</v>
      </c>
      <c r="G1245" s="31" t="n">
        <v>270.7</v>
      </c>
      <c r="H1245" s="31" t="n">
        <v>63.03</v>
      </c>
      <c r="I1245" t="inlineStr">
        <is>
          <t>Paid</t>
        </is>
      </c>
      <c r="K1245" s="29" t="n">
        <v>45861</v>
      </c>
      <c r="L1245" s="33" t="n"/>
    </row>
    <row r="1246">
      <c r="A1246" t="inlineStr">
        <is>
          <t>CLM515860</t>
        </is>
      </c>
      <c r="B1246" t="inlineStr">
        <is>
          <t>ENC115860</t>
        </is>
      </c>
      <c r="C1246" t="inlineStr">
        <is>
          <t>Silverline Medicare Advantage</t>
        </is>
      </c>
      <c r="D1246" t="inlineStr">
        <is>
          <t>Outpatient</t>
        </is>
      </c>
      <c r="E1246" s="29" t="n">
        <v>45820</v>
      </c>
      <c r="F1246" s="29" t="n">
        <v>45825</v>
      </c>
      <c r="G1246" s="31" t="n">
        <v>317.12</v>
      </c>
      <c r="H1246" s="31" t="n">
        <v>87.78</v>
      </c>
      <c r="I1246" t="inlineStr">
        <is>
          <t>Paid</t>
        </is>
      </c>
      <c r="K1246" s="29" t="n">
        <v>45853</v>
      </c>
      <c r="L1246" s="33" t="n"/>
    </row>
    <row r="1247">
      <c r="A1247" t="inlineStr">
        <is>
          <t>CLM515862</t>
        </is>
      </c>
      <c r="B1247" t="inlineStr">
        <is>
          <t>ENC115862</t>
        </is>
      </c>
      <c r="C1247" t="inlineStr">
        <is>
          <t>Medicare</t>
        </is>
      </c>
      <c r="D1247" t="inlineStr">
        <is>
          <t>Inpatient</t>
        </is>
      </c>
      <c r="E1247" s="29" t="n">
        <v>45823</v>
      </c>
      <c r="F1247" s="29" t="n">
        <v>45827</v>
      </c>
      <c r="G1247" s="31" t="n">
        <v>20714.57</v>
      </c>
      <c r="H1247" s="31" t="n">
        <v>5519.48</v>
      </c>
      <c r="I1247" t="inlineStr">
        <is>
          <t>Paid</t>
        </is>
      </c>
      <c r="K1247" s="29" t="n">
        <v>45843</v>
      </c>
      <c r="L1247" s="33" t="n"/>
    </row>
    <row r="1248">
      <c r="A1248" t="inlineStr">
        <is>
          <t>CLM515865</t>
        </is>
      </c>
      <c r="B1248" t="inlineStr">
        <is>
          <t>ENC115865</t>
        </is>
      </c>
      <c r="C1248" t="inlineStr">
        <is>
          <t>Evergreen Mutual Insurance</t>
        </is>
      </c>
      <c r="D1248" t="inlineStr">
        <is>
          <t>Outpatient</t>
        </is>
      </c>
      <c r="E1248" s="29" t="n">
        <v>45820</v>
      </c>
      <c r="F1248" s="29" t="n">
        <v>45822</v>
      </c>
      <c r="G1248" s="31" t="n">
        <v>365.54</v>
      </c>
      <c r="H1248" s="31" t="n">
        <v>135.28</v>
      </c>
      <c r="I1248" t="inlineStr">
        <is>
          <t>Paid</t>
        </is>
      </c>
      <c r="K1248" s="29" t="n">
        <v>45859</v>
      </c>
      <c r="L1248" s="33" t="n"/>
    </row>
    <row r="1249">
      <c r="A1249" t="inlineStr">
        <is>
          <t>CLM515871</t>
        </is>
      </c>
      <c r="B1249" t="inlineStr">
        <is>
          <t>ENC115871</t>
        </is>
      </c>
      <c r="C1249" t="inlineStr">
        <is>
          <t>Evergreen Mutual Insurance</t>
        </is>
      </c>
      <c r="D1249" t="inlineStr">
        <is>
          <t>Emergency</t>
        </is>
      </c>
      <c r="E1249" s="29" t="n">
        <v>45820</v>
      </c>
      <c r="F1249" s="29" t="n">
        <v>45868</v>
      </c>
      <c r="G1249" s="31" t="n">
        <v>2966.2</v>
      </c>
      <c r="H1249" s="31" t="n">
        <v>1095.19</v>
      </c>
      <c r="I1249" t="inlineStr">
        <is>
          <t>Paid</t>
        </is>
      </c>
      <c r="K1249" s="29" t="n">
        <v>45915</v>
      </c>
      <c r="L1249" s="33" t="n"/>
    </row>
    <row r="1250">
      <c r="A1250" t="inlineStr">
        <is>
          <t>CLM515881</t>
        </is>
      </c>
      <c r="B1250" t="inlineStr">
        <is>
          <t>ENC115881</t>
        </is>
      </c>
      <c r="C1250" t="inlineStr">
        <is>
          <t>Keystone Health Partners</t>
        </is>
      </c>
      <c r="D1250" t="inlineStr">
        <is>
          <t>Observation</t>
        </is>
      </c>
      <c r="E1250" s="29" t="n">
        <v>45821</v>
      </c>
      <c r="F1250" s="29" t="n">
        <v>45828</v>
      </c>
      <c r="G1250" s="31" t="n">
        <v>4371.44</v>
      </c>
      <c r="H1250" s="31" t="n">
        <v>1528.99</v>
      </c>
      <c r="I1250" t="inlineStr">
        <is>
          <t>Partially Paid</t>
        </is>
      </c>
      <c r="J1250" t="inlineStr">
        <is>
          <t>Medical Necessity</t>
        </is>
      </c>
      <c r="K1250" s="29" t="n">
        <v>45851</v>
      </c>
      <c r="L1250" s="33" t="n"/>
    </row>
    <row r="1251">
      <c r="A1251" t="inlineStr">
        <is>
          <t>CLM515883</t>
        </is>
      </c>
      <c r="B1251" t="inlineStr">
        <is>
          <t>ENC115883</t>
        </is>
      </c>
      <c r="C1251" t="inlineStr">
        <is>
          <t>Keystone Health Partners</t>
        </is>
      </c>
      <c r="D1251" t="inlineStr">
        <is>
          <t>Inpatient</t>
        </is>
      </c>
      <c r="E1251" s="29" t="n">
        <v>45822</v>
      </c>
      <c r="F1251" s="29" t="n">
        <v>45830</v>
      </c>
      <c r="G1251" s="31" t="n">
        <v>13766.79</v>
      </c>
      <c r="H1251" s="31" t="n">
        <v>6906.31</v>
      </c>
      <c r="I1251" t="inlineStr">
        <is>
          <t>Paid</t>
        </is>
      </c>
      <c r="K1251" s="29" t="n">
        <v>45863</v>
      </c>
      <c r="L1251" s="33" t="n"/>
    </row>
    <row r="1252">
      <c r="A1252" t="inlineStr">
        <is>
          <t>CLM515884</t>
        </is>
      </c>
      <c r="B1252" t="inlineStr">
        <is>
          <t>ENC115884</t>
        </is>
      </c>
      <c r="C1252" t="inlineStr">
        <is>
          <t>Keystone Health Partners</t>
        </is>
      </c>
      <c r="D1252" t="inlineStr">
        <is>
          <t>Emergency</t>
        </is>
      </c>
      <c r="E1252" s="29" t="n">
        <v>45820</v>
      </c>
      <c r="F1252" s="29" t="n">
        <v>45821</v>
      </c>
      <c r="G1252" s="31" t="n">
        <v>1402.12</v>
      </c>
      <c r="H1252" s="31" t="n">
        <v>723.51</v>
      </c>
      <c r="I1252" t="inlineStr">
        <is>
          <t>Paid</t>
        </is>
      </c>
      <c r="K1252" s="29" t="n">
        <v>45849</v>
      </c>
      <c r="L1252" s="33" t="n"/>
    </row>
    <row r="1253">
      <c r="A1253" t="inlineStr">
        <is>
          <t>CLM515891</t>
        </is>
      </c>
      <c r="B1253" t="inlineStr">
        <is>
          <t>ENC115891</t>
        </is>
      </c>
      <c r="C1253" t="inlineStr">
        <is>
          <t>Medicare</t>
        </is>
      </c>
      <c r="D1253" t="inlineStr">
        <is>
          <t>Emergency</t>
        </is>
      </c>
      <c r="E1253" s="29" t="n">
        <v>45821</v>
      </c>
      <c r="F1253" s="29" t="n">
        <v>45827</v>
      </c>
      <c r="G1253" s="31" t="n">
        <v>621.25</v>
      </c>
      <c r="H1253" s="31" t="n">
        <v>185.23</v>
      </c>
      <c r="I1253" t="inlineStr">
        <is>
          <t>Paid</t>
        </is>
      </c>
      <c r="K1253" s="29" t="n">
        <v>45838</v>
      </c>
      <c r="L1253" s="33" t="n"/>
    </row>
    <row r="1254">
      <c r="A1254" t="inlineStr">
        <is>
          <t>CLM515893</t>
        </is>
      </c>
      <c r="B1254" t="inlineStr">
        <is>
          <t>ENC115893</t>
        </is>
      </c>
      <c r="C1254" t="inlineStr">
        <is>
          <t>Medicare</t>
        </is>
      </c>
      <c r="D1254" t="inlineStr">
        <is>
          <t>Inpatient</t>
        </is>
      </c>
      <c r="E1254" s="29" t="n">
        <v>45826</v>
      </c>
      <c r="F1254" s="29" t="n">
        <v>45829</v>
      </c>
      <c r="G1254" s="31" t="n">
        <v>17906.37</v>
      </c>
      <c r="H1254" s="31" t="n">
        <v>4905.68</v>
      </c>
      <c r="I1254" t="inlineStr">
        <is>
          <t>Paid</t>
        </is>
      </c>
      <c r="K1254" s="29" t="n">
        <v>45843</v>
      </c>
      <c r="L1254" s="33" t="n"/>
    </row>
    <row r="1255">
      <c r="A1255" t="inlineStr">
        <is>
          <t>CLM515896</t>
        </is>
      </c>
      <c r="B1255" t="inlineStr">
        <is>
          <t>ENC115896</t>
        </is>
      </c>
      <c r="C1255" t="inlineStr">
        <is>
          <t>Silverline Medicare Advantage</t>
        </is>
      </c>
      <c r="D1255" t="inlineStr">
        <is>
          <t>Outpatient</t>
        </is>
      </c>
      <c r="E1255" s="29" t="n">
        <v>45821</v>
      </c>
      <c r="F1255" s="29" t="n">
        <v>45823</v>
      </c>
      <c r="G1255" s="31" t="n">
        <v>407.86</v>
      </c>
      <c r="H1255" s="31" t="n">
        <v>126.78</v>
      </c>
      <c r="I1255" t="inlineStr">
        <is>
          <t>Paid</t>
        </is>
      </c>
      <c r="K1255" s="29" t="n">
        <v>45900</v>
      </c>
      <c r="L1255" s="33" t="n"/>
    </row>
    <row r="1256">
      <c r="A1256" t="inlineStr">
        <is>
          <t>CLM515900</t>
        </is>
      </c>
      <c r="B1256" t="inlineStr">
        <is>
          <t>ENC115900</t>
        </is>
      </c>
      <c r="C1256" t="inlineStr">
        <is>
          <t>Silverline Medicare Advantage</t>
        </is>
      </c>
      <c r="D1256" t="inlineStr">
        <is>
          <t>Outpatient</t>
        </is>
      </c>
      <c r="E1256" s="29" t="n">
        <v>45821</v>
      </c>
      <c r="F1256" s="29" t="n">
        <v>45827</v>
      </c>
      <c r="G1256" s="31" t="n">
        <v>229.76</v>
      </c>
      <c r="H1256" s="31" t="n">
        <v>72.54000000000001</v>
      </c>
      <c r="I1256" t="inlineStr">
        <is>
          <t>Paid</t>
        </is>
      </c>
      <c r="K1256" s="29" t="n">
        <v>45886</v>
      </c>
      <c r="L1256" s="33" t="n"/>
    </row>
    <row r="1257">
      <c r="A1257" t="inlineStr">
        <is>
          <t>CLM515905</t>
        </is>
      </c>
      <c r="B1257" t="inlineStr">
        <is>
          <t>ENC115905</t>
        </is>
      </c>
      <c r="C1257" t="inlineStr">
        <is>
          <t>State Medicaid</t>
        </is>
      </c>
      <c r="D1257" t="inlineStr">
        <is>
          <t>Emergency</t>
        </is>
      </c>
      <c r="E1257" s="29" t="n">
        <v>45821</v>
      </c>
      <c r="F1257" s="29" t="n">
        <v>45824</v>
      </c>
      <c r="G1257" s="31" t="n">
        <v>1412.22</v>
      </c>
      <c r="H1257" s="31" t="n">
        <v>341.26</v>
      </c>
      <c r="I1257" t="inlineStr">
        <is>
          <t>Paid</t>
        </is>
      </c>
      <c r="K1257" s="29" t="n">
        <v>45857</v>
      </c>
      <c r="L1257" s="33" t="n"/>
    </row>
    <row r="1258">
      <c r="A1258" t="inlineStr">
        <is>
          <t>CLM515908</t>
        </is>
      </c>
      <c r="B1258" t="inlineStr">
        <is>
          <t>ENC115908</t>
        </is>
      </c>
      <c r="C1258" t="inlineStr">
        <is>
          <t>Silverline Medicare Advantage</t>
        </is>
      </c>
      <c r="D1258" t="inlineStr">
        <is>
          <t>Inpatient</t>
        </is>
      </c>
      <c r="E1258" s="29" t="n">
        <v>45824</v>
      </c>
      <c r="F1258" s="29" t="n">
        <v>45826</v>
      </c>
      <c r="G1258" s="31" t="n">
        <v>14567.12</v>
      </c>
      <c r="H1258" s="31" t="n">
        <v>0</v>
      </c>
      <c r="I1258" t="inlineStr">
        <is>
          <t>Appealed</t>
        </is>
      </c>
      <c r="J1258" t="inlineStr">
        <is>
          <t>Authorization Required</t>
        </is>
      </c>
      <c r="L1258" s="33" t="n"/>
    </row>
    <row r="1259">
      <c r="A1259" t="inlineStr">
        <is>
          <t>CLM515910</t>
        </is>
      </c>
      <c r="B1259" t="inlineStr">
        <is>
          <t>ENC115910</t>
        </is>
      </c>
      <c r="C1259" t="inlineStr">
        <is>
          <t>State Medicaid</t>
        </is>
      </c>
      <c r="D1259" t="inlineStr">
        <is>
          <t>Inpatient</t>
        </is>
      </c>
      <c r="E1259" s="29" t="n">
        <v>45825</v>
      </c>
      <c r="F1259" s="29" t="n">
        <v>45833</v>
      </c>
      <c r="G1259" s="31" t="n">
        <v>19765.04</v>
      </c>
      <c r="H1259" s="31" t="n">
        <v>4077.14</v>
      </c>
      <c r="I1259" t="inlineStr">
        <is>
          <t>Paid</t>
        </is>
      </c>
      <c r="K1259" s="29" t="n">
        <v>45871</v>
      </c>
      <c r="L1259" s="33" t="n"/>
    </row>
    <row r="1260">
      <c r="A1260" t="inlineStr">
        <is>
          <t>CLM515912</t>
        </is>
      </c>
      <c r="B1260" t="inlineStr">
        <is>
          <t>ENC115912</t>
        </is>
      </c>
      <c r="C1260" t="inlineStr">
        <is>
          <t>State Medicaid</t>
        </is>
      </c>
      <c r="D1260" t="inlineStr">
        <is>
          <t>Observation</t>
        </is>
      </c>
      <c r="E1260" s="29" t="n">
        <v>45823</v>
      </c>
      <c r="F1260" s="29" t="n">
        <v>45828</v>
      </c>
      <c r="G1260" s="31" t="n">
        <v>5382.93</v>
      </c>
      <c r="H1260" s="31" t="n">
        <v>772.71</v>
      </c>
      <c r="I1260" t="inlineStr">
        <is>
          <t>Partially Paid</t>
        </is>
      </c>
      <c r="J1260" t="inlineStr">
        <is>
          <t>Coding Error</t>
        </is>
      </c>
      <c r="K1260" s="29" t="n">
        <v>45897</v>
      </c>
      <c r="L1260" s="33" t="n"/>
    </row>
    <row r="1261">
      <c r="A1261" t="inlineStr">
        <is>
          <t>CLM515913</t>
        </is>
      </c>
      <c r="B1261" t="inlineStr">
        <is>
          <t>ENC115913</t>
        </is>
      </c>
      <c r="C1261" t="inlineStr">
        <is>
          <t>State Medicaid</t>
        </is>
      </c>
      <c r="D1261" t="inlineStr">
        <is>
          <t>Inpatient</t>
        </is>
      </c>
      <c r="E1261" s="29" t="n">
        <v>45823</v>
      </c>
      <c r="F1261" s="29" t="n">
        <v>45829</v>
      </c>
      <c r="G1261" s="31" t="n">
        <v>15056.17</v>
      </c>
      <c r="H1261" s="31" t="n">
        <v>3629.84</v>
      </c>
      <c r="I1261" t="inlineStr">
        <is>
          <t>Paid</t>
        </is>
      </c>
      <c r="K1261" s="29" t="n">
        <v>45856</v>
      </c>
      <c r="L1261" s="33" t="n"/>
    </row>
    <row r="1262">
      <c r="A1262" t="inlineStr">
        <is>
          <t>CLM515916</t>
        </is>
      </c>
      <c r="B1262" t="inlineStr">
        <is>
          <t>ENC115916</t>
        </is>
      </c>
      <c r="C1262" t="inlineStr">
        <is>
          <t>Medicare</t>
        </is>
      </c>
      <c r="D1262" t="inlineStr">
        <is>
          <t>Emergency</t>
        </is>
      </c>
      <c r="E1262" s="29" t="n">
        <v>45822</v>
      </c>
      <c r="F1262" s="29" t="n">
        <v>45914</v>
      </c>
      <c r="G1262" s="31" t="n">
        <v>8059.74</v>
      </c>
      <c r="H1262" s="31" t="n">
        <v>2225.97</v>
      </c>
      <c r="I1262" t="inlineStr">
        <is>
          <t>Paid</t>
        </is>
      </c>
      <c r="K1262" s="29" t="n">
        <v>45929</v>
      </c>
      <c r="L1262" s="33" t="n"/>
    </row>
    <row r="1263">
      <c r="A1263" t="inlineStr">
        <is>
          <t>CLM515920</t>
        </is>
      </c>
      <c r="B1263" t="inlineStr">
        <is>
          <t>ENC115920</t>
        </is>
      </c>
      <c r="C1263" t="inlineStr">
        <is>
          <t>Evergreen Mutual Insurance</t>
        </is>
      </c>
      <c r="D1263" t="inlineStr">
        <is>
          <t>Emergency</t>
        </is>
      </c>
      <c r="E1263" s="29" t="n">
        <v>45822</v>
      </c>
      <c r="F1263" s="29" t="n">
        <v>45826</v>
      </c>
      <c r="G1263" s="31" t="n">
        <v>4167.97</v>
      </c>
      <c r="H1263" s="31" t="n">
        <v>1615.83</v>
      </c>
      <c r="I1263" t="inlineStr">
        <is>
          <t>Paid</t>
        </is>
      </c>
      <c r="K1263" s="29" t="n">
        <v>45884</v>
      </c>
      <c r="L1263" s="33" t="n"/>
    </row>
    <row r="1264">
      <c r="A1264" t="inlineStr">
        <is>
          <t>CLM515923</t>
        </is>
      </c>
      <c r="B1264" t="inlineStr">
        <is>
          <t>ENC115923</t>
        </is>
      </c>
      <c r="C1264" t="inlineStr">
        <is>
          <t>Keystone Health Partners</t>
        </is>
      </c>
      <c r="D1264" t="inlineStr">
        <is>
          <t>Emergency</t>
        </is>
      </c>
      <c r="E1264" s="29" t="n">
        <v>45822</v>
      </c>
      <c r="F1264" s="29" t="n">
        <v>45827</v>
      </c>
      <c r="G1264" s="31" t="n">
        <v>566.72</v>
      </c>
      <c r="H1264" s="31" t="n">
        <v>250.98</v>
      </c>
      <c r="I1264" t="inlineStr">
        <is>
          <t>Paid</t>
        </is>
      </c>
      <c r="K1264" s="29" t="n">
        <v>45843</v>
      </c>
      <c r="L1264" s="33" t="n"/>
    </row>
    <row r="1265">
      <c r="A1265" t="inlineStr">
        <is>
          <t>CLM515931</t>
        </is>
      </c>
      <c r="B1265" t="inlineStr">
        <is>
          <t>ENC115931</t>
        </is>
      </c>
      <c r="C1265" t="inlineStr">
        <is>
          <t>State Medicaid</t>
        </is>
      </c>
      <c r="D1265" t="inlineStr">
        <is>
          <t>Emergency</t>
        </is>
      </c>
      <c r="E1265" s="29" t="n">
        <v>45822</v>
      </c>
      <c r="F1265" s="29" t="n">
        <v>45828</v>
      </c>
      <c r="G1265" s="31" t="n">
        <v>5551.63</v>
      </c>
      <c r="H1265" s="31" t="n">
        <v>1289.56</v>
      </c>
      <c r="I1265" t="inlineStr">
        <is>
          <t>Paid</t>
        </is>
      </c>
      <c r="K1265" s="29" t="n">
        <v>45866</v>
      </c>
      <c r="L1265" s="33" t="n"/>
    </row>
    <row r="1266">
      <c r="A1266" t="inlineStr">
        <is>
          <t>CLM515934</t>
        </is>
      </c>
      <c r="B1266" t="inlineStr">
        <is>
          <t>ENC115934</t>
        </is>
      </c>
      <c r="C1266" t="inlineStr">
        <is>
          <t>Summit Choice PPO</t>
        </is>
      </c>
      <c r="D1266" t="inlineStr">
        <is>
          <t>Observation</t>
        </is>
      </c>
      <c r="E1266" s="29" t="n">
        <v>45823</v>
      </c>
      <c r="F1266" s="29" t="n">
        <v>45825</v>
      </c>
      <c r="G1266" s="31" t="n">
        <v>7731.88</v>
      </c>
      <c r="H1266" s="31" t="n">
        <v>3305.78</v>
      </c>
      <c r="I1266" t="inlineStr">
        <is>
          <t>Paid</t>
        </is>
      </c>
      <c r="K1266" s="29" t="n">
        <v>45846</v>
      </c>
      <c r="L1266" s="33" t="n"/>
    </row>
    <row r="1267">
      <c r="A1267" t="inlineStr">
        <is>
          <t>CLM515937</t>
        </is>
      </c>
      <c r="B1267" t="inlineStr">
        <is>
          <t>ENC115937</t>
        </is>
      </c>
      <c r="C1267" t="inlineStr">
        <is>
          <t>Evergreen Mutual Insurance</t>
        </is>
      </c>
      <c r="D1267" t="inlineStr">
        <is>
          <t>Inpatient</t>
        </is>
      </c>
      <c r="E1267" s="29" t="n">
        <v>45826</v>
      </c>
      <c r="F1267" s="29" t="n">
        <v>45829</v>
      </c>
      <c r="G1267" s="31" t="n">
        <v>17471.2</v>
      </c>
      <c r="H1267" s="31" t="n">
        <v>8032.5</v>
      </c>
      <c r="I1267" t="inlineStr">
        <is>
          <t>Paid</t>
        </is>
      </c>
      <c r="K1267" s="29" t="n">
        <v>45860</v>
      </c>
      <c r="L1267" s="33" t="n"/>
    </row>
    <row r="1268">
      <c r="A1268" t="inlineStr">
        <is>
          <t>CLM515941</t>
        </is>
      </c>
      <c r="B1268" t="inlineStr">
        <is>
          <t>ENC115941</t>
        </is>
      </c>
      <c r="C1268" t="inlineStr">
        <is>
          <t>Medicare</t>
        </is>
      </c>
      <c r="D1268" t="inlineStr">
        <is>
          <t>Emergency</t>
        </is>
      </c>
      <c r="E1268" s="29" t="n">
        <v>45823</v>
      </c>
      <c r="F1268" s="29" t="n">
        <v>45826</v>
      </c>
      <c r="G1268" s="31" t="n">
        <v>1771.3</v>
      </c>
      <c r="H1268" s="31" t="n">
        <v>451.83</v>
      </c>
      <c r="I1268" t="inlineStr">
        <is>
          <t>Paid</t>
        </is>
      </c>
      <c r="K1268" s="29" t="n">
        <v>45837</v>
      </c>
      <c r="L1268" s="33" t="n"/>
    </row>
    <row r="1269">
      <c r="A1269" t="inlineStr">
        <is>
          <t>CLM515942</t>
        </is>
      </c>
      <c r="B1269" t="inlineStr">
        <is>
          <t>ENC115942</t>
        </is>
      </c>
      <c r="C1269" t="inlineStr">
        <is>
          <t>Silverline Medicare Advantage</t>
        </is>
      </c>
      <c r="D1269" t="inlineStr">
        <is>
          <t>Emergency</t>
        </is>
      </c>
      <c r="E1269" s="29" t="n">
        <v>45823</v>
      </c>
      <c r="F1269" s="29" t="n">
        <v>45826</v>
      </c>
      <c r="G1269" s="31" t="n">
        <v>583.33</v>
      </c>
      <c r="H1269" s="31" t="n">
        <v>196.04</v>
      </c>
      <c r="I1269" t="inlineStr">
        <is>
          <t>Paid</t>
        </is>
      </c>
      <c r="K1269" s="29" t="n">
        <v>45845</v>
      </c>
      <c r="L1269" s="33" t="n"/>
    </row>
    <row r="1270">
      <c r="A1270" t="inlineStr">
        <is>
          <t>CLM515948</t>
        </is>
      </c>
      <c r="B1270" t="inlineStr">
        <is>
          <t>ENC115948</t>
        </is>
      </c>
      <c r="C1270" t="inlineStr">
        <is>
          <t>Summit Choice PPO</t>
        </is>
      </c>
      <c r="D1270" t="inlineStr">
        <is>
          <t>Observation</t>
        </is>
      </c>
      <c r="E1270" s="29" t="n">
        <v>45825</v>
      </c>
      <c r="F1270" s="29" t="n">
        <v>45830</v>
      </c>
      <c r="G1270" s="31" t="n">
        <v>8555.219999999999</v>
      </c>
      <c r="H1270" s="31" t="n">
        <v>4028.08</v>
      </c>
      <c r="I1270" t="inlineStr">
        <is>
          <t>Paid</t>
        </is>
      </c>
      <c r="K1270" s="29" t="n">
        <v>45862</v>
      </c>
      <c r="L1270" s="33" t="n"/>
    </row>
    <row r="1271">
      <c r="A1271" t="inlineStr">
        <is>
          <t>CLM515950</t>
        </is>
      </c>
      <c r="B1271" t="inlineStr">
        <is>
          <t>ENC115950</t>
        </is>
      </c>
      <c r="C1271" t="inlineStr">
        <is>
          <t>Keystone Health Partners</t>
        </is>
      </c>
      <c r="D1271" t="inlineStr">
        <is>
          <t>Emergency</t>
        </is>
      </c>
      <c r="E1271" s="29" t="n">
        <v>45823</v>
      </c>
      <c r="F1271" s="29" t="n">
        <v>45827</v>
      </c>
      <c r="G1271" s="31" t="n">
        <v>4761.98</v>
      </c>
      <c r="H1271" s="31" t="n">
        <v>2178.14</v>
      </c>
      <c r="I1271" t="inlineStr">
        <is>
          <t>Paid</t>
        </is>
      </c>
      <c r="K1271" s="29" t="n">
        <v>45843</v>
      </c>
      <c r="L1271" s="33" t="n"/>
    </row>
    <row r="1272">
      <c r="A1272" t="inlineStr">
        <is>
          <t>CLM515953</t>
        </is>
      </c>
      <c r="B1272" t="inlineStr">
        <is>
          <t>ENC115953</t>
        </is>
      </c>
      <c r="C1272" t="inlineStr">
        <is>
          <t>Self-Pay</t>
        </is>
      </c>
      <c r="D1272" t="inlineStr">
        <is>
          <t>Emergency</t>
        </is>
      </c>
      <c r="E1272" s="29" t="n">
        <v>45824</v>
      </c>
      <c r="F1272" s="29" t="n">
        <v>45826</v>
      </c>
      <c r="G1272" s="31" t="n">
        <v>8892.200000000001</v>
      </c>
      <c r="H1272" s="31" t="n">
        <v>1809.74</v>
      </c>
      <c r="I1272" t="inlineStr">
        <is>
          <t>Partially Paid</t>
        </is>
      </c>
      <c r="K1272" s="29" t="n">
        <v>45871</v>
      </c>
      <c r="L1272" s="33" t="n"/>
    </row>
    <row r="1273">
      <c r="A1273" t="inlineStr">
        <is>
          <t>CLM515963</t>
        </is>
      </c>
      <c r="B1273" t="inlineStr">
        <is>
          <t>ENC115963</t>
        </is>
      </c>
      <c r="C1273" t="inlineStr">
        <is>
          <t>Silverline Medicare Advantage</t>
        </is>
      </c>
      <c r="D1273" t="inlineStr">
        <is>
          <t>Outpatient</t>
        </is>
      </c>
      <c r="E1273" s="29" t="n">
        <v>45824</v>
      </c>
      <c r="F1273" s="29" t="n">
        <v>45827</v>
      </c>
      <c r="G1273" s="31" t="n">
        <v>232.62</v>
      </c>
      <c r="H1273" s="31" t="n">
        <v>77.03</v>
      </c>
      <c r="I1273" t="inlineStr">
        <is>
          <t>Paid</t>
        </is>
      </c>
      <c r="K1273" s="29" t="n">
        <v>45861</v>
      </c>
      <c r="L1273" s="33" t="n"/>
    </row>
    <row r="1274">
      <c r="A1274" t="inlineStr">
        <is>
          <t>CLM515965</t>
        </is>
      </c>
      <c r="B1274" t="inlineStr">
        <is>
          <t>ENC115965</t>
        </is>
      </c>
      <c r="C1274" t="inlineStr">
        <is>
          <t>Self-Pay</t>
        </is>
      </c>
      <c r="D1274" t="inlineStr">
        <is>
          <t>Outpatient</t>
        </is>
      </c>
      <c r="E1274" s="29" t="n">
        <v>45824</v>
      </c>
      <c r="F1274" s="29" t="n">
        <v>45831</v>
      </c>
      <c r="G1274" s="31" t="n">
        <v>205.05</v>
      </c>
      <c r="H1274" s="31" t="n">
        <v>93.2</v>
      </c>
      <c r="I1274" t="inlineStr">
        <is>
          <t>Paid</t>
        </is>
      </c>
      <c r="K1274" s="29" t="n">
        <v>45910</v>
      </c>
      <c r="L1274" s="33" t="n"/>
    </row>
    <row r="1275">
      <c r="A1275" t="inlineStr">
        <is>
          <t>CLM515971</t>
        </is>
      </c>
      <c r="B1275" t="inlineStr">
        <is>
          <t>ENC115971</t>
        </is>
      </c>
      <c r="C1275" t="inlineStr">
        <is>
          <t>Workers' Compensation</t>
        </is>
      </c>
      <c r="D1275" t="inlineStr">
        <is>
          <t>Emergency</t>
        </is>
      </c>
      <c r="E1275" s="29" t="n">
        <v>45824</v>
      </c>
      <c r="F1275" s="29" t="n">
        <v>45830</v>
      </c>
      <c r="G1275" s="31" t="n">
        <v>4824.81</v>
      </c>
      <c r="H1275" s="31" t="n">
        <v>3026.67</v>
      </c>
      <c r="I1275" t="inlineStr">
        <is>
          <t>Paid</t>
        </is>
      </c>
      <c r="K1275" s="29" t="n">
        <v>45859</v>
      </c>
      <c r="L1275" s="33" t="n"/>
    </row>
    <row r="1276">
      <c r="A1276" t="inlineStr">
        <is>
          <t>CLM515984</t>
        </is>
      </c>
      <c r="B1276" t="inlineStr">
        <is>
          <t>ENC115984</t>
        </is>
      </c>
      <c r="C1276" t="inlineStr">
        <is>
          <t>Medicare</t>
        </is>
      </c>
      <c r="D1276" t="inlineStr">
        <is>
          <t>Outpatient</t>
        </is>
      </c>
      <c r="E1276" s="29" t="n">
        <v>45824</v>
      </c>
      <c r="F1276" s="29" t="n">
        <v>45828</v>
      </c>
      <c r="G1276" s="31" t="n">
        <v>589.22</v>
      </c>
      <c r="H1276" s="31" t="n">
        <v>171.33</v>
      </c>
      <c r="I1276" t="inlineStr">
        <is>
          <t>Paid</t>
        </is>
      </c>
      <c r="K1276" s="29" t="n">
        <v>45853</v>
      </c>
      <c r="L1276" s="33" t="n"/>
    </row>
    <row r="1277">
      <c r="A1277" t="inlineStr">
        <is>
          <t>CLM515985</t>
        </is>
      </c>
      <c r="B1277" t="inlineStr">
        <is>
          <t>ENC115985</t>
        </is>
      </c>
      <c r="C1277" t="inlineStr">
        <is>
          <t>Silverline Medicare Advantage</t>
        </is>
      </c>
      <c r="D1277" t="inlineStr">
        <is>
          <t>Inpatient</t>
        </is>
      </c>
      <c r="E1277" s="29" t="n">
        <v>45827</v>
      </c>
      <c r="F1277" s="29" t="n">
        <v>45832</v>
      </c>
      <c r="G1277" s="31" t="n">
        <v>20912.24</v>
      </c>
      <c r="H1277" s="31" t="n">
        <v>2736.5</v>
      </c>
      <c r="I1277" t="inlineStr">
        <is>
          <t>Partially Paid</t>
        </is>
      </c>
      <c r="J1277" t="inlineStr">
        <is>
          <t>Medical Necessity</t>
        </is>
      </c>
      <c r="K1277" s="29" t="n">
        <v>45861</v>
      </c>
      <c r="L1277" s="33" t="n"/>
    </row>
    <row r="1278">
      <c r="A1278" t="inlineStr">
        <is>
          <t>CLM515988</t>
        </is>
      </c>
      <c r="B1278" t="inlineStr">
        <is>
          <t>ENC115988</t>
        </is>
      </c>
      <c r="C1278" t="inlineStr">
        <is>
          <t>Self-Pay</t>
        </is>
      </c>
      <c r="D1278" t="inlineStr">
        <is>
          <t>Inpatient</t>
        </is>
      </c>
      <c r="E1278" s="29" t="n">
        <v>45827</v>
      </c>
      <c r="F1278" s="29" t="n">
        <v>45838</v>
      </c>
      <c r="G1278" s="31" t="n">
        <v>13568.23</v>
      </c>
      <c r="H1278" s="31" t="n">
        <v>0</v>
      </c>
      <c r="I1278" t="inlineStr">
        <is>
          <t>Pending</t>
        </is>
      </c>
      <c r="L1278" s="33" t="n"/>
    </row>
    <row r="1279">
      <c r="A1279" t="inlineStr">
        <is>
          <t>CLM515990</t>
        </is>
      </c>
      <c r="B1279" t="inlineStr">
        <is>
          <t>ENC115990</t>
        </is>
      </c>
      <c r="C1279" t="inlineStr">
        <is>
          <t>Keystone Health Partners</t>
        </is>
      </c>
      <c r="D1279" t="inlineStr">
        <is>
          <t>Emergency</t>
        </is>
      </c>
      <c r="E1279" s="29" t="n">
        <v>45825</v>
      </c>
      <c r="F1279" s="29" t="n">
        <v>45828</v>
      </c>
      <c r="G1279" s="31" t="n">
        <v>2828.39</v>
      </c>
      <c r="H1279" s="31" t="n">
        <v>1303.99</v>
      </c>
      <c r="I1279" t="inlineStr">
        <is>
          <t>Paid</t>
        </is>
      </c>
      <c r="K1279" s="29" t="n">
        <v>45847</v>
      </c>
      <c r="L1279" s="33" t="n"/>
    </row>
    <row r="1280">
      <c r="A1280" t="inlineStr">
        <is>
          <t>CLM516010</t>
        </is>
      </c>
      <c r="B1280" t="inlineStr">
        <is>
          <t>ENC116010</t>
        </is>
      </c>
      <c r="C1280" t="inlineStr">
        <is>
          <t>Self-Pay</t>
        </is>
      </c>
      <c r="D1280" t="inlineStr">
        <is>
          <t>Outpatient</t>
        </is>
      </c>
      <c r="E1280" s="29" t="n">
        <v>45825</v>
      </c>
      <c r="F1280" s="29" t="n">
        <v>45829</v>
      </c>
      <c r="G1280" s="31" t="n">
        <v>317.87</v>
      </c>
      <c r="H1280" s="31" t="n">
        <v>102.1</v>
      </c>
      <c r="I1280" t="inlineStr">
        <is>
          <t>Partially Paid</t>
        </is>
      </c>
      <c r="K1280" s="29" t="n">
        <v>45909</v>
      </c>
      <c r="L1280" s="33" t="n"/>
    </row>
    <row r="1281">
      <c r="A1281" t="inlineStr">
        <is>
          <t>CLM516015</t>
        </is>
      </c>
      <c r="B1281" t="inlineStr">
        <is>
          <t>ENC116015</t>
        </is>
      </c>
      <c r="C1281" t="inlineStr">
        <is>
          <t>Medicare</t>
        </is>
      </c>
      <c r="D1281" t="inlineStr">
        <is>
          <t>Observation</t>
        </is>
      </c>
      <c r="E1281" s="29" t="n">
        <v>45827</v>
      </c>
      <c r="F1281" s="29" t="n">
        <v>45831</v>
      </c>
      <c r="G1281" s="31" t="n">
        <v>10173.93</v>
      </c>
      <c r="H1281" s="31" t="n">
        <v>2908.78</v>
      </c>
      <c r="I1281" t="inlineStr">
        <is>
          <t>Paid</t>
        </is>
      </c>
      <c r="K1281" s="29" t="n">
        <v>45855</v>
      </c>
      <c r="L1281" s="33" t="n"/>
    </row>
    <row r="1282">
      <c r="A1282" t="inlineStr">
        <is>
          <t>CLM516031</t>
        </is>
      </c>
      <c r="B1282" t="inlineStr">
        <is>
          <t>ENC116031</t>
        </is>
      </c>
      <c r="C1282" t="inlineStr">
        <is>
          <t>Summit Choice PPO</t>
        </is>
      </c>
      <c r="D1282" t="inlineStr">
        <is>
          <t>Emergency</t>
        </is>
      </c>
      <c r="E1282" s="29" t="n">
        <v>45826</v>
      </c>
      <c r="F1282" s="29" t="n">
        <v>45833</v>
      </c>
      <c r="G1282" s="31" t="n">
        <v>4638.05</v>
      </c>
      <c r="H1282" s="31" t="n">
        <v>2820.54</v>
      </c>
      <c r="I1282" t="inlineStr">
        <is>
          <t>Paid</t>
        </is>
      </c>
      <c r="K1282" s="29" t="n">
        <v>45855</v>
      </c>
      <c r="L1282" s="33" t="n"/>
    </row>
    <row r="1283">
      <c r="A1283" t="inlineStr">
        <is>
          <t>CLM516032</t>
        </is>
      </c>
      <c r="B1283" t="inlineStr">
        <is>
          <t>ENC116032</t>
        </is>
      </c>
      <c r="C1283" t="inlineStr">
        <is>
          <t>Keystone Health Partners</t>
        </is>
      </c>
      <c r="D1283" t="inlineStr">
        <is>
          <t>Emergency</t>
        </is>
      </c>
      <c r="E1283" s="29" t="n">
        <v>45826</v>
      </c>
      <c r="F1283" s="29" t="n">
        <v>45834</v>
      </c>
      <c r="G1283" s="31" t="n">
        <v>2756.44</v>
      </c>
      <c r="H1283" s="31" t="n">
        <v>1068</v>
      </c>
      <c r="I1283" t="inlineStr">
        <is>
          <t>Paid</t>
        </is>
      </c>
      <c r="K1283" s="29" t="n">
        <v>45862</v>
      </c>
      <c r="L1283" s="33" t="n"/>
    </row>
    <row r="1284">
      <c r="A1284" t="inlineStr">
        <is>
          <t>CLM516038</t>
        </is>
      </c>
      <c r="B1284" t="inlineStr">
        <is>
          <t>ENC116038</t>
        </is>
      </c>
      <c r="C1284" t="inlineStr">
        <is>
          <t>Keystone Health Partners</t>
        </is>
      </c>
      <c r="D1284" t="inlineStr">
        <is>
          <t>Outpatient</t>
        </is>
      </c>
      <c r="E1284" s="29" t="n">
        <v>45826</v>
      </c>
      <c r="F1284" s="29" t="n">
        <v>45828</v>
      </c>
      <c r="G1284" s="31" t="n">
        <v>328.46</v>
      </c>
      <c r="H1284" s="31" t="n">
        <v>162.85</v>
      </c>
      <c r="I1284" t="inlineStr">
        <is>
          <t>Paid</t>
        </is>
      </c>
      <c r="K1284" s="29" t="n">
        <v>45858</v>
      </c>
      <c r="L1284" s="33" t="n"/>
    </row>
    <row r="1285">
      <c r="A1285" t="inlineStr">
        <is>
          <t>CLM516041</t>
        </is>
      </c>
      <c r="B1285" t="inlineStr">
        <is>
          <t>ENC116041</t>
        </is>
      </c>
      <c r="C1285" t="inlineStr">
        <is>
          <t>Evergreen Mutual Insurance</t>
        </is>
      </c>
      <c r="D1285" t="inlineStr">
        <is>
          <t>Inpatient</t>
        </is>
      </c>
      <c r="E1285" s="29" t="n">
        <v>45834</v>
      </c>
      <c r="F1285" s="29" t="n">
        <v>45942</v>
      </c>
      <c r="G1285" s="31" t="n">
        <v>46920.87</v>
      </c>
      <c r="H1285" s="31" t="n">
        <v>20924.3</v>
      </c>
      <c r="I1285" t="inlineStr">
        <is>
          <t>Paid</t>
        </is>
      </c>
      <c r="K1285" s="29" t="n">
        <v>45991</v>
      </c>
      <c r="L1285" s="33" t="n"/>
    </row>
    <row r="1286">
      <c r="A1286" t="inlineStr">
        <is>
          <t>CLM516048</t>
        </is>
      </c>
      <c r="B1286" t="inlineStr">
        <is>
          <t>ENC116048</t>
        </is>
      </c>
      <c r="C1286" t="inlineStr">
        <is>
          <t>Silverline Medicare Advantage</t>
        </is>
      </c>
      <c r="D1286" t="inlineStr">
        <is>
          <t>Outpatient</t>
        </is>
      </c>
      <c r="E1286" s="29" t="n">
        <v>45826</v>
      </c>
      <c r="F1286" s="29" t="n">
        <v>45831</v>
      </c>
      <c r="G1286" s="31" t="n">
        <v>243.24</v>
      </c>
      <c r="H1286" s="31" t="n">
        <v>90.67</v>
      </c>
      <c r="I1286" t="inlineStr">
        <is>
          <t>Paid</t>
        </is>
      </c>
      <c r="K1286" s="29" t="n">
        <v>45869</v>
      </c>
      <c r="L1286" s="33" t="n"/>
    </row>
    <row r="1287">
      <c r="A1287" t="inlineStr">
        <is>
          <t>CLM516052</t>
        </is>
      </c>
      <c r="B1287" t="inlineStr">
        <is>
          <t>ENC116052</t>
        </is>
      </c>
      <c r="C1287" t="inlineStr">
        <is>
          <t>Keystone Health Partners</t>
        </is>
      </c>
      <c r="D1287" t="inlineStr">
        <is>
          <t>Emergency</t>
        </is>
      </c>
      <c r="E1287" s="29" t="n">
        <v>45826</v>
      </c>
      <c r="F1287" s="29" t="n">
        <v>45829</v>
      </c>
      <c r="G1287" s="31" t="n">
        <v>3367.4</v>
      </c>
      <c r="H1287" s="31" t="n">
        <v>1530.32</v>
      </c>
      <c r="I1287" t="inlineStr">
        <is>
          <t>Paid</t>
        </is>
      </c>
      <c r="K1287" s="29" t="n">
        <v>45846</v>
      </c>
      <c r="L1287" s="33" t="n"/>
    </row>
    <row r="1288">
      <c r="A1288" t="inlineStr">
        <is>
          <t>CLM516056</t>
        </is>
      </c>
      <c r="B1288" t="inlineStr">
        <is>
          <t>ENC116056</t>
        </is>
      </c>
      <c r="C1288" t="inlineStr">
        <is>
          <t>Keystone Health Partners</t>
        </is>
      </c>
      <c r="D1288" t="inlineStr">
        <is>
          <t>Inpatient</t>
        </is>
      </c>
      <c r="E1288" s="29" t="n">
        <v>45830</v>
      </c>
      <c r="F1288" s="29" t="n">
        <v>45833</v>
      </c>
      <c r="G1288" s="31" t="n">
        <v>15805.26</v>
      </c>
      <c r="H1288" s="31" t="n">
        <v>7661.08</v>
      </c>
      <c r="I1288" t="inlineStr">
        <is>
          <t>Paid</t>
        </is>
      </c>
      <c r="K1288" s="29" t="n">
        <v>45851</v>
      </c>
      <c r="L1288" s="33" t="n"/>
    </row>
    <row r="1289">
      <c r="A1289" t="inlineStr">
        <is>
          <t>CLM516059</t>
        </is>
      </c>
      <c r="B1289" t="inlineStr">
        <is>
          <t>ENC116059</t>
        </is>
      </c>
      <c r="C1289" t="inlineStr">
        <is>
          <t>Keystone Health Partners</t>
        </is>
      </c>
      <c r="D1289" t="inlineStr">
        <is>
          <t>Inpatient</t>
        </is>
      </c>
      <c r="E1289" s="29" t="n">
        <v>45828</v>
      </c>
      <c r="F1289" s="29" t="n">
        <v>45834</v>
      </c>
      <c r="G1289" s="31" t="n">
        <v>17720</v>
      </c>
      <c r="H1289" s="31" t="n">
        <v>9504.549999999999</v>
      </c>
      <c r="I1289" t="inlineStr">
        <is>
          <t>Paid</t>
        </is>
      </c>
      <c r="K1289" s="29" t="n">
        <v>45858</v>
      </c>
      <c r="L1289" s="33" t="n"/>
    </row>
    <row r="1290">
      <c r="A1290" t="inlineStr">
        <is>
          <t>CLM516064</t>
        </is>
      </c>
      <c r="B1290" t="inlineStr">
        <is>
          <t>ENC116064</t>
        </is>
      </c>
      <c r="C1290" t="inlineStr">
        <is>
          <t>Medicare</t>
        </is>
      </c>
      <c r="D1290" t="inlineStr">
        <is>
          <t>Emergency</t>
        </is>
      </c>
      <c r="E1290" s="29" t="n">
        <v>45827</v>
      </c>
      <c r="F1290" s="29" t="n">
        <v>45830</v>
      </c>
      <c r="G1290" s="31" t="n">
        <v>1867.86</v>
      </c>
      <c r="H1290" s="31" t="n">
        <v>545.36</v>
      </c>
      <c r="I1290" t="inlineStr">
        <is>
          <t>Paid</t>
        </is>
      </c>
      <c r="K1290" s="29" t="n">
        <v>45841</v>
      </c>
      <c r="L1290" s="33" t="n"/>
    </row>
    <row r="1291">
      <c r="A1291" t="inlineStr">
        <is>
          <t>CLM516068</t>
        </is>
      </c>
      <c r="B1291" t="inlineStr">
        <is>
          <t>ENC116068</t>
        </is>
      </c>
      <c r="C1291" t="inlineStr">
        <is>
          <t>Medicare</t>
        </is>
      </c>
      <c r="D1291" t="inlineStr">
        <is>
          <t>Observation</t>
        </is>
      </c>
      <c r="E1291" s="29" t="n">
        <v>45828</v>
      </c>
      <c r="F1291" s="29" t="n">
        <v>45837</v>
      </c>
      <c r="G1291" s="31" t="n">
        <v>10737.49</v>
      </c>
      <c r="H1291" s="31" t="n">
        <v>2727.42</v>
      </c>
      <c r="I1291" t="inlineStr">
        <is>
          <t>Paid</t>
        </is>
      </c>
      <c r="K1291" s="29" t="n">
        <v>45854</v>
      </c>
      <c r="L1291" s="33" t="n"/>
    </row>
    <row r="1292">
      <c r="A1292" t="inlineStr">
        <is>
          <t>CLM516077</t>
        </is>
      </c>
      <c r="B1292" t="inlineStr">
        <is>
          <t>ENC116077</t>
        </is>
      </c>
      <c r="C1292" t="inlineStr">
        <is>
          <t>Self-Pay</t>
        </is>
      </c>
      <c r="D1292" t="inlineStr">
        <is>
          <t>Outpatient</t>
        </is>
      </c>
      <c r="E1292" s="29" t="n">
        <v>45827</v>
      </c>
      <c r="F1292" s="29" t="n">
        <v>45837</v>
      </c>
      <c r="G1292" s="31" t="n">
        <v>6657.72</v>
      </c>
      <c r="H1292" s="31" t="n">
        <v>2510.76</v>
      </c>
      <c r="I1292" t="inlineStr">
        <is>
          <t>Paid</t>
        </is>
      </c>
      <c r="K1292" s="29" t="n">
        <v>45904</v>
      </c>
      <c r="L1292" s="33" t="n"/>
    </row>
    <row r="1293">
      <c r="A1293" t="inlineStr">
        <is>
          <t>CLM516084</t>
        </is>
      </c>
      <c r="B1293" t="inlineStr">
        <is>
          <t>ENC116084</t>
        </is>
      </c>
      <c r="C1293" t="inlineStr">
        <is>
          <t>State Medicaid</t>
        </is>
      </c>
      <c r="D1293" t="inlineStr">
        <is>
          <t>Outpatient</t>
        </is>
      </c>
      <c r="E1293" s="29" t="n">
        <v>45827</v>
      </c>
      <c r="F1293" s="29" t="n">
        <v>45831</v>
      </c>
      <c r="G1293" s="31" t="n">
        <v>260.82</v>
      </c>
      <c r="H1293" s="31" t="n">
        <v>57.82</v>
      </c>
      <c r="I1293" t="inlineStr">
        <is>
          <t>Paid</t>
        </is>
      </c>
      <c r="K1293" s="29" t="n">
        <v>45852</v>
      </c>
      <c r="L1293" s="33" t="n"/>
    </row>
    <row r="1294">
      <c r="A1294" t="inlineStr">
        <is>
          <t>CLM516085</t>
        </is>
      </c>
      <c r="B1294" t="inlineStr">
        <is>
          <t>ENC116085</t>
        </is>
      </c>
      <c r="C1294" t="inlineStr">
        <is>
          <t>State Medicaid</t>
        </is>
      </c>
      <c r="D1294" t="inlineStr">
        <is>
          <t>Observation</t>
        </is>
      </c>
      <c r="E1294" s="29" t="n">
        <v>45828</v>
      </c>
      <c r="F1294" s="29" t="n">
        <v>45831</v>
      </c>
      <c r="G1294" s="31" t="n">
        <v>8968.9</v>
      </c>
      <c r="H1294" s="31" t="n">
        <v>2120.6</v>
      </c>
      <c r="I1294" t="inlineStr">
        <is>
          <t>Paid</t>
        </is>
      </c>
      <c r="K1294" s="29" t="n">
        <v>45845</v>
      </c>
      <c r="L1294" s="33" t="n"/>
    </row>
    <row r="1295">
      <c r="A1295" t="inlineStr">
        <is>
          <t>CLM516097</t>
        </is>
      </c>
      <c r="B1295" t="inlineStr">
        <is>
          <t>ENC116097</t>
        </is>
      </c>
      <c r="C1295" t="inlineStr">
        <is>
          <t>State Medicaid</t>
        </is>
      </c>
      <c r="D1295" t="inlineStr">
        <is>
          <t>Emergency</t>
        </is>
      </c>
      <c r="E1295" s="29" t="n">
        <v>45828</v>
      </c>
      <c r="F1295" s="29" t="n">
        <v>45835</v>
      </c>
      <c r="G1295" s="31" t="n">
        <v>3945.28</v>
      </c>
      <c r="H1295" s="31" t="n">
        <v>814.8099999999999</v>
      </c>
      <c r="I1295" t="inlineStr">
        <is>
          <t>Paid</t>
        </is>
      </c>
      <c r="K1295" s="29" t="n">
        <v>45863</v>
      </c>
      <c r="L1295" s="33" t="n"/>
    </row>
    <row r="1296">
      <c r="A1296" t="inlineStr">
        <is>
          <t>CLM516114</t>
        </is>
      </c>
      <c r="B1296" t="inlineStr">
        <is>
          <t>ENC116114</t>
        </is>
      </c>
      <c r="C1296" t="inlineStr">
        <is>
          <t>State Medicaid</t>
        </is>
      </c>
      <c r="D1296" t="inlineStr">
        <is>
          <t>Inpatient</t>
        </is>
      </c>
      <c r="E1296" s="29" t="n">
        <v>45834</v>
      </c>
      <c r="F1296" s="29" t="n">
        <v>45837</v>
      </c>
      <c r="G1296" s="31" t="n">
        <v>74155.89999999999</v>
      </c>
      <c r="H1296" s="31" t="n">
        <v>17921.66</v>
      </c>
      <c r="I1296" t="inlineStr">
        <is>
          <t>Paid</t>
        </is>
      </c>
      <c r="K1296" s="29" t="n">
        <v>45868</v>
      </c>
      <c r="L1296" s="33" t="n"/>
    </row>
    <row r="1297">
      <c r="A1297" t="inlineStr">
        <is>
          <t>CLM516117</t>
        </is>
      </c>
      <c r="B1297" t="inlineStr">
        <is>
          <t>ENC116117</t>
        </is>
      </c>
      <c r="C1297" t="inlineStr">
        <is>
          <t>Silverline Medicare Advantage</t>
        </is>
      </c>
      <c r="D1297" t="inlineStr">
        <is>
          <t>Outpatient</t>
        </is>
      </c>
      <c r="E1297" s="29" t="n">
        <v>45828</v>
      </c>
      <c r="F1297" s="29" t="n">
        <v>45831</v>
      </c>
      <c r="G1297" s="31" t="n">
        <v>434.47</v>
      </c>
      <c r="H1297" s="31" t="n">
        <v>146.09</v>
      </c>
      <c r="I1297" t="inlineStr">
        <is>
          <t>Paid</t>
        </is>
      </c>
      <c r="K1297" s="29" t="n">
        <v>45848</v>
      </c>
      <c r="L1297" s="33" t="n"/>
    </row>
    <row r="1298">
      <c r="A1298" t="inlineStr">
        <is>
          <t>CLM516118</t>
        </is>
      </c>
      <c r="B1298" t="inlineStr">
        <is>
          <t>ENC116118</t>
        </is>
      </c>
      <c r="C1298" t="inlineStr">
        <is>
          <t>State Medicaid</t>
        </is>
      </c>
      <c r="D1298" t="inlineStr">
        <is>
          <t>Outpatient</t>
        </is>
      </c>
      <c r="E1298" s="29" t="n">
        <v>45828</v>
      </c>
      <c r="F1298" s="29" t="n">
        <v>45834</v>
      </c>
      <c r="G1298" s="31" t="n">
        <v>262.47</v>
      </c>
      <c r="H1298" s="31" t="n">
        <v>0</v>
      </c>
      <c r="I1298" t="inlineStr">
        <is>
          <t>Appealed</t>
        </is>
      </c>
      <c r="J1298" t="inlineStr">
        <is>
          <t>Coding Error</t>
        </is>
      </c>
      <c r="L1298" s="33" t="n"/>
    </row>
    <row r="1299">
      <c r="A1299" t="inlineStr">
        <is>
          <t>CLM516122</t>
        </is>
      </c>
      <c r="B1299" t="inlineStr">
        <is>
          <t>ENC116122</t>
        </is>
      </c>
      <c r="C1299" t="inlineStr">
        <is>
          <t>Medicare</t>
        </is>
      </c>
      <c r="D1299" t="inlineStr">
        <is>
          <t>Emergency</t>
        </is>
      </c>
      <c r="E1299" s="29" t="n">
        <v>45828</v>
      </c>
      <c r="F1299" s="29" t="n">
        <v>45836</v>
      </c>
      <c r="G1299" s="31" t="n">
        <v>791.87</v>
      </c>
      <c r="H1299" s="31" t="n">
        <v>185.11</v>
      </c>
      <c r="I1299" t="inlineStr">
        <is>
          <t>Paid</t>
        </is>
      </c>
      <c r="K1299" s="29" t="n">
        <v>45850</v>
      </c>
      <c r="L1299" s="33" t="n"/>
    </row>
    <row r="1300">
      <c r="A1300" t="inlineStr">
        <is>
          <t>CLM516127</t>
        </is>
      </c>
      <c r="B1300" t="inlineStr">
        <is>
          <t>ENC116127</t>
        </is>
      </c>
      <c r="C1300" t="inlineStr">
        <is>
          <t>Evergreen Mutual Insurance</t>
        </is>
      </c>
      <c r="D1300" t="inlineStr">
        <is>
          <t>Emergency</t>
        </is>
      </c>
      <c r="E1300" s="29" t="n">
        <v>45829</v>
      </c>
      <c r="F1300" s="29" t="n">
        <v>45841</v>
      </c>
      <c r="G1300" s="31" t="n">
        <v>6033.69</v>
      </c>
      <c r="H1300" s="31" t="n">
        <v>2355.98</v>
      </c>
      <c r="I1300" t="inlineStr">
        <is>
          <t>Paid</t>
        </is>
      </c>
      <c r="K1300" s="29" t="n">
        <v>45863</v>
      </c>
      <c r="L1300" s="33" t="n"/>
    </row>
    <row r="1301">
      <c r="A1301" t="inlineStr">
        <is>
          <t>CLM516130</t>
        </is>
      </c>
      <c r="B1301" t="inlineStr">
        <is>
          <t>ENC116130</t>
        </is>
      </c>
      <c r="C1301" t="inlineStr">
        <is>
          <t>Evergreen Mutual Insurance</t>
        </is>
      </c>
      <c r="D1301" t="inlineStr">
        <is>
          <t>Emergency</t>
        </is>
      </c>
      <c r="E1301" s="29" t="n">
        <v>45829</v>
      </c>
      <c r="F1301" s="29" t="n">
        <v>45838</v>
      </c>
      <c r="G1301" s="31" t="n">
        <v>3459.96</v>
      </c>
      <c r="H1301" s="31" t="n">
        <v>1578.86</v>
      </c>
      <c r="I1301" t="inlineStr">
        <is>
          <t>Paid</t>
        </is>
      </c>
      <c r="K1301" s="29" t="n">
        <v>45868</v>
      </c>
      <c r="L1301" s="33" t="n"/>
    </row>
    <row r="1302">
      <c r="A1302" t="inlineStr">
        <is>
          <t>CLM516138</t>
        </is>
      </c>
      <c r="B1302" t="inlineStr">
        <is>
          <t>ENC116138</t>
        </is>
      </c>
      <c r="C1302" t="inlineStr">
        <is>
          <t>Keystone Health Partners</t>
        </is>
      </c>
      <c r="D1302" t="inlineStr">
        <is>
          <t>Inpatient</t>
        </is>
      </c>
      <c r="E1302" s="29" t="n">
        <v>45833</v>
      </c>
      <c r="F1302" s="29" t="n">
        <v>45836</v>
      </c>
      <c r="G1302" s="31" t="n">
        <v>35474.16</v>
      </c>
      <c r="H1302" s="31" t="n">
        <v>0</v>
      </c>
      <c r="I1302" t="inlineStr">
        <is>
          <t>Denied</t>
        </is>
      </c>
      <c r="J1302" t="inlineStr">
        <is>
          <t>Medical Necessity</t>
        </is>
      </c>
      <c r="L1302" s="33" t="n"/>
    </row>
    <row r="1303">
      <c r="A1303" t="inlineStr">
        <is>
          <t>CLM516139</t>
        </is>
      </c>
      <c r="B1303" t="inlineStr">
        <is>
          <t>ENC116139</t>
        </is>
      </c>
      <c r="C1303" t="inlineStr">
        <is>
          <t>Keystone Health Partners</t>
        </is>
      </c>
      <c r="D1303" t="inlineStr">
        <is>
          <t>Inpatient</t>
        </is>
      </c>
      <c r="E1303" s="29" t="n">
        <v>45840</v>
      </c>
      <c r="F1303" s="29" t="n">
        <v>45844</v>
      </c>
      <c r="G1303" s="31" t="n">
        <v>43369.45</v>
      </c>
      <c r="H1303" s="31" t="n">
        <v>0</v>
      </c>
      <c r="I1303" t="inlineStr">
        <is>
          <t>Appealed</t>
        </is>
      </c>
      <c r="J1303" t="inlineStr">
        <is>
          <t>Eligibility / Coverage</t>
        </is>
      </c>
      <c r="L1303" s="33" t="n"/>
    </row>
    <row r="1304">
      <c r="A1304" t="inlineStr">
        <is>
          <t>CLM516141</t>
        </is>
      </c>
      <c r="B1304" t="inlineStr">
        <is>
          <t>ENC116141</t>
        </is>
      </c>
      <c r="C1304" t="inlineStr">
        <is>
          <t>Evergreen Mutual Insurance</t>
        </is>
      </c>
      <c r="D1304" t="inlineStr">
        <is>
          <t>Emergency</t>
        </is>
      </c>
      <c r="E1304" s="29" t="n">
        <v>45829</v>
      </c>
      <c r="F1304" s="29" t="n">
        <v>45842</v>
      </c>
      <c r="G1304" s="31" t="n">
        <v>1162.83</v>
      </c>
      <c r="H1304" s="31" t="n">
        <v>511.75</v>
      </c>
      <c r="I1304" t="inlineStr">
        <is>
          <t>Paid</t>
        </is>
      </c>
      <c r="K1304" s="29" t="n">
        <v>45866</v>
      </c>
      <c r="L1304" s="33" t="n"/>
    </row>
    <row r="1305">
      <c r="A1305" t="inlineStr">
        <is>
          <t>CLM516142</t>
        </is>
      </c>
      <c r="B1305" t="inlineStr">
        <is>
          <t>ENC116142</t>
        </is>
      </c>
      <c r="C1305" t="inlineStr">
        <is>
          <t>State Medicaid</t>
        </is>
      </c>
      <c r="D1305" t="inlineStr">
        <is>
          <t>Emergency</t>
        </is>
      </c>
      <c r="E1305" s="29" t="n">
        <v>45830</v>
      </c>
      <c r="F1305" s="29" t="n">
        <v>45832</v>
      </c>
      <c r="G1305" s="31" t="n">
        <v>1580.47</v>
      </c>
      <c r="H1305" s="31" t="n">
        <v>0</v>
      </c>
      <c r="I1305" t="inlineStr">
        <is>
          <t>Denied</t>
        </is>
      </c>
      <c r="J1305" t="inlineStr">
        <is>
          <t>Authorization Required</t>
        </is>
      </c>
      <c r="L1305" s="33" t="n"/>
    </row>
    <row r="1306">
      <c r="A1306" t="inlineStr">
        <is>
          <t>CLM516143</t>
        </is>
      </c>
      <c r="B1306" t="inlineStr">
        <is>
          <t>ENC116143</t>
        </is>
      </c>
      <c r="C1306" t="inlineStr">
        <is>
          <t>State Medicaid</t>
        </is>
      </c>
      <c r="D1306" t="inlineStr">
        <is>
          <t>Emergency</t>
        </is>
      </c>
      <c r="E1306" s="29" t="n">
        <v>45830</v>
      </c>
      <c r="F1306" s="29" t="n">
        <v>45834</v>
      </c>
      <c r="G1306" s="31" t="n">
        <v>1490.74</v>
      </c>
      <c r="H1306" s="31" t="n">
        <v>349.51</v>
      </c>
      <c r="I1306" t="inlineStr">
        <is>
          <t>Paid</t>
        </is>
      </c>
      <c r="K1306" s="29" t="n">
        <v>45896</v>
      </c>
      <c r="L1306" s="33" t="n"/>
    </row>
    <row r="1307">
      <c r="A1307" t="inlineStr">
        <is>
          <t>CLM516144</t>
        </is>
      </c>
      <c r="B1307" t="inlineStr">
        <is>
          <t>ENC116144</t>
        </is>
      </c>
      <c r="C1307" t="inlineStr">
        <is>
          <t>Medicare</t>
        </is>
      </c>
      <c r="D1307" t="inlineStr">
        <is>
          <t>Emergency</t>
        </is>
      </c>
      <c r="E1307" s="29" t="n">
        <v>45830</v>
      </c>
      <c r="F1307" s="29" t="n">
        <v>45832</v>
      </c>
      <c r="G1307" s="31" t="n">
        <v>522.4299999999999</v>
      </c>
      <c r="H1307" s="31" t="n">
        <v>130.81</v>
      </c>
      <c r="I1307" t="inlineStr">
        <is>
          <t>Paid</t>
        </is>
      </c>
      <c r="K1307" s="29" t="n">
        <v>45841</v>
      </c>
      <c r="L1307" s="33" t="n"/>
    </row>
    <row r="1308">
      <c r="A1308" t="inlineStr">
        <is>
          <t>CLM516148</t>
        </is>
      </c>
      <c r="B1308" t="inlineStr">
        <is>
          <t>ENC116148</t>
        </is>
      </c>
      <c r="C1308" t="inlineStr">
        <is>
          <t>Evergreen Mutual Insurance</t>
        </is>
      </c>
      <c r="D1308" t="inlineStr">
        <is>
          <t>Emergency</t>
        </is>
      </c>
      <c r="E1308" s="29" t="n">
        <v>45830</v>
      </c>
      <c r="F1308" s="29" t="n">
        <v>45834</v>
      </c>
      <c r="G1308" s="31" t="n">
        <v>1271.17</v>
      </c>
      <c r="H1308" s="31" t="n">
        <v>577.58</v>
      </c>
      <c r="I1308" t="inlineStr">
        <is>
          <t>Paid</t>
        </is>
      </c>
      <c r="K1308" s="29" t="n">
        <v>45863</v>
      </c>
      <c r="L1308" s="33" t="n"/>
    </row>
    <row r="1309">
      <c r="A1309" t="inlineStr">
        <is>
          <t>CLM516159</t>
        </is>
      </c>
      <c r="B1309" t="inlineStr">
        <is>
          <t>ENC116159</t>
        </is>
      </c>
      <c r="C1309" t="inlineStr">
        <is>
          <t>Medicare</t>
        </is>
      </c>
      <c r="D1309" t="inlineStr">
        <is>
          <t>Emergency</t>
        </is>
      </c>
      <c r="E1309" s="29" t="n">
        <v>45830</v>
      </c>
      <c r="F1309" s="29" t="n">
        <v>45841</v>
      </c>
      <c r="G1309" s="31" t="n">
        <v>845.79</v>
      </c>
      <c r="H1309" s="31" t="n">
        <v>207.37</v>
      </c>
      <c r="I1309" t="inlineStr">
        <is>
          <t>Paid</t>
        </is>
      </c>
      <c r="K1309" s="29" t="n">
        <v>45853</v>
      </c>
      <c r="L1309" s="33" t="n"/>
    </row>
    <row r="1310">
      <c r="A1310" t="inlineStr">
        <is>
          <t>CLM516164</t>
        </is>
      </c>
      <c r="B1310" t="inlineStr">
        <is>
          <t>ENC116164</t>
        </is>
      </c>
      <c r="C1310" t="inlineStr">
        <is>
          <t>Medicare</t>
        </is>
      </c>
      <c r="D1310" t="inlineStr">
        <is>
          <t>Inpatient</t>
        </is>
      </c>
      <c r="E1310" s="29" t="n">
        <v>45835</v>
      </c>
      <c r="F1310" s="29" t="n">
        <v>45843</v>
      </c>
      <c r="G1310" s="31" t="n">
        <v>71167.49000000001</v>
      </c>
      <c r="H1310" s="31" t="n">
        <v>20547.2</v>
      </c>
      <c r="I1310" t="inlineStr">
        <is>
          <t>Paid</t>
        </is>
      </c>
      <c r="K1310" s="29" t="n">
        <v>45869</v>
      </c>
      <c r="L1310" s="33" t="n"/>
    </row>
    <row r="1311">
      <c r="A1311" t="inlineStr">
        <is>
          <t>CLM516166</t>
        </is>
      </c>
      <c r="B1311" t="inlineStr">
        <is>
          <t>ENC116166</t>
        </is>
      </c>
      <c r="C1311" t="inlineStr">
        <is>
          <t>Keystone Health Partners</t>
        </is>
      </c>
      <c r="D1311" t="inlineStr">
        <is>
          <t>Observation</t>
        </is>
      </c>
      <c r="E1311" s="29" t="n">
        <v>45832</v>
      </c>
      <c r="F1311" s="29" t="n">
        <v>45844</v>
      </c>
      <c r="G1311" s="31" t="n">
        <v>7179.61</v>
      </c>
      <c r="H1311" s="31" t="n">
        <v>3384.77</v>
      </c>
      <c r="I1311" t="inlineStr">
        <is>
          <t>Paid</t>
        </is>
      </c>
      <c r="K1311" s="29" t="n">
        <v>45865</v>
      </c>
      <c r="L1311" s="33" t="n"/>
    </row>
    <row r="1312">
      <c r="A1312" t="inlineStr">
        <is>
          <t>CLM516168</t>
        </is>
      </c>
      <c r="B1312" t="inlineStr">
        <is>
          <t>ENC116168</t>
        </is>
      </c>
      <c r="C1312" t="inlineStr">
        <is>
          <t>Evergreen Mutual Insurance</t>
        </is>
      </c>
      <c r="D1312" t="inlineStr">
        <is>
          <t>Emergency</t>
        </is>
      </c>
      <c r="E1312" s="29" t="n">
        <v>45831</v>
      </c>
      <c r="F1312" s="29" t="n">
        <v>45837</v>
      </c>
      <c r="G1312" s="31" t="n">
        <v>1649.57</v>
      </c>
      <c r="H1312" s="31" t="n">
        <v>642.08</v>
      </c>
      <c r="I1312" t="inlineStr">
        <is>
          <t>Paid</t>
        </is>
      </c>
      <c r="K1312" s="29" t="n">
        <v>45868</v>
      </c>
      <c r="L1312" s="33" t="n"/>
    </row>
    <row r="1313">
      <c r="A1313" t="inlineStr">
        <is>
          <t>CLM516171</t>
        </is>
      </c>
      <c r="B1313" t="inlineStr">
        <is>
          <t>ENC116171</t>
        </is>
      </c>
      <c r="C1313" t="inlineStr">
        <is>
          <t>Evergreen Mutual Insurance</t>
        </is>
      </c>
      <c r="D1313" t="inlineStr">
        <is>
          <t>Outpatient</t>
        </is>
      </c>
      <c r="E1313" s="29" t="n">
        <v>45831</v>
      </c>
      <c r="F1313" s="29" t="n">
        <v>45835</v>
      </c>
      <c r="G1313" s="31" t="n">
        <v>338.29</v>
      </c>
      <c r="H1313" s="31" t="n">
        <v>136.43</v>
      </c>
      <c r="I1313" t="inlineStr">
        <is>
          <t>Paid</t>
        </is>
      </c>
      <c r="K1313" s="29" t="n">
        <v>45875</v>
      </c>
      <c r="L1313" s="33" t="n"/>
    </row>
    <row r="1314">
      <c r="A1314" t="inlineStr">
        <is>
          <t>CLM516173</t>
        </is>
      </c>
      <c r="B1314" t="inlineStr">
        <is>
          <t>ENC116173</t>
        </is>
      </c>
      <c r="C1314" t="inlineStr">
        <is>
          <t>State Medicaid</t>
        </is>
      </c>
      <c r="D1314" t="inlineStr">
        <is>
          <t>Emergency</t>
        </is>
      </c>
      <c r="E1314" s="29" t="n">
        <v>45831</v>
      </c>
      <c r="F1314" s="29" t="n">
        <v>45837</v>
      </c>
      <c r="G1314" s="31" t="n">
        <v>976.2</v>
      </c>
      <c r="H1314" s="31" t="n">
        <v>209.93</v>
      </c>
      <c r="I1314" t="inlineStr">
        <is>
          <t>Paid</t>
        </is>
      </c>
      <c r="K1314" s="29" t="n">
        <v>45881</v>
      </c>
      <c r="L1314" s="33" t="n"/>
    </row>
    <row r="1315">
      <c r="A1315" t="inlineStr">
        <is>
          <t>CLM516174</t>
        </is>
      </c>
      <c r="B1315" t="inlineStr">
        <is>
          <t>ENC116174</t>
        </is>
      </c>
      <c r="C1315" t="inlineStr">
        <is>
          <t>Keystone Health Partners</t>
        </is>
      </c>
      <c r="D1315" t="inlineStr">
        <is>
          <t>Emergency</t>
        </is>
      </c>
      <c r="E1315" s="29" t="n">
        <v>45831</v>
      </c>
      <c r="F1315" s="29" t="n">
        <v>45841</v>
      </c>
      <c r="G1315" s="31" t="n">
        <v>3632.64</v>
      </c>
      <c r="H1315" s="31" t="n">
        <v>1561.4</v>
      </c>
      <c r="I1315" t="inlineStr">
        <is>
          <t>Paid</t>
        </is>
      </c>
      <c r="K1315" s="29" t="n">
        <v>45879</v>
      </c>
      <c r="L1315" s="33" t="n"/>
    </row>
    <row r="1316">
      <c r="A1316" t="inlineStr">
        <is>
          <t>CLM516180</t>
        </is>
      </c>
      <c r="B1316" t="inlineStr">
        <is>
          <t>ENC116180</t>
        </is>
      </c>
      <c r="C1316" t="inlineStr">
        <is>
          <t>Keystone Health Partners</t>
        </is>
      </c>
      <c r="D1316" t="inlineStr">
        <is>
          <t>Outpatient</t>
        </is>
      </c>
      <c r="E1316" s="29" t="n">
        <v>45831</v>
      </c>
      <c r="F1316" s="29" t="n">
        <v>45832</v>
      </c>
      <c r="G1316" s="31" t="n">
        <v>376.18</v>
      </c>
      <c r="H1316" s="31" t="n">
        <v>188.9</v>
      </c>
      <c r="I1316" t="inlineStr">
        <is>
          <t>Paid</t>
        </is>
      </c>
      <c r="K1316" s="29" t="n">
        <v>45849</v>
      </c>
      <c r="L1316" s="33" t="n"/>
    </row>
    <row r="1317">
      <c r="A1317" t="inlineStr">
        <is>
          <t>CLM516181</t>
        </is>
      </c>
      <c r="B1317" t="inlineStr">
        <is>
          <t>ENC116181</t>
        </is>
      </c>
      <c r="C1317" t="inlineStr">
        <is>
          <t>Keystone Health Partners</t>
        </is>
      </c>
      <c r="D1317" t="inlineStr">
        <is>
          <t>Emergency</t>
        </is>
      </c>
      <c r="E1317" s="29" t="n">
        <v>45831</v>
      </c>
      <c r="F1317" s="29" t="n">
        <v>45835</v>
      </c>
      <c r="G1317" s="31" t="n">
        <v>624.85</v>
      </c>
      <c r="H1317" s="31" t="n">
        <v>0</v>
      </c>
      <c r="I1317" t="inlineStr">
        <is>
          <t>Denied</t>
        </is>
      </c>
      <c r="J1317" t="inlineStr">
        <is>
          <t>Medical Necessity</t>
        </is>
      </c>
      <c r="L1317" s="33" t="n"/>
    </row>
    <row r="1318">
      <c r="A1318" t="inlineStr">
        <is>
          <t>CLM516182</t>
        </is>
      </c>
      <c r="B1318" t="inlineStr">
        <is>
          <t>ENC116182</t>
        </is>
      </c>
      <c r="C1318" t="inlineStr">
        <is>
          <t>Self-Pay</t>
        </is>
      </c>
      <c r="D1318" t="inlineStr">
        <is>
          <t>Emergency</t>
        </is>
      </c>
      <c r="E1318" s="29" t="n">
        <v>45831</v>
      </c>
      <c r="F1318" s="29" t="n">
        <v>45834</v>
      </c>
      <c r="G1318" s="31" t="n">
        <v>846.95</v>
      </c>
      <c r="H1318" s="31" t="n">
        <v>202.37</v>
      </c>
      <c r="I1318" t="inlineStr">
        <is>
          <t>Partially Paid</t>
        </is>
      </c>
      <c r="K1318" s="29" t="n">
        <v>45919</v>
      </c>
      <c r="L1318" s="33" t="n"/>
    </row>
    <row r="1319">
      <c r="A1319" t="inlineStr">
        <is>
          <t>CLM516185</t>
        </is>
      </c>
      <c r="B1319" t="inlineStr">
        <is>
          <t>ENC116185</t>
        </is>
      </c>
      <c r="C1319" t="inlineStr">
        <is>
          <t>Evergreen Mutual Insurance</t>
        </is>
      </c>
      <c r="D1319" t="inlineStr">
        <is>
          <t>Outpatient</t>
        </is>
      </c>
      <c r="E1319" s="29" t="n">
        <v>45831</v>
      </c>
      <c r="F1319" s="29" t="n">
        <v>45834</v>
      </c>
      <c r="G1319" s="31" t="n">
        <v>356.61</v>
      </c>
      <c r="H1319" s="31" t="n">
        <v>142.62</v>
      </c>
      <c r="I1319" t="inlineStr">
        <is>
          <t>Paid</t>
        </is>
      </c>
      <c r="K1319" s="29" t="n">
        <v>45876</v>
      </c>
      <c r="L1319" s="33" t="n"/>
    </row>
    <row r="1320">
      <c r="A1320" t="inlineStr">
        <is>
          <t>CLM516188</t>
        </is>
      </c>
      <c r="B1320" t="inlineStr">
        <is>
          <t>ENC116188</t>
        </is>
      </c>
      <c r="C1320" t="inlineStr">
        <is>
          <t>Silverline Medicare Advantage</t>
        </is>
      </c>
      <c r="D1320" t="inlineStr">
        <is>
          <t>Emergency</t>
        </is>
      </c>
      <c r="E1320" s="29" t="n">
        <v>45831</v>
      </c>
      <c r="F1320" s="29" t="n">
        <v>45835</v>
      </c>
      <c r="G1320" s="31" t="n">
        <v>5187.15</v>
      </c>
      <c r="H1320" s="31" t="n">
        <v>1639.67</v>
      </c>
      <c r="I1320" t="inlineStr">
        <is>
          <t>Paid</t>
        </is>
      </c>
      <c r="K1320" s="29" t="n">
        <v>45867</v>
      </c>
      <c r="L1320" s="33" t="n"/>
    </row>
    <row r="1321">
      <c r="A1321" t="inlineStr">
        <is>
          <t>CLM516203</t>
        </is>
      </c>
      <c r="B1321" t="inlineStr">
        <is>
          <t>ENC116203</t>
        </is>
      </c>
      <c r="C1321" t="inlineStr">
        <is>
          <t>State Medicaid</t>
        </is>
      </c>
      <c r="D1321" t="inlineStr">
        <is>
          <t>Outpatient</t>
        </is>
      </c>
      <c r="E1321" s="29" t="n">
        <v>45832</v>
      </c>
      <c r="F1321" s="29" t="n">
        <v>45834</v>
      </c>
      <c r="G1321" s="31" t="n">
        <v>425.82</v>
      </c>
      <c r="H1321" s="31" t="n">
        <v>121.09</v>
      </c>
      <c r="I1321" t="inlineStr">
        <is>
          <t>Paid</t>
        </is>
      </c>
      <c r="K1321" s="29" t="n">
        <v>45864</v>
      </c>
      <c r="L1321" s="33" t="n"/>
    </row>
    <row r="1322">
      <c r="A1322" t="inlineStr">
        <is>
          <t>CLM516215</t>
        </is>
      </c>
      <c r="B1322" t="inlineStr">
        <is>
          <t>ENC116215</t>
        </is>
      </c>
      <c r="C1322" t="inlineStr">
        <is>
          <t>State Medicaid</t>
        </is>
      </c>
      <c r="D1322" t="inlineStr">
        <is>
          <t>Outpatient</t>
        </is>
      </c>
      <c r="E1322" s="29" t="n">
        <v>45832</v>
      </c>
      <c r="F1322" s="29" t="n">
        <v>45838</v>
      </c>
      <c r="G1322" s="31" t="n">
        <v>311.56</v>
      </c>
      <c r="H1322" s="31" t="n">
        <v>75.31</v>
      </c>
      <c r="I1322" t="inlineStr">
        <is>
          <t>Paid</t>
        </is>
      </c>
      <c r="K1322" s="29" t="n">
        <v>45877</v>
      </c>
      <c r="L1322" s="33" t="n"/>
    </row>
    <row r="1323">
      <c r="A1323" t="inlineStr">
        <is>
          <t>CLM516224</t>
        </is>
      </c>
      <c r="B1323" t="inlineStr">
        <is>
          <t>ENC116224</t>
        </is>
      </c>
      <c r="C1323" t="inlineStr">
        <is>
          <t>Medicare</t>
        </is>
      </c>
      <c r="D1323" t="inlineStr">
        <is>
          <t>Outpatient</t>
        </is>
      </c>
      <c r="E1323" s="29" t="n">
        <v>45832</v>
      </c>
      <c r="F1323" s="29" t="n">
        <v>45836</v>
      </c>
      <c r="G1323" s="31" t="n">
        <v>821.47</v>
      </c>
      <c r="H1323" s="31" t="n">
        <v>229.72</v>
      </c>
      <c r="I1323" t="inlineStr">
        <is>
          <t>Paid</t>
        </is>
      </c>
      <c r="K1323" s="29" t="n">
        <v>45851</v>
      </c>
      <c r="L1323" s="33" t="n"/>
    </row>
    <row r="1324">
      <c r="A1324" t="inlineStr">
        <is>
          <t>CLM516232</t>
        </is>
      </c>
      <c r="B1324" t="inlineStr">
        <is>
          <t>ENC116232</t>
        </is>
      </c>
      <c r="C1324" t="inlineStr">
        <is>
          <t>Medicare</t>
        </is>
      </c>
      <c r="D1324" t="inlineStr">
        <is>
          <t>Emergency</t>
        </is>
      </c>
      <c r="E1324" s="29" t="n">
        <v>45832</v>
      </c>
      <c r="F1324" s="29" t="n">
        <v>45834</v>
      </c>
      <c r="G1324" s="31" t="n">
        <v>6384.9</v>
      </c>
      <c r="H1324" s="31" t="n">
        <v>1851.38</v>
      </c>
      <c r="I1324" t="inlineStr">
        <is>
          <t>Paid</t>
        </is>
      </c>
      <c r="K1324" s="29" t="n">
        <v>45852</v>
      </c>
      <c r="L1324" s="33" t="n"/>
    </row>
    <row r="1325">
      <c r="A1325" t="inlineStr">
        <is>
          <t>CLM516234</t>
        </is>
      </c>
      <c r="B1325" t="inlineStr">
        <is>
          <t>ENC116234</t>
        </is>
      </c>
      <c r="C1325" t="inlineStr">
        <is>
          <t>Keystone Health Partners</t>
        </is>
      </c>
      <c r="D1325" t="inlineStr">
        <is>
          <t>Inpatient</t>
        </is>
      </c>
      <c r="E1325" s="29" t="n">
        <v>45839</v>
      </c>
      <c r="F1325" s="29" t="n">
        <v>45841</v>
      </c>
      <c r="G1325" s="31" t="n">
        <v>73881.97</v>
      </c>
      <c r="H1325" s="31" t="n">
        <v>38703.66</v>
      </c>
      <c r="I1325" t="inlineStr">
        <is>
          <t>Paid</t>
        </is>
      </c>
      <c r="K1325" s="29" t="n">
        <v>45862</v>
      </c>
      <c r="L1325" s="33" t="n"/>
    </row>
    <row r="1326">
      <c r="A1326" t="inlineStr">
        <is>
          <t>CLM516238</t>
        </is>
      </c>
      <c r="B1326" t="inlineStr">
        <is>
          <t>ENC116238</t>
        </is>
      </c>
      <c r="C1326" t="inlineStr">
        <is>
          <t>Self-Pay</t>
        </is>
      </c>
      <c r="D1326" t="inlineStr">
        <is>
          <t>Emergency</t>
        </is>
      </c>
      <c r="E1326" s="29" t="n">
        <v>45833</v>
      </c>
      <c r="F1326" s="29" t="n">
        <v>45838</v>
      </c>
      <c r="G1326" s="31" t="n">
        <v>4216.25</v>
      </c>
      <c r="H1326" s="31" t="n">
        <v>238.68</v>
      </c>
      <c r="I1326" t="inlineStr">
        <is>
          <t>Partially Paid</t>
        </is>
      </c>
      <c r="K1326" s="29" t="n">
        <v>45885</v>
      </c>
      <c r="L1326" s="33" t="n"/>
    </row>
    <row r="1327">
      <c r="A1327" t="inlineStr">
        <is>
          <t>CLM516239</t>
        </is>
      </c>
      <c r="B1327" t="inlineStr">
        <is>
          <t>ENC116239</t>
        </is>
      </c>
      <c r="C1327" t="inlineStr">
        <is>
          <t>Evergreen Mutual Insurance</t>
        </is>
      </c>
      <c r="D1327" t="inlineStr">
        <is>
          <t>Inpatient</t>
        </is>
      </c>
      <c r="E1327" s="29" t="n">
        <v>45834</v>
      </c>
      <c r="F1327" s="29" t="n">
        <v>45842</v>
      </c>
      <c r="G1327" s="31" t="n">
        <v>22731.92</v>
      </c>
      <c r="H1327" s="31" t="n">
        <v>10532.73</v>
      </c>
      <c r="I1327" t="inlineStr">
        <is>
          <t>Paid</t>
        </is>
      </c>
      <c r="K1327" s="29" t="n">
        <v>45887</v>
      </c>
      <c r="L1327" s="33" t="n"/>
    </row>
    <row r="1328">
      <c r="A1328" t="inlineStr">
        <is>
          <t>CLM516240</t>
        </is>
      </c>
      <c r="B1328" t="inlineStr">
        <is>
          <t>ENC116240</t>
        </is>
      </c>
      <c r="C1328" t="inlineStr">
        <is>
          <t>Keystone Health Partners</t>
        </is>
      </c>
      <c r="D1328" t="inlineStr">
        <is>
          <t>Outpatient</t>
        </is>
      </c>
      <c r="E1328" s="29" t="n">
        <v>45833</v>
      </c>
      <c r="F1328" s="29" t="n">
        <v>45834</v>
      </c>
      <c r="G1328" s="31" t="n">
        <v>205.57</v>
      </c>
      <c r="H1328" s="31" t="n">
        <v>91.44</v>
      </c>
      <c r="I1328" t="inlineStr">
        <is>
          <t>Paid</t>
        </is>
      </c>
      <c r="K1328" s="29" t="n">
        <v>45844</v>
      </c>
      <c r="L1328" s="33" t="n"/>
    </row>
    <row r="1329">
      <c r="A1329" t="inlineStr">
        <is>
          <t>CLM516241</t>
        </is>
      </c>
      <c r="B1329" t="inlineStr">
        <is>
          <t>ENC116241</t>
        </is>
      </c>
      <c r="C1329" t="inlineStr">
        <is>
          <t>Summit Choice PPO</t>
        </is>
      </c>
      <c r="D1329" t="inlineStr">
        <is>
          <t>Outpatient</t>
        </is>
      </c>
      <c r="E1329" s="29" t="n">
        <v>45833</v>
      </c>
      <c r="F1329" s="29" t="n">
        <v>45839</v>
      </c>
      <c r="G1329" s="31" t="n">
        <v>230.99</v>
      </c>
      <c r="H1329" s="31" t="n">
        <v>0</v>
      </c>
      <c r="I1329" t="inlineStr">
        <is>
          <t>Appealed</t>
        </is>
      </c>
      <c r="J1329" t="inlineStr">
        <is>
          <t>Coding Error</t>
        </is>
      </c>
      <c r="L1329" s="33" t="n"/>
    </row>
    <row r="1330">
      <c r="A1330" t="inlineStr">
        <is>
          <t>CLM516250</t>
        </is>
      </c>
      <c r="B1330" t="inlineStr">
        <is>
          <t>ENC116250</t>
        </is>
      </c>
      <c r="C1330" t="inlineStr">
        <is>
          <t>Silverline Medicare Advantage</t>
        </is>
      </c>
      <c r="D1330" t="inlineStr">
        <is>
          <t>Outpatient</t>
        </is>
      </c>
      <c r="E1330" s="29" t="n">
        <v>45833</v>
      </c>
      <c r="F1330" s="29" t="n">
        <v>45840</v>
      </c>
      <c r="G1330" s="31" t="n">
        <v>254.41</v>
      </c>
      <c r="H1330" s="31" t="n">
        <v>86.92</v>
      </c>
      <c r="I1330" t="inlineStr">
        <is>
          <t>Paid</t>
        </is>
      </c>
      <c r="K1330" s="29" t="n">
        <v>45858</v>
      </c>
      <c r="L1330" s="33" t="n"/>
    </row>
    <row r="1331">
      <c r="A1331" t="inlineStr">
        <is>
          <t>CLM516251</t>
        </is>
      </c>
      <c r="B1331" t="inlineStr">
        <is>
          <t>ENC116251</t>
        </is>
      </c>
      <c r="C1331" t="inlineStr">
        <is>
          <t>Medicare</t>
        </is>
      </c>
      <c r="D1331" t="inlineStr">
        <is>
          <t>Outpatient</t>
        </is>
      </c>
      <c r="E1331" s="29" t="n">
        <v>45833</v>
      </c>
      <c r="F1331" s="29" t="n">
        <v>45841</v>
      </c>
      <c r="G1331" s="31" t="n">
        <v>288.9</v>
      </c>
      <c r="H1331" s="31" t="n">
        <v>76.58</v>
      </c>
      <c r="I1331" t="inlineStr">
        <is>
          <t>Paid</t>
        </is>
      </c>
      <c r="K1331" s="29" t="n">
        <v>45851</v>
      </c>
      <c r="L1331" s="33" t="n"/>
    </row>
    <row r="1332">
      <c r="A1332" t="inlineStr">
        <is>
          <t>CLM516252</t>
        </is>
      </c>
      <c r="B1332" t="inlineStr">
        <is>
          <t>ENC116252</t>
        </is>
      </c>
      <c r="C1332" t="inlineStr">
        <is>
          <t>Medicare</t>
        </is>
      </c>
      <c r="D1332" t="inlineStr">
        <is>
          <t>Emergency</t>
        </is>
      </c>
      <c r="E1332" s="29" t="n">
        <v>45833</v>
      </c>
      <c r="F1332" s="29" t="n">
        <v>45836</v>
      </c>
      <c r="G1332" s="31" t="n">
        <v>1061.53</v>
      </c>
      <c r="H1332" s="31" t="n">
        <v>326.46</v>
      </c>
      <c r="I1332" t="inlineStr">
        <is>
          <t>Paid</t>
        </is>
      </c>
      <c r="K1332" s="29" t="n">
        <v>45854</v>
      </c>
      <c r="L1332" s="33" t="n"/>
    </row>
    <row r="1333">
      <c r="A1333" t="inlineStr">
        <is>
          <t>CLM516254</t>
        </is>
      </c>
      <c r="B1333" t="inlineStr">
        <is>
          <t>ENC116254</t>
        </is>
      </c>
      <c r="C1333" t="inlineStr">
        <is>
          <t>State Medicaid</t>
        </is>
      </c>
      <c r="D1333" t="inlineStr">
        <is>
          <t>Outpatient</t>
        </is>
      </c>
      <c r="E1333" s="29" t="n">
        <v>45833</v>
      </c>
      <c r="F1333" s="29" t="n">
        <v>45835</v>
      </c>
      <c r="G1333" s="31" t="n">
        <v>360.19</v>
      </c>
      <c r="H1333" s="31" t="n">
        <v>89.98999999999999</v>
      </c>
      <c r="I1333" t="inlineStr">
        <is>
          <t>Paid</t>
        </is>
      </c>
      <c r="K1333" s="29" t="n">
        <v>45853</v>
      </c>
      <c r="L1333" s="33" t="n"/>
    </row>
    <row r="1334">
      <c r="A1334" t="inlineStr">
        <is>
          <t>CLM516259</t>
        </is>
      </c>
      <c r="B1334" t="inlineStr">
        <is>
          <t>ENC116259</t>
        </is>
      </c>
      <c r="C1334" t="inlineStr">
        <is>
          <t>Summit Choice PPO</t>
        </is>
      </c>
      <c r="D1334" t="inlineStr">
        <is>
          <t>Emergency</t>
        </is>
      </c>
      <c r="E1334" s="29" t="n">
        <v>45833</v>
      </c>
      <c r="F1334" s="29" t="n">
        <v>45834</v>
      </c>
      <c r="G1334" s="31" t="n">
        <v>3358.4</v>
      </c>
      <c r="H1334" s="31" t="n">
        <v>1421.65</v>
      </c>
      <c r="I1334" t="inlineStr">
        <is>
          <t>Paid</t>
        </is>
      </c>
      <c r="K1334" s="29" t="n">
        <v>45849</v>
      </c>
      <c r="L1334" s="33" t="n"/>
    </row>
    <row r="1335">
      <c r="A1335" t="inlineStr">
        <is>
          <t>CLM516260</t>
        </is>
      </c>
      <c r="B1335" t="inlineStr">
        <is>
          <t>ENC116260</t>
        </is>
      </c>
      <c r="C1335" t="inlineStr">
        <is>
          <t>State Medicaid</t>
        </is>
      </c>
      <c r="D1335" t="inlineStr">
        <is>
          <t>Inpatient</t>
        </is>
      </c>
      <c r="E1335" s="29" t="n">
        <v>45838</v>
      </c>
      <c r="F1335" s="29" t="n">
        <v>45843</v>
      </c>
      <c r="G1335" s="31" t="n">
        <v>35510.6</v>
      </c>
      <c r="H1335" s="31" t="n">
        <v>8161.88</v>
      </c>
      <c r="I1335" t="inlineStr">
        <is>
          <t>Paid</t>
        </is>
      </c>
      <c r="K1335" s="29" t="n">
        <v>45863</v>
      </c>
      <c r="L1335" s="33" t="n"/>
    </row>
    <row r="1336">
      <c r="A1336" t="inlineStr">
        <is>
          <t>CLM516261</t>
        </is>
      </c>
      <c r="B1336" t="inlineStr">
        <is>
          <t>ENC116261</t>
        </is>
      </c>
      <c r="C1336" t="inlineStr">
        <is>
          <t>Medicare</t>
        </is>
      </c>
      <c r="D1336" t="inlineStr">
        <is>
          <t>Emergency</t>
        </is>
      </c>
      <c r="E1336" s="29" t="n">
        <v>45834</v>
      </c>
      <c r="F1336" s="29" t="n">
        <v>45837</v>
      </c>
      <c r="G1336" s="31" t="n">
        <v>3468.08</v>
      </c>
      <c r="H1336" s="31" t="n">
        <v>1019.28</v>
      </c>
      <c r="I1336" t="inlineStr">
        <is>
          <t>Paid</t>
        </is>
      </c>
      <c r="K1336" s="29" t="n">
        <v>45852</v>
      </c>
      <c r="L1336" s="33" t="n"/>
    </row>
    <row r="1337">
      <c r="A1337" t="inlineStr">
        <is>
          <t>CLM516264</t>
        </is>
      </c>
      <c r="B1337" t="inlineStr">
        <is>
          <t>ENC116264</t>
        </is>
      </c>
      <c r="C1337" t="inlineStr">
        <is>
          <t>Keystone Health Partners</t>
        </is>
      </c>
      <c r="D1337" t="inlineStr">
        <is>
          <t>Inpatient</t>
        </is>
      </c>
      <c r="E1337" s="29" t="n">
        <v>45835</v>
      </c>
      <c r="F1337" s="29" t="n">
        <v>45840</v>
      </c>
      <c r="G1337" s="31" t="n">
        <v>19480.14</v>
      </c>
      <c r="H1337" s="31" t="n">
        <v>10119.33</v>
      </c>
      <c r="I1337" t="inlineStr">
        <is>
          <t>Paid</t>
        </is>
      </c>
      <c r="K1337" s="29" t="n">
        <v>45863</v>
      </c>
      <c r="L1337" s="33" t="n"/>
    </row>
    <row r="1338">
      <c r="A1338" t="inlineStr">
        <is>
          <t>CLM516268</t>
        </is>
      </c>
      <c r="B1338" t="inlineStr">
        <is>
          <t>ENC116268</t>
        </is>
      </c>
      <c r="C1338" t="inlineStr">
        <is>
          <t>Evergreen Mutual Insurance</t>
        </is>
      </c>
      <c r="D1338" t="inlineStr">
        <is>
          <t>Outpatient</t>
        </is>
      </c>
      <c r="E1338" s="29" t="n">
        <v>45834</v>
      </c>
      <c r="F1338" s="29" t="n">
        <v>45847</v>
      </c>
      <c r="G1338" s="31" t="n">
        <v>551.4299999999999</v>
      </c>
      <c r="H1338" s="31" t="n">
        <v>205.08</v>
      </c>
      <c r="I1338" t="inlineStr">
        <is>
          <t>Paid</t>
        </is>
      </c>
      <c r="K1338" s="29" t="n">
        <v>45880</v>
      </c>
      <c r="L1338" s="33" t="n"/>
    </row>
    <row r="1339">
      <c r="A1339" t="inlineStr">
        <is>
          <t>CLM516269</t>
        </is>
      </c>
      <c r="B1339" t="inlineStr">
        <is>
          <t>ENC116269</t>
        </is>
      </c>
      <c r="C1339" t="inlineStr">
        <is>
          <t>Evergreen Mutual Insurance</t>
        </is>
      </c>
      <c r="D1339" t="inlineStr">
        <is>
          <t>Outpatient</t>
        </is>
      </c>
      <c r="E1339" s="29" t="n">
        <v>45834</v>
      </c>
      <c r="F1339" s="29" t="n">
        <v>45839</v>
      </c>
      <c r="G1339" s="31" t="n">
        <v>548.4</v>
      </c>
      <c r="H1339" s="31" t="n">
        <v>282.04</v>
      </c>
      <c r="I1339" t="inlineStr">
        <is>
          <t>Paid</t>
        </is>
      </c>
      <c r="K1339" s="29" t="n">
        <v>45870</v>
      </c>
      <c r="L1339" s="33" t="n"/>
    </row>
    <row r="1340">
      <c r="A1340" t="inlineStr">
        <is>
          <t>CLM516270</t>
        </is>
      </c>
      <c r="B1340" t="inlineStr">
        <is>
          <t>ENC116270</t>
        </is>
      </c>
      <c r="C1340" t="inlineStr">
        <is>
          <t>Evergreen Mutual Insurance</t>
        </is>
      </c>
      <c r="D1340" t="inlineStr">
        <is>
          <t>Outpatient</t>
        </is>
      </c>
      <c r="E1340" s="29" t="n">
        <v>45834</v>
      </c>
      <c r="F1340" s="29" t="n">
        <v>45839</v>
      </c>
      <c r="G1340" s="31" t="n">
        <v>339.51</v>
      </c>
      <c r="H1340" s="31" t="n">
        <v>170.12</v>
      </c>
      <c r="I1340" t="inlineStr">
        <is>
          <t>Paid</t>
        </is>
      </c>
      <c r="K1340" s="29" t="n">
        <v>45881</v>
      </c>
      <c r="L1340" s="33" t="n"/>
    </row>
    <row r="1341">
      <c r="A1341" t="inlineStr">
        <is>
          <t>CLM516271</t>
        </is>
      </c>
      <c r="B1341" t="inlineStr">
        <is>
          <t>ENC116271</t>
        </is>
      </c>
      <c r="C1341" t="inlineStr">
        <is>
          <t>Medicare</t>
        </is>
      </c>
      <c r="D1341" t="inlineStr">
        <is>
          <t>Outpatient</t>
        </is>
      </c>
      <c r="E1341" s="29" t="n">
        <v>45834</v>
      </c>
      <c r="F1341" s="29" t="n">
        <v>45837</v>
      </c>
      <c r="G1341" s="31" t="n">
        <v>10741.85</v>
      </c>
      <c r="H1341" s="31" t="n">
        <v>2919.96</v>
      </c>
      <c r="I1341" t="inlineStr">
        <is>
          <t>Paid</t>
        </is>
      </c>
      <c r="K1341" s="29" t="n">
        <v>45853</v>
      </c>
      <c r="L1341" s="33" t="n"/>
    </row>
    <row r="1342">
      <c r="A1342" t="inlineStr">
        <is>
          <t>CLM516272</t>
        </is>
      </c>
      <c r="B1342" t="inlineStr">
        <is>
          <t>ENC116272</t>
        </is>
      </c>
      <c r="C1342" t="inlineStr">
        <is>
          <t>Summit Choice PPO</t>
        </is>
      </c>
      <c r="D1342" t="inlineStr">
        <is>
          <t>Outpatient</t>
        </is>
      </c>
      <c r="E1342" s="29" t="n">
        <v>45834</v>
      </c>
      <c r="F1342" s="29" t="n">
        <v>45849</v>
      </c>
      <c r="G1342" s="31" t="n">
        <v>18169.06</v>
      </c>
      <c r="H1342" s="31" t="n">
        <v>8710.26</v>
      </c>
      <c r="I1342" t="inlineStr">
        <is>
          <t>Paid</t>
        </is>
      </c>
      <c r="K1342" s="29" t="n">
        <v>45869</v>
      </c>
      <c r="L1342" s="33" t="n"/>
    </row>
    <row r="1343">
      <c r="A1343" t="inlineStr">
        <is>
          <t>CLM516278</t>
        </is>
      </c>
      <c r="B1343" t="inlineStr">
        <is>
          <t>ENC116278</t>
        </is>
      </c>
      <c r="C1343" t="inlineStr">
        <is>
          <t>Medicare</t>
        </is>
      </c>
      <c r="D1343" t="inlineStr">
        <is>
          <t>Emergency</t>
        </is>
      </c>
      <c r="E1343" s="29" t="n">
        <v>45834</v>
      </c>
      <c r="F1343" s="29" t="n">
        <v>45835</v>
      </c>
      <c r="G1343" s="31" t="n">
        <v>4252.72</v>
      </c>
      <c r="H1343" s="31" t="n">
        <v>1160.77</v>
      </c>
      <c r="I1343" t="inlineStr">
        <is>
          <t>Paid</t>
        </is>
      </c>
      <c r="K1343" s="29" t="n">
        <v>45849</v>
      </c>
      <c r="L1343" s="33" t="n"/>
    </row>
    <row r="1344">
      <c r="A1344" t="inlineStr">
        <is>
          <t>CLM516280</t>
        </is>
      </c>
      <c r="B1344" t="inlineStr">
        <is>
          <t>ENC116280</t>
        </is>
      </c>
      <c r="C1344" t="inlineStr">
        <is>
          <t>Keystone Health Partners</t>
        </is>
      </c>
      <c r="D1344" t="inlineStr">
        <is>
          <t>Outpatient</t>
        </is>
      </c>
      <c r="E1344" s="29" t="n">
        <v>45834</v>
      </c>
      <c r="F1344" s="29" t="n">
        <v>45838</v>
      </c>
      <c r="G1344" s="31" t="n">
        <v>208.47</v>
      </c>
      <c r="H1344" s="31" t="n">
        <v>100.71</v>
      </c>
      <c r="I1344" t="inlineStr">
        <is>
          <t>Paid</t>
        </is>
      </c>
      <c r="K1344" s="29" t="n">
        <v>45858</v>
      </c>
      <c r="L1344" s="33" t="n"/>
    </row>
    <row r="1345">
      <c r="A1345" t="inlineStr">
        <is>
          <t>CLM516283</t>
        </is>
      </c>
      <c r="B1345" t="inlineStr">
        <is>
          <t>ENC116283</t>
        </is>
      </c>
      <c r="C1345" t="inlineStr">
        <is>
          <t>State Medicaid</t>
        </is>
      </c>
      <c r="D1345" t="inlineStr">
        <is>
          <t>Outpatient</t>
        </is>
      </c>
      <c r="E1345" s="29" t="n">
        <v>45834</v>
      </c>
      <c r="F1345" s="29" t="n">
        <v>45836</v>
      </c>
      <c r="G1345" s="31" t="n">
        <v>657.17</v>
      </c>
      <c r="H1345" s="31" t="n">
        <v>169.46</v>
      </c>
      <c r="I1345" t="inlineStr">
        <is>
          <t>Paid</t>
        </is>
      </c>
      <c r="K1345" s="29" t="n">
        <v>45856</v>
      </c>
      <c r="L1345" s="33" t="n"/>
    </row>
    <row r="1346">
      <c r="A1346" t="inlineStr">
        <is>
          <t>CLM516285</t>
        </is>
      </c>
      <c r="B1346" t="inlineStr">
        <is>
          <t>ENC116285</t>
        </is>
      </c>
      <c r="C1346" t="inlineStr">
        <is>
          <t>Keystone Health Partners</t>
        </is>
      </c>
      <c r="D1346" t="inlineStr">
        <is>
          <t>Outpatient</t>
        </is>
      </c>
      <c r="E1346" s="29" t="n">
        <v>45834</v>
      </c>
      <c r="F1346" s="29" t="n">
        <v>45950</v>
      </c>
      <c r="G1346" s="31" t="n">
        <v>245.9</v>
      </c>
      <c r="H1346" s="31" t="n">
        <v>0</v>
      </c>
      <c r="I1346" t="inlineStr">
        <is>
          <t>Denied</t>
        </is>
      </c>
      <c r="J1346" t="inlineStr">
        <is>
          <t>Timely Filing</t>
        </is>
      </c>
      <c r="L1346" s="33" t="n"/>
    </row>
    <row r="1347">
      <c r="A1347" t="inlineStr">
        <is>
          <t>CLM516294</t>
        </is>
      </c>
      <c r="B1347" t="inlineStr">
        <is>
          <t>ENC116294</t>
        </is>
      </c>
      <c r="C1347" t="inlineStr">
        <is>
          <t>Keystone Health Partners</t>
        </is>
      </c>
      <c r="D1347" t="inlineStr">
        <is>
          <t>Inpatient</t>
        </is>
      </c>
      <c r="E1347" s="29" t="n">
        <v>45838</v>
      </c>
      <c r="F1347" s="29" t="n">
        <v>45844</v>
      </c>
      <c r="G1347" s="31" t="n">
        <v>23945.87</v>
      </c>
      <c r="H1347" s="31" t="n">
        <v>11917.47</v>
      </c>
      <c r="I1347" t="inlineStr">
        <is>
          <t>Paid</t>
        </is>
      </c>
      <c r="K1347" s="29" t="n">
        <v>45865</v>
      </c>
      <c r="L1347" s="33" t="n"/>
    </row>
    <row r="1348">
      <c r="A1348" t="inlineStr">
        <is>
          <t>CLM516295</t>
        </is>
      </c>
      <c r="B1348" t="inlineStr">
        <is>
          <t>ENC116295</t>
        </is>
      </c>
      <c r="C1348" t="inlineStr">
        <is>
          <t>Keystone Health Partners</t>
        </is>
      </c>
      <c r="D1348" t="inlineStr">
        <is>
          <t>Emergency</t>
        </is>
      </c>
      <c r="E1348" s="29" t="n">
        <v>45834</v>
      </c>
      <c r="F1348" s="29" t="n">
        <v>45838</v>
      </c>
      <c r="G1348" s="31" t="n">
        <v>2616.26</v>
      </c>
      <c r="H1348" s="31" t="n">
        <v>1157.93</v>
      </c>
      <c r="I1348" t="inlineStr">
        <is>
          <t>Paid</t>
        </is>
      </c>
      <c r="K1348" s="29" t="n">
        <v>45857</v>
      </c>
      <c r="L1348" s="33" t="n"/>
    </row>
    <row r="1349">
      <c r="A1349" t="inlineStr">
        <is>
          <t>CLM516298</t>
        </is>
      </c>
      <c r="B1349" t="inlineStr">
        <is>
          <t>ENC116298</t>
        </is>
      </c>
      <c r="C1349" t="inlineStr">
        <is>
          <t>Keystone Health Partners</t>
        </is>
      </c>
      <c r="D1349" t="inlineStr">
        <is>
          <t>Inpatient</t>
        </is>
      </c>
      <c r="E1349" s="29" t="n">
        <v>45842</v>
      </c>
      <c r="F1349" s="29" t="n">
        <v>45846</v>
      </c>
      <c r="G1349" s="31" t="n">
        <v>64752.24</v>
      </c>
      <c r="H1349" s="31" t="n">
        <v>33160.83</v>
      </c>
      <c r="I1349" t="inlineStr">
        <is>
          <t>Paid</t>
        </is>
      </c>
      <c r="K1349" s="29" t="n">
        <v>45861</v>
      </c>
      <c r="L1349" s="33" t="n"/>
    </row>
    <row r="1350">
      <c r="A1350" t="inlineStr">
        <is>
          <t>CLM516300</t>
        </is>
      </c>
      <c r="B1350" t="inlineStr">
        <is>
          <t>ENC116300</t>
        </is>
      </c>
      <c r="C1350" t="inlineStr">
        <is>
          <t>Evergreen Mutual Insurance</t>
        </is>
      </c>
      <c r="D1350" t="inlineStr">
        <is>
          <t>Emergency</t>
        </is>
      </c>
      <c r="E1350" s="29" t="n">
        <v>45835</v>
      </c>
      <c r="F1350" s="29" t="n">
        <v>45836</v>
      </c>
      <c r="G1350" s="31" t="n">
        <v>2607.63</v>
      </c>
      <c r="H1350" s="31" t="n">
        <v>1068.88</v>
      </c>
      <c r="I1350" t="inlineStr">
        <is>
          <t>Paid</t>
        </is>
      </c>
      <c r="K1350" s="29" t="n">
        <v>45916</v>
      </c>
      <c r="L1350" s="33" t="n"/>
    </row>
    <row r="1351">
      <c r="A1351" t="inlineStr">
        <is>
          <t>CLM516301</t>
        </is>
      </c>
      <c r="B1351" t="inlineStr">
        <is>
          <t>ENC116301</t>
        </is>
      </c>
      <c r="C1351" t="inlineStr">
        <is>
          <t>Self-Pay</t>
        </is>
      </c>
      <c r="D1351" t="inlineStr">
        <is>
          <t>Inpatient</t>
        </is>
      </c>
      <c r="E1351" s="29" t="n">
        <v>45836</v>
      </c>
      <c r="F1351" s="29" t="n">
        <v>45841</v>
      </c>
      <c r="G1351" s="31" t="n">
        <v>50210.49</v>
      </c>
      <c r="H1351" s="31" t="n">
        <v>20180.29</v>
      </c>
      <c r="I1351" t="inlineStr">
        <is>
          <t>Paid</t>
        </is>
      </c>
      <c r="K1351" s="29" t="n">
        <v>45908</v>
      </c>
      <c r="L1351" s="33" t="n"/>
    </row>
    <row r="1352">
      <c r="A1352" t="inlineStr">
        <is>
          <t>CLM516304</t>
        </is>
      </c>
      <c r="B1352" t="inlineStr">
        <is>
          <t>ENC116304</t>
        </is>
      </c>
      <c r="C1352" t="inlineStr">
        <is>
          <t>Keystone Health Partners</t>
        </is>
      </c>
      <c r="D1352" t="inlineStr">
        <is>
          <t>Emergency</t>
        </is>
      </c>
      <c r="E1352" s="29" t="n">
        <v>45835</v>
      </c>
      <c r="F1352" s="29" t="n">
        <v>45841</v>
      </c>
      <c r="G1352" s="31" t="n">
        <v>3288.6</v>
      </c>
      <c r="H1352" s="31" t="n">
        <v>1606.53</v>
      </c>
      <c r="I1352" t="inlineStr">
        <is>
          <t>Paid</t>
        </is>
      </c>
      <c r="K1352" s="29" t="n">
        <v>45873</v>
      </c>
      <c r="L1352" s="33" t="n"/>
    </row>
    <row r="1353">
      <c r="A1353" t="inlineStr">
        <is>
          <t>CLM516305</t>
        </is>
      </c>
      <c r="B1353" t="inlineStr">
        <is>
          <t>ENC116305</t>
        </is>
      </c>
      <c r="C1353" t="inlineStr">
        <is>
          <t>Evergreen Mutual Insurance</t>
        </is>
      </c>
      <c r="D1353" t="inlineStr">
        <is>
          <t>Inpatient</t>
        </is>
      </c>
      <c r="E1353" s="29" t="n">
        <v>45840</v>
      </c>
      <c r="F1353" s="29" t="n">
        <v>45842</v>
      </c>
      <c r="G1353" s="31" t="n">
        <v>57174.83</v>
      </c>
      <c r="H1353" s="31" t="n">
        <v>23113.88</v>
      </c>
      <c r="I1353" t="inlineStr">
        <is>
          <t>Paid</t>
        </is>
      </c>
      <c r="K1353" s="29" t="n">
        <v>45861</v>
      </c>
      <c r="L1353" s="33" t="n"/>
    </row>
    <row r="1354">
      <c r="A1354" t="inlineStr">
        <is>
          <t>CLM516307</t>
        </is>
      </c>
      <c r="B1354" t="inlineStr">
        <is>
          <t>ENC116307</t>
        </is>
      </c>
      <c r="C1354" t="inlineStr">
        <is>
          <t>Medicare</t>
        </is>
      </c>
      <c r="D1354" t="inlineStr">
        <is>
          <t>Inpatient</t>
        </is>
      </c>
      <c r="E1354" s="29" t="n">
        <v>45844</v>
      </c>
      <c r="F1354" s="29" t="n">
        <v>45855</v>
      </c>
      <c r="G1354" s="31" t="n">
        <v>57822.18</v>
      </c>
      <c r="H1354" s="31" t="n">
        <v>17078.21</v>
      </c>
      <c r="I1354" t="inlineStr">
        <is>
          <t>Paid</t>
        </is>
      </c>
      <c r="K1354" s="29" t="n">
        <v>45875</v>
      </c>
      <c r="L1354" s="33" t="n"/>
    </row>
    <row r="1355">
      <c r="A1355" t="inlineStr">
        <is>
          <t>CLM516315</t>
        </is>
      </c>
      <c r="B1355" t="inlineStr">
        <is>
          <t>ENC116315</t>
        </is>
      </c>
      <c r="C1355" t="inlineStr">
        <is>
          <t>Medicare</t>
        </is>
      </c>
      <c r="D1355" t="inlineStr">
        <is>
          <t>Outpatient</t>
        </is>
      </c>
      <c r="E1355" s="29" t="n">
        <v>45835</v>
      </c>
      <c r="F1355" s="29" t="n">
        <v>45956</v>
      </c>
      <c r="G1355" s="31" t="n">
        <v>176.72</v>
      </c>
      <c r="H1355" s="31" t="n">
        <v>46.39</v>
      </c>
      <c r="I1355" t="inlineStr">
        <is>
          <t>Paid</t>
        </is>
      </c>
      <c r="K1355" s="29" t="n">
        <v>45969</v>
      </c>
      <c r="L1355" s="33" t="n"/>
    </row>
    <row r="1356">
      <c r="A1356" t="inlineStr">
        <is>
          <t>CLM516319</t>
        </is>
      </c>
      <c r="B1356" t="inlineStr">
        <is>
          <t>ENC116319</t>
        </is>
      </c>
      <c r="C1356" t="inlineStr">
        <is>
          <t>Silverline Medicare Advantage</t>
        </is>
      </c>
      <c r="D1356" t="inlineStr">
        <is>
          <t>Outpatient</t>
        </is>
      </c>
      <c r="E1356" s="29" t="n">
        <v>45835</v>
      </c>
      <c r="F1356" s="29" t="n">
        <v>45840</v>
      </c>
      <c r="G1356" s="31" t="n">
        <v>458.96</v>
      </c>
      <c r="H1356" s="31" t="n">
        <v>142.45</v>
      </c>
      <c r="I1356" t="inlineStr">
        <is>
          <t>Paid</t>
        </is>
      </c>
      <c r="K1356" s="29" t="n">
        <v>45867</v>
      </c>
      <c r="L1356" s="33" t="n"/>
    </row>
    <row r="1357">
      <c r="A1357" t="inlineStr">
        <is>
          <t>CLM516321</t>
        </is>
      </c>
      <c r="B1357" t="inlineStr">
        <is>
          <t>ENC116321</t>
        </is>
      </c>
      <c r="C1357" t="inlineStr">
        <is>
          <t>Evergreen Mutual Insurance</t>
        </is>
      </c>
      <c r="D1357" t="inlineStr">
        <is>
          <t>Inpatient</t>
        </is>
      </c>
      <c r="E1357" s="29" t="n">
        <v>45849</v>
      </c>
      <c r="F1357" s="29" t="n">
        <v>45856</v>
      </c>
      <c r="G1357" s="31" t="n">
        <v>118752.41</v>
      </c>
      <c r="H1357" s="31" t="n">
        <v>52209.23</v>
      </c>
      <c r="I1357" t="inlineStr">
        <is>
          <t>Paid</t>
        </is>
      </c>
      <c r="K1357" s="29" t="n">
        <v>45877</v>
      </c>
      <c r="L1357" s="33" t="n"/>
    </row>
    <row r="1358">
      <c r="A1358" t="inlineStr">
        <is>
          <t>CLM516326</t>
        </is>
      </c>
      <c r="B1358" t="inlineStr">
        <is>
          <t>ENC116326</t>
        </is>
      </c>
      <c r="C1358" t="inlineStr">
        <is>
          <t>Evergreen Mutual Insurance</t>
        </is>
      </c>
      <c r="D1358" t="inlineStr">
        <is>
          <t>Emergency</t>
        </is>
      </c>
      <c r="E1358" s="29" t="n">
        <v>45835</v>
      </c>
      <c r="F1358" s="29" t="n">
        <v>45839</v>
      </c>
      <c r="G1358" s="31" t="n">
        <v>2412.83</v>
      </c>
      <c r="H1358" s="31" t="n">
        <v>0</v>
      </c>
      <c r="I1358" t="inlineStr">
        <is>
          <t>Denied</t>
        </is>
      </c>
      <c r="J1358" t="inlineStr">
        <is>
          <t>Eligibility / Coverage</t>
        </is>
      </c>
      <c r="L1358" s="33" t="n"/>
    </row>
    <row r="1359">
      <c r="A1359" t="inlineStr">
        <is>
          <t>CLM516336</t>
        </is>
      </c>
      <c r="B1359" t="inlineStr">
        <is>
          <t>ENC116336</t>
        </is>
      </c>
      <c r="C1359" t="inlineStr">
        <is>
          <t>Silverline Medicare Advantage</t>
        </is>
      </c>
      <c r="D1359" t="inlineStr">
        <is>
          <t>Inpatient</t>
        </is>
      </c>
      <c r="E1359" s="29" t="n">
        <v>45844</v>
      </c>
      <c r="F1359" s="29" t="n">
        <v>45848</v>
      </c>
      <c r="G1359" s="31" t="n">
        <v>34003.83</v>
      </c>
      <c r="H1359" s="31" t="n">
        <v>9395.99</v>
      </c>
      <c r="I1359" t="inlineStr">
        <is>
          <t>Paid</t>
        </is>
      </c>
      <c r="K1359" s="29" t="n">
        <v>45896</v>
      </c>
      <c r="L1359" s="33" t="n"/>
    </row>
    <row r="1360">
      <c r="A1360" t="inlineStr">
        <is>
          <t>CLM516338</t>
        </is>
      </c>
      <c r="B1360" t="inlineStr">
        <is>
          <t>ENC116338</t>
        </is>
      </c>
      <c r="C1360" t="inlineStr">
        <is>
          <t>Medicare</t>
        </is>
      </c>
      <c r="D1360" t="inlineStr">
        <is>
          <t>Emergency</t>
        </is>
      </c>
      <c r="E1360" s="29" t="n">
        <v>45836</v>
      </c>
      <c r="F1360" s="29" t="n">
        <v>45841</v>
      </c>
      <c r="G1360" s="31" t="n">
        <v>3079.56</v>
      </c>
      <c r="H1360" s="31" t="n">
        <v>861.5700000000001</v>
      </c>
      <c r="I1360" t="inlineStr">
        <is>
          <t>Paid</t>
        </is>
      </c>
      <c r="K1360" s="29" t="n">
        <v>45856</v>
      </c>
      <c r="L1360" s="33" t="n"/>
    </row>
    <row r="1361">
      <c r="A1361" t="inlineStr">
        <is>
          <t>CLM516349</t>
        </is>
      </c>
      <c r="B1361" t="inlineStr">
        <is>
          <t>ENC116349</t>
        </is>
      </c>
      <c r="C1361" t="inlineStr">
        <is>
          <t>Summit Choice PPO</t>
        </is>
      </c>
      <c r="D1361" t="inlineStr">
        <is>
          <t>Emergency</t>
        </is>
      </c>
      <c r="E1361" s="29" t="n">
        <v>45836</v>
      </c>
      <c r="F1361" s="29" t="n">
        <v>45839</v>
      </c>
      <c r="G1361" s="31" t="n">
        <v>1293.79</v>
      </c>
      <c r="H1361" s="31" t="n">
        <v>688.86</v>
      </c>
      <c r="I1361" t="inlineStr">
        <is>
          <t>Paid</t>
        </is>
      </c>
      <c r="K1361" s="29" t="n">
        <v>45866</v>
      </c>
      <c r="L1361" s="33" t="n"/>
    </row>
    <row r="1362">
      <c r="A1362" t="inlineStr">
        <is>
          <t>CLM516352</t>
        </is>
      </c>
      <c r="B1362" t="inlineStr">
        <is>
          <t>ENC116352</t>
        </is>
      </c>
      <c r="C1362" t="inlineStr">
        <is>
          <t>Silverline Medicare Advantage</t>
        </is>
      </c>
      <c r="D1362" t="inlineStr">
        <is>
          <t>Emergency</t>
        </is>
      </c>
      <c r="E1362" s="29" t="n">
        <v>45836</v>
      </c>
      <c r="F1362" s="29" t="n">
        <v>45840</v>
      </c>
      <c r="G1362" s="31" t="n">
        <v>1116.75</v>
      </c>
      <c r="H1362" s="31" t="n">
        <v>0</v>
      </c>
      <c r="I1362" t="inlineStr">
        <is>
          <t>Appealed</t>
        </is>
      </c>
      <c r="J1362" t="inlineStr">
        <is>
          <t>Medical Necessity</t>
        </is>
      </c>
      <c r="L1362" s="33" t="n"/>
    </row>
    <row r="1363">
      <c r="A1363" t="inlineStr">
        <is>
          <t>CLM516365</t>
        </is>
      </c>
      <c r="B1363" t="inlineStr">
        <is>
          <t>ENC116365</t>
        </is>
      </c>
      <c r="C1363" t="inlineStr">
        <is>
          <t>Medicare</t>
        </is>
      </c>
      <c r="D1363" t="inlineStr">
        <is>
          <t>Observation</t>
        </is>
      </c>
      <c r="E1363" s="29" t="n">
        <v>45838</v>
      </c>
      <c r="F1363" s="29" t="n">
        <v>45843</v>
      </c>
      <c r="G1363" s="31" t="n">
        <v>3763.43</v>
      </c>
      <c r="H1363" s="31" t="n">
        <v>1121.56</v>
      </c>
      <c r="I1363" t="inlineStr">
        <is>
          <t>Paid</t>
        </is>
      </c>
      <c r="K1363" s="29" t="n">
        <v>45860</v>
      </c>
      <c r="L1363" s="33" t="n"/>
    </row>
    <row r="1364">
      <c r="A1364" t="inlineStr">
        <is>
          <t>CLM516375</t>
        </is>
      </c>
      <c r="B1364" t="inlineStr">
        <is>
          <t>ENC116375</t>
        </is>
      </c>
      <c r="C1364" t="inlineStr">
        <is>
          <t>Keystone Health Partners</t>
        </is>
      </c>
      <c r="D1364" t="inlineStr">
        <is>
          <t>Outpatient</t>
        </is>
      </c>
      <c r="E1364" s="29" t="n">
        <v>45838</v>
      </c>
      <c r="F1364" s="29" t="n">
        <v>45841</v>
      </c>
      <c r="G1364" s="31" t="n">
        <v>219.42</v>
      </c>
      <c r="H1364" s="31" t="n">
        <v>97.90000000000001</v>
      </c>
      <c r="I1364" t="inlineStr">
        <is>
          <t>Paid</t>
        </is>
      </c>
      <c r="K1364" s="29" t="n">
        <v>45860</v>
      </c>
      <c r="L1364" s="33" t="n"/>
    </row>
    <row r="1365">
      <c r="A1365" t="inlineStr">
        <is>
          <t>CLM516376</t>
        </is>
      </c>
      <c r="B1365" t="inlineStr">
        <is>
          <t>ENC116376</t>
        </is>
      </c>
      <c r="C1365" t="inlineStr">
        <is>
          <t>Evergreen Mutual Insurance</t>
        </is>
      </c>
      <c r="D1365" t="inlineStr">
        <is>
          <t>Outpatient</t>
        </is>
      </c>
      <c r="E1365" s="29" t="n">
        <v>45838</v>
      </c>
      <c r="F1365" s="29" t="n">
        <v>45842</v>
      </c>
      <c r="G1365" s="31" t="n">
        <v>367.14</v>
      </c>
      <c r="H1365" s="31" t="n">
        <v>168.43</v>
      </c>
      <c r="I1365" t="inlineStr">
        <is>
          <t>Paid</t>
        </is>
      </c>
      <c r="K1365" s="29" t="n">
        <v>45899</v>
      </c>
      <c r="L1365" s="33" t="n"/>
    </row>
    <row r="1366">
      <c r="A1366" t="inlineStr">
        <is>
          <t>CLM516382</t>
        </is>
      </c>
      <c r="B1366" t="inlineStr">
        <is>
          <t>ENC116382</t>
        </is>
      </c>
      <c r="C1366" t="inlineStr">
        <is>
          <t>Keystone Health Partners</t>
        </is>
      </c>
      <c r="D1366" t="inlineStr">
        <is>
          <t>Outpatient</t>
        </is>
      </c>
      <c r="E1366" s="29" t="n">
        <v>45838</v>
      </c>
      <c r="F1366" s="29" t="n">
        <v>45959</v>
      </c>
      <c r="G1366" s="31" t="n">
        <v>9675.719999999999</v>
      </c>
      <c r="H1366" s="31" t="n">
        <v>0</v>
      </c>
      <c r="I1366" t="inlineStr">
        <is>
          <t>Denied</t>
        </is>
      </c>
      <c r="J1366" t="inlineStr">
        <is>
          <t>Timely Filing</t>
        </is>
      </c>
      <c r="L1366" s="33" t="n"/>
    </row>
    <row r="1367">
      <c r="A1367" t="inlineStr">
        <is>
          <t>CLM516387</t>
        </is>
      </c>
      <c r="B1367" t="inlineStr">
        <is>
          <t>ENC116387</t>
        </is>
      </c>
      <c r="C1367" t="inlineStr">
        <is>
          <t>Self-Pay</t>
        </is>
      </c>
      <c r="D1367" t="inlineStr">
        <is>
          <t>Emergency</t>
        </is>
      </c>
      <c r="E1367" s="29" t="n">
        <v>45838</v>
      </c>
      <c r="F1367" s="29" t="n">
        <v>45841</v>
      </c>
      <c r="G1367" s="31" t="n">
        <v>4032.03</v>
      </c>
      <c r="H1367" s="31" t="n">
        <v>0</v>
      </c>
      <c r="I1367" t="inlineStr">
        <is>
          <t>Pending</t>
        </is>
      </c>
      <c r="L1367" s="33" t="n"/>
    </row>
    <row r="1368">
      <c r="A1368" t="inlineStr">
        <is>
          <t>CLM516389</t>
        </is>
      </c>
      <c r="B1368" t="inlineStr">
        <is>
          <t>ENC116389</t>
        </is>
      </c>
      <c r="C1368" t="inlineStr">
        <is>
          <t>State Medicaid</t>
        </is>
      </c>
      <c r="D1368" t="inlineStr">
        <is>
          <t>Outpatient</t>
        </is>
      </c>
      <c r="E1368" s="29" t="n">
        <v>45838</v>
      </c>
      <c r="F1368" s="29" t="n">
        <v>45843</v>
      </c>
      <c r="G1368" s="31" t="n">
        <v>661.37</v>
      </c>
      <c r="H1368" s="31" t="n">
        <v>170.34</v>
      </c>
      <c r="I1368" t="inlineStr">
        <is>
          <t>Paid</t>
        </is>
      </c>
      <c r="K1368" s="29" t="n">
        <v>45880</v>
      </c>
      <c r="L1368" s="33" t="n"/>
    </row>
    <row r="1369">
      <c r="A1369" t="inlineStr">
        <is>
          <t>CLM516392</t>
        </is>
      </c>
      <c r="B1369" t="inlineStr">
        <is>
          <t>ENC116392</t>
        </is>
      </c>
      <c r="C1369" t="inlineStr">
        <is>
          <t>Keystone Health Partners</t>
        </is>
      </c>
      <c r="D1369" t="inlineStr">
        <is>
          <t>Outpatient</t>
        </is>
      </c>
      <c r="E1369" s="29" t="n">
        <v>45838</v>
      </c>
      <c r="F1369" s="29" t="n">
        <v>45844</v>
      </c>
      <c r="G1369" s="31" t="n">
        <v>186.45</v>
      </c>
      <c r="H1369" s="31" t="n">
        <v>0</v>
      </c>
      <c r="I1369" t="inlineStr">
        <is>
          <t>Appealed</t>
        </is>
      </c>
      <c r="J1369" t="inlineStr">
        <is>
          <t>Eligibility / Coverage</t>
        </is>
      </c>
      <c r="L1369" s="33" t="n"/>
    </row>
    <row r="1370">
      <c r="A1370" t="inlineStr">
        <is>
          <t>CLM516399</t>
        </is>
      </c>
      <c r="B1370" t="inlineStr">
        <is>
          <t>ENC116399</t>
        </is>
      </c>
      <c r="C1370" t="inlineStr">
        <is>
          <t>Keystone Health Partners</t>
        </is>
      </c>
      <c r="D1370" t="inlineStr">
        <is>
          <t>Inpatient</t>
        </is>
      </c>
      <c r="E1370" s="29" t="n">
        <v>45847</v>
      </c>
      <c r="F1370" s="29" t="n">
        <v>45853</v>
      </c>
      <c r="G1370" s="31" t="n">
        <v>27266.35</v>
      </c>
      <c r="H1370" s="31" t="n">
        <v>14565.63</v>
      </c>
      <c r="I1370" t="inlineStr">
        <is>
          <t>Paid</t>
        </is>
      </c>
      <c r="K1370" s="29" t="n">
        <v>45875</v>
      </c>
      <c r="L1370" s="33" t="n"/>
    </row>
    <row r="1371">
      <c r="A1371" t="inlineStr">
        <is>
          <t>CLM516402</t>
        </is>
      </c>
      <c r="B1371" t="inlineStr">
        <is>
          <t>ENC116402</t>
        </is>
      </c>
      <c r="C1371" t="inlineStr">
        <is>
          <t>State Medicaid</t>
        </is>
      </c>
      <c r="D1371" t="inlineStr">
        <is>
          <t>Emergency</t>
        </is>
      </c>
      <c r="E1371" s="29" t="n">
        <v>45839</v>
      </c>
      <c r="F1371" s="29" t="n">
        <v>45841</v>
      </c>
      <c r="G1371" s="31" t="n">
        <v>3342.78</v>
      </c>
      <c r="H1371" s="31" t="n">
        <v>878.84</v>
      </c>
      <c r="I1371" t="inlineStr">
        <is>
          <t>Paid</t>
        </is>
      </c>
      <c r="K1371" s="29" t="n">
        <v>45900</v>
      </c>
      <c r="L1371" s="33" t="n"/>
    </row>
    <row r="1372">
      <c r="A1372" t="inlineStr">
        <is>
          <t>CLM516403</t>
        </is>
      </c>
      <c r="B1372" t="inlineStr">
        <is>
          <t>ENC116403</t>
        </is>
      </c>
      <c r="C1372" t="inlineStr">
        <is>
          <t>Keystone Health Partners</t>
        </is>
      </c>
      <c r="D1372" t="inlineStr">
        <is>
          <t>Emergency</t>
        </is>
      </c>
      <c r="E1372" s="29" t="n">
        <v>45839</v>
      </c>
      <c r="F1372" s="29" t="n">
        <v>45842</v>
      </c>
      <c r="G1372" s="31" t="n">
        <v>5643.66</v>
      </c>
      <c r="H1372" s="31" t="n">
        <v>2372.25</v>
      </c>
      <c r="I1372" t="inlineStr">
        <is>
          <t>Paid</t>
        </is>
      </c>
      <c r="K1372" s="29" t="n">
        <v>45877</v>
      </c>
      <c r="L1372" s="33" t="n"/>
    </row>
    <row r="1373">
      <c r="A1373" t="inlineStr">
        <is>
          <t>CLM516404</t>
        </is>
      </c>
      <c r="B1373" t="inlineStr">
        <is>
          <t>ENC116404</t>
        </is>
      </c>
      <c r="C1373" t="inlineStr">
        <is>
          <t>State Medicaid</t>
        </is>
      </c>
      <c r="D1373" t="inlineStr">
        <is>
          <t>Inpatient</t>
        </is>
      </c>
      <c r="E1373" s="29" t="n">
        <v>45841</v>
      </c>
      <c r="F1373" s="29" t="n">
        <v>45843</v>
      </c>
      <c r="G1373" s="31" t="n">
        <v>14573.07</v>
      </c>
      <c r="H1373" s="31" t="n">
        <v>3180.31</v>
      </c>
      <c r="I1373" t="inlineStr">
        <is>
          <t>Paid</t>
        </is>
      </c>
      <c r="K1373" s="29" t="n">
        <v>45881</v>
      </c>
      <c r="L1373" s="33" t="n"/>
    </row>
    <row r="1374">
      <c r="A1374" t="inlineStr">
        <is>
          <t>CLM516405</t>
        </is>
      </c>
      <c r="B1374" t="inlineStr">
        <is>
          <t>ENC116405</t>
        </is>
      </c>
      <c r="C1374" t="inlineStr">
        <is>
          <t>Medicare</t>
        </is>
      </c>
      <c r="D1374" t="inlineStr">
        <is>
          <t>Outpatient</t>
        </is>
      </c>
      <c r="E1374" s="29" t="n">
        <v>45839</v>
      </c>
      <c r="F1374" s="29" t="n">
        <v>45847</v>
      </c>
      <c r="G1374" s="31" t="n">
        <v>246.54</v>
      </c>
      <c r="H1374" s="31" t="n">
        <v>73.41</v>
      </c>
      <c r="I1374" t="inlineStr">
        <is>
          <t>Paid</t>
        </is>
      </c>
      <c r="K1374" s="29" t="n">
        <v>45860</v>
      </c>
      <c r="L1374" s="33" t="n"/>
    </row>
    <row r="1375">
      <c r="A1375" t="inlineStr">
        <is>
          <t>CLM516412</t>
        </is>
      </c>
      <c r="B1375" t="inlineStr">
        <is>
          <t>ENC116412</t>
        </is>
      </c>
      <c r="C1375" t="inlineStr">
        <is>
          <t>Silverline Medicare Advantage</t>
        </is>
      </c>
      <c r="D1375" t="inlineStr">
        <is>
          <t>Outpatient</t>
        </is>
      </c>
      <c r="E1375" s="29" t="n">
        <v>45839</v>
      </c>
      <c r="F1375" s="29" t="n">
        <v>45840</v>
      </c>
      <c r="G1375" s="31" t="n">
        <v>367.36</v>
      </c>
      <c r="H1375" s="31" t="n">
        <v>105.91</v>
      </c>
      <c r="I1375" t="inlineStr">
        <is>
          <t>Paid</t>
        </is>
      </c>
      <c r="K1375" s="29" t="n">
        <v>45861</v>
      </c>
      <c r="L1375" s="33" t="n"/>
    </row>
    <row r="1376">
      <c r="A1376" t="inlineStr">
        <is>
          <t>CLM516420</t>
        </is>
      </c>
      <c r="B1376" t="inlineStr">
        <is>
          <t>ENC116420</t>
        </is>
      </c>
      <c r="C1376" t="inlineStr">
        <is>
          <t>Summit Choice PPO</t>
        </is>
      </c>
      <c r="D1376" t="inlineStr">
        <is>
          <t>Outpatient</t>
        </is>
      </c>
      <c r="E1376" s="29" t="n">
        <v>45839</v>
      </c>
      <c r="F1376" s="29" t="n">
        <v>45847</v>
      </c>
      <c r="G1376" s="31" t="n">
        <v>332.82</v>
      </c>
      <c r="H1376" s="31" t="n">
        <v>0</v>
      </c>
      <c r="I1376" t="inlineStr">
        <is>
          <t>Denied</t>
        </is>
      </c>
      <c r="J1376" t="inlineStr">
        <is>
          <t>Eligibility / Coverage</t>
        </is>
      </c>
      <c r="L1376" s="33" t="n"/>
    </row>
    <row r="1377">
      <c r="A1377" t="inlineStr">
        <is>
          <t>CLM516423</t>
        </is>
      </c>
      <c r="B1377" t="inlineStr">
        <is>
          <t>ENC116423</t>
        </is>
      </c>
      <c r="C1377" t="inlineStr">
        <is>
          <t>Medicare</t>
        </is>
      </c>
      <c r="D1377" t="inlineStr">
        <is>
          <t>Inpatient</t>
        </is>
      </c>
      <c r="E1377" s="29" t="n">
        <v>45841</v>
      </c>
      <c r="F1377" s="29" t="n">
        <v>45845</v>
      </c>
      <c r="G1377" s="31" t="n">
        <v>16722.57</v>
      </c>
      <c r="H1377" s="31" t="n">
        <v>5975.47</v>
      </c>
      <c r="I1377" t="inlineStr">
        <is>
          <t>Paid</t>
        </is>
      </c>
      <c r="K1377" s="29" t="n">
        <v>45859</v>
      </c>
      <c r="L1377" s="33" t="n"/>
    </row>
    <row r="1378">
      <c r="A1378" t="inlineStr">
        <is>
          <t>CLM516425</t>
        </is>
      </c>
      <c r="B1378" t="inlineStr">
        <is>
          <t>ENC116425</t>
        </is>
      </c>
      <c r="C1378" t="inlineStr">
        <is>
          <t>Keystone Health Partners</t>
        </is>
      </c>
      <c r="D1378" t="inlineStr">
        <is>
          <t>Emergency</t>
        </is>
      </c>
      <c r="E1378" s="29" t="n">
        <v>45839</v>
      </c>
      <c r="F1378" s="29" t="n">
        <v>45840</v>
      </c>
      <c r="G1378" s="31" t="n">
        <v>2896.1</v>
      </c>
      <c r="H1378" s="31" t="n">
        <v>1041.04</v>
      </c>
      <c r="I1378" t="inlineStr">
        <is>
          <t>Partially Paid</t>
        </is>
      </c>
      <c r="J1378" t="inlineStr">
        <is>
          <t>Coding Error</t>
        </is>
      </c>
      <c r="K1378" s="29" t="n">
        <v>45859</v>
      </c>
      <c r="L1378" s="33" t="n"/>
    </row>
    <row r="1379">
      <c r="A1379" t="inlineStr">
        <is>
          <t>CLM516432</t>
        </is>
      </c>
      <c r="B1379" t="inlineStr">
        <is>
          <t>ENC116432</t>
        </is>
      </c>
      <c r="C1379" t="inlineStr">
        <is>
          <t>Silverline Medicare Advantage</t>
        </is>
      </c>
      <c r="D1379" t="inlineStr">
        <is>
          <t>Emergency</t>
        </is>
      </c>
      <c r="E1379" s="29" t="n">
        <v>45839</v>
      </c>
      <c r="F1379" s="29" t="n">
        <v>45840</v>
      </c>
      <c r="G1379" s="31" t="n">
        <v>3245.57</v>
      </c>
      <c r="H1379" s="31" t="n">
        <v>972.59</v>
      </c>
      <c r="I1379" t="inlineStr">
        <is>
          <t>Paid</t>
        </is>
      </c>
      <c r="K1379" s="29" t="n">
        <v>45863</v>
      </c>
      <c r="L1379" s="33" t="n"/>
    </row>
    <row r="1380">
      <c r="A1380" t="inlineStr">
        <is>
          <t>CLM516434</t>
        </is>
      </c>
      <c r="B1380" t="inlineStr">
        <is>
          <t>ENC116434</t>
        </is>
      </c>
      <c r="C1380" t="inlineStr">
        <is>
          <t>Silverline Medicare Advantage</t>
        </is>
      </c>
      <c r="D1380" t="inlineStr">
        <is>
          <t>Emergency</t>
        </is>
      </c>
      <c r="E1380" s="29" t="n">
        <v>45839</v>
      </c>
      <c r="F1380" s="29" t="n">
        <v>45843</v>
      </c>
      <c r="G1380" s="31" t="n">
        <v>1381.61</v>
      </c>
      <c r="H1380" s="31" t="n">
        <v>420.83</v>
      </c>
      <c r="I1380" t="inlineStr">
        <is>
          <t>Paid</t>
        </is>
      </c>
      <c r="K1380" s="29" t="n">
        <v>45892</v>
      </c>
      <c r="L1380" s="33" t="n"/>
    </row>
    <row r="1381">
      <c r="A1381" t="inlineStr">
        <is>
          <t>CLM516441</t>
        </is>
      </c>
      <c r="B1381" t="inlineStr">
        <is>
          <t>ENC116441</t>
        </is>
      </c>
      <c r="C1381" t="inlineStr">
        <is>
          <t>Workers' Compensation</t>
        </is>
      </c>
      <c r="D1381" t="inlineStr">
        <is>
          <t>Emergency</t>
        </is>
      </c>
      <c r="E1381" s="29" t="n">
        <v>45840</v>
      </c>
      <c r="F1381" s="29" t="n">
        <v>45843</v>
      </c>
      <c r="G1381" s="31" t="n">
        <v>2794.43</v>
      </c>
      <c r="H1381" s="31" t="n">
        <v>1795.9</v>
      </c>
      <c r="I1381" t="inlineStr">
        <is>
          <t>Paid</t>
        </is>
      </c>
      <c r="K1381" s="29" t="n">
        <v>45880</v>
      </c>
      <c r="L1381" s="33" t="n"/>
    </row>
    <row r="1382">
      <c r="A1382" t="inlineStr">
        <is>
          <t>CLM516442</t>
        </is>
      </c>
      <c r="B1382" t="inlineStr">
        <is>
          <t>ENC116442</t>
        </is>
      </c>
      <c r="C1382" t="inlineStr">
        <is>
          <t>Medicare</t>
        </is>
      </c>
      <c r="D1382" t="inlineStr">
        <is>
          <t>Inpatient</t>
        </is>
      </c>
      <c r="E1382" s="29" t="n">
        <v>45845</v>
      </c>
      <c r="F1382" s="29" t="n">
        <v>45854</v>
      </c>
      <c r="G1382" s="31" t="n">
        <v>94705.94</v>
      </c>
      <c r="H1382" s="31" t="n">
        <v>28403.94</v>
      </c>
      <c r="I1382" t="inlineStr">
        <is>
          <t>Paid</t>
        </is>
      </c>
      <c r="K1382" s="29" t="n">
        <v>45862</v>
      </c>
      <c r="L1382" s="33" t="n"/>
    </row>
    <row r="1383">
      <c r="A1383" t="inlineStr">
        <is>
          <t>CLM516446</t>
        </is>
      </c>
      <c r="B1383" t="inlineStr">
        <is>
          <t>ENC116446</t>
        </is>
      </c>
      <c r="C1383" t="inlineStr">
        <is>
          <t>Summit Choice PPO</t>
        </is>
      </c>
      <c r="D1383" t="inlineStr">
        <is>
          <t>Emergency</t>
        </is>
      </c>
      <c r="E1383" s="29" t="n">
        <v>45840</v>
      </c>
      <c r="F1383" s="29" t="n">
        <v>45843</v>
      </c>
      <c r="G1383" s="31" t="n">
        <v>3495.3</v>
      </c>
      <c r="H1383" s="31" t="n">
        <v>1317.04</v>
      </c>
      <c r="I1383" t="inlineStr">
        <is>
          <t>Partially Paid</t>
        </is>
      </c>
      <c r="J1383" t="inlineStr">
        <is>
          <t>Coding Error</t>
        </is>
      </c>
      <c r="K1383" s="29" t="n">
        <v>45864</v>
      </c>
      <c r="L1383" s="33" t="n"/>
    </row>
    <row r="1384">
      <c r="A1384" t="inlineStr">
        <is>
          <t>CLM516454</t>
        </is>
      </c>
      <c r="B1384" t="inlineStr">
        <is>
          <t>ENC116454</t>
        </is>
      </c>
      <c r="C1384" t="inlineStr">
        <is>
          <t>Self-Pay</t>
        </is>
      </c>
      <c r="D1384" t="inlineStr">
        <is>
          <t>Outpatient</t>
        </is>
      </c>
      <c r="E1384" s="29" t="n">
        <v>45840</v>
      </c>
      <c r="F1384" s="29" t="n">
        <v>45844</v>
      </c>
      <c r="G1384" s="31" t="n">
        <v>681.51</v>
      </c>
      <c r="H1384" s="31" t="n">
        <v>186.25</v>
      </c>
      <c r="I1384" t="inlineStr">
        <is>
          <t>Partially Paid</t>
        </is>
      </c>
      <c r="K1384" s="29" t="n">
        <v>45896</v>
      </c>
      <c r="L1384" s="33" t="n"/>
    </row>
    <row r="1385">
      <c r="A1385" t="inlineStr">
        <is>
          <t>CLM516458</t>
        </is>
      </c>
      <c r="B1385" t="inlineStr">
        <is>
          <t>ENC116458</t>
        </is>
      </c>
      <c r="C1385" t="inlineStr">
        <is>
          <t>Keystone Health Partners</t>
        </is>
      </c>
      <c r="D1385" t="inlineStr">
        <is>
          <t>Outpatient</t>
        </is>
      </c>
      <c r="E1385" s="29" t="n">
        <v>45840</v>
      </c>
      <c r="F1385" s="29" t="n">
        <v>45846</v>
      </c>
      <c r="G1385" s="31" t="n">
        <v>561.53</v>
      </c>
      <c r="H1385" s="31" t="n">
        <v>251.33</v>
      </c>
      <c r="I1385" t="inlineStr">
        <is>
          <t>Paid</t>
        </is>
      </c>
      <c r="K1385" s="29" t="n">
        <v>45860</v>
      </c>
      <c r="L1385" s="33" t="n"/>
    </row>
    <row r="1386">
      <c r="A1386" t="inlineStr">
        <is>
          <t>CLM516463</t>
        </is>
      </c>
      <c r="B1386" t="inlineStr">
        <is>
          <t>ENC116463</t>
        </is>
      </c>
      <c r="C1386" t="inlineStr">
        <is>
          <t>State Medicaid</t>
        </is>
      </c>
      <c r="D1386" t="inlineStr">
        <is>
          <t>Inpatient</t>
        </is>
      </c>
      <c r="E1386" s="29" t="n">
        <v>45844</v>
      </c>
      <c r="F1386" s="29" t="n">
        <v>45845</v>
      </c>
      <c r="G1386" s="31" t="n">
        <v>18263.93</v>
      </c>
      <c r="H1386" s="31" t="n">
        <v>4544.51</v>
      </c>
      <c r="I1386" t="inlineStr">
        <is>
          <t>Paid</t>
        </is>
      </c>
      <c r="K1386" s="29" t="n">
        <v>45897</v>
      </c>
      <c r="L1386" s="33" t="n"/>
    </row>
    <row r="1387">
      <c r="A1387" t="inlineStr">
        <is>
          <t>CLM516470</t>
        </is>
      </c>
      <c r="B1387" t="inlineStr">
        <is>
          <t>ENC116470</t>
        </is>
      </c>
      <c r="C1387" t="inlineStr">
        <is>
          <t>Keystone Health Partners</t>
        </is>
      </c>
      <c r="D1387" t="inlineStr">
        <is>
          <t>Emergency</t>
        </is>
      </c>
      <c r="E1387" s="29" t="n">
        <v>45841</v>
      </c>
      <c r="F1387" s="29" t="n">
        <v>45849</v>
      </c>
      <c r="G1387" s="31" t="n">
        <v>3569.57</v>
      </c>
      <c r="H1387" s="31" t="n">
        <v>1643.95</v>
      </c>
      <c r="I1387" t="inlineStr">
        <is>
          <t>Paid</t>
        </is>
      </c>
      <c r="K1387" s="29" t="n">
        <v>45872</v>
      </c>
      <c r="L1387" s="33" t="n"/>
    </row>
    <row r="1388">
      <c r="A1388" t="inlineStr">
        <is>
          <t>CLM516476</t>
        </is>
      </c>
      <c r="B1388" t="inlineStr">
        <is>
          <t>ENC116476</t>
        </is>
      </c>
      <c r="C1388" t="inlineStr">
        <is>
          <t>Evergreen Mutual Insurance</t>
        </is>
      </c>
      <c r="D1388" t="inlineStr">
        <is>
          <t>Outpatient</t>
        </is>
      </c>
      <c r="E1388" s="29" t="n">
        <v>45841</v>
      </c>
      <c r="F1388" s="29" t="n">
        <v>45845</v>
      </c>
      <c r="G1388" s="31" t="n">
        <v>287.98</v>
      </c>
      <c r="H1388" s="31" t="n">
        <v>120.01</v>
      </c>
      <c r="I1388" t="inlineStr">
        <is>
          <t>Paid</t>
        </is>
      </c>
      <c r="K1388" s="29" t="n">
        <v>45862</v>
      </c>
      <c r="L1388" s="33" t="n"/>
    </row>
    <row r="1389">
      <c r="A1389" t="inlineStr">
        <is>
          <t>CLM516477</t>
        </is>
      </c>
      <c r="B1389" t="inlineStr">
        <is>
          <t>ENC116477</t>
        </is>
      </c>
      <c r="C1389" t="inlineStr">
        <is>
          <t>Medicare</t>
        </is>
      </c>
      <c r="D1389" t="inlineStr">
        <is>
          <t>Inpatient</t>
        </is>
      </c>
      <c r="E1389" s="29" t="n">
        <v>45843</v>
      </c>
      <c r="F1389" s="29" t="n">
        <v>45848</v>
      </c>
      <c r="G1389" s="31" t="n">
        <v>9614.33</v>
      </c>
      <c r="H1389" s="31" t="n">
        <v>1151.75</v>
      </c>
      <c r="I1389" t="inlineStr">
        <is>
          <t>Partially Paid</t>
        </is>
      </c>
      <c r="J1389" t="inlineStr">
        <is>
          <t>Coding Error</t>
        </is>
      </c>
      <c r="K1389" s="29" t="n">
        <v>45855</v>
      </c>
      <c r="L1389" s="33" t="n"/>
    </row>
    <row r="1390">
      <c r="A1390" t="inlineStr">
        <is>
          <t>CLM516483</t>
        </is>
      </c>
      <c r="B1390" t="inlineStr">
        <is>
          <t>ENC116483</t>
        </is>
      </c>
      <c r="C1390" t="inlineStr">
        <is>
          <t>Workers' Compensation</t>
        </is>
      </c>
      <c r="D1390" t="inlineStr">
        <is>
          <t>Outpatient</t>
        </is>
      </c>
      <c r="E1390" s="29" t="n">
        <v>45841</v>
      </c>
      <c r="F1390" s="29" t="n">
        <v>45842</v>
      </c>
      <c r="G1390" s="31" t="n">
        <v>140.9</v>
      </c>
      <c r="H1390" s="31" t="n">
        <v>89.62</v>
      </c>
      <c r="I1390" t="inlineStr">
        <is>
          <t>Paid</t>
        </is>
      </c>
      <c r="K1390" s="29" t="n">
        <v>45878</v>
      </c>
      <c r="L1390" s="33" t="n"/>
    </row>
    <row r="1391">
      <c r="A1391" t="inlineStr">
        <is>
          <t>CLM516484</t>
        </is>
      </c>
      <c r="B1391" t="inlineStr">
        <is>
          <t>ENC116484</t>
        </is>
      </c>
      <c r="C1391" t="inlineStr">
        <is>
          <t>Medicare</t>
        </is>
      </c>
      <c r="D1391" t="inlineStr">
        <is>
          <t>Outpatient</t>
        </is>
      </c>
      <c r="E1391" s="29" t="n">
        <v>45841</v>
      </c>
      <c r="F1391" s="29" t="n">
        <v>45843</v>
      </c>
      <c r="G1391" s="31" t="n">
        <v>174.8</v>
      </c>
      <c r="H1391" s="31" t="n">
        <v>31.56</v>
      </c>
      <c r="I1391" t="inlineStr">
        <is>
          <t>Partially Paid</t>
        </is>
      </c>
      <c r="J1391" t="inlineStr">
        <is>
          <t>Coding Error</t>
        </is>
      </c>
      <c r="K1391" s="29" t="n">
        <v>45870</v>
      </c>
      <c r="L1391" s="33" t="n"/>
    </row>
    <row r="1392">
      <c r="A1392" t="inlineStr">
        <is>
          <t>CLM516485</t>
        </is>
      </c>
      <c r="B1392" t="inlineStr">
        <is>
          <t>ENC116485</t>
        </is>
      </c>
      <c r="C1392" t="inlineStr">
        <is>
          <t>State Medicaid</t>
        </is>
      </c>
      <c r="D1392" t="inlineStr">
        <is>
          <t>Outpatient</t>
        </is>
      </c>
      <c r="E1392" s="29" t="n">
        <v>45841</v>
      </c>
      <c r="F1392" s="29" t="n">
        <v>45847</v>
      </c>
      <c r="G1392" s="31" t="n">
        <v>148.47</v>
      </c>
      <c r="H1392" s="31" t="n">
        <v>42.41</v>
      </c>
      <c r="I1392" t="inlineStr">
        <is>
          <t>Paid</t>
        </is>
      </c>
      <c r="K1392" s="29" t="n">
        <v>45887</v>
      </c>
      <c r="L1392" s="33" t="n"/>
    </row>
    <row r="1393">
      <c r="A1393" t="inlineStr">
        <is>
          <t>CLM516488</t>
        </is>
      </c>
      <c r="B1393" t="inlineStr">
        <is>
          <t>ENC116488</t>
        </is>
      </c>
      <c r="C1393" t="inlineStr">
        <is>
          <t>Evergreen Mutual Insurance</t>
        </is>
      </c>
      <c r="D1393" t="inlineStr">
        <is>
          <t>Outpatient</t>
        </is>
      </c>
      <c r="E1393" s="29" t="n">
        <v>45841</v>
      </c>
      <c r="F1393" s="29" t="n">
        <v>45847</v>
      </c>
      <c r="G1393" s="31" t="n">
        <v>277.38</v>
      </c>
      <c r="H1393" s="31" t="n">
        <v>112.8</v>
      </c>
      <c r="I1393" t="inlineStr">
        <is>
          <t>Paid</t>
        </is>
      </c>
      <c r="K1393" s="29" t="n">
        <v>45871</v>
      </c>
      <c r="L1393" s="33" t="n"/>
    </row>
    <row r="1394">
      <c r="A1394" t="inlineStr">
        <is>
          <t>CLM516489</t>
        </is>
      </c>
      <c r="B1394" t="inlineStr">
        <is>
          <t>ENC116489</t>
        </is>
      </c>
      <c r="C1394" t="inlineStr">
        <is>
          <t>State Medicaid</t>
        </is>
      </c>
      <c r="D1394" t="inlineStr">
        <is>
          <t>Inpatient</t>
        </is>
      </c>
      <c r="E1394" s="29" t="n">
        <v>45847</v>
      </c>
      <c r="F1394" s="29" t="n">
        <v>45853</v>
      </c>
      <c r="G1394" s="31" t="n">
        <v>21295.02</v>
      </c>
      <c r="H1394" s="31" t="n">
        <v>0</v>
      </c>
      <c r="I1394" t="inlineStr">
        <is>
          <t>Appealed</t>
        </is>
      </c>
      <c r="J1394" t="inlineStr">
        <is>
          <t>Coding Error</t>
        </is>
      </c>
      <c r="L1394" s="33" t="n"/>
    </row>
    <row r="1395">
      <c r="A1395" t="inlineStr">
        <is>
          <t>CLM516491</t>
        </is>
      </c>
      <c r="B1395" t="inlineStr">
        <is>
          <t>ENC116491</t>
        </is>
      </c>
      <c r="C1395" t="inlineStr">
        <is>
          <t>Silverline Medicare Advantage</t>
        </is>
      </c>
      <c r="D1395" t="inlineStr">
        <is>
          <t>Inpatient</t>
        </is>
      </c>
      <c r="E1395" s="29" t="n">
        <v>45849</v>
      </c>
      <c r="F1395" s="29" t="n">
        <v>45853</v>
      </c>
      <c r="G1395" s="31" t="n">
        <v>61754.48</v>
      </c>
      <c r="H1395" s="31" t="n">
        <v>19436.93</v>
      </c>
      <c r="I1395" t="inlineStr">
        <is>
          <t>Paid</t>
        </is>
      </c>
      <c r="K1395" s="29" t="n">
        <v>45879</v>
      </c>
      <c r="L1395" s="33" t="n"/>
    </row>
    <row r="1396">
      <c r="A1396" t="inlineStr">
        <is>
          <t>CLM516510</t>
        </is>
      </c>
      <c r="B1396" t="inlineStr">
        <is>
          <t>ENC116510</t>
        </is>
      </c>
      <c r="C1396" t="inlineStr">
        <is>
          <t>Keystone Health Partners</t>
        </is>
      </c>
      <c r="D1396" t="inlineStr">
        <is>
          <t>Inpatient</t>
        </is>
      </c>
      <c r="E1396" s="29" t="n">
        <v>45845</v>
      </c>
      <c r="F1396" s="29" t="n">
        <v>45851</v>
      </c>
      <c r="G1396" s="31" t="n">
        <v>13743.64</v>
      </c>
      <c r="H1396" s="31" t="n">
        <v>6371.66</v>
      </c>
      <c r="I1396" t="inlineStr">
        <is>
          <t>Paid</t>
        </is>
      </c>
      <c r="K1396" s="29" t="n">
        <v>45890</v>
      </c>
      <c r="L1396" s="33" t="n"/>
    </row>
    <row r="1397">
      <c r="A1397" t="inlineStr">
        <is>
          <t>CLM516512</t>
        </is>
      </c>
      <c r="B1397" t="inlineStr">
        <is>
          <t>ENC116512</t>
        </is>
      </c>
      <c r="C1397" t="inlineStr">
        <is>
          <t>Summit Choice PPO</t>
        </is>
      </c>
      <c r="D1397" t="inlineStr">
        <is>
          <t>Emergency</t>
        </is>
      </c>
      <c r="E1397" s="29" t="n">
        <v>45842</v>
      </c>
      <c r="F1397" s="29" t="n">
        <v>45851</v>
      </c>
      <c r="G1397" s="31" t="n">
        <v>6071.76</v>
      </c>
      <c r="H1397" s="31" t="n">
        <v>1362.36</v>
      </c>
      <c r="I1397" t="inlineStr">
        <is>
          <t>Partially Paid</t>
        </is>
      </c>
      <c r="J1397" t="inlineStr">
        <is>
          <t>Medical Necessity</t>
        </is>
      </c>
      <c r="K1397" s="29" t="n">
        <v>45872</v>
      </c>
      <c r="L1397" s="33" t="n"/>
    </row>
    <row r="1398">
      <c r="A1398" t="inlineStr">
        <is>
          <t>CLM516531</t>
        </is>
      </c>
      <c r="B1398" t="inlineStr">
        <is>
          <t>ENC116531</t>
        </is>
      </c>
      <c r="C1398" t="inlineStr">
        <is>
          <t>State Medicaid</t>
        </is>
      </c>
      <c r="D1398" t="inlineStr">
        <is>
          <t>Emergency</t>
        </is>
      </c>
      <c r="E1398" s="29" t="n">
        <v>45843</v>
      </c>
      <c r="F1398" s="29" t="n">
        <v>45848</v>
      </c>
      <c r="G1398" s="31" t="n">
        <v>638.03</v>
      </c>
      <c r="H1398" s="31" t="n">
        <v>160.55</v>
      </c>
      <c r="I1398" t="inlineStr">
        <is>
          <t>Paid</t>
        </is>
      </c>
      <c r="K1398" s="29" t="n">
        <v>45891</v>
      </c>
      <c r="L1398" s="33" t="n"/>
    </row>
    <row r="1399">
      <c r="A1399" t="inlineStr">
        <is>
          <t>CLM516543</t>
        </is>
      </c>
      <c r="B1399" t="inlineStr">
        <is>
          <t>ENC116543</t>
        </is>
      </c>
      <c r="C1399" t="inlineStr">
        <is>
          <t>Medicare</t>
        </is>
      </c>
      <c r="D1399" t="inlineStr">
        <is>
          <t>Inpatient</t>
        </is>
      </c>
      <c r="E1399" s="29" t="n">
        <v>45849</v>
      </c>
      <c r="F1399" s="29" t="n">
        <v>45854</v>
      </c>
      <c r="G1399" s="31" t="n">
        <v>22195.32</v>
      </c>
      <c r="H1399" s="31" t="n">
        <v>6104.3</v>
      </c>
      <c r="I1399" t="inlineStr">
        <is>
          <t>Paid</t>
        </is>
      </c>
      <c r="K1399" s="29" t="n">
        <v>45865</v>
      </c>
      <c r="L1399" s="33" t="n"/>
    </row>
    <row r="1400">
      <c r="A1400" t="inlineStr">
        <is>
          <t>CLM516549</t>
        </is>
      </c>
      <c r="B1400" t="inlineStr">
        <is>
          <t>ENC116549</t>
        </is>
      </c>
      <c r="C1400" t="inlineStr">
        <is>
          <t>Medicare</t>
        </is>
      </c>
      <c r="D1400" t="inlineStr">
        <is>
          <t>Inpatient</t>
        </is>
      </c>
      <c r="E1400" s="29" t="n">
        <v>45846</v>
      </c>
      <c r="F1400" s="29" t="n">
        <v>45849</v>
      </c>
      <c r="G1400" s="31" t="n">
        <v>25466.96</v>
      </c>
      <c r="H1400" s="31" t="n">
        <v>6140.55</v>
      </c>
      <c r="I1400" t="inlineStr">
        <is>
          <t>Paid</t>
        </is>
      </c>
      <c r="K1400" s="29" t="n">
        <v>45863</v>
      </c>
      <c r="L1400" s="33" t="n"/>
    </row>
    <row r="1401">
      <c r="A1401" t="inlineStr">
        <is>
          <t>CLM516551</t>
        </is>
      </c>
      <c r="B1401" t="inlineStr">
        <is>
          <t>ENC116551</t>
        </is>
      </c>
      <c r="C1401" t="inlineStr">
        <is>
          <t>Summit Choice PPO</t>
        </is>
      </c>
      <c r="D1401" t="inlineStr">
        <is>
          <t>Emergency</t>
        </is>
      </c>
      <c r="E1401" s="29" t="n">
        <v>45844</v>
      </c>
      <c r="F1401" s="29" t="n">
        <v>45850</v>
      </c>
      <c r="G1401" s="31" t="n">
        <v>1766.41</v>
      </c>
      <c r="H1401" s="31" t="n">
        <v>0</v>
      </c>
      <c r="I1401" t="inlineStr">
        <is>
          <t>Denied</t>
        </is>
      </c>
      <c r="J1401" t="inlineStr">
        <is>
          <t>Authorization Required</t>
        </is>
      </c>
      <c r="L1401" s="33" t="n"/>
    </row>
    <row r="1402">
      <c r="A1402" t="inlineStr">
        <is>
          <t>CLM516560</t>
        </is>
      </c>
      <c r="B1402" t="inlineStr">
        <is>
          <t>ENC116560</t>
        </is>
      </c>
      <c r="C1402" t="inlineStr">
        <is>
          <t>Keystone Health Partners</t>
        </is>
      </c>
      <c r="D1402" t="inlineStr">
        <is>
          <t>Emergency</t>
        </is>
      </c>
      <c r="E1402" s="29" t="n">
        <v>45845</v>
      </c>
      <c r="F1402" s="29" t="n">
        <v>45851</v>
      </c>
      <c r="G1402" s="31" t="n">
        <v>1327.2</v>
      </c>
      <c r="H1402" s="31" t="n">
        <v>663.99</v>
      </c>
      <c r="I1402" t="inlineStr">
        <is>
          <t>Paid</t>
        </is>
      </c>
      <c r="K1402" s="29" t="n">
        <v>45871</v>
      </c>
      <c r="L1402" s="33" t="n"/>
    </row>
    <row r="1403">
      <c r="A1403" t="inlineStr">
        <is>
          <t>CLM516564</t>
        </is>
      </c>
      <c r="B1403" t="inlineStr">
        <is>
          <t>ENC116564</t>
        </is>
      </c>
      <c r="C1403" t="inlineStr">
        <is>
          <t>Evergreen Mutual Insurance</t>
        </is>
      </c>
      <c r="D1403" t="inlineStr">
        <is>
          <t>Inpatient</t>
        </is>
      </c>
      <c r="E1403" s="29" t="n">
        <v>45846</v>
      </c>
      <c r="F1403" s="29" t="n">
        <v>45922</v>
      </c>
      <c r="G1403" s="31" t="n">
        <v>5449.93</v>
      </c>
      <c r="H1403" s="31" t="n">
        <v>2251.56</v>
      </c>
      <c r="I1403" t="inlineStr">
        <is>
          <t>Paid</t>
        </is>
      </c>
      <c r="K1403" s="29" t="n">
        <v>45952</v>
      </c>
      <c r="L1403" s="33" t="n"/>
    </row>
    <row r="1404">
      <c r="A1404" t="inlineStr">
        <is>
          <t>CLM516565</t>
        </is>
      </c>
      <c r="B1404" t="inlineStr">
        <is>
          <t>ENC116565</t>
        </is>
      </c>
      <c r="C1404" t="inlineStr">
        <is>
          <t>Medicare</t>
        </is>
      </c>
      <c r="D1404" t="inlineStr">
        <is>
          <t>Outpatient</t>
        </is>
      </c>
      <c r="E1404" s="29" t="n">
        <v>45845</v>
      </c>
      <c r="F1404" s="29" t="n">
        <v>45848</v>
      </c>
      <c r="G1404" s="31" t="n">
        <v>369.78</v>
      </c>
      <c r="H1404" s="31" t="n">
        <v>0</v>
      </c>
      <c r="I1404" t="inlineStr">
        <is>
          <t>Appealed</t>
        </is>
      </c>
      <c r="J1404" t="inlineStr">
        <is>
          <t>Medical Necessity</t>
        </is>
      </c>
      <c r="L1404" s="33" t="n"/>
    </row>
    <row r="1405">
      <c r="A1405" t="inlineStr">
        <is>
          <t>CLM516568</t>
        </is>
      </c>
      <c r="B1405" t="inlineStr">
        <is>
          <t>ENC116568</t>
        </is>
      </c>
      <c r="C1405" t="inlineStr">
        <is>
          <t>Evergreen Mutual Insurance</t>
        </is>
      </c>
      <c r="D1405" t="inlineStr">
        <is>
          <t>Outpatient</t>
        </is>
      </c>
      <c r="E1405" s="29" t="n">
        <v>45845</v>
      </c>
      <c r="F1405" s="29" t="n">
        <v>45850</v>
      </c>
      <c r="G1405" s="31" t="n">
        <v>9942.940000000001</v>
      </c>
      <c r="H1405" s="31" t="n">
        <v>3798.05</v>
      </c>
      <c r="I1405" t="inlineStr">
        <is>
          <t>Paid</t>
        </is>
      </c>
      <c r="K1405" s="29" t="n">
        <v>45898</v>
      </c>
      <c r="L1405" s="33" t="n"/>
    </row>
    <row r="1406">
      <c r="A1406" t="inlineStr">
        <is>
          <t>CLM516572</t>
        </is>
      </c>
      <c r="B1406" t="inlineStr">
        <is>
          <t>ENC116572</t>
        </is>
      </c>
      <c r="C1406" t="inlineStr">
        <is>
          <t>Evergreen Mutual Insurance</t>
        </is>
      </c>
      <c r="D1406" t="inlineStr">
        <is>
          <t>Outpatient</t>
        </is>
      </c>
      <c r="E1406" s="29" t="n">
        <v>45845</v>
      </c>
      <c r="F1406" s="29" t="n">
        <v>45849</v>
      </c>
      <c r="G1406" s="31" t="n">
        <v>291.11</v>
      </c>
      <c r="H1406" s="31" t="n">
        <v>119.93</v>
      </c>
      <c r="I1406" t="inlineStr">
        <is>
          <t>Paid</t>
        </is>
      </c>
      <c r="K1406" s="29" t="n">
        <v>45876</v>
      </c>
      <c r="L1406" s="33" t="n"/>
    </row>
    <row r="1407">
      <c r="A1407" t="inlineStr">
        <is>
          <t>CLM516573</t>
        </is>
      </c>
      <c r="B1407" t="inlineStr">
        <is>
          <t>ENC116573</t>
        </is>
      </c>
      <c r="C1407" t="inlineStr">
        <is>
          <t>Summit Choice PPO</t>
        </is>
      </c>
      <c r="D1407" t="inlineStr">
        <is>
          <t>Outpatient</t>
        </is>
      </c>
      <c r="E1407" s="29" t="n">
        <v>45845</v>
      </c>
      <c r="F1407" s="29" t="n">
        <v>45846</v>
      </c>
      <c r="G1407" s="31" t="n">
        <v>218.68</v>
      </c>
      <c r="H1407" s="31" t="n">
        <v>102.12</v>
      </c>
      <c r="I1407" t="inlineStr">
        <is>
          <t>Paid</t>
        </is>
      </c>
      <c r="K1407" s="29" t="n">
        <v>45860</v>
      </c>
      <c r="L1407" s="33" t="n"/>
    </row>
    <row r="1408">
      <c r="A1408" t="inlineStr">
        <is>
          <t>CLM516575</t>
        </is>
      </c>
      <c r="B1408" t="inlineStr">
        <is>
          <t>ENC116575</t>
        </is>
      </c>
      <c r="C1408" t="inlineStr">
        <is>
          <t>Silverline Medicare Advantage</t>
        </is>
      </c>
      <c r="D1408" t="inlineStr">
        <is>
          <t>Observation</t>
        </is>
      </c>
      <c r="E1408" s="29" t="n">
        <v>45846</v>
      </c>
      <c r="F1408" s="29" t="n">
        <v>45850</v>
      </c>
      <c r="G1408" s="31" t="n">
        <v>6101.85</v>
      </c>
      <c r="H1408" s="31" t="n">
        <v>1923.87</v>
      </c>
      <c r="I1408" t="inlineStr">
        <is>
          <t>Paid</t>
        </is>
      </c>
      <c r="K1408" s="29" t="n">
        <v>45878</v>
      </c>
      <c r="L1408" s="33" t="n"/>
    </row>
    <row r="1409">
      <c r="A1409" t="inlineStr">
        <is>
          <t>CLM516580</t>
        </is>
      </c>
      <c r="B1409" t="inlineStr">
        <is>
          <t>ENC116580</t>
        </is>
      </c>
      <c r="C1409" t="inlineStr">
        <is>
          <t>Silverline Medicare Advantage</t>
        </is>
      </c>
      <c r="D1409" t="inlineStr">
        <is>
          <t>Outpatient</t>
        </is>
      </c>
      <c r="E1409" s="29" t="n">
        <v>45845</v>
      </c>
      <c r="F1409" s="29" t="n">
        <v>45846</v>
      </c>
      <c r="G1409" s="31" t="n">
        <v>492.96</v>
      </c>
      <c r="H1409" s="31" t="n">
        <v>159.89</v>
      </c>
      <c r="I1409" t="inlineStr">
        <is>
          <t>Paid</t>
        </is>
      </c>
      <c r="K1409" s="29" t="n">
        <v>45889</v>
      </c>
      <c r="L1409" s="33" t="n"/>
    </row>
    <row r="1410">
      <c r="A1410" t="inlineStr">
        <is>
          <t>CLM516593</t>
        </is>
      </c>
      <c r="B1410" t="inlineStr">
        <is>
          <t>ENC116593</t>
        </is>
      </c>
      <c r="C1410" t="inlineStr">
        <is>
          <t>Evergreen Mutual Insurance</t>
        </is>
      </c>
      <c r="D1410" t="inlineStr">
        <is>
          <t>Emergency</t>
        </is>
      </c>
      <c r="E1410" s="29" t="n">
        <v>45846</v>
      </c>
      <c r="F1410" s="29" t="n">
        <v>45848</v>
      </c>
      <c r="G1410" s="31" t="n">
        <v>5468.25</v>
      </c>
      <c r="H1410" s="31" t="n">
        <v>1146.09</v>
      </c>
      <c r="I1410" t="inlineStr">
        <is>
          <t>Partially Paid</t>
        </is>
      </c>
      <c r="J1410" t="inlineStr">
        <is>
          <t>Coding Error</t>
        </is>
      </c>
      <c r="K1410" s="29" t="n">
        <v>45911</v>
      </c>
      <c r="L1410" s="33" t="n"/>
    </row>
    <row r="1411">
      <c r="A1411" t="inlineStr">
        <is>
          <t>CLM516596</t>
        </is>
      </c>
      <c r="B1411" t="inlineStr">
        <is>
          <t>ENC116596</t>
        </is>
      </c>
      <c r="C1411" t="inlineStr">
        <is>
          <t>Keystone Health Partners</t>
        </is>
      </c>
      <c r="D1411" t="inlineStr">
        <is>
          <t>Emergency</t>
        </is>
      </c>
      <c r="E1411" s="29" t="n">
        <v>45846</v>
      </c>
      <c r="F1411" s="29" t="n">
        <v>45849</v>
      </c>
      <c r="G1411" s="31" t="n">
        <v>2693.72</v>
      </c>
      <c r="H1411" s="31" t="n">
        <v>0</v>
      </c>
      <c r="I1411" t="inlineStr">
        <is>
          <t>Appealed</t>
        </is>
      </c>
      <c r="J1411" t="inlineStr">
        <is>
          <t>Coding Error</t>
        </is>
      </c>
      <c r="L1411" s="33" t="n"/>
    </row>
    <row r="1412">
      <c r="A1412" t="inlineStr">
        <is>
          <t>CLM516597</t>
        </is>
      </c>
      <c r="B1412" t="inlineStr">
        <is>
          <t>ENC116597</t>
        </is>
      </c>
      <c r="C1412" t="inlineStr">
        <is>
          <t>Keystone Health Partners</t>
        </is>
      </c>
      <c r="D1412" t="inlineStr">
        <is>
          <t>Emergency</t>
        </is>
      </c>
      <c r="E1412" s="29" t="n">
        <v>45846</v>
      </c>
      <c r="F1412" s="29" t="n">
        <v>45848</v>
      </c>
      <c r="G1412" s="31" t="n">
        <v>1467.54</v>
      </c>
      <c r="H1412" s="31" t="n">
        <v>626.28</v>
      </c>
      <c r="I1412" t="inlineStr">
        <is>
          <t>Paid</t>
        </is>
      </c>
      <c r="K1412" s="29" t="n">
        <v>45874</v>
      </c>
      <c r="L1412" s="33" t="n"/>
    </row>
    <row r="1413">
      <c r="A1413" t="inlineStr">
        <is>
          <t>CLM516598</t>
        </is>
      </c>
      <c r="B1413" t="inlineStr">
        <is>
          <t>ENC116598</t>
        </is>
      </c>
      <c r="C1413" t="inlineStr">
        <is>
          <t>Summit Choice PPO</t>
        </is>
      </c>
      <c r="D1413" t="inlineStr">
        <is>
          <t>Inpatient</t>
        </is>
      </c>
      <c r="E1413" s="29" t="n">
        <v>45848</v>
      </c>
      <c r="F1413" s="29" t="n">
        <v>45852</v>
      </c>
      <c r="G1413" s="31" t="n">
        <v>15661.47</v>
      </c>
      <c r="H1413" s="31" t="n">
        <v>8385.540000000001</v>
      </c>
      <c r="I1413" t="inlineStr">
        <is>
          <t>Paid</t>
        </is>
      </c>
      <c r="K1413" s="29" t="n">
        <v>45867</v>
      </c>
      <c r="L1413" s="33" t="n"/>
    </row>
    <row r="1414">
      <c r="A1414" t="inlineStr">
        <is>
          <t>CLM516601</t>
        </is>
      </c>
      <c r="B1414" t="inlineStr">
        <is>
          <t>ENC116601</t>
        </is>
      </c>
      <c r="C1414" t="inlineStr">
        <is>
          <t>Summit Choice PPO</t>
        </is>
      </c>
      <c r="D1414" t="inlineStr">
        <is>
          <t>Emergency</t>
        </is>
      </c>
      <c r="E1414" s="29" t="n">
        <v>45846</v>
      </c>
      <c r="F1414" s="29" t="n">
        <v>45851</v>
      </c>
      <c r="G1414" s="31" t="n">
        <v>2018.34</v>
      </c>
      <c r="H1414" s="31" t="n">
        <v>613.78</v>
      </c>
      <c r="I1414" t="inlineStr">
        <is>
          <t>Partially Paid</t>
        </is>
      </c>
      <c r="J1414" t="inlineStr">
        <is>
          <t>Medical Necessity</t>
        </is>
      </c>
      <c r="K1414" s="29" t="n">
        <v>45874</v>
      </c>
      <c r="L1414" s="33" t="n"/>
    </row>
    <row r="1415">
      <c r="A1415" t="inlineStr">
        <is>
          <t>CLM516603</t>
        </is>
      </c>
      <c r="B1415" t="inlineStr">
        <is>
          <t>ENC116603</t>
        </is>
      </c>
      <c r="C1415" t="inlineStr">
        <is>
          <t>Medicare</t>
        </is>
      </c>
      <c r="D1415" t="inlineStr">
        <is>
          <t>Outpatient</t>
        </is>
      </c>
      <c r="E1415" s="29" t="n">
        <v>45846</v>
      </c>
      <c r="F1415" s="29" t="n">
        <v>45852</v>
      </c>
      <c r="G1415" s="31" t="n">
        <v>260.2</v>
      </c>
      <c r="H1415" s="31" t="n">
        <v>74.67</v>
      </c>
      <c r="I1415" t="inlineStr">
        <is>
          <t>Paid</t>
        </is>
      </c>
      <c r="K1415" s="29" t="n">
        <v>45861</v>
      </c>
      <c r="L1415" s="33" t="n"/>
    </row>
    <row r="1416">
      <c r="A1416" t="inlineStr">
        <is>
          <t>CLM516605</t>
        </is>
      </c>
      <c r="B1416" t="inlineStr">
        <is>
          <t>ENC116605</t>
        </is>
      </c>
      <c r="C1416" t="inlineStr">
        <is>
          <t>Summit Choice PPO</t>
        </is>
      </c>
      <c r="D1416" t="inlineStr">
        <is>
          <t>Outpatient</t>
        </is>
      </c>
      <c r="E1416" s="29" t="n">
        <v>45846</v>
      </c>
      <c r="F1416" s="29" t="n">
        <v>45856</v>
      </c>
      <c r="G1416" s="31" t="n">
        <v>348.97</v>
      </c>
      <c r="H1416" s="31" t="n">
        <v>155.81</v>
      </c>
      <c r="I1416" t="inlineStr">
        <is>
          <t>Paid</t>
        </is>
      </c>
      <c r="K1416" s="29" t="n">
        <v>45878</v>
      </c>
      <c r="L1416" s="33" t="n"/>
    </row>
    <row r="1417">
      <c r="A1417" t="inlineStr">
        <is>
          <t>CLM516607</t>
        </is>
      </c>
      <c r="B1417" t="inlineStr">
        <is>
          <t>ENC116607</t>
        </is>
      </c>
      <c r="C1417" t="inlineStr">
        <is>
          <t>Silverline Medicare Advantage</t>
        </is>
      </c>
      <c r="D1417" t="inlineStr">
        <is>
          <t>Outpatient</t>
        </is>
      </c>
      <c r="E1417" s="29" t="n">
        <v>45846</v>
      </c>
      <c r="F1417" s="29" t="n">
        <v>45849</v>
      </c>
      <c r="G1417" s="31" t="n">
        <v>311.32</v>
      </c>
      <c r="H1417" s="31" t="n">
        <v>102.82</v>
      </c>
      <c r="I1417" t="inlineStr">
        <is>
          <t>Paid</t>
        </is>
      </c>
      <c r="K1417" s="29" t="n">
        <v>45876</v>
      </c>
      <c r="L1417" s="33" t="n"/>
    </row>
    <row r="1418">
      <c r="A1418" t="inlineStr">
        <is>
          <t>CLM516615</t>
        </is>
      </c>
      <c r="B1418" t="inlineStr">
        <is>
          <t>ENC116615</t>
        </is>
      </c>
      <c r="C1418" t="inlineStr">
        <is>
          <t>Medicare</t>
        </is>
      </c>
      <c r="D1418" t="inlineStr">
        <is>
          <t>Inpatient</t>
        </is>
      </c>
      <c r="E1418" s="29" t="n">
        <v>45851</v>
      </c>
      <c r="F1418" s="29" t="n">
        <v>45854</v>
      </c>
      <c r="G1418" s="31" t="n">
        <v>25125.83</v>
      </c>
      <c r="H1418" s="31" t="n">
        <v>6870.75</v>
      </c>
      <c r="I1418" t="inlineStr">
        <is>
          <t>Paid</t>
        </is>
      </c>
      <c r="K1418" s="29" t="n">
        <v>45879</v>
      </c>
      <c r="L1418" s="33" t="n"/>
    </row>
    <row r="1419">
      <c r="A1419" t="inlineStr">
        <is>
          <t>CLM516627</t>
        </is>
      </c>
      <c r="B1419" t="inlineStr">
        <is>
          <t>ENC116627</t>
        </is>
      </c>
      <c r="C1419" t="inlineStr">
        <is>
          <t>Summit Choice PPO</t>
        </is>
      </c>
      <c r="D1419" t="inlineStr">
        <is>
          <t>Emergency</t>
        </is>
      </c>
      <c r="E1419" s="29" t="n">
        <v>45846</v>
      </c>
      <c r="F1419" s="29" t="n">
        <v>45850</v>
      </c>
      <c r="G1419" s="31" t="n">
        <v>4118.92</v>
      </c>
      <c r="H1419" s="31" t="n">
        <v>1666.93</v>
      </c>
      <c r="I1419" t="inlineStr">
        <is>
          <t>Partially Paid</t>
        </is>
      </c>
      <c r="J1419" t="inlineStr">
        <is>
          <t>Coding Error</t>
        </is>
      </c>
      <c r="K1419" s="29" t="n">
        <v>45871</v>
      </c>
      <c r="L1419" s="33" t="n"/>
    </row>
    <row r="1420">
      <c r="A1420" t="inlineStr">
        <is>
          <t>CLM516632</t>
        </is>
      </c>
      <c r="B1420" t="inlineStr">
        <is>
          <t>ENC116632</t>
        </is>
      </c>
      <c r="C1420" t="inlineStr">
        <is>
          <t>Silverline Medicare Advantage</t>
        </is>
      </c>
      <c r="D1420" t="inlineStr">
        <is>
          <t>Outpatient</t>
        </is>
      </c>
      <c r="E1420" s="29" t="n">
        <v>45847</v>
      </c>
      <c r="F1420" s="29" t="n">
        <v>45856</v>
      </c>
      <c r="G1420" s="31" t="n">
        <v>240</v>
      </c>
      <c r="H1420" s="31" t="n">
        <v>70.61</v>
      </c>
      <c r="I1420" t="inlineStr">
        <is>
          <t>Paid</t>
        </is>
      </c>
      <c r="K1420" s="29" t="n">
        <v>45876</v>
      </c>
      <c r="L1420" s="33" t="n"/>
    </row>
    <row r="1421">
      <c r="A1421" t="inlineStr">
        <is>
          <t>CLM516636</t>
        </is>
      </c>
      <c r="B1421" t="inlineStr">
        <is>
          <t>ENC116636</t>
        </is>
      </c>
      <c r="C1421" t="inlineStr">
        <is>
          <t>Silverline Medicare Advantage</t>
        </is>
      </c>
      <c r="D1421" t="inlineStr">
        <is>
          <t>Inpatient</t>
        </is>
      </c>
      <c r="E1421" s="29" t="n">
        <v>45850</v>
      </c>
      <c r="F1421" s="29" t="n">
        <v>45852</v>
      </c>
      <c r="G1421" s="31" t="n">
        <v>15946.42</v>
      </c>
      <c r="H1421" s="31" t="n">
        <v>4838.14</v>
      </c>
      <c r="I1421" t="inlineStr">
        <is>
          <t>Paid</t>
        </is>
      </c>
      <c r="K1421" s="29" t="n">
        <v>45906</v>
      </c>
      <c r="L1421" s="33" t="n"/>
    </row>
    <row r="1422">
      <c r="A1422" t="inlineStr">
        <is>
          <t>CLM516641</t>
        </is>
      </c>
      <c r="B1422" t="inlineStr">
        <is>
          <t>ENC116641</t>
        </is>
      </c>
      <c r="C1422" t="inlineStr">
        <is>
          <t>Keystone Health Partners</t>
        </is>
      </c>
      <c r="D1422" t="inlineStr">
        <is>
          <t>Outpatient</t>
        </is>
      </c>
      <c r="E1422" s="29" t="n">
        <v>45847</v>
      </c>
      <c r="F1422" s="29" t="n">
        <v>45850</v>
      </c>
      <c r="G1422" s="31" t="n">
        <v>308.88</v>
      </c>
      <c r="H1422" s="31" t="n">
        <v>133.25</v>
      </c>
      <c r="I1422" t="inlineStr">
        <is>
          <t>Paid</t>
        </is>
      </c>
      <c r="K1422" s="29" t="n">
        <v>45886</v>
      </c>
      <c r="L1422" s="33" t="n"/>
    </row>
    <row r="1423">
      <c r="A1423" t="inlineStr">
        <is>
          <t>CLM516642</t>
        </is>
      </c>
      <c r="B1423" t="inlineStr">
        <is>
          <t>ENC116642</t>
        </is>
      </c>
      <c r="C1423" t="inlineStr">
        <is>
          <t>Summit Choice PPO</t>
        </is>
      </c>
      <c r="D1423" t="inlineStr">
        <is>
          <t>Inpatient</t>
        </is>
      </c>
      <c r="E1423" s="29" t="n">
        <v>45851</v>
      </c>
      <c r="F1423" s="29" t="n">
        <v>45854</v>
      </c>
      <c r="G1423" s="31" t="n">
        <v>63426.39</v>
      </c>
      <c r="H1423" s="31" t="n">
        <v>36005.21</v>
      </c>
      <c r="I1423" t="inlineStr">
        <is>
          <t>Paid</t>
        </is>
      </c>
      <c r="K1423" s="29" t="n">
        <v>45878</v>
      </c>
      <c r="L1423" s="33" t="n"/>
    </row>
    <row r="1424">
      <c r="A1424" t="inlineStr">
        <is>
          <t>CLM516643</t>
        </is>
      </c>
      <c r="B1424" t="inlineStr">
        <is>
          <t>ENC116643</t>
        </is>
      </c>
      <c r="C1424" t="inlineStr">
        <is>
          <t>Medicare</t>
        </is>
      </c>
      <c r="D1424" t="inlineStr">
        <is>
          <t>Outpatient</t>
        </is>
      </c>
      <c r="E1424" s="29" t="n">
        <v>45847</v>
      </c>
      <c r="F1424" s="29" t="n">
        <v>45850</v>
      </c>
      <c r="G1424" s="31" t="n">
        <v>454.56</v>
      </c>
      <c r="H1424" s="31" t="n">
        <v>124.01</v>
      </c>
      <c r="I1424" t="inlineStr">
        <is>
          <t>Paid</t>
        </is>
      </c>
      <c r="K1424" s="29" t="n">
        <v>45864</v>
      </c>
      <c r="L1424" s="33" t="n"/>
    </row>
    <row r="1425">
      <c r="A1425" t="inlineStr">
        <is>
          <t>CLM516646</t>
        </is>
      </c>
      <c r="B1425" t="inlineStr">
        <is>
          <t>ENC116646</t>
        </is>
      </c>
      <c r="C1425" t="inlineStr">
        <is>
          <t>Keystone Health Partners</t>
        </is>
      </c>
      <c r="D1425" t="inlineStr">
        <is>
          <t>Inpatient</t>
        </is>
      </c>
      <c r="E1425" s="29" t="n">
        <v>45850</v>
      </c>
      <c r="F1425" s="29" t="n">
        <v>45851</v>
      </c>
      <c r="G1425" s="31" t="n">
        <v>18036.8</v>
      </c>
      <c r="H1425" s="31" t="n">
        <v>8996.209999999999</v>
      </c>
      <c r="I1425" t="inlineStr">
        <is>
          <t>Paid</t>
        </is>
      </c>
      <c r="K1425" s="29" t="n">
        <v>45871</v>
      </c>
      <c r="L1425" s="33" t="n"/>
    </row>
    <row r="1426">
      <c r="A1426" t="inlineStr">
        <is>
          <t>CLM516647</t>
        </is>
      </c>
      <c r="B1426" t="inlineStr">
        <is>
          <t>ENC116647</t>
        </is>
      </c>
      <c r="C1426" t="inlineStr">
        <is>
          <t>State Medicaid</t>
        </is>
      </c>
      <c r="D1426" t="inlineStr">
        <is>
          <t>Emergency</t>
        </is>
      </c>
      <c r="E1426" s="29" t="n">
        <v>45847</v>
      </c>
      <c r="F1426" s="29" t="n">
        <v>45852</v>
      </c>
      <c r="G1426" s="31" t="n">
        <v>2806.39</v>
      </c>
      <c r="H1426" s="31" t="n">
        <v>464.49</v>
      </c>
      <c r="I1426" t="inlineStr">
        <is>
          <t>Partially Paid</t>
        </is>
      </c>
      <c r="J1426" t="inlineStr">
        <is>
          <t>Missing Documentation</t>
        </is>
      </c>
      <c r="K1426" s="29" t="n">
        <v>45869</v>
      </c>
      <c r="L1426" s="33" t="n"/>
    </row>
    <row r="1427">
      <c r="A1427" t="inlineStr">
        <is>
          <t>CLM516649</t>
        </is>
      </c>
      <c r="B1427" t="inlineStr">
        <is>
          <t>ENC116649</t>
        </is>
      </c>
      <c r="C1427" t="inlineStr">
        <is>
          <t>State Medicaid</t>
        </is>
      </c>
      <c r="D1427" t="inlineStr">
        <is>
          <t>Outpatient</t>
        </is>
      </c>
      <c r="E1427" s="29" t="n">
        <v>45847</v>
      </c>
      <c r="F1427" s="29" t="n">
        <v>45854</v>
      </c>
      <c r="G1427" s="31" t="n">
        <v>290.82</v>
      </c>
      <c r="H1427" s="31" t="n">
        <v>55.59</v>
      </c>
      <c r="I1427" t="inlineStr">
        <is>
          <t>Partially Paid</t>
        </is>
      </c>
      <c r="J1427" t="inlineStr">
        <is>
          <t>Missing Documentation</t>
        </is>
      </c>
      <c r="K1427" s="29" t="n">
        <v>45904</v>
      </c>
      <c r="L1427" s="33" t="n"/>
    </row>
    <row r="1428">
      <c r="A1428" t="inlineStr">
        <is>
          <t>CLM516650</t>
        </is>
      </c>
      <c r="B1428" t="inlineStr">
        <is>
          <t>ENC116650</t>
        </is>
      </c>
      <c r="C1428" t="inlineStr">
        <is>
          <t>State Medicaid</t>
        </is>
      </c>
      <c r="D1428" t="inlineStr">
        <is>
          <t>Inpatient</t>
        </is>
      </c>
      <c r="E1428" s="29" t="n">
        <v>45852</v>
      </c>
      <c r="F1428" s="29" t="n">
        <v>45854</v>
      </c>
      <c r="G1428" s="31" t="n">
        <v>14378.49</v>
      </c>
      <c r="H1428" s="31" t="n">
        <v>3644.43</v>
      </c>
      <c r="I1428" t="inlineStr">
        <is>
          <t>Paid</t>
        </is>
      </c>
      <c r="K1428" s="29" t="n">
        <v>45882</v>
      </c>
      <c r="L1428" s="33" t="n"/>
    </row>
    <row r="1429">
      <c r="A1429" t="inlineStr">
        <is>
          <t>CLM516652</t>
        </is>
      </c>
      <c r="B1429" t="inlineStr">
        <is>
          <t>ENC116652</t>
        </is>
      </c>
      <c r="C1429" t="inlineStr">
        <is>
          <t>Keystone Health Partners</t>
        </is>
      </c>
      <c r="D1429" t="inlineStr">
        <is>
          <t>Outpatient</t>
        </is>
      </c>
      <c r="E1429" s="29" t="n">
        <v>45847</v>
      </c>
      <c r="F1429" s="29" t="n">
        <v>45854</v>
      </c>
      <c r="G1429" s="31" t="n">
        <v>393.48</v>
      </c>
      <c r="H1429" s="31" t="n">
        <v>179.41</v>
      </c>
      <c r="I1429" t="inlineStr">
        <is>
          <t>Paid</t>
        </is>
      </c>
      <c r="K1429" s="29" t="n">
        <v>45871</v>
      </c>
      <c r="L1429" s="33" t="n"/>
    </row>
    <row r="1430">
      <c r="A1430" t="inlineStr">
        <is>
          <t>CLM516653</t>
        </is>
      </c>
      <c r="B1430" t="inlineStr">
        <is>
          <t>ENC116653</t>
        </is>
      </c>
      <c r="C1430" t="inlineStr">
        <is>
          <t>Keystone Health Partners</t>
        </is>
      </c>
      <c r="D1430" t="inlineStr">
        <is>
          <t>Inpatient</t>
        </is>
      </c>
      <c r="E1430" s="29" t="n">
        <v>45851</v>
      </c>
      <c r="F1430" s="29" t="n">
        <v>45853</v>
      </c>
      <c r="G1430" s="31" t="n">
        <v>80686.25999999999</v>
      </c>
      <c r="H1430" s="31" t="n">
        <v>33297.15</v>
      </c>
      <c r="I1430" t="inlineStr">
        <is>
          <t>Paid</t>
        </is>
      </c>
      <c r="K1430" s="29" t="n">
        <v>45883</v>
      </c>
      <c r="L1430" s="33" t="n"/>
    </row>
    <row r="1431">
      <c r="A1431" t="inlineStr">
        <is>
          <t>CLM516655</t>
        </is>
      </c>
      <c r="B1431" t="inlineStr">
        <is>
          <t>ENC116655</t>
        </is>
      </c>
      <c r="C1431" t="inlineStr">
        <is>
          <t>Medicare</t>
        </is>
      </c>
      <c r="D1431" t="inlineStr">
        <is>
          <t>Emergency</t>
        </is>
      </c>
      <c r="E1431" s="29" t="n">
        <v>45847</v>
      </c>
      <c r="F1431" s="29" t="n">
        <v>45852</v>
      </c>
      <c r="G1431" s="31" t="n">
        <v>832.1</v>
      </c>
      <c r="H1431" s="31" t="n">
        <v>241.96</v>
      </c>
      <c r="I1431" t="inlineStr">
        <is>
          <t>Paid</t>
        </is>
      </c>
      <c r="K1431" s="29" t="n">
        <v>45869</v>
      </c>
      <c r="L1431" s="33" t="n"/>
    </row>
    <row r="1432">
      <c r="A1432" t="inlineStr">
        <is>
          <t>CLM516667</t>
        </is>
      </c>
      <c r="B1432" t="inlineStr">
        <is>
          <t>ENC116667</t>
        </is>
      </c>
      <c r="C1432" t="inlineStr">
        <is>
          <t>Keystone Health Partners</t>
        </is>
      </c>
      <c r="D1432" t="inlineStr">
        <is>
          <t>Inpatient</t>
        </is>
      </c>
      <c r="E1432" s="29" t="n">
        <v>45850</v>
      </c>
      <c r="F1432" s="29" t="n">
        <v>45856</v>
      </c>
      <c r="G1432" s="31" t="n">
        <v>17074.74</v>
      </c>
      <c r="H1432" s="31" t="n">
        <v>0</v>
      </c>
      <c r="I1432" t="inlineStr">
        <is>
          <t>Denied</t>
        </is>
      </c>
      <c r="J1432" t="inlineStr">
        <is>
          <t>Medical Necessity</t>
        </is>
      </c>
      <c r="L1432" s="33" t="n"/>
    </row>
    <row r="1433">
      <c r="A1433" t="inlineStr">
        <is>
          <t>CLM516673</t>
        </is>
      </c>
      <c r="B1433" t="inlineStr">
        <is>
          <t>ENC116673</t>
        </is>
      </c>
      <c r="C1433" t="inlineStr">
        <is>
          <t>Silverline Medicare Advantage</t>
        </is>
      </c>
      <c r="D1433" t="inlineStr">
        <is>
          <t>Emergency</t>
        </is>
      </c>
      <c r="E1433" s="29" t="n">
        <v>45848</v>
      </c>
      <c r="F1433" s="29" t="n">
        <v>45850</v>
      </c>
      <c r="G1433" s="31" t="n">
        <v>2354.23</v>
      </c>
      <c r="H1433" s="31" t="n">
        <v>675.59</v>
      </c>
      <c r="I1433" t="inlineStr">
        <is>
          <t>Paid</t>
        </is>
      </c>
      <c r="K1433" s="29" t="n">
        <v>45879</v>
      </c>
      <c r="L1433" s="33" t="n"/>
    </row>
    <row r="1434">
      <c r="A1434" t="inlineStr">
        <is>
          <t>CLM516674</t>
        </is>
      </c>
      <c r="B1434" t="inlineStr">
        <is>
          <t>ENC116674</t>
        </is>
      </c>
      <c r="C1434" t="inlineStr">
        <is>
          <t>Medicare</t>
        </is>
      </c>
      <c r="D1434" t="inlineStr">
        <is>
          <t>Outpatient</t>
        </is>
      </c>
      <c r="E1434" s="29" t="n">
        <v>45848</v>
      </c>
      <c r="F1434" s="29" t="n">
        <v>45849</v>
      </c>
      <c r="G1434" s="31" t="n">
        <v>476.84</v>
      </c>
      <c r="H1434" s="31" t="n">
        <v>115.41</v>
      </c>
      <c r="I1434" t="inlineStr">
        <is>
          <t>Paid</t>
        </is>
      </c>
      <c r="K1434" s="29" t="n">
        <v>45862</v>
      </c>
      <c r="L1434" s="33" t="n"/>
    </row>
    <row r="1435">
      <c r="A1435" t="inlineStr">
        <is>
          <t>CLM516675</t>
        </is>
      </c>
      <c r="B1435" t="inlineStr">
        <is>
          <t>ENC116675</t>
        </is>
      </c>
      <c r="C1435" t="inlineStr">
        <is>
          <t>Self-Pay</t>
        </is>
      </c>
      <c r="D1435" t="inlineStr">
        <is>
          <t>Outpatient</t>
        </is>
      </c>
      <c r="E1435" s="29" t="n">
        <v>45848</v>
      </c>
      <c r="F1435" s="29" t="n">
        <v>45857</v>
      </c>
      <c r="G1435" s="31" t="n">
        <v>157.64</v>
      </c>
      <c r="H1435" s="31" t="n">
        <v>44.62</v>
      </c>
      <c r="I1435" t="inlineStr">
        <is>
          <t>Partially Paid</t>
        </is>
      </c>
      <c r="K1435" s="29" t="n">
        <v>45926</v>
      </c>
      <c r="L1435" s="33" t="n"/>
    </row>
    <row r="1436">
      <c r="A1436" t="inlineStr">
        <is>
          <t>CLM516676</t>
        </is>
      </c>
      <c r="B1436" t="inlineStr">
        <is>
          <t>ENC116676</t>
        </is>
      </c>
      <c r="C1436" t="inlineStr">
        <is>
          <t>Medicare</t>
        </is>
      </c>
      <c r="D1436" t="inlineStr">
        <is>
          <t>Outpatient</t>
        </is>
      </c>
      <c r="E1436" s="29" t="n">
        <v>45848</v>
      </c>
      <c r="F1436" s="29" t="n">
        <v>45853</v>
      </c>
      <c r="G1436" s="31" t="n">
        <v>402.68</v>
      </c>
      <c r="H1436" s="31" t="n">
        <v>0</v>
      </c>
      <c r="I1436" t="inlineStr">
        <is>
          <t>Denied</t>
        </is>
      </c>
      <c r="J1436" t="inlineStr">
        <is>
          <t>Duplicate Claim</t>
        </is>
      </c>
      <c r="L1436" s="33" t="n"/>
    </row>
    <row r="1437">
      <c r="A1437" t="inlineStr">
        <is>
          <t>CLM516682</t>
        </is>
      </c>
      <c r="B1437" t="inlineStr">
        <is>
          <t>ENC116682</t>
        </is>
      </c>
      <c r="C1437" t="inlineStr">
        <is>
          <t>Keystone Health Partners</t>
        </is>
      </c>
      <c r="D1437" t="inlineStr">
        <is>
          <t>Inpatient</t>
        </is>
      </c>
      <c r="E1437" s="29" t="n">
        <v>45850</v>
      </c>
      <c r="F1437" s="29" t="n">
        <v>45853</v>
      </c>
      <c r="G1437" s="31" t="n">
        <v>8262.200000000001</v>
      </c>
      <c r="H1437" s="31" t="n">
        <v>4007.42</v>
      </c>
      <c r="I1437" t="inlineStr">
        <is>
          <t>Paid</t>
        </is>
      </c>
      <c r="K1437" s="29" t="n">
        <v>45869</v>
      </c>
      <c r="L1437" s="33" t="n"/>
    </row>
    <row r="1438">
      <c r="A1438" t="inlineStr">
        <is>
          <t>CLM516688</t>
        </is>
      </c>
      <c r="B1438" t="inlineStr">
        <is>
          <t>ENC116688</t>
        </is>
      </c>
      <c r="C1438" t="inlineStr">
        <is>
          <t>Evergreen Mutual Insurance</t>
        </is>
      </c>
      <c r="D1438" t="inlineStr">
        <is>
          <t>Emergency</t>
        </is>
      </c>
      <c r="E1438" s="29" t="n">
        <v>45848</v>
      </c>
      <c r="F1438" s="29" t="n">
        <v>45851</v>
      </c>
      <c r="G1438" s="31" t="n">
        <v>3569.33</v>
      </c>
      <c r="H1438" s="31" t="n">
        <v>0</v>
      </c>
      <c r="I1438" t="inlineStr">
        <is>
          <t>Denied</t>
        </is>
      </c>
      <c r="J1438" t="inlineStr">
        <is>
          <t>Coding Error</t>
        </is>
      </c>
      <c r="L1438" s="33" t="n"/>
    </row>
    <row r="1439">
      <c r="A1439" t="inlineStr">
        <is>
          <t>CLM516692</t>
        </is>
      </c>
      <c r="B1439" t="inlineStr">
        <is>
          <t>ENC116692</t>
        </is>
      </c>
      <c r="C1439" t="inlineStr">
        <is>
          <t>Keystone Health Partners</t>
        </is>
      </c>
      <c r="D1439" t="inlineStr">
        <is>
          <t>Emergency</t>
        </is>
      </c>
      <c r="E1439" s="29" t="n">
        <v>45848</v>
      </c>
      <c r="F1439" s="29" t="n">
        <v>45850</v>
      </c>
      <c r="G1439" s="31" t="n">
        <v>3927.37</v>
      </c>
      <c r="H1439" s="31" t="n">
        <v>2011.76</v>
      </c>
      <c r="I1439" t="inlineStr">
        <is>
          <t>Paid</t>
        </is>
      </c>
      <c r="K1439" s="29" t="n">
        <v>45872</v>
      </c>
      <c r="L1439" s="33" t="n"/>
    </row>
    <row r="1440">
      <c r="A1440" t="inlineStr">
        <is>
          <t>CLM516693</t>
        </is>
      </c>
      <c r="B1440" t="inlineStr">
        <is>
          <t>ENC116693</t>
        </is>
      </c>
      <c r="C1440" t="inlineStr">
        <is>
          <t>Medicare</t>
        </is>
      </c>
      <c r="D1440" t="inlineStr">
        <is>
          <t>Outpatient</t>
        </is>
      </c>
      <c r="E1440" s="29" t="n">
        <v>45848</v>
      </c>
      <c r="F1440" s="29" t="n">
        <v>45852</v>
      </c>
      <c r="G1440" s="31" t="n">
        <v>343.43</v>
      </c>
      <c r="H1440" s="31" t="n">
        <v>100.13</v>
      </c>
      <c r="I1440" t="inlineStr">
        <is>
          <t>Paid</t>
        </is>
      </c>
      <c r="K1440" s="29" t="n">
        <v>45870</v>
      </c>
      <c r="L1440" s="33" t="n"/>
    </row>
    <row r="1441">
      <c r="A1441" t="inlineStr">
        <is>
          <t>CLM516694</t>
        </is>
      </c>
      <c r="B1441" t="inlineStr">
        <is>
          <t>ENC116694</t>
        </is>
      </c>
      <c r="C1441" t="inlineStr">
        <is>
          <t>Keystone Health Partners</t>
        </is>
      </c>
      <c r="D1441" t="inlineStr">
        <is>
          <t>Outpatient</t>
        </is>
      </c>
      <c r="E1441" s="29" t="n">
        <v>45848</v>
      </c>
      <c r="F1441" s="29" t="n">
        <v>45856</v>
      </c>
      <c r="G1441" s="31" t="n">
        <v>204.7</v>
      </c>
      <c r="H1441" s="31" t="n">
        <v>101.9</v>
      </c>
      <c r="I1441" t="inlineStr">
        <is>
          <t>Paid</t>
        </is>
      </c>
      <c r="K1441" s="29" t="n">
        <v>45875</v>
      </c>
      <c r="L1441" s="33" t="n"/>
    </row>
    <row r="1442">
      <c r="A1442" t="inlineStr">
        <is>
          <t>CLM516696</t>
        </is>
      </c>
      <c r="B1442" t="inlineStr">
        <is>
          <t>ENC116696</t>
        </is>
      </c>
      <c r="C1442" t="inlineStr">
        <is>
          <t>Medicare</t>
        </is>
      </c>
      <c r="D1442" t="inlineStr">
        <is>
          <t>Emergency</t>
        </is>
      </c>
      <c r="E1442" s="29" t="n">
        <v>45848</v>
      </c>
      <c r="F1442" s="29" t="n">
        <v>45860</v>
      </c>
      <c r="G1442" s="31" t="n">
        <v>3249.97</v>
      </c>
      <c r="H1442" s="31" t="n">
        <v>843.8200000000001</v>
      </c>
      <c r="I1442" t="inlineStr">
        <is>
          <t>Paid</t>
        </is>
      </c>
      <c r="K1442" s="29" t="n">
        <v>45876</v>
      </c>
      <c r="L1442" s="33" t="n"/>
    </row>
    <row r="1443">
      <c r="A1443" t="inlineStr">
        <is>
          <t>CLM516700</t>
        </is>
      </c>
      <c r="B1443" t="inlineStr">
        <is>
          <t>ENC116700</t>
        </is>
      </c>
      <c r="C1443" t="inlineStr">
        <is>
          <t>Keystone Health Partners</t>
        </is>
      </c>
      <c r="D1443" t="inlineStr">
        <is>
          <t>Emergency</t>
        </is>
      </c>
      <c r="E1443" s="29" t="n">
        <v>45848</v>
      </c>
      <c r="F1443" s="29" t="n">
        <v>45851</v>
      </c>
      <c r="G1443" s="31" t="n">
        <v>1496.11</v>
      </c>
      <c r="H1443" s="31" t="n">
        <v>591.28</v>
      </c>
      <c r="I1443" t="inlineStr">
        <is>
          <t>Paid</t>
        </is>
      </c>
      <c r="K1443" s="29" t="n">
        <v>45877</v>
      </c>
      <c r="L1443" s="33" t="n"/>
    </row>
    <row r="1444">
      <c r="A1444" t="inlineStr">
        <is>
          <t>CLM516702</t>
        </is>
      </c>
      <c r="B1444" t="inlineStr">
        <is>
          <t>ENC116702</t>
        </is>
      </c>
      <c r="C1444" t="inlineStr">
        <is>
          <t>State Medicaid</t>
        </is>
      </c>
      <c r="D1444" t="inlineStr">
        <is>
          <t>Inpatient</t>
        </is>
      </c>
      <c r="E1444" s="29" t="n">
        <v>45860</v>
      </c>
      <c r="F1444" s="29" t="n">
        <v>45864</v>
      </c>
      <c r="G1444" s="31" t="n">
        <v>34930.53</v>
      </c>
      <c r="H1444" s="31" t="n">
        <v>8214.09</v>
      </c>
      <c r="I1444" t="inlineStr">
        <is>
          <t>Paid</t>
        </is>
      </c>
      <c r="K1444" s="29" t="n">
        <v>45914</v>
      </c>
      <c r="L1444" s="33" t="n"/>
    </row>
    <row r="1445">
      <c r="A1445" t="inlineStr">
        <is>
          <t>CLM516705</t>
        </is>
      </c>
      <c r="B1445" t="inlineStr">
        <is>
          <t>ENC116705</t>
        </is>
      </c>
      <c r="C1445" t="inlineStr">
        <is>
          <t>Evergreen Mutual Insurance</t>
        </is>
      </c>
      <c r="D1445" t="inlineStr">
        <is>
          <t>Emergency</t>
        </is>
      </c>
      <c r="E1445" s="29" t="n">
        <v>45849</v>
      </c>
      <c r="F1445" s="29" t="n">
        <v>45853</v>
      </c>
      <c r="G1445" s="31" t="n">
        <v>910.66</v>
      </c>
      <c r="H1445" s="31" t="n">
        <v>453.29</v>
      </c>
      <c r="I1445" t="inlineStr">
        <is>
          <t>Paid</t>
        </is>
      </c>
      <c r="K1445" s="29" t="n">
        <v>45882</v>
      </c>
      <c r="L1445" s="33" t="n"/>
    </row>
    <row r="1446">
      <c r="A1446" t="inlineStr">
        <is>
          <t>CLM516707</t>
        </is>
      </c>
      <c r="B1446" t="inlineStr">
        <is>
          <t>ENC116707</t>
        </is>
      </c>
      <c r="C1446" t="inlineStr">
        <is>
          <t>Keystone Health Partners</t>
        </is>
      </c>
      <c r="D1446" t="inlineStr">
        <is>
          <t>Emergency</t>
        </is>
      </c>
      <c r="E1446" s="29" t="n">
        <v>45849</v>
      </c>
      <c r="F1446" s="29" t="n">
        <v>45851</v>
      </c>
      <c r="G1446" s="31" t="n">
        <v>1653.8</v>
      </c>
      <c r="H1446" s="31" t="n">
        <v>789.1799999999999</v>
      </c>
      <c r="I1446" t="inlineStr">
        <is>
          <t>Paid</t>
        </is>
      </c>
      <c r="K1446" s="29" t="n">
        <v>45863</v>
      </c>
      <c r="L1446" s="33" t="n"/>
    </row>
    <row r="1447">
      <c r="A1447" t="inlineStr">
        <is>
          <t>CLM516718</t>
        </is>
      </c>
      <c r="B1447" t="inlineStr">
        <is>
          <t>ENC116718</t>
        </is>
      </c>
      <c r="C1447" t="inlineStr">
        <is>
          <t>Keystone Health Partners</t>
        </is>
      </c>
      <c r="D1447" t="inlineStr">
        <is>
          <t>Outpatient</t>
        </is>
      </c>
      <c r="E1447" s="29" t="n">
        <v>45849</v>
      </c>
      <c r="F1447" s="29" t="n">
        <v>45856</v>
      </c>
      <c r="G1447" s="31" t="n">
        <v>188.25</v>
      </c>
      <c r="H1447" s="31" t="n">
        <v>86.59999999999999</v>
      </c>
      <c r="I1447" t="inlineStr">
        <is>
          <t>Paid</t>
        </is>
      </c>
      <c r="K1447" s="29" t="n">
        <v>45872</v>
      </c>
      <c r="L1447" s="33" t="n"/>
    </row>
    <row r="1448">
      <c r="A1448" t="inlineStr">
        <is>
          <t>CLM516720</t>
        </is>
      </c>
      <c r="B1448" t="inlineStr">
        <is>
          <t>ENC116720</t>
        </is>
      </c>
      <c r="C1448" t="inlineStr">
        <is>
          <t>Keystone Health Partners</t>
        </is>
      </c>
      <c r="D1448" t="inlineStr">
        <is>
          <t>Outpatient</t>
        </is>
      </c>
      <c r="E1448" s="29" t="n">
        <v>45849</v>
      </c>
      <c r="F1448" s="29" t="n">
        <v>45855</v>
      </c>
      <c r="G1448" s="31" t="n">
        <v>402.47</v>
      </c>
      <c r="H1448" s="31" t="n">
        <v>180.56</v>
      </c>
      <c r="I1448" t="inlineStr">
        <is>
          <t>Paid</t>
        </is>
      </c>
      <c r="K1448" s="29" t="n">
        <v>45877</v>
      </c>
      <c r="L1448" s="33" t="n"/>
    </row>
    <row r="1449">
      <c r="A1449" t="inlineStr">
        <is>
          <t>CLM516721</t>
        </is>
      </c>
      <c r="B1449" t="inlineStr">
        <is>
          <t>ENC116721</t>
        </is>
      </c>
      <c r="C1449" t="inlineStr">
        <is>
          <t>Medicare</t>
        </is>
      </c>
      <c r="D1449" t="inlineStr">
        <is>
          <t>Emergency</t>
        </is>
      </c>
      <c r="E1449" s="29" t="n">
        <v>45849</v>
      </c>
      <c r="F1449" s="29" t="n">
        <v>45857</v>
      </c>
      <c r="G1449" s="31" t="n">
        <v>1498.19</v>
      </c>
      <c r="H1449" s="31" t="n">
        <v>438.1</v>
      </c>
      <c r="I1449" t="inlineStr">
        <is>
          <t>Paid</t>
        </is>
      </c>
      <c r="K1449" s="29" t="n">
        <v>45870</v>
      </c>
      <c r="L1449" s="33" t="n"/>
    </row>
    <row r="1450">
      <c r="A1450" t="inlineStr">
        <is>
          <t>CLM516724</t>
        </is>
      </c>
      <c r="B1450" t="inlineStr">
        <is>
          <t>ENC116724</t>
        </is>
      </c>
      <c r="C1450" t="inlineStr">
        <is>
          <t>State Medicaid</t>
        </is>
      </c>
      <c r="D1450" t="inlineStr">
        <is>
          <t>Emergency</t>
        </is>
      </c>
      <c r="E1450" s="29" t="n">
        <v>45849</v>
      </c>
      <c r="F1450" s="29" t="n">
        <v>45851</v>
      </c>
      <c r="G1450" s="31" t="n">
        <v>3713.91</v>
      </c>
      <c r="H1450" s="31" t="n">
        <v>813.98</v>
      </c>
      <c r="I1450" t="inlineStr">
        <is>
          <t>Paid</t>
        </is>
      </c>
      <c r="K1450" s="29" t="n">
        <v>45875</v>
      </c>
      <c r="L1450" s="33" t="n"/>
    </row>
    <row r="1451">
      <c r="A1451" t="inlineStr">
        <is>
          <t>CLM516729</t>
        </is>
      </c>
      <c r="B1451" t="inlineStr">
        <is>
          <t>ENC116729</t>
        </is>
      </c>
      <c r="C1451" t="inlineStr">
        <is>
          <t>Evergreen Mutual Insurance</t>
        </is>
      </c>
      <c r="D1451" t="inlineStr">
        <is>
          <t>Outpatient</t>
        </is>
      </c>
      <c r="E1451" s="29" t="n">
        <v>45849</v>
      </c>
      <c r="F1451" s="29" t="n">
        <v>45857</v>
      </c>
      <c r="G1451" s="31" t="n">
        <v>500.57</v>
      </c>
      <c r="H1451" s="31" t="n">
        <v>177.39</v>
      </c>
      <c r="I1451" t="inlineStr">
        <is>
          <t>Paid</t>
        </is>
      </c>
      <c r="K1451" s="29" t="n">
        <v>45886</v>
      </c>
      <c r="L1451" s="33" t="n"/>
    </row>
    <row r="1452">
      <c r="A1452" t="inlineStr">
        <is>
          <t>CLM516730</t>
        </is>
      </c>
      <c r="B1452" t="inlineStr">
        <is>
          <t>ENC116730</t>
        </is>
      </c>
      <c r="C1452" t="inlineStr">
        <is>
          <t>Keystone Health Partners</t>
        </is>
      </c>
      <c r="D1452" t="inlineStr">
        <is>
          <t>Inpatient</t>
        </is>
      </c>
      <c r="E1452" s="29" t="n">
        <v>45867</v>
      </c>
      <c r="F1452" s="29" t="n">
        <v>45877</v>
      </c>
      <c r="G1452" s="31" t="n">
        <v>123227.66</v>
      </c>
      <c r="H1452" s="31" t="n">
        <v>53213.44</v>
      </c>
      <c r="I1452" t="inlineStr">
        <is>
          <t>Paid</t>
        </is>
      </c>
      <c r="K1452" s="29" t="n">
        <v>45897</v>
      </c>
      <c r="L1452" s="33" t="n"/>
    </row>
    <row r="1453">
      <c r="A1453" t="inlineStr">
        <is>
          <t>CLM516749</t>
        </is>
      </c>
      <c r="B1453" t="inlineStr">
        <is>
          <t>ENC116749</t>
        </is>
      </c>
      <c r="C1453" t="inlineStr">
        <is>
          <t>Silverline Medicare Advantage</t>
        </is>
      </c>
      <c r="D1453" t="inlineStr">
        <is>
          <t>Emergency</t>
        </is>
      </c>
      <c r="E1453" s="29" t="n">
        <v>45850</v>
      </c>
      <c r="F1453" s="29" t="n">
        <v>45854</v>
      </c>
      <c r="G1453" s="31" t="n">
        <v>3268.82</v>
      </c>
      <c r="H1453" s="31" t="n">
        <v>1051.86</v>
      </c>
      <c r="I1453" t="inlineStr">
        <is>
          <t>Paid</t>
        </is>
      </c>
      <c r="K1453" s="29" t="n">
        <v>45908</v>
      </c>
      <c r="L1453" s="33" t="n"/>
    </row>
    <row r="1454">
      <c r="A1454" t="inlineStr">
        <is>
          <t>CLM516755</t>
        </is>
      </c>
      <c r="B1454" t="inlineStr">
        <is>
          <t>ENC116755</t>
        </is>
      </c>
      <c r="C1454" t="inlineStr">
        <is>
          <t>Medicare</t>
        </is>
      </c>
      <c r="D1454" t="inlineStr">
        <is>
          <t>Inpatient</t>
        </is>
      </c>
      <c r="E1454" s="29" t="n">
        <v>45857</v>
      </c>
      <c r="F1454" s="29" t="n">
        <v>45860</v>
      </c>
      <c r="G1454" s="31" t="n">
        <v>41446.08</v>
      </c>
      <c r="H1454" s="31" t="n">
        <v>0</v>
      </c>
      <c r="I1454" t="inlineStr">
        <is>
          <t>Appealed</t>
        </is>
      </c>
      <c r="J1454" t="inlineStr">
        <is>
          <t>Authorization Required</t>
        </is>
      </c>
      <c r="L1454" s="33" t="n"/>
    </row>
    <row r="1455">
      <c r="A1455" t="inlineStr">
        <is>
          <t>CLM516758</t>
        </is>
      </c>
      <c r="B1455" t="inlineStr">
        <is>
          <t>ENC116758</t>
        </is>
      </c>
      <c r="C1455" t="inlineStr">
        <is>
          <t>Keystone Health Partners</t>
        </is>
      </c>
      <c r="D1455" t="inlineStr">
        <is>
          <t>Emergency</t>
        </is>
      </c>
      <c r="E1455" s="29" t="n">
        <v>45851</v>
      </c>
      <c r="F1455" s="29" t="n">
        <v>45859</v>
      </c>
      <c r="G1455" s="31" t="n">
        <v>1258.65</v>
      </c>
      <c r="H1455" s="31" t="n">
        <v>364.28</v>
      </c>
      <c r="I1455" t="inlineStr">
        <is>
          <t>Partially Paid</t>
        </is>
      </c>
      <c r="J1455" t="inlineStr">
        <is>
          <t>Medical Necessity</t>
        </is>
      </c>
      <c r="K1455" s="29" t="n">
        <v>45891</v>
      </c>
      <c r="L1455" s="33" t="n"/>
    </row>
    <row r="1456">
      <c r="A1456" t="inlineStr">
        <is>
          <t>CLM516773</t>
        </is>
      </c>
      <c r="B1456" t="inlineStr">
        <is>
          <t>ENC116773</t>
        </is>
      </c>
      <c r="C1456" t="inlineStr">
        <is>
          <t>Self-Pay</t>
        </is>
      </c>
      <c r="D1456" t="inlineStr">
        <is>
          <t>Inpatient</t>
        </is>
      </c>
      <c r="E1456" s="29" t="n">
        <v>45868</v>
      </c>
      <c r="F1456" s="29" t="n">
        <v>45876</v>
      </c>
      <c r="G1456" s="31" t="n">
        <v>39084.94</v>
      </c>
      <c r="H1456" s="31" t="n">
        <v>15413.21</v>
      </c>
      <c r="I1456" t="inlineStr">
        <is>
          <t>Paid</t>
        </is>
      </c>
      <c r="K1456" s="29" t="n">
        <v>45929</v>
      </c>
      <c r="L1456" s="33" t="n"/>
    </row>
    <row r="1457">
      <c r="A1457" t="inlineStr">
        <is>
          <t>CLM516780</t>
        </is>
      </c>
      <c r="B1457" t="inlineStr">
        <is>
          <t>ENC116780</t>
        </is>
      </c>
      <c r="C1457" t="inlineStr">
        <is>
          <t>Summit Choice PPO</t>
        </is>
      </c>
      <c r="D1457" t="inlineStr">
        <is>
          <t>Emergency</t>
        </is>
      </c>
      <c r="E1457" s="29" t="n">
        <v>45852</v>
      </c>
      <c r="F1457" s="29" t="n">
        <v>45857</v>
      </c>
      <c r="G1457" s="31" t="n">
        <v>1769.33</v>
      </c>
      <c r="H1457" s="31" t="n">
        <v>828.52</v>
      </c>
      <c r="I1457" t="inlineStr">
        <is>
          <t>Paid</t>
        </is>
      </c>
      <c r="K1457" s="29" t="n">
        <v>45871</v>
      </c>
      <c r="L1457" s="33" t="n"/>
    </row>
    <row r="1458">
      <c r="A1458" t="inlineStr">
        <is>
          <t>CLM516788</t>
        </is>
      </c>
      <c r="B1458" t="inlineStr">
        <is>
          <t>ENC116788</t>
        </is>
      </c>
      <c r="C1458" t="inlineStr">
        <is>
          <t>State Medicaid</t>
        </is>
      </c>
      <c r="D1458" t="inlineStr">
        <is>
          <t>Outpatient</t>
        </is>
      </c>
      <c r="E1458" s="29" t="n">
        <v>45852</v>
      </c>
      <c r="F1458" s="29" t="n">
        <v>45856</v>
      </c>
      <c r="G1458" s="31" t="n">
        <v>315.63</v>
      </c>
      <c r="H1458" s="31" t="n">
        <v>73.79000000000001</v>
      </c>
      <c r="I1458" t="inlineStr">
        <is>
          <t>Paid</t>
        </is>
      </c>
      <c r="K1458" s="29" t="n">
        <v>45891</v>
      </c>
      <c r="L1458" s="33" t="n"/>
    </row>
    <row r="1459">
      <c r="A1459" t="inlineStr">
        <is>
          <t>CLM516790</t>
        </is>
      </c>
      <c r="B1459" t="inlineStr">
        <is>
          <t>ENC116790</t>
        </is>
      </c>
      <c r="C1459" t="inlineStr">
        <is>
          <t>Summit Choice PPO</t>
        </is>
      </c>
      <c r="D1459" t="inlineStr">
        <is>
          <t>Outpatient</t>
        </is>
      </c>
      <c r="E1459" s="29" t="n">
        <v>45852</v>
      </c>
      <c r="F1459" s="29" t="n">
        <v>45856</v>
      </c>
      <c r="G1459" s="31" t="n">
        <v>441.66</v>
      </c>
      <c r="H1459" s="31" t="n">
        <v>201.14</v>
      </c>
      <c r="I1459" t="inlineStr">
        <is>
          <t>Paid</t>
        </is>
      </c>
      <c r="K1459" s="29" t="n">
        <v>45875</v>
      </c>
      <c r="L1459" s="33" t="n"/>
    </row>
    <row r="1460">
      <c r="A1460" t="inlineStr">
        <is>
          <t>CLM516795</t>
        </is>
      </c>
      <c r="B1460" t="inlineStr">
        <is>
          <t>ENC116795</t>
        </is>
      </c>
      <c r="C1460" t="inlineStr">
        <is>
          <t>Medicare</t>
        </is>
      </c>
      <c r="D1460" t="inlineStr">
        <is>
          <t>Outpatient</t>
        </is>
      </c>
      <c r="E1460" s="29" t="n">
        <v>45852</v>
      </c>
      <c r="F1460" s="29" t="n">
        <v>45859</v>
      </c>
      <c r="G1460" s="31" t="n">
        <v>380.92</v>
      </c>
      <c r="H1460" s="31" t="n">
        <v>109.81</v>
      </c>
      <c r="I1460" t="inlineStr">
        <is>
          <t>Paid</t>
        </is>
      </c>
      <c r="K1460" s="29" t="n">
        <v>45868</v>
      </c>
      <c r="L1460" s="33" t="n"/>
    </row>
    <row r="1461">
      <c r="A1461" t="inlineStr">
        <is>
          <t>CLM516800</t>
        </is>
      </c>
      <c r="B1461" t="inlineStr">
        <is>
          <t>ENC116800</t>
        </is>
      </c>
      <c r="C1461" t="inlineStr">
        <is>
          <t>Keystone Health Partners</t>
        </is>
      </c>
      <c r="D1461" t="inlineStr">
        <is>
          <t>Emergency</t>
        </is>
      </c>
      <c r="E1461" s="29" t="n">
        <v>45852</v>
      </c>
      <c r="F1461" s="29" t="n">
        <v>45855</v>
      </c>
      <c r="G1461" s="31" t="n">
        <v>1002.18</v>
      </c>
      <c r="H1461" s="31" t="n">
        <v>487.41</v>
      </c>
      <c r="I1461" t="inlineStr">
        <is>
          <t>Paid</t>
        </is>
      </c>
      <c r="K1461" s="29" t="n">
        <v>45883</v>
      </c>
      <c r="L1461" s="33" t="n"/>
    </row>
    <row r="1462">
      <c r="A1462" t="inlineStr">
        <is>
          <t>CLM516806</t>
        </is>
      </c>
      <c r="B1462" t="inlineStr">
        <is>
          <t>ENC116806</t>
        </is>
      </c>
      <c r="C1462" t="inlineStr">
        <is>
          <t>Self-Pay</t>
        </is>
      </c>
      <c r="D1462" t="inlineStr">
        <is>
          <t>Observation</t>
        </is>
      </c>
      <c r="E1462" s="29" t="n">
        <v>45854</v>
      </c>
      <c r="F1462" s="29" t="n">
        <v>45862</v>
      </c>
      <c r="G1462" s="31" t="n">
        <v>12327.07</v>
      </c>
      <c r="H1462" s="31" t="n">
        <v>0</v>
      </c>
      <c r="I1462" t="inlineStr">
        <is>
          <t>Pending</t>
        </is>
      </c>
      <c r="L1462" s="33" t="n"/>
    </row>
    <row r="1463">
      <c r="A1463" t="inlineStr">
        <is>
          <t>CLM516812</t>
        </is>
      </c>
      <c r="B1463" t="inlineStr">
        <is>
          <t>ENC116812</t>
        </is>
      </c>
      <c r="C1463" t="inlineStr">
        <is>
          <t>Silverline Medicare Advantage</t>
        </is>
      </c>
      <c r="D1463" t="inlineStr">
        <is>
          <t>Outpatient</t>
        </is>
      </c>
      <c r="E1463" s="29" t="n">
        <v>45853</v>
      </c>
      <c r="F1463" s="29" t="n">
        <v>45855</v>
      </c>
      <c r="G1463" s="31" t="n">
        <v>146.49</v>
      </c>
      <c r="H1463" s="31" t="n">
        <v>0</v>
      </c>
      <c r="I1463" t="inlineStr">
        <is>
          <t>Denied</t>
        </is>
      </c>
      <c r="J1463" t="inlineStr">
        <is>
          <t>Authorization Required</t>
        </is>
      </c>
      <c r="L1463" s="33" t="n"/>
    </row>
    <row r="1464">
      <c r="A1464" t="inlineStr">
        <is>
          <t>CLM516820</t>
        </is>
      </c>
      <c r="B1464" t="inlineStr">
        <is>
          <t>ENC116820</t>
        </is>
      </c>
      <c r="C1464" t="inlineStr">
        <is>
          <t>Keystone Health Partners</t>
        </is>
      </c>
      <c r="D1464" t="inlineStr">
        <is>
          <t>Inpatient</t>
        </is>
      </c>
      <c r="E1464" s="29" t="n">
        <v>45865</v>
      </c>
      <c r="F1464" s="29" t="n">
        <v>45868</v>
      </c>
      <c r="G1464" s="31" t="n">
        <v>109763.59</v>
      </c>
      <c r="H1464" s="31" t="n">
        <v>27195.88</v>
      </c>
      <c r="I1464" t="inlineStr">
        <is>
          <t>Partially Paid</t>
        </is>
      </c>
      <c r="J1464" t="inlineStr">
        <is>
          <t>Coding Error</t>
        </is>
      </c>
      <c r="K1464" s="29" t="n">
        <v>45901</v>
      </c>
      <c r="L1464" s="33" t="n"/>
    </row>
    <row r="1465">
      <c r="A1465" t="inlineStr">
        <is>
          <t>CLM516823</t>
        </is>
      </c>
      <c r="B1465" t="inlineStr">
        <is>
          <t>ENC116823</t>
        </is>
      </c>
      <c r="C1465" t="inlineStr">
        <is>
          <t>Medicare</t>
        </is>
      </c>
      <c r="D1465" t="inlineStr">
        <is>
          <t>Emergency</t>
        </is>
      </c>
      <c r="E1465" s="29" t="n">
        <v>45853</v>
      </c>
      <c r="F1465" s="29" t="n">
        <v>45854</v>
      </c>
      <c r="G1465" s="31" t="n">
        <v>1238.57</v>
      </c>
      <c r="H1465" s="31" t="n">
        <v>0</v>
      </c>
      <c r="I1465" t="inlineStr">
        <is>
          <t>Appealed</t>
        </is>
      </c>
      <c r="J1465" t="inlineStr">
        <is>
          <t>Coding Error</t>
        </is>
      </c>
      <c r="L1465" s="33" t="n"/>
    </row>
    <row r="1466">
      <c r="A1466" t="inlineStr">
        <is>
          <t>CLM516830</t>
        </is>
      </c>
      <c r="B1466" t="inlineStr">
        <is>
          <t>ENC116830</t>
        </is>
      </c>
      <c r="C1466" t="inlineStr">
        <is>
          <t>State Medicaid</t>
        </is>
      </c>
      <c r="D1466" t="inlineStr">
        <is>
          <t>Emergency</t>
        </is>
      </c>
      <c r="E1466" s="29" t="n">
        <v>45854</v>
      </c>
      <c r="F1466" s="29" t="n">
        <v>45857</v>
      </c>
      <c r="G1466" s="31" t="n">
        <v>2013.95</v>
      </c>
      <c r="H1466" s="31" t="n">
        <v>496.5</v>
      </c>
      <c r="I1466" t="inlineStr">
        <is>
          <t>Paid</t>
        </is>
      </c>
      <c r="K1466" s="29" t="n">
        <v>45885</v>
      </c>
      <c r="L1466" s="33" t="n"/>
    </row>
    <row r="1467">
      <c r="A1467" t="inlineStr">
        <is>
          <t>CLM516834</t>
        </is>
      </c>
      <c r="B1467" t="inlineStr">
        <is>
          <t>ENC116834</t>
        </is>
      </c>
      <c r="C1467" t="inlineStr">
        <is>
          <t>Evergreen Mutual Insurance</t>
        </is>
      </c>
      <c r="D1467" t="inlineStr">
        <is>
          <t>Outpatient</t>
        </is>
      </c>
      <c r="E1467" s="29" t="n">
        <v>45854</v>
      </c>
      <c r="F1467" s="29" t="n">
        <v>45863</v>
      </c>
      <c r="G1467" s="31" t="n">
        <v>348.26</v>
      </c>
      <c r="H1467" s="31" t="n">
        <v>154.45</v>
      </c>
      <c r="I1467" t="inlineStr">
        <is>
          <t>Paid</t>
        </is>
      </c>
      <c r="K1467" s="29" t="n">
        <v>45887</v>
      </c>
      <c r="L1467" s="33" t="n"/>
    </row>
    <row r="1468">
      <c r="A1468" t="inlineStr">
        <is>
          <t>CLM516837</t>
        </is>
      </c>
      <c r="B1468" t="inlineStr">
        <is>
          <t>ENC116837</t>
        </is>
      </c>
      <c r="C1468" t="inlineStr">
        <is>
          <t>Medicare</t>
        </is>
      </c>
      <c r="D1468" t="inlineStr">
        <is>
          <t>Observation</t>
        </is>
      </c>
      <c r="E1468" s="29" t="n">
        <v>45855</v>
      </c>
      <c r="F1468" s="29" t="n">
        <v>45861</v>
      </c>
      <c r="G1468" s="31" t="n">
        <v>5169.5</v>
      </c>
      <c r="H1468" s="31" t="n">
        <v>1569.18</v>
      </c>
      <c r="I1468" t="inlineStr">
        <is>
          <t>Paid</t>
        </is>
      </c>
      <c r="K1468" s="29" t="n">
        <v>45876</v>
      </c>
      <c r="L1468" s="33" t="n"/>
    </row>
    <row r="1469">
      <c r="A1469" t="inlineStr">
        <is>
          <t>CLM516841</t>
        </is>
      </c>
      <c r="B1469" t="inlineStr">
        <is>
          <t>ENC116841</t>
        </is>
      </c>
      <c r="C1469" t="inlineStr">
        <is>
          <t>State Medicaid</t>
        </is>
      </c>
      <c r="D1469" t="inlineStr">
        <is>
          <t>Emergency</t>
        </is>
      </c>
      <c r="E1469" s="29" t="n">
        <v>45854</v>
      </c>
      <c r="F1469" s="29" t="n">
        <v>45859</v>
      </c>
      <c r="G1469" s="31" t="n">
        <v>3315.59</v>
      </c>
      <c r="H1469" s="31" t="n">
        <v>791.21</v>
      </c>
      <c r="I1469" t="inlineStr">
        <is>
          <t>Paid</t>
        </is>
      </c>
      <c r="K1469" s="29" t="n">
        <v>45896</v>
      </c>
      <c r="L1469" s="33" t="n"/>
    </row>
    <row r="1470">
      <c r="A1470" t="inlineStr">
        <is>
          <t>CLM516846</t>
        </is>
      </c>
      <c r="B1470" t="inlineStr">
        <is>
          <t>ENC116846</t>
        </is>
      </c>
      <c r="C1470" t="inlineStr">
        <is>
          <t>Evergreen Mutual Insurance</t>
        </is>
      </c>
      <c r="D1470" t="inlineStr">
        <is>
          <t>Outpatient</t>
        </is>
      </c>
      <c r="E1470" s="29" t="n">
        <v>45854</v>
      </c>
      <c r="F1470" s="29" t="n">
        <v>45857</v>
      </c>
      <c r="G1470" s="31" t="n">
        <v>301.15</v>
      </c>
      <c r="H1470" s="31" t="n">
        <v>123.69</v>
      </c>
      <c r="I1470" t="inlineStr">
        <is>
          <t>Paid</t>
        </is>
      </c>
      <c r="K1470" s="29" t="n">
        <v>45904</v>
      </c>
      <c r="L1470" s="33" t="n"/>
    </row>
    <row r="1471">
      <c r="A1471" t="inlineStr">
        <is>
          <t>CLM516847</t>
        </is>
      </c>
      <c r="B1471" t="inlineStr">
        <is>
          <t>ENC116847</t>
        </is>
      </c>
      <c r="C1471" t="inlineStr">
        <is>
          <t>Keystone Health Partners</t>
        </is>
      </c>
      <c r="D1471" t="inlineStr">
        <is>
          <t>Outpatient</t>
        </is>
      </c>
      <c r="E1471" s="29" t="n">
        <v>45854</v>
      </c>
      <c r="F1471" s="29" t="n">
        <v>45859</v>
      </c>
      <c r="G1471" s="31" t="n">
        <v>199.04</v>
      </c>
      <c r="H1471" s="31" t="n">
        <v>108.17</v>
      </c>
      <c r="I1471" t="inlineStr">
        <is>
          <t>Paid</t>
        </is>
      </c>
      <c r="K1471" s="29" t="n">
        <v>45874</v>
      </c>
      <c r="L1471" s="33" t="n"/>
    </row>
    <row r="1472">
      <c r="A1472" t="inlineStr">
        <is>
          <t>CLM516850</t>
        </is>
      </c>
      <c r="B1472" t="inlineStr">
        <is>
          <t>ENC116850</t>
        </is>
      </c>
      <c r="C1472" t="inlineStr">
        <is>
          <t>State Medicaid</t>
        </is>
      </c>
      <c r="D1472" t="inlineStr">
        <is>
          <t>Outpatient</t>
        </is>
      </c>
      <c r="E1472" s="29" t="n">
        <v>45854</v>
      </c>
      <c r="F1472" s="29" t="n">
        <v>45859</v>
      </c>
      <c r="G1472" s="31" t="n">
        <v>285.86</v>
      </c>
      <c r="H1472" s="31" t="n">
        <v>0</v>
      </c>
      <c r="I1472" t="inlineStr">
        <is>
          <t>Appealed</t>
        </is>
      </c>
      <c r="J1472" t="inlineStr">
        <is>
          <t>Coding Error</t>
        </is>
      </c>
      <c r="L1472" s="33" t="n"/>
    </row>
    <row r="1473">
      <c r="A1473" t="inlineStr">
        <is>
          <t>CLM516851</t>
        </is>
      </c>
      <c r="B1473" t="inlineStr">
        <is>
          <t>ENC116851</t>
        </is>
      </c>
      <c r="C1473" t="inlineStr">
        <is>
          <t>Self-Pay</t>
        </is>
      </c>
      <c r="D1473" t="inlineStr">
        <is>
          <t>Emergency</t>
        </is>
      </c>
      <c r="E1473" s="29" t="n">
        <v>45854</v>
      </c>
      <c r="F1473" s="29" t="n">
        <v>45856</v>
      </c>
      <c r="G1473" s="31" t="n">
        <v>958.33</v>
      </c>
      <c r="H1473" s="31" t="n">
        <v>0</v>
      </c>
      <c r="I1473" t="inlineStr">
        <is>
          <t>Pending</t>
        </is>
      </c>
      <c r="L1473" s="33" t="n"/>
    </row>
    <row r="1474">
      <c r="A1474" t="inlineStr">
        <is>
          <t>CLM516852</t>
        </is>
      </c>
      <c r="B1474" t="inlineStr">
        <is>
          <t>ENC116852</t>
        </is>
      </c>
      <c r="C1474" t="inlineStr">
        <is>
          <t>Keystone Health Partners</t>
        </is>
      </c>
      <c r="D1474" t="inlineStr">
        <is>
          <t>Inpatient</t>
        </is>
      </c>
      <c r="E1474" s="29" t="n">
        <v>45860</v>
      </c>
      <c r="F1474" s="29" t="n">
        <v>45868</v>
      </c>
      <c r="G1474" s="31" t="n">
        <v>29040.77</v>
      </c>
      <c r="H1474" s="31" t="n">
        <v>14787.43</v>
      </c>
      <c r="I1474" t="inlineStr">
        <is>
          <t>Paid</t>
        </is>
      </c>
      <c r="K1474" s="29" t="n">
        <v>45894</v>
      </c>
      <c r="L1474" s="33" t="n"/>
    </row>
    <row r="1475">
      <c r="A1475" t="inlineStr">
        <is>
          <t>CLM516854</t>
        </is>
      </c>
      <c r="B1475" t="inlineStr">
        <is>
          <t>ENC116854</t>
        </is>
      </c>
      <c r="C1475" t="inlineStr">
        <is>
          <t>State Medicaid</t>
        </is>
      </c>
      <c r="D1475" t="inlineStr">
        <is>
          <t>Outpatient</t>
        </is>
      </c>
      <c r="E1475" s="29" t="n">
        <v>45854</v>
      </c>
      <c r="F1475" s="29" t="n">
        <v>45857</v>
      </c>
      <c r="G1475" s="31" t="n">
        <v>9126.040000000001</v>
      </c>
      <c r="H1475" s="31" t="n">
        <v>2160.13</v>
      </c>
      <c r="I1475" t="inlineStr">
        <is>
          <t>Paid</t>
        </is>
      </c>
      <c r="K1475" s="29" t="n">
        <v>45888</v>
      </c>
      <c r="L1475" s="33" t="n"/>
    </row>
    <row r="1476">
      <c r="A1476" t="inlineStr">
        <is>
          <t>CLM516858</t>
        </is>
      </c>
      <c r="B1476" t="inlineStr">
        <is>
          <t>ENC116858</t>
        </is>
      </c>
      <c r="C1476" t="inlineStr">
        <is>
          <t>Keystone Health Partners</t>
        </is>
      </c>
      <c r="D1476" t="inlineStr">
        <is>
          <t>Observation</t>
        </is>
      </c>
      <c r="E1476" s="29" t="n">
        <v>45855</v>
      </c>
      <c r="F1476" s="29" t="n">
        <v>45958</v>
      </c>
      <c r="G1476" s="31" t="n">
        <v>10051.4</v>
      </c>
      <c r="H1476" s="31" t="n">
        <v>0</v>
      </c>
      <c r="I1476" t="inlineStr">
        <is>
          <t>Denied</t>
        </is>
      </c>
      <c r="J1476" t="inlineStr">
        <is>
          <t>Timely Filing</t>
        </is>
      </c>
      <c r="L1476" s="33" t="n"/>
    </row>
    <row r="1477">
      <c r="A1477" t="inlineStr">
        <is>
          <t>CLM516859</t>
        </is>
      </c>
      <c r="B1477" t="inlineStr">
        <is>
          <t>ENC116859</t>
        </is>
      </c>
      <c r="C1477" t="inlineStr">
        <is>
          <t>Keystone Health Partners</t>
        </is>
      </c>
      <c r="D1477" t="inlineStr">
        <is>
          <t>Emergency</t>
        </is>
      </c>
      <c r="E1477" s="29" t="n">
        <v>45854</v>
      </c>
      <c r="F1477" s="29" t="n">
        <v>45857</v>
      </c>
      <c r="G1477" s="31" t="n">
        <v>3003.81</v>
      </c>
      <c r="H1477" s="31" t="n">
        <v>1273.89</v>
      </c>
      <c r="I1477" t="inlineStr">
        <is>
          <t>Paid</t>
        </is>
      </c>
      <c r="K1477" s="29" t="n">
        <v>45879</v>
      </c>
      <c r="L1477" s="33" t="n"/>
    </row>
    <row r="1478">
      <c r="A1478" t="inlineStr">
        <is>
          <t>CLM516861</t>
        </is>
      </c>
      <c r="B1478" t="inlineStr">
        <is>
          <t>ENC116861</t>
        </is>
      </c>
      <c r="C1478" t="inlineStr">
        <is>
          <t>State Medicaid</t>
        </is>
      </c>
      <c r="D1478" t="inlineStr">
        <is>
          <t>Observation</t>
        </is>
      </c>
      <c r="E1478" s="29" t="n">
        <v>45855</v>
      </c>
      <c r="F1478" s="29" t="n">
        <v>45867</v>
      </c>
      <c r="G1478" s="31" t="n">
        <v>8318.879999999999</v>
      </c>
      <c r="H1478" s="31" t="n">
        <v>1980.19</v>
      </c>
      <c r="I1478" t="inlineStr">
        <is>
          <t>Paid</t>
        </is>
      </c>
      <c r="K1478" s="29" t="n">
        <v>45909</v>
      </c>
      <c r="L1478" s="33" t="n"/>
    </row>
    <row r="1479">
      <c r="A1479" t="inlineStr">
        <is>
          <t>CLM516862</t>
        </is>
      </c>
      <c r="B1479" t="inlineStr">
        <is>
          <t>ENC116862</t>
        </is>
      </c>
      <c r="C1479" t="inlineStr">
        <is>
          <t>Keystone Health Partners</t>
        </is>
      </c>
      <c r="D1479" t="inlineStr">
        <is>
          <t>Emergency</t>
        </is>
      </c>
      <c r="E1479" s="29" t="n">
        <v>45855</v>
      </c>
      <c r="F1479" s="29" t="n">
        <v>45857</v>
      </c>
      <c r="G1479" s="31" t="n">
        <v>7587.13</v>
      </c>
      <c r="H1479" s="31" t="n">
        <v>3824.99</v>
      </c>
      <c r="I1479" t="inlineStr">
        <is>
          <t>Paid</t>
        </is>
      </c>
      <c r="K1479" s="29" t="n">
        <v>45878</v>
      </c>
      <c r="L1479" s="33" t="n"/>
    </row>
    <row r="1480">
      <c r="A1480" t="inlineStr">
        <is>
          <t>CLM516863</t>
        </is>
      </c>
      <c r="B1480" t="inlineStr">
        <is>
          <t>ENC116863</t>
        </is>
      </c>
      <c r="C1480" t="inlineStr">
        <is>
          <t>State Medicaid</t>
        </is>
      </c>
      <c r="D1480" t="inlineStr">
        <is>
          <t>Inpatient</t>
        </is>
      </c>
      <c r="E1480" s="29" t="n">
        <v>45858</v>
      </c>
      <c r="F1480" s="29" t="n">
        <v>45866</v>
      </c>
      <c r="G1480" s="31" t="n">
        <v>12716.85</v>
      </c>
      <c r="H1480" s="31" t="n">
        <v>3156.98</v>
      </c>
      <c r="I1480" t="inlineStr">
        <is>
          <t>Paid</t>
        </is>
      </c>
      <c r="K1480" s="29" t="n">
        <v>45897</v>
      </c>
      <c r="L1480" s="33" t="n"/>
    </row>
    <row r="1481">
      <c r="A1481" t="inlineStr">
        <is>
          <t>CLM516866</t>
        </is>
      </c>
      <c r="B1481" t="inlineStr">
        <is>
          <t>ENC116866</t>
        </is>
      </c>
      <c r="C1481" t="inlineStr">
        <is>
          <t>State Medicaid</t>
        </is>
      </c>
      <c r="D1481" t="inlineStr">
        <is>
          <t>Outpatient</t>
        </is>
      </c>
      <c r="E1481" s="29" t="n">
        <v>45855</v>
      </c>
      <c r="F1481" s="29" t="n">
        <v>45870</v>
      </c>
      <c r="G1481" s="31" t="n">
        <v>432.51</v>
      </c>
      <c r="H1481" s="31" t="n">
        <v>100.08</v>
      </c>
      <c r="I1481" t="inlineStr">
        <is>
          <t>Paid</t>
        </is>
      </c>
      <c r="K1481" s="29" t="n">
        <v>45919</v>
      </c>
      <c r="L1481" s="33" t="n"/>
    </row>
    <row r="1482">
      <c r="A1482" t="inlineStr">
        <is>
          <t>CLM516867</t>
        </is>
      </c>
      <c r="B1482" t="inlineStr">
        <is>
          <t>ENC116867</t>
        </is>
      </c>
      <c r="C1482" t="inlineStr">
        <is>
          <t>Silverline Medicare Advantage</t>
        </is>
      </c>
      <c r="D1482" t="inlineStr">
        <is>
          <t>Outpatient</t>
        </is>
      </c>
      <c r="E1482" s="29" t="n">
        <v>45855</v>
      </c>
      <c r="F1482" s="29" t="n">
        <v>45860</v>
      </c>
      <c r="G1482" s="31" t="n">
        <v>370.56</v>
      </c>
      <c r="H1482" s="31" t="n">
        <v>121.82</v>
      </c>
      <c r="I1482" t="inlineStr">
        <is>
          <t>Paid</t>
        </is>
      </c>
      <c r="K1482" s="29" t="n">
        <v>45896</v>
      </c>
      <c r="L1482" s="33" t="n"/>
    </row>
    <row r="1483">
      <c r="A1483" t="inlineStr">
        <is>
          <t>CLM516886</t>
        </is>
      </c>
      <c r="B1483" t="inlineStr">
        <is>
          <t>ENC116886</t>
        </is>
      </c>
      <c r="C1483" t="inlineStr">
        <is>
          <t>Medicare</t>
        </is>
      </c>
      <c r="D1483" t="inlineStr">
        <is>
          <t>Outpatient</t>
        </is>
      </c>
      <c r="E1483" s="29" t="n">
        <v>45855</v>
      </c>
      <c r="F1483" s="29" t="n">
        <v>45863</v>
      </c>
      <c r="G1483" s="31" t="n">
        <v>219.62</v>
      </c>
      <c r="H1483" s="31" t="n">
        <v>61.8</v>
      </c>
      <c r="I1483" t="inlineStr">
        <is>
          <t>Paid</t>
        </is>
      </c>
      <c r="K1483" s="29" t="n">
        <v>45878</v>
      </c>
      <c r="L1483" s="33" t="n"/>
    </row>
    <row r="1484">
      <c r="A1484" t="inlineStr">
        <is>
          <t>CLM516888</t>
        </is>
      </c>
      <c r="B1484" t="inlineStr">
        <is>
          <t>ENC116888</t>
        </is>
      </c>
      <c r="C1484" t="inlineStr">
        <is>
          <t>State Medicaid</t>
        </is>
      </c>
      <c r="D1484" t="inlineStr">
        <is>
          <t>Emergency</t>
        </is>
      </c>
      <c r="E1484" s="29" t="n">
        <v>45856</v>
      </c>
      <c r="F1484" s="29" t="n">
        <v>45865</v>
      </c>
      <c r="G1484" s="31" t="n">
        <v>1156.82</v>
      </c>
      <c r="H1484" s="31" t="n">
        <v>304.2</v>
      </c>
      <c r="I1484" t="inlineStr">
        <is>
          <t>Paid</t>
        </is>
      </c>
      <c r="K1484" s="29" t="n">
        <v>45916</v>
      </c>
      <c r="L1484" s="33" t="n"/>
    </row>
    <row r="1485">
      <c r="A1485" t="inlineStr">
        <is>
          <t>CLM516895</t>
        </is>
      </c>
      <c r="B1485" t="inlineStr">
        <is>
          <t>ENC116895</t>
        </is>
      </c>
      <c r="C1485" t="inlineStr">
        <is>
          <t>Medicare</t>
        </is>
      </c>
      <c r="D1485" t="inlineStr">
        <is>
          <t>Outpatient</t>
        </is>
      </c>
      <c r="E1485" s="29" t="n">
        <v>45856</v>
      </c>
      <c r="F1485" s="29" t="n">
        <v>45859</v>
      </c>
      <c r="G1485" s="31" t="n">
        <v>191.21</v>
      </c>
      <c r="H1485" s="31" t="n">
        <v>54.23</v>
      </c>
      <c r="I1485" t="inlineStr">
        <is>
          <t>Paid</t>
        </is>
      </c>
      <c r="K1485" s="29" t="n">
        <v>45870</v>
      </c>
      <c r="L1485" s="33" t="n"/>
    </row>
    <row r="1486">
      <c r="A1486" t="inlineStr">
        <is>
          <t>CLM516896</t>
        </is>
      </c>
      <c r="B1486" t="inlineStr">
        <is>
          <t>ENC116896</t>
        </is>
      </c>
      <c r="C1486" t="inlineStr">
        <is>
          <t>Silverline Medicare Advantage</t>
        </is>
      </c>
      <c r="D1486" t="inlineStr">
        <is>
          <t>Outpatient</t>
        </is>
      </c>
      <c r="E1486" s="29" t="n">
        <v>45856</v>
      </c>
      <c r="F1486" s="29" t="n">
        <v>45864</v>
      </c>
      <c r="G1486" s="31" t="n">
        <v>228.95</v>
      </c>
      <c r="H1486" s="31" t="n">
        <v>72.36</v>
      </c>
      <c r="I1486" t="inlineStr">
        <is>
          <t>Paid</t>
        </is>
      </c>
      <c r="K1486" s="29" t="n">
        <v>45905</v>
      </c>
      <c r="L1486" s="33" t="n"/>
    </row>
    <row r="1487">
      <c r="A1487" t="inlineStr">
        <is>
          <t>CLM516897</t>
        </is>
      </c>
      <c r="B1487" t="inlineStr">
        <is>
          <t>ENC116897</t>
        </is>
      </c>
      <c r="C1487" t="inlineStr">
        <is>
          <t>Medicare</t>
        </is>
      </c>
      <c r="D1487" t="inlineStr">
        <is>
          <t>Emergency</t>
        </is>
      </c>
      <c r="E1487" s="29" t="n">
        <v>45856</v>
      </c>
      <c r="F1487" s="29" t="n">
        <v>45859</v>
      </c>
      <c r="G1487" s="31" t="n">
        <v>4455.06</v>
      </c>
      <c r="H1487" s="31" t="n">
        <v>1038.99</v>
      </c>
      <c r="I1487" t="inlineStr">
        <is>
          <t>Partially Paid</t>
        </is>
      </c>
      <c r="J1487" t="inlineStr">
        <is>
          <t>Medical Necessity</t>
        </is>
      </c>
      <c r="K1487" s="29" t="n">
        <v>45877</v>
      </c>
      <c r="L1487" s="33" t="n"/>
    </row>
    <row r="1488">
      <c r="A1488" t="inlineStr">
        <is>
          <t>CLM516899</t>
        </is>
      </c>
      <c r="B1488" t="inlineStr">
        <is>
          <t>ENC116899</t>
        </is>
      </c>
      <c r="C1488" t="inlineStr">
        <is>
          <t>Silverline Medicare Advantage</t>
        </is>
      </c>
      <c r="D1488" t="inlineStr">
        <is>
          <t>Outpatient</t>
        </is>
      </c>
      <c r="E1488" s="29" t="n">
        <v>45856</v>
      </c>
      <c r="F1488" s="29" t="n">
        <v>45862</v>
      </c>
      <c r="G1488" s="31" t="n">
        <v>569.8099999999999</v>
      </c>
      <c r="H1488" s="31" t="n">
        <v>192.89</v>
      </c>
      <c r="I1488" t="inlineStr">
        <is>
          <t>Paid</t>
        </is>
      </c>
      <c r="K1488" s="29" t="n">
        <v>45892</v>
      </c>
      <c r="L1488" s="33" t="n"/>
    </row>
    <row r="1489">
      <c r="A1489" t="inlineStr">
        <is>
          <t>CLM516908</t>
        </is>
      </c>
      <c r="B1489" t="inlineStr">
        <is>
          <t>ENC116908</t>
        </is>
      </c>
      <c r="C1489" t="inlineStr">
        <is>
          <t>Silverline Medicare Advantage</t>
        </is>
      </c>
      <c r="D1489" t="inlineStr">
        <is>
          <t>Emergency</t>
        </is>
      </c>
      <c r="E1489" s="29" t="n">
        <v>45856</v>
      </c>
      <c r="F1489" s="29" t="n">
        <v>45863</v>
      </c>
      <c r="G1489" s="31" t="n">
        <v>3385.64</v>
      </c>
      <c r="H1489" s="31" t="n">
        <v>0</v>
      </c>
      <c r="I1489" t="inlineStr">
        <is>
          <t>Denied</t>
        </is>
      </c>
      <c r="J1489" t="inlineStr">
        <is>
          <t>Medical Necessity</t>
        </is>
      </c>
      <c r="L1489" s="33" t="n"/>
    </row>
    <row r="1490">
      <c r="A1490" t="inlineStr">
        <is>
          <t>CLM516911</t>
        </is>
      </c>
      <c r="B1490" t="inlineStr">
        <is>
          <t>ENC116911</t>
        </is>
      </c>
      <c r="C1490" t="inlineStr">
        <is>
          <t>Evergreen Mutual Insurance</t>
        </is>
      </c>
      <c r="D1490" t="inlineStr">
        <is>
          <t>Emergency</t>
        </is>
      </c>
      <c r="E1490" s="29" t="n">
        <v>45856</v>
      </c>
      <c r="F1490" s="29" t="n">
        <v>45871</v>
      </c>
      <c r="G1490" s="31" t="n">
        <v>3532.9</v>
      </c>
      <c r="H1490" s="31" t="n">
        <v>1588.82</v>
      </c>
      <c r="I1490" t="inlineStr">
        <is>
          <t>Paid</t>
        </is>
      </c>
      <c r="K1490" s="29" t="n">
        <v>45892</v>
      </c>
      <c r="L1490" s="33" t="n"/>
    </row>
    <row r="1491">
      <c r="A1491" t="inlineStr">
        <is>
          <t>CLM516913</t>
        </is>
      </c>
      <c r="B1491" t="inlineStr">
        <is>
          <t>ENC116913</t>
        </is>
      </c>
      <c r="C1491" t="inlineStr">
        <is>
          <t>Summit Choice PPO</t>
        </is>
      </c>
      <c r="D1491" t="inlineStr">
        <is>
          <t>Emergency</t>
        </is>
      </c>
      <c r="E1491" s="29" t="n">
        <v>45856</v>
      </c>
      <c r="F1491" s="29" t="n">
        <v>45862</v>
      </c>
      <c r="G1491" s="31" t="n">
        <v>4614.15</v>
      </c>
      <c r="H1491" s="31" t="n">
        <v>2210.33</v>
      </c>
      <c r="I1491" t="inlineStr">
        <is>
          <t>Paid</t>
        </is>
      </c>
      <c r="K1491" s="29" t="n">
        <v>45879</v>
      </c>
      <c r="L1491" s="33" t="n"/>
    </row>
    <row r="1492">
      <c r="A1492" t="inlineStr">
        <is>
          <t>CLM516914</t>
        </is>
      </c>
      <c r="B1492" t="inlineStr">
        <is>
          <t>ENC116914</t>
        </is>
      </c>
      <c r="C1492" t="inlineStr">
        <is>
          <t>Summit Choice PPO</t>
        </is>
      </c>
      <c r="D1492" t="inlineStr">
        <is>
          <t>Emergency</t>
        </is>
      </c>
      <c r="E1492" s="29" t="n">
        <v>45856</v>
      </c>
      <c r="F1492" s="29" t="n">
        <v>45861</v>
      </c>
      <c r="G1492" s="31" t="n">
        <v>2077.08</v>
      </c>
      <c r="H1492" s="31" t="n">
        <v>0</v>
      </c>
      <c r="I1492" t="inlineStr">
        <is>
          <t>Denied</t>
        </is>
      </c>
      <c r="J1492" t="inlineStr">
        <is>
          <t>Medical Necessity</t>
        </is>
      </c>
      <c r="L1492" s="33" t="n"/>
    </row>
    <row r="1493">
      <c r="A1493" t="inlineStr">
        <is>
          <t>CLM516917</t>
        </is>
      </c>
      <c r="B1493" t="inlineStr">
        <is>
          <t>ENC116917</t>
        </is>
      </c>
      <c r="C1493" t="inlineStr">
        <is>
          <t>Medicare</t>
        </is>
      </c>
      <c r="D1493" t="inlineStr">
        <is>
          <t>Emergency</t>
        </is>
      </c>
      <c r="E1493" s="29" t="n">
        <v>45857</v>
      </c>
      <c r="F1493" s="29" t="n">
        <v>45859</v>
      </c>
      <c r="G1493" s="31" t="n">
        <v>1545.82</v>
      </c>
      <c r="H1493" s="31" t="n">
        <v>487.31</v>
      </c>
      <c r="I1493" t="inlineStr">
        <is>
          <t>Paid</t>
        </is>
      </c>
      <c r="K1493" s="29" t="n">
        <v>45870</v>
      </c>
      <c r="L1493" s="33" t="n"/>
    </row>
    <row r="1494">
      <c r="A1494" t="inlineStr">
        <is>
          <t>CLM516924</t>
        </is>
      </c>
      <c r="B1494" t="inlineStr">
        <is>
          <t>ENC116924</t>
        </is>
      </c>
      <c r="C1494" t="inlineStr">
        <is>
          <t>Summit Choice PPO</t>
        </is>
      </c>
      <c r="D1494" t="inlineStr">
        <is>
          <t>Emergency</t>
        </is>
      </c>
      <c r="E1494" s="29" t="n">
        <v>45857</v>
      </c>
      <c r="F1494" s="29" t="n">
        <v>45861</v>
      </c>
      <c r="G1494" s="31" t="n">
        <v>1519.09</v>
      </c>
      <c r="H1494" s="31" t="n">
        <v>701.5</v>
      </c>
      <c r="I1494" t="inlineStr">
        <is>
          <t>Paid</t>
        </is>
      </c>
      <c r="K1494" s="29" t="n">
        <v>45880</v>
      </c>
      <c r="L1494" s="33" t="n"/>
    </row>
    <row r="1495">
      <c r="A1495" t="inlineStr">
        <is>
          <t>CLM516926</t>
        </is>
      </c>
      <c r="B1495" t="inlineStr">
        <is>
          <t>ENC116926</t>
        </is>
      </c>
      <c r="C1495" t="inlineStr">
        <is>
          <t>Evergreen Mutual Insurance</t>
        </is>
      </c>
      <c r="D1495" t="inlineStr">
        <is>
          <t>Emergency</t>
        </is>
      </c>
      <c r="E1495" s="29" t="n">
        <v>45857</v>
      </c>
      <c r="F1495" s="29" t="n">
        <v>45860</v>
      </c>
      <c r="G1495" s="31" t="n">
        <v>4759.45</v>
      </c>
      <c r="H1495" s="31" t="n">
        <v>1663.14</v>
      </c>
      <c r="I1495" t="inlineStr">
        <is>
          <t>Paid</t>
        </is>
      </c>
      <c r="K1495" s="29" t="n">
        <v>45880</v>
      </c>
      <c r="L1495" s="33" t="n"/>
    </row>
    <row r="1496">
      <c r="A1496" t="inlineStr">
        <is>
          <t>CLM516928</t>
        </is>
      </c>
      <c r="B1496" t="inlineStr">
        <is>
          <t>ENC116928</t>
        </is>
      </c>
      <c r="C1496" t="inlineStr">
        <is>
          <t>State Medicaid</t>
        </is>
      </c>
      <c r="D1496" t="inlineStr">
        <is>
          <t>Inpatient</t>
        </is>
      </c>
      <c r="E1496" s="29" t="n">
        <v>45877</v>
      </c>
      <c r="F1496" s="29" t="n">
        <v>45884</v>
      </c>
      <c r="G1496" s="31" t="n">
        <v>44650.12</v>
      </c>
      <c r="H1496" s="31" t="n">
        <v>9893.959999999999</v>
      </c>
      <c r="I1496" t="inlineStr">
        <is>
          <t>Paid</t>
        </is>
      </c>
      <c r="K1496" s="29" t="n">
        <v>45905</v>
      </c>
      <c r="L1496" s="33" t="n"/>
    </row>
    <row r="1497">
      <c r="A1497" t="inlineStr">
        <is>
          <t>CLM516932</t>
        </is>
      </c>
      <c r="B1497" t="inlineStr">
        <is>
          <t>ENC116932</t>
        </is>
      </c>
      <c r="C1497" t="inlineStr">
        <is>
          <t>Silverline Medicare Advantage</t>
        </is>
      </c>
      <c r="D1497" t="inlineStr">
        <is>
          <t>Emergency</t>
        </is>
      </c>
      <c r="E1497" s="29" t="n">
        <v>45857</v>
      </c>
      <c r="F1497" s="29" t="n">
        <v>45863</v>
      </c>
      <c r="G1497" s="31" t="n">
        <v>2655.62</v>
      </c>
      <c r="H1497" s="31" t="n">
        <v>861.54</v>
      </c>
      <c r="I1497" t="inlineStr">
        <is>
          <t>Paid</t>
        </is>
      </c>
      <c r="K1497" s="29" t="n">
        <v>45892</v>
      </c>
      <c r="L1497" s="33" t="n"/>
    </row>
    <row r="1498">
      <c r="A1498" t="inlineStr">
        <is>
          <t>CLM516933</t>
        </is>
      </c>
      <c r="B1498" t="inlineStr">
        <is>
          <t>ENC116933</t>
        </is>
      </c>
      <c r="C1498" t="inlineStr">
        <is>
          <t>State Medicaid</t>
        </is>
      </c>
      <c r="D1498" t="inlineStr">
        <is>
          <t>Emergency</t>
        </is>
      </c>
      <c r="E1498" s="29" t="n">
        <v>45857</v>
      </c>
      <c r="F1498" s="29" t="n">
        <v>45858</v>
      </c>
      <c r="G1498" s="31" t="n">
        <v>4993.64</v>
      </c>
      <c r="H1498" s="31" t="n">
        <v>1317.37</v>
      </c>
      <c r="I1498" t="inlineStr">
        <is>
          <t>Paid</t>
        </is>
      </c>
      <c r="K1498" s="29" t="n">
        <v>45896</v>
      </c>
      <c r="L1498" s="33" t="n"/>
    </row>
    <row r="1499">
      <c r="A1499" t="inlineStr">
        <is>
          <t>CLM516934</t>
        </is>
      </c>
      <c r="B1499" t="inlineStr">
        <is>
          <t>ENC116934</t>
        </is>
      </c>
      <c r="C1499" t="inlineStr">
        <is>
          <t>Evergreen Mutual Insurance</t>
        </is>
      </c>
      <c r="D1499" t="inlineStr">
        <is>
          <t>Inpatient</t>
        </is>
      </c>
      <c r="E1499" s="29" t="n">
        <v>45860</v>
      </c>
      <c r="F1499" s="29" t="n">
        <v>45865</v>
      </c>
      <c r="G1499" s="31" t="n">
        <v>59545.38</v>
      </c>
      <c r="H1499" s="31" t="n">
        <v>21587.61</v>
      </c>
      <c r="I1499" t="inlineStr">
        <is>
          <t>Paid</t>
        </is>
      </c>
      <c r="K1499" s="29" t="n">
        <v>45940</v>
      </c>
      <c r="L1499" s="33" t="n"/>
    </row>
    <row r="1500">
      <c r="A1500" t="inlineStr">
        <is>
          <t>CLM516940</t>
        </is>
      </c>
      <c r="B1500" t="inlineStr">
        <is>
          <t>ENC116940</t>
        </is>
      </c>
      <c r="C1500" t="inlineStr">
        <is>
          <t>Medicare</t>
        </is>
      </c>
      <c r="D1500" t="inlineStr">
        <is>
          <t>Inpatient</t>
        </is>
      </c>
      <c r="E1500" s="29" t="n">
        <v>45864</v>
      </c>
      <c r="F1500" s="29" t="n">
        <v>45869</v>
      </c>
      <c r="G1500" s="31" t="n">
        <v>97096.75999999999</v>
      </c>
      <c r="H1500" s="31" t="n">
        <v>26717.28</v>
      </c>
      <c r="I1500" t="inlineStr">
        <is>
          <t>Paid</t>
        </is>
      </c>
      <c r="K1500" s="29" t="n">
        <v>45880</v>
      </c>
      <c r="L1500" s="33" t="n"/>
    </row>
    <row r="1501">
      <c r="A1501" t="inlineStr">
        <is>
          <t>CLM516941</t>
        </is>
      </c>
      <c r="B1501" t="inlineStr">
        <is>
          <t>ENC116941</t>
        </is>
      </c>
      <c r="C1501" t="inlineStr">
        <is>
          <t>Self-Pay</t>
        </is>
      </c>
      <c r="D1501" t="inlineStr">
        <is>
          <t>Emergency</t>
        </is>
      </c>
      <c r="E1501" s="29" t="n">
        <v>45858</v>
      </c>
      <c r="F1501" s="29" t="n">
        <v>45861</v>
      </c>
      <c r="G1501" s="31" t="n">
        <v>5040.57</v>
      </c>
      <c r="H1501" s="31" t="n">
        <v>267.81</v>
      </c>
      <c r="I1501" t="inlineStr">
        <is>
          <t>Partially Paid</t>
        </is>
      </c>
      <c r="K1501" s="29" t="n">
        <v>45905</v>
      </c>
      <c r="L1501" s="33" t="n"/>
    </row>
    <row r="1502">
      <c r="A1502" t="inlineStr">
        <is>
          <t>CLM516942</t>
        </is>
      </c>
      <c r="B1502" t="inlineStr">
        <is>
          <t>ENC116942</t>
        </is>
      </c>
      <c r="C1502" t="inlineStr">
        <is>
          <t>Medicare</t>
        </is>
      </c>
      <c r="D1502" t="inlineStr">
        <is>
          <t>Emergency</t>
        </is>
      </c>
      <c r="E1502" s="29" t="n">
        <v>45858</v>
      </c>
      <c r="F1502" s="29" t="n">
        <v>45860</v>
      </c>
      <c r="G1502" s="31" t="n">
        <v>1760.45</v>
      </c>
      <c r="H1502" s="31" t="n">
        <v>444.44</v>
      </c>
      <c r="I1502" t="inlineStr">
        <is>
          <t>Paid</t>
        </is>
      </c>
      <c r="K1502" s="29" t="n">
        <v>45872</v>
      </c>
      <c r="L1502" s="33" t="n"/>
    </row>
    <row r="1503">
      <c r="A1503" t="inlineStr">
        <is>
          <t>CLM516945</t>
        </is>
      </c>
      <c r="B1503" t="inlineStr">
        <is>
          <t>ENC116945</t>
        </is>
      </c>
      <c r="C1503" t="inlineStr">
        <is>
          <t>Evergreen Mutual Insurance</t>
        </is>
      </c>
      <c r="D1503" t="inlineStr">
        <is>
          <t>Emergency</t>
        </is>
      </c>
      <c r="E1503" s="29" t="n">
        <v>45858</v>
      </c>
      <c r="F1503" s="29" t="n">
        <v>45862</v>
      </c>
      <c r="G1503" s="31" t="n">
        <v>1393.85</v>
      </c>
      <c r="H1503" s="31" t="n">
        <v>563.86</v>
      </c>
      <c r="I1503" t="inlineStr">
        <is>
          <t>Paid</t>
        </is>
      </c>
      <c r="K1503" s="29" t="n">
        <v>45890</v>
      </c>
      <c r="L1503" s="33" t="n"/>
    </row>
    <row r="1504">
      <c r="A1504" t="inlineStr">
        <is>
          <t>CLM516951</t>
        </is>
      </c>
      <c r="B1504" t="inlineStr">
        <is>
          <t>ENC116951</t>
        </is>
      </c>
      <c r="C1504" t="inlineStr">
        <is>
          <t>State Medicaid</t>
        </is>
      </c>
      <c r="D1504" t="inlineStr">
        <is>
          <t>Observation</t>
        </is>
      </c>
      <c r="E1504" s="29" t="n">
        <v>45860</v>
      </c>
      <c r="F1504" s="29" t="n">
        <v>45873</v>
      </c>
      <c r="G1504" s="31" t="n">
        <v>9064.959999999999</v>
      </c>
      <c r="H1504" s="31" t="n">
        <v>2406.96</v>
      </c>
      <c r="I1504" t="inlineStr">
        <is>
          <t>Paid</t>
        </is>
      </c>
      <c r="K1504" s="29" t="n">
        <v>45914</v>
      </c>
      <c r="L1504" s="33" t="n"/>
    </row>
    <row r="1505">
      <c r="A1505" t="inlineStr">
        <is>
          <t>CLM516952</t>
        </is>
      </c>
      <c r="B1505" t="inlineStr">
        <is>
          <t>ENC116952</t>
        </is>
      </c>
      <c r="C1505" t="inlineStr">
        <is>
          <t>Summit Choice PPO</t>
        </is>
      </c>
      <c r="D1505" t="inlineStr">
        <is>
          <t>Emergency</t>
        </is>
      </c>
      <c r="E1505" s="29" t="n">
        <v>45858</v>
      </c>
      <c r="F1505" s="29" t="n">
        <v>45861</v>
      </c>
      <c r="G1505" s="31" t="n">
        <v>1394.96</v>
      </c>
      <c r="H1505" s="31" t="n">
        <v>0</v>
      </c>
      <c r="I1505" t="inlineStr">
        <is>
          <t>Denied</t>
        </is>
      </c>
      <c r="J1505" t="inlineStr">
        <is>
          <t>Eligibility / Coverage</t>
        </is>
      </c>
      <c r="L1505" s="33" t="n"/>
    </row>
    <row r="1506">
      <c r="A1506" t="inlineStr">
        <is>
          <t>CLM516961</t>
        </is>
      </c>
      <c r="B1506" t="inlineStr">
        <is>
          <t>ENC116961</t>
        </is>
      </c>
      <c r="C1506" t="inlineStr">
        <is>
          <t>State Medicaid</t>
        </is>
      </c>
      <c r="D1506" t="inlineStr">
        <is>
          <t>Observation</t>
        </is>
      </c>
      <c r="E1506" s="29" t="n">
        <v>45860</v>
      </c>
      <c r="F1506" s="29" t="n">
        <v>45864</v>
      </c>
      <c r="G1506" s="31" t="n">
        <v>11211.18</v>
      </c>
      <c r="H1506" s="31" t="n">
        <v>2875.73</v>
      </c>
      <c r="I1506" t="inlineStr">
        <is>
          <t>Paid</t>
        </is>
      </c>
      <c r="K1506" s="29" t="n">
        <v>45918</v>
      </c>
      <c r="L1506" s="33" t="n"/>
    </row>
    <row r="1507">
      <c r="A1507" t="inlineStr">
        <is>
          <t>CLM516964</t>
        </is>
      </c>
      <c r="B1507" t="inlineStr">
        <is>
          <t>ENC116964</t>
        </is>
      </c>
      <c r="C1507" t="inlineStr">
        <is>
          <t>State Medicaid</t>
        </is>
      </c>
      <c r="D1507" t="inlineStr">
        <is>
          <t>Outpatient</t>
        </is>
      </c>
      <c r="E1507" s="29" t="n">
        <v>45859</v>
      </c>
      <c r="F1507" s="29" t="n">
        <v>45872</v>
      </c>
      <c r="G1507" s="31" t="n">
        <v>356.39</v>
      </c>
      <c r="H1507" s="31" t="n">
        <v>90.23999999999999</v>
      </c>
      <c r="I1507" t="inlineStr">
        <is>
          <t>Paid</t>
        </is>
      </c>
      <c r="K1507" s="29" t="n">
        <v>45928</v>
      </c>
      <c r="L1507" s="33" t="n"/>
    </row>
    <row r="1508">
      <c r="A1508" t="inlineStr">
        <is>
          <t>CLM516968</t>
        </is>
      </c>
      <c r="B1508" t="inlineStr">
        <is>
          <t>ENC116968</t>
        </is>
      </c>
      <c r="C1508" t="inlineStr">
        <is>
          <t>Keystone Health Partners</t>
        </is>
      </c>
      <c r="D1508" t="inlineStr">
        <is>
          <t>Inpatient</t>
        </is>
      </c>
      <c r="E1508" s="29" t="n">
        <v>45865</v>
      </c>
      <c r="F1508" s="29" t="n">
        <v>45867</v>
      </c>
      <c r="G1508" s="31" t="n">
        <v>39776.43</v>
      </c>
      <c r="H1508" s="31" t="n">
        <v>21208.8</v>
      </c>
      <c r="I1508" t="inlineStr">
        <is>
          <t>Paid</t>
        </is>
      </c>
      <c r="K1508" s="29" t="n">
        <v>45911</v>
      </c>
      <c r="L1508" s="33" t="n"/>
    </row>
    <row r="1509">
      <c r="A1509" t="inlineStr">
        <is>
          <t>CLM516972</t>
        </is>
      </c>
      <c r="B1509" t="inlineStr">
        <is>
          <t>ENC116972</t>
        </is>
      </c>
      <c r="C1509" t="inlineStr">
        <is>
          <t>Workers' Compensation</t>
        </is>
      </c>
      <c r="D1509" t="inlineStr">
        <is>
          <t>Emergency</t>
        </is>
      </c>
      <c r="E1509" s="29" t="n">
        <v>45859</v>
      </c>
      <c r="F1509" s="29" t="n">
        <v>45861</v>
      </c>
      <c r="G1509" s="31" t="n">
        <v>694.76</v>
      </c>
      <c r="H1509" s="31" t="n">
        <v>403.85</v>
      </c>
      <c r="I1509" t="inlineStr">
        <is>
          <t>Paid</t>
        </is>
      </c>
      <c r="K1509" s="29" t="n">
        <v>45895</v>
      </c>
      <c r="L1509" s="33" t="n"/>
    </row>
    <row r="1510">
      <c r="A1510" t="inlineStr">
        <is>
          <t>CLM516977</t>
        </is>
      </c>
      <c r="B1510" t="inlineStr">
        <is>
          <t>ENC116977</t>
        </is>
      </c>
      <c r="C1510" t="inlineStr">
        <is>
          <t>Keystone Health Partners</t>
        </is>
      </c>
      <c r="D1510" t="inlineStr">
        <is>
          <t>Outpatient</t>
        </is>
      </c>
      <c r="E1510" s="29" t="n">
        <v>45859</v>
      </c>
      <c r="F1510" s="29" t="n">
        <v>45861</v>
      </c>
      <c r="G1510" s="31" t="n">
        <v>351.62</v>
      </c>
      <c r="H1510" s="31" t="n">
        <v>155.67</v>
      </c>
      <c r="I1510" t="inlineStr">
        <is>
          <t>Paid</t>
        </is>
      </c>
      <c r="K1510" s="29" t="n">
        <v>45881</v>
      </c>
      <c r="L1510" s="33" t="n"/>
    </row>
    <row r="1511">
      <c r="A1511" t="inlineStr">
        <is>
          <t>CLM516979</t>
        </is>
      </c>
      <c r="B1511" t="inlineStr">
        <is>
          <t>ENC116979</t>
        </is>
      </c>
      <c r="C1511" t="inlineStr">
        <is>
          <t>Medicare</t>
        </is>
      </c>
      <c r="D1511" t="inlineStr">
        <is>
          <t>Outpatient</t>
        </is>
      </c>
      <c r="E1511" s="29" t="n">
        <v>45859</v>
      </c>
      <c r="F1511" s="29" t="n">
        <v>45869</v>
      </c>
      <c r="G1511" s="31" t="n">
        <v>227.07</v>
      </c>
      <c r="H1511" s="31" t="n">
        <v>60.44</v>
      </c>
      <c r="I1511" t="inlineStr">
        <is>
          <t>Paid</t>
        </is>
      </c>
      <c r="K1511" s="29" t="n">
        <v>45879</v>
      </c>
      <c r="L1511" s="33" t="n"/>
    </row>
    <row r="1512">
      <c r="A1512" t="inlineStr">
        <is>
          <t>CLM516981</t>
        </is>
      </c>
      <c r="B1512" t="inlineStr">
        <is>
          <t>ENC116981</t>
        </is>
      </c>
      <c r="C1512" t="inlineStr">
        <is>
          <t>State Medicaid</t>
        </is>
      </c>
      <c r="D1512" t="inlineStr">
        <is>
          <t>Emergency</t>
        </is>
      </c>
      <c r="E1512" s="29" t="n">
        <v>45859</v>
      </c>
      <c r="F1512" s="29" t="n">
        <v>45862</v>
      </c>
      <c r="G1512" s="31" t="n">
        <v>6350.38</v>
      </c>
      <c r="H1512" s="31" t="n">
        <v>1588.28</v>
      </c>
      <c r="I1512" t="inlineStr">
        <is>
          <t>Paid</t>
        </is>
      </c>
      <c r="K1512" s="29" t="n">
        <v>45904</v>
      </c>
      <c r="L1512" s="33" t="n"/>
    </row>
    <row r="1513">
      <c r="A1513" t="inlineStr">
        <is>
          <t>CLM516984</t>
        </is>
      </c>
      <c r="B1513" t="inlineStr">
        <is>
          <t>ENC116984</t>
        </is>
      </c>
      <c r="C1513" t="inlineStr">
        <is>
          <t>State Medicaid</t>
        </is>
      </c>
      <c r="D1513" t="inlineStr">
        <is>
          <t>Emergency</t>
        </is>
      </c>
      <c r="E1513" s="29" t="n">
        <v>45859</v>
      </c>
      <c r="F1513" s="29" t="n">
        <v>45862</v>
      </c>
      <c r="G1513" s="31" t="n">
        <v>1334.57</v>
      </c>
      <c r="H1513" s="31" t="n">
        <v>327.55</v>
      </c>
      <c r="I1513" t="inlineStr">
        <is>
          <t>Paid</t>
        </is>
      </c>
      <c r="K1513" s="29" t="n">
        <v>45884</v>
      </c>
      <c r="L1513" s="33" t="n"/>
    </row>
    <row r="1514">
      <c r="A1514" t="inlineStr">
        <is>
          <t>CLM516987</t>
        </is>
      </c>
      <c r="B1514" t="inlineStr">
        <is>
          <t>ENC116987</t>
        </is>
      </c>
      <c r="C1514" t="inlineStr">
        <is>
          <t>Silverline Medicare Advantage</t>
        </is>
      </c>
      <c r="D1514" t="inlineStr">
        <is>
          <t>Emergency</t>
        </is>
      </c>
      <c r="E1514" s="29" t="n">
        <v>45859</v>
      </c>
      <c r="F1514" s="29" t="n">
        <v>45862</v>
      </c>
      <c r="G1514" s="31" t="n">
        <v>1068.77</v>
      </c>
      <c r="H1514" s="31" t="n">
        <v>334.65</v>
      </c>
      <c r="I1514" t="inlineStr">
        <is>
          <t>Paid</t>
        </is>
      </c>
      <c r="K1514" s="29" t="n">
        <v>45882</v>
      </c>
      <c r="L1514" s="33" t="n"/>
    </row>
    <row r="1515">
      <c r="A1515" t="inlineStr">
        <is>
          <t>CLM516988</t>
        </is>
      </c>
      <c r="B1515" t="inlineStr">
        <is>
          <t>ENC116988</t>
        </is>
      </c>
      <c r="C1515" t="inlineStr">
        <is>
          <t>Evergreen Mutual Insurance</t>
        </is>
      </c>
      <c r="D1515" t="inlineStr">
        <is>
          <t>Emergency</t>
        </is>
      </c>
      <c r="E1515" s="29" t="n">
        <v>45859</v>
      </c>
      <c r="F1515" s="29" t="n">
        <v>45863</v>
      </c>
      <c r="G1515" s="31" t="n">
        <v>1704.63</v>
      </c>
      <c r="H1515" s="31" t="n">
        <v>698.03</v>
      </c>
      <c r="I1515" t="inlineStr">
        <is>
          <t>Paid</t>
        </is>
      </c>
      <c r="K1515" s="29" t="n">
        <v>45890</v>
      </c>
      <c r="L1515" s="33" t="n"/>
    </row>
    <row r="1516">
      <c r="A1516" t="inlineStr">
        <is>
          <t>CLM516995</t>
        </is>
      </c>
      <c r="B1516" t="inlineStr">
        <is>
          <t>ENC116995</t>
        </is>
      </c>
      <c r="C1516" t="inlineStr">
        <is>
          <t>Medicare</t>
        </is>
      </c>
      <c r="D1516" t="inlineStr">
        <is>
          <t>Outpatient</t>
        </is>
      </c>
      <c r="E1516" s="29" t="n">
        <v>45860</v>
      </c>
      <c r="F1516" s="29" t="n">
        <v>45863</v>
      </c>
      <c r="G1516" s="31" t="n">
        <v>177.67</v>
      </c>
      <c r="H1516" s="31" t="n">
        <v>52.12</v>
      </c>
      <c r="I1516" t="inlineStr">
        <is>
          <t>Paid</t>
        </is>
      </c>
      <c r="K1516" s="29" t="n">
        <v>45878</v>
      </c>
      <c r="L1516" s="33" t="n"/>
    </row>
    <row r="1517">
      <c r="A1517" t="inlineStr">
        <is>
          <t>CLM516998</t>
        </is>
      </c>
      <c r="B1517" t="inlineStr">
        <is>
          <t>ENC116998</t>
        </is>
      </c>
      <c r="C1517" t="inlineStr">
        <is>
          <t>Medicare</t>
        </is>
      </c>
      <c r="D1517" t="inlineStr">
        <is>
          <t>Emergency</t>
        </is>
      </c>
      <c r="E1517" s="29" t="n">
        <v>45860</v>
      </c>
      <c r="F1517" s="29" t="n">
        <v>45865</v>
      </c>
      <c r="G1517" s="31" t="n">
        <v>3024.2</v>
      </c>
      <c r="H1517" s="31" t="n">
        <v>0</v>
      </c>
      <c r="I1517" t="inlineStr">
        <is>
          <t>Denied</t>
        </is>
      </c>
      <c r="J1517" t="inlineStr">
        <is>
          <t>Authorization Required</t>
        </is>
      </c>
      <c r="L1517" s="33" t="n"/>
    </row>
    <row r="1518">
      <c r="A1518" t="inlineStr">
        <is>
          <t>CLM517000</t>
        </is>
      </c>
      <c r="B1518" t="inlineStr">
        <is>
          <t>ENC117000</t>
        </is>
      </c>
      <c r="C1518" t="inlineStr">
        <is>
          <t>Medicare</t>
        </is>
      </c>
      <c r="D1518" t="inlineStr">
        <is>
          <t>Outpatient</t>
        </is>
      </c>
      <c r="E1518" s="29" t="n">
        <v>45860</v>
      </c>
      <c r="F1518" s="29" t="n">
        <v>45862</v>
      </c>
      <c r="G1518" s="31" t="n">
        <v>536.2</v>
      </c>
      <c r="H1518" s="31" t="n">
        <v>143.44</v>
      </c>
      <c r="I1518" t="inlineStr">
        <is>
          <t>Paid</t>
        </is>
      </c>
      <c r="K1518" s="29" t="n">
        <v>45873</v>
      </c>
      <c r="L1518" s="33" t="n"/>
    </row>
    <row r="1519">
      <c r="A1519" t="inlineStr">
        <is>
          <t>CLM517002</t>
        </is>
      </c>
      <c r="B1519" t="inlineStr">
        <is>
          <t>ENC117002</t>
        </is>
      </c>
      <c r="C1519" t="inlineStr">
        <is>
          <t>Summit Choice PPO</t>
        </is>
      </c>
      <c r="D1519" t="inlineStr">
        <is>
          <t>Emergency</t>
        </is>
      </c>
      <c r="E1519" s="29" t="n">
        <v>45860</v>
      </c>
      <c r="F1519" s="29" t="n">
        <v>45964</v>
      </c>
      <c r="G1519" s="31" t="n">
        <v>3793.84</v>
      </c>
      <c r="H1519" s="31" t="n">
        <v>0</v>
      </c>
      <c r="I1519" t="inlineStr">
        <is>
          <t>Denied</t>
        </is>
      </c>
      <c r="J1519" t="inlineStr">
        <is>
          <t>Timely Filing</t>
        </is>
      </c>
      <c r="L1519" s="33" t="n"/>
    </row>
    <row r="1520">
      <c r="A1520" t="inlineStr">
        <is>
          <t>CLM517005</t>
        </is>
      </c>
      <c r="B1520" t="inlineStr">
        <is>
          <t>ENC117005</t>
        </is>
      </c>
      <c r="C1520" t="inlineStr">
        <is>
          <t>Keystone Health Partners</t>
        </is>
      </c>
      <c r="D1520" t="inlineStr">
        <is>
          <t>Outpatient</t>
        </is>
      </c>
      <c r="E1520" s="29" t="n">
        <v>45860</v>
      </c>
      <c r="F1520" s="29" t="n">
        <v>45861</v>
      </c>
      <c r="G1520" s="31" t="n">
        <v>322.97</v>
      </c>
      <c r="H1520" s="31" t="n">
        <v>0</v>
      </c>
      <c r="I1520" t="inlineStr">
        <is>
          <t>Appealed</t>
        </is>
      </c>
      <c r="J1520" t="inlineStr">
        <is>
          <t>Coding Error</t>
        </is>
      </c>
      <c r="L1520" s="33" t="n"/>
    </row>
    <row r="1521">
      <c r="A1521" t="inlineStr">
        <is>
          <t>CLM517011</t>
        </is>
      </c>
      <c r="B1521" t="inlineStr">
        <is>
          <t>ENC117011</t>
        </is>
      </c>
      <c r="C1521" t="inlineStr">
        <is>
          <t>Silverline Medicare Advantage</t>
        </is>
      </c>
      <c r="D1521" t="inlineStr">
        <is>
          <t>Inpatient</t>
        </is>
      </c>
      <c r="E1521" s="29" t="n">
        <v>45865</v>
      </c>
      <c r="F1521" s="29" t="n">
        <v>45871</v>
      </c>
      <c r="G1521" s="31" t="n">
        <v>21822.07</v>
      </c>
      <c r="H1521" s="31" t="n">
        <v>7182.58</v>
      </c>
      <c r="I1521" t="inlineStr">
        <is>
          <t>Paid</t>
        </is>
      </c>
      <c r="K1521" s="29" t="n">
        <v>45903</v>
      </c>
      <c r="L1521" s="33" t="n"/>
    </row>
    <row r="1522">
      <c r="A1522" t="inlineStr">
        <is>
          <t>CLM517027</t>
        </is>
      </c>
      <c r="B1522" t="inlineStr">
        <is>
          <t>ENC117027</t>
        </is>
      </c>
      <c r="C1522" t="inlineStr">
        <is>
          <t>Summit Choice PPO</t>
        </is>
      </c>
      <c r="D1522" t="inlineStr">
        <is>
          <t>Inpatient</t>
        </is>
      </c>
      <c r="E1522" s="29" t="n">
        <v>45862</v>
      </c>
      <c r="F1522" s="29" t="n">
        <v>45866</v>
      </c>
      <c r="G1522" s="31" t="n">
        <v>19018.18</v>
      </c>
      <c r="H1522" s="31" t="n">
        <v>9094.42</v>
      </c>
      <c r="I1522" t="inlineStr">
        <is>
          <t>Paid</t>
        </is>
      </c>
      <c r="K1522" s="29" t="n">
        <v>45884</v>
      </c>
      <c r="L1522" s="33" t="n"/>
    </row>
    <row r="1523">
      <c r="A1523" t="inlineStr">
        <is>
          <t>CLM517033</t>
        </is>
      </c>
      <c r="B1523" t="inlineStr">
        <is>
          <t>ENC117033</t>
        </is>
      </c>
      <c r="C1523" t="inlineStr">
        <is>
          <t>Medicare</t>
        </is>
      </c>
      <c r="D1523" t="inlineStr">
        <is>
          <t>Outpatient</t>
        </is>
      </c>
      <c r="E1523" s="29" t="n">
        <v>45861</v>
      </c>
      <c r="F1523" s="29" t="n">
        <v>45866</v>
      </c>
      <c r="G1523" s="31" t="n">
        <v>346.8</v>
      </c>
      <c r="H1523" s="31" t="n">
        <v>103.63</v>
      </c>
      <c r="I1523" t="inlineStr">
        <is>
          <t>Paid</t>
        </is>
      </c>
      <c r="K1523" s="29" t="n">
        <v>45883</v>
      </c>
      <c r="L1523" s="33" t="n"/>
    </row>
    <row r="1524">
      <c r="A1524" t="inlineStr">
        <is>
          <t>CLM517035</t>
        </is>
      </c>
      <c r="B1524" t="inlineStr">
        <is>
          <t>ENC117035</t>
        </is>
      </c>
      <c r="C1524" t="inlineStr">
        <is>
          <t>Medicare</t>
        </is>
      </c>
      <c r="D1524" t="inlineStr">
        <is>
          <t>Emergency</t>
        </is>
      </c>
      <c r="E1524" s="29" t="n">
        <v>45861</v>
      </c>
      <c r="F1524" s="29" t="n">
        <v>45865</v>
      </c>
      <c r="G1524" s="31" t="n">
        <v>4379.19</v>
      </c>
      <c r="H1524" s="31" t="n">
        <v>1213.35</v>
      </c>
      <c r="I1524" t="inlineStr">
        <is>
          <t>Paid</t>
        </is>
      </c>
      <c r="K1524" s="29" t="n">
        <v>45881</v>
      </c>
      <c r="L1524" s="33" t="n"/>
    </row>
    <row r="1525">
      <c r="A1525" t="inlineStr">
        <is>
          <t>CLM517037</t>
        </is>
      </c>
      <c r="B1525" t="inlineStr">
        <is>
          <t>ENC117037</t>
        </is>
      </c>
      <c r="C1525" t="inlineStr">
        <is>
          <t>Keystone Health Partners</t>
        </is>
      </c>
      <c r="D1525" t="inlineStr">
        <is>
          <t>Outpatient</t>
        </is>
      </c>
      <c r="E1525" s="29" t="n">
        <v>45861</v>
      </c>
      <c r="F1525" s="29" t="n">
        <v>45865</v>
      </c>
      <c r="G1525" s="31" t="n">
        <v>431.16</v>
      </c>
      <c r="H1525" s="31" t="n">
        <v>134.05</v>
      </c>
      <c r="I1525" t="inlineStr">
        <is>
          <t>Partially Paid</t>
        </is>
      </c>
      <c r="J1525" t="inlineStr">
        <is>
          <t>Coding Error</t>
        </is>
      </c>
      <c r="K1525" s="29" t="n">
        <v>45887</v>
      </c>
      <c r="L1525" s="33" t="n"/>
    </row>
    <row r="1526">
      <c r="A1526" t="inlineStr">
        <is>
          <t>CLM517047</t>
        </is>
      </c>
      <c r="B1526" t="inlineStr">
        <is>
          <t>ENC117047</t>
        </is>
      </c>
      <c r="C1526" t="inlineStr">
        <is>
          <t>Silverline Medicare Advantage</t>
        </is>
      </c>
      <c r="D1526" t="inlineStr">
        <is>
          <t>Outpatient</t>
        </is>
      </c>
      <c r="E1526" s="29" t="n">
        <v>45861</v>
      </c>
      <c r="F1526" s="29" t="n">
        <v>45866</v>
      </c>
      <c r="G1526" s="31" t="n">
        <v>324.63</v>
      </c>
      <c r="H1526" s="31" t="n">
        <v>109.9</v>
      </c>
      <c r="I1526" t="inlineStr">
        <is>
          <t>Paid</t>
        </is>
      </c>
      <c r="K1526" s="29" t="n">
        <v>45894</v>
      </c>
      <c r="L1526" s="33" t="n"/>
    </row>
    <row r="1527">
      <c r="A1527" t="inlineStr">
        <is>
          <t>CLM517051</t>
        </is>
      </c>
      <c r="B1527" t="inlineStr">
        <is>
          <t>ENC117051</t>
        </is>
      </c>
      <c r="C1527" t="inlineStr">
        <is>
          <t>Medicare</t>
        </is>
      </c>
      <c r="D1527" t="inlineStr">
        <is>
          <t>Outpatient</t>
        </is>
      </c>
      <c r="E1527" s="29" t="n">
        <v>45861</v>
      </c>
      <c r="F1527" s="29" t="n">
        <v>45863</v>
      </c>
      <c r="G1527" s="31" t="n">
        <v>362.33</v>
      </c>
      <c r="H1527" s="31" t="n">
        <v>102.73</v>
      </c>
      <c r="I1527" t="inlineStr">
        <is>
          <t>Paid</t>
        </is>
      </c>
      <c r="K1527" s="29" t="n">
        <v>45887</v>
      </c>
      <c r="L1527" s="33" t="n"/>
    </row>
    <row r="1528">
      <c r="A1528" t="inlineStr">
        <is>
          <t>CLM517053</t>
        </is>
      </c>
      <c r="B1528" t="inlineStr">
        <is>
          <t>ENC117053</t>
        </is>
      </c>
      <c r="C1528" t="inlineStr">
        <is>
          <t>Summit Choice PPO</t>
        </is>
      </c>
      <c r="D1528" t="inlineStr">
        <is>
          <t>Outpatient</t>
        </is>
      </c>
      <c r="E1528" s="29" t="n">
        <v>45861</v>
      </c>
      <c r="F1528" s="29" t="n">
        <v>45865</v>
      </c>
      <c r="G1528" s="31" t="n">
        <v>412.64</v>
      </c>
      <c r="H1528" s="31" t="n">
        <v>211.22</v>
      </c>
      <c r="I1528" t="inlineStr">
        <is>
          <t>Paid</t>
        </is>
      </c>
      <c r="K1528" s="29" t="n">
        <v>45896</v>
      </c>
      <c r="L1528" s="33" t="n"/>
    </row>
    <row r="1529">
      <c r="A1529" t="inlineStr">
        <is>
          <t>CLM517056</t>
        </is>
      </c>
      <c r="B1529" t="inlineStr">
        <is>
          <t>ENC117056</t>
        </is>
      </c>
      <c r="C1529" t="inlineStr">
        <is>
          <t>Keystone Health Partners</t>
        </is>
      </c>
      <c r="D1529" t="inlineStr">
        <is>
          <t>Outpatient</t>
        </is>
      </c>
      <c r="E1529" s="29" t="n">
        <v>45861</v>
      </c>
      <c r="F1529" s="29" t="n">
        <v>45865</v>
      </c>
      <c r="G1529" s="31" t="n">
        <v>700.42</v>
      </c>
      <c r="H1529" s="31" t="n">
        <v>298.46</v>
      </c>
      <c r="I1529" t="inlineStr">
        <is>
          <t>Paid</t>
        </is>
      </c>
      <c r="K1529" s="29" t="n">
        <v>45884</v>
      </c>
      <c r="L1529" s="33" t="n"/>
    </row>
    <row r="1530">
      <c r="A1530" t="inlineStr">
        <is>
          <t>CLM517058</t>
        </is>
      </c>
      <c r="B1530" t="inlineStr">
        <is>
          <t>ENC117058</t>
        </is>
      </c>
      <c r="C1530" t="inlineStr">
        <is>
          <t>Evergreen Mutual Insurance</t>
        </is>
      </c>
      <c r="D1530" t="inlineStr">
        <is>
          <t>Emergency</t>
        </is>
      </c>
      <c r="E1530" s="29" t="n">
        <v>45861</v>
      </c>
      <c r="F1530" s="29" t="n">
        <v>45862</v>
      </c>
      <c r="G1530" s="31" t="n">
        <v>5001.37</v>
      </c>
      <c r="H1530" s="31" t="n">
        <v>2244.22</v>
      </c>
      <c r="I1530" t="inlineStr">
        <is>
          <t>Paid</t>
        </is>
      </c>
      <c r="K1530" s="29" t="n">
        <v>45885</v>
      </c>
      <c r="L1530" s="33" t="n"/>
    </row>
    <row r="1531">
      <c r="A1531" t="inlineStr">
        <is>
          <t>CLM517064</t>
        </is>
      </c>
      <c r="B1531" t="inlineStr">
        <is>
          <t>ENC117064</t>
        </is>
      </c>
      <c r="C1531" t="inlineStr">
        <is>
          <t>Medicare</t>
        </is>
      </c>
      <c r="D1531" t="inlineStr">
        <is>
          <t>Emergency</t>
        </is>
      </c>
      <c r="E1531" s="29" t="n">
        <v>45861</v>
      </c>
      <c r="F1531" s="29" t="n">
        <v>45864</v>
      </c>
      <c r="G1531" s="31" t="n">
        <v>1484.56</v>
      </c>
      <c r="H1531" s="31" t="n">
        <v>402</v>
      </c>
      <c r="I1531" t="inlineStr">
        <is>
          <t>Paid</t>
        </is>
      </c>
      <c r="K1531" s="29" t="n">
        <v>45874</v>
      </c>
      <c r="L1531" s="33" t="n"/>
    </row>
    <row r="1532">
      <c r="A1532" t="inlineStr">
        <is>
          <t>CLM517065</t>
        </is>
      </c>
      <c r="B1532" t="inlineStr">
        <is>
          <t>ENC117065</t>
        </is>
      </c>
      <c r="C1532" t="inlineStr">
        <is>
          <t>State Medicaid</t>
        </is>
      </c>
      <c r="D1532" t="inlineStr">
        <is>
          <t>Emergency</t>
        </is>
      </c>
      <c r="E1532" s="29" t="n">
        <v>45862</v>
      </c>
      <c r="F1532" s="29" t="n">
        <v>45864</v>
      </c>
      <c r="G1532" s="31" t="n">
        <v>4909.1</v>
      </c>
      <c r="H1532" s="31" t="n">
        <v>1106.59</v>
      </c>
      <c r="I1532" t="inlineStr">
        <is>
          <t>Paid</t>
        </is>
      </c>
      <c r="K1532" s="29" t="n">
        <v>45893</v>
      </c>
      <c r="L1532" s="33" t="n"/>
    </row>
    <row r="1533">
      <c r="A1533" t="inlineStr">
        <is>
          <t>CLM517069</t>
        </is>
      </c>
      <c r="B1533" t="inlineStr">
        <is>
          <t>ENC117069</t>
        </is>
      </c>
      <c r="C1533" t="inlineStr">
        <is>
          <t>Medicare</t>
        </is>
      </c>
      <c r="D1533" t="inlineStr">
        <is>
          <t>Outpatient</t>
        </is>
      </c>
      <c r="E1533" s="29" t="n">
        <v>45862</v>
      </c>
      <c r="F1533" s="29" t="n">
        <v>45874</v>
      </c>
      <c r="G1533" s="31" t="n">
        <v>256.33</v>
      </c>
      <c r="H1533" s="31" t="n">
        <v>62.07</v>
      </c>
      <c r="I1533" t="inlineStr">
        <is>
          <t>Paid</t>
        </is>
      </c>
      <c r="K1533" s="29" t="n">
        <v>45889</v>
      </c>
      <c r="L1533" s="33" t="n"/>
    </row>
    <row r="1534">
      <c r="A1534" t="inlineStr">
        <is>
          <t>CLM517077</t>
        </is>
      </c>
      <c r="B1534" t="inlineStr">
        <is>
          <t>ENC117077</t>
        </is>
      </c>
      <c r="C1534" t="inlineStr">
        <is>
          <t>State Medicaid</t>
        </is>
      </c>
      <c r="D1534" t="inlineStr">
        <is>
          <t>Inpatient</t>
        </is>
      </c>
      <c r="E1534" s="29" t="n">
        <v>45865</v>
      </c>
      <c r="F1534" s="29" t="n">
        <v>45873</v>
      </c>
      <c r="G1534" s="31" t="n">
        <v>21168.03</v>
      </c>
      <c r="H1534" s="31" t="n">
        <v>5526.47</v>
      </c>
      <c r="I1534" t="inlineStr">
        <is>
          <t>Paid</t>
        </is>
      </c>
      <c r="K1534" s="29" t="n">
        <v>45906</v>
      </c>
      <c r="L1534" s="33" t="n"/>
    </row>
    <row r="1535">
      <c r="A1535" t="inlineStr">
        <is>
          <t>CLM517078</t>
        </is>
      </c>
      <c r="B1535" t="inlineStr">
        <is>
          <t>ENC117078</t>
        </is>
      </c>
      <c r="C1535" t="inlineStr">
        <is>
          <t>State Medicaid</t>
        </is>
      </c>
      <c r="D1535" t="inlineStr">
        <is>
          <t>Emergency</t>
        </is>
      </c>
      <c r="E1535" s="29" t="n">
        <v>45862</v>
      </c>
      <c r="F1535" s="29" t="n">
        <v>45868</v>
      </c>
      <c r="G1535" s="31" t="n">
        <v>5400.43</v>
      </c>
      <c r="H1535" s="31" t="n">
        <v>1452.98</v>
      </c>
      <c r="I1535" t="inlineStr">
        <is>
          <t>Paid</t>
        </is>
      </c>
      <c r="K1535" s="29" t="n">
        <v>45924</v>
      </c>
      <c r="L1535" s="33" t="n"/>
    </row>
    <row r="1536">
      <c r="A1536" t="inlineStr">
        <is>
          <t>CLM517080</t>
        </is>
      </c>
      <c r="B1536" t="inlineStr">
        <is>
          <t>ENC117080</t>
        </is>
      </c>
      <c r="C1536" t="inlineStr">
        <is>
          <t>Evergreen Mutual Insurance</t>
        </is>
      </c>
      <c r="D1536" t="inlineStr">
        <is>
          <t>Outpatient</t>
        </is>
      </c>
      <c r="E1536" s="29" t="n">
        <v>45862</v>
      </c>
      <c r="F1536" s="29" t="n">
        <v>45866</v>
      </c>
      <c r="G1536" s="31" t="n">
        <v>120.13</v>
      </c>
      <c r="H1536" s="31" t="n">
        <v>49.27</v>
      </c>
      <c r="I1536" t="inlineStr">
        <is>
          <t>Paid</t>
        </is>
      </c>
      <c r="K1536" s="29" t="n">
        <v>45889</v>
      </c>
      <c r="L1536" s="33" t="n"/>
    </row>
    <row r="1537">
      <c r="A1537" t="inlineStr">
        <is>
          <t>CLM517096</t>
        </is>
      </c>
      <c r="B1537" t="inlineStr">
        <is>
          <t>ENC117096</t>
        </is>
      </c>
      <c r="C1537" t="inlineStr">
        <is>
          <t>Medicare</t>
        </is>
      </c>
      <c r="D1537" t="inlineStr">
        <is>
          <t>Inpatient</t>
        </is>
      </c>
      <c r="E1537" s="29" t="n">
        <v>45874</v>
      </c>
      <c r="F1537" s="29" t="n">
        <v>45879</v>
      </c>
      <c r="G1537" s="31" t="n">
        <v>147040.01</v>
      </c>
      <c r="H1537" s="31" t="n">
        <v>45105.79</v>
      </c>
      <c r="I1537" t="inlineStr">
        <is>
          <t>Paid</t>
        </is>
      </c>
      <c r="K1537" s="29" t="n">
        <v>45896</v>
      </c>
      <c r="L1537" s="33" t="n"/>
    </row>
    <row r="1538">
      <c r="A1538" t="inlineStr">
        <is>
          <t>CLM517100</t>
        </is>
      </c>
      <c r="B1538" t="inlineStr">
        <is>
          <t>ENC117100</t>
        </is>
      </c>
      <c r="C1538" t="inlineStr">
        <is>
          <t>Evergreen Mutual Insurance</t>
        </is>
      </c>
      <c r="D1538" t="inlineStr">
        <is>
          <t>Emergency</t>
        </is>
      </c>
      <c r="E1538" s="29" t="n">
        <v>45863</v>
      </c>
      <c r="F1538" s="29" t="n">
        <v>45864</v>
      </c>
      <c r="G1538" s="31" t="n">
        <v>6436.92</v>
      </c>
      <c r="H1538" s="31" t="n">
        <v>3263.62</v>
      </c>
      <c r="I1538" t="inlineStr">
        <is>
          <t>Paid</t>
        </is>
      </c>
      <c r="K1538" s="29" t="n">
        <v>45883</v>
      </c>
      <c r="L1538" s="33" t="n"/>
    </row>
    <row r="1539">
      <c r="A1539" t="inlineStr">
        <is>
          <t>CLM517106</t>
        </is>
      </c>
      <c r="B1539" t="inlineStr">
        <is>
          <t>ENC117106</t>
        </is>
      </c>
      <c r="C1539" t="inlineStr">
        <is>
          <t>State Medicaid</t>
        </is>
      </c>
      <c r="D1539" t="inlineStr">
        <is>
          <t>Inpatient</t>
        </is>
      </c>
      <c r="E1539" s="29" t="n">
        <v>45866</v>
      </c>
      <c r="F1539" s="29" t="n">
        <v>45872</v>
      </c>
      <c r="G1539" s="31" t="n">
        <v>17705.02</v>
      </c>
      <c r="H1539" s="31" t="n">
        <v>4270.81</v>
      </c>
      <c r="I1539" t="inlineStr">
        <is>
          <t>Paid</t>
        </is>
      </c>
      <c r="K1539" s="29" t="n">
        <v>45911</v>
      </c>
      <c r="L1539" s="33" t="n"/>
    </row>
    <row r="1540">
      <c r="A1540" t="inlineStr">
        <is>
          <t>CLM517110</t>
        </is>
      </c>
      <c r="B1540" t="inlineStr">
        <is>
          <t>ENC117110</t>
        </is>
      </c>
      <c r="C1540" t="inlineStr">
        <is>
          <t>Medicare</t>
        </is>
      </c>
      <c r="D1540" t="inlineStr">
        <is>
          <t>Emergency</t>
        </is>
      </c>
      <c r="E1540" s="29" t="n">
        <v>45863</v>
      </c>
      <c r="F1540" s="29" t="n">
        <v>45866</v>
      </c>
      <c r="G1540" s="31" t="n">
        <v>4427.44</v>
      </c>
      <c r="H1540" s="31" t="n">
        <v>0</v>
      </c>
      <c r="I1540" t="inlineStr">
        <is>
          <t>Appealed</t>
        </is>
      </c>
      <c r="J1540" t="inlineStr">
        <is>
          <t>Authorization Required</t>
        </is>
      </c>
      <c r="L1540" s="33" t="n"/>
    </row>
    <row r="1541">
      <c r="A1541" t="inlineStr">
        <is>
          <t>CLM517112</t>
        </is>
      </c>
      <c r="B1541" t="inlineStr">
        <is>
          <t>ENC117112</t>
        </is>
      </c>
      <c r="C1541" t="inlineStr">
        <is>
          <t>Silverline Medicare Advantage</t>
        </is>
      </c>
      <c r="D1541" t="inlineStr">
        <is>
          <t>Observation</t>
        </is>
      </c>
      <c r="E1541" s="29" t="n">
        <v>45864</v>
      </c>
      <c r="F1541" s="29" t="n">
        <v>45865</v>
      </c>
      <c r="G1541" s="31" t="n">
        <v>6804.63</v>
      </c>
      <c r="H1541" s="31" t="n">
        <v>1919.68</v>
      </c>
      <c r="I1541" t="inlineStr">
        <is>
          <t>Paid</t>
        </is>
      </c>
      <c r="K1541" s="29" t="n">
        <v>45882</v>
      </c>
      <c r="L1541" s="33" t="n"/>
    </row>
    <row r="1542">
      <c r="A1542" t="inlineStr">
        <is>
          <t>CLM517125</t>
        </is>
      </c>
      <c r="B1542" t="inlineStr">
        <is>
          <t>ENC117125</t>
        </is>
      </c>
      <c r="C1542" t="inlineStr">
        <is>
          <t>Medicare</t>
        </is>
      </c>
      <c r="D1542" t="inlineStr">
        <is>
          <t>Outpatient</t>
        </is>
      </c>
      <c r="E1542" s="29" t="n">
        <v>45863</v>
      </c>
      <c r="F1542" s="29" t="n">
        <v>45869</v>
      </c>
      <c r="G1542" s="31" t="n">
        <v>239.73</v>
      </c>
      <c r="H1542" s="31" t="n">
        <v>61.41</v>
      </c>
      <c r="I1542" t="inlineStr">
        <is>
          <t>Paid</t>
        </is>
      </c>
      <c r="K1542" s="29" t="n">
        <v>45880</v>
      </c>
      <c r="L1542" s="33" t="n"/>
    </row>
    <row r="1543">
      <c r="A1543" t="inlineStr">
        <is>
          <t>CLM517128</t>
        </is>
      </c>
      <c r="B1543" t="inlineStr">
        <is>
          <t>ENC117128</t>
        </is>
      </c>
      <c r="C1543" t="inlineStr">
        <is>
          <t>Medicare</t>
        </is>
      </c>
      <c r="D1543" t="inlineStr">
        <is>
          <t>Emergency</t>
        </is>
      </c>
      <c r="E1543" s="29" t="n">
        <v>45863</v>
      </c>
      <c r="F1543" s="29" t="n">
        <v>45866</v>
      </c>
      <c r="G1543" s="31" t="n">
        <v>3454.27</v>
      </c>
      <c r="H1543" s="31" t="n">
        <v>981.6900000000001</v>
      </c>
      <c r="I1543" t="inlineStr">
        <is>
          <t>Paid</t>
        </is>
      </c>
      <c r="K1543" s="29" t="n">
        <v>45883</v>
      </c>
      <c r="L1543" s="33" t="n"/>
    </row>
    <row r="1544">
      <c r="A1544" t="inlineStr">
        <is>
          <t>CLM517142</t>
        </is>
      </c>
      <c r="B1544" t="inlineStr">
        <is>
          <t>ENC117142</t>
        </is>
      </c>
      <c r="C1544" t="inlineStr">
        <is>
          <t>Keystone Health Partners</t>
        </is>
      </c>
      <c r="D1544" t="inlineStr">
        <is>
          <t>Emergency</t>
        </is>
      </c>
      <c r="E1544" s="29" t="n">
        <v>45864</v>
      </c>
      <c r="F1544" s="29" t="n">
        <v>45866</v>
      </c>
      <c r="G1544" s="31" t="n">
        <v>3391.43</v>
      </c>
      <c r="H1544" s="31" t="n">
        <v>1588.87</v>
      </c>
      <c r="I1544" t="inlineStr">
        <is>
          <t>Paid</t>
        </is>
      </c>
      <c r="K1544" s="29" t="n">
        <v>45897</v>
      </c>
      <c r="L1544" s="33" t="n"/>
    </row>
    <row r="1545">
      <c r="A1545" t="inlineStr">
        <is>
          <t>CLM517145</t>
        </is>
      </c>
      <c r="B1545" t="inlineStr">
        <is>
          <t>ENC117145</t>
        </is>
      </c>
      <c r="C1545" t="inlineStr">
        <is>
          <t>Evergreen Mutual Insurance</t>
        </is>
      </c>
      <c r="D1545" t="inlineStr">
        <is>
          <t>Emergency</t>
        </is>
      </c>
      <c r="E1545" s="29" t="n">
        <v>45864</v>
      </c>
      <c r="F1545" s="29" t="n">
        <v>45870</v>
      </c>
      <c r="G1545" s="31" t="n">
        <v>5996.83</v>
      </c>
      <c r="H1545" s="31" t="n">
        <v>0</v>
      </c>
      <c r="I1545" t="inlineStr">
        <is>
          <t>Denied</t>
        </is>
      </c>
      <c r="J1545" t="inlineStr">
        <is>
          <t>Authorization Required</t>
        </is>
      </c>
      <c r="L1545" s="33" t="n"/>
    </row>
    <row r="1546">
      <c r="A1546" t="inlineStr">
        <is>
          <t>CLM517149</t>
        </is>
      </c>
      <c r="B1546" t="inlineStr">
        <is>
          <t>ENC117149</t>
        </is>
      </c>
      <c r="C1546" t="inlineStr">
        <is>
          <t>Evergreen Mutual Insurance</t>
        </is>
      </c>
      <c r="D1546" t="inlineStr">
        <is>
          <t>Emergency</t>
        </is>
      </c>
      <c r="E1546" s="29" t="n">
        <v>45865</v>
      </c>
      <c r="F1546" s="29" t="n">
        <v>45870</v>
      </c>
      <c r="G1546" s="31" t="n">
        <v>3119.31</v>
      </c>
      <c r="H1546" s="31" t="n">
        <v>1179.91</v>
      </c>
      <c r="I1546" t="inlineStr">
        <is>
          <t>Paid</t>
        </is>
      </c>
      <c r="K1546" s="29" t="n">
        <v>45899</v>
      </c>
      <c r="L1546" s="33" t="n"/>
    </row>
    <row r="1547">
      <c r="A1547" t="inlineStr">
        <is>
          <t>CLM517159</t>
        </is>
      </c>
      <c r="B1547" t="inlineStr">
        <is>
          <t>ENC117159</t>
        </is>
      </c>
      <c r="C1547" t="inlineStr">
        <is>
          <t>State Medicaid</t>
        </is>
      </c>
      <c r="D1547" t="inlineStr">
        <is>
          <t>Inpatient</t>
        </is>
      </c>
      <c r="E1547" s="29" t="n">
        <v>45869</v>
      </c>
      <c r="F1547" s="29" t="n">
        <v>45870</v>
      </c>
      <c r="G1547" s="31" t="n">
        <v>13083.53</v>
      </c>
      <c r="H1547" s="31" t="n">
        <v>3021.57</v>
      </c>
      <c r="I1547" t="inlineStr">
        <is>
          <t>Paid</t>
        </is>
      </c>
      <c r="K1547" s="29" t="n">
        <v>45891</v>
      </c>
      <c r="L1547" s="33" t="n"/>
    </row>
    <row r="1548">
      <c r="A1548" t="inlineStr">
        <is>
          <t>CLM517163</t>
        </is>
      </c>
      <c r="B1548" t="inlineStr">
        <is>
          <t>ENC117163</t>
        </is>
      </c>
      <c r="C1548" t="inlineStr">
        <is>
          <t>Silverline Medicare Advantage</t>
        </is>
      </c>
      <c r="D1548" t="inlineStr">
        <is>
          <t>Inpatient</t>
        </is>
      </c>
      <c r="E1548" s="29" t="n">
        <v>45868</v>
      </c>
      <c r="F1548" s="29" t="n">
        <v>45876</v>
      </c>
      <c r="G1548" s="31" t="n">
        <v>37407</v>
      </c>
      <c r="H1548" s="31" t="n">
        <v>11684.7</v>
      </c>
      <c r="I1548" t="inlineStr">
        <is>
          <t>Paid</t>
        </is>
      </c>
      <c r="K1548" s="29" t="n">
        <v>45904</v>
      </c>
      <c r="L1548" s="33" t="n"/>
    </row>
    <row r="1549">
      <c r="A1549" t="inlineStr">
        <is>
          <t>CLM517166</t>
        </is>
      </c>
      <c r="B1549" t="inlineStr">
        <is>
          <t>ENC117166</t>
        </is>
      </c>
      <c r="C1549" t="inlineStr">
        <is>
          <t>State Medicaid</t>
        </is>
      </c>
      <c r="D1549" t="inlineStr">
        <is>
          <t>Inpatient</t>
        </is>
      </c>
      <c r="E1549" s="29" t="n">
        <v>45870</v>
      </c>
      <c r="F1549" s="29" t="n">
        <v>45874</v>
      </c>
      <c r="G1549" s="31" t="n">
        <v>22166.78</v>
      </c>
      <c r="H1549" s="31" t="n">
        <v>5326.42</v>
      </c>
      <c r="I1549" t="inlineStr">
        <is>
          <t>Paid</t>
        </is>
      </c>
      <c r="K1549" s="29" t="n">
        <v>45903</v>
      </c>
      <c r="L1549" s="33" t="n"/>
    </row>
    <row r="1550">
      <c r="A1550" t="inlineStr">
        <is>
          <t>CLM517172</t>
        </is>
      </c>
      <c r="B1550" t="inlineStr">
        <is>
          <t>ENC117172</t>
        </is>
      </c>
      <c r="C1550" t="inlineStr">
        <is>
          <t>Keystone Health Partners</t>
        </is>
      </c>
      <c r="D1550" t="inlineStr">
        <is>
          <t>Emergency</t>
        </is>
      </c>
      <c r="E1550" s="29" t="n">
        <v>45866</v>
      </c>
      <c r="F1550" s="29" t="n">
        <v>45868</v>
      </c>
      <c r="G1550" s="31" t="n">
        <v>1225.71</v>
      </c>
      <c r="H1550" s="31" t="n">
        <v>319.93</v>
      </c>
      <c r="I1550" t="inlineStr">
        <is>
          <t>Partially Paid</t>
        </is>
      </c>
      <c r="J1550" t="inlineStr">
        <is>
          <t>Coding Error</t>
        </is>
      </c>
      <c r="K1550" s="29" t="n">
        <v>45901</v>
      </c>
      <c r="L1550" s="33" t="n"/>
    </row>
    <row r="1551">
      <c r="A1551" t="inlineStr">
        <is>
          <t>CLM517175</t>
        </is>
      </c>
      <c r="B1551" t="inlineStr">
        <is>
          <t>ENC117175</t>
        </is>
      </c>
      <c r="C1551" t="inlineStr">
        <is>
          <t>State Medicaid</t>
        </is>
      </c>
      <c r="D1551" t="inlineStr">
        <is>
          <t>Emergency</t>
        </is>
      </c>
      <c r="E1551" s="29" t="n">
        <v>45866</v>
      </c>
      <c r="F1551" s="29" t="n">
        <v>45869</v>
      </c>
      <c r="G1551" s="31" t="n">
        <v>3741.64</v>
      </c>
      <c r="H1551" s="31" t="n">
        <v>866.47</v>
      </c>
      <c r="I1551" t="inlineStr">
        <is>
          <t>Paid</t>
        </is>
      </c>
      <c r="K1551" s="29" t="n">
        <v>45891</v>
      </c>
      <c r="L1551" s="33" t="n"/>
    </row>
    <row r="1552">
      <c r="A1552" t="inlineStr">
        <is>
          <t>CLM517176</t>
        </is>
      </c>
      <c r="B1552" t="inlineStr">
        <is>
          <t>ENC117176</t>
        </is>
      </c>
      <c r="C1552" t="inlineStr">
        <is>
          <t>Silverline Medicare Advantage</t>
        </is>
      </c>
      <c r="D1552" t="inlineStr">
        <is>
          <t>Emergency</t>
        </is>
      </c>
      <c r="E1552" s="29" t="n">
        <v>45866</v>
      </c>
      <c r="F1552" s="29" t="n">
        <v>45873</v>
      </c>
      <c r="G1552" s="31" t="n">
        <v>1594.24</v>
      </c>
      <c r="H1552" s="31" t="n">
        <v>563.72</v>
      </c>
      <c r="I1552" t="inlineStr">
        <is>
          <t>Paid</t>
        </is>
      </c>
      <c r="K1552" s="29" t="n">
        <v>45906</v>
      </c>
      <c r="L1552" s="33" t="n"/>
    </row>
    <row r="1553">
      <c r="A1553" t="inlineStr">
        <is>
          <t>CLM517180</t>
        </is>
      </c>
      <c r="B1553" t="inlineStr">
        <is>
          <t>ENC117180</t>
        </is>
      </c>
      <c r="C1553" t="inlineStr">
        <is>
          <t>Silverline Medicare Advantage</t>
        </is>
      </c>
      <c r="D1553" t="inlineStr">
        <is>
          <t>Inpatient</t>
        </is>
      </c>
      <c r="E1553" s="29" t="n">
        <v>45876</v>
      </c>
      <c r="F1553" s="29" t="n">
        <v>45879</v>
      </c>
      <c r="G1553" s="31" t="n">
        <v>38761.64</v>
      </c>
      <c r="H1553" s="31" t="n">
        <v>0</v>
      </c>
      <c r="I1553" t="inlineStr">
        <is>
          <t>Denied</t>
        </is>
      </c>
      <c r="J1553" t="inlineStr">
        <is>
          <t>Medical Necessity</t>
        </is>
      </c>
      <c r="L1553" s="33" t="n"/>
    </row>
    <row r="1554">
      <c r="A1554" t="inlineStr">
        <is>
          <t>CLM517182</t>
        </is>
      </c>
      <c r="B1554" t="inlineStr">
        <is>
          <t>ENC117182</t>
        </is>
      </c>
      <c r="C1554" t="inlineStr">
        <is>
          <t>Summit Choice PPO</t>
        </is>
      </c>
      <c r="D1554" t="inlineStr">
        <is>
          <t>Outpatient</t>
        </is>
      </c>
      <c r="E1554" s="29" t="n">
        <v>45866</v>
      </c>
      <c r="F1554" s="29" t="n">
        <v>45871</v>
      </c>
      <c r="G1554" s="31" t="n">
        <v>164.83</v>
      </c>
      <c r="H1554" s="31" t="n">
        <v>78.75</v>
      </c>
      <c r="I1554" t="inlineStr">
        <is>
          <t>Paid</t>
        </is>
      </c>
      <c r="K1554" s="29" t="n">
        <v>45891</v>
      </c>
      <c r="L1554" s="33" t="n"/>
    </row>
    <row r="1555">
      <c r="A1555" t="inlineStr">
        <is>
          <t>CLM517186</t>
        </is>
      </c>
      <c r="B1555" t="inlineStr">
        <is>
          <t>ENC117186</t>
        </is>
      </c>
      <c r="C1555" t="inlineStr">
        <is>
          <t>Silverline Medicare Advantage</t>
        </is>
      </c>
      <c r="D1555" t="inlineStr">
        <is>
          <t>Outpatient</t>
        </is>
      </c>
      <c r="E1555" s="29" t="n">
        <v>45866</v>
      </c>
      <c r="F1555" s="29" t="n">
        <v>45873</v>
      </c>
      <c r="G1555" s="31" t="n">
        <v>270.48</v>
      </c>
      <c r="H1555" s="31" t="n">
        <v>79.39</v>
      </c>
      <c r="I1555" t="inlineStr">
        <is>
          <t>Paid</t>
        </is>
      </c>
      <c r="K1555" s="29" t="n">
        <v>45892</v>
      </c>
      <c r="L1555" s="33" t="n"/>
    </row>
    <row r="1556">
      <c r="A1556" t="inlineStr">
        <is>
          <t>CLM517194</t>
        </is>
      </c>
      <c r="B1556" t="inlineStr">
        <is>
          <t>ENC117194</t>
        </is>
      </c>
      <c r="C1556" t="inlineStr">
        <is>
          <t>Medicare</t>
        </is>
      </c>
      <c r="D1556" t="inlineStr">
        <is>
          <t>Inpatient</t>
        </is>
      </c>
      <c r="E1556" s="29" t="n">
        <v>45872</v>
      </c>
      <c r="F1556" s="29" t="n">
        <v>45875</v>
      </c>
      <c r="G1556" s="31" t="n">
        <v>92239.59</v>
      </c>
      <c r="H1556" s="31" t="n">
        <v>27349.49</v>
      </c>
      <c r="I1556" t="inlineStr">
        <is>
          <t>Paid</t>
        </is>
      </c>
      <c r="K1556" s="29" t="n">
        <v>45883</v>
      </c>
      <c r="L1556" s="33" t="n"/>
    </row>
    <row r="1557">
      <c r="A1557" t="inlineStr">
        <is>
          <t>CLM517199</t>
        </is>
      </c>
      <c r="B1557" t="inlineStr">
        <is>
          <t>ENC117199</t>
        </is>
      </c>
      <c r="C1557" t="inlineStr">
        <is>
          <t>Evergreen Mutual Insurance</t>
        </is>
      </c>
      <c r="D1557" t="inlineStr">
        <is>
          <t>Observation</t>
        </is>
      </c>
      <c r="E1557" s="29" t="n">
        <v>45868</v>
      </c>
      <c r="F1557" s="29" t="n">
        <v>45875</v>
      </c>
      <c r="G1557" s="31" t="n">
        <v>7208.07</v>
      </c>
      <c r="H1557" s="31" t="n">
        <v>2885.05</v>
      </c>
      <c r="I1557" t="inlineStr">
        <is>
          <t>Paid</t>
        </is>
      </c>
      <c r="K1557" s="29" t="n">
        <v>45904</v>
      </c>
      <c r="L1557" s="33" t="n"/>
    </row>
    <row r="1558">
      <c r="A1558" t="inlineStr">
        <is>
          <t>CLM517200</t>
        </is>
      </c>
      <c r="B1558" t="inlineStr">
        <is>
          <t>ENC117200</t>
        </is>
      </c>
      <c r="C1558" t="inlineStr">
        <is>
          <t>Silverline Medicare Advantage</t>
        </is>
      </c>
      <c r="D1558" t="inlineStr">
        <is>
          <t>Outpatient</t>
        </is>
      </c>
      <c r="E1558" s="29" t="n">
        <v>45867</v>
      </c>
      <c r="F1558" s="29" t="n">
        <v>45869</v>
      </c>
      <c r="G1558" s="31" t="n">
        <v>843.2</v>
      </c>
      <c r="H1558" s="31" t="n">
        <v>227.38</v>
      </c>
      <c r="I1558" t="inlineStr">
        <is>
          <t>Paid</t>
        </is>
      </c>
      <c r="K1558" s="29" t="n">
        <v>45886</v>
      </c>
      <c r="L1558" s="33" t="n"/>
    </row>
    <row r="1559">
      <c r="A1559" t="inlineStr">
        <is>
          <t>CLM517204</t>
        </is>
      </c>
      <c r="B1559" t="inlineStr">
        <is>
          <t>ENC117204</t>
        </is>
      </c>
      <c r="C1559" t="inlineStr">
        <is>
          <t>Medicare</t>
        </is>
      </c>
      <c r="D1559" t="inlineStr">
        <is>
          <t>Emergency</t>
        </is>
      </c>
      <c r="E1559" s="29" t="n">
        <v>45867</v>
      </c>
      <c r="F1559" s="29" t="n">
        <v>45870</v>
      </c>
      <c r="G1559" s="31" t="n">
        <v>1567.1</v>
      </c>
      <c r="H1559" s="31" t="n">
        <v>426.18</v>
      </c>
      <c r="I1559" t="inlineStr">
        <is>
          <t>Paid</t>
        </is>
      </c>
      <c r="K1559" s="29" t="n">
        <v>45884</v>
      </c>
      <c r="L1559" s="33" t="n"/>
    </row>
    <row r="1560">
      <c r="A1560" t="inlineStr">
        <is>
          <t>CLM517214</t>
        </is>
      </c>
      <c r="B1560" t="inlineStr">
        <is>
          <t>ENC117214</t>
        </is>
      </c>
      <c r="C1560" t="inlineStr">
        <is>
          <t>State Medicaid</t>
        </is>
      </c>
      <c r="D1560" t="inlineStr">
        <is>
          <t>Inpatient</t>
        </is>
      </c>
      <c r="E1560" s="29" t="n">
        <v>45874</v>
      </c>
      <c r="F1560" s="29" t="n">
        <v>45881</v>
      </c>
      <c r="G1560" s="31" t="n">
        <v>28257.6</v>
      </c>
      <c r="H1560" s="31" t="n">
        <v>7664.22</v>
      </c>
      <c r="I1560" t="inlineStr">
        <is>
          <t>Paid</t>
        </is>
      </c>
      <c r="K1560" s="29" t="n">
        <v>45924</v>
      </c>
      <c r="L1560" s="33" t="n"/>
    </row>
    <row r="1561">
      <c r="A1561" t="inlineStr">
        <is>
          <t>CLM517218</t>
        </is>
      </c>
      <c r="B1561" t="inlineStr">
        <is>
          <t>ENC117218</t>
        </is>
      </c>
      <c r="C1561" t="inlineStr">
        <is>
          <t>Evergreen Mutual Insurance</t>
        </is>
      </c>
      <c r="D1561" t="inlineStr">
        <is>
          <t>Inpatient</t>
        </is>
      </c>
      <c r="E1561" s="29" t="n">
        <v>45870</v>
      </c>
      <c r="F1561" s="29" t="n">
        <v>45873</v>
      </c>
      <c r="G1561" s="31" t="n">
        <v>20812.3</v>
      </c>
      <c r="H1561" s="31" t="n">
        <v>9574.209999999999</v>
      </c>
      <c r="I1561" t="inlineStr">
        <is>
          <t>Paid</t>
        </is>
      </c>
      <c r="K1561" s="29" t="n">
        <v>45897</v>
      </c>
      <c r="L1561" s="33" t="n"/>
    </row>
    <row r="1562">
      <c r="A1562" t="inlineStr">
        <is>
          <t>CLM517221</t>
        </is>
      </c>
      <c r="B1562" t="inlineStr">
        <is>
          <t>ENC117221</t>
        </is>
      </c>
      <c r="C1562" t="inlineStr">
        <is>
          <t>Silverline Medicare Advantage</t>
        </is>
      </c>
      <c r="D1562" t="inlineStr">
        <is>
          <t>Inpatient</t>
        </is>
      </c>
      <c r="E1562" s="29" t="n">
        <v>45873</v>
      </c>
      <c r="F1562" s="29" t="n">
        <v>45875</v>
      </c>
      <c r="G1562" s="31" t="n">
        <v>53102.66</v>
      </c>
      <c r="H1562" s="31" t="n">
        <v>15708.57</v>
      </c>
      <c r="I1562" t="inlineStr">
        <is>
          <t>Paid</t>
        </is>
      </c>
      <c r="K1562" s="29" t="n">
        <v>45907</v>
      </c>
      <c r="L1562" s="33" t="n"/>
    </row>
    <row r="1563">
      <c r="A1563" t="inlineStr">
        <is>
          <t>CLM517225</t>
        </is>
      </c>
      <c r="B1563" t="inlineStr">
        <is>
          <t>ENC117225</t>
        </is>
      </c>
      <c r="C1563" t="inlineStr">
        <is>
          <t>Workers' Compensation</t>
        </is>
      </c>
      <c r="D1563" t="inlineStr">
        <is>
          <t>Emergency</t>
        </is>
      </c>
      <c r="E1563" s="29" t="n">
        <v>45867</v>
      </c>
      <c r="F1563" s="29" t="n">
        <v>45869</v>
      </c>
      <c r="G1563" s="31" t="n">
        <v>1880.61</v>
      </c>
      <c r="H1563" s="31" t="n">
        <v>1265.42</v>
      </c>
      <c r="I1563" t="inlineStr">
        <is>
          <t>Paid</t>
        </is>
      </c>
      <c r="K1563" s="29" t="n">
        <v>45930</v>
      </c>
      <c r="L1563" s="33" t="n"/>
    </row>
    <row r="1564">
      <c r="A1564" t="inlineStr">
        <is>
          <t>CLM517230</t>
        </is>
      </c>
      <c r="B1564" t="inlineStr">
        <is>
          <t>ENC117230</t>
        </is>
      </c>
      <c r="C1564" t="inlineStr">
        <is>
          <t>Medicare</t>
        </is>
      </c>
      <c r="D1564" t="inlineStr">
        <is>
          <t>Inpatient</t>
        </is>
      </c>
      <c r="E1564" s="29" t="n">
        <v>45870</v>
      </c>
      <c r="F1564" s="29" t="n">
        <v>45872</v>
      </c>
      <c r="G1564" s="31" t="n">
        <v>21193.05</v>
      </c>
      <c r="H1564" s="31" t="n">
        <v>5535.75</v>
      </c>
      <c r="I1564" t="inlineStr">
        <is>
          <t>Paid</t>
        </is>
      </c>
      <c r="K1564" s="29" t="n">
        <v>45884</v>
      </c>
      <c r="L1564" s="33" t="n"/>
    </row>
    <row r="1565">
      <c r="A1565" t="inlineStr">
        <is>
          <t>CLM517232</t>
        </is>
      </c>
      <c r="B1565" t="inlineStr">
        <is>
          <t>ENC117232</t>
        </is>
      </c>
      <c r="C1565" t="inlineStr">
        <is>
          <t>Evergreen Mutual Insurance</t>
        </is>
      </c>
      <c r="D1565" t="inlineStr">
        <is>
          <t>Emergency</t>
        </is>
      </c>
      <c r="E1565" s="29" t="n">
        <v>45867</v>
      </c>
      <c r="F1565" s="29" t="n">
        <v>45872</v>
      </c>
      <c r="G1565" s="31" t="n">
        <v>2116.13</v>
      </c>
      <c r="H1565" s="31" t="n">
        <v>930.9</v>
      </c>
      <c r="I1565" t="inlineStr">
        <is>
          <t>Paid</t>
        </is>
      </c>
      <c r="K1565" s="29" t="n">
        <v>45902</v>
      </c>
      <c r="L1565" s="33" t="n"/>
    </row>
    <row r="1566">
      <c r="A1566" t="inlineStr">
        <is>
          <t>CLM517235</t>
        </is>
      </c>
      <c r="B1566" t="inlineStr">
        <is>
          <t>ENC117235</t>
        </is>
      </c>
      <c r="C1566" t="inlineStr">
        <is>
          <t>Keystone Health Partners</t>
        </is>
      </c>
      <c r="D1566" t="inlineStr">
        <is>
          <t>Emergency</t>
        </is>
      </c>
      <c r="E1566" s="29" t="n">
        <v>45868</v>
      </c>
      <c r="F1566" s="29" t="n">
        <v>45872</v>
      </c>
      <c r="G1566" s="31" t="n">
        <v>5582.86</v>
      </c>
      <c r="H1566" s="31" t="n">
        <v>2777.5</v>
      </c>
      <c r="I1566" t="inlineStr">
        <is>
          <t>Paid</t>
        </is>
      </c>
      <c r="K1566" s="29" t="n">
        <v>45896</v>
      </c>
      <c r="L1566" s="33" t="n"/>
    </row>
    <row r="1567">
      <c r="A1567" t="inlineStr">
        <is>
          <t>CLM517239</t>
        </is>
      </c>
      <c r="B1567" t="inlineStr">
        <is>
          <t>ENC117239</t>
        </is>
      </c>
      <c r="C1567" t="inlineStr">
        <is>
          <t>Evergreen Mutual Insurance</t>
        </is>
      </c>
      <c r="D1567" t="inlineStr">
        <is>
          <t>Outpatient</t>
        </is>
      </c>
      <c r="E1567" s="29" t="n">
        <v>45868</v>
      </c>
      <c r="F1567" s="29" t="n">
        <v>45871</v>
      </c>
      <c r="G1567" s="31" t="n">
        <v>464.87</v>
      </c>
      <c r="H1567" s="31" t="n">
        <v>217.5</v>
      </c>
      <c r="I1567" t="inlineStr">
        <is>
          <t>Paid</t>
        </is>
      </c>
      <c r="K1567" s="29" t="n">
        <v>45892</v>
      </c>
      <c r="L1567" s="33" t="n"/>
    </row>
    <row r="1568">
      <c r="A1568" t="inlineStr">
        <is>
          <t>CLM517244</t>
        </is>
      </c>
      <c r="B1568" t="inlineStr">
        <is>
          <t>ENC117244</t>
        </is>
      </c>
      <c r="C1568" t="inlineStr">
        <is>
          <t>Medicare</t>
        </is>
      </c>
      <c r="D1568" t="inlineStr">
        <is>
          <t>Outpatient</t>
        </is>
      </c>
      <c r="E1568" s="29" t="n">
        <v>45868</v>
      </c>
      <c r="F1568" s="29" t="n">
        <v>45870</v>
      </c>
      <c r="G1568" s="31" t="n">
        <v>236.33</v>
      </c>
      <c r="H1568" s="31" t="n">
        <v>65.05</v>
      </c>
      <c r="I1568" t="inlineStr">
        <is>
          <t>Paid</t>
        </is>
      </c>
      <c r="K1568" s="29" t="n">
        <v>45883</v>
      </c>
      <c r="L1568" s="33" t="n"/>
    </row>
    <row r="1569">
      <c r="A1569" t="inlineStr">
        <is>
          <t>CLM517249</t>
        </is>
      </c>
      <c r="B1569" t="inlineStr">
        <is>
          <t>ENC117249</t>
        </is>
      </c>
      <c r="C1569" t="inlineStr">
        <is>
          <t>State Medicaid</t>
        </is>
      </c>
      <c r="D1569" t="inlineStr">
        <is>
          <t>Outpatient</t>
        </is>
      </c>
      <c r="E1569" s="29" t="n">
        <v>45868</v>
      </c>
      <c r="F1569" s="29" t="n">
        <v>45876</v>
      </c>
      <c r="G1569" s="31" t="n">
        <v>296.54</v>
      </c>
      <c r="H1569" s="31" t="n">
        <v>71.23</v>
      </c>
      <c r="I1569" t="inlineStr">
        <is>
          <t>Paid</t>
        </is>
      </c>
      <c r="K1569" s="29" t="n">
        <v>45917</v>
      </c>
      <c r="L1569" s="33" t="n"/>
    </row>
    <row r="1570">
      <c r="A1570" t="inlineStr">
        <is>
          <t>CLM517260</t>
        </is>
      </c>
      <c r="B1570" t="inlineStr">
        <is>
          <t>ENC117260</t>
        </is>
      </c>
      <c r="C1570" t="inlineStr">
        <is>
          <t>Silverline Medicare Advantage</t>
        </is>
      </c>
      <c r="D1570" t="inlineStr">
        <is>
          <t>Emergency</t>
        </is>
      </c>
      <c r="E1570" s="29" t="n">
        <v>45869</v>
      </c>
      <c r="F1570" s="29" t="n">
        <v>45871</v>
      </c>
      <c r="G1570" s="31" t="n">
        <v>5316.12</v>
      </c>
      <c r="H1570" s="31" t="n">
        <v>1520.29</v>
      </c>
      <c r="I1570" t="inlineStr">
        <is>
          <t>Paid</t>
        </is>
      </c>
      <c r="K1570" s="29" t="n">
        <v>45903</v>
      </c>
      <c r="L1570" s="33" t="n"/>
    </row>
    <row r="1571">
      <c r="A1571" t="inlineStr">
        <is>
          <t>CLM517261</t>
        </is>
      </c>
      <c r="B1571" t="inlineStr">
        <is>
          <t>ENC117261</t>
        </is>
      </c>
      <c r="C1571" t="inlineStr">
        <is>
          <t>Silverline Medicare Advantage</t>
        </is>
      </c>
      <c r="D1571" t="inlineStr">
        <is>
          <t>Inpatient</t>
        </is>
      </c>
      <c r="E1571" s="29" t="n">
        <v>45875</v>
      </c>
      <c r="F1571" s="29" t="n">
        <v>45884</v>
      </c>
      <c r="G1571" s="31" t="n">
        <v>83886.27</v>
      </c>
      <c r="H1571" s="31" t="n">
        <v>24459.51</v>
      </c>
      <c r="I1571" t="inlineStr">
        <is>
          <t>Paid</t>
        </is>
      </c>
      <c r="K1571" s="29" t="n">
        <v>45906</v>
      </c>
      <c r="L1571" s="33" t="n"/>
    </row>
    <row r="1572">
      <c r="A1572" t="inlineStr">
        <is>
          <t>CLM517265</t>
        </is>
      </c>
      <c r="B1572" t="inlineStr">
        <is>
          <t>ENC117265</t>
        </is>
      </c>
      <c r="C1572" t="inlineStr">
        <is>
          <t>Self-Pay</t>
        </is>
      </c>
      <c r="D1572" t="inlineStr">
        <is>
          <t>Inpatient</t>
        </is>
      </c>
      <c r="E1572" s="29" t="n">
        <v>45871</v>
      </c>
      <c r="F1572" s="29" t="n">
        <v>45880</v>
      </c>
      <c r="G1572" s="31" t="n">
        <v>13416.92</v>
      </c>
      <c r="H1572" s="31" t="n">
        <v>3560.77</v>
      </c>
      <c r="I1572" t="inlineStr">
        <is>
          <t>Partially Paid</t>
        </is>
      </c>
      <c r="K1572" s="29" t="n">
        <v>46001</v>
      </c>
      <c r="L1572" s="33" t="n"/>
    </row>
    <row r="1573">
      <c r="A1573" t="inlineStr">
        <is>
          <t>CLM517266</t>
        </is>
      </c>
      <c r="B1573" t="inlineStr">
        <is>
          <t>ENC117266</t>
        </is>
      </c>
      <c r="C1573" t="inlineStr">
        <is>
          <t>Medicare</t>
        </is>
      </c>
      <c r="D1573" t="inlineStr">
        <is>
          <t>Outpatient</t>
        </is>
      </c>
      <c r="E1573" s="29" t="n">
        <v>45869</v>
      </c>
      <c r="F1573" s="29" t="n">
        <v>45872</v>
      </c>
      <c r="G1573" s="31" t="n">
        <v>553.21</v>
      </c>
      <c r="H1573" s="31" t="n">
        <v>148.28</v>
      </c>
      <c r="I1573" t="inlineStr">
        <is>
          <t>Paid</t>
        </is>
      </c>
      <c r="K1573" s="29" t="n">
        <v>45881</v>
      </c>
      <c r="L1573" s="33" t="n"/>
    </row>
    <row r="1574">
      <c r="A1574" t="inlineStr">
        <is>
          <t>CLM517267</t>
        </is>
      </c>
      <c r="B1574" t="inlineStr">
        <is>
          <t>ENC117267</t>
        </is>
      </c>
      <c r="C1574" t="inlineStr">
        <is>
          <t>Self-Pay</t>
        </is>
      </c>
      <c r="D1574" t="inlineStr">
        <is>
          <t>Outpatient</t>
        </is>
      </c>
      <c r="E1574" s="29" t="n">
        <v>45869</v>
      </c>
      <c r="F1574" s="29" t="n">
        <v>45875</v>
      </c>
      <c r="G1574" s="31" t="n">
        <v>112.01</v>
      </c>
      <c r="H1574" s="31" t="n">
        <v>43.8</v>
      </c>
      <c r="I1574" t="inlineStr">
        <is>
          <t>Paid</t>
        </is>
      </c>
      <c r="K1574" s="29" t="n">
        <v>45930</v>
      </c>
      <c r="L1574" s="33" t="n"/>
    </row>
    <row r="1575">
      <c r="A1575" t="inlineStr">
        <is>
          <t>CLM517277</t>
        </is>
      </c>
      <c r="B1575" t="inlineStr">
        <is>
          <t>ENC117277</t>
        </is>
      </c>
      <c r="C1575" t="inlineStr">
        <is>
          <t>Evergreen Mutual Insurance</t>
        </is>
      </c>
      <c r="D1575" t="inlineStr">
        <is>
          <t>Outpatient</t>
        </is>
      </c>
      <c r="E1575" s="29" t="n">
        <v>45869</v>
      </c>
      <c r="F1575" s="29" t="n">
        <v>45877</v>
      </c>
      <c r="G1575" s="31" t="n">
        <v>207.89</v>
      </c>
      <c r="H1575" s="31" t="n">
        <v>99.39</v>
      </c>
      <c r="I1575" t="inlineStr">
        <is>
          <t>Paid</t>
        </is>
      </c>
      <c r="K1575" s="29" t="n">
        <v>45918</v>
      </c>
      <c r="L1575" s="33" t="n"/>
    </row>
    <row r="1576">
      <c r="A1576" t="inlineStr">
        <is>
          <t>CLM517280</t>
        </is>
      </c>
      <c r="B1576" t="inlineStr">
        <is>
          <t>ENC117280</t>
        </is>
      </c>
      <c r="C1576" t="inlineStr">
        <is>
          <t>Evergreen Mutual Insurance</t>
        </is>
      </c>
      <c r="D1576" t="inlineStr">
        <is>
          <t>Outpatient</t>
        </is>
      </c>
      <c r="E1576" s="29" t="n">
        <v>45869</v>
      </c>
      <c r="F1576" s="29" t="n">
        <v>45871</v>
      </c>
      <c r="G1576" s="31" t="n">
        <v>147.04</v>
      </c>
      <c r="H1576" s="31" t="n">
        <v>63.2</v>
      </c>
      <c r="I1576" t="inlineStr">
        <is>
          <t>Paid</t>
        </is>
      </c>
      <c r="K1576" s="29" t="n">
        <v>45895</v>
      </c>
      <c r="L1576" s="33" t="n"/>
    </row>
    <row r="1577">
      <c r="A1577" t="inlineStr">
        <is>
          <t>CLM517288</t>
        </is>
      </c>
      <c r="B1577" t="inlineStr">
        <is>
          <t>ENC117288</t>
        </is>
      </c>
      <c r="C1577" t="inlineStr">
        <is>
          <t>Silverline Medicare Advantage</t>
        </is>
      </c>
      <c r="D1577" t="inlineStr">
        <is>
          <t>Emergency</t>
        </is>
      </c>
      <c r="E1577" s="29" t="n">
        <v>45869</v>
      </c>
      <c r="F1577" s="29" t="n">
        <v>45871</v>
      </c>
      <c r="G1577" s="31" t="n">
        <v>3370.34</v>
      </c>
      <c r="H1577" s="31" t="n">
        <v>1135.94</v>
      </c>
      <c r="I1577" t="inlineStr">
        <is>
          <t>Paid</t>
        </is>
      </c>
      <c r="K1577" s="29" t="n">
        <v>45917</v>
      </c>
      <c r="L1577" s="33" t="n"/>
    </row>
    <row r="1578">
      <c r="A1578" t="inlineStr">
        <is>
          <t>CLM517289</t>
        </is>
      </c>
      <c r="B1578" t="inlineStr">
        <is>
          <t>ENC117289</t>
        </is>
      </c>
      <c r="C1578" t="inlineStr">
        <is>
          <t>Evergreen Mutual Insurance</t>
        </is>
      </c>
      <c r="D1578" t="inlineStr">
        <is>
          <t>Emergency</t>
        </is>
      </c>
      <c r="E1578" s="29" t="n">
        <v>45869</v>
      </c>
      <c r="F1578" s="29" t="n">
        <v>45873</v>
      </c>
      <c r="G1578" s="31" t="n">
        <v>1638.88</v>
      </c>
      <c r="H1578" s="31" t="n">
        <v>625.63</v>
      </c>
      <c r="I1578" t="inlineStr">
        <is>
          <t>Paid</t>
        </is>
      </c>
      <c r="K1578" s="29" t="n">
        <v>45898</v>
      </c>
      <c r="L1578" s="33" t="n"/>
    </row>
    <row r="1579">
      <c r="A1579" t="inlineStr">
        <is>
          <t>CLM517291</t>
        </is>
      </c>
      <c r="B1579" t="inlineStr">
        <is>
          <t>ENC117291</t>
        </is>
      </c>
      <c r="C1579" t="inlineStr">
        <is>
          <t>Medicare</t>
        </is>
      </c>
      <c r="D1579" t="inlineStr">
        <is>
          <t>Emergency</t>
        </is>
      </c>
      <c r="E1579" s="29" t="n">
        <v>45869</v>
      </c>
      <c r="F1579" s="29" t="n">
        <v>45877</v>
      </c>
      <c r="G1579" s="31" t="n">
        <v>1215.73</v>
      </c>
      <c r="H1579" s="31" t="n">
        <v>349.88</v>
      </c>
      <c r="I1579" t="inlineStr">
        <is>
          <t>Paid</t>
        </is>
      </c>
      <c r="K1579" s="29" t="n">
        <v>45887</v>
      </c>
      <c r="L1579" s="33" t="n"/>
    </row>
    <row r="1580">
      <c r="A1580" t="inlineStr">
        <is>
          <t>CLM517292</t>
        </is>
      </c>
      <c r="B1580" t="inlineStr">
        <is>
          <t>ENC117292</t>
        </is>
      </c>
      <c r="C1580" t="inlineStr">
        <is>
          <t>Summit Choice PPO</t>
        </is>
      </c>
      <c r="D1580" t="inlineStr">
        <is>
          <t>Inpatient</t>
        </is>
      </c>
      <c r="E1580" s="29" t="n">
        <v>45887</v>
      </c>
      <c r="F1580" s="29" t="n">
        <v>45890</v>
      </c>
      <c r="G1580" s="31" t="n">
        <v>61545.97</v>
      </c>
      <c r="H1580" s="31" t="n">
        <v>26354.02</v>
      </c>
      <c r="I1580" t="inlineStr">
        <is>
          <t>Paid</t>
        </is>
      </c>
      <c r="K1580" s="29" t="n">
        <v>45907</v>
      </c>
      <c r="L1580" s="33" t="n"/>
    </row>
    <row r="1581">
      <c r="A1581" t="inlineStr">
        <is>
          <t>CLM517293</t>
        </is>
      </c>
      <c r="B1581" t="inlineStr">
        <is>
          <t>ENC117293</t>
        </is>
      </c>
      <c r="C1581" t="inlineStr">
        <is>
          <t>State Medicaid</t>
        </is>
      </c>
      <c r="D1581" t="inlineStr">
        <is>
          <t>Inpatient</t>
        </is>
      </c>
      <c r="E1581" s="29" t="n">
        <v>45873</v>
      </c>
      <c r="F1581" s="29" t="n">
        <v>45876</v>
      </c>
      <c r="G1581" s="31" t="n">
        <v>26212.35</v>
      </c>
      <c r="H1581" s="31" t="n">
        <v>4546.49</v>
      </c>
      <c r="I1581" t="inlineStr">
        <is>
          <t>Partially Paid</t>
        </is>
      </c>
      <c r="J1581" t="inlineStr">
        <is>
          <t>Missing Documentation</t>
        </is>
      </c>
      <c r="K1581" s="29" t="n">
        <v>45916</v>
      </c>
      <c r="L1581" s="33" t="n"/>
    </row>
    <row r="1582">
      <c r="A1582" t="inlineStr">
        <is>
          <t>CLM517295</t>
        </is>
      </c>
      <c r="B1582" t="inlineStr">
        <is>
          <t>ENC117295</t>
        </is>
      </c>
      <c r="C1582" t="inlineStr">
        <is>
          <t>Silverline Medicare Advantage</t>
        </is>
      </c>
      <c r="D1582" t="inlineStr">
        <is>
          <t>Inpatient</t>
        </is>
      </c>
      <c r="E1582" s="29" t="n">
        <v>45872</v>
      </c>
      <c r="F1582" s="29" t="n">
        <v>45875</v>
      </c>
      <c r="G1582" s="31" t="n">
        <v>12808.42</v>
      </c>
      <c r="H1582" s="31" t="n">
        <v>0</v>
      </c>
      <c r="I1582" t="inlineStr">
        <is>
          <t>Denied</t>
        </is>
      </c>
      <c r="J1582" t="inlineStr">
        <is>
          <t>Authorization Required</t>
        </is>
      </c>
      <c r="L1582" s="33" t="n"/>
    </row>
    <row r="1583">
      <c r="A1583" t="inlineStr">
        <is>
          <t>CLM517318</t>
        </is>
      </c>
      <c r="B1583" t="inlineStr">
        <is>
          <t>ENC117318</t>
        </is>
      </c>
      <c r="C1583" t="inlineStr">
        <is>
          <t>State Medicaid</t>
        </is>
      </c>
      <c r="D1583" t="inlineStr">
        <is>
          <t>Emergency</t>
        </is>
      </c>
      <c r="E1583" s="29" t="n">
        <v>45870</v>
      </c>
      <c r="F1583" s="29" t="n">
        <v>45874</v>
      </c>
      <c r="G1583" s="31" t="n">
        <v>1397.23</v>
      </c>
      <c r="H1583" s="31" t="n">
        <v>323.86</v>
      </c>
      <c r="I1583" t="inlineStr">
        <is>
          <t>Paid</t>
        </is>
      </c>
      <c r="K1583" s="29" t="n">
        <v>45911</v>
      </c>
      <c r="L1583" s="33" t="n"/>
    </row>
    <row r="1584">
      <c r="A1584" t="inlineStr">
        <is>
          <t>CLM517321</t>
        </is>
      </c>
      <c r="B1584" t="inlineStr">
        <is>
          <t>ENC117321</t>
        </is>
      </c>
      <c r="C1584" t="inlineStr">
        <is>
          <t>Medicare</t>
        </is>
      </c>
      <c r="D1584" t="inlineStr">
        <is>
          <t>Emergency</t>
        </is>
      </c>
      <c r="E1584" s="29" t="n">
        <v>45870</v>
      </c>
      <c r="F1584" s="29" t="n">
        <v>45881</v>
      </c>
      <c r="G1584" s="31" t="n">
        <v>1543.42</v>
      </c>
      <c r="H1584" s="31" t="n">
        <v>475.63</v>
      </c>
      <c r="I1584" t="inlineStr">
        <is>
          <t>Paid</t>
        </is>
      </c>
      <c r="K1584" s="29" t="n">
        <v>45895</v>
      </c>
      <c r="L1584" s="33" t="n"/>
    </row>
    <row r="1585">
      <c r="A1585" t="inlineStr">
        <is>
          <t>CLM517322</t>
        </is>
      </c>
      <c r="B1585" t="inlineStr">
        <is>
          <t>ENC117322</t>
        </is>
      </c>
      <c r="C1585" t="inlineStr">
        <is>
          <t>State Medicaid</t>
        </is>
      </c>
      <c r="D1585" t="inlineStr">
        <is>
          <t>Emergency</t>
        </is>
      </c>
      <c r="E1585" s="29" t="n">
        <v>45871</v>
      </c>
      <c r="F1585" s="29" t="n">
        <v>45876</v>
      </c>
      <c r="G1585" s="31" t="n">
        <v>3125.13</v>
      </c>
      <c r="H1585" s="31" t="n">
        <v>739</v>
      </c>
      <c r="I1585" t="inlineStr">
        <is>
          <t>Paid</t>
        </is>
      </c>
      <c r="K1585" s="29" t="n">
        <v>45903</v>
      </c>
      <c r="L1585" s="33" t="n"/>
    </row>
    <row r="1586">
      <c r="A1586" t="inlineStr">
        <is>
          <t>CLM517329</t>
        </is>
      </c>
      <c r="B1586" t="inlineStr">
        <is>
          <t>ENC117329</t>
        </is>
      </c>
      <c r="C1586" t="inlineStr">
        <is>
          <t>Keystone Health Partners</t>
        </is>
      </c>
      <c r="D1586" t="inlineStr">
        <is>
          <t>Emergency</t>
        </is>
      </c>
      <c r="E1586" s="29" t="n">
        <v>45871</v>
      </c>
      <c r="F1586" s="29" t="n">
        <v>45886</v>
      </c>
      <c r="G1586" s="31" t="n">
        <v>3566.97</v>
      </c>
      <c r="H1586" s="31" t="n">
        <v>1271.72</v>
      </c>
      <c r="I1586" t="inlineStr">
        <is>
          <t>Paid</t>
        </is>
      </c>
      <c r="K1586" s="29" t="n">
        <v>45923</v>
      </c>
      <c r="L1586" s="33" t="n"/>
    </row>
    <row r="1587">
      <c r="A1587" t="inlineStr">
        <is>
          <t>CLM517331</t>
        </is>
      </c>
      <c r="B1587" t="inlineStr">
        <is>
          <t>ENC117331</t>
        </is>
      </c>
      <c r="C1587" t="inlineStr">
        <is>
          <t>Silverline Medicare Advantage</t>
        </is>
      </c>
      <c r="D1587" t="inlineStr">
        <is>
          <t>Emergency</t>
        </is>
      </c>
      <c r="E1587" s="29" t="n">
        <v>45871</v>
      </c>
      <c r="F1587" s="29" t="n">
        <v>45875</v>
      </c>
      <c r="G1587" s="31" t="n">
        <v>1285.33</v>
      </c>
      <c r="H1587" s="31" t="n">
        <v>343.19</v>
      </c>
      <c r="I1587" t="inlineStr">
        <is>
          <t>Paid</t>
        </is>
      </c>
      <c r="K1587" s="29" t="n">
        <v>45898</v>
      </c>
      <c r="L1587" s="33" t="n"/>
    </row>
    <row r="1588">
      <c r="A1588" t="inlineStr">
        <is>
          <t>CLM517333</t>
        </is>
      </c>
      <c r="B1588" t="inlineStr">
        <is>
          <t>ENC117333</t>
        </is>
      </c>
      <c r="C1588" t="inlineStr">
        <is>
          <t>Medicare</t>
        </is>
      </c>
      <c r="D1588" t="inlineStr">
        <is>
          <t>Inpatient</t>
        </is>
      </c>
      <c r="E1588" s="29" t="n">
        <v>45875</v>
      </c>
      <c r="F1588" s="29" t="n">
        <v>45878</v>
      </c>
      <c r="G1588" s="31" t="n">
        <v>18222.95</v>
      </c>
      <c r="H1588" s="31" t="n">
        <v>5600.82</v>
      </c>
      <c r="I1588" t="inlineStr">
        <is>
          <t>Paid</t>
        </is>
      </c>
      <c r="K1588" s="29" t="n">
        <v>45896</v>
      </c>
      <c r="L1588" s="33" t="n"/>
    </row>
    <row r="1589">
      <c r="A1589" t="inlineStr">
        <is>
          <t>CLM517341</t>
        </is>
      </c>
      <c r="B1589" t="inlineStr">
        <is>
          <t>ENC117341</t>
        </is>
      </c>
      <c r="C1589" t="inlineStr">
        <is>
          <t>State Medicaid</t>
        </is>
      </c>
      <c r="D1589" t="inlineStr">
        <is>
          <t>Emergency</t>
        </is>
      </c>
      <c r="E1589" s="29" t="n">
        <v>45872</v>
      </c>
      <c r="F1589" s="29" t="n">
        <v>45880</v>
      </c>
      <c r="G1589" s="31" t="n">
        <v>1157.23</v>
      </c>
      <c r="H1589" s="31" t="n">
        <v>257.34</v>
      </c>
      <c r="I1589" t="inlineStr">
        <is>
          <t>Paid</t>
        </is>
      </c>
      <c r="K1589" s="29" t="n">
        <v>45919</v>
      </c>
      <c r="L1589" s="33" t="n"/>
    </row>
    <row r="1590">
      <c r="A1590" t="inlineStr">
        <is>
          <t>CLM517354</t>
        </is>
      </c>
      <c r="B1590" t="inlineStr">
        <is>
          <t>ENC117354</t>
        </is>
      </c>
      <c r="C1590" t="inlineStr">
        <is>
          <t>Medicare</t>
        </is>
      </c>
      <c r="D1590" t="inlineStr">
        <is>
          <t>Emergency</t>
        </is>
      </c>
      <c r="E1590" s="29" t="n">
        <v>45873</v>
      </c>
      <c r="F1590" s="29" t="n">
        <v>45875</v>
      </c>
      <c r="G1590" s="31" t="n">
        <v>1526.6</v>
      </c>
      <c r="H1590" s="31" t="n">
        <v>424.74</v>
      </c>
      <c r="I1590" t="inlineStr">
        <is>
          <t>Paid</t>
        </is>
      </c>
      <c r="K1590" s="29" t="n">
        <v>45891</v>
      </c>
      <c r="L1590" s="33" t="n"/>
    </row>
    <row r="1591">
      <c r="A1591" t="inlineStr">
        <is>
          <t>CLM517362</t>
        </is>
      </c>
      <c r="B1591" t="inlineStr">
        <is>
          <t>ENC117362</t>
        </is>
      </c>
      <c r="C1591" t="inlineStr">
        <is>
          <t>Silverline Medicare Advantage</t>
        </is>
      </c>
      <c r="D1591" t="inlineStr">
        <is>
          <t>Emergency</t>
        </is>
      </c>
      <c r="E1591" s="29" t="n">
        <v>45873</v>
      </c>
      <c r="F1591" s="29" t="n">
        <v>45878</v>
      </c>
      <c r="G1591" s="31" t="n">
        <v>1932.87</v>
      </c>
      <c r="H1591" s="31" t="n">
        <v>657.59</v>
      </c>
      <c r="I1591" t="inlineStr">
        <is>
          <t>Paid</t>
        </is>
      </c>
      <c r="K1591" s="29" t="n">
        <v>45905</v>
      </c>
      <c r="L1591" s="33" t="n"/>
    </row>
    <row r="1592">
      <c r="A1592" t="inlineStr">
        <is>
          <t>CLM517368</t>
        </is>
      </c>
      <c r="B1592" t="inlineStr">
        <is>
          <t>ENC117368</t>
        </is>
      </c>
      <c r="C1592" t="inlineStr">
        <is>
          <t>State Medicaid</t>
        </is>
      </c>
      <c r="D1592" t="inlineStr">
        <is>
          <t>Outpatient</t>
        </is>
      </c>
      <c r="E1592" s="29" t="n">
        <v>45873</v>
      </c>
      <c r="F1592" s="29" t="n">
        <v>45876</v>
      </c>
      <c r="G1592" s="31" t="n">
        <v>132.17</v>
      </c>
      <c r="H1592" s="31" t="n">
        <v>33.91</v>
      </c>
      <c r="I1592" t="inlineStr">
        <is>
          <t>Paid</t>
        </is>
      </c>
      <c r="K1592" s="29" t="n">
        <v>45901</v>
      </c>
      <c r="L1592" s="33" t="n"/>
    </row>
    <row r="1593">
      <c r="A1593" t="inlineStr">
        <is>
          <t>CLM517372</t>
        </is>
      </c>
      <c r="B1593" t="inlineStr">
        <is>
          <t>ENC117372</t>
        </is>
      </c>
      <c r="C1593" t="inlineStr">
        <is>
          <t>Summit Choice PPO</t>
        </is>
      </c>
      <c r="D1593" t="inlineStr">
        <is>
          <t>Outpatient</t>
        </is>
      </c>
      <c r="E1593" s="29" t="n">
        <v>45873</v>
      </c>
      <c r="F1593" s="29" t="n">
        <v>45876</v>
      </c>
      <c r="G1593" s="31" t="n">
        <v>347.21</v>
      </c>
      <c r="H1593" s="31" t="n">
        <v>166.12</v>
      </c>
      <c r="I1593" t="inlineStr">
        <is>
          <t>Paid</t>
        </is>
      </c>
      <c r="K1593" s="29" t="n">
        <v>45894</v>
      </c>
      <c r="L1593" s="33" t="n"/>
    </row>
    <row r="1594">
      <c r="A1594" t="inlineStr">
        <is>
          <t>CLM517380</t>
        </is>
      </c>
      <c r="B1594" t="inlineStr">
        <is>
          <t>ENC117380</t>
        </is>
      </c>
      <c r="C1594" t="inlineStr">
        <is>
          <t>State Medicaid</t>
        </is>
      </c>
      <c r="D1594" t="inlineStr">
        <is>
          <t>Emergency</t>
        </is>
      </c>
      <c r="E1594" s="29" t="n">
        <v>45873</v>
      </c>
      <c r="F1594" s="29" t="n">
        <v>45877</v>
      </c>
      <c r="G1594" s="31" t="n">
        <v>737.73</v>
      </c>
      <c r="H1594" s="31" t="n">
        <v>86.8</v>
      </c>
      <c r="I1594" t="inlineStr">
        <is>
          <t>Partially Paid</t>
        </is>
      </c>
      <c r="J1594" t="inlineStr">
        <is>
          <t>Missing Documentation</t>
        </is>
      </c>
      <c r="K1594" s="29" t="n">
        <v>45914</v>
      </c>
      <c r="L1594" s="33" t="n"/>
    </row>
    <row r="1595">
      <c r="A1595" t="inlineStr">
        <is>
          <t>CLM517381</t>
        </is>
      </c>
      <c r="B1595" t="inlineStr">
        <is>
          <t>ENC117381</t>
        </is>
      </c>
      <c r="C1595" t="inlineStr">
        <is>
          <t>Silverline Medicare Advantage</t>
        </is>
      </c>
      <c r="D1595" t="inlineStr">
        <is>
          <t>Observation</t>
        </is>
      </c>
      <c r="E1595" s="29" t="n">
        <v>45874</v>
      </c>
      <c r="F1595" s="29" t="n">
        <v>45880</v>
      </c>
      <c r="G1595" s="31" t="n">
        <v>14134.69</v>
      </c>
      <c r="H1595" s="31" t="n">
        <v>4728.81</v>
      </c>
      <c r="I1595" t="inlineStr">
        <is>
          <t>Paid</t>
        </is>
      </c>
      <c r="K1595" s="29" t="n">
        <v>45935</v>
      </c>
      <c r="L1595" s="33" t="n"/>
    </row>
    <row r="1596">
      <c r="A1596" t="inlineStr">
        <is>
          <t>CLM517390</t>
        </is>
      </c>
      <c r="B1596" t="inlineStr">
        <is>
          <t>ENC117390</t>
        </is>
      </c>
      <c r="C1596" t="inlineStr">
        <is>
          <t>Silverline Medicare Advantage</t>
        </is>
      </c>
      <c r="D1596" t="inlineStr">
        <is>
          <t>Inpatient</t>
        </is>
      </c>
      <c r="E1596" s="29" t="n">
        <v>45878</v>
      </c>
      <c r="F1596" s="29" t="n">
        <v>45880</v>
      </c>
      <c r="G1596" s="31" t="n">
        <v>21444.02</v>
      </c>
      <c r="H1596" s="31" t="n">
        <v>6866.78</v>
      </c>
      <c r="I1596" t="inlineStr">
        <is>
          <t>Paid</t>
        </is>
      </c>
      <c r="K1596" s="29" t="n">
        <v>45909</v>
      </c>
      <c r="L1596" s="33" t="n"/>
    </row>
    <row r="1597">
      <c r="A1597" t="inlineStr">
        <is>
          <t>CLM517391</t>
        </is>
      </c>
      <c r="B1597" t="inlineStr">
        <is>
          <t>ENC117391</t>
        </is>
      </c>
      <c r="C1597" t="inlineStr">
        <is>
          <t>Medicare</t>
        </is>
      </c>
      <c r="D1597" t="inlineStr">
        <is>
          <t>Inpatient</t>
        </is>
      </c>
      <c r="E1597" s="29" t="n">
        <v>45876</v>
      </c>
      <c r="F1597" s="29" t="n">
        <v>45881</v>
      </c>
      <c r="G1597" s="31" t="n">
        <v>23070.39</v>
      </c>
      <c r="H1597" s="31" t="n">
        <v>6273.79</v>
      </c>
      <c r="I1597" t="inlineStr">
        <is>
          <t>Paid</t>
        </is>
      </c>
      <c r="K1597" s="29" t="n">
        <v>45902</v>
      </c>
      <c r="L1597" s="33" t="n"/>
    </row>
    <row r="1598">
      <c r="A1598" t="inlineStr">
        <is>
          <t>CLM517393</t>
        </is>
      </c>
      <c r="B1598" t="inlineStr">
        <is>
          <t>ENC117393</t>
        </is>
      </c>
      <c r="C1598" t="inlineStr">
        <is>
          <t>State Medicaid</t>
        </is>
      </c>
      <c r="D1598" t="inlineStr">
        <is>
          <t>Emergency</t>
        </is>
      </c>
      <c r="E1598" s="29" t="n">
        <v>45874</v>
      </c>
      <c r="F1598" s="29" t="n">
        <v>45875</v>
      </c>
      <c r="G1598" s="31" t="n">
        <v>3721.55</v>
      </c>
      <c r="H1598" s="31" t="n">
        <v>0</v>
      </c>
      <c r="I1598" t="inlineStr">
        <is>
          <t>Denied</t>
        </is>
      </c>
      <c r="J1598" t="inlineStr">
        <is>
          <t>Authorization Required</t>
        </is>
      </c>
      <c r="L1598" s="33" t="n"/>
    </row>
    <row r="1599">
      <c r="A1599" t="inlineStr">
        <is>
          <t>CLM517394</t>
        </is>
      </c>
      <c r="B1599" t="inlineStr">
        <is>
          <t>ENC117394</t>
        </is>
      </c>
      <c r="C1599" t="inlineStr">
        <is>
          <t>Medicare</t>
        </is>
      </c>
      <c r="D1599" t="inlineStr">
        <is>
          <t>Inpatient</t>
        </is>
      </c>
      <c r="E1599" s="29" t="n">
        <v>45879</v>
      </c>
      <c r="F1599" s="29" t="n">
        <v>45884</v>
      </c>
      <c r="G1599" s="31" t="n">
        <v>37286.14</v>
      </c>
      <c r="H1599" s="31" t="n">
        <v>11397.91</v>
      </c>
      <c r="I1599" t="inlineStr">
        <is>
          <t>Paid</t>
        </is>
      </c>
      <c r="K1599" s="29" t="n">
        <v>45908</v>
      </c>
      <c r="L1599" s="33" t="n"/>
    </row>
    <row r="1600">
      <c r="A1600" t="inlineStr">
        <is>
          <t>CLM517399</t>
        </is>
      </c>
      <c r="B1600" t="inlineStr">
        <is>
          <t>ENC117399</t>
        </is>
      </c>
      <c r="C1600" t="inlineStr">
        <is>
          <t>Medicare</t>
        </is>
      </c>
      <c r="D1600" t="inlineStr">
        <is>
          <t>Emergency</t>
        </is>
      </c>
      <c r="E1600" s="29" t="n">
        <v>45874</v>
      </c>
      <c r="F1600" s="29" t="n">
        <v>45881</v>
      </c>
      <c r="G1600" s="31" t="n">
        <v>3448.29</v>
      </c>
      <c r="H1600" s="31" t="n">
        <v>918.14</v>
      </c>
      <c r="I1600" t="inlineStr">
        <is>
          <t>Paid</t>
        </is>
      </c>
      <c r="K1600" s="29" t="n">
        <v>45892</v>
      </c>
      <c r="L1600" s="33" t="n"/>
    </row>
    <row r="1601">
      <c r="A1601" t="inlineStr">
        <is>
          <t>CLM517400</t>
        </is>
      </c>
      <c r="B1601" t="inlineStr">
        <is>
          <t>ENC117400</t>
        </is>
      </c>
      <c r="C1601" t="inlineStr">
        <is>
          <t>Self-Pay</t>
        </is>
      </c>
      <c r="D1601" t="inlineStr">
        <is>
          <t>Outpatient</t>
        </is>
      </c>
      <c r="E1601" s="29" t="n">
        <v>45874</v>
      </c>
      <c r="F1601" s="29" t="n">
        <v>45877</v>
      </c>
      <c r="G1601" s="31" t="n">
        <v>324.14</v>
      </c>
      <c r="H1601" s="31" t="n">
        <v>14.96</v>
      </c>
      <c r="I1601" t="inlineStr">
        <is>
          <t>Partially Paid</t>
        </is>
      </c>
      <c r="K1601" s="29" t="n">
        <v>45929</v>
      </c>
      <c r="L1601" s="33" t="n"/>
    </row>
    <row r="1602">
      <c r="A1602" t="inlineStr">
        <is>
          <t>CLM517404</t>
        </is>
      </c>
      <c r="B1602" t="inlineStr">
        <is>
          <t>ENC117404</t>
        </is>
      </c>
      <c r="C1602" t="inlineStr">
        <is>
          <t>Self-Pay</t>
        </is>
      </c>
      <c r="D1602" t="inlineStr">
        <is>
          <t>Outpatient</t>
        </is>
      </c>
      <c r="E1602" s="29" t="n">
        <v>45874</v>
      </c>
      <c r="F1602" s="29" t="n">
        <v>45877</v>
      </c>
      <c r="G1602" s="31" t="n">
        <v>359.01</v>
      </c>
      <c r="H1602" s="31" t="n">
        <v>66.92</v>
      </c>
      <c r="I1602" t="inlineStr">
        <is>
          <t>Partially Paid</t>
        </is>
      </c>
      <c r="K1602" s="29" t="n">
        <v>45948</v>
      </c>
      <c r="L1602" s="33" t="n"/>
    </row>
    <row r="1603">
      <c r="A1603" t="inlineStr">
        <is>
          <t>CLM517405</t>
        </is>
      </c>
      <c r="B1603" t="inlineStr">
        <is>
          <t>ENC117405</t>
        </is>
      </c>
      <c r="C1603" t="inlineStr">
        <is>
          <t>Silverline Medicare Advantage</t>
        </is>
      </c>
      <c r="D1603" t="inlineStr">
        <is>
          <t>Outpatient</t>
        </is>
      </c>
      <c r="E1603" s="29" t="n">
        <v>45874</v>
      </c>
      <c r="F1603" s="29" t="n">
        <v>45878</v>
      </c>
      <c r="G1603" s="31" t="n">
        <v>192.43</v>
      </c>
      <c r="H1603" s="31" t="n">
        <v>0</v>
      </c>
      <c r="I1603" t="inlineStr">
        <is>
          <t>Denied</t>
        </is>
      </c>
      <c r="J1603" t="inlineStr">
        <is>
          <t>Coding Error</t>
        </is>
      </c>
      <c r="L1603" s="33" t="n"/>
    </row>
    <row r="1604">
      <c r="A1604" t="inlineStr">
        <is>
          <t>CLM517407</t>
        </is>
      </c>
      <c r="B1604" t="inlineStr">
        <is>
          <t>ENC117407</t>
        </is>
      </c>
      <c r="C1604" t="inlineStr">
        <is>
          <t>Self-Pay</t>
        </is>
      </c>
      <c r="D1604" t="inlineStr">
        <is>
          <t>Emergency</t>
        </is>
      </c>
      <c r="E1604" s="29" t="n">
        <v>45874</v>
      </c>
      <c r="F1604" s="29" t="n">
        <v>45878</v>
      </c>
      <c r="G1604" s="31" t="n">
        <v>5235.69</v>
      </c>
      <c r="H1604" s="31" t="n">
        <v>0</v>
      </c>
      <c r="I1604" t="inlineStr">
        <is>
          <t>Pending</t>
        </is>
      </c>
      <c r="L1604" s="33" t="n"/>
    </row>
    <row r="1605">
      <c r="A1605" t="inlineStr">
        <is>
          <t>CLM517411</t>
        </is>
      </c>
      <c r="B1605" t="inlineStr">
        <is>
          <t>ENC117411</t>
        </is>
      </c>
      <c r="C1605" t="inlineStr">
        <is>
          <t>Silverline Medicare Advantage</t>
        </is>
      </c>
      <c r="D1605" t="inlineStr">
        <is>
          <t>Inpatient</t>
        </is>
      </c>
      <c r="E1605" s="29" t="n">
        <v>45879</v>
      </c>
      <c r="F1605" s="29" t="n">
        <v>45881</v>
      </c>
      <c r="G1605" s="31" t="n">
        <v>48814.25</v>
      </c>
      <c r="H1605" s="31" t="n">
        <v>15823.87</v>
      </c>
      <c r="I1605" t="inlineStr">
        <is>
          <t>Paid</t>
        </is>
      </c>
      <c r="K1605" s="29" t="n">
        <v>45907</v>
      </c>
      <c r="L1605" s="33" t="n"/>
    </row>
    <row r="1606">
      <c r="A1606" t="inlineStr">
        <is>
          <t>CLM517412</t>
        </is>
      </c>
      <c r="B1606" t="inlineStr">
        <is>
          <t>ENC117412</t>
        </is>
      </c>
      <c r="C1606" t="inlineStr">
        <is>
          <t>Silverline Medicare Advantage</t>
        </is>
      </c>
      <c r="D1606" t="inlineStr">
        <is>
          <t>Observation</t>
        </is>
      </c>
      <c r="E1606" s="29" t="n">
        <v>45876</v>
      </c>
      <c r="F1606" s="29" t="n">
        <v>45882</v>
      </c>
      <c r="G1606" s="31" t="n">
        <v>10205.9</v>
      </c>
      <c r="H1606" s="31" t="n">
        <v>3627.44</v>
      </c>
      <c r="I1606" t="inlineStr">
        <is>
          <t>Paid</t>
        </is>
      </c>
      <c r="K1606" s="29" t="n">
        <v>45900</v>
      </c>
      <c r="L1606" s="33" t="n"/>
    </row>
    <row r="1607">
      <c r="A1607" t="inlineStr">
        <is>
          <t>CLM517413</t>
        </is>
      </c>
      <c r="B1607" t="inlineStr">
        <is>
          <t>ENC117413</t>
        </is>
      </c>
      <c r="C1607" t="inlineStr">
        <is>
          <t>Silverline Medicare Advantage</t>
        </is>
      </c>
      <c r="D1607" t="inlineStr">
        <is>
          <t>Emergency</t>
        </is>
      </c>
      <c r="E1607" s="29" t="n">
        <v>45875</v>
      </c>
      <c r="F1607" s="29" t="n">
        <v>45877</v>
      </c>
      <c r="G1607" s="31" t="n">
        <v>1758.05</v>
      </c>
      <c r="H1607" s="31" t="n">
        <v>544.5700000000001</v>
      </c>
      <c r="I1607" t="inlineStr">
        <is>
          <t>Paid</t>
        </is>
      </c>
      <c r="K1607" s="29" t="n">
        <v>45919</v>
      </c>
      <c r="L1607" s="33" t="n"/>
    </row>
    <row r="1608">
      <c r="A1608" t="inlineStr">
        <is>
          <t>CLM517416</t>
        </is>
      </c>
      <c r="B1608" t="inlineStr">
        <is>
          <t>ENC117416</t>
        </is>
      </c>
      <c r="C1608" t="inlineStr">
        <is>
          <t>Keystone Health Partners</t>
        </is>
      </c>
      <c r="D1608" t="inlineStr">
        <is>
          <t>Inpatient</t>
        </is>
      </c>
      <c r="E1608" s="29" t="n">
        <v>45877</v>
      </c>
      <c r="F1608" s="29" t="n">
        <v>45879</v>
      </c>
      <c r="G1608" s="31" t="n">
        <v>46182.54</v>
      </c>
      <c r="H1608" s="31" t="n">
        <v>23014.84</v>
      </c>
      <c r="I1608" t="inlineStr">
        <is>
          <t>Paid</t>
        </is>
      </c>
      <c r="K1608" s="29" t="n">
        <v>45903</v>
      </c>
      <c r="L1608" s="33" t="n"/>
    </row>
    <row r="1609">
      <c r="A1609" t="inlineStr">
        <is>
          <t>CLM517419</t>
        </is>
      </c>
      <c r="B1609" t="inlineStr">
        <is>
          <t>ENC117419</t>
        </is>
      </c>
      <c r="C1609" t="inlineStr">
        <is>
          <t>Keystone Health Partners</t>
        </is>
      </c>
      <c r="D1609" t="inlineStr">
        <is>
          <t>Outpatient</t>
        </is>
      </c>
      <c r="E1609" s="29" t="n">
        <v>45875</v>
      </c>
      <c r="F1609" s="29" t="n">
        <v>45879</v>
      </c>
      <c r="G1609" s="31" t="n">
        <v>281.48</v>
      </c>
      <c r="H1609" s="31" t="n">
        <v>139.33</v>
      </c>
      <c r="I1609" t="inlineStr">
        <is>
          <t>Paid</t>
        </is>
      </c>
      <c r="K1609" s="29" t="n">
        <v>45898</v>
      </c>
      <c r="L1609" s="33" t="n"/>
    </row>
    <row r="1610">
      <c r="A1610" t="inlineStr">
        <is>
          <t>CLM517420</t>
        </is>
      </c>
      <c r="B1610" t="inlineStr">
        <is>
          <t>ENC117420</t>
        </is>
      </c>
      <c r="C1610" t="inlineStr">
        <is>
          <t>Keystone Health Partners</t>
        </is>
      </c>
      <c r="D1610" t="inlineStr">
        <is>
          <t>Emergency</t>
        </is>
      </c>
      <c r="E1610" s="29" t="n">
        <v>45875</v>
      </c>
      <c r="F1610" s="29" t="n">
        <v>45880</v>
      </c>
      <c r="G1610" s="31" t="n">
        <v>775.45</v>
      </c>
      <c r="H1610" s="31" t="n">
        <v>351.44</v>
      </c>
      <c r="I1610" t="inlineStr">
        <is>
          <t>Paid</t>
        </is>
      </c>
      <c r="K1610" s="29" t="n">
        <v>45908</v>
      </c>
      <c r="L1610" s="33" t="n"/>
    </row>
    <row r="1611">
      <c r="A1611" t="inlineStr">
        <is>
          <t>CLM517422</t>
        </is>
      </c>
      <c r="B1611" t="inlineStr">
        <is>
          <t>ENC117422</t>
        </is>
      </c>
      <c r="C1611" t="inlineStr">
        <is>
          <t>State Medicaid</t>
        </is>
      </c>
      <c r="D1611" t="inlineStr">
        <is>
          <t>Emergency</t>
        </is>
      </c>
      <c r="E1611" s="29" t="n">
        <v>45875</v>
      </c>
      <c r="F1611" s="29" t="n">
        <v>45878</v>
      </c>
      <c r="G1611" s="31" t="n">
        <v>1933.66</v>
      </c>
      <c r="H1611" s="31" t="n">
        <v>471.26</v>
      </c>
      <c r="I1611" t="inlineStr">
        <is>
          <t>Paid</t>
        </is>
      </c>
      <c r="K1611" s="29" t="n">
        <v>45901</v>
      </c>
      <c r="L1611" s="33" t="n"/>
    </row>
    <row r="1612">
      <c r="A1612" t="inlineStr">
        <is>
          <t>CLM517429</t>
        </is>
      </c>
      <c r="B1612" t="inlineStr">
        <is>
          <t>ENC117429</t>
        </is>
      </c>
      <c r="C1612" t="inlineStr">
        <is>
          <t>Medicare</t>
        </is>
      </c>
      <c r="D1612" t="inlineStr">
        <is>
          <t>Outpatient</t>
        </is>
      </c>
      <c r="E1612" s="29" t="n">
        <v>45875</v>
      </c>
      <c r="F1612" s="29" t="n">
        <v>45878</v>
      </c>
      <c r="G1612" s="31" t="n">
        <v>488.58</v>
      </c>
      <c r="H1612" s="31" t="n">
        <v>152.94</v>
      </c>
      <c r="I1612" t="inlineStr">
        <is>
          <t>Paid</t>
        </is>
      </c>
      <c r="K1612" s="29" t="n">
        <v>45889</v>
      </c>
      <c r="L1612" s="33" t="n"/>
    </row>
    <row r="1613">
      <c r="A1613" t="inlineStr">
        <is>
          <t>CLM517433</t>
        </is>
      </c>
      <c r="B1613" t="inlineStr">
        <is>
          <t>ENC117433</t>
        </is>
      </c>
      <c r="C1613" t="inlineStr">
        <is>
          <t>Keystone Health Partners</t>
        </is>
      </c>
      <c r="D1613" t="inlineStr">
        <is>
          <t>Outpatient</t>
        </is>
      </c>
      <c r="E1613" s="29" t="n">
        <v>45875</v>
      </c>
      <c r="F1613" s="29" t="n">
        <v>45878</v>
      </c>
      <c r="G1613" s="31" t="n">
        <v>236.72</v>
      </c>
      <c r="H1613" s="31" t="n">
        <v>0</v>
      </c>
      <c r="I1613" t="inlineStr">
        <is>
          <t>Denied</t>
        </is>
      </c>
      <c r="J1613" t="inlineStr">
        <is>
          <t>Authorization Required</t>
        </is>
      </c>
      <c r="L1613" s="33" t="n"/>
    </row>
    <row r="1614">
      <c r="A1614" t="inlineStr">
        <is>
          <t>CLM517434</t>
        </is>
      </c>
      <c r="B1614" t="inlineStr">
        <is>
          <t>ENC117434</t>
        </is>
      </c>
      <c r="C1614" t="inlineStr">
        <is>
          <t>Evergreen Mutual Insurance</t>
        </is>
      </c>
      <c r="D1614" t="inlineStr">
        <is>
          <t>Outpatient</t>
        </is>
      </c>
      <c r="E1614" s="29" t="n">
        <v>45875</v>
      </c>
      <c r="F1614" s="29" t="n">
        <v>45880</v>
      </c>
      <c r="G1614" s="31" t="n">
        <v>215.91</v>
      </c>
      <c r="H1614" s="31" t="n">
        <v>91.64</v>
      </c>
      <c r="I1614" t="inlineStr">
        <is>
          <t>Paid</t>
        </is>
      </c>
      <c r="K1614" s="29" t="n">
        <v>45920</v>
      </c>
      <c r="L1614" s="33" t="n"/>
    </row>
    <row r="1615">
      <c r="A1615" t="inlineStr">
        <is>
          <t>CLM517436</t>
        </is>
      </c>
      <c r="B1615" t="inlineStr">
        <is>
          <t>ENC117436</t>
        </is>
      </c>
      <c r="C1615" t="inlineStr">
        <is>
          <t>Evergreen Mutual Insurance</t>
        </is>
      </c>
      <c r="D1615" t="inlineStr">
        <is>
          <t>Inpatient</t>
        </is>
      </c>
      <c r="E1615" s="29" t="n">
        <v>45876</v>
      </c>
      <c r="F1615" s="29" t="n">
        <v>45878</v>
      </c>
      <c r="G1615" s="31" t="n">
        <v>23177.38</v>
      </c>
      <c r="H1615" s="31" t="n">
        <v>9136.18</v>
      </c>
      <c r="I1615" t="inlineStr">
        <is>
          <t>Paid</t>
        </is>
      </c>
      <c r="K1615" s="29" t="n">
        <v>45916</v>
      </c>
      <c r="L1615" s="33" t="n"/>
    </row>
    <row r="1616">
      <c r="A1616" t="inlineStr">
        <is>
          <t>CLM517439</t>
        </is>
      </c>
      <c r="B1616" t="inlineStr">
        <is>
          <t>ENC117439</t>
        </is>
      </c>
      <c r="C1616" t="inlineStr">
        <is>
          <t>Medicare</t>
        </is>
      </c>
      <c r="D1616" t="inlineStr">
        <is>
          <t>Emergency</t>
        </is>
      </c>
      <c r="E1616" s="29" t="n">
        <v>45875</v>
      </c>
      <c r="F1616" s="29" t="n">
        <v>45877</v>
      </c>
      <c r="G1616" s="31" t="n">
        <v>2750.36</v>
      </c>
      <c r="H1616" s="31" t="n">
        <v>768.62</v>
      </c>
      <c r="I1616" t="inlineStr">
        <is>
          <t>Paid</t>
        </is>
      </c>
      <c r="K1616" s="29" t="n">
        <v>45887</v>
      </c>
      <c r="L1616" s="33" t="n"/>
    </row>
    <row r="1617">
      <c r="A1617" t="inlineStr">
        <is>
          <t>CLM517441</t>
        </is>
      </c>
      <c r="B1617" t="inlineStr">
        <is>
          <t>ENC117441</t>
        </is>
      </c>
      <c r="C1617" t="inlineStr">
        <is>
          <t>Summit Choice PPO</t>
        </is>
      </c>
      <c r="D1617" t="inlineStr">
        <is>
          <t>Emergency</t>
        </is>
      </c>
      <c r="E1617" s="29" t="n">
        <v>45875</v>
      </c>
      <c r="F1617" s="29" t="n">
        <v>45878</v>
      </c>
      <c r="G1617" s="31" t="n">
        <v>3913.98</v>
      </c>
      <c r="H1617" s="31" t="n">
        <v>1675.13</v>
      </c>
      <c r="I1617" t="inlineStr">
        <is>
          <t>Paid</t>
        </is>
      </c>
      <c r="K1617" s="29" t="n">
        <v>45898</v>
      </c>
      <c r="L1617" s="33" t="n"/>
    </row>
    <row r="1618">
      <c r="A1618" t="inlineStr">
        <is>
          <t>CLM517454</t>
        </is>
      </c>
      <c r="B1618" t="inlineStr">
        <is>
          <t>ENC117454</t>
        </is>
      </c>
      <c r="C1618" t="inlineStr">
        <is>
          <t>Medicare</t>
        </is>
      </c>
      <c r="D1618" t="inlineStr">
        <is>
          <t>Outpatient</t>
        </is>
      </c>
      <c r="E1618" s="29" t="n">
        <v>45876</v>
      </c>
      <c r="F1618" s="29" t="n">
        <v>45881</v>
      </c>
      <c r="G1618" s="31" t="n">
        <v>588.99</v>
      </c>
      <c r="H1618" s="31" t="n">
        <v>158.26</v>
      </c>
      <c r="I1618" t="inlineStr">
        <is>
          <t>Paid</t>
        </is>
      </c>
      <c r="K1618" s="29" t="n">
        <v>45892</v>
      </c>
      <c r="L1618" s="33" t="n"/>
    </row>
    <row r="1619">
      <c r="A1619" t="inlineStr">
        <is>
          <t>CLM517458</t>
        </is>
      </c>
      <c r="B1619" t="inlineStr">
        <is>
          <t>ENC117458</t>
        </is>
      </c>
      <c r="C1619" t="inlineStr">
        <is>
          <t>State Medicaid</t>
        </is>
      </c>
      <c r="D1619" t="inlineStr">
        <is>
          <t>Outpatient</t>
        </is>
      </c>
      <c r="E1619" s="29" t="n">
        <v>45876</v>
      </c>
      <c r="F1619" s="29" t="n">
        <v>45878</v>
      </c>
      <c r="G1619" s="31" t="n">
        <v>136.82</v>
      </c>
      <c r="H1619" s="31" t="n">
        <v>30.7</v>
      </c>
      <c r="I1619" t="inlineStr">
        <is>
          <t>Paid</t>
        </is>
      </c>
      <c r="K1619" s="29" t="n">
        <v>45912</v>
      </c>
      <c r="L1619" s="33" t="n"/>
    </row>
    <row r="1620">
      <c r="A1620" t="inlineStr">
        <is>
          <t>CLM517459</t>
        </is>
      </c>
      <c r="B1620" t="inlineStr">
        <is>
          <t>ENC117459</t>
        </is>
      </c>
      <c r="C1620" t="inlineStr">
        <is>
          <t>Summit Choice PPO</t>
        </is>
      </c>
      <c r="D1620" t="inlineStr">
        <is>
          <t>Outpatient</t>
        </is>
      </c>
      <c r="E1620" s="29" t="n">
        <v>45876</v>
      </c>
      <c r="F1620" s="29" t="n">
        <v>45880</v>
      </c>
      <c r="G1620" s="31" t="n">
        <v>208.64</v>
      </c>
      <c r="H1620" s="31" t="n">
        <v>99.55</v>
      </c>
      <c r="I1620" t="inlineStr">
        <is>
          <t>Paid</t>
        </is>
      </c>
      <c r="K1620" s="29" t="n">
        <v>45899</v>
      </c>
      <c r="L1620" s="33" t="n"/>
    </row>
    <row r="1621">
      <c r="A1621" t="inlineStr">
        <is>
          <t>CLM517463</t>
        </is>
      </c>
      <c r="B1621" t="inlineStr">
        <is>
          <t>ENC117463</t>
        </is>
      </c>
      <c r="C1621" t="inlineStr">
        <is>
          <t>Medicare</t>
        </is>
      </c>
      <c r="D1621" t="inlineStr">
        <is>
          <t>Outpatient</t>
        </is>
      </c>
      <c r="E1621" s="29" t="n">
        <v>45876</v>
      </c>
      <c r="F1621" s="29" t="n">
        <v>45882</v>
      </c>
      <c r="G1621" s="31" t="n">
        <v>428.69</v>
      </c>
      <c r="H1621" s="31" t="n">
        <v>116.63</v>
      </c>
      <c r="I1621" t="inlineStr">
        <is>
          <t>Paid</t>
        </is>
      </c>
      <c r="K1621" s="29" t="n">
        <v>45895</v>
      </c>
      <c r="L1621" s="33" t="n"/>
    </row>
    <row r="1622">
      <c r="A1622" t="inlineStr">
        <is>
          <t>CLM517467</t>
        </is>
      </c>
      <c r="B1622" t="inlineStr">
        <is>
          <t>ENC117467</t>
        </is>
      </c>
      <c r="C1622" t="inlineStr">
        <is>
          <t>State Medicaid</t>
        </is>
      </c>
      <c r="D1622" t="inlineStr">
        <is>
          <t>Inpatient</t>
        </is>
      </c>
      <c r="E1622" s="29" t="n">
        <v>45881</v>
      </c>
      <c r="F1622" s="29" t="n">
        <v>45882</v>
      </c>
      <c r="G1622" s="31" t="n">
        <v>20830.58</v>
      </c>
      <c r="H1622" s="31" t="n">
        <v>4824.17</v>
      </c>
      <c r="I1622" t="inlineStr">
        <is>
          <t>Paid</t>
        </is>
      </c>
      <c r="K1622" s="29" t="n">
        <v>45913</v>
      </c>
      <c r="L1622" s="33" t="n"/>
    </row>
    <row r="1623">
      <c r="A1623" t="inlineStr">
        <is>
          <t>CLM517474</t>
        </is>
      </c>
      <c r="B1623" t="inlineStr">
        <is>
          <t>ENC117474</t>
        </is>
      </c>
      <c r="C1623" t="inlineStr">
        <is>
          <t>Silverline Medicare Advantage</t>
        </is>
      </c>
      <c r="D1623" t="inlineStr">
        <is>
          <t>Outpatient</t>
        </is>
      </c>
      <c r="E1623" s="29" t="n">
        <v>45877</v>
      </c>
      <c r="F1623" s="29" t="n">
        <v>45881</v>
      </c>
      <c r="G1623" s="31" t="n">
        <v>101.8</v>
      </c>
      <c r="H1623" s="31" t="n">
        <v>30.03</v>
      </c>
      <c r="I1623" t="inlineStr">
        <is>
          <t>Paid</t>
        </is>
      </c>
      <c r="K1623" s="29" t="n">
        <v>45928</v>
      </c>
      <c r="L1623" s="33" t="n"/>
    </row>
    <row r="1624">
      <c r="A1624" t="inlineStr">
        <is>
          <t>CLM517475</t>
        </is>
      </c>
      <c r="B1624" t="inlineStr">
        <is>
          <t>ENC117475</t>
        </is>
      </c>
      <c r="C1624" t="inlineStr">
        <is>
          <t>Keystone Health Partners</t>
        </is>
      </c>
      <c r="D1624" t="inlineStr">
        <is>
          <t>Outpatient</t>
        </is>
      </c>
      <c r="E1624" s="29" t="n">
        <v>45877</v>
      </c>
      <c r="F1624" s="29" t="n">
        <v>45882</v>
      </c>
      <c r="G1624" s="31" t="n">
        <v>439</v>
      </c>
      <c r="H1624" s="31" t="n">
        <v>0</v>
      </c>
      <c r="I1624" t="inlineStr">
        <is>
          <t>Denied</t>
        </is>
      </c>
      <c r="J1624" t="inlineStr">
        <is>
          <t>Authorization Required</t>
        </is>
      </c>
      <c r="L1624" s="33" t="n"/>
    </row>
    <row r="1625">
      <c r="A1625" t="inlineStr">
        <is>
          <t>CLM517476</t>
        </is>
      </c>
      <c r="B1625" t="inlineStr">
        <is>
          <t>ENC117476</t>
        </is>
      </c>
      <c r="C1625" t="inlineStr">
        <is>
          <t>Silverline Medicare Advantage</t>
        </is>
      </c>
      <c r="D1625" t="inlineStr">
        <is>
          <t>Outpatient</t>
        </is>
      </c>
      <c r="E1625" s="29" t="n">
        <v>45877</v>
      </c>
      <c r="F1625" s="29" t="n">
        <v>45882</v>
      </c>
      <c r="G1625" s="31" t="n">
        <v>346.94</v>
      </c>
      <c r="H1625" s="31" t="n">
        <v>117.07</v>
      </c>
      <c r="I1625" t="inlineStr">
        <is>
          <t>Paid</t>
        </is>
      </c>
      <c r="K1625" s="29" t="n">
        <v>45927</v>
      </c>
      <c r="L1625" s="33" t="n"/>
    </row>
    <row r="1626">
      <c r="A1626" t="inlineStr">
        <is>
          <t>CLM517479</t>
        </is>
      </c>
      <c r="B1626" t="inlineStr">
        <is>
          <t>ENC117479</t>
        </is>
      </c>
      <c r="C1626" t="inlineStr">
        <is>
          <t>Keystone Health Partners</t>
        </is>
      </c>
      <c r="D1626" t="inlineStr">
        <is>
          <t>Outpatient</t>
        </is>
      </c>
      <c r="E1626" s="29" t="n">
        <v>45877</v>
      </c>
      <c r="F1626" s="29" t="n">
        <v>45887</v>
      </c>
      <c r="G1626" s="31" t="n">
        <v>373.45</v>
      </c>
      <c r="H1626" s="31" t="n">
        <v>0</v>
      </c>
      <c r="I1626" t="inlineStr">
        <is>
          <t>Appealed</t>
        </is>
      </c>
      <c r="J1626" t="inlineStr">
        <is>
          <t>Eligibility / Coverage</t>
        </is>
      </c>
      <c r="L1626" s="33" t="n"/>
    </row>
    <row r="1627">
      <c r="A1627" t="inlineStr">
        <is>
          <t>CLM517483</t>
        </is>
      </c>
      <c r="B1627" t="inlineStr">
        <is>
          <t>ENC117483</t>
        </is>
      </c>
      <c r="C1627" t="inlineStr">
        <is>
          <t>Keystone Health Partners</t>
        </is>
      </c>
      <c r="D1627" t="inlineStr">
        <is>
          <t>Outpatient</t>
        </is>
      </c>
      <c r="E1627" s="29" t="n">
        <v>45877</v>
      </c>
      <c r="F1627" s="29" t="n">
        <v>45881</v>
      </c>
      <c r="G1627" s="31" t="n">
        <v>262.96</v>
      </c>
      <c r="H1627" s="31" t="n">
        <v>130.04</v>
      </c>
      <c r="I1627" t="inlineStr">
        <is>
          <t>Paid</t>
        </is>
      </c>
      <c r="K1627" s="29" t="n">
        <v>45909</v>
      </c>
      <c r="L1627" s="33" t="n"/>
    </row>
    <row r="1628">
      <c r="A1628" t="inlineStr">
        <is>
          <t>CLM517485</t>
        </is>
      </c>
      <c r="B1628" t="inlineStr">
        <is>
          <t>ENC117485</t>
        </is>
      </c>
      <c r="C1628" t="inlineStr">
        <is>
          <t>Evergreen Mutual Insurance</t>
        </is>
      </c>
      <c r="D1628" t="inlineStr">
        <is>
          <t>Inpatient</t>
        </is>
      </c>
      <c r="E1628" s="29" t="n">
        <v>45880</v>
      </c>
      <c r="F1628" s="29" t="n">
        <v>45888</v>
      </c>
      <c r="G1628" s="31" t="n">
        <v>39304.68</v>
      </c>
      <c r="H1628" s="31" t="n">
        <v>0</v>
      </c>
      <c r="I1628" t="inlineStr">
        <is>
          <t>Denied</t>
        </is>
      </c>
      <c r="J1628" t="inlineStr">
        <is>
          <t>Missing Documentation</t>
        </is>
      </c>
      <c r="L1628" s="33" t="n"/>
    </row>
    <row r="1629">
      <c r="A1629" t="inlineStr">
        <is>
          <t>CLM517497</t>
        </is>
      </c>
      <c r="B1629" t="inlineStr">
        <is>
          <t>ENC117497</t>
        </is>
      </c>
      <c r="C1629" t="inlineStr">
        <is>
          <t>Silverline Medicare Advantage</t>
        </is>
      </c>
      <c r="D1629" t="inlineStr">
        <is>
          <t>Observation</t>
        </is>
      </c>
      <c r="E1629" s="29" t="n">
        <v>45879</v>
      </c>
      <c r="F1629" s="29" t="n">
        <v>45889</v>
      </c>
      <c r="G1629" s="31" t="n">
        <v>11601.91</v>
      </c>
      <c r="H1629" s="31" t="n">
        <v>3705.79</v>
      </c>
      <c r="I1629" t="inlineStr">
        <is>
          <t>Paid</t>
        </is>
      </c>
      <c r="K1629" s="29" t="n">
        <v>45912</v>
      </c>
      <c r="L1629" s="33" t="n"/>
    </row>
    <row r="1630">
      <c r="A1630" t="inlineStr">
        <is>
          <t>CLM517505</t>
        </is>
      </c>
      <c r="B1630" t="inlineStr">
        <is>
          <t>ENC117505</t>
        </is>
      </c>
      <c r="C1630" t="inlineStr">
        <is>
          <t>Keystone Health Partners</t>
        </is>
      </c>
      <c r="D1630" t="inlineStr">
        <is>
          <t>Emergency</t>
        </is>
      </c>
      <c r="E1630" s="29" t="n">
        <v>45878</v>
      </c>
      <c r="F1630" s="29" t="n">
        <v>45881</v>
      </c>
      <c r="G1630" s="31" t="n">
        <v>771.8099999999999</v>
      </c>
      <c r="H1630" s="31" t="n">
        <v>308.64</v>
      </c>
      <c r="I1630" t="inlineStr">
        <is>
          <t>Paid</t>
        </is>
      </c>
      <c r="K1630" s="29" t="n">
        <v>45894</v>
      </c>
      <c r="L1630" s="33" t="n"/>
    </row>
    <row r="1631">
      <c r="A1631" t="inlineStr">
        <is>
          <t>CLM517508</t>
        </is>
      </c>
      <c r="B1631" t="inlineStr">
        <is>
          <t>ENC117508</t>
        </is>
      </c>
      <c r="C1631" t="inlineStr">
        <is>
          <t>Evergreen Mutual Insurance</t>
        </is>
      </c>
      <c r="D1631" t="inlineStr">
        <is>
          <t>Observation</t>
        </is>
      </c>
      <c r="E1631" s="29" t="n">
        <v>45879</v>
      </c>
      <c r="F1631" s="29" t="n">
        <v>46017</v>
      </c>
      <c r="G1631" s="31" t="n">
        <v>10941.02</v>
      </c>
      <c r="H1631" s="31" t="n">
        <v>0</v>
      </c>
      <c r="I1631" t="inlineStr">
        <is>
          <t>Denied</t>
        </is>
      </c>
      <c r="J1631" t="inlineStr">
        <is>
          <t>Timely Filing</t>
        </is>
      </c>
      <c r="L1631" s="33" t="n"/>
    </row>
    <row r="1632">
      <c r="A1632" t="inlineStr">
        <is>
          <t>CLM517511</t>
        </is>
      </c>
      <c r="B1632" t="inlineStr">
        <is>
          <t>ENC117511</t>
        </is>
      </c>
      <c r="C1632" t="inlineStr">
        <is>
          <t>Medicare</t>
        </is>
      </c>
      <c r="D1632" t="inlineStr">
        <is>
          <t>Emergency</t>
        </is>
      </c>
      <c r="E1632" s="29" t="n">
        <v>45878</v>
      </c>
      <c r="F1632" s="29" t="n">
        <v>45882</v>
      </c>
      <c r="G1632" s="31" t="n">
        <v>2798.39</v>
      </c>
      <c r="H1632" s="31" t="n">
        <v>760.45</v>
      </c>
      <c r="I1632" t="inlineStr">
        <is>
          <t>Paid</t>
        </is>
      </c>
      <c r="K1632" s="29" t="n">
        <v>45893</v>
      </c>
      <c r="L1632" s="33" t="n"/>
    </row>
    <row r="1633">
      <c r="A1633" t="inlineStr">
        <is>
          <t>CLM517526</t>
        </is>
      </c>
      <c r="B1633" t="inlineStr">
        <is>
          <t>ENC117526</t>
        </is>
      </c>
      <c r="C1633" t="inlineStr">
        <is>
          <t>Medicare</t>
        </is>
      </c>
      <c r="D1633" t="inlineStr">
        <is>
          <t>Emergency</t>
        </is>
      </c>
      <c r="E1633" s="29" t="n">
        <v>45879</v>
      </c>
      <c r="F1633" s="29" t="n">
        <v>45892</v>
      </c>
      <c r="G1633" s="31" t="n">
        <v>1378.65</v>
      </c>
      <c r="H1633" s="31" t="n">
        <v>389.95</v>
      </c>
      <c r="I1633" t="inlineStr">
        <is>
          <t>Paid</t>
        </is>
      </c>
      <c r="K1633" s="29" t="n">
        <v>45908</v>
      </c>
      <c r="L1633" s="33" t="n"/>
    </row>
    <row r="1634">
      <c r="A1634" t="inlineStr">
        <is>
          <t>CLM517527</t>
        </is>
      </c>
      <c r="B1634" t="inlineStr">
        <is>
          <t>ENC117527</t>
        </is>
      </c>
      <c r="C1634" t="inlineStr">
        <is>
          <t>Medicare</t>
        </is>
      </c>
      <c r="D1634" t="inlineStr">
        <is>
          <t>Observation</t>
        </is>
      </c>
      <c r="E1634" s="29" t="n">
        <v>45880</v>
      </c>
      <c r="F1634" s="29" t="n">
        <v>45887</v>
      </c>
      <c r="G1634" s="31" t="n">
        <v>12658.3</v>
      </c>
      <c r="H1634" s="31" t="n">
        <v>2998.75</v>
      </c>
      <c r="I1634" t="inlineStr">
        <is>
          <t>Paid</t>
        </is>
      </c>
      <c r="K1634" s="29" t="n">
        <v>45901</v>
      </c>
      <c r="L1634" s="33" t="n"/>
    </row>
    <row r="1635">
      <c r="A1635" t="inlineStr">
        <is>
          <t>CLM517537</t>
        </is>
      </c>
      <c r="B1635" t="inlineStr">
        <is>
          <t>ENC117537</t>
        </is>
      </c>
      <c r="C1635" t="inlineStr">
        <is>
          <t>Self-Pay</t>
        </is>
      </c>
      <c r="D1635" t="inlineStr">
        <is>
          <t>Outpatient</t>
        </is>
      </c>
      <c r="E1635" s="29" t="n">
        <v>45880</v>
      </c>
      <c r="F1635" s="29" t="n">
        <v>45882</v>
      </c>
      <c r="G1635" s="31" t="n">
        <v>550.71</v>
      </c>
      <c r="H1635" s="31" t="n">
        <v>72.22</v>
      </c>
      <c r="I1635" t="inlineStr">
        <is>
          <t>Partially Paid</t>
        </is>
      </c>
      <c r="K1635" s="29" t="n">
        <v>45938</v>
      </c>
      <c r="L1635" s="33" t="n"/>
    </row>
    <row r="1636">
      <c r="A1636" t="inlineStr">
        <is>
          <t>CLM517539</t>
        </is>
      </c>
      <c r="B1636" t="inlineStr">
        <is>
          <t>ENC117539</t>
        </is>
      </c>
      <c r="C1636" t="inlineStr">
        <is>
          <t>Self-Pay</t>
        </is>
      </c>
      <c r="D1636" t="inlineStr">
        <is>
          <t>Inpatient</t>
        </is>
      </c>
      <c r="E1636" s="29" t="n">
        <v>45884</v>
      </c>
      <c r="F1636" s="29" t="n">
        <v>45888</v>
      </c>
      <c r="G1636" s="31" t="n">
        <v>31709.26</v>
      </c>
      <c r="H1636" s="31" t="n">
        <v>4725.99</v>
      </c>
      <c r="I1636" t="inlineStr">
        <is>
          <t>Partially Paid</t>
        </is>
      </c>
      <c r="K1636" s="29" t="n">
        <v>45944</v>
      </c>
      <c r="L1636" s="33" t="n"/>
    </row>
    <row r="1637">
      <c r="A1637" t="inlineStr">
        <is>
          <t>CLM517540</t>
        </is>
      </c>
      <c r="B1637" t="inlineStr">
        <is>
          <t>ENC117540</t>
        </is>
      </c>
      <c r="C1637" t="inlineStr">
        <is>
          <t>State Medicaid</t>
        </is>
      </c>
      <c r="D1637" t="inlineStr">
        <is>
          <t>Outpatient</t>
        </is>
      </c>
      <c r="E1637" s="29" t="n">
        <v>45880</v>
      </c>
      <c r="F1637" s="29" t="n">
        <v>45882</v>
      </c>
      <c r="G1637" s="31" t="n">
        <v>481.57</v>
      </c>
      <c r="H1637" s="31" t="n">
        <v>0</v>
      </c>
      <c r="I1637" t="inlineStr">
        <is>
          <t>Denied</t>
        </is>
      </c>
      <c r="J1637" t="inlineStr">
        <is>
          <t>Coding Error</t>
        </is>
      </c>
      <c r="L1637" s="33" t="n"/>
    </row>
    <row r="1638">
      <c r="A1638" t="inlineStr">
        <is>
          <t>CLM517542</t>
        </is>
      </c>
      <c r="B1638" t="inlineStr">
        <is>
          <t>ENC117542</t>
        </is>
      </c>
      <c r="C1638" t="inlineStr">
        <is>
          <t>Evergreen Mutual Insurance</t>
        </is>
      </c>
      <c r="D1638" t="inlineStr">
        <is>
          <t>Emergency</t>
        </is>
      </c>
      <c r="E1638" s="29" t="n">
        <v>45880</v>
      </c>
      <c r="F1638" s="29" t="n">
        <v>45886</v>
      </c>
      <c r="G1638" s="31" t="n">
        <v>3479.93</v>
      </c>
      <c r="H1638" s="31" t="n">
        <v>1326.45</v>
      </c>
      <c r="I1638" t="inlineStr">
        <is>
          <t>Paid</t>
        </is>
      </c>
      <c r="K1638" s="29" t="n">
        <v>45918</v>
      </c>
      <c r="L1638" s="33" t="n"/>
    </row>
    <row r="1639">
      <c r="A1639" t="inlineStr">
        <is>
          <t>CLM517547</t>
        </is>
      </c>
      <c r="B1639" t="inlineStr">
        <is>
          <t>ENC117547</t>
        </is>
      </c>
      <c r="C1639" t="inlineStr">
        <is>
          <t>Keystone Health Partners</t>
        </is>
      </c>
      <c r="D1639" t="inlineStr">
        <is>
          <t>Outpatient</t>
        </is>
      </c>
      <c r="E1639" s="29" t="n">
        <v>45880</v>
      </c>
      <c r="F1639" s="29" t="n">
        <v>45884</v>
      </c>
      <c r="G1639" s="31" t="n">
        <v>225.37</v>
      </c>
      <c r="H1639" s="31" t="n">
        <v>96.92</v>
      </c>
      <c r="I1639" t="inlineStr">
        <is>
          <t>Paid</t>
        </is>
      </c>
      <c r="K1639" s="29" t="n">
        <v>45907</v>
      </c>
      <c r="L1639" s="33" t="n"/>
    </row>
    <row r="1640">
      <c r="A1640" t="inlineStr">
        <is>
          <t>CLM517550</t>
        </is>
      </c>
      <c r="B1640" t="inlineStr">
        <is>
          <t>ENC117550</t>
        </is>
      </c>
      <c r="C1640" t="inlineStr">
        <is>
          <t>Medicare</t>
        </is>
      </c>
      <c r="D1640" t="inlineStr">
        <is>
          <t>Inpatient</t>
        </is>
      </c>
      <c r="E1640" s="29" t="n">
        <v>45883</v>
      </c>
      <c r="F1640" s="29" t="n">
        <v>45885</v>
      </c>
      <c r="G1640" s="31" t="n">
        <v>11351.36</v>
      </c>
      <c r="H1640" s="31" t="n">
        <v>3177.91</v>
      </c>
      <c r="I1640" t="inlineStr">
        <is>
          <t>Paid</t>
        </is>
      </c>
      <c r="K1640" s="29" t="n">
        <v>45904</v>
      </c>
      <c r="L1640" s="33" t="n"/>
    </row>
    <row r="1641">
      <c r="A1641" t="inlineStr">
        <is>
          <t>CLM517554</t>
        </is>
      </c>
      <c r="B1641" t="inlineStr">
        <is>
          <t>ENC117554</t>
        </is>
      </c>
      <c r="C1641" t="inlineStr">
        <is>
          <t>Keystone Health Partners</t>
        </is>
      </c>
      <c r="D1641" t="inlineStr">
        <is>
          <t>Outpatient</t>
        </is>
      </c>
      <c r="E1641" s="29" t="n">
        <v>45880</v>
      </c>
      <c r="F1641" s="29" t="n">
        <v>45882</v>
      </c>
      <c r="G1641" s="31" t="n">
        <v>354.68</v>
      </c>
      <c r="H1641" s="31" t="n">
        <v>163.17</v>
      </c>
      <c r="I1641" t="inlineStr">
        <is>
          <t>Paid</t>
        </is>
      </c>
      <c r="K1641" s="29" t="n">
        <v>45906</v>
      </c>
      <c r="L1641" s="33" t="n"/>
    </row>
    <row r="1642">
      <c r="A1642" t="inlineStr">
        <is>
          <t>CLM517556</t>
        </is>
      </c>
      <c r="B1642" t="inlineStr">
        <is>
          <t>ENC117556</t>
        </is>
      </c>
      <c r="C1642" t="inlineStr">
        <is>
          <t>Medicare</t>
        </is>
      </c>
      <c r="D1642" t="inlineStr">
        <is>
          <t>Observation</t>
        </is>
      </c>
      <c r="E1642" s="29" t="n">
        <v>45881</v>
      </c>
      <c r="F1642" s="29" t="n">
        <v>45884</v>
      </c>
      <c r="G1642" s="31" t="n">
        <v>6554.91</v>
      </c>
      <c r="H1642" s="31" t="n">
        <v>1964.58</v>
      </c>
      <c r="I1642" t="inlineStr">
        <is>
          <t>Paid</t>
        </is>
      </c>
      <c r="K1642" s="29" t="n">
        <v>45906</v>
      </c>
      <c r="L1642" s="33" t="n"/>
    </row>
    <row r="1643">
      <c r="A1643" t="inlineStr">
        <is>
          <t>CLM517557</t>
        </is>
      </c>
      <c r="B1643" t="inlineStr">
        <is>
          <t>ENC117557</t>
        </is>
      </c>
      <c r="C1643" t="inlineStr">
        <is>
          <t>Silverline Medicare Advantage</t>
        </is>
      </c>
      <c r="D1643" t="inlineStr">
        <is>
          <t>Emergency</t>
        </is>
      </c>
      <c r="E1643" s="29" t="n">
        <v>45880</v>
      </c>
      <c r="F1643" s="29" t="n">
        <v>45881</v>
      </c>
      <c r="G1643" s="31" t="n">
        <v>719.64</v>
      </c>
      <c r="H1643" s="31" t="n">
        <v>247.32</v>
      </c>
      <c r="I1643" t="inlineStr">
        <is>
          <t>Paid</t>
        </is>
      </c>
      <c r="K1643" s="29" t="n">
        <v>45944</v>
      </c>
      <c r="L1643" s="33" t="n"/>
    </row>
    <row r="1644">
      <c r="A1644" t="inlineStr">
        <is>
          <t>CLM517558</t>
        </is>
      </c>
      <c r="B1644" t="inlineStr">
        <is>
          <t>ENC117558</t>
        </is>
      </c>
      <c r="C1644" t="inlineStr">
        <is>
          <t>Silverline Medicare Advantage</t>
        </is>
      </c>
      <c r="D1644" t="inlineStr">
        <is>
          <t>Emergency</t>
        </is>
      </c>
      <c r="E1644" s="29" t="n">
        <v>45881</v>
      </c>
      <c r="F1644" s="29" t="n">
        <v>45888</v>
      </c>
      <c r="G1644" s="31" t="n">
        <v>1304.67</v>
      </c>
      <c r="H1644" s="31" t="n">
        <v>0</v>
      </c>
      <c r="I1644" t="inlineStr">
        <is>
          <t>Denied</t>
        </is>
      </c>
      <c r="J1644" t="inlineStr">
        <is>
          <t>Authorization Required</t>
        </is>
      </c>
      <c r="L1644" s="33" t="n"/>
    </row>
    <row r="1645">
      <c r="A1645" t="inlineStr">
        <is>
          <t>CLM517565</t>
        </is>
      </c>
      <c r="B1645" t="inlineStr">
        <is>
          <t>ENC117565</t>
        </is>
      </c>
      <c r="C1645" t="inlineStr">
        <is>
          <t>Medicare</t>
        </is>
      </c>
      <c r="D1645" t="inlineStr">
        <is>
          <t>Inpatient</t>
        </is>
      </c>
      <c r="E1645" s="29" t="n">
        <v>45883</v>
      </c>
      <c r="F1645" s="29" t="n">
        <v>45884</v>
      </c>
      <c r="G1645" s="31" t="n">
        <v>41479.27</v>
      </c>
      <c r="H1645" s="31" t="n">
        <v>9665.09</v>
      </c>
      <c r="I1645" t="inlineStr">
        <is>
          <t>Paid</t>
        </is>
      </c>
      <c r="K1645" s="29" t="n">
        <v>45897</v>
      </c>
      <c r="L1645" s="33" t="n"/>
    </row>
    <row r="1646">
      <c r="A1646" t="inlineStr">
        <is>
          <t>CLM517566</t>
        </is>
      </c>
      <c r="B1646" t="inlineStr">
        <is>
          <t>ENC117566</t>
        </is>
      </c>
      <c r="C1646" t="inlineStr">
        <is>
          <t>Summit Choice PPO</t>
        </is>
      </c>
      <c r="D1646" t="inlineStr">
        <is>
          <t>Inpatient</t>
        </is>
      </c>
      <c r="E1646" s="29" t="n">
        <v>45885</v>
      </c>
      <c r="F1646" s="29" t="n">
        <v>45891</v>
      </c>
      <c r="G1646" s="31" t="n">
        <v>14776.73</v>
      </c>
      <c r="H1646" s="31" t="n">
        <v>7626.75</v>
      </c>
      <c r="I1646" t="inlineStr">
        <is>
          <t>Paid</t>
        </is>
      </c>
      <c r="K1646" s="29" t="n">
        <v>45906</v>
      </c>
      <c r="L1646" s="33" t="n"/>
    </row>
    <row r="1647">
      <c r="A1647" t="inlineStr">
        <is>
          <t>CLM517567</t>
        </is>
      </c>
      <c r="B1647" t="inlineStr">
        <is>
          <t>ENC117567</t>
        </is>
      </c>
      <c r="C1647" t="inlineStr">
        <is>
          <t>Silverline Medicare Advantage</t>
        </is>
      </c>
      <c r="D1647" t="inlineStr">
        <is>
          <t>Inpatient</t>
        </is>
      </c>
      <c r="E1647" s="29" t="n">
        <v>45883</v>
      </c>
      <c r="F1647" s="29" t="n">
        <v>45884</v>
      </c>
      <c r="G1647" s="31" t="n">
        <v>52688.18</v>
      </c>
      <c r="H1647" s="31" t="n">
        <v>13903.42</v>
      </c>
      <c r="I1647" t="inlineStr">
        <is>
          <t>Paid</t>
        </is>
      </c>
      <c r="K1647" s="29" t="n">
        <v>45928</v>
      </c>
      <c r="L1647" s="33" t="n"/>
    </row>
    <row r="1648">
      <c r="A1648" t="inlineStr">
        <is>
          <t>CLM517572</t>
        </is>
      </c>
      <c r="B1648" t="inlineStr">
        <is>
          <t>ENC117572</t>
        </is>
      </c>
      <c r="C1648" t="inlineStr">
        <is>
          <t>Medicare</t>
        </is>
      </c>
      <c r="D1648" t="inlineStr">
        <is>
          <t>Emergency</t>
        </is>
      </c>
      <c r="E1648" s="29" t="n">
        <v>45881</v>
      </c>
      <c r="F1648" s="29" t="n">
        <v>45884</v>
      </c>
      <c r="G1648" s="31" t="n">
        <v>1451.56</v>
      </c>
      <c r="H1648" s="31" t="n">
        <v>409.03</v>
      </c>
      <c r="I1648" t="inlineStr">
        <is>
          <t>Paid</t>
        </is>
      </c>
      <c r="K1648" s="29" t="n">
        <v>45901</v>
      </c>
      <c r="L1648" s="33" t="n"/>
    </row>
    <row r="1649">
      <c r="A1649" t="inlineStr">
        <is>
          <t>CLM517577</t>
        </is>
      </c>
      <c r="B1649" t="inlineStr">
        <is>
          <t>ENC117577</t>
        </is>
      </c>
      <c r="C1649" t="inlineStr">
        <is>
          <t>Summit Choice PPO</t>
        </is>
      </c>
      <c r="D1649" t="inlineStr">
        <is>
          <t>Outpatient</t>
        </is>
      </c>
      <c r="E1649" s="29" t="n">
        <v>45881</v>
      </c>
      <c r="F1649" s="29" t="n">
        <v>45885</v>
      </c>
      <c r="G1649" s="31" t="n">
        <v>309.11</v>
      </c>
      <c r="H1649" s="31" t="n">
        <v>137.65</v>
      </c>
      <c r="I1649" t="inlineStr">
        <is>
          <t>Paid</t>
        </is>
      </c>
      <c r="K1649" s="29" t="n">
        <v>45901</v>
      </c>
      <c r="L1649" s="33" t="n"/>
    </row>
    <row r="1650">
      <c r="A1650" t="inlineStr">
        <is>
          <t>CLM517587</t>
        </is>
      </c>
      <c r="B1650" t="inlineStr">
        <is>
          <t>ENC117587</t>
        </is>
      </c>
      <c r="C1650" t="inlineStr">
        <is>
          <t>State Medicaid</t>
        </is>
      </c>
      <c r="D1650" t="inlineStr">
        <is>
          <t>Outpatient</t>
        </is>
      </c>
      <c r="E1650" s="29" t="n">
        <v>45881</v>
      </c>
      <c r="F1650" s="29" t="n">
        <v>45891</v>
      </c>
      <c r="G1650" s="31" t="n">
        <v>512.64</v>
      </c>
      <c r="H1650" s="31" t="n">
        <v>0</v>
      </c>
      <c r="I1650" t="inlineStr">
        <is>
          <t>Denied</t>
        </is>
      </c>
      <c r="J1650" t="inlineStr">
        <is>
          <t>Authorization Required</t>
        </is>
      </c>
      <c r="L1650" s="33" t="n"/>
    </row>
    <row r="1651">
      <c r="A1651" t="inlineStr">
        <is>
          <t>CLM517588</t>
        </is>
      </c>
      <c r="B1651" t="inlineStr">
        <is>
          <t>ENC117588</t>
        </is>
      </c>
      <c r="C1651" t="inlineStr">
        <is>
          <t>State Medicaid</t>
        </is>
      </c>
      <c r="D1651" t="inlineStr">
        <is>
          <t>Emergency</t>
        </is>
      </c>
      <c r="E1651" s="29" t="n">
        <v>45881</v>
      </c>
      <c r="F1651" s="29" t="n">
        <v>45889</v>
      </c>
      <c r="G1651" s="31" t="n">
        <v>725.66</v>
      </c>
      <c r="H1651" s="31" t="n">
        <v>176.21</v>
      </c>
      <c r="I1651" t="inlineStr">
        <is>
          <t>Paid</t>
        </is>
      </c>
      <c r="K1651" s="29" t="n">
        <v>45924</v>
      </c>
      <c r="L1651" s="33" t="n"/>
    </row>
    <row r="1652">
      <c r="A1652" t="inlineStr">
        <is>
          <t>CLM517595</t>
        </is>
      </c>
      <c r="B1652" t="inlineStr">
        <is>
          <t>ENC117595</t>
        </is>
      </c>
      <c r="C1652" t="inlineStr">
        <is>
          <t>Summit Choice PPO</t>
        </is>
      </c>
      <c r="D1652" t="inlineStr">
        <is>
          <t>Emergency</t>
        </is>
      </c>
      <c r="E1652" s="29" t="n">
        <v>45881</v>
      </c>
      <c r="F1652" s="29" t="n">
        <v>45887</v>
      </c>
      <c r="G1652" s="31" t="n">
        <v>3325.66</v>
      </c>
      <c r="H1652" s="31" t="n">
        <v>1755.34</v>
      </c>
      <c r="I1652" t="inlineStr">
        <is>
          <t>Paid</t>
        </is>
      </c>
      <c r="K1652" s="29" t="n">
        <v>45916</v>
      </c>
      <c r="L1652" s="33" t="n"/>
    </row>
    <row r="1653">
      <c r="A1653" t="inlineStr">
        <is>
          <t>CLM517596</t>
        </is>
      </c>
      <c r="B1653" t="inlineStr">
        <is>
          <t>ENC117596</t>
        </is>
      </c>
      <c r="C1653" t="inlineStr">
        <is>
          <t>Evergreen Mutual Insurance</t>
        </is>
      </c>
      <c r="D1653" t="inlineStr">
        <is>
          <t>Emergency</t>
        </is>
      </c>
      <c r="E1653" s="29" t="n">
        <v>45881</v>
      </c>
      <c r="F1653" s="29" t="n">
        <v>45903</v>
      </c>
      <c r="G1653" s="31" t="n">
        <v>1364.01</v>
      </c>
      <c r="H1653" s="31" t="n">
        <v>633.77</v>
      </c>
      <c r="I1653" t="inlineStr">
        <is>
          <t>Paid</t>
        </is>
      </c>
      <c r="K1653" s="29" t="n">
        <v>45925</v>
      </c>
      <c r="L1653" s="33" t="n"/>
    </row>
    <row r="1654">
      <c r="A1654" t="inlineStr">
        <is>
          <t>CLM517604</t>
        </is>
      </c>
      <c r="B1654" t="inlineStr">
        <is>
          <t>ENC117604</t>
        </is>
      </c>
      <c r="C1654" t="inlineStr">
        <is>
          <t>State Medicaid</t>
        </is>
      </c>
      <c r="D1654" t="inlineStr">
        <is>
          <t>Outpatient</t>
        </is>
      </c>
      <c r="E1654" s="29" t="n">
        <v>45882</v>
      </c>
      <c r="F1654" s="29" t="n">
        <v>45889</v>
      </c>
      <c r="G1654" s="31" t="n">
        <v>458.17</v>
      </c>
      <c r="H1654" s="31" t="n">
        <v>109.28</v>
      </c>
      <c r="I1654" t="inlineStr">
        <is>
          <t>Paid</t>
        </is>
      </c>
      <c r="K1654" s="29" t="n">
        <v>45939</v>
      </c>
      <c r="L1654" s="33" t="n"/>
    </row>
    <row r="1655">
      <c r="A1655" t="inlineStr">
        <is>
          <t>CLM517612</t>
        </is>
      </c>
      <c r="B1655" t="inlineStr">
        <is>
          <t>ENC117612</t>
        </is>
      </c>
      <c r="C1655" t="inlineStr">
        <is>
          <t>Medicare</t>
        </is>
      </c>
      <c r="D1655" t="inlineStr">
        <is>
          <t>Emergency</t>
        </is>
      </c>
      <c r="E1655" s="29" t="n">
        <v>45882</v>
      </c>
      <c r="F1655" s="29" t="n">
        <v>45890</v>
      </c>
      <c r="G1655" s="31" t="n">
        <v>4947.29</v>
      </c>
      <c r="H1655" s="31" t="n">
        <v>1380.34</v>
      </c>
      <c r="I1655" t="inlineStr">
        <is>
          <t>Paid</t>
        </is>
      </c>
      <c r="K1655" s="29" t="n">
        <v>45904</v>
      </c>
      <c r="L1655" s="33" t="n"/>
    </row>
    <row r="1656">
      <c r="A1656" t="inlineStr">
        <is>
          <t>CLM517622</t>
        </is>
      </c>
      <c r="B1656" t="inlineStr">
        <is>
          <t>ENC117622</t>
        </is>
      </c>
      <c r="C1656" t="inlineStr">
        <is>
          <t>Keystone Health Partners</t>
        </is>
      </c>
      <c r="D1656" t="inlineStr">
        <is>
          <t>Outpatient</t>
        </is>
      </c>
      <c r="E1656" s="29" t="n">
        <v>45882</v>
      </c>
      <c r="F1656" s="29" t="n">
        <v>45886</v>
      </c>
      <c r="G1656" s="31" t="n">
        <v>291.41</v>
      </c>
      <c r="H1656" s="31" t="n">
        <v>137.33</v>
      </c>
      <c r="I1656" t="inlineStr">
        <is>
          <t>Paid</t>
        </is>
      </c>
      <c r="K1656" s="29" t="n">
        <v>45903</v>
      </c>
      <c r="L1656" s="33" t="n"/>
    </row>
    <row r="1657">
      <c r="A1657" t="inlineStr">
        <is>
          <t>CLM517625</t>
        </is>
      </c>
      <c r="B1657" t="inlineStr">
        <is>
          <t>ENC117625</t>
        </is>
      </c>
      <c r="C1657" t="inlineStr">
        <is>
          <t>Medicare</t>
        </is>
      </c>
      <c r="D1657" t="inlineStr">
        <is>
          <t>Inpatient</t>
        </is>
      </c>
      <c r="E1657" s="29" t="n">
        <v>45889</v>
      </c>
      <c r="F1657" s="29" t="n">
        <v>45895</v>
      </c>
      <c r="G1657" s="31" t="n">
        <v>75343.89</v>
      </c>
      <c r="H1657" s="31" t="n">
        <v>19631.78</v>
      </c>
      <c r="I1657" t="inlineStr">
        <is>
          <t>Paid</t>
        </is>
      </c>
      <c r="K1657" s="29" t="n">
        <v>45903</v>
      </c>
      <c r="L1657" s="33" t="n"/>
    </row>
    <row r="1658">
      <c r="A1658" t="inlineStr">
        <is>
          <t>CLM517626</t>
        </is>
      </c>
      <c r="B1658" t="inlineStr">
        <is>
          <t>ENC117626</t>
        </is>
      </c>
      <c r="C1658" t="inlineStr">
        <is>
          <t>State Medicaid</t>
        </is>
      </c>
      <c r="D1658" t="inlineStr">
        <is>
          <t>Outpatient</t>
        </is>
      </c>
      <c r="E1658" s="29" t="n">
        <v>45882</v>
      </c>
      <c r="F1658" s="29" t="n">
        <v>45890</v>
      </c>
      <c r="G1658" s="31" t="n">
        <v>356.78</v>
      </c>
      <c r="H1658" s="31" t="n">
        <v>73.54000000000001</v>
      </c>
      <c r="I1658" t="inlineStr">
        <is>
          <t>Partially Paid</t>
        </is>
      </c>
      <c r="J1658" t="inlineStr">
        <is>
          <t>Coding Error</t>
        </is>
      </c>
      <c r="K1658" s="29" t="n">
        <v>45917</v>
      </c>
      <c r="L1658" s="33" t="n"/>
    </row>
    <row r="1659">
      <c r="A1659" t="inlineStr">
        <is>
          <t>CLM517633</t>
        </is>
      </c>
      <c r="B1659" t="inlineStr">
        <is>
          <t>ENC117633</t>
        </is>
      </c>
      <c r="C1659" t="inlineStr">
        <is>
          <t>State Medicaid</t>
        </is>
      </c>
      <c r="D1659" t="inlineStr">
        <is>
          <t>Inpatient</t>
        </is>
      </c>
      <c r="E1659" s="29" t="n">
        <v>45887</v>
      </c>
      <c r="F1659" s="29" t="n">
        <v>45893</v>
      </c>
      <c r="G1659" s="31" t="n">
        <v>23237.49</v>
      </c>
      <c r="H1659" s="31" t="n">
        <v>5399.56</v>
      </c>
      <c r="I1659" t="inlineStr">
        <is>
          <t>Paid</t>
        </is>
      </c>
      <c r="K1659" s="29" t="n">
        <v>45927</v>
      </c>
      <c r="L1659" s="33" t="n"/>
    </row>
    <row r="1660">
      <c r="A1660" t="inlineStr">
        <is>
          <t>CLM517639</t>
        </is>
      </c>
      <c r="B1660" t="inlineStr">
        <is>
          <t>ENC117639</t>
        </is>
      </c>
      <c r="C1660" t="inlineStr">
        <is>
          <t>Evergreen Mutual Insurance</t>
        </is>
      </c>
      <c r="D1660" t="inlineStr">
        <is>
          <t>Emergency</t>
        </is>
      </c>
      <c r="E1660" s="29" t="n">
        <v>45883</v>
      </c>
      <c r="F1660" s="29" t="n">
        <v>45889</v>
      </c>
      <c r="G1660" s="31" t="n">
        <v>2332.34</v>
      </c>
      <c r="H1660" s="31" t="n">
        <v>972.55</v>
      </c>
      <c r="I1660" t="inlineStr">
        <is>
          <t>Paid</t>
        </is>
      </c>
      <c r="K1660" s="29" t="n">
        <v>45908</v>
      </c>
      <c r="L1660" s="33" t="n"/>
    </row>
    <row r="1661">
      <c r="A1661" t="inlineStr">
        <is>
          <t>CLM517640</t>
        </is>
      </c>
      <c r="B1661" t="inlineStr">
        <is>
          <t>ENC117640</t>
        </is>
      </c>
      <c r="C1661" t="inlineStr">
        <is>
          <t>State Medicaid</t>
        </is>
      </c>
      <c r="D1661" t="inlineStr">
        <is>
          <t>Outpatient</t>
        </is>
      </c>
      <c r="E1661" s="29" t="n">
        <v>45883</v>
      </c>
      <c r="F1661" s="29" t="n">
        <v>45887</v>
      </c>
      <c r="G1661" s="31" t="n">
        <v>713.5700000000001</v>
      </c>
      <c r="H1661" s="31" t="n">
        <v>180.37</v>
      </c>
      <c r="I1661" t="inlineStr">
        <is>
          <t>Paid</t>
        </is>
      </c>
      <c r="K1661" s="29" t="n">
        <v>45915</v>
      </c>
      <c r="L1661" s="33" t="n"/>
    </row>
    <row r="1662">
      <c r="A1662" t="inlineStr">
        <is>
          <t>CLM517641</t>
        </is>
      </c>
      <c r="B1662" t="inlineStr">
        <is>
          <t>ENC117641</t>
        </is>
      </c>
      <c r="C1662" t="inlineStr">
        <is>
          <t>Medicare</t>
        </is>
      </c>
      <c r="D1662" t="inlineStr">
        <is>
          <t>Outpatient</t>
        </is>
      </c>
      <c r="E1662" s="29" t="n">
        <v>45883</v>
      </c>
      <c r="F1662" s="29" t="n">
        <v>45886</v>
      </c>
      <c r="G1662" s="31" t="n">
        <v>358.23</v>
      </c>
      <c r="H1662" s="31" t="n">
        <v>96.16</v>
      </c>
      <c r="I1662" t="inlineStr">
        <is>
          <t>Paid</t>
        </is>
      </c>
      <c r="K1662" s="29" t="n">
        <v>45918</v>
      </c>
      <c r="L1662" s="33" t="n"/>
    </row>
    <row r="1663">
      <c r="A1663" t="inlineStr">
        <is>
          <t>CLM517643</t>
        </is>
      </c>
      <c r="B1663" t="inlineStr">
        <is>
          <t>ENC117643</t>
        </is>
      </c>
      <c r="C1663" t="inlineStr">
        <is>
          <t>Silverline Medicare Advantage</t>
        </is>
      </c>
      <c r="D1663" t="inlineStr">
        <is>
          <t>Outpatient</t>
        </is>
      </c>
      <c r="E1663" s="29" t="n">
        <v>45883</v>
      </c>
      <c r="F1663" s="29" t="n">
        <v>45885</v>
      </c>
      <c r="G1663" s="31" t="n">
        <v>248.09</v>
      </c>
      <c r="H1663" s="31" t="n">
        <v>80.97</v>
      </c>
      <c r="I1663" t="inlineStr">
        <is>
          <t>Paid</t>
        </is>
      </c>
      <c r="K1663" s="29" t="n">
        <v>45911</v>
      </c>
      <c r="L1663" s="33" t="n"/>
    </row>
    <row r="1664">
      <c r="A1664" t="inlineStr">
        <is>
          <t>CLM517648</t>
        </is>
      </c>
      <c r="B1664" t="inlineStr">
        <is>
          <t>ENC117648</t>
        </is>
      </c>
      <c r="C1664" t="inlineStr">
        <is>
          <t>Self-Pay</t>
        </is>
      </c>
      <c r="D1664" t="inlineStr">
        <is>
          <t>Outpatient</t>
        </is>
      </c>
      <c r="E1664" s="29" t="n">
        <v>45883</v>
      </c>
      <c r="F1664" s="29" t="n">
        <v>45891</v>
      </c>
      <c r="G1664" s="31" t="n">
        <v>227.35</v>
      </c>
      <c r="H1664" s="31" t="n">
        <v>83.01000000000001</v>
      </c>
      <c r="I1664" t="inlineStr">
        <is>
          <t>Paid</t>
        </is>
      </c>
      <c r="K1664" s="29" t="n">
        <v>45989</v>
      </c>
      <c r="L1664" s="33" t="n"/>
    </row>
    <row r="1665">
      <c r="A1665" t="inlineStr">
        <is>
          <t>CLM517658</t>
        </is>
      </c>
      <c r="B1665" t="inlineStr">
        <is>
          <t>ENC117658</t>
        </is>
      </c>
      <c r="C1665" t="inlineStr">
        <is>
          <t>Medicare</t>
        </is>
      </c>
      <c r="D1665" t="inlineStr">
        <is>
          <t>Inpatient</t>
        </is>
      </c>
      <c r="E1665" s="29" t="n">
        <v>45890</v>
      </c>
      <c r="F1665" s="29" t="n">
        <v>45994</v>
      </c>
      <c r="G1665" s="31" t="n">
        <v>44078.59</v>
      </c>
      <c r="H1665" s="31" t="n">
        <v>11825.37</v>
      </c>
      <c r="I1665" t="inlineStr">
        <is>
          <t>Paid</t>
        </is>
      </c>
      <c r="K1665" s="29" t="n">
        <v>46004</v>
      </c>
      <c r="L1665" s="33" t="n"/>
    </row>
    <row r="1666">
      <c r="A1666" t="inlineStr">
        <is>
          <t>CLM517666</t>
        </is>
      </c>
      <c r="B1666" t="inlineStr">
        <is>
          <t>ENC117666</t>
        </is>
      </c>
      <c r="C1666" t="inlineStr">
        <is>
          <t>State Medicaid</t>
        </is>
      </c>
      <c r="D1666" t="inlineStr">
        <is>
          <t>Emergency</t>
        </is>
      </c>
      <c r="E1666" s="29" t="n">
        <v>45884</v>
      </c>
      <c r="F1666" s="29" t="n">
        <v>45996</v>
      </c>
      <c r="G1666" s="31" t="n">
        <v>2321.28</v>
      </c>
      <c r="H1666" s="31" t="n">
        <v>593.9400000000001</v>
      </c>
      <c r="I1666" t="inlineStr">
        <is>
          <t>Paid</t>
        </is>
      </c>
      <c r="K1666" s="29" t="n">
        <v>46017</v>
      </c>
      <c r="L1666" s="33" t="n"/>
    </row>
    <row r="1667">
      <c r="A1667" t="inlineStr">
        <is>
          <t>CLM517673</t>
        </is>
      </c>
      <c r="B1667" t="inlineStr">
        <is>
          <t>ENC117673</t>
        </is>
      </c>
      <c r="C1667" t="inlineStr">
        <is>
          <t>State Medicaid</t>
        </is>
      </c>
      <c r="D1667" t="inlineStr">
        <is>
          <t>Outpatient</t>
        </is>
      </c>
      <c r="E1667" s="29" t="n">
        <v>45884</v>
      </c>
      <c r="F1667" s="29" t="n">
        <v>45889</v>
      </c>
      <c r="G1667" s="31" t="n">
        <v>232.23</v>
      </c>
      <c r="H1667" s="31" t="n">
        <v>56.93</v>
      </c>
      <c r="I1667" t="inlineStr">
        <is>
          <t>Paid</t>
        </is>
      </c>
      <c r="K1667" s="29" t="n">
        <v>45913</v>
      </c>
      <c r="L1667" s="33" t="n"/>
    </row>
    <row r="1668">
      <c r="A1668" t="inlineStr">
        <is>
          <t>CLM517674</t>
        </is>
      </c>
      <c r="B1668" t="inlineStr">
        <is>
          <t>ENC117674</t>
        </is>
      </c>
      <c r="C1668" t="inlineStr">
        <is>
          <t>Evergreen Mutual Insurance</t>
        </is>
      </c>
      <c r="D1668" t="inlineStr">
        <is>
          <t>Outpatient</t>
        </is>
      </c>
      <c r="E1668" s="29" t="n">
        <v>45884</v>
      </c>
      <c r="F1668" s="29" t="n">
        <v>45887</v>
      </c>
      <c r="G1668" s="31" t="n">
        <v>252.89</v>
      </c>
      <c r="H1668" s="31" t="n">
        <v>104.62</v>
      </c>
      <c r="I1668" t="inlineStr">
        <is>
          <t>Paid</t>
        </is>
      </c>
      <c r="K1668" s="29" t="n">
        <v>45910</v>
      </c>
      <c r="L1668" s="33" t="n"/>
    </row>
    <row r="1669">
      <c r="A1669" t="inlineStr">
        <is>
          <t>CLM517676</t>
        </is>
      </c>
      <c r="B1669" t="inlineStr">
        <is>
          <t>ENC117676</t>
        </is>
      </c>
      <c r="C1669" t="inlineStr">
        <is>
          <t>Evergreen Mutual Insurance</t>
        </is>
      </c>
      <c r="D1669" t="inlineStr">
        <is>
          <t>Outpatient</t>
        </is>
      </c>
      <c r="E1669" s="29" t="n">
        <v>45884</v>
      </c>
      <c r="F1669" s="29" t="n">
        <v>45888</v>
      </c>
      <c r="G1669" s="31" t="n">
        <v>756.8200000000001</v>
      </c>
      <c r="H1669" s="31" t="n">
        <v>335.18</v>
      </c>
      <c r="I1669" t="inlineStr">
        <is>
          <t>Paid</t>
        </is>
      </c>
      <c r="K1669" s="29" t="n">
        <v>45910</v>
      </c>
      <c r="L1669" s="33" t="n"/>
    </row>
    <row r="1670">
      <c r="A1670" t="inlineStr">
        <is>
          <t>CLM517680</t>
        </is>
      </c>
      <c r="B1670" t="inlineStr">
        <is>
          <t>ENC117680</t>
        </is>
      </c>
      <c r="C1670" t="inlineStr">
        <is>
          <t>Keystone Health Partners</t>
        </is>
      </c>
      <c r="D1670" t="inlineStr">
        <is>
          <t>Outpatient</t>
        </is>
      </c>
      <c r="E1670" s="29" t="n">
        <v>45884</v>
      </c>
      <c r="F1670" s="29" t="n">
        <v>45889</v>
      </c>
      <c r="G1670" s="31" t="n">
        <v>625.45</v>
      </c>
      <c r="H1670" s="31" t="n">
        <v>278.94</v>
      </c>
      <c r="I1670" t="inlineStr">
        <is>
          <t>Paid</t>
        </is>
      </c>
      <c r="K1670" s="29" t="n">
        <v>45918</v>
      </c>
      <c r="L1670" s="33" t="n"/>
    </row>
    <row r="1671">
      <c r="A1671" t="inlineStr">
        <is>
          <t>CLM517681</t>
        </is>
      </c>
      <c r="B1671" t="inlineStr">
        <is>
          <t>ENC117681</t>
        </is>
      </c>
      <c r="C1671" t="inlineStr">
        <is>
          <t>Keystone Health Partners</t>
        </is>
      </c>
      <c r="D1671" t="inlineStr">
        <is>
          <t>Inpatient</t>
        </is>
      </c>
      <c r="E1671" s="29" t="n">
        <v>45887</v>
      </c>
      <c r="F1671" s="29" t="n">
        <v>45889</v>
      </c>
      <c r="G1671" s="31" t="n">
        <v>15915.48</v>
      </c>
      <c r="H1671" s="31" t="n">
        <v>4282.86</v>
      </c>
      <c r="I1671" t="inlineStr">
        <is>
          <t>Partially Paid</t>
        </is>
      </c>
      <c r="J1671" t="inlineStr">
        <is>
          <t>Coding Error</t>
        </is>
      </c>
      <c r="K1671" s="29" t="n">
        <v>45911</v>
      </c>
      <c r="L1671" s="33" t="n"/>
    </row>
    <row r="1672">
      <c r="A1672" t="inlineStr">
        <is>
          <t>CLM517684</t>
        </is>
      </c>
      <c r="B1672" t="inlineStr">
        <is>
          <t>ENC117684</t>
        </is>
      </c>
      <c r="C1672" t="inlineStr">
        <is>
          <t>Evergreen Mutual Insurance</t>
        </is>
      </c>
      <c r="D1672" t="inlineStr">
        <is>
          <t>Emergency</t>
        </is>
      </c>
      <c r="E1672" s="29" t="n">
        <v>45884</v>
      </c>
      <c r="F1672" s="29" t="n">
        <v>45889</v>
      </c>
      <c r="G1672" s="31" t="n">
        <v>6703.36</v>
      </c>
      <c r="H1672" s="31" t="n">
        <v>2531.77</v>
      </c>
      <c r="I1672" t="inlineStr">
        <is>
          <t>Paid</t>
        </is>
      </c>
      <c r="K1672" s="29" t="n">
        <v>45907</v>
      </c>
      <c r="L1672" s="33" t="n"/>
    </row>
    <row r="1673">
      <c r="A1673" t="inlineStr">
        <is>
          <t>CLM517687</t>
        </is>
      </c>
      <c r="B1673" t="inlineStr">
        <is>
          <t>ENC117687</t>
        </is>
      </c>
      <c r="C1673" t="inlineStr">
        <is>
          <t>Keystone Health Partners</t>
        </is>
      </c>
      <c r="D1673" t="inlineStr">
        <is>
          <t>Emergency</t>
        </is>
      </c>
      <c r="E1673" s="29" t="n">
        <v>45884</v>
      </c>
      <c r="F1673" s="29" t="n">
        <v>45888</v>
      </c>
      <c r="G1673" s="31" t="n">
        <v>2927.76</v>
      </c>
      <c r="H1673" s="31" t="n">
        <v>0</v>
      </c>
      <c r="I1673" t="inlineStr">
        <is>
          <t>Denied</t>
        </is>
      </c>
      <c r="J1673" t="inlineStr">
        <is>
          <t>Authorization Required</t>
        </is>
      </c>
      <c r="L1673" s="33" t="n"/>
    </row>
    <row r="1674">
      <c r="A1674" t="inlineStr">
        <is>
          <t>CLM517688</t>
        </is>
      </c>
      <c r="B1674" t="inlineStr">
        <is>
          <t>ENC117688</t>
        </is>
      </c>
      <c r="C1674" t="inlineStr">
        <is>
          <t>State Medicaid</t>
        </is>
      </c>
      <c r="D1674" t="inlineStr">
        <is>
          <t>Emergency</t>
        </is>
      </c>
      <c r="E1674" s="29" t="n">
        <v>45884</v>
      </c>
      <c r="F1674" s="29" t="n">
        <v>45889</v>
      </c>
      <c r="G1674" s="31" t="n">
        <v>1286.33</v>
      </c>
      <c r="H1674" s="31" t="n">
        <v>302.33</v>
      </c>
      <c r="I1674" t="inlineStr">
        <is>
          <t>Paid</t>
        </is>
      </c>
      <c r="K1674" s="29" t="n">
        <v>45926</v>
      </c>
      <c r="L1674" s="33" t="n"/>
    </row>
    <row r="1675">
      <c r="A1675" t="inlineStr">
        <is>
          <t>CLM517690</t>
        </is>
      </c>
      <c r="B1675" t="inlineStr">
        <is>
          <t>ENC117690</t>
        </is>
      </c>
      <c r="C1675" t="inlineStr">
        <is>
          <t>Evergreen Mutual Insurance</t>
        </is>
      </c>
      <c r="D1675" t="inlineStr">
        <is>
          <t>Inpatient</t>
        </is>
      </c>
      <c r="E1675" s="29" t="n">
        <v>45888</v>
      </c>
      <c r="F1675" s="29" t="n">
        <v>45889</v>
      </c>
      <c r="G1675" s="31" t="n">
        <v>15588.39</v>
      </c>
      <c r="H1675" s="31" t="n">
        <v>6657.95</v>
      </c>
      <c r="I1675" t="inlineStr">
        <is>
          <t>Paid</t>
        </is>
      </c>
      <c r="K1675" s="29" t="n">
        <v>45909</v>
      </c>
      <c r="L1675" s="33" t="n"/>
    </row>
    <row r="1676">
      <c r="A1676" t="inlineStr">
        <is>
          <t>CLM517699</t>
        </is>
      </c>
      <c r="B1676" t="inlineStr">
        <is>
          <t>ENC117699</t>
        </is>
      </c>
      <c r="C1676" t="inlineStr">
        <is>
          <t>Medicare</t>
        </is>
      </c>
      <c r="D1676" t="inlineStr">
        <is>
          <t>Inpatient</t>
        </is>
      </c>
      <c r="E1676" s="29" t="n">
        <v>45889</v>
      </c>
      <c r="F1676" s="29" t="n">
        <v>45893</v>
      </c>
      <c r="G1676" s="31" t="n">
        <v>19838.98</v>
      </c>
      <c r="H1676" s="31" t="n">
        <v>5843.55</v>
      </c>
      <c r="I1676" t="inlineStr">
        <is>
          <t>Paid</t>
        </is>
      </c>
      <c r="K1676" s="29" t="n">
        <v>45901</v>
      </c>
      <c r="L1676" s="33" t="n"/>
    </row>
    <row r="1677">
      <c r="A1677" t="inlineStr">
        <is>
          <t>CLM517702</t>
        </is>
      </c>
      <c r="B1677" t="inlineStr">
        <is>
          <t>ENC117702</t>
        </is>
      </c>
      <c r="C1677" t="inlineStr">
        <is>
          <t>State Medicaid</t>
        </is>
      </c>
      <c r="D1677" t="inlineStr">
        <is>
          <t>Inpatient</t>
        </is>
      </c>
      <c r="E1677" s="29" t="n">
        <v>45887</v>
      </c>
      <c r="F1677" s="29" t="n">
        <v>45890</v>
      </c>
      <c r="G1677" s="31" t="n">
        <v>26003.41</v>
      </c>
      <c r="H1677" s="31" t="n">
        <v>6517.24</v>
      </c>
      <c r="I1677" t="inlineStr">
        <is>
          <t>Paid</t>
        </is>
      </c>
      <c r="K1677" s="29" t="n">
        <v>45925</v>
      </c>
      <c r="L1677" s="33" t="n"/>
    </row>
    <row r="1678">
      <c r="A1678" t="inlineStr">
        <is>
          <t>CLM517709</t>
        </is>
      </c>
      <c r="B1678" t="inlineStr">
        <is>
          <t>ENC117709</t>
        </is>
      </c>
      <c r="C1678" t="inlineStr">
        <is>
          <t>Evergreen Mutual Insurance</t>
        </is>
      </c>
      <c r="D1678" t="inlineStr">
        <is>
          <t>Emergency</t>
        </is>
      </c>
      <c r="E1678" s="29" t="n">
        <v>45886</v>
      </c>
      <c r="F1678" s="29" t="n">
        <v>45889</v>
      </c>
      <c r="G1678" s="31" t="n">
        <v>734.04</v>
      </c>
      <c r="H1678" s="31" t="n">
        <v>339.09</v>
      </c>
      <c r="I1678" t="inlineStr">
        <is>
          <t>Paid</t>
        </is>
      </c>
      <c r="K1678" s="29" t="n">
        <v>45908</v>
      </c>
      <c r="L1678" s="33" t="n"/>
    </row>
    <row r="1679">
      <c r="A1679" t="inlineStr">
        <is>
          <t>CLM517710</t>
        </is>
      </c>
      <c r="B1679" t="inlineStr">
        <is>
          <t>ENC117710</t>
        </is>
      </c>
      <c r="C1679" t="inlineStr">
        <is>
          <t>State Medicaid</t>
        </is>
      </c>
      <c r="D1679" t="inlineStr">
        <is>
          <t>Emergency</t>
        </is>
      </c>
      <c r="E1679" s="29" t="n">
        <v>45886</v>
      </c>
      <c r="F1679" s="29" t="n">
        <v>45894</v>
      </c>
      <c r="G1679" s="31" t="n">
        <v>1267.63</v>
      </c>
      <c r="H1679" s="31" t="n">
        <v>307.07</v>
      </c>
      <c r="I1679" t="inlineStr">
        <is>
          <t>Paid</t>
        </is>
      </c>
      <c r="K1679" s="29" t="n">
        <v>45933</v>
      </c>
      <c r="L1679" s="33" t="n"/>
    </row>
    <row r="1680">
      <c r="A1680" t="inlineStr">
        <is>
          <t>CLM517713</t>
        </is>
      </c>
      <c r="B1680" t="inlineStr">
        <is>
          <t>ENC117713</t>
        </is>
      </c>
      <c r="C1680" t="inlineStr">
        <is>
          <t>Keystone Health Partners</t>
        </is>
      </c>
      <c r="D1680" t="inlineStr">
        <is>
          <t>Inpatient</t>
        </is>
      </c>
      <c r="E1680" s="29" t="n">
        <v>45890</v>
      </c>
      <c r="F1680" s="29" t="n">
        <v>45933</v>
      </c>
      <c r="G1680" s="31" t="n">
        <v>63199.66</v>
      </c>
      <c r="H1680" s="31" t="n">
        <v>27931.36</v>
      </c>
      <c r="I1680" t="inlineStr">
        <is>
          <t>Paid</t>
        </is>
      </c>
      <c r="K1680" s="29" t="n">
        <v>45948</v>
      </c>
      <c r="L1680" s="33" t="n"/>
    </row>
    <row r="1681">
      <c r="A1681" t="inlineStr">
        <is>
          <t>CLM517716</t>
        </is>
      </c>
      <c r="B1681" t="inlineStr">
        <is>
          <t>ENC117716</t>
        </is>
      </c>
      <c r="C1681" t="inlineStr">
        <is>
          <t>Summit Choice PPO</t>
        </is>
      </c>
      <c r="D1681" t="inlineStr">
        <is>
          <t>Emergency</t>
        </is>
      </c>
      <c r="E1681" s="29" t="n">
        <v>45886</v>
      </c>
      <c r="F1681" s="29" t="n">
        <v>45887</v>
      </c>
      <c r="G1681" s="31" t="n">
        <v>2886.1</v>
      </c>
      <c r="H1681" s="31" t="n">
        <v>1537.45</v>
      </c>
      <c r="I1681" t="inlineStr">
        <is>
          <t>Paid</t>
        </is>
      </c>
      <c r="K1681" s="29" t="n">
        <v>45921</v>
      </c>
      <c r="L1681" s="33" t="n"/>
    </row>
    <row r="1682">
      <c r="A1682" t="inlineStr">
        <is>
          <t>CLM517718</t>
        </is>
      </c>
      <c r="B1682" t="inlineStr">
        <is>
          <t>ENC117718</t>
        </is>
      </c>
      <c r="C1682" t="inlineStr">
        <is>
          <t>State Medicaid</t>
        </is>
      </c>
      <c r="D1682" t="inlineStr">
        <is>
          <t>Inpatient</t>
        </is>
      </c>
      <c r="E1682" s="29" t="n">
        <v>45891</v>
      </c>
      <c r="F1682" s="29" t="n">
        <v>45899</v>
      </c>
      <c r="G1682" s="31" t="n">
        <v>20960.35</v>
      </c>
      <c r="H1682" s="31" t="n">
        <v>0</v>
      </c>
      <c r="I1682" t="inlineStr">
        <is>
          <t>Denied</t>
        </is>
      </c>
      <c r="J1682" t="inlineStr">
        <is>
          <t>Eligibility / Coverage</t>
        </is>
      </c>
      <c r="L1682" s="33" t="n"/>
    </row>
    <row r="1683">
      <c r="A1683" t="inlineStr">
        <is>
          <t>CLM517719</t>
        </is>
      </c>
      <c r="B1683" t="inlineStr">
        <is>
          <t>ENC117719</t>
        </is>
      </c>
      <c r="C1683" t="inlineStr">
        <is>
          <t>State Medicaid</t>
        </is>
      </c>
      <c r="D1683" t="inlineStr">
        <is>
          <t>Emergency</t>
        </is>
      </c>
      <c r="E1683" s="29" t="n">
        <v>45886</v>
      </c>
      <c r="F1683" s="29" t="n">
        <v>45887</v>
      </c>
      <c r="G1683" s="31" t="n">
        <v>3116.71</v>
      </c>
      <c r="H1683" s="31" t="n">
        <v>745.1</v>
      </c>
      <c r="I1683" t="inlineStr">
        <is>
          <t>Paid</t>
        </is>
      </c>
      <c r="K1683" s="29" t="n">
        <v>45914</v>
      </c>
      <c r="L1683" s="33" t="n"/>
    </row>
    <row r="1684">
      <c r="A1684" t="inlineStr">
        <is>
          <t>CLM517721</t>
        </is>
      </c>
      <c r="B1684" t="inlineStr">
        <is>
          <t>ENC117721</t>
        </is>
      </c>
      <c r="C1684" t="inlineStr">
        <is>
          <t>Silverline Medicare Advantage</t>
        </is>
      </c>
      <c r="D1684" t="inlineStr">
        <is>
          <t>Emergency</t>
        </is>
      </c>
      <c r="E1684" s="29" t="n">
        <v>45886</v>
      </c>
      <c r="F1684" s="29" t="n">
        <v>45887</v>
      </c>
      <c r="G1684" s="31" t="n">
        <v>4090.82</v>
      </c>
      <c r="H1684" s="31" t="n">
        <v>1328.92</v>
      </c>
      <c r="I1684" t="inlineStr">
        <is>
          <t>Paid</t>
        </is>
      </c>
      <c r="K1684" s="29" t="n">
        <v>45931</v>
      </c>
      <c r="L1684" s="33" t="n"/>
    </row>
    <row r="1685">
      <c r="A1685" t="inlineStr">
        <is>
          <t>CLM517722</t>
        </is>
      </c>
      <c r="B1685" t="inlineStr">
        <is>
          <t>ENC117722</t>
        </is>
      </c>
      <c r="C1685" t="inlineStr">
        <is>
          <t>Medicare</t>
        </is>
      </c>
      <c r="D1685" t="inlineStr">
        <is>
          <t>Emergency</t>
        </is>
      </c>
      <c r="E1685" s="29" t="n">
        <v>45886</v>
      </c>
      <c r="F1685" s="29" t="n">
        <v>45887</v>
      </c>
      <c r="G1685" s="31" t="n">
        <v>1651.13</v>
      </c>
      <c r="H1685" s="31" t="n">
        <v>479.22</v>
      </c>
      <c r="I1685" t="inlineStr">
        <is>
          <t>Paid</t>
        </is>
      </c>
      <c r="K1685" s="29" t="n">
        <v>45898</v>
      </c>
      <c r="L1685" s="33" t="n"/>
    </row>
    <row r="1686">
      <c r="A1686" t="inlineStr">
        <is>
          <t>CLM517730</t>
        </is>
      </c>
      <c r="B1686" t="inlineStr">
        <is>
          <t>ENC117730</t>
        </is>
      </c>
      <c r="C1686" t="inlineStr">
        <is>
          <t>Evergreen Mutual Insurance</t>
        </is>
      </c>
      <c r="D1686" t="inlineStr">
        <is>
          <t>Outpatient</t>
        </is>
      </c>
      <c r="E1686" s="29" t="n">
        <v>45887</v>
      </c>
      <c r="F1686" s="29" t="n">
        <v>45892</v>
      </c>
      <c r="G1686" s="31" t="n">
        <v>417.8</v>
      </c>
      <c r="H1686" s="31" t="n">
        <v>147.46</v>
      </c>
      <c r="I1686" t="inlineStr">
        <is>
          <t>Paid</t>
        </is>
      </c>
      <c r="K1686" s="29" t="n">
        <v>45940</v>
      </c>
      <c r="L1686" s="33" t="n"/>
    </row>
    <row r="1687">
      <c r="A1687" t="inlineStr">
        <is>
          <t>CLM517731</t>
        </is>
      </c>
      <c r="B1687" t="inlineStr">
        <is>
          <t>ENC117731</t>
        </is>
      </c>
      <c r="C1687" t="inlineStr">
        <is>
          <t>Silverline Medicare Advantage</t>
        </is>
      </c>
      <c r="D1687" t="inlineStr">
        <is>
          <t>Inpatient</t>
        </is>
      </c>
      <c r="E1687" s="29" t="n">
        <v>45893</v>
      </c>
      <c r="F1687" s="29" t="n">
        <v>45896</v>
      </c>
      <c r="G1687" s="31" t="n">
        <v>38590.6</v>
      </c>
      <c r="H1687" s="31" t="n">
        <v>6945.15</v>
      </c>
      <c r="I1687" t="inlineStr">
        <is>
          <t>Partially Paid</t>
        </is>
      </c>
      <c r="J1687" t="inlineStr">
        <is>
          <t>Missing Documentation</t>
        </is>
      </c>
      <c r="K1687" s="29" t="n">
        <v>45928</v>
      </c>
      <c r="L1687" s="33" t="n"/>
    </row>
    <row r="1688">
      <c r="A1688" t="inlineStr">
        <is>
          <t>CLM517734</t>
        </is>
      </c>
      <c r="B1688" t="inlineStr">
        <is>
          <t>ENC117734</t>
        </is>
      </c>
      <c r="C1688" t="inlineStr">
        <is>
          <t>Evergreen Mutual Insurance</t>
        </is>
      </c>
      <c r="D1688" t="inlineStr">
        <is>
          <t>Outpatient</t>
        </is>
      </c>
      <c r="E1688" s="29" t="n">
        <v>45887</v>
      </c>
      <c r="F1688" s="29" t="n">
        <v>45892</v>
      </c>
      <c r="G1688" s="31" t="n">
        <v>11620.84</v>
      </c>
      <c r="H1688" s="31" t="n">
        <v>0</v>
      </c>
      <c r="I1688" t="inlineStr">
        <is>
          <t>Denied</t>
        </is>
      </c>
      <c r="J1688" t="inlineStr">
        <is>
          <t>Missing Documentation</t>
        </is>
      </c>
      <c r="L1688" s="33" t="n"/>
    </row>
    <row r="1689">
      <c r="A1689" t="inlineStr">
        <is>
          <t>CLM517737</t>
        </is>
      </c>
      <c r="B1689" t="inlineStr">
        <is>
          <t>ENC117737</t>
        </is>
      </c>
      <c r="C1689" t="inlineStr">
        <is>
          <t>Self-Pay</t>
        </is>
      </c>
      <c r="D1689" t="inlineStr">
        <is>
          <t>Outpatient</t>
        </is>
      </c>
      <c r="E1689" s="29" t="n">
        <v>45887</v>
      </c>
      <c r="F1689" s="29" t="n">
        <v>45892</v>
      </c>
      <c r="G1689" s="31" t="n">
        <v>171.07</v>
      </c>
      <c r="H1689" s="31" t="n">
        <v>0</v>
      </c>
      <c r="I1689" t="inlineStr">
        <is>
          <t>Pending</t>
        </is>
      </c>
      <c r="L1689" s="33" t="n"/>
    </row>
    <row r="1690">
      <c r="A1690" t="inlineStr">
        <is>
          <t>CLM517740</t>
        </is>
      </c>
      <c r="B1690" t="inlineStr">
        <is>
          <t>ENC117740</t>
        </is>
      </c>
      <c r="C1690" t="inlineStr">
        <is>
          <t>State Medicaid</t>
        </is>
      </c>
      <c r="D1690" t="inlineStr">
        <is>
          <t>Outpatient</t>
        </is>
      </c>
      <c r="E1690" s="29" t="n">
        <v>45887</v>
      </c>
      <c r="F1690" s="29" t="n">
        <v>45894</v>
      </c>
      <c r="G1690" s="31" t="n">
        <v>364.81</v>
      </c>
      <c r="H1690" s="31" t="n">
        <v>92.48999999999999</v>
      </c>
      <c r="I1690" t="inlineStr">
        <is>
          <t>Paid</t>
        </is>
      </c>
      <c r="K1690" s="29" t="n">
        <v>45923</v>
      </c>
      <c r="L1690" s="33" t="n"/>
    </row>
    <row r="1691">
      <c r="A1691" t="inlineStr">
        <is>
          <t>CLM517745</t>
        </is>
      </c>
      <c r="B1691" t="inlineStr">
        <is>
          <t>ENC117745</t>
        </is>
      </c>
      <c r="C1691" t="inlineStr">
        <is>
          <t>Medicare</t>
        </is>
      </c>
      <c r="D1691" t="inlineStr">
        <is>
          <t>Inpatient</t>
        </is>
      </c>
      <c r="E1691" s="29" t="n">
        <v>45893</v>
      </c>
      <c r="F1691" s="29" t="n">
        <v>45898</v>
      </c>
      <c r="G1691" s="31" t="n">
        <v>24730.33</v>
      </c>
      <c r="H1691" s="31" t="n">
        <v>6757.55</v>
      </c>
      <c r="I1691" t="inlineStr">
        <is>
          <t>Paid</t>
        </is>
      </c>
      <c r="K1691" s="29" t="n">
        <v>45908</v>
      </c>
      <c r="L1691" s="33" t="n"/>
    </row>
    <row r="1692">
      <c r="A1692" t="inlineStr">
        <is>
          <t>CLM517750</t>
        </is>
      </c>
      <c r="B1692" t="inlineStr">
        <is>
          <t>ENC117750</t>
        </is>
      </c>
      <c r="C1692" t="inlineStr">
        <is>
          <t>State Medicaid</t>
        </is>
      </c>
      <c r="D1692" t="inlineStr">
        <is>
          <t>Emergency</t>
        </is>
      </c>
      <c r="E1692" s="29" t="n">
        <v>45888</v>
      </c>
      <c r="F1692" s="29" t="n">
        <v>45890</v>
      </c>
      <c r="G1692" s="31" t="n">
        <v>1619.67</v>
      </c>
      <c r="H1692" s="31" t="n">
        <v>452.08</v>
      </c>
      <c r="I1692" t="inlineStr">
        <is>
          <t>Paid</t>
        </is>
      </c>
      <c r="K1692" s="29" t="n">
        <v>45909</v>
      </c>
      <c r="L1692" s="33" t="n"/>
    </row>
    <row r="1693">
      <c r="A1693" t="inlineStr">
        <is>
          <t>CLM517755</t>
        </is>
      </c>
      <c r="B1693" t="inlineStr">
        <is>
          <t>ENC117755</t>
        </is>
      </c>
      <c r="C1693" t="inlineStr">
        <is>
          <t>Keystone Health Partners</t>
        </is>
      </c>
      <c r="D1693" t="inlineStr">
        <is>
          <t>Outpatient</t>
        </is>
      </c>
      <c r="E1693" s="29" t="n">
        <v>45888</v>
      </c>
      <c r="F1693" s="29" t="n">
        <v>45890</v>
      </c>
      <c r="G1693" s="31" t="n">
        <v>453.18</v>
      </c>
      <c r="H1693" s="31" t="n">
        <v>0</v>
      </c>
      <c r="I1693" t="inlineStr">
        <is>
          <t>Denied</t>
        </is>
      </c>
      <c r="J1693" t="inlineStr">
        <is>
          <t>Eligibility / Coverage</t>
        </is>
      </c>
      <c r="L1693" s="33" t="n"/>
    </row>
    <row r="1694">
      <c r="A1694" t="inlineStr">
        <is>
          <t>CLM517758</t>
        </is>
      </c>
      <c r="B1694" t="inlineStr">
        <is>
          <t>ENC117758</t>
        </is>
      </c>
      <c r="C1694" t="inlineStr">
        <is>
          <t>State Medicaid</t>
        </is>
      </c>
      <c r="D1694" t="inlineStr">
        <is>
          <t>Outpatient</t>
        </is>
      </c>
      <c r="E1694" s="29" t="n">
        <v>45888</v>
      </c>
      <c r="F1694" s="29" t="n">
        <v>45892</v>
      </c>
      <c r="G1694" s="31" t="n">
        <v>461.22</v>
      </c>
      <c r="H1694" s="31" t="n">
        <v>103.51</v>
      </c>
      <c r="I1694" t="inlineStr">
        <is>
          <t>Paid</t>
        </is>
      </c>
      <c r="K1694" s="29" t="n">
        <v>45922</v>
      </c>
      <c r="L1694" s="33" t="n"/>
    </row>
    <row r="1695">
      <c r="A1695" t="inlineStr">
        <is>
          <t>CLM517759</t>
        </is>
      </c>
      <c r="B1695" t="inlineStr">
        <is>
          <t>ENC117759</t>
        </is>
      </c>
      <c r="C1695" t="inlineStr">
        <is>
          <t>Evergreen Mutual Insurance</t>
        </is>
      </c>
      <c r="D1695" t="inlineStr">
        <is>
          <t>Outpatient</t>
        </is>
      </c>
      <c r="E1695" s="29" t="n">
        <v>45888</v>
      </c>
      <c r="F1695" s="29" t="n">
        <v>45891</v>
      </c>
      <c r="G1695" s="31" t="n">
        <v>251.78</v>
      </c>
      <c r="H1695" s="31" t="n">
        <v>105.87</v>
      </c>
      <c r="I1695" t="inlineStr">
        <is>
          <t>Paid</t>
        </is>
      </c>
      <c r="K1695" s="29" t="n">
        <v>45928</v>
      </c>
      <c r="L1695" s="33" t="n"/>
    </row>
    <row r="1696">
      <c r="A1696" t="inlineStr">
        <is>
          <t>CLM517763</t>
        </is>
      </c>
      <c r="B1696" t="inlineStr">
        <is>
          <t>ENC117763</t>
        </is>
      </c>
      <c r="C1696" t="inlineStr">
        <is>
          <t>Medicare</t>
        </is>
      </c>
      <c r="D1696" t="inlineStr">
        <is>
          <t>Outpatient</t>
        </is>
      </c>
      <c r="E1696" s="29" t="n">
        <v>45888</v>
      </c>
      <c r="F1696" s="29" t="n">
        <v>45890</v>
      </c>
      <c r="G1696" s="31" t="n">
        <v>187.59</v>
      </c>
      <c r="H1696" s="31" t="n">
        <v>46.65</v>
      </c>
      <c r="I1696" t="inlineStr">
        <is>
          <t>Paid</t>
        </is>
      </c>
      <c r="K1696" s="29" t="n">
        <v>45904</v>
      </c>
      <c r="L1696" s="33" t="n"/>
    </row>
    <row r="1697">
      <c r="A1697" t="inlineStr">
        <is>
          <t>CLM517765</t>
        </is>
      </c>
      <c r="B1697" t="inlineStr">
        <is>
          <t>ENC117765</t>
        </is>
      </c>
      <c r="C1697" t="inlineStr">
        <is>
          <t>Keystone Health Partners</t>
        </is>
      </c>
      <c r="D1697" t="inlineStr">
        <is>
          <t>Emergency</t>
        </is>
      </c>
      <c r="E1697" s="29" t="n">
        <v>45888</v>
      </c>
      <c r="F1697" s="29" t="n">
        <v>45897</v>
      </c>
      <c r="G1697" s="31" t="n">
        <v>1665.15</v>
      </c>
      <c r="H1697" s="31" t="n">
        <v>745.54</v>
      </c>
      <c r="I1697" t="inlineStr">
        <is>
          <t>Paid</t>
        </is>
      </c>
      <c r="K1697" s="29" t="n">
        <v>45932</v>
      </c>
      <c r="L1697" s="33" t="n"/>
    </row>
    <row r="1698">
      <c r="A1698" t="inlineStr">
        <is>
          <t>CLM517772</t>
        </is>
      </c>
      <c r="B1698" t="inlineStr">
        <is>
          <t>ENC117772</t>
        </is>
      </c>
      <c r="C1698" t="inlineStr">
        <is>
          <t>Evergreen Mutual Insurance</t>
        </is>
      </c>
      <c r="D1698" t="inlineStr">
        <is>
          <t>Observation</t>
        </is>
      </c>
      <c r="E1698" s="29" t="n">
        <v>45889</v>
      </c>
      <c r="F1698" s="29" t="n">
        <v>45896</v>
      </c>
      <c r="G1698" s="31" t="n">
        <v>7361.87</v>
      </c>
      <c r="H1698" s="31" t="n">
        <v>3048.88</v>
      </c>
      <c r="I1698" t="inlineStr">
        <is>
          <t>Paid</t>
        </is>
      </c>
      <c r="K1698" s="29" t="n">
        <v>45938</v>
      </c>
      <c r="L1698" s="33" t="n"/>
    </row>
    <row r="1699">
      <c r="A1699" t="inlineStr">
        <is>
          <t>CLM517776</t>
        </is>
      </c>
      <c r="B1699" t="inlineStr">
        <is>
          <t>ENC117776</t>
        </is>
      </c>
      <c r="C1699" t="inlineStr">
        <is>
          <t>Medicare</t>
        </is>
      </c>
      <c r="D1699" t="inlineStr">
        <is>
          <t>Emergency</t>
        </is>
      </c>
      <c r="E1699" s="29" t="n">
        <v>45889</v>
      </c>
      <c r="F1699" s="29" t="n">
        <v>45894</v>
      </c>
      <c r="G1699" s="31" t="n">
        <v>579.8</v>
      </c>
      <c r="H1699" s="31" t="n">
        <v>159.98</v>
      </c>
      <c r="I1699" t="inlineStr">
        <is>
          <t>Paid</t>
        </is>
      </c>
      <c r="K1699" s="29" t="n">
        <v>45912</v>
      </c>
      <c r="L1699" s="33" t="n"/>
    </row>
    <row r="1700">
      <c r="A1700" t="inlineStr">
        <is>
          <t>CLM517780</t>
        </is>
      </c>
      <c r="B1700" t="inlineStr">
        <is>
          <t>ENC117780</t>
        </is>
      </c>
      <c r="C1700" t="inlineStr">
        <is>
          <t>Medicare</t>
        </is>
      </c>
      <c r="D1700" t="inlineStr">
        <is>
          <t>Inpatient</t>
        </is>
      </c>
      <c r="E1700" s="29" t="n">
        <v>45891</v>
      </c>
      <c r="F1700" s="29" t="n">
        <v>45899</v>
      </c>
      <c r="G1700" s="31" t="n">
        <v>17442.22</v>
      </c>
      <c r="H1700" s="31" t="n">
        <v>5238.01</v>
      </c>
      <c r="I1700" t="inlineStr">
        <is>
          <t>Paid</t>
        </is>
      </c>
      <c r="K1700" s="29" t="n">
        <v>45909</v>
      </c>
      <c r="L1700" s="33" t="n"/>
    </row>
    <row r="1701">
      <c r="A1701" t="inlineStr">
        <is>
          <t>CLM517786</t>
        </is>
      </c>
      <c r="B1701" t="inlineStr">
        <is>
          <t>ENC117786</t>
        </is>
      </c>
      <c r="C1701" t="inlineStr">
        <is>
          <t>Summit Choice PPO</t>
        </is>
      </c>
      <c r="D1701" t="inlineStr">
        <is>
          <t>Outpatient</t>
        </is>
      </c>
      <c r="E1701" s="29" t="n">
        <v>45889</v>
      </c>
      <c r="F1701" s="29" t="n">
        <v>45896</v>
      </c>
      <c r="G1701" s="31" t="n">
        <v>316.78</v>
      </c>
      <c r="H1701" s="31" t="n">
        <v>0</v>
      </c>
      <c r="I1701" t="inlineStr">
        <is>
          <t>Denied</t>
        </is>
      </c>
      <c r="J1701" t="inlineStr">
        <is>
          <t>Authorization Required</t>
        </is>
      </c>
      <c r="L1701" s="33" t="n"/>
    </row>
    <row r="1702">
      <c r="A1702" t="inlineStr">
        <is>
          <t>CLM517788</t>
        </is>
      </c>
      <c r="B1702" t="inlineStr">
        <is>
          <t>ENC117788</t>
        </is>
      </c>
      <c r="C1702" t="inlineStr">
        <is>
          <t>Medicare</t>
        </is>
      </c>
      <c r="D1702" t="inlineStr">
        <is>
          <t>Inpatient</t>
        </is>
      </c>
      <c r="E1702" s="29" t="n">
        <v>45892</v>
      </c>
      <c r="F1702" s="29" t="n">
        <v>45894</v>
      </c>
      <c r="G1702" s="31" t="n">
        <v>25072.29</v>
      </c>
      <c r="H1702" s="31" t="n">
        <v>7275.62</v>
      </c>
      <c r="I1702" t="inlineStr">
        <is>
          <t>Paid</t>
        </is>
      </c>
      <c r="K1702" s="29" t="n">
        <v>45907</v>
      </c>
      <c r="L1702" s="33" t="n"/>
    </row>
    <row r="1703">
      <c r="A1703" t="inlineStr">
        <is>
          <t>CLM517791</t>
        </is>
      </c>
      <c r="B1703" t="inlineStr">
        <is>
          <t>ENC117791</t>
        </is>
      </c>
      <c r="C1703" t="inlineStr">
        <is>
          <t>Evergreen Mutual Insurance</t>
        </is>
      </c>
      <c r="D1703" t="inlineStr">
        <is>
          <t>Inpatient</t>
        </is>
      </c>
      <c r="E1703" s="29" t="n">
        <v>45894</v>
      </c>
      <c r="F1703" s="29" t="n">
        <v>45899</v>
      </c>
      <c r="G1703" s="31" t="n">
        <v>33061.68</v>
      </c>
      <c r="H1703" s="31" t="n">
        <v>13055.3</v>
      </c>
      <c r="I1703" t="inlineStr">
        <is>
          <t>Paid</t>
        </is>
      </c>
      <c r="K1703" s="29" t="n">
        <v>45929</v>
      </c>
      <c r="L1703" s="33" t="n"/>
    </row>
    <row r="1704">
      <c r="A1704" t="inlineStr">
        <is>
          <t>CLM517792</t>
        </is>
      </c>
      <c r="B1704" t="inlineStr">
        <is>
          <t>ENC117792</t>
        </is>
      </c>
      <c r="C1704" t="inlineStr">
        <is>
          <t>Keystone Health Partners</t>
        </is>
      </c>
      <c r="D1704" t="inlineStr">
        <is>
          <t>Inpatient</t>
        </is>
      </c>
      <c r="E1704" s="29" t="n">
        <v>45891</v>
      </c>
      <c r="F1704" s="29" t="n">
        <v>45899</v>
      </c>
      <c r="G1704" s="31" t="n">
        <v>17140.78</v>
      </c>
      <c r="H1704" s="31" t="n">
        <v>7685.09</v>
      </c>
      <c r="I1704" t="inlineStr">
        <is>
          <t>Paid</t>
        </is>
      </c>
      <c r="K1704" s="29" t="n">
        <v>45920</v>
      </c>
      <c r="L1704" s="33" t="n"/>
    </row>
    <row r="1705">
      <c r="A1705" t="inlineStr">
        <is>
          <t>CLM517795</t>
        </is>
      </c>
      <c r="B1705" t="inlineStr">
        <is>
          <t>ENC117795</t>
        </is>
      </c>
      <c r="C1705" t="inlineStr">
        <is>
          <t>State Medicaid</t>
        </is>
      </c>
      <c r="D1705" t="inlineStr">
        <is>
          <t>Emergency</t>
        </is>
      </c>
      <c r="E1705" s="29" t="n">
        <v>45889</v>
      </c>
      <c r="F1705" s="29" t="n">
        <v>45892</v>
      </c>
      <c r="G1705" s="31" t="n">
        <v>2941.6</v>
      </c>
      <c r="H1705" s="31" t="n">
        <v>691.38</v>
      </c>
      <c r="I1705" t="inlineStr">
        <is>
          <t>Paid</t>
        </is>
      </c>
      <c r="K1705" s="29" t="n">
        <v>45932</v>
      </c>
      <c r="L1705" s="33" t="n"/>
    </row>
    <row r="1706">
      <c r="A1706" t="inlineStr">
        <is>
          <t>CLM517796</t>
        </is>
      </c>
      <c r="B1706" t="inlineStr">
        <is>
          <t>ENC117796</t>
        </is>
      </c>
      <c r="C1706" t="inlineStr">
        <is>
          <t>Summit Choice PPO</t>
        </is>
      </c>
      <c r="D1706" t="inlineStr">
        <is>
          <t>Outpatient</t>
        </is>
      </c>
      <c r="E1706" s="29" t="n">
        <v>45889</v>
      </c>
      <c r="F1706" s="29" t="n">
        <v>45898</v>
      </c>
      <c r="G1706" s="31" t="n">
        <v>392.82</v>
      </c>
      <c r="H1706" s="31" t="n">
        <v>208.64</v>
      </c>
      <c r="I1706" t="inlineStr">
        <is>
          <t>Paid</t>
        </is>
      </c>
      <c r="K1706" s="29" t="n">
        <v>45929</v>
      </c>
      <c r="L1706" s="33" t="n"/>
    </row>
    <row r="1707">
      <c r="A1707" t="inlineStr">
        <is>
          <t>CLM517797</t>
        </is>
      </c>
      <c r="B1707" t="inlineStr">
        <is>
          <t>ENC117797</t>
        </is>
      </c>
      <c r="C1707" t="inlineStr">
        <is>
          <t>Summit Choice PPO</t>
        </is>
      </c>
      <c r="D1707" t="inlineStr">
        <is>
          <t>Outpatient</t>
        </is>
      </c>
      <c r="E1707" s="29" t="n">
        <v>45889</v>
      </c>
      <c r="F1707" s="29" t="n">
        <v>45894</v>
      </c>
      <c r="G1707" s="31" t="n">
        <v>230.02</v>
      </c>
      <c r="H1707" s="31" t="n">
        <v>130.31</v>
      </c>
      <c r="I1707" t="inlineStr">
        <is>
          <t>Paid</t>
        </is>
      </c>
      <c r="K1707" s="29" t="n">
        <v>45927</v>
      </c>
      <c r="L1707" s="33" t="n"/>
    </row>
    <row r="1708">
      <c r="A1708" t="inlineStr">
        <is>
          <t>CLM517798</t>
        </is>
      </c>
      <c r="B1708" t="inlineStr">
        <is>
          <t>ENC117798</t>
        </is>
      </c>
      <c r="C1708" t="inlineStr">
        <is>
          <t>Summit Choice PPO</t>
        </is>
      </c>
      <c r="D1708" t="inlineStr">
        <is>
          <t>Outpatient</t>
        </is>
      </c>
      <c r="E1708" s="29" t="n">
        <v>45889</v>
      </c>
      <c r="F1708" s="29" t="n">
        <v>45894</v>
      </c>
      <c r="G1708" s="31" t="n">
        <v>256.95</v>
      </c>
      <c r="H1708" s="31" t="n">
        <v>130.22</v>
      </c>
      <c r="I1708" t="inlineStr">
        <is>
          <t>Paid</t>
        </is>
      </c>
      <c r="K1708" s="29" t="n">
        <v>45930</v>
      </c>
      <c r="L1708" s="33" t="n"/>
    </row>
    <row r="1709">
      <c r="A1709" t="inlineStr">
        <is>
          <t>CLM517806</t>
        </is>
      </c>
      <c r="B1709" t="inlineStr">
        <is>
          <t>ENC117806</t>
        </is>
      </c>
      <c r="C1709" t="inlineStr">
        <is>
          <t>Evergreen Mutual Insurance</t>
        </is>
      </c>
      <c r="D1709" t="inlineStr">
        <is>
          <t>Emergency</t>
        </is>
      </c>
      <c r="E1709" s="29" t="n">
        <v>45889</v>
      </c>
      <c r="F1709" s="29" t="n">
        <v>45892</v>
      </c>
      <c r="G1709" s="31" t="n">
        <v>4266.19</v>
      </c>
      <c r="H1709" s="31" t="n">
        <v>1765.59</v>
      </c>
      <c r="I1709" t="inlineStr">
        <is>
          <t>Paid</t>
        </is>
      </c>
      <c r="K1709" s="29" t="n">
        <v>45921</v>
      </c>
      <c r="L1709" s="33" t="n"/>
    </row>
    <row r="1710">
      <c r="A1710" t="inlineStr">
        <is>
          <t>CLM517807</t>
        </is>
      </c>
      <c r="B1710" t="inlineStr">
        <is>
          <t>ENC117807</t>
        </is>
      </c>
      <c r="C1710" t="inlineStr">
        <is>
          <t>Silverline Medicare Advantage</t>
        </is>
      </c>
      <c r="D1710" t="inlineStr">
        <is>
          <t>Emergency</t>
        </is>
      </c>
      <c r="E1710" s="29" t="n">
        <v>45889</v>
      </c>
      <c r="F1710" s="29" t="n">
        <v>45893</v>
      </c>
      <c r="G1710" s="31" t="n">
        <v>2159.28</v>
      </c>
      <c r="H1710" s="31" t="n">
        <v>641.28</v>
      </c>
      <c r="I1710" t="inlineStr">
        <is>
          <t>Paid</t>
        </is>
      </c>
      <c r="K1710" s="29" t="n">
        <v>45924</v>
      </c>
      <c r="L1710" s="33" t="n"/>
    </row>
    <row r="1711">
      <c r="A1711" t="inlineStr">
        <is>
          <t>CLM517812</t>
        </is>
      </c>
      <c r="B1711" t="inlineStr">
        <is>
          <t>ENC117812</t>
        </is>
      </c>
      <c r="C1711" t="inlineStr">
        <is>
          <t>Keystone Health Partners</t>
        </is>
      </c>
      <c r="D1711" t="inlineStr">
        <is>
          <t>Emergency</t>
        </is>
      </c>
      <c r="E1711" s="29" t="n">
        <v>45889</v>
      </c>
      <c r="F1711" s="29" t="n">
        <v>45894</v>
      </c>
      <c r="G1711" s="31" t="n">
        <v>540.04</v>
      </c>
      <c r="H1711" s="31" t="n">
        <v>245.51</v>
      </c>
      <c r="I1711" t="inlineStr">
        <is>
          <t>Paid</t>
        </is>
      </c>
      <c r="K1711" s="29" t="n">
        <v>45925</v>
      </c>
      <c r="L1711" s="33" t="n"/>
    </row>
    <row r="1712">
      <c r="A1712" t="inlineStr">
        <is>
          <t>CLM517817</t>
        </is>
      </c>
      <c r="B1712" t="inlineStr">
        <is>
          <t>ENC117817</t>
        </is>
      </c>
      <c r="C1712" t="inlineStr">
        <is>
          <t>State Medicaid</t>
        </is>
      </c>
      <c r="D1712" t="inlineStr">
        <is>
          <t>Outpatient</t>
        </is>
      </c>
      <c r="E1712" s="29" t="n">
        <v>45890</v>
      </c>
      <c r="F1712" s="29" t="n">
        <v>45894</v>
      </c>
      <c r="G1712" s="31" t="n">
        <v>9106.889999999999</v>
      </c>
      <c r="H1712" s="31" t="n">
        <v>2343.34</v>
      </c>
      <c r="I1712" t="inlineStr">
        <is>
          <t>Paid</t>
        </is>
      </c>
      <c r="K1712" s="29" t="n">
        <v>45935</v>
      </c>
      <c r="L1712" s="33" t="n"/>
    </row>
    <row r="1713">
      <c r="A1713" t="inlineStr">
        <is>
          <t>CLM517820</t>
        </is>
      </c>
      <c r="B1713" t="inlineStr">
        <is>
          <t>ENC117820</t>
        </is>
      </c>
      <c r="C1713" t="inlineStr">
        <is>
          <t>Medicare</t>
        </is>
      </c>
      <c r="D1713" t="inlineStr">
        <is>
          <t>Emergency</t>
        </is>
      </c>
      <c r="E1713" s="29" t="n">
        <v>45890</v>
      </c>
      <c r="F1713" s="29" t="n">
        <v>45897</v>
      </c>
      <c r="G1713" s="31" t="n">
        <v>6400.89</v>
      </c>
      <c r="H1713" s="31" t="n">
        <v>1785.78</v>
      </c>
      <c r="I1713" t="inlineStr">
        <is>
          <t>Paid</t>
        </is>
      </c>
      <c r="K1713" s="29" t="n">
        <v>45911</v>
      </c>
      <c r="L1713" s="33" t="n"/>
    </row>
    <row r="1714">
      <c r="A1714" t="inlineStr">
        <is>
          <t>CLM517824</t>
        </is>
      </c>
      <c r="B1714" t="inlineStr">
        <is>
          <t>ENC117824</t>
        </is>
      </c>
      <c r="C1714" t="inlineStr">
        <is>
          <t>State Medicaid</t>
        </is>
      </c>
      <c r="D1714" t="inlineStr">
        <is>
          <t>Emergency</t>
        </is>
      </c>
      <c r="E1714" s="29" t="n">
        <v>45890</v>
      </c>
      <c r="F1714" s="29" t="n">
        <v>45892</v>
      </c>
      <c r="G1714" s="31" t="n">
        <v>2939.61</v>
      </c>
      <c r="H1714" s="31" t="n">
        <v>586.16</v>
      </c>
      <c r="I1714" t="inlineStr">
        <is>
          <t>Partially Paid</t>
        </is>
      </c>
      <c r="J1714" t="inlineStr">
        <is>
          <t>Coding Error</t>
        </is>
      </c>
      <c r="K1714" s="29" t="n">
        <v>45933</v>
      </c>
      <c r="L1714" s="33" t="n"/>
    </row>
    <row r="1715">
      <c r="A1715" t="inlineStr">
        <is>
          <t>CLM517828</t>
        </is>
      </c>
      <c r="B1715" t="inlineStr">
        <is>
          <t>ENC117828</t>
        </is>
      </c>
      <c r="C1715" t="inlineStr">
        <is>
          <t>State Medicaid</t>
        </is>
      </c>
      <c r="D1715" t="inlineStr">
        <is>
          <t>Outpatient</t>
        </is>
      </c>
      <c r="E1715" s="29" t="n">
        <v>45890</v>
      </c>
      <c r="F1715" s="29" t="n">
        <v>45893</v>
      </c>
      <c r="G1715" s="31" t="n">
        <v>297.46</v>
      </c>
      <c r="H1715" s="31" t="n">
        <v>76.56</v>
      </c>
      <c r="I1715" t="inlineStr">
        <is>
          <t>Paid</t>
        </is>
      </c>
      <c r="K1715" s="29" t="n">
        <v>45933</v>
      </c>
      <c r="L1715" s="33" t="n"/>
    </row>
    <row r="1716">
      <c r="A1716" t="inlineStr">
        <is>
          <t>CLM517829</t>
        </is>
      </c>
      <c r="B1716" t="inlineStr">
        <is>
          <t>ENC117829</t>
        </is>
      </c>
      <c r="C1716" t="inlineStr">
        <is>
          <t>Keystone Health Partners</t>
        </is>
      </c>
      <c r="D1716" t="inlineStr">
        <is>
          <t>Outpatient</t>
        </is>
      </c>
      <c r="E1716" s="29" t="n">
        <v>45890</v>
      </c>
      <c r="F1716" s="29" t="n">
        <v>45891</v>
      </c>
      <c r="G1716" s="31" t="n">
        <v>223.1</v>
      </c>
      <c r="H1716" s="31" t="n">
        <v>106.49</v>
      </c>
      <c r="I1716" t="inlineStr">
        <is>
          <t>Paid</t>
        </is>
      </c>
      <c r="K1716" s="29" t="n">
        <v>45914</v>
      </c>
      <c r="L1716" s="33" t="n"/>
    </row>
    <row r="1717">
      <c r="A1717" t="inlineStr">
        <is>
          <t>CLM517830</t>
        </is>
      </c>
      <c r="B1717" t="inlineStr">
        <is>
          <t>ENC117830</t>
        </is>
      </c>
      <c r="C1717" t="inlineStr">
        <is>
          <t>Self-Pay</t>
        </is>
      </c>
      <c r="D1717" t="inlineStr">
        <is>
          <t>Outpatient</t>
        </is>
      </c>
      <c r="E1717" s="29" t="n">
        <v>45890</v>
      </c>
      <c r="F1717" s="29" t="n">
        <v>45893</v>
      </c>
      <c r="G1717" s="31" t="n">
        <v>269.88</v>
      </c>
      <c r="H1717" s="31" t="n">
        <v>0</v>
      </c>
      <c r="I1717" t="inlineStr">
        <is>
          <t>Pending</t>
        </is>
      </c>
      <c r="L1717" s="33" t="n"/>
    </row>
    <row r="1718">
      <c r="A1718" t="inlineStr">
        <is>
          <t>CLM517836</t>
        </is>
      </c>
      <c r="B1718" t="inlineStr">
        <is>
          <t>ENC117836</t>
        </is>
      </c>
      <c r="C1718" t="inlineStr">
        <is>
          <t>State Medicaid</t>
        </is>
      </c>
      <c r="D1718" t="inlineStr">
        <is>
          <t>Inpatient</t>
        </is>
      </c>
      <c r="E1718" s="29" t="n">
        <v>45893</v>
      </c>
      <c r="F1718" s="29" t="n">
        <v>45896</v>
      </c>
      <c r="G1718" s="31" t="n">
        <v>17370.76</v>
      </c>
      <c r="H1718" s="31" t="n">
        <v>4405.83</v>
      </c>
      <c r="I1718" t="inlineStr">
        <is>
          <t>Paid</t>
        </is>
      </c>
      <c r="K1718" s="29" t="n">
        <v>45941</v>
      </c>
      <c r="L1718" s="33" t="n"/>
    </row>
    <row r="1719">
      <c r="A1719" t="inlineStr">
        <is>
          <t>CLM517840</t>
        </is>
      </c>
      <c r="B1719" t="inlineStr">
        <is>
          <t>ENC117840</t>
        </is>
      </c>
      <c r="C1719" t="inlineStr">
        <is>
          <t>State Medicaid</t>
        </is>
      </c>
      <c r="D1719" t="inlineStr">
        <is>
          <t>Inpatient</t>
        </is>
      </c>
      <c r="E1719" s="29" t="n">
        <v>45893</v>
      </c>
      <c r="F1719" s="29" t="n">
        <v>45894</v>
      </c>
      <c r="G1719" s="31" t="n">
        <v>30357.46</v>
      </c>
      <c r="H1719" s="31" t="n">
        <v>7013.35</v>
      </c>
      <c r="I1719" t="inlineStr">
        <is>
          <t>Paid</t>
        </is>
      </c>
      <c r="K1719" s="29" t="n">
        <v>45929</v>
      </c>
      <c r="L1719" s="33" t="n"/>
    </row>
    <row r="1720">
      <c r="A1720" t="inlineStr">
        <is>
          <t>CLM517844</t>
        </is>
      </c>
      <c r="B1720" t="inlineStr">
        <is>
          <t>ENC117844</t>
        </is>
      </c>
      <c r="C1720" t="inlineStr">
        <is>
          <t>State Medicaid</t>
        </is>
      </c>
      <c r="D1720" t="inlineStr">
        <is>
          <t>Inpatient</t>
        </is>
      </c>
      <c r="E1720" s="29" t="n">
        <v>45892</v>
      </c>
      <c r="F1720" s="29" t="n">
        <v>45896</v>
      </c>
      <c r="G1720" s="31" t="n">
        <v>38400.18</v>
      </c>
      <c r="H1720" s="31" t="n">
        <v>8727.879999999999</v>
      </c>
      <c r="I1720" t="inlineStr">
        <is>
          <t>Paid</t>
        </is>
      </c>
      <c r="K1720" s="29" t="n">
        <v>45925</v>
      </c>
      <c r="L1720" s="33" t="n"/>
    </row>
    <row r="1721">
      <c r="A1721" t="inlineStr">
        <is>
          <t>CLM517846</t>
        </is>
      </c>
      <c r="B1721" t="inlineStr">
        <is>
          <t>ENC117846</t>
        </is>
      </c>
      <c r="C1721" t="inlineStr">
        <is>
          <t>Medicare</t>
        </is>
      </c>
      <c r="D1721" t="inlineStr">
        <is>
          <t>Emergency</t>
        </is>
      </c>
      <c r="E1721" s="29" t="n">
        <v>45891</v>
      </c>
      <c r="F1721" s="29" t="n">
        <v>45898</v>
      </c>
      <c r="G1721" s="31" t="n">
        <v>3474.93</v>
      </c>
      <c r="H1721" s="31" t="n">
        <v>1002.27</v>
      </c>
      <c r="I1721" t="inlineStr">
        <is>
          <t>Paid</t>
        </is>
      </c>
      <c r="K1721" s="29" t="n">
        <v>45913</v>
      </c>
      <c r="L1721" s="33" t="n"/>
    </row>
    <row r="1722">
      <c r="A1722" t="inlineStr">
        <is>
          <t>CLM517852</t>
        </is>
      </c>
      <c r="B1722" t="inlineStr">
        <is>
          <t>ENC117852</t>
        </is>
      </c>
      <c r="C1722" t="inlineStr">
        <is>
          <t>Medicare</t>
        </is>
      </c>
      <c r="D1722" t="inlineStr">
        <is>
          <t>Outpatient</t>
        </is>
      </c>
      <c r="E1722" s="29" t="n">
        <v>45891</v>
      </c>
      <c r="F1722" s="29" t="n">
        <v>45892</v>
      </c>
      <c r="G1722" s="31" t="n">
        <v>431.36</v>
      </c>
      <c r="H1722" s="31" t="n">
        <v>140.69</v>
      </c>
      <c r="I1722" t="inlineStr">
        <is>
          <t>Paid</t>
        </is>
      </c>
      <c r="K1722" s="29" t="n">
        <v>45905</v>
      </c>
      <c r="L1722" s="33" t="n"/>
    </row>
    <row r="1723">
      <c r="A1723" t="inlineStr">
        <is>
          <t>CLM517854</t>
        </is>
      </c>
      <c r="B1723" t="inlineStr">
        <is>
          <t>ENC117854</t>
        </is>
      </c>
      <c r="C1723" t="inlineStr">
        <is>
          <t>Medicare</t>
        </is>
      </c>
      <c r="D1723" t="inlineStr">
        <is>
          <t>Outpatient</t>
        </is>
      </c>
      <c r="E1723" s="29" t="n">
        <v>45891</v>
      </c>
      <c r="F1723" s="29" t="n">
        <v>45893</v>
      </c>
      <c r="G1723" s="31" t="n">
        <v>767.52</v>
      </c>
      <c r="H1723" s="31" t="n">
        <v>218.38</v>
      </c>
      <c r="I1723" t="inlineStr">
        <is>
          <t>Paid</t>
        </is>
      </c>
      <c r="K1723" s="29" t="n">
        <v>45903</v>
      </c>
      <c r="L1723" s="33" t="n"/>
    </row>
    <row r="1724">
      <c r="A1724" t="inlineStr">
        <is>
          <t>CLM517855</t>
        </is>
      </c>
      <c r="B1724" t="inlineStr">
        <is>
          <t>ENC117855</t>
        </is>
      </c>
      <c r="C1724" t="inlineStr">
        <is>
          <t>Summit Choice PPO</t>
        </is>
      </c>
      <c r="D1724" t="inlineStr">
        <is>
          <t>Outpatient</t>
        </is>
      </c>
      <c r="E1724" s="29" t="n">
        <v>45891</v>
      </c>
      <c r="F1724" s="29" t="n">
        <v>45893</v>
      </c>
      <c r="G1724" s="31" t="n">
        <v>329.86</v>
      </c>
      <c r="H1724" s="31" t="n">
        <v>153.11</v>
      </c>
      <c r="I1724" t="inlineStr">
        <is>
          <t>Paid</t>
        </is>
      </c>
      <c r="K1724" s="29" t="n">
        <v>45917</v>
      </c>
      <c r="L1724" s="33" t="n"/>
    </row>
    <row r="1725">
      <c r="A1725" t="inlineStr">
        <is>
          <t>CLM517857</t>
        </is>
      </c>
      <c r="B1725" t="inlineStr">
        <is>
          <t>ENC117857</t>
        </is>
      </c>
      <c r="C1725" t="inlineStr">
        <is>
          <t>Silverline Medicare Advantage</t>
        </is>
      </c>
      <c r="D1725" t="inlineStr">
        <is>
          <t>Outpatient</t>
        </is>
      </c>
      <c r="E1725" s="29" t="n">
        <v>45891</v>
      </c>
      <c r="F1725" s="29" t="n">
        <v>45896</v>
      </c>
      <c r="G1725" s="31" t="n">
        <v>336.38</v>
      </c>
      <c r="H1725" s="31" t="n">
        <v>106.27</v>
      </c>
      <c r="I1725" t="inlineStr">
        <is>
          <t>Paid</t>
        </is>
      </c>
      <c r="K1725" s="29" t="n">
        <v>45920</v>
      </c>
      <c r="L1725" s="33" t="n"/>
    </row>
    <row r="1726">
      <c r="A1726" t="inlineStr">
        <is>
          <t>CLM517863</t>
        </is>
      </c>
      <c r="B1726" t="inlineStr">
        <is>
          <t>ENC117863</t>
        </is>
      </c>
      <c r="C1726" t="inlineStr">
        <is>
          <t>State Medicaid</t>
        </is>
      </c>
      <c r="D1726" t="inlineStr">
        <is>
          <t>Outpatient</t>
        </is>
      </c>
      <c r="E1726" s="29" t="n">
        <v>45891</v>
      </c>
      <c r="F1726" s="29" t="n">
        <v>45897</v>
      </c>
      <c r="G1726" s="31" t="n">
        <v>235.41</v>
      </c>
      <c r="H1726" s="31" t="n">
        <v>56.85</v>
      </c>
      <c r="I1726" t="inlineStr">
        <is>
          <t>Paid</t>
        </is>
      </c>
      <c r="K1726" s="29" t="n">
        <v>45940</v>
      </c>
      <c r="L1726" s="33" t="n"/>
    </row>
    <row r="1727">
      <c r="A1727" t="inlineStr">
        <is>
          <t>CLM517864</t>
        </is>
      </c>
      <c r="B1727" t="inlineStr">
        <is>
          <t>ENC117864</t>
        </is>
      </c>
      <c r="C1727" t="inlineStr">
        <is>
          <t>Silverline Medicare Advantage</t>
        </is>
      </c>
      <c r="D1727" t="inlineStr">
        <is>
          <t>Outpatient</t>
        </is>
      </c>
      <c r="E1727" s="29" t="n">
        <v>45891</v>
      </c>
      <c r="F1727" s="29" t="n">
        <v>45895</v>
      </c>
      <c r="G1727" s="31" t="n">
        <v>147.57</v>
      </c>
      <c r="H1727" s="31" t="n">
        <v>46.61</v>
      </c>
      <c r="I1727" t="inlineStr">
        <is>
          <t>Paid</t>
        </is>
      </c>
      <c r="K1727" s="29" t="n">
        <v>45937</v>
      </c>
      <c r="L1727" s="33" t="n"/>
    </row>
    <row r="1728">
      <c r="A1728" t="inlineStr">
        <is>
          <t>CLM517871</t>
        </is>
      </c>
      <c r="B1728" t="inlineStr">
        <is>
          <t>ENC117871</t>
        </is>
      </c>
      <c r="C1728" t="inlineStr">
        <is>
          <t>Medicare</t>
        </is>
      </c>
      <c r="D1728" t="inlineStr">
        <is>
          <t>Outpatient</t>
        </is>
      </c>
      <c r="E1728" s="29" t="n">
        <v>45891</v>
      </c>
      <c r="F1728" s="29" t="n">
        <v>45897</v>
      </c>
      <c r="G1728" s="31" t="n">
        <v>464.56</v>
      </c>
      <c r="H1728" s="31" t="n">
        <v>131.23</v>
      </c>
      <c r="I1728" t="inlineStr">
        <is>
          <t>Paid</t>
        </is>
      </c>
      <c r="K1728" s="29" t="n">
        <v>45909</v>
      </c>
      <c r="L1728" s="33" t="n"/>
    </row>
    <row r="1729">
      <c r="A1729" t="inlineStr">
        <is>
          <t>CLM517876</t>
        </is>
      </c>
      <c r="B1729" t="inlineStr">
        <is>
          <t>ENC117876</t>
        </is>
      </c>
      <c r="C1729" t="inlineStr">
        <is>
          <t>Keystone Health Partners</t>
        </is>
      </c>
      <c r="D1729" t="inlineStr">
        <is>
          <t>Emergency</t>
        </is>
      </c>
      <c r="E1729" s="29" t="n">
        <v>45891</v>
      </c>
      <c r="F1729" s="29" t="n">
        <v>45899</v>
      </c>
      <c r="G1729" s="31" t="n">
        <v>1771.47</v>
      </c>
      <c r="H1729" s="31" t="n">
        <v>882.5</v>
      </c>
      <c r="I1729" t="inlineStr">
        <is>
          <t>Paid</t>
        </is>
      </c>
      <c r="K1729" s="29" t="n">
        <v>45918</v>
      </c>
      <c r="L1729" s="33" t="n"/>
    </row>
    <row r="1730">
      <c r="A1730" t="inlineStr">
        <is>
          <t>CLM517878</t>
        </is>
      </c>
      <c r="B1730" t="inlineStr">
        <is>
          <t>ENC117878</t>
        </is>
      </c>
      <c r="C1730" t="inlineStr">
        <is>
          <t>Self-Pay</t>
        </is>
      </c>
      <c r="D1730" t="inlineStr">
        <is>
          <t>Emergency</t>
        </is>
      </c>
      <c r="E1730" s="29" t="n">
        <v>45891</v>
      </c>
      <c r="F1730" s="29" t="n">
        <v>45894</v>
      </c>
      <c r="G1730" s="31" t="n">
        <v>2124.94</v>
      </c>
      <c r="H1730" s="31" t="n">
        <v>0</v>
      </c>
      <c r="I1730" t="inlineStr">
        <is>
          <t>Pending</t>
        </is>
      </c>
      <c r="L1730" s="33" t="n"/>
    </row>
    <row r="1731">
      <c r="A1731" t="inlineStr">
        <is>
          <t>CLM517884</t>
        </is>
      </c>
      <c r="B1731" t="inlineStr">
        <is>
          <t>ENC117884</t>
        </is>
      </c>
      <c r="C1731" t="inlineStr">
        <is>
          <t>Medicare</t>
        </is>
      </c>
      <c r="D1731" t="inlineStr">
        <is>
          <t>Emergency</t>
        </is>
      </c>
      <c r="E1731" s="29" t="n">
        <v>45892</v>
      </c>
      <c r="F1731" s="29" t="n">
        <v>45898</v>
      </c>
      <c r="G1731" s="31" t="n">
        <v>1417.6</v>
      </c>
      <c r="H1731" s="31" t="n">
        <v>382.1</v>
      </c>
      <c r="I1731" t="inlineStr">
        <is>
          <t>Paid</t>
        </is>
      </c>
      <c r="K1731" s="29" t="n">
        <v>45920</v>
      </c>
      <c r="L1731" s="33" t="n"/>
    </row>
    <row r="1732">
      <c r="A1732" t="inlineStr">
        <is>
          <t>CLM517885</t>
        </is>
      </c>
      <c r="B1732" t="inlineStr">
        <is>
          <t>ENC117885</t>
        </is>
      </c>
      <c r="C1732" t="inlineStr">
        <is>
          <t>Summit Choice PPO</t>
        </is>
      </c>
      <c r="D1732" t="inlineStr">
        <is>
          <t>Emergency</t>
        </is>
      </c>
      <c r="E1732" s="29" t="n">
        <v>45892</v>
      </c>
      <c r="F1732" s="29" t="n">
        <v>45894</v>
      </c>
      <c r="G1732" s="31" t="n">
        <v>538.65</v>
      </c>
      <c r="H1732" s="31" t="n">
        <v>278.27</v>
      </c>
      <c r="I1732" t="inlineStr">
        <is>
          <t>Paid</t>
        </is>
      </c>
      <c r="K1732" s="29" t="n">
        <v>45913</v>
      </c>
      <c r="L1732" s="33" t="n"/>
    </row>
    <row r="1733">
      <c r="A1733" t="inlineStr">
        <is>
          <t>CLM517889</t>
        </is>
      </c>
      <c r="B1733" t="inlineStr">
        <is>
          <t>ENC117889</t>
        </is>
      </c>
      <c r="C1733" t="inlineStr">
        <is>
          <t>Keystone Health Partners</t>
        </is>
      </c>
      <c r="D1733" t="inlineStr">
        <is>
          <t>Emergency</t>
        </is>
      </c>
      <c r="E1733" s="29" t="n">
        <v>45892</v>
      </c>
      <c r="F1733" s="29" t="n">
        <v>45893</v>
      </c>
      <c r="G1733" s="31" t="n">
        <v>3676.9</v>
      </c>
      <c r="H1733" s="31" t="n">
        <v>1650.53</v>
      </c>
      <c r="I1733" t="inlineStr">
        <is>
          <t>Paid</t>
        </is>
      </c>
      <c r="K1733" s="29" t="n">
        <v>45927</v>
      </c>
      <c r="L1733" s="33" t="n"/>
    </row>
    <row r="1734">
      <c r="A1734" t="inlineStr">
        <is>
          <t>CLM517892</t>
        </is>
      </c>
      <c r="B1734" t="inlineStr">
        <is>
          <t>ENC117892</t>
        </is>
      </c>
      <c r="C1734" t="inlineStr">
        <is>
          <t>Summit Choice PPO</t>
        </is>
      </c>
      <c r="D1734" t="inlineStr">
        <is>
          <t>Observation</t>
        </is>
      </c>
      <c r="E1734" s="29" t="n">
        <v>45894</v>
      </c>
      <c r="F1734" s="29" t="n">
        <v>45898</v>
      </c>
      <c r="G1734" s="31" t="n">
        <v>5122.88</v>
      </c>
      <c r="H1734" s="31" t="n">
        <v>1327.89</v>
      </c>
      <c r="I1734" t="inlineStr">
        <is>
          <t>Partially Paid</t>
        </is>
      </c>
      <c r="J1734" t="inlineStr">
        <is>
          <t>Missing Documentation</t>
        </is>
      </c>
      <c r="K1734" s="29" t="n">
        <v>45926</v>
      </c>
      <c r="L1734" s="33" t="n"/>
    </row>
    <row r="1735">
      <c r="A1735" t="inlineStr">
        <is>
          <t>CLM517900</t>
        </is>
      </c>
      <c r="B1735" t="inlineStr">
        <is>
          <t>ENC117900</t>
        </is>
      </c>
      <c r="C1735" t="inlineStr">
        <is>
          <t>Evergreen Mutual Insurance</t>
        </is>
      </c>
      <c r="D1735" t="inlineStr">
        <is>
          <t>Emergency</t>
        </is>
      </c>
      <c r="E1735" s="29" t="n">
        <v>45893</v>
      </c>
      <c r="F1735" s="29" t="n">
        <v>45897</v>
      </c>
      <c r="G1735" s="31" t="n">
        <v>1512.29</v>
      </c>
      <c r="H1735" s="31" t="n">
        <v>705.9299999999999</v>
      </c>
      <c r="I1735" t="inlineStr">
        <is>
          <t>Paid</t>
        </is>
      </c>
      <c r="K1735" s="29" t="n">
        <v>45937</v>
      </c>
      <c r="L1735" s="33" t="n"/>
    </row>
    <row r="1736">
      <c r="A1736" t="inlineStr">
        <is>
          <t>CLM517903</t>
        </is>
      </c>
      <c r="B1736" t="inlineStr">
        <is>
          <t>ENC117903</t>
        </is>
      </c>
      <c r="C1736" t="inlineStr">
        <is>
          <t>Medicare</t>
        </is>
      </c>
      <c r="D1736" t="inlineStr">
        <is>
          <t>Inpatient</t>
        </is>
      </c>
      <c r="E1736" s="29" t="n">
        <v>45897</v>
      </c>
      <c r="F1736" s="29" t="n">
        <v>45906</v>
      </c>
      <c r="G1736" s="31" t="n">
        <v>33896.11</v>
      </c>
      <c r="H1736" s="31" t="n">
        <v>10982.89</v>
      </c>
      <c r="I1736" t="inlineStr">
        <is>
          <t>Paid</t>
        </is>
      </c>
      <c r="K1736" s="29" t="n">
        <v>45925</v>
      </c>
      <c r="L1736" s="33" t="n"/>
    </row>
    <row r="1737">
      <c r="A1737" t="inlineStr">
        <is>
          <t>CLM517906</t>
        </is>
      </c>
      <c r="B1737" t="inlineStr">
        <is>
          <t>ENC117906</t>
        </is>
      </c>
      <c r="C1737" t="inlineStr">
        <is>
          <t>Workers' Compensation</t>
        </is>
      </c>
      <c r="D1737" t="inlineStr">
        <is>
          <t>Emergency</t>
        </is>
      </c>
      <c r="E1737" s="29" t="n">
        <v>45893</v>
      </c>
      <c r="F1737" s="29" t="n">
        <v>45896</v>
      </c>
      <c r="G1737" s="31" t="n">
        <v>1995.05</v>
      </c>
      <c r="H1737" s="31" t="n">
        <v>1163.35</v>
      </c>
      <c r="I1737" t="inlineStr">
        <is>
          <t>Paid</t>
        </is>
      </c>
      <c r="K1737" s="29" t="n">
        <v>45942</v>
      </c>
      <c r="L1737" s="33" t="n"/>
    </row>
    <row r="1738">
      <c r="A1738" t="inlineStr">
        <is>
          <t>CLM517909</t>
        </is>
      </c>
      <c r="B1738" t="inlineStr">
        <is>
          <t>ENC117909</t>
        </is>
      </c>
      <c r="C1738" t="inlineStr">
        <is>
          <t>Self-Pay</t>
        </is>
      </c>
      <c r="D1738" t="inlineStr">
        <is>
          <t>Emergency</t>
        </is>
      </c>
      <c r="E1738" s="29" t="n">
        <v>45894</v>
      </c>
      <c r="F1738" s="29" t="n">
        <v>45896</v>
      </c>
      <c r="G1738" s="31" t="n">
        <v>3216.12</v>
      </c>
      <c r="H1738" s="31" t="n">
        <v>678.1900000000001</v>
      </c>
      <c r="I1738" t="inlineStr">
        <is>
          <t>Partially Paid</t>
        </is>
      </c>
      <c r="K1738" s="29" t="n">
        <v>45930</v>
      </c>
      <c r="L1738" s="33" t="n"/>
    </row>
    <row r="1739">
      <c r="A1739" t="inlineStr">
        <is>
          <t>CLM517914</t>
        </is>
      </c>
      <c r="B1739" t="inlineStr">
        <is>
          <t>ENC117914</t>
        </is>
      </c>
      <c r="C1739" t="inlineStr">
        <is>
          <t>Silverline Medicare Advantage</t>
        </is>
      </c>
      <c r="D1739" t="inlineStr">
        <is>
          <t>Inpatient</t>
        </is>
      </c>
      <c r="E1739" s="29" t="n">
        <v>45897</v>
      </c>
      <c r="F1739" s="29" t="n">
        <v>45900</v>
      </c>
      <c r="G1739" s="31" t="n">
        <v>28083.25</v>
      </c>
      <c r="H1739" s="31" t="n">
        <v>8612.129999999999</v>
      </c>
      <c r="I1739" t="inlineStr">
        <is>
          <t>Paid</t>
        </is>
      </c>
      <c r="K1739" s="29" t="n">
        <v>45920</v>
      </c>
      <c r="L1739" s="33" t="n"/>
    </row>
    <row r="1740">
      <c r="A1740" t="inlineStr">
        <is>
          <t>CLM517929</t>
        </is>
      </c>
      <c r="B1740" t="inlineStr">
        <is>
          <t>ENC117929</t>
        </is>
      </c>
      <c r="C1740" t="inlineStr">
        <is>
          <t>Evergreen Mutual Insurance</t>
        </is>
      </c>
      <c r="D1740" t="inlineStr">
        <is>
          <t>Emergency</t>
        </is>
      </c>
      <c r="E1740" s="29" t="n">
        <v>45894</v>
      </c>
      <c r="F1740" s="29" t="n">
        <v>45904</v>
      </c>
      <c r="G1740" s="31" t="n">
        <v>1269.35</v>
      </c>
      <c r="H1740" s="31" t="n">
        <v>544.05</v>
      </c>
      <c r="I1740" t="inlineStr">
        <is>
          <t>Paid</t>
        </is>
      </c>
      <c r="K1740" s="29" t="n">
        <v>45919</v>
      </c>
      <c r="L1740" s="33" t="n"/>
    </row>
    <row r="1741">
      <c r="A1741" t="inlineStr">
        <is>
          <t>CLM517930</t>
        </is>
      </c>
      <c r="B1741" t="inlineStr">
        <is>
          <t>ENC117930</t>
        </is>
      </c>
      <c r="C1741" t="inlineStr">
        <is>
          <t>Silverline Medicare Advantage</t>
        </is>
      </c>
      <c r="D1741" t="inlineStr">
        <is>
          <t>Outpatient</t>
        </is>
      </c>
      <c r="E1741" s="29" t="n">
        <v>45894</v>
      </c>
      <c r="F1741" s="29" t="n">
        <v>45896</v>
      </c>
      <c r="G1741" s="31" t="n">
        <v>395.61</v>
      </c>
      <c r="H1741" s="31" t="n">
        <v>139.56</v>
      </c>
      <c r="I1741" t="inlineStr">
        <is>
          <t>Paid</t>
        </is>
      </c>
      <c r="K1741" s="29" t="n">
        <v>45928</v>
      </c>
      <c r="L1741" s="33" t="n"/>
    </row>
    <row r="1742">
      <c r="A1742" t="inlineStr">
        <is>
          <t>CLM517934</t>
        </is>
      </c>
      <c r="B1742" t="inlineStr">
        <is>
          <t>ENC117934</t>
        </is>
      </c>
      <c r="C1742" t="inlineStr">
        <is>
          <t>Medicare</t>
        </is>
      </c>
      <c r="D1742" t="inlineStr">
        <is>
          <t>Emergency</t>
        </is>
      </c>
      <c r="E1742" s="29" t="n">
        <v>45894</v>
      </c>
      <c r="F1742" s="29" t="n">
        <v>45897</v>
      </c>
      <c r="G1742" s="31" t="n">
        <v>1062.71</v>
      </c>
      <c r="H1742" s="31" t="n">
        <v>284.08</v>
      </c>
      <c r="I1742" t="inlineStr">
        <is>
          <t>Paid</t>
        </is>
      </c>
      <c r="K1742" s="29" t="n">
        <v>45906</v>
      </c>
      <c r="L1742" s="33" t="n"/>
    </row>
    <row r="1743">
      <c r="A1743" t="inlineStr">
        <is>
          <t>CLM517935</t>
        </is>
      </c>
      <c r="B1743" t="inlineStr">
        <is>
          <t>ENC117935</t>
        </is>
      </c>
      <c r="C1743" t="inlineStr">
        <is>
          <t>Summit Choice PPO</t>
        </is>
      </c>
      <c r="D1743" t="inlineStr">
        <is>
          <t>Outpatient</t>
        </is>
      </c>
      <c r="E1743" s="29" t="n">
        <v>45894</v>
      </c>
      <c r="F1743" s="29" t="n">
        <v>45897</v>
      </c>
      <c r="G1743" s="31" t="n">
        <v>168.02</v>
      </c>
      <c r="H1743" s="31" t="n">
        <v>91.77</v>
      </c>
      <c r="I1743" t="inlineStr">
        <is>
          <t>Paid</t>
        </is>
      </c>
      <c r="K1743" s="29" t="n">
        <v>45919</v>
      </c>
      <c r="L1743" s="33" t="n"/>
    </row>
    <row r="1744">
      <c r="A1744" t="inlineStr">
        <is>
          <t>CLM517939</t>
        </is>
      </c>
      <c r="B1744" t="inlineStr">
        <is>
          <t>ENC117939</t>
        </is>
      </c>
      <c r="C1744" t="inlineStr">
        <is>
          <t>State Medicaid</t>
        </is>
      </c>
      <c r="D1744" t="inlineStr">
        <is>
          <t>Outpatient</t>
        </is>
      </c>
      <c r="E1744" s="29" t="n">
        <v>45894</v>
      </c>
      <c r="F1744" s="29" t="n">
        <v>45902</v>
      </c>
      <c r="G1744" s="31" t="n">
        <v>376.28</v>
      </c>
      <c r="H1744" s="31" t="n">
        <v>78.84999999999999</v>
      </c>
      <c r="I1744" t="inlineStr">
        <is>
          <t>Paid</t>
        </is>
      </c>
      <c r="K1744" s="29" t="n">
        <v>45935</v>
      </c>
      <c r="L1744" s="33" t="n"/>
    </row>
    <row r="1745">
      <c r="A1745" t="inlineStr">
        <is>
          <t>CLM517940</t>
        </is>
      </c>
      <c r="B1745" t="inlineStr">
        <is>
          <t>ENC117940</t>
        </is>
      </c>
      <c r="C1745" t="inlineStr">
        <is>
          <t>Silverline Medicare Advantage</t>
        </is>
      </c>
      <c r="D1745" t="inlineStr">
        <is>
          <t>Emergency</t>
        </is>
      </c>
      <c r="E1745" s="29" t="n">
        <v>45894</v>
      </c>
      <c r="F1745" s="29" t="n">
        <v>45900</v>
      </c>
      <c r="G1745" s="31" t="n">
        <v>3768</v>
      </c>
      <c r="H1745" s="31" t="n">
        <v>1214.79</v>
      </c>
      <c r="I1745" t="inlineStr">
        <is>
          <t>Paid</t>
        </is>
      </c>
      <c r="K1745" s="29" t="n">
        <v>45935</v>
      </c>
      <c r="L1745" s="33" t="n"/>
    </row>
    <row r="1746">
      <c r="A1746" t="inlineStr">
        <is>
          <t>CLM517949</t>
        </is>
      </c>
      <c r="B1746" t="inlineStr">
        <is>
          <t>ENC117949</t>
        </is>
      </c>
      <c r="C1746" t="inlineStr">
        <is>
          <t>Evergreen Mutual Insurance</t>
        </is>
      </c>
      <c r="D1746" t="inlineStr">
        <is>
          <t>Emergency</t>
        </is>
      </c>
      <c r="E1746" s="29" t="n">
        <v>45895</v>
      </c>
      <c r="F1746" s="29" t="n">
        <v>45898</v>
      </c>
      <c r="G1746" s="31" t="n">
        <v>3679.55</v>
      </c>
      <c r="H1746" s="31" t="n">
        <v>1624.55</v>
      </c>
      <c r="I1746" t="inlineStr">
        <is>
          <t>Paid</t>
        </is>
      </c>
      <c r="K1746" s="29" t="n">
        <v>45944</v>
      </c>
      <c r="L1746" s="33" t="n"/>
    </row>
    <row r="1747">
      <c r="A1747" t="inlineStr">
        <is>
          <t>CLM517950</t>
        </is>
      </c>
      <c r="B1747" t="inlineStr">
        <is>
          <t>ENC117950</t>
        </is>
      </c>
      <c r="C1747" t="inlineStr">
        <is>
          <t>Keystone Health Partners</t>
        </is>
      </c>
      <c r="D1747" t="inlineStr">
        <is>
          <t>Inpatient</t>
        </is>
      </c>
      <c r="E1747" s="29" t="n">
        <v>45897</v>
      </c>
      <c r="F1747" s="29" t="n">
        <v>45901</v>
      </c>
      <c r="G1747" s="31" t="n">
        <v>15634.54</v>
      </c>
      <c r="H1747" s="31" t="n">
        <v>6581.2</v>
      </c>
      <c r="I1747" t="inlineStr">
        <is>
          <t>Paid</t>
        </is>
      </c>
      <c r="K1747" s="29" t="n">
        <v>45907</v>
      </c>
      <c r="L1747" s="33" t="n"/>
    </row>
    <row r="1748">
      <c r="A1748" t="inlineStr">
        <is>
          <t>CLM517952</t>
        </is>
      </c>
      <c r="B1748" t="inlineStr">
        <is>
          <t>ENC117952</t>
        </is>
      </c>
      <c r="C1748" t="inlineStr">
        <is>
          <t>Medicare</t>
        </is>
      </c>
      <c r="D1748" t="inlineStr">
        <is>
          <t>Outpatient</t>
        </is>
      </c>
      <c r="E1748" s="29" t="n">
        <v>45895</v>
      </c>
      <c r="F1748" s="29" t="n">
        <v>45898</v>
      </c>
      <c r="G1748" s="31" t="n">
        <v>593.63</v>
      </c>
      <c r="H1748" s="31" t="n">
        <v>137.59</v>
      </c>
      <c r="I1748" t="inlineStr">
        <is>
          <t>Partially Paid</t>
        </is>
      </c>
      <c r="J1748" t="inlineStr">
        <is>
          <t>Coding Error</t>
        </is>
      </c>
      <c r="K1748" s="29" t="n">
        <v>45903</v>
      </c>
      <c r="L1748" s="33" t="n"/>
    </row>
    <row r="1749">
      <c r="A1749" t="inlineStr">
        <is>
          <t>CLM517954</t>
        </is>
      </c>
      <c r="B1749" t="inlineStr">
        <is>
          <t>ENC117954</t>
        </is>
      </c>
      <c r="C1749" t="inlineStr">
        <is>
          <t>Medicare</t>
        </is>
      </c>
      <c r="D1749" t="inlineStr">
        <is>
          <t>Inpatient</t>
        </is>
      </c>
      <c r="E1749" s="29" t="n">
        <v>45900</v>
      </c>
      <c r="F1749" s="29" t="n">
        <v>45906</v>
      </c>
      <c r="G1749" s="31" t="n">
        <v>39694.57</v>
      </c>
      <c r="H1749" s="31" t="n">
        <v>10434.75</v>
      </c>
      <c r="I1749" t="inlineStr">
        <is>
          <t>Paid</t>
        </is>
      </c>
      <c r="K1749" s="29" t="n">
        <v>45915</v>
      </c>
      <c r="L1749" s="33" t="n"/>
    </row>
    <row r="1750">
      <c r="A1750" t="inlineStr">
        <is>
          <t>CLM517957</t>
        </is>
      </c>
      <c r="B1750" t="inlineStr">
        <is>
          <t>ENC117957</t>
        </is>
      </c>
      <c r="C1750" t="inlineStr">
        <is>
          <t>State Medicaid</t>
        </is>
      </c>
      <c r="D1750" t="inlineStr">
        <is>
          <t>Outpatient</t>
        </is>
      </c>
      <c r="E1750" s="29" t="n">
        <v>45895</v>
      </c>
      <c r="F1750" s="29" t="n">
        <v>45898</v>
      </c>
      <c r="G1750" s="31" t="n">
        <v>221.87</v>
      </c>
      <c r="H1750" s="31" t="n">
        <v>0</v>
      </c>
      <c r="I1750" t="inlineStr">
        <is>
          <t>Denied</t>
        </is>
      </c>
      <c r="J1750" t="inlineStr">
        <is>
          <t>Medical Necessity</t>
        </is>
      </c>
      <c r="L1750" s="33" t="n"/>
    </row>
    <row r="1751">
      <c r="A1751" t="inlineStr">
        <is>
          <t>CLM517959</t>
        </is>
      </c>
      <c r="B1751" t="inlineStr">
        <is>
          <t>ENC117959</t>
        </is>
      </c>
      <c r="C1751" t="inlineStr">
        <is>
          <t>Medicare</t>
        </is>
      </c>
      <c r="D1751" t="inlineStr">
        <is>
          <t>Outpatient</t>
        </is>
      </c>
      <c r="E1751" s="29" t="n">
        <v>45895</v>
      </c>
      <c r="F1751" s="29" t="n">
        <v>45899</v>
      </c>
      <c r="G1751" s="31" t="n">
        <v>535.39</v>
      </c>
      <c r="H1751" s="31" t="n">
        <v>171.06</v>
      </c>
      <c r="I1751" t="inlineStr">
        <is>
          <t>Paid</t>
        </is>
      </c>
      <c r="K1751" s="29" t="n">
        <v>45910</v>
      </c>
      <c r="L1751" s="33" t="n"/>
    </row>
    <row r="1752">
      <c r="A1752" t="inlineStr">
        <is>
          <t>CLM517960</t>
        </is>
      </c>
      <c r="B1752" t="inlineStr">
        <is>
          <t>ENC117960</t>
        </is>
      </c>
      <c r="C1752" t="inlineStr">
        <is>
          <t>Keystone Health Partners</t>
        </is>
      </c>
      <c r="D1752" t="inlineStr">
        <is>
          <t>Outpatient</t>
        </is>
      </c>
      <c r="E1752" s="29" t="n">
        <v>45895</v>
      </c>
      <c r="F1752" s="29" t="n">
        <v>45900</v>
      </c>
      <c r="G1752" s="31" t="n">
        <v>561.4299999999999</v>
      </c>
      <c r="H1752" s="31" t="n">
        <v>255.76</v>
      </c>
      <c r="I1752" t="inlineStr">
        <is>
          <t>Paid</t>
        </is>
      </c>
      <c r="K1752" s="29" t="n">
        <v>45924</v>
      </c>
      <c r="L1752" s="33" t="n"/>
    </row>
    <row r="1753">
      <c r="A1753" t="inlineStr">
        <is>
          <t>CLM517964</t>
        </is>
      </c>
      <c r="B1753" t="inlineStr">
        <is>
          <t>ENC117964</t>
        </is>
      </c>
      <c r="C1753" t="inlineStr">
        <is>
          <t>Medicare</t>
        </is>
      </c>
      <c r="D1753" t="inlineStr">
        <is>
          <t>Outpatient</t>
        </is>
      </c>
      <c r="E1753" s="29" t="n">
        <v>45895</v>
      </c>
      <c r="F1753" s="29" t="n">
        <v>45902</v>
      </c>
      <c r="G1753" s="31" t="n">
        <v>450.4</v>
      </c>
      <c r="H1753" s="31" t="n">
        <v>128.93</v>
      </c>
      <c r="I1753" t="inlineStr">
        <is>
          <t>Paid</t>
        </is>
      </c>
      <c r="K1753" s="29" t="n">
        <v>45917</v>
      </c>
      <c r="L1753" s="33" t="n"/>
    </row>
    <row r="1754">
      <c r="A1754" t="inlineStr">
        <is>
          <t>CLM517965</t>
        </is>
      </c>
      <c r="B1754" t="inlineStr">
        <is>
          <t>ENC117965</t>
        </is>
      </c>
      <c r="C1754" t="inlineStr">
        <is>
          <t>Keystone Health Partners</t>
        </is>
      </c>
      <c r="D1754" t="inlineStr">
        <is>
          <t>Outpatient</t>
        </is>
      </c>
      <c r="E1754" s="29" t="n">
        <v>45895</v>
      </c>
      <c r="F1754" s="29" t="n">
        <v>45897</v>
      </c>
      <c r="G1754" s="31" t="n">
        <v>458.46</v>
      </c>
      <c r="H1754" s="31" t="n">
        <v>220.76</v>
      </c>
      <c r="I1754" t="inlineStr">
        <is>
          <t>Paid</t>
        </is>
      </c>
      <c r="K1754" s="29" t="n">
        <v>45907</v>
      </c>
      <c r="L1754" s="33" t="n"/>
    </row>
    <row r="1755">
      <c r="A1755" t="inlineStr">
        <is>
          <t>CLM517974</t>
        </is>
      </c>
      <c r="B1755" t="inlineStr">
        <is>
          <t>ENC117974</t>
        </is>
      </c>
      <c r="C1755" t="inlineStr">
        <is>
          <t>Summit Choice PPO</t>
        </is>
      </c>
      <c r="D1755" t="inlineStr">
        <is>
          <t>Observation</t>
        </is>
      </c>
      <c r="E1755" s="29" t="n">
        <v>45897</v>
      </c>
      <c r="F1755" s="29" t="n">
        <v>45900</v>
      </c>
      <c r="G1755" s="31" t="n">
        <v>9047</v>
      </c>
      <c r="H1755" s="31" t="n">
        <v>4240.29</v>
      </c>
      <c r="I1755" t="inlineStr">
        <is>
          <t>Paid</t>
        </is>
      </c>
      <c r="K1755" s="29" t="n">
        <v>45914</v>
      </c>
      <c r="L1755" s="33" t="n"/>
    </row>
    <row r="1756">
      <c r="A1756" t="inlineStr">
        <is>
          <t>CLM517976</t>
        </is>
      </c>
      <c r="B1756" t="inlineStr">
        <is>
          <t>ENC117976</t>
        </is>
      </c>
      <c r="C1756" t="inlineStr">
        <is>
          <t>Summit Choice PPO</t>
        </is>
      </c>
      <c r="D1756" t="inlineStr">
        <is>
          <t>Outpatient</t>
        </is>
      </c>
      <c r="E1756" s="29" t="n">
        <v>45896</v>
      </c>
      <c r="F1756" s="29" t="n">
        <v>45908</v>
      </c>
      <c r="G1756" s="31" t="n">
        <v>8914.940000000001</v>
      </c>
      <c r="H1756" s="31" t="n">
        <v>5290.21</v>
      </c>
      <c r="I1756" t="inlineStr">
        <is>
          <t>Paid</t>
        </is>
      </c>
      <c r="K1756" s="29" t="n">
        <v>45935</v>
      </c>
      <c r="L1756" s="33" t="n"/>
    </row>
    <row r="1757">
      <c r="A1757" t="inlineStr">
        <is>
          <t>CLM517984</t>
        </is>
      </c>
      <c r="B1757" t="inlineStr">
        <is>
          <t>ENC117984</t>
        </is>
      </c>
      <c r="C1757" t="inlineStr">
        <is>
          <t>Keystone Health Partners</t>
        </is>
      </c>
      <c r="D1757" t="inlineStr">
        <is>
          <t>Outpatient</t>
        </is>
      </c>
      <c r="E1757" s="29" t="n">
        <v>45896</v>
      </c>
      <c r="F1757" s="29" t="n">
        <v>45898</v>
      </c>
      <c r="G1757" s="31" t="n">
        <v>120.76</v>
      </c>
      <c r="H1757" s="31" t="n">
        <v>48.35</v>
      </c>
      <c r="I1757" t="inlineStr">
        <is>
          <t>Paid</t>
        </is>
      </c>
      <c r="K1757" s="29" t="n">
        <v>45923</v>
      </c>
      <c r="L1757" s="33" t="n"/>
    </row>
    <row r="1758">
      <c r="A1758" t="inlineStr">
        <is>
          <t>CLM517985</t>
        </is>
      </c>
      <c r="B1758" t="inlineStr">
        <is>
          <t>ENC117985</t>
        </is>
      </c>
      <c r="C1758" t="inlineStr">
        <is>
          <t>State Medicaid</t>
        </is>
      </c>
      <c r="D1758" t="inlineStr">
        <is>
          <t>Outpatient</t>
        </is>
      </c>
      <c r="E1758" s="29" t="n">
        <v>45896</v>
      </c>
      <c r="F1758" s="29" t="n">
        <v>45902</v>
      </c>
      <c r="G1758" s="31" t="n">
        <v>10478.6</v>
      </c>
      <c r="H1758" s="31" t="n">
        <v>2429.12</v>
      </c>
      <c r="I1758" t="inlineStr">
        <is>
          <t>Paid</t>
        </is>
      </c>
      <c r="K1758" s="29" t="n">
        <v>45969</v>
      </c>
      <c r="L1758" s="33" t="n"/>
    </row>
    <row r="1759">
      <c r="A1759" t="inlineStr">
        <is>
          <t>CLM517987</t>
        </is>
      </c>
      <c r="B1759" t="inlineStr">
        <is>
          <t>ENC117987</t>
        </is>
      </c>
      <c r="C1759" t="inlineStr">
        <is>
          <t>State Medicaid</t>
        </is>
      </c>
      <c r="D1759" t="inlineStr">
        <is>
          <t>Emergency</t>
        </is>
      </c>
      <c r="E1759" s="29" t="n">
        <v>45896</v>
      </c>
      <c r="F1759" s="29" t="n">
        <v>45897</v>
      </c>
      <c r="G1759" s="31" t="n">
        <v>2772.87</v>
      </c>
      <c r="H1759" s="31" t="n">
        <v>631.12</v>
      </c>
      <c r="I1759" t="inlineStr">
        <is>
          <t>Paid</t>
        </is>
      </c>
      <c r="K1759" s="29" t="n">
        <v>45937</v>
      </c>
      <c r="L1759" s="33" t="n"/>
    </row>
    <row r="1760">
      <c r="A1760" t="inlineStr">
        <is>
          <t>CLM517989</t>
        </is>
      </c>
      <c r="B1760" t="inlineStr">
        <is>
          <t>ENC117989</t>
        </is>
      </c>
      <c r="C1760" t="inlineStr">
        <is>
          <t>Medicare</t>
        </is>
      </c>
      <c r="D1760" t="inlineStr">
        <is>
          <t>Outpatient</t>
        </is>
      </c>
      <c r="E1760" s="29" t="n">
        <v>45896</v>
      </c>
      <c r="F1760" s="29" t="n">
        <v>45903</v>
      </c>
      <c r="G1760" s="31" t="n">
        <v>318.3</v>
      </c>
      <c r="H1760" s="31" t="n">
        <v>93.06999999999999</v>
      </c>
      <c r="I1760" t="inlineStr">
        <is>
          <t>Paid</t>
        </is>
      </c>
      <c r="K1760" s="29" t="n">
        <v>45922</v>
      </c>
      <c r="L1760" s="33" t="n"/>
    </row>
    <row r="1761">
      <c r="A1761" t="inlineStr">
        <is>
          <t>CLM517991</t>
        </is>
      </c>
      <c r="B1761" t="inlineStr">
        <is>
          <t>ENC117991</t>
        </is>
      </c>
      <c r="C1761" t="inlineStr">
        <is>
          <t>Medicare</t>
        </is>
      </c>
      <c r="D1761" t="inlineStr">
        <is>
          <t>Inpatient</t>
        </is>
      </c>
      <c r="E1761" s="29" t="n">
        <v>45900</v>
      </c>
      <c r="F1761" s="29" t="n">
        <v>45904</v>
      </c>
      <c r="G1761" s="31" t="n">
        <v>29428.49</v>
      </c>
      <c r="H1761" s="31" t="n">
        <v>9867.559999999999</v>
      </c>
      <c r="I1761" t="inlineStr">
        <is>
          <t>Paid</t>
        </is>
      </c>
      <c r="K1761" s="29" t="n">
        <v>45917</v>
      </c>
      <c r="L1761" s="33" t="n"/>
    </row>
    <row r="1762">
      <c r="A1762" t="inlineStr">
        <is>
          <t>CLM517994</t>
        </is>
      </c>
      <c r="B1762" t="inlineStr">
        <is>
          <t>ENC117994</t>
        </is>
      </c>
      <c r="C1762" t="inlineStr">
        <is>
          <t>Medicare</t>
        </is>
      </c>
      <c r="D1762" t="inlineStr">
        <is>
          <t>Inpatient</t>
        </is>
      </c>
      <c r="E1762" s="29" t="n">
        <v>45899</v>
      </c>
      <c r="F1762" s="29" t="n">
        <v>45903</v>
      </c>
      <c r="G1762" s="31" t="n">
        <v>76156.95</v>
      </c>
      <c r="H1762" s="31" t="n">
        <v>24732.35</v>
      </c>
      <c r="I1762" t="inlineStr">
        <is>
          <t>Paid</t>
        </is>
      </c>
      <c r="K1762" s="29" t="n">
        <v>45925</v>
      </c>
      <c r="L1762" s="33" t="n"/>
    </row>
    <row r="1763">
      <c r="A1763" t="inlineStr">
        <is>
          <t>CLM517998</t>
        </is>
      </c>
      <c r="B1763" t="inlineStr">
        <is>
          <t>ENC117998</t>
        </is>
      </c>
      <c r="C1763" t="inlineStr">
        <is>
          <t>Summit Choice PPO</t>
        </is>
      </c>
      <c r="D1763" t="inlineStr">
        <is>
          <t>Outpatient</t>
        </is>
      </c>
      <c r="E1763" s="29" t="n">
        <v>45897</v>
      </c>
      <c r="F1763" s="29" t="n">
        <v>45901</v>
      </c>
      <c r="G1763" s="31" t="n">
        <v>175.9</v>
      </c>
      <c r="H1763" s="31" t="n">
        <v>0</v>
      </c>
      <c r="I1763" t="inlineStr">
        <is>
          <t>Denied</t>
        </is>
      </c>
      <c r="J1763" t="inlineStr">
        <is>
          <t>Duplicate Claim</t>
        </is>
      </c>
      <c r="L1763" s="33" t="n"/>
    </row>
    <row r="1764">
      <c r="A1764" t="inlineStr">
        <is>
          <t>CLM517999</t>
        </is>
      </c>
      <c r="B1764" t="inlineStr">
        <is>
          <t>ENC117999</t>
        </is>
      </c>
      <c r="C1764" t="inlineStr">
        <is>
          <t>State Medicaid</t>
        </is>
      </c>
      <c r="D1764" t="inlineStr">
        <is>
          <t>Outpatient</t>
        </is>
      </c>
      <c r="E1764" s="29" t="n">
        <v>45897</v>
      </c>
      <c r="F1764" s="29" t="n">
        <v>45904</v>
      </c>
      <c r="G1764" s="31" t="n">
        <v>432.55</v>
      </c>
      <c r="H1764" s="31" t="n">
        <v>115.29</v>
      </c>
      <c r="I1764" t="inlineStr">
        <is>
          <t>Paid</t>
        </is>
      </c>
      <c r="K1764" s="29" t="n">
        <v>45943</v>
      </c>
      <c r="L1764" s="33" t="n"/>
    </row>
    <row r="1765">
      <c r="A1765" t="inlineStr">
        <is>
          <t>CLM518004</t>
        </is>
      </c>
      <c r="B1765" t="inlineStr">
        <is>
          <t>ENC118004</t>
        </is>
      </c>
      <c r="C1765" t="inlineStr">
        <is>
          <t>Keystone Health Partners</t>
        </is>
      </c>
      <c r="D1765" t="inlineStr">
        <is>
          <t>Outpatient</t>
        </is>
      </c>
      <c r="E1765" s="29" t="n">
        <v>45897</v>
      </c>
      <c r="F1765" s="29" t="n">
        <v>45900</v>
      </c>
      <c r="G1765" s="31" t="n">
        <v>390.73</v>
      </c>
      <c r="H1765" s="31" t="n">
        <v>191.49</v>
      </c>
      <c r="I1765" t="inlineStr">
        <is>
          <t>Paid</t>
        </is>
      </c>
      <c r="K1765" s="29" t="n">
        <v>45915</v>
      </c>
      <c r="L1765" s="33" t="n"/>
    </row>
    <row r="1766">
      <c r="A1766" t="inlineStr">
        <is>
          <t>CLM518010</t>
        </is>
      </c>
      <c r="B1766" t="inlineStr">
        <is>
          <t>ENC118010</t>
        </is>
      </c>
      <c r="C1766" t="inlineStr">
        <is>
          <t>State Medicaid</t>
        </is>
      </c>
      <c r="D1766" t="inlineStr">
        <is>
          <t>Outpatient</t>
        </is>
      </c>
      <c r="E1766" s="29" t="n">
        <v>45897</v>
      </c>
      <c r="F1766" s="29" t="n">
        <v>45976</v>
      </c>
      <c r="G1766" s="31" t="n">
        <v>199.6</v>
      </c>
      <c r="H1766" s="31" t="n">
        <v>52.5</v>
      </c>
      <c r="I1766" t="inlineStr">
        <is>
          <t>Paid</t>
        </is>
      </c>
      <c r="K1766" s="29" t="n">
        <v>46012</v>
      </c>
      <c r="L1766" s="33" t="n"/>
    </row>
    <row r="1767">
      <c r="A1767" t="inlineStr">
        <is>
          <t>CLM518012</t>
        </is>
      </c>
      <c r="B1767" t="inlineStr">
        <is>
          <t>ENC118012</t>
        </is>
      </c>
      <c r="C1767" t="inlineStr">
        <is>
          <t>Medicare</t>
        </is>
      </c>
      <c r="D1767" t="inlineStr">
        <is>
          <t>Outpatient</t>
        </is>
      </c>
      <c r="E1767" s="29" t="n">
        <v>45897</v>
      </c>
      <c r="F1767" s="29" t="n">
        <v>45904</v>
      </c>
      <c r="G1767" s="31" t="n">
        <v>446.17</v>
      </c>
      <c r="H1767" s="31" t="n">
        <v>98.28</v>
      </c>
      <c r="I1767" t="inlineStr">
        <is>
          <t>Partially Paid</t>
        </is>
      </c>
      <c r="J1767" t="inlineStr">
        <is>
          <t>Missing Documentation</t>
        </is>
      </c>
      <c r="K1767" s="29" t="n">
        <v>45919</v>
      </c>
      <c r="L1767" s="33" t="n"/>
    </row>
    <row r="1768">
      <c r="A1768" t="inlineStr">
        <is>
          <t>CLM518013</t>
        </is>
      </c>
      <c r="B1768" t="inlineStr">
        <is>
          <t>ENC118013</t>
        </is>
      </c>
      <c r="C1768" t="inlineStr">
        <is>
          <t>State Medicaid</t>
        </is>
      </c>
      <c r="D1768" t="inlineStr">
        <is>
          <t>Emergency</t>
        </is>
      </c>
      <c r="E1768" s="29" t="n">
        <v>45897</v>
      </c>
      <c r="F1768" s="29" t="n">
        <v>45899</v>
      </c>
      <c r="G1768" s="31" t="n">
        <v>2871.01</v>
      </c>
      <c r="H1768" s="31" t="n">
        <v>631.77</v>
      </c>
      <c r="I1768" t="inlineStr">
        <is>
          <t>Paid</t>
        </is>
      </c>
      <c r="K1768" s="29" t="n">
        <v>45944</v>
      </c>
      <c r="L1768" s="33" t="n"/>
    </row>
    <row r="1769">
      <c r="A1769" t="inlineStr">
        <is>
          <t>CLM518034</t>
        </is>
      </c>
      <c r="B1769" t="inlineStr">
        <is>
          <t>ENC118034</t>
        </is>
      </c>
      <c r="C1769" t="inlineStr">
        <is>
          <t>Medicare</t>
        </is>
      </c>
      <c r="D1769" t="inlineStr">
        <is>
          <t>Emergency</t>
        </is>
      </c>
      <c r="E1769" s="29" t="n">
        <v>45898</v>
      </c>
      <c r="F1769" s="29" t="n">
        <v>45906</v>
      </c>
      <c r="G1769" s="31" t="n">
        <v>2242.74</v>
      </c>
      <c r="H1769" s="31" t="n">
        <v>605.05</v>
      </c>
      <c r="I1769" t="inlineStr">
        <is>
          <t>Paid</t>
        </is>
      </c>
      <c r="K1769" s="29" t="n">
        <v>45918</v>
      </c>
      <c r="L1769" s="33" t="n"/>
    </row>
    <row r="1770">
      <c r="A1770" t="inlineStr">
        <is>
          <t>CLM518035</t>
        </is>
      </c>
      <c r="B1770" t="inlineStr">
        <is>
          <t>ENC118035</t>
        </is>
      </c>
      <c r="C1770" t="inlineStr">
        <is>
          <t>Summit Choice PPO</t>
        </is>
      </c>
      <c r="D1770" t="inlineStr">
        <is>
          <t>Observation</t>
        </is>
      </c>
      <c r="E1770" s="29" t="n">
        <v>45899</v>
      </c>
      <c r="F1770" s="29" t="n">
        <v>45903</v>
      </c>
      <c r="G1770" s="31" t="n">
        <v>8618.99</v>
      </c>
      <c r="H1770" s="31" t="n">
        <v>4411.67</v>
      </c>
      <c r="I1770" t="inlineStr">
        <is>
          <t>Paid</t>
        </is>
      </c>
      <c r="K1770" s="29" t="n">
        <v>45931</v>
      </c>
      <c r="L1770" s="33" t="n"/>
    </row>
    <row r="1771">
      <c r="A1771" t="inlineStr">
        <is>
          <t>CLM518040</t>
        </is>
      </c>
      <c r="B1771" t="inlineStr">
        <is>
          <t>ENC118040</t>
        </is>
      </c>
      <c r="C1771" t="inlineStr">
        <is>
          <t>Evergreen Mutual Insurance</t>
        </is>
      </c>
      <c r="D1771" t="inlineStr">
        <is>
          <t>Outpatient</t>
        </is>
      </c>
      <c r="E1771" s="29" t="n">
        <v>45898</v>
      </c>
      <c r="F1771" s="29" t="n">
        <v>45900</v>
      </c>
      <c r="G1771" s="31" t="n">
        <v>10596.7</v>
      </c>
      <c r="H1771" s="31" t="n">
        <v>5077.47</v>
      </c>
      <c r="I1771" t="inlineStr">
        <is>
          <t>Paid</t>
        </is>
      </c>
      <c r="K1771" s="29" t="n">
        <v>45921</v>
      </c>
      <c r="L1771" s="33" t="n"/>
    </row>
    <row r="1772">
      <c r="A1772" t="inlineStr">
        <is>
          <t>CLM518041</t>
        </is>
      </c>
      <c r="B1772" t="inlineStr">
        <is>
          <t>ENC118041</t>
        </is>
      </c>
      <c r="C1772" t="inlineStr">
        <is>
          <t>Medicare</t>
        </is>
      </c>
      <c r="D1772" t="inlineStr">
        <is>
          <t>Outpatient</t>
        </is>
      </c>
      <c r="E1772" s="29" t="n">
        <v>45898</v>
      </c>
      <c r="F1772" s="29" t="n">
        <v>45919</v>
      </c>
      <c r="G1772" s="31" t="n">
        <v>577.85</v>
      </c>
      <c r="H1772" s="31" t="n">
        <v>171.78</v>
      </c>
      <c r="I1772" t="inlineStr">
        <is>
          <t>Paid</t>
        </is>
      </c>
      <c r="K1772" s="29" t="n">
        <v>45927</v>
      </c>
      <c r="L1772" s="33" t="n"/>
    </row>
    <row r="1773">
      <c r="A1773" t="inlineStr">
        <is>
          <t>CLM518042</t>
        </is>
      </c>
      <c r="B1773" t="inlineStr">
        <is>
          <t>ENC118042</t>
        </is>
      </c>
      <c r="C1773" t="inlineStr">
        <is>
          <t>Medicare</t>
        </is>
      </c>
      <c r="D1773" t="inlineStr">
        <is>
          <t>Inpatient</t>
        </is>
      </c>
      <c r="E1773" s="29" t="n">
        <v>45901</v>
      </c>
      <c r="F1773" s="29" t="n">
        <v>45905</v>
      </c>
      <c r="G1773" s="31" t="n">
        <v>18295.89</v>
      </c>
      <c r="H1773" s="31" t="n">
        <v>0</v>
      </c>
      <c r="I1773" t="inlineStr">
        <is>
          <t>Denied</t>
        </is>
      </c>
      <c r="J1773" t="inlineStr">
        <is>
          <t>Medical Necessity</t>
        </is>
      </c>
      <c r="L1773" s="33" t="n"/>
    </row>
    <row r="1774">
      <c r="A1774" t="inlineStr">
        <is>
          <t>CLM518043</t>
        </is>
      </c>
      <c r="B1774" t="inlineStr">
        <is>
          <t>ENC118043</t>
        </is>
      </c>
      <c r="C1774" t="inlineStr">
        <is>
          <t>Medicare</t>
        </is>
      </c>
      <c r="D1774" t="inlineStr">
        <is>
          <t>Outpatient</t>
        </is>
      </c>
      <c r="E1774" s="29" t="n">
        <v>45898</v>
      </c>
      <c r="F1774" s="29" t="n">
        <v>45905</v>
      </c>
      <c r="G1774" s="31" t="n">
        <v>409.09</v>
      </c>
      <c r="H1774" s="31" t="n">
        <v>111.52</v>
      </c>
      <c r="I1774" t="inlineStr">
        <is>
          <t>Paid</t>
        </is>
      </c>
      <c r="K1774" s="29" t="n">
        <v>45917</v>
      </c>
      <c r="L1774" s="33" t="n"/>
    </row>
    <row r="1775">
      <c r="A1775" t="inlineStr">
        <is>
          <t>CLM518049</t>
        </is>
      </c>
      <c r="B1775" t="inlineStr">
        <is>
          <t>ENC118049</t>
        </is>
      </c>
      <c r="C1775" t="inlineStr">
        <is>
          <t>Silverline Medicare Advantage</t>
        </is>
      </c>
      <c r="D1775" t="inlineStr">
        <is>
          <t>Outpatient</t>
        </is>
      </c>
      <c r="E1775" s="29" t="n">
        <v>45898</v>
      </c>
      <c r="F1775" s="29" t="n">
        <v>45903</v>
      </c>
      <c r="G1775" s="31" t="n">
        <v>252.9</v>
      </c>
      <c r="H1775" s="31" t="n">
        <v>80.33</v>
      </c>
      <c r="I1775" t="inlineStr">
        <is>
          <t>Paid</t>
        </is>
      </c>
      <c r="K1775" s="29" t="n">
        <v>45919</v>
      </c>
      <c r="L1775" s="33" t="n"/>
    </row>
    <row r="1776">
      <c r="A1776" t="inlineStr">
        <is>
          <t>CLM518051</t>
        </is>
      </c>
      <c r="B1776" t="inlineStr">
        <is>
          <t>ENC118051</t>
        </is>
      </c>
      <c r="C1776" t="inlineStr">
        <is>
          <t>State Medicaid</t>
        </is>
      </c>
      <c r="D1776" t="inlineStr">
        <is>
          <t>Emergency</t>
        </is>
      </c>
      <c r="E1776" s="29" t="n">
        <v>45898</v>
      </c>
      <c r="F1776" s="29" t="n">
        <v>45900</v>
      </c>
      <c r="G1776" s="31" t="n">
        <v>1584.69</v>
      </c>
      <c r="H1776" s="31" t="n">
        <v>377.4</v>
      </c>
      <c r="I1776" t="inlineStr">
        <is>
          <t>Paid</t>
        </is>
      </c>
      <c r="K1776" s="29" t="n">
        <v>45920</v>
      </c>
      <c r="L1776" s="33" t="n"/>
    </row>
    <row r="1777">
      <c r="A1777" t="inlineStr">
        <is>
          <t>CLM518052</t>
        </is>
      </c>
      <c r="B1777" t="inlineStr">
        <is>
          <t>ENC118052</t>
        </is>
      </c>
      <c r="C1777" t="inlineStr">
        <is>
          <t>Medicare</t>
        </is>
      </c>
      <c r="D1777" t="inlineStr">
        <is>
          <t>Inpatient</t>
        </is>
      </c>
      <c r="E1777" s="29" t="n">
        <v>45902</v>
      </c>
      <c r="F1777" s="29" t="n">
        <v>45907</v>
      </c>
      <c r="G1777" s="31" t="n">
        <v>49918.48</v>
      </c>
      <c r="H1777" s="31" t="n">
        <v>13714.26</v>
      </c>
      <c r="I1777" t="inlineStr">
        <is>
          <t>Paid</t>
        </is>
      </c>
      <c r="K1777" s="29" t="n">
        <v>45925</v>
      </c>
      <c r="L1777" s="33" t="n"/>
    </row>
    <row r="1778">
      <c r="A1778" t="inlineStr">
        <is>
          <t>CLM518054</t>
        </is>
      </c>
      <c r="B1778" t="inlineStr">
        <is>
          <t>ENC118054</t>
        </is>
      </c>
      <c r="C1778" t="inlineStr">
        <is>
          <t>State Medicaid</t>
        </is>
      </c>
      <c r="D1778" t="inlineStr">
        <is>
          <t>Emergency</t>
        </is>
      </c>
      <c r="E1778" s="29" t="n">
        <v>45899</v>
      </c>
      <c r="F1778" s="29" t="n">
        <v>45911</v>
      </c>
      <c r="G1778" s="31" t="n">
        <v>4256.3</v>
      </c>
      <c r="H1778" s="31" t="n">
        <v>1010.54</v>
      </c>
      <c r="I1778" t="inlineStr">
        <is>
          <t>Paid</t>
        </is>
      </c>
      <c r="K1778" s="29" t="n">
        <v>45931</v>
      </c>
      <c r="L1778" s="33" t="n"/>
    </row>
    <row r="1779">
      <c r="A1779" t="inlineStr">
        <is>
          <t>CLM518062</t>
        </is>
      </c>
      <c r="B1779" t="inlineStr">
        <is>
          <t>ENC118062</t>
        </is>
      </c>
      <c r="C1779" t="inlineStr">
        <is>
          <t>Silverline Medicare Advantage</t>
        </is>
      </c>
      <c r="D1779" t="inlineStr">
        <is>
          <t>Inpatient</t>
        </is>
      </c>
      <c r="E1779" s="29" t="n">
        <v>45902</v>
      </c>
      <c r="F1779" s="29" t="n">
        <v>45906</v>
      </c>
      <c r="G1779" s="31" t="n">
        <v>15697.45</v>
      </c>
      <c r="H1779" s="31" t="n">
        <v>5693.07</v>
      </c>
      <c r="I1779" t="inlineStr">
        <is>
          <t>Paid</t>
        </is>
      </c>
      <c r="K1779" s="29" t="n">
        <v>45923</v>
      </c>
      <c r="L1779" s="33" t="n"/>
    </row>
    <row r="1780">
      <c r="A1780" t="inlineStr">
        <is>
          <t>CLM518067</t>
        </is>
      </c>
      <c r="B1780" t="inlineStr">
        <is>
          <t>ENC118067</t>
        </is>
      </c>
      <c r="C1780" t="inlineStr">
        <is>
          <t>Medicare</t>
        </is>
      </c>
      <c r="D1780" t="inlineStr">
        <is>
          <t>Emergency</t>
        </is>
      </c>
      <c r="E1780" s="29" t="n">
        <v>45900</v>
      </c>
      <c r="F1780" s="29" t="n">
        <v>45901</v>
      </c>
      <c r="G1780" s="31" t="n">
        <v>3335.51</v>
      </c>
      <c r="H1780" s="31" t="n">
        <v>982.91</v>
      </c>
      <c r="I1780" t="inlineStr">
        <is>
          <t>Paid</t>
        </is>
      </c>
      <c r="K1780" s="29" t="n">
        <v>45911</v>
      </c>
      <c r="L1780" s="33" t="n"/>
    </row>
    <row r="1781">
      <c r="A1781" t="inlineStr">
        <is>
          <t>CLM518071</t>
        </is>
      </c>
      <c r="B1781" t="inlineStr">
        <is>
          <t>ENC118071</t>
        </is>
      </c>
      <c r="C1781" t="inlineStr">
        <is>
          <t>Evergreen Mutual Insurance</t>
        </is>
      </c>
      <c r="D1781" t="inlineStr">
        <is>
          <t>Inpatient</t>
        </is>
      </c>
      <c r="E1781" s="29" t="n">
        <v>45903</v>
      </c>
      <c r="F1781" s="29" t="n">
        <v>45907</v>
      </c>
      <c r="G1781" s="31" t="n">
        <v>12682.77</v>
      </c>
      <c r="H1781" s="31" t="n">
        <v>5676.75</v>
      </c>
      <c r="I1781" t="inlineStr">
        <is>
          <t>Paid</t>
        </is>
      </c>
      <c r="K1781" s="29" t="n">
        <v>45927</v>
      </c>
      <c r="L1781" s="33" t="n"/>
    </row>
    <row r="1782">
      <c r="A1782" t="inlineStr">
        <is>
          <t>CLM518073</t>
        </is>
      </c>
      <c r="B1782" t="inlineStr">
        <is>
          <t>ENC118073</t>
        </is>
      </c>
      <c r="C1782" t="inlineStr">
        <is>
          <t>State Medicaid</t>
        </is>
      </c>
      <c r="D1782" t="inlineStr">
        <is>
          <t>Emergency</t>
        </is>
      </c>
      <c r="E1782" s="29" t="n">
        <v>45900</v>
      </c>
      <c r="F1782" s="29" t="n">
        <v>45903</v>
      </c>
      <c r="G1782" s="31" t="n">
        <v>1381.79</v>
      </c>
      <c r="H1782" s="31" t="n">
        <v>309.12</v>
      </c>
      <c r="I1782" t="inlineStr">
        <is>
          <t>Paid</t>
        </is>
      </c>
      <c r="K1782" s="29" t="n">
        <v>45958</v>
      </c>
      <c r="L1782" s="33" t="n"/>
    </row>
    <row r="1783">
      <c r="A1783" t="inlineStr">
        <is>
          <t>CLM518075</t>
        </is>
      </c>
      <c r="B1783" t="inlineStr">
        <is>
          <t>ENC118075</t>
        </is>
      </c>
      <c r="C1783" t="inlineStr">
        <is>
          <t>State Medicaid</t>
        </is>
      </c>
      <c r="D1783" t="inlineStr">
        <is>
          <t>Inpatient</t>
        </is>
      </c>
      <c r="E1783" s="29" t="n">
        <v>45904</v>
      </c>
      <c r="F1783" s="29" t="n">
        <v>45905</v>
      </c>
      <c r="G1783" s="31" t="n">
        <v>35441.02</v>
      </c>
      <c r="H1783" s="31" t="n">
        <v>8408.93</v>
      </c>
      <c r="I1783" t="inlineStr">
        <is>
          <t>Paid</t>
        </is>
      </c>
      <c r="K1783" s="29" t="n">
        <v>45944</v>
      </c>
      <c r="L1783" s="33" t="n"/>
    </row>
    <row r="1784">
      <c r="A1784" t="inlineStr">
        <is>
          <t>CLM518078</t>
        </is>
      </c>
      <c r="B1784" t="inlineStr">
        <is>
          <t>ENC118078</t>
        </is>
      </c>
      <c r="C1784" t="inlineStr">
        <is>
          <t>State Medicaid</t>
        </is>
      </c>
      <c r="D1784" t="inlineStr">
        <is>
          <t>Emergency</t>
        </is>
      </c>
      <c r="E1784" s="29" t="n">
        <v>45900</v>
      </c>
      <c r="F1784" s="29" t="n">
        <v>45902</v>
      </c>
      <c r="G1784" s="31" t="n">
        <v>647.9400000000001</v>
      </c>
      <c r="H1784" s="31" t="n">
        <v>155.52</v>
      </c>
      <c r="I1784" t="inlineStr">
        <is>
          <t>Paid</t>
        </is>
      </c>
      <c r="K1784" s="29" t="n">
        <v>45944</v>
      </c>
      <c r="L1784" s="33" t="n"/>
    </row>
    <row r="1785">
      <c r="A1785" t="inlineStr">
        <is>
          <t>CLM518086</t>
        </is>
      </c>
      <c r="B1785" t="inlineStr">
        <is>
          <t>ENC118086</t>
        </is>
      </c>
      <c r="C1785" t="inlineStr">
        <is>
          <t>Keystone Health Partners</t>
        </is>
      </c>
      <c r="D1785" t="inlineStr">
        <is>
          <t>Emergency</t>
        </is>
      </c>
      <c r="E1785" s="29" t="n">
        <v>45901</v>
      </c>
      <c r="F1785" s="29" t="n">
        <v>45906</v>
      </c>
      <c r="G1785" s="31" t="n">
        <v>865.33</v>
      </c>
      <c r="H1785" s="31" t="n">
        <v>450.29</v>
      </c>
      <c r="I1785" t="inlineStr">
        <is>
          <t>Paid</t>
        </is>
      </c>
      <c r="K1785" s="29" t="n">
        <v>45922</v>
      </c>
      <c r="L1785" s="33" t="n"/>
    </row>
    <row r="1786">
      <c r="A1786" t="inlineStr">
        <is>
          <t>CLM518096</t>
        </is>
      </c>
      <c r="B1786" t="inlineStr">
        <is>
          <t>ENC118096</t>
        </is>
      </c>
      <c r="C1786" t="inlineStr">
        <is>
          <t>State Medicaid</t>
        </is>
      </c>
      <c r="D1786" t="inlineStr">
        <is>
          <t>Outpatient</t>
        </is>
      </c>
      <c r="E1786" s="29" t="n">
        <v>45901</v>
      </c>
      <c r="F1786" s="29" t="n">
        <v>45903</v>
      </c>
      <c r="G1786" s="31" t="n">
        <v>258.99</v>
      </c>
      <c r="H1786" s="31" t="n">
        <v>67.31999999999999</v>
      </c>
      <c r="I1786" t="inlineStr">
        <is>
          <t>Paid</t>
        </is>
      </c>
      <c r="K1786" s="29" t="n">
        <v>45949</v>
      </c>
      <c r="L1786" s="33" t="n"/>
    </row>
    <row r="1787">
      <c r="A1787" t="inlineStr">
        <is>
          <t>CLM518106</t>
        </is>
      </c>
      <c r="B1787" t="inlineStr">
        <is>
          <t>ENC118106</t>
        </is>
      </c>
      <c r="C1787" t="inlineStr">
        <is>
          <t>Silverline Medicare Advantage</t>
        </is>
      </c>
      <c r="D1787" t="inlineStr">
        <is>
          <t>Outpatient</t>
        </is>
      </c>
      <c r="E1787" s="29" t="n">
        <v>45901</v>
      </c>
      <c r="F1787" s="29" t="n">
        <v>45903</v>
      </c>
      <c r="G1787" s="31" t="n">
        <v>405.25</v>
      </c>
      <c r="H1787" s="31" t="n">
        <v>114.47</v>
      </c>
      <c r="I1787" t="inlineStr">
        <is>
          <t>Paid</t>
        </is>
      </c>
      <c r="K1787" s="29" t="n">
        <v>45919</v>
      </c>
      <c r="L1787" s="33" t="n"/>
    </row>
    <row r="1788">
      <c r="A1788" t="inlineStr">
        <is>
          <t>CLM518107</t>
        </is>
      </c>
      <c r="B1788" t="inlineStr">
        <is>
          <t>ENC118107</t>
        </is>
      </c>
      <c r="C1788" t="inlineStr">
        <is>
          <t>Summit Choice PPO</t>
        </is>
      </c>
      <c r="D1788" t="inlineStr">
        <is>
          <t>Outpatient</t>
        </is>
      </c>
      <c r="E1788" s="29" t="n">
        <v>45901</v>
      </c>
      <c r="F1788" s="29" t="n">
        <v>45907</v>
      </c>
      <c r="G1788" s="31" t="n">
        <v>265.57</v>
      </c>
      <c r="H1788" s="31" t="n">
        <v>137.81</v>
      </c>
      <c r="I1788" t="inlineStr">
        <is>
          <t>Paid</t>
        </is>
      </c>
      <c r="K1788" s="29" t="n">
        <v>45931</v>
      </c>
      <c r="L1788" s="33" t="n"/>
    </row>
    <row r="1789">
      <c r="A1789" t="inlineStr">
        <is>
          <t>CLM518110</t>
        </is>
      </c>
      <c r="B1789" t="inlineStr">
        <is>
          <t>ENC118110</t>
        </is>
      </c>
      <c r="C1789" t="inlineStr">
        <is>
          <t>Evergreen Mutual Insurance</t>
        </is>
      </c>
      <c r="D1789" t="inlineStr">
        <is>
          <t>Emergency</t>
        </is>
      </c>
      <c r="E1789" s="29" t="n">
        <v>45901</v>
      </c>
      <c r="F1789" s="29" t="n">
        <v>45904</v>
      </c>
      <c r="G1789" s="31" t="n">
        <v>773.1900000000001</v>
      </c>
      <c r="H1789" s="31" t="n">
        <v>315.63</v>
      </c>
      <c r="I1789" t="inlineStr">
        <is>
          <t>Paid</t>
        </is>
      </c>
      <c r="K1789" s="29" t="n">
        <v>45933</v>
      </c>
      <c r="L1789" s="33" t="n"/>
    </row>
    <row r="1790">
      <c r="A1790" t="inlineStr">
        <is>
          <t>CLM518113</t>
        </is>
      </c>
      <c r="B1790" t="inlineStr">
        <is>
          <t>ENC118113</t>
        </is>
      </c>
      <c r="C1790" t="inlineStr">
        <is>
          <t>Self-Pay</t>
        </is>
      </c>
      <c r="D1790" t="inlineStr">
        <is>
          <t>Outpatient</t>
        </is>
      </c>
      <c r="E1790" s="29" t="n">
        <v>45901</v>
      </c>
      <c r="F1790" s="29" t="n">
        <v>45905</v>
      </c>
      <c r="G1790" s="31" t="n">
        <v>177.61</v>
      </c>
      <c r="H1790" s="31" t="n">
        <v>0</v>
      </c>
      <c r="I1790" t="inlineStr">
        <is>
          <t>Pending</t>
        </is>
      </c>
      <c r="L1790" s="33" t="n"/>
    </row>
    <row r="1791">
      <c r="A1791" t="inlineStr">
        <is>
          <t>CLM518118</t>
        </is>
      </c>
      <c r="B1791" t="inlineStr">
        <is>
          <t>ENC118118</t>
        </is>
      </c>
      <c r="C1791" t="inlineStr">
        <is>
          <t>Keystone Health Partners</t>
        </is>
      </c>
      <c r="D1791" t="inlineStr">
        <is>
          <t>Emergency</t>
        </is>
      </c>
      <c r="E1791" s="29" t="n">
        <v>45901</v>
      </c>
      <c r="F1791" s="29" t="n">
        <v>45904</v>
      </c>
      <c r="G1791" s="31" t="n">
        <v>4462.76</v>
      </c>
      <c r="H1791" s="31" t="n">
        <v>2241.25</v>
      </c>
      <c r="I1791" t="inlineStr">
        <is>
          <t>Paid</t>
        </is>
      </c>
      <c r="K1791" s="29" t="n">
        <v>45930</v>
      </c>
      <c r="L1791" s="33" t="n"/>
    </row>
    <row r="1792">
      <c r="A1792" t="inlineStr">
        <is>
          <t>CLM518120</t>
        </is>
      </c>
      <c r="B1792" t="inlineStr">
        <is>
          <t>ENC118120</t>
        </is>
      </c>
      <c r="C1792" t="inlineStr">
        <is>
          <t>Keystone Health Partners</t>
        </is>
      </c>
      <c r="D1792" t="inlineStr">
        <is>
          <t>Emergency</t>
        </is>
      </c>
      <c r="E1792" s="29" t="n">
        <v>45901</v>
      </c>
      <c r="F1792" s="29" t="n">
        <v>45909</v>
      </c>
      <c r="G1792" s="31" t="n">
        <v>1287.69</v>
      </c>
      <c r="H1792" s="31" t="n">
        <v>0</v>
      </c>
      <c r="I1792" t="inlineStr">
        <is>
          <t>Denied</t>
        </is>
      </c>
      <c r="J1792" t="inlineStr">
        <is>
          <t>Coding Error</t>
        </is>
      </c>
      <c r="L1792" s="33" t="n"/>
    </row>
    <row r="1793">
      <c r="A1793" t="inlineStr">
        <is>
          <t>CLM518130</t>
        </is>
      </c>
      <c r="B1793" t="inlineStr">
        <is>
          <t>ENC118130</t>
        </is>
      </c>
      <c r="C1793" t="inlineStr">
        <is>
          <t>State Medicaid</t>
        </is>
      </c>
      <c r="D1793" t="inlineStr">
        <is>
          <t>Emergency</t>
        </is>
      </c>
      <c r="E1793" s="29" t="n">
        <v>45902</v>
      </c>
      <c r="F1793" s="29" t="n">
        <v>45913</v>
      </c>
      <c r="G1793" s="31" t="n">
        <v>3379.08</v>
      </c>
      <c r="H1793" s="31" t="n">
        <v>533.5</v>
      </c>
      <c r="I1793" t="inlineStr">
        <is>
          <t>Partially Paid</t>
        </is>
      </c>
      <c r="J1793" t="inlineStr">
        <is>
          <t>Missing Documentation</t>
        </is>
      </c>
      <c r="K1793" s="29" t="n">
        <v>45947</v>
      </c>
      <c r="L1793" s="33" t="n"/>
    </row>
    <row r="1794">
      <c r="A1794" t="inlineStr">
        <is>
          <t>CLM518131</t>
        </is>
      </c>
      <c r="B1794" t="inlineStr">
        <is>
          <t>ENC118131</t>
        </is>
      </c>
      <c r="C1794" t="inlineStr">
        <is>
          <t>State Medicaid</t>
        </is>
      </c>
      <c r="D1794" t="inlineStr">
        <is>
          <t>Emergency</t>
        </is>
      </c>
      <c r="E1794" s="29" t="n">
        <v>45902</v>
      </c>
      <c r="F1794" s="29" t="n">
        <v>45908</v>
      </c>
      <c r="G1794" s="31" t="n">
        <v>1290.37</v>
      </c>
      <c r="H1794" s="31" t="n">
        <v>307.25</v>
      </c>
      <c r="I1794" t="inlineStr">
        <is>
          <t>Paid</t>
        </is>
      </c>
      <c r="K1794" s="29" t="n">
        <v>45978</v>
      </c>
      <c r="L1794" s="33" t="n"/>
    </row>
    <row r="1795">
      <c r="A1795" t="inlineStr">
        <is>
          <t>CLM518134</t>
        </is>
      </c>
      <c r="B1795" t="inlineStr">
        <is>
          <t>ENC118134</t>
        </is>
      </c>
      <c r="C1795" t="inlineStr">
        <is>
          <t>Medicare</t>
        </is>
      </c>
      <c r="D1795" t="inlineStr">
        <is>
          <t>Outpatient</t>
        </is>
      </c>
      <c r="E1795" s="29" t="n">
        <v>45902</v>
      </c>
      <c r="F1795" s="29" t="n">
        <v>45909</v>
      </c>
      <c r="G1795" s="31" t="n">
        <v>201.63</v>
      </c>
      <c r="H1795" s="31" t="n">
        <v>55.78</v>
      </c>
      <c r="I1795" t="inlineStr">
        <is>
          <t>Paid</t>
        </is>
      </c>
      <c r="K1795" s="29" t="n">
        <v>45915</v>
      </c>
      <c r="L1795" s="33" t="n"/>
    </row>
    <row r="1796">
      <c r="A1796" t="inlineStr">
        <is>
          <t>CLM518135</t>
        </is>
      </c>
      <c r="B1796" t="inlineStr">
        <is>
          <t>ENC118135</t>
        </is>
      </c>
      <c r="C1796" t="inlineStr">
        <is>
          <t>Silverline Medicare Advantage</t>
        </is>
      </c>
      <c r="D1796" t="inlineStr">
        <is>
          <t>Emergency</t>
        </is>
      </c>
      <c r="E1796" s="29" t="n">
        <v>45902</v>
      </c>
      <c r="F1796" s="29" t="n">
        <v>45914</v>
      </c>
      <c r="G1796" s="31" t="n">
        <v>5440.62</v>
      </c>
      <c r="H1796" s="31" t="n">
        <v>1703.14</v>
      </c>
      <c r="I1796" t="inlineStr">
        <is>
          <t>Paid</t>
        </is>
      </c>
      <c r="K1796" s="29" t="n">
        <v>45940</v>
      </c>
      <c r="L1796" s="33" t="n"/>
    </row>
    <row r="1797">
      <c r="A1797" t="inlineStr">
        <is>
          <t>CLM518136</t>
        </is>
      </c>
      <c r="B1797" t="inlineStr">
        <is>
          <t>ENC118136</t>
        </is>
      </c>
      <c r="C1797" t="inlineStr">
        <is>
          <t>Evergreen Mutual Insurance</t>
        </is>
      </c>
      <c r="D1797" t="inlineStr">
        <is>
          <t>Outpatient</t>
        </is>
      </c>
      <c r="E1797" s="29" t="n">
        <v>45902</v>
      </c>
      <c r="F1797" s="29" t="n">
        <v>45906</v>
      </c>
      <c r="G1797" s="31" t="n">
        <v>183.7</v>
      </c>
      <c r="H1797" s="31" t="n">
        <v>0</v>
      </c>
      <c r="I1797" t="inlineStr">
        <is>
          <t>Denied</t>
        </is>
      </c>
      <c r="J1797" t="inlineStr">
        <is>
          <t>Authorization Required</t>
        </is>
      </c>
      <c r="L1797" s="33" t="n"/>
    </row>
    <row r="1798">
      <c r="A1798" t="inlineStr">
        <is>
          <t>CLM518139</t>
        </is>
      </c>
      <c r="B1798" t="inlineStr">
        <is>
          <t>ENC118139</t>
        </is>
      </c>
      <c r="C1798" t="inlineStr">
        <is>
          <t>Keystone Health Partners</t>
        </is>
      </c>
      <c r="D1798" t="inlineStr">
        <is>
          <t>Outpatient</t>
        </is>
      </c>
      <c r="E1798" s="29" t="n">
        <v>45902</v>
      </c>
      <c r="F1798" s="29" t="n">
        <v>45914</v>
      </c>
      <c r="G1798" s="31" t="n">
        <v>158.41</v>
      </c>
      <c r="H1798" s="31" t="n">
        <v>77.06999999999999</v>
      </c>
      <c r="I1798" t="inlineStr">
        <is>
          <t>Paid</t>
        </is>
      </c>
      <c r="K1798" s="29" t="n">
        <v>45933</v>
      </c>
      <c r="L1798" s="33" t="n"/>
    </row>
    <row r="1799">
      <c r="A1799" t="inlineStr">
        <is>
          <t>CLM518146</t>
        </is>
      </c>
      <c r="B1799" t="inlineStr">
        <is>
          <t>ENC118146</t>
        </is>
      </c>
      <c r="C1799" t="inlineStr">
        <is>
          <t>Silverline Medicare Advantage</t>
        </is>
      </c>
      <c r="D1799" t="inlineStr">
        <is>
          <t>Emergency</t>
        </is>
      </c>
      <c r="E1799" s="29" t="n">
        <v>45902</v>
      </c>
      <c r="F1799" s="29" t="n">
        <v>45911</v>
      </c>
      <c r="G1799" s="31" t="n">
        <v>6280.16</v>
      </c>
      <c r="H1799" s="31" t="n">
        <v>1757.93</v>
      </c>
      <c r="I1799" t="inlineStr">
        <is>
          <t>Paid</t>
        </is>
      </c>
      <c r="K1799" s="29" t="n">
        <v>45926</v>
      </c>
      <c r="L1799" s="33" t="n"/>
    </row>
    <row r="1800">
      <c r="A1800" t="inlineStr">
        <is>
          <t>CLM518148</t>
        </is>
      </c>
      <c r="B1800" t="inlineStr">
        <is>
          <t>ENC118148</t>
        </is>
      </c>
      <c r="C1800" t="inlineStr">
        <is>
          <t>Silverline Medicare Advantage</t>
        </is>
      </c>
      <c r="D1800" t="inlineStr">
        <is>
          <t>Inpatient</t>
        </is>
      </c>
      <c r="E1800" s="29" t="n">
        <v>45910</v>
      </c>
      <c r="F1800" s="29" t="n">
        <v>45914</v>
      </c>
      <c r="G1800" s="31" t="n">
        <v>19296.3</v>
      </c>
      <c r="H1800" s="31" t="n">
        <v>0</v>
      </c>
      <c r="I1800" t="inlineStr">
        <is>
          <t>Appealed</t>
        </is>
      </c>
      <c r="J1800" t="inlineStr">
        <is>
          <t>Medical Necessity</t>
        </is>
      </c>
      <c r="L1800" s="33" t="n"/>
    </row>
    <row r="1801">
      <c r="A1801" t="inlineStr">
        <is>
          <t>CLM518165</t>
        </is>
      </c>
      <c r="B1801" t="inlineStr">
        <is>
          <t>ENC118165</t>
        </is>
      </c>
      <c r="C1801" t="inlineStr">
        <is>
          <t>Evergreen Mutual Insurance</t>
        </is>
      </c>
      <c r="D1801" t="inlineStr">
        <is>
          <t>Emergency</t>
        </is>
      </c>
      <c r="E1801" s="29" t="n">
        <v>45903</v>
      </c>
      <c r="F1801" s="29" t="n">
        <v>45906</v>
      </c>
      <c r="G1801" s="31" t="n">
        <v>1700.67</v>
      </c>
      <c r="H1801" s="31" t="n">
        <v>716.4</v>
      </c>
      <c r="I1801" t="inlineStr">
        <is>
          <t>Paid</t>
        </is>
      </c>
      <c r="K1801" s="29" t="n">
        <v>45938</v>
      </c>
      <c r="L1801" s="33" t="n"/>
    </row>
    <row r="1802">
      <c r="A1802" t="inlineStr">
        <is>
          <t>CLM518166</t>
        </is>
      </c>
      <c r="B1802" t="inlineStr">
        <is>
          <t>ENC118166</t>
        </is>
      </c>
      <c r="C1802" t="inlineStr">
        <is>
          <t>Silverline Medicare Advantage</t>
        </is>
      </c>
      <c r="D1802" t="inlineStr">
        <is>
          <t>Emergency</t>
        </is>
      </c>
      <c r="E1802" s="29" t="n">
        <v>45903</v>
      </c>
      <c r="F1802" s="29" t="n">
        <v>45909</v>
      </c>
      <c r="G1802" s="31" t="n">
        <v>4324</v>
      </c>
      <c r="H1802" s="31" t="n">
        <v>1352.82</v>
      </c>
      <c r="I1802" t="inlineStr">
        <is>
          <t>Paid</t>
        </is>
      </c>
      <c r="K1802" s="29" t="n">
        <v>45934</v>
      </c>
      <c r="L1802" s="33" t="n"/>
    </row>
    <row r="1803">
      <c r="A1803" t="inlineStr">
        <is>
          <t>CLM518167</t>
        </is>
      </c>
      <c r="B1803" t="inlineStr">
        <is>
          <t>ENC118167</t>
        </is>
      </c>
      <c r="C1803" t="inlineStr">
        <is>
          <t>Keystone Health Partners</t>
        </is>
      </c>
      <c r="D1803" t="inlineStr">
        <is>
          <t>Outpatient</t>
        </is>
      </c>
      <c r="E1803" s="29" t="n">
        <v>45903</v>
      </c>
      <c r="F1803" s="29" t="n">
        <v>45905</v>
      </c>
      <c r="G1803" s="31" t="n">
        <v>242.67</v>
      </c>
      <c r="H1803" s="31" t="n">
        <v>0</v>
      </c>
      <c r="I1803" t="inlineStr">
        <is>
          <t>Denied</t>
        </is>
      </c>
      <c r="J1803" t="inlineStr">
        <is>
          <t>Coding Error</t>
        </is>
      </c>
      <c r="L1803" s="33" t="n"/>
    </row>
    <row r="1804">
      <c r="A1804" t="inlineStr">
        <is>
          <t>CLM518175</t>
        </is>
      </c>
      <c r="B1804" t="inlineStr">
        <is>
          <t>ENC118175</t>
        </is>
      </c>
      <c r="C1804" t="inlineStr">
        <is>
          <t>Evergreen Mutual Insurance</t>
        </is>
      </c>
      <c r="D1804" t="inlineStr">
        <is>
          <t>Inpatient</t>
        </is>
      </c>
      <c r="E1804" s="29" t="n">
        <v>45906</v>
      </c>
      <c r="F1804" s="29" t="n">
        <v>45912</v>
      </c>
      <c r="G1804" s="31" t="n">
        <v>21804.89</v>
      </c>
      <c r="H1804" s="31" t="n">
        <v>9483.030000000001</v>
      </c>
      <c r="I1804" t="inlineStr">
        <is>
          <t>Paid</t>
        </is>
      </c>
      <c r="K1804" s="29" t="n">
        <v>45926</v>
      </c>
      <c r="L1804" s="33" t="n"/>
    </row>
    <row r="1805">
      <c r="A1805" t="inlineStr">
        <is>
          <t>CLM518187</t>
        </is>
      </c>
      <c r="B1805" t="inlineStr">
        <is>
          <t>ENC118187</t>
        </is>
      </c>
      <c r="C1805" t="inlineStr">
        <is>
          <t>State Medicaid</t>
        </is>
      </c>
      <c r="D1805" t="inlineStr">
        <is>
          <t>Emergency</t>
        </is>
      </c>
      <c r="E1805" s="29" t="n">
        <v>45903</v>
      </c>
      <c r="F1805" s="29" t="n">
        <v>45905</v>
      </c>
      <c r="G1805" s="31" t="n">
        <v>1086.38</v>
      </c>
      <c r="H1805" s="31" t="n">
        <v>267.87</v>
      </c>
      <c r="I1805" t="inlineStr">
        <is>
          <t>Paid</t>
        </is>
      </c>
      <c r="K1805" s="29" t="n">
        <v>45965</v>
      </c>
      <c r="L1805" s="33" t="n"/>
    </row>
    <row r="1806">
      <c r="A1806" t="inlineStr">
        <is>
          <t>CLM518190</t>
        </is>
      </c>
      <c r="B1806" t="inlineStr">
        <is>
          <t>ENC118190</t>
        </is>
      </c>
      <c r="C1806" t="inlineStr">
        <is>
          <t>Silverline Medicare Advantage</t>
        </is>
      </c>
      <c r="D1806" t="inlineStr">
        <is>
          <t>Emergency</t>
        </is>
      </c>
      <c r="E1806" s="29" t="n">
        <v>45904</v>
      </c>
      <c r="F1806" s="29" t="n">
        <v>45911</v>
      </c>
      <c r="G1806" s="31" t="n">
        <v>1065.91</v>
      </c>
      <c r="H1806" s="31" t="n">
        <v>0</v>
      </c>
      <c r="I1806" t="inlineStr">
        <is>
          <t>Denied</t>
        </is>
      </c>
      <c r="J1806" t="inlineStr">
        <is>
          <t>Authorization Required</t>
        </is>
      </c>
      <c r="L1806" s="33" t="n"/>
    </row>
    <row r="1807">
      <c r="A1807" t="inlineStr">
        <is>
          <t>CLM518191</t>
        </is>
      </c>
      <c r="B1807" t="inlineStr">
        <is>
          <t>ENC118191</t>
        </is>
      </c>
      <c r="C1807" t="inlineStr">
        <is>
          <t>Keystone Health Partners</t>
        </is>
      </c>
      <c r="D1807" t="inlineStr">
        <is>
          <t>Emergency</t>
        </is>
      </c>
      <c r="E1807" s="29" t="n">
        <v>45904</v>
      </c>
      <c r="F1807" s="29" t="n">
        <v>45909</v>
      </c>
      <c r="G1807" s="31" t="n">
        <v>3295.28</v>
      </c>
      <c r="H1807" s="31" t="n">
        <v>1606.51</v>
      </c>
      <c r="I1807" t="inlineStr">
        <is>
          <t>Paid</t>
        </is>
      </c>
      <c r="K1807" s="29" t="n">
        <v>45946</v>
      </c>
      <c r="L1807" s="33" t="n"/>
    </row>
    <row r="1808">
      <c r="A1808" t="inlineStr">
        <is>
          <t>CLM518196</t>
        </is>
      </c>
      <c r="B1808" t="inlineStr">
        <is>
          <t>ENC118196</t>
        </is>
      </c>
      <c r="C1808" t="inlineStr">
        <is>
          <t>State Medicaid</t>
        </is>
      </c>
      <c r="D1808" t="inlineStr">
        <is>
          <t>Outpatient</t>
        </is>
      </c>
      <c r="E1808" s="29" t="n">
        <v>45904</v>
      </c>
      <c r="F1808" s="29" t="n">
        <v>45917</v>
      </c>
      <c r="G1808" s="31" t="n">
        <v>162.31</v>
      </c>
      <c r="H1808" s="31" t="n">
        <v>38.3</v>
      </c>
      <c r="I1808" t="inlineStr">
        <is>
          <t>Paid</t>
        </is>
      </c>
      <c r="K1808" s="29" t="n">
        <v>45956</v>
      </c>
      <c r="L1808" s="33" t="n"/>
    </row>
    <row r="1809">
      <c r="A1809" t="inlineStr">
        <is>
          <t>CLM518199</t>
        </is>
      </c>
      <c r="B1809" t="inlineStr">
        <is>
          <t>ENC118199</t>
        </is>
      </c>
      <c r="C1809" t="inlineStr">
        <is>
          <t>Keystone Health Partners</t>
        </is>
      </c>
      <c r="D1809" t="inlineStr">
        <is>
          <t>Inpatient</t>
        </is>
      </c>
      <c r="E1809" s="29" t="n">
        <v>45910</v>
      </c>
      <c r="F1809" s="29" t="n">
        <v>45916</v>
      </c>
      <c r="G1809" s="31" t="n">
        <v>56592.67</v>
      </c>
      <c r="H1809" s="31" t="n">
        <v>23282.62</v>
      </c>
      <c r="I1809" t="inlineStr">
        <is>
          <t>Paid</t>
        </is>
      </c>
      <c r="K1809" s="29" t="n">
        <v>45957</v>
      </c>
      <c r="L1809" s="33" t="n"/>
    </row>
    <row r="1810">
      <c r="A1810" t="inlineStr">
        <is>
          <t>CLM518203</t>
        </is>
      </c>
      <c r="B1810" t="inlineStr">
        <is>
          <t>ENC118203</t>
        </is>
      </c>
      <c r="C1810" t="inlineStr">
        <is>
          <t>Self-Pay</t>
        </is>
      </c>
      <c r="D1810" t="inlineStr">
        <is>
          <t>Inpatient</t>
        </is>
      </c>
      <c r="E1810" s="29" t="n">
        <v>45906</v>
      </c>
      <c r="F1810" s="29" t="n">
        <v>45915</v>
      </c>
      <c r="G1810" s="31" t="n">
        <v>15102.12</v>
      </c>
      <c r="H1810" s="31" t="n">
        <v>0</v>
      </c>
      <c r="I1810" t="inlineStr">
        <is>
          <t>Pending</t>
        </is>
      </c>
      <c r="L1810" s="33" t="n"/>
    </row>
    <row r="1811">
      <c r="A1811" t="inlineStr">
        <is>
          <t>CLM518213</t>
        </is>
      </c>
      <c r="B1811" t="inlineStr">
        <is>
          <t>ENC118213</t>
        </is>
      </c>
      <c r="C1811" t="inlineStr">
        <is>
          <t>Keystone Health Partners</t>
        </is>
      </c>
      <c r="D1811" t="inlineStr">
        <is>
          <t>Outpatient</t>
        </is>
      </c>
      <c r="E1811" s="29" t="n">
        <v>45904</v>
      </c>
      <c r="F1811" s="29" t="n">
        <v>45909</v>
      </c>
      <c r="G1811" s="31" t="n">
        <v>130.53</v>
      </c>
      <c r="H1811" s="31" t="n">
        <v>63.37</v>
      </c>
      <c r="I1811" t="inlineStr">
        <is>
          <t>Paid</t>
        </is>
      </c>
      <c r="K1811" s="29" t="n">
        <v>45948</v>
      </c>
      <c r="L1811" s="33" t="n"/>
    </row>
    <row r="1812">
      <c r="A1812" t="inlineStr">
        <is>
          <t>CLM518219</t>
        </is>
      </c>
      <c r="B1812" t="inlineStr">
        <is>
          <t>ENC118219</t>
        </is>
      </c>
      <c r="C1812" t="inlineStr">
        <is>
          <t>State Medicaid</t>
        </is>
      </c>
      <c r="D1812" t="inlineStr">
        <is>
          <t>Emergency</t>
        </is>
      </c>
      <c r="E1812" s="29" t="n">
        <v>45905</v>
      </c>
      <c r="F1812" s="29" t="n">
        <v>45907</v>
      </c>
      <c r="G1812" s="31" t="n">
        <v>1840.8</v>
      </c>
      <c r="H1812" s="31" t="n">
        <v>498</v>
      </c>
      <c r="I1812" t="inlineStr">
        <is>
          <t>Paid</t>
        </is>
      </c>
      <c r="K1812" s="29" t="n">
        <v>45946</v>
      </c>
      <c r="L1812" s="33" t="n"/>
    </row>
    <row r="1813">
      <c r="A1813" t="inlineStr">
        <is>
          <t>CLM518220</t>
        </is>
      </c>
      <c r="B1813" t="inlineStr">
        <is>
          <t>ENC118220</t>
        </is>
      </c>
      <c r="C1813" t="inlineStr">
        <is>
          <t>Medicare</t>
        </is>
      </c>
      <c r="D1813" t="inlineStr">
        <is>
          <t>Emergency</t>
        </is>
      </c>
      <c r="E1813" s="29" t="n">
        <v>45905</v>
      </c>
      <c r="F1813" s="29" t="n">
        <v>45911</v>
      </c>
      <c r="G1813" s="31" t="n">
        <v>3092.77</v>
      </c>
      <c r="H1813" s="31" t="n">
        <v>914.6799999999999</v>
      </c>
      <c r="I1813" t="inlineStr">
        <is>
          <t>Paid</t>
        </is>
      </c>
      <c r="K1813" s="29" t="n">
        <v>45928</v>
      </c>
      <c r="L1813" s="33" t="n"/>
    </row>
    <row r="1814">
      <c r="A1814" t="inlineStr">
        <is>
          <t>CLM518225</t>
        </is>
      </c>
      <c r="B1814" t="inlineStr">
        <is>
          <t>ENC118225</t>
        </is>
      </c>
      <c r="C1814" t="inlineStr">
        <is>
          <t>State Medicaid</t>
        </is>
      </c>
      <c r="D1814" t="inlineStr">
        <is>
          <t>Outpatient</t>
        </is>
      </c>
      <c r="E1814" s="29" t="n">
        <v>45905</v>
      </c>
      <c r="F1814" s="29" t="n">
        <v>45917</v>
      </c>
      <c r="G1814" s="31" t="n">
        <v>261.45</v>
      </c>
      <c r="H1814" s="31" t="n">
        <v>28.6</v>
      </c>
      <c r="I1814" t="inlineStr">
        <is>
          <t>Partially Paid</t>
        </is>
      </c>
      <c r="J1814" t="inlineStr">
        <is>
          <t>Missing Documentation</t>
        </is>
      </c>
      <c r="K1814" s="29" t="n">
        <v>45957</v>
      </c>
      <c r="L1814" s="33" t="n"/>
    </row>
    <row r="1815">
      <c r="A1815" t="inlineStr">
        <is>
          <t>CLM518228</t>
        </is>
      </c>
      <c r="B1815" t="inlineStr">
        <is>
          <t>ENC118228</t>
        </is>
      </c>
      <c r="C1815" t="inlineStr">
        <is>
          <t>Silverline Medicare Advantage</t>
        </is>
      </c>
      <c r="D1815" t="inlineStr">
        <is>
          <t>Outpatient</t>
        </is>
      </c>
      <c r="E1815" s="29" t="n">
        <v>45905</v>
      </c>
      <c r="F1815" s="29" t="n">
        <v>45918</v>
      </c>
      <c r="G1815" s="31" t="n">
        <v>397.11</v>
      </c>
      <c r="H1815" s="31" t="n">
        <v>0</v>
      </c>
      <c r="I1815" t="inlineStr">
        <is>
          <t>Denied</t>
        </is>
      </c>
      <c r="J1815" t="inlineStr">
        <is>
          <t>Medical Necessity</t>
        </is>
      </c>
      <c r="L1815" s="33" t="n"/>
    </row>
    <row r="1816">
      <c r="A1816" t="inlineStr">
        <is>
          <t>CLM518229</t>
        </is>
      </c>
      <c r="B1816" t="inlineStr">
        <is>
          <t>ENC118229</t>
        </is>
      </c>
      <c r="C1816" t="inlineStr">
        <is>
          <t>Medicare</t>
        </is>
      </c>
      <c r="D1816" t="inlineStr">
        <is>
          <t>Emergency</t>
        </is>
      </c>
      <c r="E1816" s="29" t="n">
        <v>45905</v>
      </c>
      <c r="F1816" s="29" t="n">
        <v>45909</v>
      </c>
      <c r="G1816" s="31" t="n">
        <v>3831.27</v>
      </c>
      <c r="H1816" s="31" t="n">
        <v>1159.58</v>
      </c>
      <c r="I1816" t="inlineStr">
        <is>
          <t>Paid</t>
        </is>
      </c>
      <c r="K1816" s="29" t="n">
        <v>45922</v>
      </c>
      <c r="L1816" s="33" t="n"/>
    </row>
    <row r="1817">
      <c r="A1817" t="inlineStr">
        <is>
          <t>CLM518231</t>
        </is>
      </c>
      <c r="B1817" t="inlineStr">
        <is>
          <t>ENC118231</t>
        </is>
      </c>
      <c r="C1817" t="inlineStr">
        <is>
          <t>State Medicaid</t>
        </is>
      </c>
      <c r="D1817" t="inlineStr">
        <is>
          <t>Outpatient</t>
        </is>
      </c>
      <c r="E1817" s="29" t="n">
        <v>45905</v>
      </c>
      <c r="F1817" s="29" t="n">
        <v>45911</v>
      </c>
      <c r="G1817" s="31" t="n">
        <v>214.11</v>
      </c>
      <c r="H1817" s="31" t="n">
        <v>46.22</v>
      </c>
      <c r="I1817" t="inlineStr">
        <is>
          <t>Paid</t>
        </is>
      </c>
      <c r="K1817" s="29" t="n">
        <v>45935</v>
      </c>
      <c r="L1817" s="33" t="n"/>
    </row>
    <row r="1818">
      <c r="A1818" t="inlineStr">
        <is>
          <t>CLM518233</t>
        </is>
      </c>
      <c r="B1818" t="inlineStr">
        <is>
          <t>ENC118233</t>
        </is>
      </c>
      <c r="C1818" t="inlineStr">
        <is>
          <t>Silverline Medicare Advantage</t>
        </is>
      </c>
      <c r="D1818" t="inlineStr">
        <is>
          <t>Outpatient</t>
        </is>
      </c>
      <c r="E1818" s="29" t="n">
        <v>45905</v>
      </c>
      <c r="F1818" s="29" t="n">
        <v>45914</v>
      </c>
      <c r="G1818" s="31" t="n">
        <v>313.92</v>
      </c>
      <c r="H1818" s="31" t="n">
        <v>88.48999999999999</v>
      </c>
      <c r="I1818" t="inlineStr">
        <is>
          <t>Paid</t>
        </is>
      </c>
      <c r="K1818" s="29" t="n">
        <v>45944</v>
      </c>
      <c r="L1818" s="33" t="n"/>
    </row>
    <row r="1819">
      <c r="A1819" t="inlineStr">
        <is>
          <t>CLM518242</t>
        </is>
      </c>
      <c r="B1819" t="inlineStr">
        <is>
          <t>ENC118242</t>
        </is>
      </c>
      <c r="C1819" t="inlineStr">
        <is>
          <t>Keystone Health Partners</t>
        </is>
      </c>
      <c r="D1819" t="inlineStr">
        <is>
          <t>Outpatient</t>
        </is>
      </c>
      <c r="E1819" s="29" t="n">
        <v>45905</v>
      </c>
      <c r="F1819" s="29" t="n">
        <v>45909</v>
      </c>
      <c r="G1819" s="31" t="n">
        <v>9316.459999999999</v>
      </c>
      <c r="H1819" s="31" t="n">
        <v>4057.67</v>
      </c>
      <c r="I1819" t="inlineStr">
        <is>
          <t>Paid</t>
        </is>
      </c>
      <c r="K1819" s="29" t="n">
        <v>45949</v>
      </c>
      <c r="L1819" s="33" t="n"/>
    </row>
    <row r="1820">
      <c r="A1820" t="inlineStr">
        <is>
          <t>CLM518246</t>
        </is>
      </c>
      <c r="B1820" t="inlineStr">
        <is>
          <t>ENC118246</t>
        </is>
      </c>
      <c r="C1820" t="inlineStr">
        <is>
          <t>Keystone Health Partners</t>
        </is>
      </c>
      <c r="D1820" t="inlineStr">
        <is>
          <t>Emergency</t>
        </is>
      </c>
      <c r="E1820" s="29" t="n">
        <v>45905</v>
      </c>
      <c r="F1820" s="29" t="n">
        <v>45916</v>
      </c>
      <c r="G1820" s="31" t="n">
        <v>3538.33</v>
      </c>
      <c r="H1820" s="31" t="n">
        <v>1115.18</v>
      </c>
      <c r="I1820" t="inlineStr">
        <is>
          <t>Partially Paid</t>
        </is>
      </c>
      <c r="J1820" t="inlineStr">
        <is>
          <t>Coding Error</t>
        </is>
      </c>
      <c r="K1820" s="29" t="n">
        <v>45942</v>
      </c>
      <c r="L1820" s="33" t="n"/>
    </row>
    <row r="1821">
      <c r="A1821" t="inlineStr">
        <is>
          <t>CLM518250</t>
        </is>
      </c>
      <c r="B1821" t="inlineStr">
        <is>
          <t>ENC118250</t>
        </is>
      </c>
      <c r="C1821" t="inlineStr">
        <is>
          <t>Silverline Medicare Advantage</t>
        </is>
      </c>
      <c r="D1821" t="inlineStr">
        <is>
          <t>Emergency</t>
        </is>
      </c>
      <c r="E1821" s="29" t="n">
        <v>45905</v>
      </c>
      <c r="F1821" s="29" t="n">
        <v>45908</v>
      </c>
      <c r="G1821" s="31" t="n">
        <v>4783.75</v>
      </c>
      <c r="H1821" s="31" t="n">
        <v>1699.82</v>
      </c>
      <c r="I1821" t="inlineStr">
        <is>
          <t>Paid</t>
        </is>
      </c>
      <c r="K1821" s="29" t="n">
        <v>45939</v>
      </c>
      <c r="L1821" s="33" t="n"/>
    </row>
    <row r="1822">
      <c r="A1822" t="inlineStr">
        <is>
          <t>CLM518255</t>
        </is>
      </c>
      <c r="B1822" t="inlineStr">
        <is>
          <t>ENC118255</t>
        </is>
      </c>
      <c r="C1822" t="inlineStr">
        <is>
          <t>Evergreen Mutual Insurance</t>
        </is>
      </c>
      <c r="D1822" t="inlineStr">
        <is>
          <t>Observation</t>
        </is>
      </c>
      <c r="E1822" s="29" t="n">
        <v>45907</v>
      </c>
      <c r="F1822" s="29" t="n">
        <v>45910</v>
      </c>
      <c r="G1822" s="31" t="n">
        <v>7129.78</v>
      </c>
      <c r="H1822" s="31" t="n">
        <v>3224.73</v>
      </c>
      <c r="I1822" t="inlineStr">
        <is>
          <t>Paid</t>
        </is>
      </c>
      <c r="K1822" s="29" t="n">
        <v>45930</v>
      </c>
      <c r="L1822" s="33" t="n"/>
    </row>
    <row r="1823">
      <c r="A1823" t="inlineStr">
        <is>
          <t>CLM518258</t>
        </is>
      </c>
      <c r="B1823" t="inlineStr">
        <is>
          <t>ENC118258</t>
        </is>
      </c>
      <c r="C1823" t="inlineStr">
        <is>
          <t>State Medicaid</t>
        </is>
      </c>
      <c r="D1823" t="inlineStr">
        <is>
          <t>Observation</t>
        </is>
      </c>
      <c r="E1823" s="29" t="n">
        <v>45907</v>
      </c>
      <c r="F1823" s="29" t="n">
        <v>45911</v>
      </c>
      <c r="G1823" s="31" t="n">
        <v>5009.23</v>
      </c>
      <c r="H1823" s="31" t="n">
        <v>0</v>
      </c>
      <c r="I1823" t="inlineStr">
        <is>
          <t>Denied</t>
        </is>
      </c>
      <c r="J1823" t="inlineStr">
        <is>
          <t>Eligibility / Coverage</t>
        </is>
      </c>
      <c r="L1823" s="33" t="n"/>
    </row>
    <row r="1824">
      <c r="A1824" t="inlineStr">
        <is>
          <t>CLM518260</t>
        </is>
      </c>
      <c r="B1824" t="inlineStr">
        <is>
          <t>ENC118260</t>
        </is>
      </c>
      <c r="C1824" t="inlineStr">
        <is>
          <t>Summit Choice PPO</t>
        </is>
      </c>
      <c r="D1824" t="inlineStr">
        <is>
          <t>Emergency</t>
        </is>
      </c>
      <c r="E1824" s="29" t="n">
        <v>45906</v>
      </c>
      <c r="F1824" s="29" t="n">
        <v>45910</v>
      </c>
      <c r="G1824" s="31" t="n">
        <v>1625.04</v>
      </c>
      <c r="H1824" s="31" t="n">
        <v>830.11</v>
      </c>
      <c r="I1824" t="inlineStr">
        <is>
          <t>Paid</t>
        </is>
      </c>
      <c r="K1824" s="29" t="n">
        <v>45946</v>
      </c>
      <c r="L1824" s="33" t="n"/>
    </row>
    <row r="1825">
      <c r="A1825" t="inlineStr">
        <is>
          <t>CLM518262</t>
        </is>
      </c>
      <c r="B1825" t="inlineStr">
        <is>
          <t>ENC118262</t>
        </is>
      </c>
      <c r="C1825" t="inlineStr">
        <is>
          <t>State Medicaid</t>
        </is>
      </c>
      <c r="D1825" t="inlineStr">
        <is>
          <t>Emergency</t>
        </is>
      </c>
      <c r="E1825" s="29" t="n">
        <v>45907</v>
      </c>
      <c r="F1825" s="29" t="n">
        <v>45914</v>
      </c>
      <c r="G1825" s="31" t="n">
        <v>2964.08</v>
      </c>
      <c r="H1825" s="31" t="n">
        <v>671.73</v>
      </c>
      <c r="I1825" t="inlineStr">
        <is>
          <t>Paid</t>
        </is>
      </c>
      <c r="K1825" s="29" t="n">
        <v>45947</v>
      </c>
      <c r="L1825" s="33" t="n"/>
    </row>
    <row r="1826">
      <c r="A1826" t="inlineStr">
        <is>
          <t>CLM518263</t>
        </is>
      </c>
      <c r="B1826" t="inlineStr">
        <is>
          <t>ENC118263</t>
        </is>
      </c>
      <c r="C1826" t="inlineStr">
        <is>
          <t>Summit Choice PPO</t>
        </is>
      </c>
      <c r="D1826" t="inlineStr">
        <is>
          <t>Inpatient</t>
        </is>
      </c>
      <c r="E1826" s="29" t="n">
        <v>45911</v>
      </c>
      <c r="F1826" s="29" t="n">
        <v>45917</v>
      </c>
      <c r="G1826" s="31" t="n">
        <v>58394.99</v>
      </c>
      <c r="H1826" s="31" t="n">
        <v>35154.94</v>
      </c>
      <c r="I1826" t="inlineStr">
        <is>
          <t>Paid</t>
        </is>
      </c>
      <c r="K1826" s="29" t="n">
        <v>45938</v>
      </c>
      <c r="L1826" s="33" t="n"/>
    </row>
    <row r="1827">
      <c r="A1827" t="inlineStr">
        <is>
          <t>CLM518264</t>
        </is>
      </c>
      <c r="B1827" t="inlineStr">
        <is>
          <t>ENC118264</t>
        </is>
      </c>
      <c r="C1827" t="inlineStr">
        <is>
          <t>Keystone Health Partners</t>
        </is>
      </c>
      <c r="D1827" t="inlineStr">
        <is>
          <t>Emergency</t>
        </is>
      </c>
      <c r="E1827" s="29" t="n">
        <v>45907</v>
      </c>
      <c r="F1827" s="29" t="n">
        <v>45914</v>
      </c>
      <c r="G1827" s="31" t="n">
        <v>8431.67</v>
      </c>
      <c r="H1827" s="31" t="n">
        <v>3660.38</v>
      </c>
      <c r="I1827" t="inlineStr">
        <is>
          <t>Paid</t>
        </is>
      </c>
      <c r="K1827" s="29" t="n">
        <v>45932</v>
      </c>
      <c r="L1827" s="33" t="n"/>
    </row>
    <row r="1828">
      <c r="A1828" t="inlineStr">
        <is>
          <t>CLM518265</t>
        </is>
      </c>
      <c r="B1828" t="inlineStr">
        <is>
          <t>ENC118265</t>
        </is>
      </c>
      <c r="C1828" t="inlineStr">
        <is>
          <t>Keystone Health Partners</t>
        </is>
      </c>
      <c r="D1828" t="inlineStr">
        <is>
          <t>Observation</t>
        </is>
      </c>
      <c r="E1828" s="29" t="n">
        <v>45908</v>
      </c>
      <c r="F1828" s="29" t="n">
        <v>45909</v>
      </c>
      <c r="G1828" s="31" t="n">
        <v>5635.81</v>
      </c>
      <c r="H1828" s="31" t="n">
        <v>2993.55</v>
      </c>
      <c r="I1828" t="inlineStr">
        <is>
          <t>Paid</t>
        </is>
      </c>
      <c r="K1828" s="29" t="n">
        <v>45931</v>
      </c>
      <c r="L1828" s="33" t="n"/>
    </row>
    <row r="1829">
      <c r="A1829" t="inlineStr">
        <is>
          <t>CLM518270</t>
        </is>
      </c>
      <c r="B1829" t="inlineStr">
        <is>
          <t>ENC118270</t>
        </is>
      </c>
      <c r="C1829" t="inlineStr">
        <is>
          <t>Medicare</t>
        </is>
      </c>
      <c r="D1829" t="inlineStr">
        <is>
          <t>Observation</t>
        </is>
      </c>
      <c r="E1829" s="29" t="n">
        <v>45909</v>
      </c>
      <c r="F1829" s="29" t="n">
        <v>45912</v>
      </c>
      <c r="G1829" s="31" t="n">
        <v>12076.14</v>
      </c>
      <c r="H1829" s="31" t="n">
        <v>3404.96</v>
      </c>
      <c r="I1829" t="inlineStr">
        <is>
          <t>Paid</t>
        </is>
      </c>
      <c r="K1829" s="29" t="n">
        <v>45918</v>
      </c>
      <c r="L1829" s="33" t="n"/>
    </row>
    <row r="1830">
      <c r="A1830" t="inlineStr">
        <is>
          <t>CLM518278</t>
        </is>
      </c>
      <c r="B1830" t="inlineStr">
        <is>
          <t>ENC118278</t>
        </is>
      </c>
      <c r="C1830" t="inlineStr">
        <is>
          <t>State Medicaid</t>
        </is>
      </c>
      <c r="D1830" t="inlineStr">
        <is>
          <t>Emergency</t>
        </is>
      </c>
      <c r="E1830" s="29" t="n">
        <v>45907</v>
      </c>
      <c r="F1830" s="29" t="n">
        <v>45909</v>
      </c>
      <c r="G1830" s="31" t="n">
        <v>2839.71</v>
      </c>
      <c r="H1830" s="31" t="n">
        <v>0</v>
      </c>
      <c r="I1830" t="inlineStr">
        <is>
          <t>Appealed</t>
        </is>
      </c>
      <c r="J1830" t="inlineStr">
        <is>
          <t>Medical Necessity</t>
        </is>
      </c>
      <c r="L1830" s="33" t="n"/>
    </row>
    <row r="1831">
      <c r="A1831" t="inlineStr">
        <is>
          <t>CLM518288</t>
        </is>
      </c>
      <c r="B1831" t="inlineStr">
        <is>
          <t>ENC118288</t>
        </is>
      </c>
      <c r="C1831" t="inlineStr">
        <is>
          <t>Medicare</t>
        </is>
      </c>
      <c r="D1831" t="inlineStr">
        <is>
          <t>Inpatient</t>
        </is>
      </c>
      <c r="E1831" s="29" t="n">
        <v>45910</v>
      </c>
      <c r="F1831" s="29" t="n">
        <v>45913</v>
      </c>
      <c r="G1831" s="31" t="n">
        <v>12569.23</v>
      </c>
      <c r="H1831" s="31" t="n">
        <v>3585.85</v>
      </c>
      <c r="I1831" t="inlineStr">
        <is>
          <t>Paid</t>
        </is>
      </c>
      <c r="K1831" s="29" t="n">
        <v>45922</v>
      </c>
      <c r="L1831" s="33" t="n"/>
    </row>
    <row r="1832">
      <c r="A1832" t="inlineStr">
        <is>
          <t>CLM518289</t>
        </is>
      </c>
      <c r="B1832" t="inlineStr">
        <is>
          <t>ENC118289</t>
        </is>
      </c>
      <c r="C1832" t="inlineStr">
        <is>
          <t>Evergreen Mutual Insurance</t>
        </is>
      </c>
      <c r="D1832" t="inlineStr">
        <is>
          <t>Outpatient</t>
        </is>
      </c>
      <c r="E1832" s="29" t="n">
        <v>45908</v>
      </c>
      <c r="F1832" s="29" t="n">
        <v>45911</v>
      </c>
      <c r="G1832" s="31" t="n">
        <v>196.88</v>
      </c>
      <c r="H1832" s="31" t="n">
        <v>73.40000000000001</v>
      </c>
      <c r="I1832" t="inlineStr">
        <is>
          <t>Paid</t>
        </is>
      </c>
      <c r="K1832" s="29" t="n">
        <v>45931</v>
      </c>
      <c r="L1832" s="33" t="n"/>
    </row>
    <row r="1833">
      <c r="A1833" t="inlineStr">
        <is>
          <t>CLM518291</t>
        </is>
      </c>
      <c r="B1833" t="inlineStr">
        <is>
          <t>ENC118291</t>
        </is>
      </c>
      <c r="C1833" t="inlineStr">
        <is>
          <t>Medicare</t>
        </is>
      </c>
      <c r="D1833" t="inlineStr">
        <is>
          <t>Outpatient</t>
        </is>
      </c>
      <c r="E1833" s="29" t="n">
        <v>45908</v>
      </c>
      <c r="F1833" s="29" t="n">
        <v>45918</v>
      </c>
      <c r="G1833" s="31" t="n">
        <v>367.55</v>
      </c>
      <c r="H1833" s="31" t="n">
        <v>109</v>
      </c>
      <c r="I1833" t="inlineStr">
        <is>
          <t>Paid</t>
        </is>
      </c>
      <c r="K1833" s="29" t="n">
        <v>45933</v>
      </c>
      <c r="L1833" s="33" t="n"/>
    </row>
    <row r="1834">
      <c r="A1834" t="inlineStr">
        <is>
          <t>CLM518294</t>
        </is>
      </c>
      <c r="B1834" t="inlineStr">
        <is>
          <t>ENC118294</t>
        </is>
      </c>
      <c r="C1834" t="inlineStr">
        <is>
          <t>Evergreen Mutual Insurance</t>
        </is>
      </c>
      <c r="D1834" t="inlineStr">
        <is>
          <t>Outpatient</t>
        </is>
      </c>
      <c r="E1834" s="29" t="n">
        <v>45908</v>
      </c>
      <c r="F1834" s="29" t="n">
        <v>45912</v>
      </c>
      <c r="G1834" s="31" t="n">
        <v>137.33</v>
      </c>
      <c r="H1834" s="31" t="n">
        <v>61.67</v>
      </c>
      <c r="I1834" t="inlineStr">
        <is>
          <t>Paid</t>
        </is>
      </c>
      <c r="K1834" s="29" t="n">
        <v>45936</v>
      </c>
      <c r="L1834" s="33" t="n"/>
    </row>
    <row r="1835">
      <c r="A1835" t="inlineStr">
        <is>
          <t>CLM518297</t>
        </is>
      </c>
      <c r="B1835" t="inlineStr">
        <is>
          <t>ENC118297</t>
        </is>
      </c>
      <c r="C1835" t="inlineStr">
        <is>
          <t>Keystone Health Partners</t>
        </is>
      </c>
      <c r="D1835" t="inlineStr">
        <is>
          <t>Inpatient</t>
        </is>
      </c>
      <c r="E1835" s="29" t="n">
        <v>45910</v>
      </c>
      <c r="F1835" s="29" t="n">
        <v>45916</v>
      </c>
      <c r="G1835" s="31" t="n">
        <v>22116.75</v>
      </c>
      <c r="H1835" s="31" t="n">
        <v>8761.18</v>
      </c>
      <c r="I1835" t="inlineStr">
        <is>
          <t>Paid</t>
        </is>
      </c>
      <c r="K1835" s="29" t="n">
        <v>45953</v>
      </c>
      <c r="L1835" s="33" t="n"/>
    </row>
    <row r="1836">
      <c r="A1836" t="inlineStr">
        <is>
          <t>CLM518298</t>
        </is>
      </c>
      <c r="B1836" t="inlineStr">
        <is>
          <t>ENC118298</t>
        </is>
      </c>
      <c r="C1836" t="inlineStr">
        <is>
          <t>Medicare</t>
        </is>
      </c>
      <c r="D1836" t="inlineStr">
        <is>
          <t>Outpatient</t>
        </is>
      </c>
      <c r="E1836" s="29" t="n">
        <v>45908</v>
      </c>
      <c r="F1836" s="29" t="n">
        <v>45911</v>
      </c>
      <c r="G1836" s="31" t="n">
        <v>457.13</v>
      </c>
      <c r="H1836" s="31" t="n">
        <v>140.27</v>
      </c>
      <c r="I1836" t="inlineStr">
        <is>
          <t>Paid</t>
        </is>
      </c>
      <c r="K1836" s="29" t="n">
        <v>45935</v>
      </c>
      <c r="L1836" s="33" t="n"/>
    </row>
    <row r="1837">
      <c r="A1837" t="inlineStr">
        <is>
          <t>CLM518300</t>
        </is>
      </c>
      <c r="B1837" t="inlineStr">
        <is>
          <t>ENC118300</t>
        </is>
      </c>
      <c r="C1837" t="inlineStr">
        <is>
          <t>Evergreen Mutual Insurance</t>
        </is>
      </c>
      <c r="D1837" t="inlineStr">
        <is>
          <t>Outpatient</t>
        </is>
      </c>
      <c r="E1837" s="29" t="n">
        <v>45908</v>
      </c>
      <c r="F1837" s="29" t="n">
        <v>45915</v>
      </c>
      <c r="G1837" s="31" t="n">
        <v>300.75</v>
      </c>
      <c r="H1837" s="31" t="n">
        <v>124.86</v>
      </c>
      <c r="I1837" t="inlineStr">
        <is>
          <t>Paid</t>
        </is>
      </c>
      <c r="K1837" s="29" t="n">
        <v>45962</v>
      </c>
      <c r="L1837" s="33" t="n"/>
    </row>
    <row r="1838">
      <c r="A1838" t="inlineStr">
        <is>
          <t>CLM518306</t>
        </is>
      </c>
      <c r="B1838" t="inlineStr">
        <is>
          <t>ENC118306</t>
        </is>
      </c>
      <c r="C1838" t="inlineStr">
        <is>
          <t>Keystone Health Partners</t>
        </is>
      </c>
      <c r="D1838" t="inlineStr">
        <is>
          <t>Emergency</t>
        </is>
      </c>
      <c r="E1838" s="29" t="n">
        <v>45908</v>
      </c>
      <c r="F1838" s="29" t="n">
        <v>45912</v>
      </c>
      <c r="G1838" s="31" t="n">
        <v>3276.02</v>
      </c>
      <c r="H1838" s="31" t="n">
        <v>1611.84</v>
      </c>
      <c r="I1838" t="inlineStr">
        <is>
          <t>Paid</t>
        </is>
      </c>
      <c r="K1838" s="29" t="n">
        <v>45950</v>
      </c>
      <c r="L1838" s="33" t="n"/>
    </row>
    <row r="1839">
      <c r="A1839" t="inlineStr">
        <is>
          <t>CLM518308</t>
        </is>
      </c>
      <c r="B1839" t="inlineStr">
        <is>
          <t>ENC118308</t>
        </is>
      </c>
      <c r="C1839" t="inlineStr">
        <is>
          <t>State Medicaid</t>
        </is>
      </c>
      <c r="D1839" t="inlineStr">
        <is>
          <t>Emergency</t>
        </is>
      </c>
      <c r="E1839" s="29" t="n">
        <v>45908</v>
      </c>
      <c r="F1839" s="29" t="n">
        <v>45916</v>
      </c>
      <c r="G1839" s="31" t="n">
        <v>838.15</v>
      </c>
      <c r="H1839" s="31" t="n">
        <v>173.94</v>
      </c>
      <c r="I1839" t="inlineStr">
        <is>
          <t>Partially Paid</t>
        </is>
      </c>
      <c r="J1839" t="inlineStr">
        <is>
          <t>Medical Necessity</t>
        </is>
      </c>
      <c r="K1839" s="29" t="n">
        <v>45938</v>
      </c>
      <c r="L1839" s="33" t="n"/>
    </row>
    <row r="1840">
      <c r="A1840" t="inlineStr">
        <is>
          <t>CLM518310</t>
        </is>
      </c>
      <c r="B1840" t="inlineStr">
        <is>
          <t>ENC118310</t>
        </is>
      </c>
      <c r="C1840" t="inlineStr">
        <is>
          <t>Silverline Medicare Advantage</t>
        </is>
      </c>
      <c r="D1840" t="inlineStr">
        <is>
          <t>Emergency</t>
        </is>
      </c>
      <c r="E1840" s="29" t="n">
        <v>45908</v>
      </c>
      <c r="F1840" s="29" t="n">
        <v>45920</v>
      </c>
      <c r="G1840" s="31" t="n">
        <v>883.23</v>
      </c>
      <c r="H1840" s="31" t="n">
        <v>274.74</v>
      </c>
      <c r="I1840" t="inlineStr">
        <is>
          <t>Paid</t>
        </is>
      </c>
      <c r="K1840" s="29" t="n">
        <v>45948</v>
      </c>
      <c r="L1840" s="33" t="n"/>
    </row>
    <row r="1841">
      <c r="A1841" t="inlineStr">
        <is>
          <t>CLM518311</t>
        </is>
      </c>
      <c r="B1841" t="inlineStr">
        <is>
          <t>ENC118311</t>
        </is>
      </c>
      <c r="C1841" t="inlineStr">
        <is>
          <t>State Medicaid</t>
        </is>
      </c>
      <c r="D1841" t="inlineStr">
        <is>
          <t>Emergency</t>
        </is>
      </c>
      <c r="E1841" s="29" t="n">
        <v>45909</v>
      </c>
      <c r="F1841" s="29" t="n">
        <v>45915</v>
      </c>
      <c r="G1841" s="31" t="n">
        <v>1069.76</v>
      </c>
      <c r="H1841" s="31" t="n">
        <v>292.21</v>
      </c>
      <c r="I1841" t="inlineStr">
        <is>
          <t>Paid</t>
        </is>
      </c>
      <c r="K1841" s="29" t="n">
        <v>45955</v>
      </c>
      <c r="L1841" s="33" t="n"/>
    </row>
    <row r="1842">
      <c r="A1842" t="inlineStr">
        <is>
          <t>CLM518312</t>
        </is>
      </c>
      <c r="B1842" t="inlineStr">
        <is>
          <t>ENC118312</t>
        </is>
      </c>
      <c r="C1842" t="inlineStr">
        <is>
          <t>Self-Pay</t>
        </is>
      </c>
      <c r="D1842" t="inlineStr">
        <is>
          <t>Inpatient</t>
        </is>
      </c>
      <c r="E1842" s="29" t="n">
        <v>45910</v>
      </c>
      <c r="F1842" s="29" t="n">
        <v>45914</v>
      </c>
      <c r="G1842" s="31" t="n">
        <v>8347.030000000001</v>
      </c>
      <c r="H1842" s="31" t="n">
        <v>0</v>
      </c>
      <c r="I1842" t="inlineStr">
        <is>
          <t>Pending</t>
        </is>
      </c>
      <c r="L1842" s="33" t="n"/>
    </row>
    <row r="1843">
      <c r="A1843" t="inlineStr">
        <is>
          <t>CLM518313</t>
        </is>
      </c>
      <c r="B1843" t="inlineStr">
        <is>
          <t>ENC118313</t>
        </is>
      </c>
      <c r="C1843" t="inlineStr">
        <is>
          <t>Silverline Medicare Advantage</t>
        </is>
      </c>
      <c r="D1843" t="inlineStr">
        <is>
          <t>Emergency</t>
        </is>
      </c>
      <c r="E1843" s="29" t="n">
        <v>45909</v>
      </c>
      <c r="F1843" s="29" t="n">
        <v>45912</v>
      </c>
      <c r="G1843" s="31" t="n">
        <v>1617.6</v>
      </c>
      <c r="H1843" s="31" t="n">
        <v>449.55</v>
      </c>
      <c r="I1843" t="inlineStr">
        <is>
          <t>Paid</t>
        </is>
      </c>
      <c r="K1843" s="29" t="n">
        <v>45930</v>
      </c>
      <c r="L1843" s="33" t="n"/>
    </row>
    <row r="1844">
      <c r="A1844" t="inlineStr">
        <is>
          <t>CLM518323</t>
        </is>
      </c>
      <c r="B1844" t="inlineStr">
        <is>
          <t>ENC118323</t>
        </is>
      </c>
      <c r="C1844" t="inlineStr">
        <is>
          <t>Evergreen Mutual Insurance</t>
        </is>
      </c>
      <c r="D1844" t="inlineStr">
        <is>
          <t>Emergency</t>
        </is>
      </c>
      <c r="E1844" s="29" t="n">
        <v>45909</v>
      </c>
      <c r="F1844" s="29" t="n">
        <v>45913</v>
      </c>
      <c r="G1844" s="31" t="n">
        <v>1400.54</v>
      </c>
      <c r="H1844" s="31" t="n">
        <v>633.37</v>
      </c>
      <c r="I1844" t="inlineStr">
        <is>
          <t>Paid</t>
        </is>
      </c>
      <c r="K1844" s="29" t="n">
        <v>45936</v>
      </c>
      <c r="L1844" s="33" t="n"/>
    </row>
    <row r="1845">
      <c r="A1845" t="inlineStr">
        <is>
          <t>CLM518326</t>
        </is>
      </c>
      <c r="B1845" t="inlineStr">
        <is>
          <t>ENC118326</t>
        </is>
      </c>
      <c r="C1845" t="inlineStr">
        <is>
          <t>Medicare</t>
        </is>
      </c>
      <c r="D1845" t="inlineStr">
        <is>
          <t>Emergency</t>
        </is>
      </c>
      <c r="E1845" s="29" t="n">
        <v>45909</v>
      </c>
      <c r="F1845" s="29" t="n">
        <v>45914</v>
      </c>
      <c r="G1845" s="31" t="n">
        <v>2924.4</v>
      </c>
      <c r="H1845" s="31" t="n">
        <v>808.5700000000001</v>
      </c>
      <c r="I1845" t="inlineStr">
        <is>
          <t>Paid</t>
        </is>
      </c>
      <c r="K1845" s="29" t="n">
        <v>45935</v>
      </c>
      <c r="L1845" s="33" t="n"/>
    </row>
    <row r="1846">
      <c r="A1846" t="inlineStr">
        <is>
          <t>CLM518329</t>
        </is>
      </c>
      <c r="B1846" t="inlineStr">
        <is>
          <t>ENC118329</t>
        </is>
      </c>
      <c r="C1846" t="inlineStr">
        <is>
          <t>Summit Choice PPO</t>
        </is>
      </c>
      <c r="D1846" t="inlineStr">
        <is>
          <t>Inpatient</t>
        </is>
      </c>
      <c r="E1846" s="29" t="n">
        <v>45916</v>
      </c>
      <c r="F1846" s="29" t="n">
        <v>45919</v>
      </c>
      <c r="G1846" s="31" t="n">
        <v>52733.59</v>
      </c>
      <c r="H1846" s="31" t="n">
        <v>24418.21</v>
      </c>
      <c r="I1846" t="inlineStr">
        <is>
          <t>Paid</t>
        </is>
      </c>
      <c r="K1846" s="29" t="n">
        <v>45938</v>
      </c>
      <c r="L1846" s="33" t="n"/>
    </row>
    <row r="1847">
      <c r="A1847" t="inlineStr">
        <is>
          <t>CLM518330</t>
        </is>
      </c>
      <c r="B1847" t="inlineStr">
        <is>
          <t>ENC118330</t>
        </is>
      </c>
      <c r="C1847" t="inlineStr">
        <is>
          <t>Medicare</t>
        </is>
      </c>
      <c r="D1847" t="inlineStr">
        <is>
          <t>Outpatient</t>
        </is>
      </c>
      <c r="E1847" s="29" t="n">
        <v>45909</v>
      </c>
      <c r="F1847" s="29" t="n">
        <v>45924</v>
      </c>
      <c r="G1847" s="31" t="n">
        <v>298.18</v>
      </c>
      <c r="H1847" s="31" t="n">
        <v>85.34999999999999</v>
      </c>
      <c r="I1847" t="inlineStr">
        <is>
          <t>Paid</t>
        </is>
      </c>
      <c r="K1847" s="29" t="n">
        <v>45934</v>
      </c>
      <c r="L1847" s="33" t="n"/>
    </row>
    <row r="1848">
      <c r="A1848" t="inlineStr">
        <is>
          <t>CLM518335</t>
        </is>
      </c>
      <c r="B1848" t="inlineStr">
        <is>
          <t>ENC118335</t>
        </is>
      </c>
      <c r="C1848" t="inlineStr">
        <is>
          <t>State Medicaid</t>
        </is>
      </c>
      <c r="D1848" t="inlineStr">
        <is>
          <t>Outpatient</t>
        </is>
      </c>
      <c r="E1848" s="29" t="n">
        <v>45909</v>
      </c>
      <c r="F1848" s="29" t="n">
        <v>45915</v>
      </c>
      <c r="G1848" s="31" t="n">
        <v>440.86</v>
      </c>
      <c r="H1848" s="31" t="n">
        <v>104.65</v>
      </c>
      <c r="I1848" t="inlineStr">
        <is>
          <t>Paid</t>
        </is>
      </c>
      <c r="K1848" s="29" t="n">
        <v>45964</v>
      </c>
      <c r="L1848" s="33" t="n"/>
    </row>
    <row r="1849">
      <c r="A1849" t="inlineStr">
        <is>
          <t>CLM518337</t>
        </is>
      </c>
      <c r="B1849" t="inlineStr">
        <is>
          <t>ENC118337</t>
        </is>
      </c>
      <c r="C1849" t="inlineStr">
        <is>
          <t>Self-Pay</t>
        </is>
      </c>
      <c r="D1849" t="inlineStr">
        <is>
          <t>Outpatient</t>
        </is>
      </c>
      <c r="E1849" s="29" t="n">
        <v>45909</v>
      </c>
      <c r="F1849" s="29" t="n">
        <v>45919</v>
      </c>
      <c r="G1849" s="31" t="n">
        <v>331.7</v>
      </c>
      <c r="H1849" s="31" t="n">
        <v>126.71</v>
      </c>
      <c r="I1849" t="inlineStr">
        <is>
          <t>Paid</t>
        </is>
      </c>
      <c r="K1849" s="29" t="n">
        <v>45958</v>
      </c>
      <c r="L1849" s="33" t="n"/>
    </row>
    <row r="1850">
      <c r="A1850" t="inlineStr">
        <is>
          <t>CLM518340</t>
        </is>
      </c>
      <c r="B1850" t="inlineStr">
        <is>
          <t>ENC118340</t>
        </is>
      </c>
      <c r="C1850" t="inlineStr">
        <is>
          <t>Medicare</t>
        </is>
      </c>
      <c r="D1850" t="inlineStr">
        <is>
          <t>Inpatient</t>
        </is>
      </c>
      <c r="E1850" s="29" t="n">
        <v>45914</v>
      </c>
      <c r="F1850" s="29" t="n">
        <v>45927</v>
      </c>
      <c r="G1850" s="31" t="n">
        <v>34362.41</v>
      </c>
      <c r="H1850" s="31" t="n">
        <v>9694.700000000001</v>
      </c>
      <c r="I1850" t="inlineStr">
        <is>
          <t>Paid</t>
        </is>
      </c>
      <c r="K1850" s="29" t="n">
        <v>45935</v>
      </c>
      <c r="L1850" s="33" t="n"/>
    </row>
    <row r="1851">
      <c r="A1851" t="inlineStr">
        <is>
          <t>CLM518342</t>
        </is>
      </c>
      <c r="B1851" t="inlineStr">
        <is>
          <t>ENC118342</t>
        </is>
      </c>
      <c r="C1851" t="inlineStr">
        <is>
          <t>Medicare</t>
        </is>
      </c>
      <c r="D1851" t="inlineStr">
        <is>
          <t>Inpatient</t>
        </is>
      </c>
      <c r="E1851" s="29" t="n">
        <v>45915</v>
      </c>
      <c r="F1851" s="29" t="n">
        <v>45924</v>
      </c>
      <c r="G1851" s="31" t="n">
        <v>24138.8</v>
      </c>
      <c r="H1851" s="31" t="n">
        <v>7639.3</v>
      </c>
      <c r="I1851" t="inlineStr">
        <is>
          <t>Paid</t>
        </is>
      </c>
      <c r="K1851" s="29" t="n">
        <v>45934</v>
      </c>
      <c r="L1851" s="33" t="n"/>
    </row>
    <row r="1852">
      <c r="A1852" t="inlineStr">
        <is>
          <t>CLM518343</t>
        </is>
      </c>
      <c r="B1852" t="inlineStr">
        <is>
          <t>ENC118343</t>
        </is>
      </c>
      <c r="C1852" t="inlineStr">
        <is>
          <t>Self-Pay</t>
        </is>
      </c>
      <c r="D1852" t="inlineStr">
        <is>
          <t>Emergency</t>
        </is>
      </c>
      <c r="E1852" s="29" t="n">
        <v>45910</v>
      </c>
      <c r="F1852" s="29" t="n">
        <v>45913</v>
      </c>
      <c r="G1852" s="31" t="n">
        <v>640.1799999999999</v>
      </c>
      <c r="H1852" s="31" t="n">
        <v>0</v>
      </c>
      <c r="I1852" t="inlineStr">
        <is>
          <t>Pending</t>
        </is>
      </c>
      <c r="L1852" s="33" t="n"/>
    </row>
    <row r="1853">
      <c r="A1853" t="inlineStr">
        <is>
          <t>CLM518345</t>
        </is>
      </c>
      <c r="B1853" t="inlineStr">
        <is>
          <t>ENC118345</t>
        </is>
      </c>
      <c r="C1853" t="inlineStr">
        <is>
          <t>State Medicaid</t>
        </is>
      </c>
      <c r="D1853" t="inlineStr">
        <is>
          <t>Emergency</t>
        </is>
      </c>
      <c r="E1853" s="29" t="n">
        <v>45910</v>
      </c>
      <c r="F1853" s="29" t="n">
        <v>45912</v>
      </c>
      <c r="G1853" s="31" t="n">
        <v>1415.09</v>
      </c>
      <c r="H1853" s="31" t="n">
        <v>362.13</v>
      </c>
      <c r="I1853" t="inlineStr">
        <is>
          <t>Paid</t>
        </is>
      </c>
      <c r="K1853" s="29" t="n">
        <v>45947</v>
      </c>
      <c r="L1853" s="33" t="n"/>
    </row>
    <row r="1854">
      <c r="A1854" t="inlineStr">
        <is>
          <t>CLM518348</t>
        </is>
      </c>
      <c r="B1854" t="inlineStr">
        <is>
          <t>ENC118348</t>
        </is>
      </c>
      <c r="C1854" t="inlineStr">
        <is>
          <t>State Medicaid</t>
        </is>
      </c>
      <c r="D1854" t="inlineStr">
        <is>
          <t>Inpatient</t>
        </is>
      </c>
      <c r="E1854" s="29" t="n">
        <v>45915</v>
      </c>
      <c r="F1854" s="29" t="n">
        <v>45919</v>
      </c>
      <c r="G1854" s="31" t="n">
        <v>21080.47</v>
      </c>
      <c r="H1854" s="31" t="n">
        <v>4728.04</v>
      </c>
      <c r="I1854" t="inlineStr">
        <is>
          <t>Paid</t>
        </is>
      </c>
      <c r="K1854" s="29" t="n">
        <v>45946</v>
      </c>
      <c r="L1854" s="33" t="n"/>
    </row>
    <row r="1855">
      <c r="A1855" t="inlineStr">
        <is>
          <t>CLM518351</t>
        </is>
      </c>
      <c r="B1855" t="inlineStr">
        <is>
          <t>ENC118351</t>
        </is>
      </c>
      <c r="C1855" t="inlineStr">
        <is>
          <t>State Medicaid</t>
        </is>
      </c>
      <c r="D1855" t="inlineStr">
        <is>
          <t>Outpatient</t>
        </is>
      </c>
      <c r="E1855" s="29" t="n">
        <v>45910</v>
      </c>
      <c r="F1855" s="29" t="n">
        <v>45912</v>
      </c>
      <c r="G1855" s="31" t="n">
        <v>273.99</v>
      </c>
      <c r="H1855" s="31" t="n">
        <v>66.19</v>
      </c>
      <c r="I1855" t="inlineStr">
        <is>
          <t>Paid</t>
        </is>
      </c>
      <c r="K1855" s="29" t="n">
        <v>45946</v>
      </c>
      <c r="L1855" s="33" t="n"/>
    </row>
    <row r="1856">
      <c r="A1856" t="inlineStr">
        <is>
          <t>CLM518353</t>
        </is>
      </c>
      <c r="B1856" t="inlineStr">
        <is>
          <t>ENC118353</t>
        </is>
      </c>
      <c r="C1856" t="inlineStr">
        <is>
          <t>State Medicaid</t>
        </is>
      </c>
      <c r="D1856" t="inlineStr">
        <is>
          <t>Emergency</t>
        </is>
      </c>
      <c r="E1856" s="29" t="n">
        <v>45910</v>
      </c>
      <c r="F1856" s="29" t="n">
        <v>45912</v>
      </c>
      <c r="G1856" s="31" t="n">
        <v>538.78</v>
      </c>
      <c r="H1856" s="31" t="n">
        <v>118.42</v>
      </c>
      <c r="I1856" t="inlineStr">
        <is>
          <t>Paid</t>
        </is>
      </c>
      <c r="K1856" s="29" t="n">
        <v>45969</v>
      </c>
      <c r="L1856" s="33" t="n"/>
    </row>
    <row r="1857">
      <c r="A1857" t="inlineStr">
        <is>
          <t>CLM518355</t>
        </is>
      </c>
      <c r="B1857" t="inlineStr">
        <is>
          <t>ENC118355</t>
        </is>
      </c>
      <c r="C1857" t="inlineStr">
        <is>
          <t>Silverline Medicare Advantage</t>
        </is>
      </c>
      <c r="D1857" t="inlineStr">
        <is>
          <t>Emergency</t>
        </is>
      </c>
      <c r="E1857" s="29" t="n">
        <v>45910</v>
      </c>
      <c r="F1857" s="29" t="n">
        <v>45916</v>
      </c>
      <c r="G1857" s="31" t="n">
        <v>660.36</v>
      </c>
      <c r="H1857" s="31" t="n">
        <v>0</v>
      </c>
      <c r="I1857" t="inlineStr">
        <is>
          <t>Denied</t>
        </is>
      </c>
      <c r="J1857" t="inlineStr">
        <is>
          <t>Authorization Required</t>
        </is>
      </c>
      <c r="L1857" s="33" t="n"/>
    </row>
    <row r="1858">
      <c r="A1858" t="inlineStr">
        <is>
          <t>CLM518357</t>
        </is>
      </c>
      <c r="B1858" t="inlineStr">
        <is>
          <t>ENC118357</t>
        </is>
      </c>
      <c r="C1858" t="inlineStr">
        <is>
          <t>Silverline Medicare Advantage</t>
        </is>
      </c>
      <c r="D1858" t="inlineStr">
        <is>
          <t>Outpatient</t>
        </is>
      </c>
      <c r="E1858" s="29" t="n">
        <v>45910</v>
      </c>
      <c r="F1858" s="29" t="n">
        <v>45912</v>
      </c>
      <c r="G1858" s="31" t="n">
        <v>9441.190000000001</v>
      </c>
      <c r="H1858" s="31" t="n">
        <v>2828.85</v>
      </c>
      <c r="I1858" t="inlineStr">
        <is>
          <t>Paid</t>
        </is>
      </c>
      <c r="K1858" s="29" t="n">
        <v>45949</v>
      </c>
      <c r="L1858" s="33" t="n"/>
    </row>
    <row r="1859">
      <c r="A1859" t="inlineStr">
        <is>
          <t>CLM518362</t>
        </is>
      </c>
      <c r="B1859" t="inlineStr">
        <is>
          <t>ENC118362</t>
        </is>
      </c>
      <c r="C1859" t="inlineStr">
        <is>
          <t>Keystone Health Partners</t>
        </is>
      </c>
      <c r="D1859" t="inlineStr">
        <is>
          <t>Outpatient</t>
        </is>
      </c>
      <c r="E1859" s="29" t="n">
        <v>45910</v>
      </c>
      <c r="F1859" s="29" t="n">
        <v>45912</v>
      </c>
      <c r="G1859" s="31" t="n">
        <v>332.76</v>
      </c>
      <c r="H1859" s="31" t="n">
        <v>135.28</v>
      </c>
      <c r="I1859" t="inlineStr">
        <is>
          <t>Paid</t>
        </is>
      </c>
      <c r="K1859" s="29" t="n">
        <v>45939</v>
      </c>
      <c r="L1859" s="33" t="n"/>
    </row>
    <row r="1860">
      <c r="A1860" t="inlineStr">
        <is>
          <t>CLM518366</t>
        </is>
      </c>
      <c r="B1860" t="inlineStr">
        <is>
          <t>ENC118366</t>
        </is>
      </c>
      <c r="C1860" t="inlineStr">
        <is>
          <t>Evergreen Mutual Insurance</t>
        </is>
      </c>
      <c r="D1860" t="inlineStr">
        <is>
          <t>Outpatient</t>
        </is>
      </c>
      <c r="E1860" s="29" t="n">
        <v>45910</v>
      </c>
      <c r="F1860" s="29" t="n">
        <v>45915</v>
      </c>
      <c r="G1860" s="31" t="n">
        <v>568.77</v>
      </c>
      <c r="H1860" s="31" t="n">
        <v>0</v>
      </c>
      <c r="I1860" t="inlineStr">
        <is>
          <t>Denied</t>
        </is>
      </c>
      <c r="J1860" t="inlineStr">
        <is>
          <t>Medical Necessity</t>
        </is>
      </c>
      <c r="L1860" s="33" t="n"/>
    </row>
    <row r="1861">
      <c r="A1861" t="inlineStr">
        <is>
          <t>CLM518371</t>
        </is>
      </c>
      <c r="B1861" t="inlineStr">
        <is>
          <t>ENC118371</t>
        </is>
      </c>
      <c r="C1861" t="inlineStr">
        <is>
          <t>Keystone Health Partners</t>
        </is>
      </c>
      <c r="D1861" t="inlineStr">
        <is>
          <t>Emergency</t>
        </is>
      </c>
      <c r="E1861" s="29" t="n">
        <v>45910</v>
      </c>
      <c r="F1861" s="29" t="n">
        <v>45912</v>
      </c>
      <c r="G1861" s="31" t="n">
        <v>3393.67</v>
      </c>
      <c r="H1861" s="31" t="n">
        <v>1595.79</v>
      </c>
      <c r="I1861" t="inlineStr">
        <is>
          <t>Paid</t>
        </is>
      </c>
      <c r="K1861" s="29" t="n">
        <v>45940</v>
      </c>
      <c r="L1861" s="33" t="n"/>
    </row>
    <row r="1862">
      <c r="A1862" t="inlineStr">
        <is>
          <t>CLM518374</t>
        </is>
      </c>
      <c r="B1862" t="inlineStr">
        <is>
          <t>ENC118374</t>
        </is>
      </c>
      <c r="C1862" t="inlineStr">
        <is>
          <t>State Medicaid</t>
        </is>
      </c>
      <c r="D1862" t="inlineStr">
        <is>
          <t>Inpatient</t>
        </is>
      </c>
      <c r="E1862" s="29" t="n">
        <v>45912</v>
      </c>
      <c r="F1862" s="29" t="n">
        <v>45918</v>
      </c>
      <c r="G1862" s="31" t="n">
        <v>14704.04</v>
      </c>
      <c r="H1862" s="31" t="n">
        <v>3412.09</v>
      </c>
      <c r="I1862" t="inlineStr">
        <is>
          <t>Paid</t>
        </is>
      </c>
      <c r="K1862" s="29" t="n">
        <v>45957</v>
      </c>
      <c r="L1862" s="33" t="n"/>
    </row>
    <row r="1863">
      <c r="A1863" t="inlineStr">
        <is>
          <t>CLM518378</t>
        </is>
      </c>
      <c r="B1863" t="inlineStr">
        <is>
          <t>ENC118378</t>
        </is>
      </c>
      <c r="C1863" t="inlineStr">
        <is>
          <t>Keystone Health Partners</t>
        </is>
      </c>
      <c r="D1863" t="inlineStr">
        <is>
          <t>Inpatient</t>
        </is>
      </c>
      <c r="E1863" s="29" t="n">
        <v>45916</v>
      </c>
      <c r="F1863" s="29" t="n">
        <v>45920</v>
      </c>
      <c r="G1863" s="31" t="n">
        <v>40514.22</v>
      </c>
      <c r="H1863" s="31" t="n">
        <v>19165.24</v>
      </c>
      <c r="I1863" t="inlineStr">
        <is>
          <t>Paid</t>
        </is>
      </c>
      <c r="K1863" s="29" t="n">
        <v>45933</v>
      </c>
      <c r="L1863" s="33" t="n"/>
    </row>
    <row r="1864">
      <c r="A1864" t="inlineStr">
        <is>
          <t>CLM518380</t>
        </is>
      </c>
      <c r="B1864" t="inlineStr">
        <is>
          <t>ENC118380</t>
        </is>
      </c>
      <c r="C1864" t="inlineStr">
        <is>
          <t>Medicare</t>
        </is>
      </c>
      <c r="D1864" t="inlineStr">
        <is>
          <t>Outpatient</t>
        </is>
      </c>
      <c r="E1864" s="29" t="n">
        <v>45911</v>
      </c>
      <c r="F1864" s="29" t="n">
        <v>45930</v>
      </c>
      <c r="G1864" s="31" t="n">
        <v>346.66</v>
      </c>
      <c r="H1864" s="31" t="n">
        <v>42.92</v>
      </c>
      <c r="I1864" t="inlineStr">
        <is>
          <t>Partially Paid</t>
        </is>
      </c>
      <c r="J1864" t="inlineStr">
        <is>
          <t>Coding Error</t>
        </is>
      </c>
      <c r="K1864" s="29" t="n">
        <v>45940</v>
      </c>
      <c r="L1864" s="33" t="n"/>
    </row>
    <row r="1865">
      <c r="A1865" t="inlineStr">
        <is>
          <t>CLM518383</t>
        </is>
      </c>
      <c r="B1865" t="inlineStr">
        <is>
          <t>ENC118383</t>
        </is>
      </c>
      <c r="C1865" t="inlineStr">
        <is>
          <t>State Medicaid</t>
        </is>
      </c>
      <c r="D1865" t="inlineStr">
        <is>
          <t>Outpatient</t>
        </is>
      </c>
      <c r="E1865" s="29" t="n">
        <v>45911</v>
      </c>
      <c r="F1865" s="29" t="n">
        <v>45914</v>
      </c>
      <c r="G1865" s="31" t="n">
        <v>968.53</v>
      </c>
      <c r="H1865" s="31" t="n">
        <v>216.86</v>
      </c>
      <c r="I1865" t="inlineStr">
        <is>
          <t>Paid</t>
        </is>
      </c>
      <c r="K1865" s="29" t="n">
        <v>45951</v>
      </c>
      <c r="L1865" s="33" t="n"/>
    </row>
    <row r="1866">
      <c r="A1866" t="inlineStr">
        <is>
          <t>CLM518387</t>
        </is>
      </c>
      <c r="B1866" t="inlineStr">
        <is>
          <t>ENC118387</t>
        </is>
      </c>
      <c r="C1866" t="inlineStr">
        <is>
          <t>Medicare</t>
        </is>
      </c>
      <c r="D1866" t="inlineStr">
        <is>
          <t>Inpatient</t>
        </is>
      </c>
      <c r="E1866" s="29" t="n">
        <v>45915</v>
      </c>
      <c r="F1866" s="29" t="n">
        <v>45927</v>
      </c>
      <c r="G1866" s="31" t="n">
        <v>24246.52</v>
      </c>
      <c r="H1866" s="31" t="n">
        <v>6900.47</v>
      </c>
      <c r="I1866" t="inlineStr">
        <is>
          <t>Paid</t>
        </is>
      </c>
      <c r="K1866" s="29" t="n">
        <v>45941</v>
      </c>
      <c r="L1866" s="33" t="n"/>
    </row>
    <row r="1867">
      <c r="A1867" t="inlineStr">
        <is>
          <t>CLM518392</t>
        </is>
      </c>
      <c r="B1867" t="inlineStr">
        <is>
          <t>ENC118392</t>
        </is>
      </c>
      <c r="C1867" t="inlineStr">
        <is>
          <t>State Medicaid</t>
        </is>
      </c>
      <c r="D1867" t="inlineStr">
        <is>
          <t>Emergency</t>
        </is>
      </c>
      <c r="E1867" s="29" t="n">
        <v>45911</v>
      </c>
      <c r="F1867" s="29" t="n">
        <v>45915</v>
      </c>
      <c r="G1867" s="31" t="n">
        <v>3660.66</v>
      </c>
      <c r="H1867" s="31" t="n">
        <v>966.23</v>
      </c>
      <c r="I1867" t="inlineStr">
        <is>
          <t>Paid</t>
        </is>
      </c>
      <c r="K1867" s="29" t="n">
        <v>45941</v>
      </c>
      <c r="L1867" s="33" t="n"/>
    </row>
    <row r="1868">
      <c r="A1868" t="inlineStr">
        <is>
          <t>CLM518393</t>
        </is>
      </c>
      <c r="B1868" t="inlineStr">
        <is>
          <t>ENC118393</t>
        </is>
      </c>
      <c r="C1868" t="inlineStr">
        <is>
          <t>Keystone Health Partners</t>
        </is>
      </c>
      <c r="D1868" t="inlineStr">
        <is>
          <t>Outpatient</t>
        </is>
      </c>
      <c r="E1868" s="29" t="n">
        <v>45911</v>
      </c>
      <c r="F1868" s="29" t="n">
        <v>45918</v>
      </c>
      <c r="G1868" s="31" t="n">
        <v>232.47</v>
      </c>
      <c r="H1868" s="31" t="n">
        <v>85.61</v>
      </c>
      <c r="I1868" t="inlineStr">
        <is>
          <t>Paid</t>
        </is>
      </c>
      <c r="K1868" s="29" t="n">
        <v>45959</v>
      </c>
      <c r="L1868" s="33" t="n"/>
    </row>
    <row r="1869">
      <c r="A1869" t="inlineStr">
        <is>
          <t>CLM518394</t>
        </is>
      </c>
      <c r="B1869" t="inlineStr">
        <is>
          <t>ENC118394</t>
        </is>
      </c>
      <c r="C1869" t="inlineStr">
        <is>
          <t>Self-Pay</t>
        </is>
      </c>
      <c r="D1869" t="inlineStr">
        <is>
          <t>Emergency</t>
        </is>
      </c>
      <c r="E1869" s="29" t="n">
        <v>45911</v>
      </c>
      <c r="F1869" s="29" t="n">
        <v>45915</v>
      </c>
      <c r="G1869" s="31" t="n">
        <v>3104.44</v>
      </c>
      <c r="H1869" s="31" t="n">
        <v>575.03</v>
      </c>
      <c r="I1869" t="inlineStr">
        <is>
          <t>Partially Paid</t>
        </is>
      </c>
      <c r="K1869" s="29" t="n">
        <v>45963</v>
      </c>
      <c r="L1869" s="33" t="n"/>
    </row>
    <row r="1870">
      <c r="A1870" t="inlineStr">
        <is>
          <t>CLM518397</t>
        </is>
      </c>
      <c r="B1870" t="inlineStr">
        <is>
          <t>ENC118397</t>
        </is>
      </c>
      <c r="C1870" t="inlineStr">
        <is>
          <t>Medicare</t>
        </is>
      </c>
      <c r="D1870" t="inlineStr">
        <is>
          <t>Emergency</t>
        </is>
      </c>
      <c r="E1870" s="29" t="n">
        <v>45911</v>
      </c>
      <c r="F1870" s="29" t="n">
        <v>45917</v>
      </c>
      <c r="G1870" s="31" t="n">
        <v>3064.94</v>
      </c>
      <c r="H1870" s="31" t="n">
        <v>871.1900000000001</v>
      </c>
      <c r="I1870" t="inlineStr">
        <is>
          <t>Paid</t>
        </is>
      </c>
      <c r="K1870" s="29" t="n">
        <v>45932</v>
      </c>
      <c r="L1870" s="33" t="n"/>
    </row>
    <row r="1871">
      <c r="A1871" t="inlineStr">
        <is>
          <t>CLM518398</t>
        </is>
      </c>
      <c r="B1871" t="inlineStr">
        <is>
          <t>ENC118398</t>
        </is>
      </c>
      <c r="C1871" t="inlineStr">
        <is>
          <t>State Medicaid</t>
        </is>
      </c>
      <c r="D1871" t="inlineStr">
        <is>
          <t>Outpatient</t>
        </is>
      </c>
      <c r="E1871" s="29" t="n">
        <v>45911</v>
      </c>
      <c r="F1871" s="29" t="n">
        <v>45922</v>
      </c>
      <c r="G1871" s="31" t="n">
        <v>356.19</v>
      </c>
      <c r="H1871" s="31" t="n">
        <v>81.23</v>
      </c>
      <c r="I1871" t="inlineStr">
        <is>
          <t>Paid</t>
        </is>
      </c>
      <c r="K1871" s="29" t="n">
        <v>45981</v>
      </c>
      <c r="L1871" s="33" t="n"/>
    </row>
    <row r="1872">
      <c r="A1872" t="inlineStr">
        <is>
          <t>CLM518401</t>
        </is>
      </c>
      <c r="B1872" t="inlineStr">
        <is>
          <t>ENC118401</t>
        </is>
      </c>
      <c r="C1872" t="inlineStr">
        <is>
          <t>State Medicaid</t>
        </is>
      </c>
      <c r="D1872" t="inlineStr">
        <is>
          <t>Emergency</t>
        </is>
      </c>
      <c r="E1872" s="29" t="n">
        <v>45911</v>
      </c>
      <c r="F1872" s="29" t="n">
        <v>45915</v>
      </c>
      <c r="G1872" s="31" t="n">
        <v>2495.06</v>
      </c>
      <c r="H1872" s="31" t="n">
        <v>553.52</v>
      </c>
      <c r="I1872" t="inlineStr">
        <is>
          <t>Paid</t>
        </is>
      </c>
      <c r="K1872" s="29" t="n">
        <v>45954</v>
      </c>
      <c r="L1872" s="33" t="n"/>
    </row>
    <row r="1873">
      <c r="A1873" t="inlineStr">
        <is>
          <t>CLM518404</t>
        </is>
      </c>
      <c r="B1873" t="inlineStr">
        <is>
          <t>ENC118404</t>
        </is>
      </c>
      <c r="C1873" t="inlineStr">
        <is>
          <t>Keystone Health Partners</t>
        </is>
      </c>
      <c r="D1873" t="inlineStr">
        <is>
          <t>Emergency</t>
        </is>
      </c>
      <c r="E1873" s="29" t="n">
        <v>45911</v>
      </c>
      <c r="F1873" s="29" t="n">
        <v>45918</v>
      </c>
      <c r="G1873" s="31" t="n">
        <v>1152.76</v>
      </c>
      <c r="H1873" s="31" t="n">
        <v>535.25</v>
      </c>
      <c r="I1873" t="inlineStr">
        <is>
          <t>Paid</t>
        </is>
      </c>
      <c r="K1873" s="29" t="n">
        <v>45937</v>
      </c>
      <c r="L1873" s="33" t="n"/>
    </row>
    <row r="1874">
      <c r="A1874" t="inlineStr">
        <is>
          <t>CLM518406</t>
        </is>
      </c>
      <c r="B1874" t="inlineStr">
        <is>
          <t>ENC118406</t>
        </is>
      </c>
      <c r="C1874" t="inlineStr">
        <is>
          <t>Medicare</t>
        </is>
      </c>
      <c r="D1874" t="inlineStr">
        <is>
          <t>Inpatient</t>
        </is>
      </c>
      <c r="E1874" s="29" t="n">
        <v>45913</v>
      </c>
      <c r="F1874" s="29" t="n">
        <v>45924</v>
      </c>
      <c r="G1874" s="31" t="n">
        <v>11706.27</v>
      </c>
      <c r="H1874" s="31" t="n">
        <v>3143.83</v>
      </c>
      <c r="I1874" t="inlineStr">
        <is>
          <t>Paid</t>
        </is>
      </c>
      <c r="K1874" s="29" t="n">
        <v>45940</v>
      </c>
      <c r="L1874" s="33" t="n"/>
    </row>
    <row r="1875">
      <c r="A1875" t="inlineStr">
        <is>
          <t>CLM518415</t>
        </is>
      </c>
      <c r="B1875" t="inlineStr">
        <is>
          <t>ENC118415</t>
        </is>
      </c>
      <c r="C1875" t="inlineStr">
        <is>
          <t>Workers' Compensation</t>
        </is>
      </c>
      <c r="D1875" t="inlineStr">
        <is>
          <t>Outpatient</t>
        </is>
      </c>
      <c r="E1875" s="29" t="n">
        <v>45912</v>
      </c>
      <c r="F1875" s="29" t="n">
        <v>45919</v>
      </c>
      <c r="G1875" s="31" t="n">
        <v>290.78</v>
      </c>
      <c r="H1875" s="31" t="n">
        <v>174.09</v>
      </c>
      <c r="I1875" t="inlineStr">
        <is>
          <t>Paid</t>
        </is>
      </c>
      <c r="K1875" s="29" t="n">
        <v>45953</v>
      </c>
      <c r="L1875" s="33" t="n"/>
    </row>
    <row r="1876">
      <c r="A1876" t="inlineStr">
        <is>
          <t>CLM518419</t>
        </is>
      </c>
      <c r="B1876" t="inlineStr">
        <is>
          <t>ENC118419</t>
        </is>
      </c>
      <c r="C1876" t="inlineStr">
        <is>
          <t>Evergreen Mutual Insurance</t>
        </is>
      </c>
      <c r="D1876" t="inlineStr">
        <is>
          <t>Emergency</t>
        </is>
      </c>
      <c r="E1876" s="29" t="n">
        <v>45912</v>
      </c>
      <c r="F1876" s="29" t="n">
        <v>45915</v>
      </c>
      <c r="G1876" s="31" t="n">
        <v>4171.34</v>
      </c>
      <c r="H1876" s="31" t="n">
        <v>2132.92</v>
      </c>
      <c r="I1876" t="inlineStr">
        <is>
          <t>Paid</t>
        </is>
      </c>
      <c r="K1876" s="29" t="n">
        <v>45939</v>
      </c>
      <c r="L1876" s="33" t="n"/>
    </row>
    <row r="1877">
      <c r="A1877" t="inlineStr">
        <is>
          <t>CLM518423</t>
        </is>
      </c>
      <c r="B1877" t="inlineStr">
        <is>
          <t>ENC118423</t>
        </is>
      </c>
      <c r="C1877" t="inlineStr">
        <is>
          <t>State Medicaid</t>
        </is>
      </c>
      <c r="D1877" t="inlineStr">
        <is>
          <t>Emergency</t>
        </is>
      </c>
      <c r="E1877" s="29" t="n">
        <v>45912</v>
      </c>
      <c r="F1877" s="29" t="n">
        <v>45918</v>
      </c>
      <c r="G1877" s="31" t="n">
        <v>1154.39</v>
      </c>
      <c r="H1877" s="31" t="n">
        <v>237.91</v>
      </c>
      <c r="I1877" t="inlineStr">
        <is>
          <t>Partially Paid</t>
        </is>
      </c>
      <c r="J1877" t="inlineStr">
        <is>
          <t>Medical Necessity</t>
        </is>
      </c>
      <c r="K1877" s="29" t="n">
        <v>45959</v>
      </c>
      <c r="L1877" s="33" t="n"/>
    </row>
    <row r="1878">
      <c r="A1878" t="inlineStr">
        <is>
          <t>CLM518428</t>
        </is>
      </c>
      <c r="B1878" t="inlineStr">
        <is>
          <t>ENC118428</t>
        </is>
      </c>
      <c r="C1878" t="inlineStr">
        <is>
          <t>Summit Choice PPO</t>
        </is>
      </c>
      <c r="D1878" t="inlineStr">
        <is>
          <t>Observation</t>
        </is>
      </c>
      <c r="E1878" s="29" t="n">
        <v>45914</v>
      </c>
      <c r="F1878" s="29" t="n">
        <v>45917</v>
      </c>
      <c r="G1878" s="31" t="n">
        <v>7271.79</v>
      </c>
      <c r="H1878" s="31" t="n">
        <v>3571.24</v>
      </c>
      <c r="I1878" t="inlineStr">
        <is>
          <t>Paid</t>
        </is>
      </c>
      <c r="K1878" s="29" t="n">
        <v>45942</v>
      </c>
      <c r="L1878" s="33" t="n"/>
    </row>
    <row r="1879">
      <c r="A1879" t="inlineStr">
        <is>
          <t>CLM518431</t>
        </is>
      </c>
      <c r="B1879" t="inlineStr">
        <is>
          <t>ENC118431</t>
        </is>
      </c>
      <c r="C1879" t="inlineStr">
        <is>
          <t>State Medicaid</t>
        </is>
      </c>
      <c r="D1879" t="inlineStr">
        <is>
          <t>Emergency</t>
        </is>
      </c>
      <c r="E1879" s="29" t="n">
        <v>45912</v>
      </c>
      <c r="F1879" s="29" t="n">
        <v>45918</v>
      </c>
      <c r="G1879" s="31" t="n">
        <v>3678.06</v>
      </c>
      <c r="H1879" s="31" t="n">
        <v>837.13</v>
      </c>
      <c r="I1879" t="inlineStr">
        <is>
          <t>Paid</t>
        </is>
      </c>
      <c r="K1879" s="29" t="n">
        <v>45943</v>
      </c>
      <c r="L1879" s="33" t="n"/>
    </row>
    <row r="1880">
      <c r="A1880" t="inlineStr">
        <is>
          <t>CLM518433</t>
        </is>
      </c>
      <c r="B1880" t="inlineStr">
        <is>
          <t>ENC118433</t>
        </is>
      </c>
      <c r="C1880" t="inlineStr">
        <is>
          <t>Keystone Health Partners</t>
        </is>
      </c>
      <c r="D1880" t="inlineStr">
        <is>
          <t>Emergency</t>
        </is>
      </c>
      <c r="E1880" s="29" t="n">
        <v>45912</v>
      </c>
      <c r="F1880" s="29" t="n">
        <v>45915</v>
      </c>
      <c r="G1880" s="31" t="n">
        <v>1630.56</v>
      </c>
      <c r="H1880" s="31" t="n">
        <v>679.88</v>
      </c>
      <c r="I1880" t="inlineStr">
        <is>
          <t>Paid</t>
        </is>
      </c>
      <c r="K1880" s="29" t="n">
        <v>45945</v>
      </c>
      <c r="L1880" s="33" t="n"/>
    </row>
    <row r="1881">
      <c r="A1881" t="inlineStr">
        <is>
          <t>CLM518434</t>
        </is>
      </c>
      <c r="B1881" t="inlineStr">
        <is>
          <t>ENC118434</t>
        </is>
      </c>
      <c r="C1881" t="inlineStr">
        <is>
          <t>Evergreen Mutual Insurance</t>
        </is>
      </c>
      <c r="D1881" t="inlineStr">
        <is>
          <t>Emergency</t>
        </is>
      </c>
      <c r="E1881" s="29" t="n">
        <v>45913</v>
      </c>
      <c r="F1881" s="29" t="n">
        <v>45923</v>
      </c>
      <c r="G1881" s="31" t="n">
        <v>1669.94</v>
      </c>
      <c r="H1881" s="31" t="n">
        <v>688.04</v>
      </c>
      <c r="I1881" t="inlineStr">
        <is>
          <t>Paid</t>
        </is>
      </c>
      <c r="K1881" s="29" t="n">
        <v>45950</v>
      </c>
      <c r="L1881" s="33" t="n"/>
    </row>
    <row r="1882">
      <c r="A1882" t="inlineStr">
        <is>
          <t>CLM518437</t>
        </is>
      </c>
      <c r="B1882" t="inlineStr">
        <is>
          <t>ENC118437</t>
        </is>
      </c>
      <c r="C1882" t="inlineStr">
        <is>
          <t>Evergreen Mutual Insurance</t>
        </is>
      </c>
      <c r="D1882" t="inlineStr">
        <is>
          <t>Inpatient</t>
        </is>
      </c>
      <c r="E1882" s="29" t="n">
        <v>45915</v>
      </c>
      <c r="F1882" s="29" t="n">
        <v>45919</v>
      </c>
      <c r="G1882" s="31" t="n">
        <v>18381.54</v>
      </c>
      <c r="H1882" s="31" t="n">
        <v>7918.85</v>
      </c>
      <c r="I1882" t="inlineStr">
        <is>
          <t>Paid</t>
        </is>
      </c>
      <c r="K1882" s="29" t="n">
        <v>45945</v>
      </c>
      <c r="L1882" s="33" t="n"/>
    </row>
    <row r="1883">
      <c r="A1883" t="inlineStr">
        <is>
          <t>CLM518444</t>
        </is>
      </c>
      <c r="B1883" t="inlineStr">
        <is>
          <t>ENC118444</t>
        </is>
      </c>
      <c r="C1883" t="inlineStr">
        <is>
          <t>Keystone Health Partners</t>
        </is>
      </c>
      <c r="D1883" t="inlineStr">
        <is>
          <t>Emergency</t>
        </is>
      </c>
      <c r="E1883" s="29" t="n">
        <v>45913</v>
      </c>
      <c r="F1883" s="29" t="n">
        <v>45915</v>
      </c>
      <c r="G1883" s="31" t="n">
        <v>2367.21</v>
      </c>
      <c r="H1883" s="31" t="n">
        <v>1036.51</v>
      </c>
      <c r="I1883" t="inlineStr">
        <is>
          <t>Paid</t>
        </is>
      </c>
      <c r="K1883" s="29" t="n">
        <v>45929</v>
      </c>
      <c r="L1883" s="33" t="n"/>
    </row>
    <row r="1884">
      <c r="A1884" t="inlineStr">
        <is>
          <t>CLM518448</t>
        </is>
      </c>
      <c r="B1884" t="inlineStr">
        <is>
          <t>ENC118448</t>
        </is>
      </c>
      <c r="C1884" t="inlineStr">
        <is>
          <t>State Medicaid</t>
        </is>
      </c>
      <c r="D1884" t="inlineStr">
        <is>
          <t>Inpatient</t>
        </is>
      </c>
      <c r="E1884" s="29" t="n">
        <v>45919</v>
      </c>
      <c r="F1884" s="29" t="n">
        <v>45922</v>
      </c>
      <c r="G1884" s="31" t="n">
        <v>33493.31</v>
      </c>
      <c r="H1884" s="31" t="n">
        <v>8226.530000000001</v>
      </c>
      <c r="I1884" t="inlineStr">
        <is>
          <t>Paid</t>
        </is>
      </c>
      <c r="K1884" s="29" t="n">
        <v>45969</v>
      </c>
      <c r="L1884" s="33" t="n"/>
    </row>
    <row r="1885">
      <c r="A1885" t="inlineStr">
        <is>
          <t>CLM518449</t>
        </is>
      </c>
      <c r="B1885" t="inlineStr">
        <is>
          <t>ENC118449</t>
        </is>
      </c>
      <c r="C1885" t="inlineStr">
        <is>
          <t>Keystone Health Partners</t>
        </is>
      </c>
      <c r="D1885" t="inlineStr">
        <is>
          <t>Inpatient</t>
        </is>
      </c>
      <c r="E1885" s="29" t="n">
        <v>45916</v>
      </c>
      <c r="F1885" s="29" t="n">
        <v>45922</v>
      </c>
      <c r="G1885" s="31" t="n">
        <v>24426.7</v>
      </c>
      <c r="H1885" s="31" t="n">
        <v>11426.6</v>
      </c>
      <c r="I1885" t="inlineStr">
        <is>
          <t>Paid</t>
        </is>
      </c>
      <c r="K1885" s="29" t="n">
        <v>45941</v>
      </c>
      <c r="L1885" s="33" t="n"/>
    </row>
    <row r="1886">
      <c r="A1886" t="inlineStr">
        <is>
          <t>CLM518450</t>
        </is>
      </c>
      <c r="B1886" t="inlineStr">
        <is>
          <t>ENC118450</t>
        </is>
      </c>
      <c r="C1886" t="inlineStr">
        <is>
          <t>Keystone Health Partners</t>
        </is>
      </c>
      <c r="D1886" t="inlineStr">
        <is>
          <t>Emergency</t>
        </is>
      </c>
      <c r="E1886" s="29" t="n">
        <v>45914</v>
      </c>
      <c r="F1886" s="29" t="n">
        <v>45917</v>
      </c>
      <c r="G1886" s="31" t="n">
        <v>5083.8</v>
      </c>
      <c r="H1886" s="31" t="n">
        <v>2539.69</v>
      </c>
      <c r="I1886" t="inlineStr">
        <is>
          <t>Paid</t>
        </is>
      </c>
      <c r="K1886" s="29" t="n">
        <v>45945</v>
      </c>
      <c r="L1886" s="33" t="n"/>
    </row>
    <row r="1887">
      <c r="A1887" t="inlineStr">
        <is>
          <t>CLM518451</t>
        </is>
      </c>
      <c r="B1887" t="inlineStr">
        <is>
          <t>ENC118451</t>
        </is>
      </c>
      <c r="C1887" t="inlineStr">
        <is>
          <t>Medicare</t>
        </is>
      </c>
      <c r="D1887" t="inlineStr">
        <is>
          <t>Observation</t>
        </is>
      </c>
      <c r="E1887" s="29" t="n">
        <v>45915</v>
      </c>
      <c r="F1887" s="29" t="n">
        <v>45918</v>
      </c>
      <c r="G1887" s="31" t="n">
        <v>6777.49</v>
      </c>
      <c r="H1887" s="31" t="n">
        <v>1749.91</v>
      </c>
      <c r="I1887" t="inlineStr">
        <is>
          <t>Paid</t>
        </is>
      </c>
      <c r="K1887" s="29" t="n">
        <v>45929</v>
      </c>
      <c r="L1887" s="33" t="n"/>
    </row>
    <row r="1888">
      <c r="A1888" t="inlineStr">
        <is>
          <t>CLM518453</t>
        </is>
      </c>
      <c r="B1888" t="inlineStr">
        <is>
          <t>ENC118453</t>
        </is>
      </c>
      <c r="C1888" t="inlineStr">
        <is>
          <t>Medicare</t>
        </is>
      </c>
      <c r="D1888" t="inlineStr">
        <is>
          <t>Emergency</t>
        </is>
      </c>
      <c r="E1888" s="29" t="n">
        <v>45914</v>
      </c>
      <c r="F1888" s="29" t="n">
        <v>45921</v>
      </c>
      <c r="G1888" s="31" t="n">
        <v>1535.26</v>
      </c>
      <c r="H1888" s="31" t="n">
        <v>439.3</v>
      </c>
      <c r="I1888" t="inlineStr">
        <is>
          <t>Paid</t>
        </is>
      </c>
      <c r="K1888" s="29" t="n">
        <v>45941</v>
      </c>
      <c r="L1888" s="33" t="n"/>
    </row>
    <row r="1889">
      <c r="A1889" t="inlineStr">
        <is>
          <t>CLM518454</t>
        </is>
      </c>
      <c r="B1889" t="inlineStr">
        <is>
          <t>ENC118454</t>
        </is>
      </c>
      <c r="C1889" t="inlineStr">
        <is>
          <t>Medicare</t>
        </is>
      </c>
      <c r="D1889" t="inlineStr">
        <is>
          <t>Emergency</t>
        </is>
      </c>
      <c r="E1889" s="29" t="n">
        <v>45914</v>
      </c>
      <c r="F1889" s="29" t="n">
        <v>45921</v>
      </c>
      <c r="G1889" s="31" t="n">
        <v>3292.81</v>
      </c>
      <c r="H1889" s="31" t="n">
        <v>856.42</v>
      </c>
      <c r="I1889" t="inlineStr">
        <is>
          <t>Paid</t>
        </is>
      </c>
      <c r="K1889" s="29" t="n">
        <v>45926</v>
      </c>
      <c r="L1889" s="33" t="n"/>
    </row>
    <row r="1890">
      <c r="A1890" t="inlineStr">
        <is>
          <t>CLM518468</t>
        </is>
      </c>
      <c r="B1890" t="inlineStr">
        <is>
          <t>ENC118468</t>
        </is>
      </c>
      <c r="C1890" t="inlineStr">
        <is>
          <t>Medicare</t>
        </is>
      </c>
      <c r="D1890" t="inlineStr">
        <is>
          <t>Outpatient</t>
        </is>
      </c>
      <c r="E1890" s="29" t="n">
        <v>45915</v>
      </c>
      <c r="F1890" s="29" t="n">
        <v>45919</v>
      </c>
      <c r="G1890" s="31" t="n">
        <v>636.55</v>
      </c>
      <c r="H1890" s="31" t="n">
        <v>151.4</v>
      </c>
      <c r="I1890" t="inlineStr">
        <is>
          <t>Paid</t>
        </is>
      </c>
      <c r="K1890" s="29" t="n">
        <v>45938</v>
      </c>
      <c r="L1890" s="33" t="n"/>
    </row>
    <row r="1891">
      <c r="A1891" t="inlineStr">
        <is>
          <t>CLM518470</t>
        </is>
      </c>
      <c r="B1891" t="inlineStr">
        <is>
          <t>ENC118470</t>
        </is>
      </c>
      <c r="C1891" t="inlineStr">
        <is>
          <t>Self-Pay</t>
        </is>
      </c>
      <c r="D1891" t="inlineStr">
        <is>
          <t>Outpatient</t>
        </is>
      </c>
      <c r="E1891" s="29" t="n">
        <v>45915</v>
      </c>
      <c r="F1891" s="29" t="n">
        <v>45924</v>
      </c>
      <c r="G1891" s="31" t="n">
        <v>12493.13</v>
      </c>
      <c r="H1891" s="31" t="n">
        <v>0</v>
      </c>
      <c r="I1891" t="inlineStr">
        <is>
          <t>Pending</t>
        </is>
      </c>
      <c r="L1891" s="33" t="n"/>
    </row>
    <row r="1892">
      <c r="A1892" t="inlineStr">
        <is>
          <t>CLM518471</t>
        </is>
      </c>
      <c r="B1892" t="inlineStr">
        <is>
          <t>ENC118471</t>
        </is>
      </c>
      <c r="C1892" t="inlineStr">
        <is>
          <t>Medicare</t>
        </is>
      </c>
      <c r="D1892" t="inlineStr">
        <is>
          <t>Emergency</t>
        </is>
      </c>
      <c r="E1892" s="29" t="n">
        <v>45915</v>
      </c>
      <c r="F1892" s="29" t="n">
        <v>45919</v>
      </c>
      <c r="G1892" s="31" t="n">
        <v>4174.99</v>
      </c>
      <c r="H1892" s="31" t="n">
        <v>877.1</v>
      </c>
      <c r="I1892" t="inlineStr">
        <is>
          <t>Partially Paid</t>
        </is>
      </c>
      <c r="J1892" t="inlineStr">
        <is>
          <t>Coding Error</t>
        </is>
      </c>
      <c r="K1892" s="29" t="n">
        <v>45927</v>
      </c>
      <c r="L1892" s="33" t="n"/>
    </row>
    <row r="1893">
      <c r="A1893" t="inlineStr">
        <is>
          <t>CLM518478</t>
        </is>
      </c>
      <c r="B1893" t="inlineStr">
        <is>
          <t>ENC118478</t>
        </is>
      </c>
      <c r="C1893" t="inlineStr">
        <is>
          <t>Medicare</t>
        </is>
      </c>
      <c r="D1893" t="inlineStr">
        <is>
          <t>Emergency</t>
        </is>
      </c>
      <c r="E1893" s="29" t="n">
        <v>45915</v>
      </c>
      <c r="F1893" s="29" t="n">
        <v>45917</v>
      </c>
      <c r="G1893" s="31" t="n">
        <v>2668.58</v>
      </c>
      <c r="H1893" s="31" t="n">
        <v>678.6</v>
      </c>
      <c r="I1893" t="inlineStr">
        <is>
          <t>Paid</t>
        </is>
      </c>
      <c r="K1893" s="29" t="n">
        <v>45928</v>
      </c>
      <c r="L1893" s="33" t="n"/>
    </row>
    <row r="1894">
      <c r="A1894" t="inlineStr">
        <is>
          <t>CLM518479</t>
        </is>
      </c>
      <c r="B1894" t="inlineStr">
        <is>
          <t>ENC118479</t>
        </is>
      </c>
      <c r="C1894" t="inlineStr">
        <is>
          <t>Silverline Medicare Advantage</t>
        </is>
      </c>
      <c r="D1894" t="inlineStr">
        <is>
          <t>Observation</t>
        </is>
      </c>
      <c r="E1894" s="29" t="n">
        <v>45916</v>
      </c>
      <c r="F1894" s="29" t="n">
        <v>45919</v>
      </c>
      <c r="G1894" s="31" t="n">
        <v>9260.379999999999</v>
      </c>
      <c r="H1894" s="31" t="n">
        <v>2905.14</v>
      </c>
      <c r="I1894" t="inlineStr">
        <is>
          <t>Paid</t>
        </is>
      </c>
      <c r="K1894" s="29" t="n">
        <v>45940</v>
      </c>
      <c r="L1894" s="33" t="n"/>
    </row>
    <row r="1895">
      <c r="A1895" t="inlineStr">
        <is>
          <t>CLM518498</t>
        </is>
      </c>
      <c r="B1895" t="inlineStr">
        <is>
          <t>ENC118498</t>
        </is>
      </c>
      <c r="C1895" t="inlineStr">
        <is>
          <t>Summit Choice PPO</t>
        </is>
      </c>
      <c r="D1895" t="inlineStr">
        <is>
          <t>Outpatient</t>
        </is>
      </c>
      <c r="E1895" s="29" t="n">
        <v>45916</v>
      </c>
      <c r="F1895" s="29" t="n">
        <v>45919</v>
      </c>
      <c r="G1895" s="31" t="n">
        <v>986.85</v>
      </c>
      <c r="H1895" s="31" t="n">
        <v>445.32</v>
      </c>
      <c r="I1895" t="inlineStr">
        <is>
          <t>Paid</t>
        </is>
      </c>
      <c r="K1895" s="29" t="n">
        <v>45937</v>
      </c>
      <c r="L1895" s="33" t="n"/>
    </row>
    <row r="1896">
      <c r="A1896" t="inlineStr">
        <is>
          <t>CLM518506</t>
        </is>
      </c>
      <c r="B1896" t="inlineStr">
        <is>
          <t>ENC118506</t>
        </is>
      </c>
      <c r="C1896" t="inlineStr">
        <is>
          <t>Keystone Health Partners</t>
        </is>
      </c>
      <c r="D1896" t="inlineStr">
        <is>
          <t>Outpatient</t>
        </is>
      </c>
      <c r="E1896" s="29" t="n">
        <v>45916</v>
      </c>
      <c r="F1896" s="29" t="n">
        <v>45925</v>
      </c>
      <c r="G1896" s="31" t="n">
        <v>296.37</v>
      </c>
      <c r="H1896" s="31" t="n">
        <v>127.43</v>
      </c>
      <c r="I1896" t="inlineStr">
        <is>
          <t>Paid</t>
        </is>
      </c>
      <c r="K1896" s="29" t="n">
        <v>45956</v>
      </c>
      <c r="L1896" s="33" t="n"/>
    </row>
    <row r="1897">
      <c r="A1897" t="inlineStr">
        <is>
          <t>CLM518508</t>
        </is>
      </c>
      <c r="B1897" t="inlineStr">
        <is>
          <t>ENC118508</t>
        </is>
      </c>
      <c r="C1897" t="inlineStr">
        <is>
          <t>Medicare</t>
        </is>
      </c>
      <c r="D1897" t="inlineStr">
        <is>
          <t>Outpatient</t>
        </is>
      </c>
      <c r="E1897" s="29" t="n">
        <v>45916</v>
      </c>
      <c r="F1897" s="29" t="n">
        <v>45919</v>
      </c>
      <c r="G1897" s="31" t="n">
        <v>243.21</v>
      </c>
      <c r="H1897" s="31" t="n">
        <v>67.95999999999999</v>
      </c>
      <c r="I1897" t="inlineStr">
        <is>
          <t>Paid</t>
        </is>
      </c>
      <c r="K1897" s="29" t="n">
        <v>45930</v>
      </c>
      <c r="L1897" s="33" t="n"/>
    </row>
    <row r="1898">
      <c r="A1898" t="inlineStr">
        <is>
          <t>CLM518512</t>
        </is>
      </c>
      <c r="B1898" t="inlineStr">
        <is>
          <t>ENC118512</t>
        </is>
      </c>
      <c r="C1898" t="inlineStr">
        <is>
          <t>Silverline Medicare Advantage</t>
        </is>
      </c>
      <c r="D1898" t="inlineStr">
        <is>
          <t>Inpatient</t>
        </is>
      </c>
      <c r="E1898" s="29" t="n">
        <v>45918</v>
      </c>
      <c r="F1898" s="29" t="n">
        <v>45927</v>
      </c>
      <c r="G1898" s="31" t="n">
        <v>14887.22</v>
      </c>
      <c r="H1898" s="31" t="n">
        <v>5067.43</v>
      </c>
      <c r="I1898" t="inlineStr">
        <is>
          <t>Paid</t>
        </is>
      </c>
      <c r="K1898" s="29" t="n">
        <v>45957</v>
      </c>
      <c r="L1898" s="33" t="n"/>
    </row>
    <row r="1899">
      <c r="A1899" t="inlineStr">
        <is>
          <t>CLM518515</t>
        </is>
      </c>
      <c r="B1899" t="inlineStr">
        <is>
          <t>ENC118515</t>
        </is>
      </c>
      <c r="C1899" t="inlineStr">
        <is>
          <t>Medicare</t>
        </is>
      </c>
      <c r="D1899" t="inlineStr">
        <is>
          <t>Observation</t>
        </is>
      </c>
      <c r="E1899" s="29" t="n">
        <v>45917</v>
      </c>
      <c r="F1899" s="29" t="n">
        <v>45923</v>
      </c>
      <c r="G1899" s="31" t="n">
        <v>5143.63</v>
      </c>
      <c r="H1899" s="31" t="n">
        <v>1266.72</v>
      </c>
      <c r="I1899" t="inlineStr">
        <is>
          <t>Paid</t>
        </is>
      </c>
      <c r="K1899" s="29" t="n">
        <v>45931</v>
      </c>
      <c r="L1899" s="33" t="n"/>
    </row>
    <row r="1900">
      <c r="A1900" t="inlineStr">
        <is>
          <t>CLM518516</t>
        </is>
      </c>
      <c r="B1900" t="inlineStr">
        <is>
          <t>ENC118516</t>
        </is>
      </c>
      <c r="C1900" t="inlineStr">
        <is>
          <t>State Medicaid</t>
        </is>
      </c>
      <c r="D1900" t="inlineStr">
        <is>
          <t>Inpatient</t>
        </is>
      </c>
      <c r="E1900" s="29" t="n">
        <v>45922</v>
      </c>
      <c r="F1900" s="29" t="n">
        <v>45926</v>
      </c>
      <c r="G1900" s="31" t="n">
        <v>51451.05</v>
      </c>
      <c r="H1900" s="31" t="n">
        <v>11404.99</v>
      </c>
      <c r="I1900" t="inlineStr">
        <is>
          <t>Paid</t>
        </is>
      </c>
      <c r="K1900" s="29" t="n">
        <v>45966</v>
      </c>
      <c r="L1900" s="33" t="n"/>
    </row>
    <row r="1901">
      <c r="A1901" t="inlineStr">
        <is>
          <t>CLM518520</t>
        </is>
      </c>
      <c r="B1901" t="inlineStr">
        <is>
          <t>ENC118520</t>
        </is>
      </c>
      <c r="C1901" t="inlineStr">
        <is>
          <t>Medicare</t>
        </is>
      </c>
      <c r="D1901" t="inlineStr">
        <is>
          <t>Emergency</t>
        </is>
      </c>
      <c r="E1901" s="29" t="n">
        <v>45917</v>
      </c>
      <c r="F1901" s="29" t="n">
        <v>45919</v>
      </c>
      <c r="G1901" s="31" t="n">
        <v>3031.41</v>
      </c>
      <c r="H1901" s="31" t="n">
        <v>720.17</v>
      </c>
      <c r="I1901" t="inlineStr">
        <is>
          <t>Paid</t>
        </is>
      </c>
      <c r="K1901" s="29" t="n">
        <v>45928</v>
      </c>
      <c r="L1901" s="33" t="n"/>
    </row>
    <row r="1902">
      <c r="A1902" t="inlineStr">
        <is>
          <t>CLM518523</t>
        </is>
      </c>
      <c r="B1902" t="inlineStr">
        <is>
          <t>ENC118523</t>
        </is>
      </c>
      <c r="C1902" t="inlineStr">
        <is>
          <t>Medicare</t>
        </is>
      </c>
      <c r="D1902" t="inlineStr">
        <is>
          <t>Emergency</t>
        </is>
      </c>
      <c r="E1902" s="29" t="n">
        <v>45917</v>
      </c>
      <c r="F1902" s="29" t="n">
        <v>45920</v>
      </c>
      <c r="G1902" s="31" t="n">
        <v>970.88</v>
      </c>
      <c r="H1902" s="31" t="n">
        <v>261.23</v>
      </c>
      <c r="I1902" t="inlineStr">
        <is>
          <t>Paid</t>
        </is>
      </c>
      <c r="K1902" s="29" t="n">
        <v>45934</v>
      </c>
      <c r="L1902" s="33" t="n"/>
    </row>
    <row r="1903">
      <c r="A1903" t="inlineStr">
        <is>
          <t>CLM518525</t>
        </is>
      </c>
      <c r="B1903" t="inlineStr">
        <is>
          <t>ENC118525</t>
        </is>
      </c>
      <c r="C1903" t="inlineStr">
        <is>
          <t>State Medicaid</t>
        </is>
      </c>
      <c r="D1903" t="inlineStr">
        <is>
          <t>Outpatient</t>
        </is>
      </c>
      <c r="E1903" s="29" t="n">
        <v>45917</v>
      </c>
      <c r="F1903" s="29" t="n">
        <v>45919</v>
      </c>
      <c r="G1903" s="31" t="n">
        <v>228.08</v>
      </c>
      <c r="H1903" s="31" t="n">
        <v>42.66</v>
      </c>
      <c r="I1903" t="inlineStr">
        <is>
          <t>Partially Paid</t>
        </is>
      </c>
      <c r="J1903" t="inlineStr">
        <is>
          <t>Coding Error</t>
        </is>
      </c>
      <c r="K1903" s="29" t="n">
        <v>45987</v>
      </c>
      <c r="L1903" s="33" t="n"/>
    </row>
    <row r="1904">
      <c r="A1904" t="inlineStr">
        <is>
          <t>CLM518526</t>
        </is>
      </c>
      <c r="B1904" t="inlineStr">
        <is>
          <t>ENC118526</t>
        </is>
      </c>
      <c r="C1904" t="inlineStr">
        <is>
          <t>State Medicaid</t>
        </is>
      </c>
      <c r="D1904" t="inlineStr">
        <is>
          <t>Emergency</t>
        </is>
      </c>
      <c r="E1904" s="29" t="n">
        <v>45917</v>
      </c>
      <c r="F1904" s="29" t="n">
        <v>45920</v>
      </c>
      <c r="G1904" s="31" t="n">
        <v>3181.79</v>
      </c>
      <c r="H1904" s="31" t="n">
        <v>719.22</v>
      </c>
      <c r="I1904" t="inlineStr">
        <is>
          <t>Paid</t>
        </is>
      </c>
      <c r="K1904" s="29" t="n">
        <v>45955</v>
      </c>
      <c r="L1904" s="33" t="n"/>
    </row>
    <row r="1905">
      <c r="A1905" t="inlineStr">
        <is>
          <t>CLM518528</t>
        </is>
      </c>
      <c r="B1905" t="inlineStr">
        <is>
          <t>ENC118528</t>
        </is>
      </c>
      <c r="C1905" t="inlineStr">
        <is>
          <t>Medicare</t>
        </is>
      </c>
      <c r="D1905" t="inlineStr">
        <is>
          <t>Outpatient</t>
        </is>
      </c>
      <c r="E1905" s="29" t="n">
        <v>45917</v>
      </c>
      <c r="F1905" s="29" t="n">
        <v>45921</v>
      </c>
      <c r="G1905" s="31" t="n">
        <v>841.79</v>
      </c>
      <c r="H1905" s="31" t="n">
        <v>0</v>
      </c>
      <c r="I1905" t="inlineStr">
        <is>
          <t>Denied</t>
        </is>
      </c>
      <c r="J1905" t="inlineStr">
        <is>
          <t>Authorization Required</t>
        </is>
      </c>
      <c r="L1905" s="33" t="n"/>
    </row>
    <row r="1906">
      <c r="A1906" t="inlineStr">
        <is>
          <t>CLM518530</t>
        </is>
      </c>
      <c r="B1906" t="inlineStr">
        <is>
          <t>ENC118530</t>
        </is>
      </c>
      <c r="C1906" t="inlineStr">
        <is>
          <t>Self-Pay</t>
        </is>
      </c>
      <c r="D1906" t="inlineStr">
        <is>
          <t>Outpatient</t>
        </is>
      </c>
      <c r="E1906" s="29" t="n">
        <v>45917</v>
      </c>
      <c r="F1906" s="29" t="n">
        <v>45920</v>
      </c>
      <c r="G1906" s="31" t="n">
        <v>393.67</v>
      </c>
      <c r="H1906" s="31" t="n">
        <v>71.78</v>
      </c>
      <c r="I1906" t="inlineStr">
        <is>
          <t>Partially Paid</t>
        </is>
      </c>
      <c r="K1906" s="29" t="n">
        <v>45953</v>
      </c>
      <c r="L1906" s="33" t="n"/>
    </row>
    <row r="1907">
      <c r="A1907" t="inlineStr">
        <is>
          <t>CLM518531</t>
        </is>
      </c>
      <c r="B1907" t="inlineStr">
        <is>
          <t>ENC118531</t>
        </is>
      </c>
      <c r="C1907" t="inlineStr">
        <is>
          <t>Medicare</t>
        </is>
      </c>
      <c r="D1907" t="inlineStr">
        <is>
          <t>Emergency</t>
        </is>
      </c>
      <c r="E1907" s="29" t="n">
        <v>45917</v>
      </c>
      <c r="F1907" s="29" t="n">
        <v>45927</v>
      </c>
      <c r="G1907" s="31" t="n">
        <v>1726.81</v>
      </c>
      <c r="H1907" s="31" t="n">
        <v>478.77</v>
      </c>
      <c r="I1907" t="inlineStr">
        <is>
          <t>Paid</t>
        </is>
      </c>
      <c r="K1907" s="29" t="n">
        <v>45936</v>
      </c>
      <c r="L1907" s="33" t="n"/>
    </row>
    <row r="1908">
      <c r="A1908" t="inlineStr">
        <is>
          <t>CLM518533</t>
        </is>
      </c>
      <c r="B1908" t="inlineStr">
        <is>
          <t>ENC118533</t>
        </is>
      </c>
      <c r="C1908" t="inlineStr">
        <is>
          <t>State Medicaid</t>
        </is>
      </c>
      <c r="D1908" t="inlineStr">
        <is>
          <t>Outpatient</t>
        </is>
      </c>
      <c r="E1908" s="29" t="n">
        <v>45917</v>
      </c>
      <c r="F1908" s="29" t="n">
        <v>45930</v>
      </c>
      <c r="G1908" s="31" t="n">
        <v>265.74</v>
      </c>
      <c r="H1908" s="31" t="n">
        <v>61.96</v>
      </c>
      <c r="I1908" t="inlineStr">
        <is>
          <t>Paid</t>
        </is>
      </c>
      <c r="K1908" s="29" t="n">
        <v>45977</v>
      </c>
      <c r="L1908" s="33" t="n"/>
    </row>
    <row r="1909">
      <c r="A1909" t="inlineStr">
        <is>
          <t>CLM518534</t>
        </is>
      </c>
      <c r="B1909" t="inlineStr">
        <is>
          <t>ENC118534</t>
        </is>
      </c>
      <c r="C1909" t="inlineStr">
        <is>
          <t>Summit Choice PPO</t>
        </is>
      </c>
      <c r="D1909" t="inlineStr">
        <is>
          <t>Outpatient</t>
        </is>
      </c>
      <c r="E1909" s="29" t="n">
        <v>45917</v>
      </c>
      <c r="F1909" s="29" t="n">
        <v>45921</v>
      </c>
      <c r="G1909" s="31" t="n">
        <v>8579.049999999999</v>
      </c>
      <c r="H1909" s="31" t="n">
        <v>3615.92</v>
      </c>
      <c r="I1909" t="inlineStr">
        <is>
          <t>Paid</t>
        </is>
      </c>
      <c r="K1909" s="29" t="n">
        <v>45950</v>
      </c>
      <c r="L1909" s="33" t="n"/>
    </row>
    <row r="1910">
      <c r="A1910" t="inlineStr">
        <is>
          <t>CLM518536</t>
        </is>
      </c>
      <c r="B1910" t="inlineStr">
        <is>
          <t>ENC118536</t>
        </is>
      </c>
      <c r="C1910" t="inlineStr">
        <is>
          <t>Silverline Medicare Advantage</t>
        </is>
      </c>
      <c r="D1910" t="inlineStr">
        <is>
          <t>Outpatient</t>
        </is>
      </c>
      <c r="E1910" s="29" t="n">
        <v>45917</v>
      </c>
      <c r="F1910" s="29" t="n">
        <v>45921</v>
      </c>
      <c r="G1910" s="31" t="n">
        <v>260.82</v>
      </c>
      <c r="H1910" s="31" t="n">
        <v>93.62</v>
      </c>
      <c r="I1910" t="inlineStr">
        <is>
          <t>Paid</t>
        </is>
      </c>
      <c r="K1910" s="29" t="n">
        <v>45946</v>
      </c>
      <c r="L1910" s="33" t="n"/>
    </row>
    <row r="1911">
      <c r="A1911" t="inlineStr">
        <is>
          <t>CLM518540</t>
        </is>
      </c>
      <c r="B1911" t="inlineStr">
        <is>
          <t>ENC118540</t>
        </is>
      </c>
      <c r="C1911" t="inlineStr">
        <is>
          <t>Workers' Compensation</t>
        </is>
      </c>
      <c r="D1911" t="inlineStr">
        <is>
          <t>Emergency</t>
        </is>
      </c>
      <c r="E1911" s="29" t="n">
        <v>45917</v>
      </c>
      <c r="F1911" s="29" t="n">
        <v>45920</v>
      </c>
      <c r="G1911" s="31" t="n">
        <v>827.7</v>
      </c>
      <c r="H1911" s="31" t="n">
        <v>510.93</v>
      </c>
      <c r="I1911" t="inlineStr">
        <is>
          <t>Paid</t>
        </is>
      </c>
      <c r="K1911" s="29" t="n">
        <v>45990</v>
      </c>
      <c r="L1911" s="33" t="n"/>
    </row>
    <row r="1912">
      <c r="A1912" t="inlineStr">
        <is>
          <t>CLM518542</t>
        </is>
      </c>
      <c r="B1912" t="inlineStr">
        <is>
          <t>ENC118542</t>
        </is>
      </c>
      <c r="C1912" t="inlineStr">
        <is>
          <t>Evergreen Mutual Insurance</t>
        </is>
      </c>
      <c r="D1912" t="inlineStr">
        <is>
          <t>Outpatient</t>
        </is>
      </c>
      <c r="E1912" s="29" t="n">
        <v>45917</v>
      </c>
      <c r="F1912" s="29" t="n">
        <v>45920</v>
      </c>
      <c r="G1912" s="31" t="n">
        <v>518.53</v>
      </c>
      <c r="H1912" s="31" t="n">
        <v>168.55</v>
      </c>
      <c r="I1912" t="inlineStr">
        <is>
          <t>Partially Paid</t>
        </is>
      </c>
      <c r="J1912" t="inlineStr">
        <is>
          <t>Coding Error</t>
        </is>
      </c>
      <c r="K1912" s="29" t="n">
        <v>45944</v>
      </c>
      <c r="L1912" s="33" t="n"/>
    </row>
    <row r="1913">
      <c r="A1913" t="inlineStr">
        <is>
          <t>CLM518547</t>
        </is>
      </c>
      <c r="B1913" t="inlineStr">
        <is>
          <t>ENC118547</t>
        </is>
      </c>
      <c r="C1913" t="inlineStr">
        <is>
          <t>Medicare</t>
        </is>
      </c>
      <c r="D1913" t="inlineStr">
        <is>
          <t>Observation</t>
        </is>
      </c>
      <c r="E1913" s="29" t="n">
        <v>45920</v>
      </c>
      <c r="F1913" s="29" t="n">
        <v>45921</v>
      </c>
      <c r="G1913" s="31" t="n">
        <v>12529.79</v>
      </c>
      <c r="H1913" s="31" t="n">
        <v>3669.43</v>
      </c>
      <c r="I1913" t="inlineStr">
        <is>
          <t>Paid</t>
        </is>
      </c>
      <c r="K1913" s="29" t="n">
        <v>45937</v>
      </c>
      <c r="L1913" s="33" t="n"/>
    </row>
    <row r="1914">
      <c r="A1914" t="inlineStr">
        <is>
          <t>CLM518555</t>
        </is>
      </c>
      <c r="B1914" t="inlineStr">
        <is>
          <t>ENC118555</t>
        </is>
      </c>
      <c r="C1914" t="inlineStr">
        <is>
          <t>Medicare</t>
        </is>
      </c>
      <c r="D1914" t="inlineStr">
        <is>
          <t>Inpatient</t>
        </is>
      </c>
      <c r="E1914" s="29" t="n">
        <v>45923</v>
      </c>
      <c r="F1914" s="29" t="n">
        <v>45926</v>
      </c>
      <c r="G1914" s="31" t="n">
        <v>39561.21</v>
      </c>
      <c r="H1914" s="31" t="n">
        <v>11076.87</v>
      </c>
      <c r="I1914" t="inlineStr">
        <is>
          <t>Paid</t>
        </is>
      </c>
      <c r="K1914" s="29" t="n">
        <v>45940</v>
      </c>
      <c r="L1914" s="33" t="n"/>
    </row>
    <row r="1915">
      <c r="A1915" t="inlineStr">
        <is>
          <t>CLM518567</t>
        </is>
      </c>
      <c r="B1915" t="inlineStr">
        <is>
          <t>ENC118567</t>
        </is>
      </c>
      <c r="C1915" t="inlineStr">
        <is>
          <t>State Medicaid</t>
        </is>
      </c>
      <c r="D1915" t="inlineStr">
        <is>
          <t>Outpatient</t>
        </is>
      </c>
      <c r="E1915" s="29" t="n">
        <v>45918</v>
      </c>
      <c r="F1915" s="29" t="n">
        <v>45921</v>
      </c>
      <c r="G1915" s="31" t="n">
        <v>441.98</v>
      </c>
      <c r="H1915" s="31" t="n">
        <v>117.32</v>
      </c>
      <c r="I1915" t="inlineStr">
        <is>
          <t>Paid</t>
        </is>
      </c>
      <c r="K1915" s="29" t="n">
        <v>45975</v>
      </c>
      <c r="L1915" s="33" t="n"/>
    </row>
    <row r="1916">
      <c r="A1916" t="inlineStr">
        <is>
          <t>CLM518568</t>
        </is>
      </c>
      <c r="B1916" t="inlineStr">
        <is>
          <t>ENC118568</t>
        </is>
      </c>
      <c r="C1916" t="inlineStr">
        <is>
          <t>Medicare</t>
        </is>
      </c>
      <c r="D1916" t="inlineStr">
        <is>
          <t>Outpatient</t>
        </is>
      </c>
      <c r="E1916" s="29" t="n">
        <v>45918</v>
      </c>
      <c r="F1916" s="29" t="n">
        <v>45927</v>
      </c>
      <c r="G1916" s="31" t="n">
        <v>385.01</v>
      </c>
      <c r="H1916" s="31" t="n">
        <v>121.23</v>
      </c>
      <c r="I1916" t="inlineStr">
        <is>
          <t>Paid</t>
        </is>
      </c>
      <c r="K1916" s="29" t="n">
        <v>45934</v>
      </c>
      <c r="L1916" s="33" t="n"/>
    </row>
    <row r="1917">
      <c r="A1917" t="inlineStr">
        <is>
          <t>CLM518570</t>
        </is>
      </c>
      <c r="B1917" t="inlineStr">
        <is>
          <t>ENC118570</t>
        </is>
      </c>
      <c r="C1917" t="inlineStr">
        <is>
          <t>State Medicaid</t>
        </is>
      </c>
      <c r="D1917" t="inlineStr">
        <is>
          <t>Outpatient</t>
        </is>
      </c>
      <c r="E1917" s="29" t="n">
        <v>45918</v>
      </c>
      <c r="F1917" s="29" t="n">
        <v>45921</v>
      </c>
      <c r="G1917" s="31" t="n">
        <v>204.05</v>
      </c>
      <c r="H1917" s="31" t="n">
        <v>0</v>
      </c>
      <c r="I1917" t="inlineStr">
        <is>
          <t>Denied</t>
        </is>
      </c>
      <c r="J1917" t="inlineStr">
        <is>
          <t>Duplicate Claim</t>
        </is>
      </c>
      <c r="L1917" s="33" t="n"/>
    </row>
    <row r="1918">
      <c r="A1918" t="inlineStr">
        <is>
          <t>CLM518572</t>
        </is>
      </c>
      <c r="B1918" t="inlineStr">
        <is>
          <t>ENC118572</t>
        </is>
      </c>
      <c r="C1918" t="inlineStr">
        <is>
          <t>Keystone Health Partners</t>
        </is>
      </c>
      <c r="D1918" t="inlineStr">
        <is>
          <t>Outpatient</t>
        </is>
      </c>
      <c r="E1918" s="29" t="n">
        <v>45918</v>
      </c>
      <c r="F1918" s="29" t="n">
        <v>45923</v>
      </c>
      <c r="G1918" s="31" t="n">
        <v>296.31</v>
      </c>
      <c r="H1918" s="31" t="n">
        <v>0</v>
      </c>
      <c r="I1918" t="inlineStr">
        <is>
          <t>Appealed</t>
        </is>
      </c>
      <c r="J1918" t="inlineStr">
        <is>
          <t>Eligibility / Coverage</t>
        </is>
      </c>
      <c r="L1918" s="33" t="n"/>
    </row>
    <row r="1919">
      <c r="A1919" t="inlineStr">
        <is>
          <t>CLM518578</t>
        </is>
      </c>
      <c r="B1919" t="inlineStr">
        <is>
          <t>ENC118578</t>
        </is>
      </c>
      <c r="C1919" t="inlineStr">
        <is>
          <t>Silverline Medicare Advantage</t>
        </is>
      </c>
      <c r="D1919" t="inlineStr">
        <is>
          <t>Observation</t>
        </is>
      </c>
      <c r="E1919" s="29" t="n">
        <v>45920</v>
      </c>
      <c r="F1919" s="29" t="n">
        <v>45923</v>
      </c>
      <c r="G1919" s="31" t="n">
        <v>13916.91</v>
      </c>
      <c r="H1919" s="31" t="n">
        <v>0</v>
      </c>
      <c r="I1919" t="inlineStr">
        <is>
          <t>Denied</t>
        </is>
      </c>
      <c r="J1919" t="inlineStr">
        <is>
          <t>Authorization Required</t>
        </is>
      </c>
      <c r="L1919" s="33" t="n"/>
    </row>
    <row r="1920">
      <c r="A1920" t="inlineStr">
        <is>
          <t>CLM518580</t>
        </is>
      </c>
      <c r="B1920" t="inlineStr">
        <is>
          <t>ENC118580</t>
        </is>
      </c>
      <c r="C1920" t="inlineStr">
        <is>
          <t>Keystone Health Partners</t>
        </is>
      </c>
      <c r="D1920" t="inlineStr">
        <is>
          <t>Emergency</t>
        </is>
      </c>
      <c r="E1920" s="29" t="n">
        <v>45919</v>
      </c>
      <c r="F1920" s="29" t="n">
        <v>45920</v>
      </c>
      <c r="G1920" s="31" t="n">
        <v>4124.51</v>
      </c>
      <c r="H1920" s="31" t="n">
        <v>0</v>
      </c>
      <c r="I1920" t="inlineStr">
        <is>
          <t>Denied</t>
        </is>
      </c>
      <c r="J1920" t="inlineStr">
        <is>
          <t>Missing Documentation</t>
        </is>
      </c>
      <c r="L1920" s="33" t="n"/>
    </row>
    <row r="1921">
      <c r="A1921" t="inlineStr">
        <is>
          <t>CLM518583</t>
        </is>
      </c>
      <c r="B1921" t="inlineStr">
        <is>
          <t>ENC118583</t>
        </is>
      </c>
      <c r="C1921" t="inlineStr">
        <is>
          <t>State Medicaid</t>
        </is>
      </c>
      <c r="D1921" t="inlineStr">
        <is>
          <t>Emergency</t>
        </is>
      </c>
      <c r="E1921" s="29" t="n">
        <v>45919</v>
      </c>
      <c r="F1921" s="29" t="n">
        <v>45927</v>
      </c>
      <c r="G1921" s="31" t="n">
        <v>1508.58</v>
      </c>
      <c r="H1921" s="31" t="n">
        <v>356.77</v>
      </c>
      <c r="I1921" t="inlineStr">
        <is>
          <t>Paid</t>
        </is>
      </c>
      <c r="K1921" s="29" t="n">
        <v>45976</v>
      </c>
      <c r="L1921" s="33" t="n"/>
    </row>
    <row r="1922">
      <c r="A1922" t="inlineStr">
        <is>
          <t>CLM518585</t>
        </is>
      </c>
      <c r="B1922" t="inlineStr">
        <is>
          <t>ENC118585</t>
        </is>
      </c>
      <c r="C1922" t="inlineStr">
        <is>
          <t>State Medicaid</t>
        </is>
      </c>
      <c r="D1922" t="inlineStr">
        <is>
          <t>Inpatient</t>
        </is>
      </c>
      <c r="E1922" s="29" t="n">
        <v>45922</v>
      </c>
      <c r="F1922" s="29" t="n">
        <v>45935</v>
      </c>
      <c r="G1922" s="31" t="n">
        <v>19638.6</v>
      </c>
      <c r="H1922" s="31" t="n">
        <v>4409.13</v>
      </c>
      <c r="I1922" t="inlineStr">
        <is>
          <t>Paid</t>
        </is>
      </c>
      <c r="K1922" s="29" t="n">
        <v>45983</v>
      </c>
      <c r="L1922" s="33" t="n"/>
    </row>
    <row r="1923">
      <c r="A1923" t="inlineStr">
        <is>
          <t>CLM518588</t>
        </is>
      </c>
      <c r="B1923" t="inlineStr">
        <is>
          <t>ENC118588</t>
        </is>
      </c>
      <c r="C1923" t="inlineStr">
        <is>
          <t>Medicare</t>
        </is>
      </c>
      <c r="D1923" t="inlineStr">
        <is>
          <t>Emergency</t>
        </is>
      </c>
      <c r="E1923" s="29" t="n">
        <v>45919</v>
      </c>
      <c r="F1923" s="29" t="n">
        <v>45922</v>
      </c>
      <c r="G1923" s="31" t="n">
        <v>1521.43</v>
      </c>
      <c r="H1923" s="31" t="n">
        <v>451.58</v>
      </c>
      <c r="I1923" t="inlineStr">
        <is>
          <t>Paid</t>
        </is>
      </c>
      <c r="K1923" s="29" t="n">
        <v>45932</v>
      </c>
      <c r="L1923" s="33" t="n"/>
    </row>
    <row r="1924">
      <c r="A1924" t="inlineStr">
        <is>
          <t>CLM518591</t>
        </is>
      </c>
      <c r="B1924" t="inlineStr">
        <is>
          <t>ENC118591</t>
        </is>
      </c>
      <c r="C1924" t="inlineStr">
        <is>
          <t>Silverline Medicare Advantage</t>
        </is>
      </c>
      <c r="D1924" t="inlineStr">
        <is>
          <t>Outpatient</t>
        </is>
      </c>
      <c r="E1924" s="29" t="n">
        <v>45919</v>
      </c>
      <c r="F1924" s="29" t="n">
        <v>45924</v>
      </c>
      <c r="G1924" s="31" t="n">
        <v>479.8</v>
      </c>
      <c r="H1924" s="31" t="n">
        <v>148.02</v>
      </c>
      <c r="I1924" t="inlineStr">
        <is>
          <t>Paid</t>
        </is>
      </c>
      <c r="K1924" s="29" t="n">
        <v>45967</v>
      </c>
      <c r="L1924" s="33" t="n"/>
    </row>
    <row r="1925">
      <c r="A1925" t="inlineStr">
        <is>
          <t>CLM518594</t>
        </is>
      </c>
      <c r="B1925" t="inlineStr">
        <is>
          <t>ENC118594</t>
        </is>
      </c>
      <c r="C1925" t="inlineStr">
        <is>
          <t>Medicare</t>
        </is>
      </c>
      <c r="D1925" t="inlineStr">
        <is>
          <t>Outpatient</t>
        </is>
      </c>
      <c r="E1925" s="29" t="n">
        <v>45919</v>
      </c>
      <c r="F1925" s="29" t="n">
        <v>45923</v>
      </c>
      <c r="G1925" s="31" t="n">
        <v>552.1799999999999</v>
      </c>
      <c r="H1925" s="31" t="n">
        <v>154.24</v>
      </c>
      <c r="I1925" t="inlineStr">
        <is>
          <t>Paid</t>
        </is>
      </c>
      <c r="K1925" s="29" t="n">
        <v>45935</v>
      </c>
      <c r="L1925" s="33" t="n"/>
    </row>
    <row r="1926">
      <c r="A1926" t="inlineStr">
        <is>
          <t>CLM518595</t>
        </is>
      </c>
      <c r="B1926" t="inlineStr">
        <is>
          <t>ENC118595</t>
        </is>
      </c>
      <c r="C1926" t="inlineStr">
        <is>
          <t>Summit Choice PPO</t>
        </is>
      </c>
      <c r="D1926" t="inlineStr">
        <is>
          <t>Inpatient</t>
        </is>
      </c>
      <c r="E1926" s="29" t="n">
        <v>45925</v>
      </c>
      <c r="F1926" s="29" t="n">
        <v>45929</v>
      </c>
      <c r="G1926" s="31" t="n">
        <v>23220.85</v>
      </c>
      <c r="H1926" s="31" t="n">
        <v>0</v>
      </c>
      <c r="I1926" t="inlineStr">
        <is>
          <t>Denied</t>
        </is>
      </c>
      <c r="J1926" t="inlineStr">
        <is>
          <t>Eligibility / Coverage</t>
        </is>
      </c>
      <c r="L1926" s="33" t="n"/>
    </row>
    <row r="1927">
      <c r="A1927" t="inlineStr">
        <is>
          <t>CLM518600</t>
        </is>
      </c>
      <c r="B1927" t="inlineStr">
        <is>
          <t>ENC118600</t>
        </is>
      </c>
      <c r="C1927" t="inlineStr">
        <is>
          <t>State Medicaid</t>
        </is>
      </c>
      <c r="D1927" t="inlineStr">
        <is>
          <t>Inpatient</t>
        </is>
      </c>
      <c r="E1927" s="29" t="n">
        <v>45924</v>
      </c>
      <c r="F1927" s="29" t="n">
        <v>45927</v>
      </c>
      <c r="G1927" s="31" t="n">
        <v>28528.31</v>
      </c>
      <c r="H1927" s="31" t="n">
        <v>6589.74</v>
      </c>
      <c r="I1927" t="inlineStr">
        <is>
          <t>Paid</t>
        </is>
      </c>
      <c r="K1927" s="29" t="n">
        <v>45967</v>
      </c>
      <c r="L1927" s="33" t="n"/>
    </row>
    <row r="1928">
      <c r="A1928" t="inlineStr">
        <is>
          <t>CLM518603</t>
        </is>
      </c>
      <c r="B1928" t="inlineStr">
        <is>
          <t>ENC118603</t>
        </is>
      </c>
      <c r="C1928" t="inlineStr">
        <is>
          <t>Silverline Medicare Advantage</t>
        </is>
      </c>
      <c r="D1928" t="inlineStr">
        <is>
          <t>Outpatient</t>
        </is>
      </c>
      <c r="E1928" s="29" t="n">
        <v>45919</v>
      </c>
      <c r="F1928" s="29" t="n">
        <v>45923</v>
      </c>
      <c r="G1928" s="31" t="n">
        <v>291.68</v>
      </c>
      <c r="H1928" s="31" t="n">
        <v>83.13</v>
      </c>
      <c r="I1928" t="inlineStr">
        <is>
          <t>Paid</t>
        </is>
      </c>
      <c r="K1928" s="29" t="n">
        <v>45948</v>
      </c>
      <c r="L1928" s="33" t="n"/>
    </row>
    <row r="1929">
      <c r="A1929" t="inlineStr">
        <is>
          <t>CLM518608</t>
        </is>
      </c>
      <c r="B1929" t="inlineStr">
        <is>
          <t>ENC118608</t>
        </is>
      </c>
      <c r="C1929" t="inlineStr">
        <is>
          <t>Self-Pay</t>
        </is>
      </c>
      <c r="D1929" t="inlineStr">
        <is>
          <t>Inpatient</t>
        </is>
      </c>
      <c r="E1929" s="29" t="n">
        <v>45921</v>
      </c>
      <c r="F1929" s="29" t="n">
        <v>45925</v>
      </c>
      <c r="G1929" s="31" t="n">
        <v>7720.11</v>
      </c>
      <c r="H1929" s="31" t="n">
        <v>0</v>
      </c>
      <c r="I1929" t="inlineStr">
        <is>
          <t>Pending</t>
        </is>
      </c>
      <c r="L1929" s="33" t="n"/>
    </row>
    <row r="1930">
      <c r="A1930" t="inlineStr">
        <is>
          <t>CLM518609</t>
        </is>
      </c>
      <c r="B1930" t="inlineStr">
        <is>
          <t>ENC118609</t>
        </is>
      </c>
      <c r="C1930" t="inlineStr">
        <is>
          <t>State Medicaid</t>
        </is>
      </c>
      <c r="D1930" t="inlineStr">
        <is>
          <t>Observation</t>
        </is>
      </c>
      <c r="E1930" s="29" t="n">
        <v>45920</v>
      </c>
      <c r="F1930" s="29" t="n">
        <v>45921</v>
      </c>
      <c r="G1930" s="31" t="n">
        <v>7185.49</v>
      </c>
      <c r="H1930" s="31" t="n">
        <v>1619.5</v>
      </c>
      <c r="I1930" t="inlineStr">
        <is>
          <t>Paid</t>
        </is>
      </c>
      <c r="K1930" s="29" t="n">
        <v>45972</v>
      </c>
      <c r="L1930" s="33" t="n"/>
    </row>
    <row r="1931">
      <c r="A1931" t="inlineStr">
        <is>
          <t>CLM518612</t>
        </is>
      </c>
      <c r="B1931" t="inlineStr">
        <is>
          <t>ENC118612</t>
        </is>
      </c>
      <c r="C1931" t="inlineStr">
        <is>
          <t>Silverline Medicare Advantage</t>
        </is>
      </c>
      <c r="D1931" t="inlineStr">
        <is>
          <t>Inpatient</t>
        </is>
      </c>
      <c r="E1931" s="29" t="n">
        <v>45923</v>
      </c>
      <c r="F1931" s="29" t="n">
        <v>45926</v>
      </c>
      <c r="G1931" s="31" t="n">
        <v>18961.1</v>
      </c>
      <c r="H1931" s="31" t="n">
        <v>6146.54</v>
      </c>
      <c r="I1931" t="inlineStr">
        <is>
          <t>Paid</t>
        </is>
      </c>
      <c r="K1931" s="29" t="n">
        <v>45939</v>
      </c>
      <c r="L1931" s="33" t="n"/>
    </row>
    <row r="1932">
      <c r="A1932" t="inlineStr">
        <is>
          <t>CLM518613</t>
        </is>
      </c>
      <c r="B1932" t="inlineStr">
        <is>
          <t>ENC118613</t>
        </is>
      </c>
      <c r="C1932" t="inlineStr">
        <is>
          <t>Medicare</t>
        </is>
      </c>
      <c r="D1932" t="inlineStr">
        <is>
          <t>Emergency</t>
        </is>
      </c>
      <c r="E1932" s="29" t="n">
        <v>45920</v>
      </c>
      <c r="F1932" s="29" t="n">
        <v>45928</v>
      </c>
      <c r="G1932" s="31" t="n">
        <v>623.65</v>
      </c>
      <c r="H1932" s="31" t="n">
        <v>188.08</v>
      </c>
      <c r="I1932" t="inlineStr">
        <is>
          <t>Paid</t>
        </is>
      </c>
      <c r="K1932" s="29" t="n">
        <v>45937</v>
      </c>
      <c r="L1932" s="33" t="n"/>
    </row>
    <row r="1933">
      <c r="A1933" t="inlineStr">
        <is>
          <t>CLM518620</t>
        </is>
      </c>
      <c r="B1933" t="inlineStr">
        <is>
          <t>ENC118620</t>
        </is>
      </c>
      <c r="C1933" t="inlineStr">
        <is>
          <t>Summit Choice PPO</t>
        </is>
      </c>
      <c r="D1933" t="inlineStr">
        <is>
          <t>Emergency</t>
        </is>
      </c>
      <c r="E1933" s="29" t="n">
        <v>45920</v>
      </c>
      <c r="F1933" s="29" t="n">
        <v>45926</v>
      </c>
      <c r="G1933" s="31" t="n">
        <v>5116.79</v>
      </c>
      <c r="H1933" s="31" t="n">
        <v>2372.67</v>
      </c>
      <c r="I1933" t="inlineStr">
        <is>
          <t>Paid</t>
        </is>
      </c>
      <c r="K1933" s="29" t="n">
        <v>45939</v>
      </c>
      <c r="L1933" s="33" t="n"/>
    </row>
    <row r="1934">
      <c r="A1934" t="inlineStr">
        <is>
          <t>CLM518624</t>
        </is>
      </c>
      <c r="B1934" t="inlineStr">
        <is>
          <t>ENC118624</t>
        </is>
      </c>
      <c r="C1934" t="inlineStr">
        <is>
          <t>Keystone Health Partners</t>
        </is>
      </c>
      <c r="D1934" t="inlineStr">
        <is>
          <t>Emergency</t>
        </is>
      </c>
      <c r="E1934" s="29" t="n">
        <v>45920</v>
      </c>
      <c r="F1934" s="29" t="n">
        <v>45928</v>
      </c>
      <c r="G1934" s="31" t="n">
        <v>2988.26</v>
      </c>
      <c r="H1934" s="31" t="n">
        <v>1487.96</v>
      </c>
      <c r="I1934" t="inlineStr">
        <is>
          <t>Paid</t>
        </is>
      </c>
      <c r="K1934" s="29" t="n">
        <v>45973</v>
      </c>
      <c r="L1934" s="33" t="n"/>
    </row>
    <row r="1935">
      <c r="A1935" t="inlineStr">
        <is>
          <t>CLM518625</t>
        </is>
      </c>
      <c r="B1935" t="inlineStr">
        <is>
          <t>ENC118625</t>
        </is>
      </c>
      <c r="C1935" t="inlineStr">
        <is>
          <t>Keystone Health Partners</t>
        </is>
      </c>
      <c r="D1935" t="inlineStr">
        <is>
          <t>Inpatient</t>
        </is>
      </c>
      <c r="E1935" s="29" t="n">
        <v>45934</v>
      </c>
      <c r="F1935" s="29" t="n">
        <v>45939</v>
      </c>
      <c r="G1935" s="31" t="n">
        <v>32241.36</v>
      </c>
      <c r="H1935" s="31" t="n">
        <v>12564.45</v>
      </c>
      <c r="I1935" t="inlineStr">
        <is>
          <t>Paid</t>
        </is>
      </c>
      <c r="K1935" s="29" t="n">
        <v>45976</v>
      </c>
      <c r="L1935" s="33" t="n"/>
    </row>
    <row r="1936">
      <c r="A1936" t="inlineStr">
        <is>
          <t>CLM518627</t>
        </is>
      </c>
      <c r="B1936" t="inlineStr">
        <is>
          <t>ENC118627</t>
        </is>
      </c>
      <c r="C1936" t="inlineStr">
        <is>
          <t>Medicare</t>
        </is>
      </c>
      <c r="D1936" t="inlineStr">
        <is>
          <t>Emergency</t>
        </is>
      </c>
      <c r="E1936" s="29" t="n">
        <v>45921</v>
      </c>
      <c r="F1936" s="29" t="n">
        <v>45932</v>
      </c>
      <c r="G1936" s="31" t="n">
        <v>3315.05</v>
      </c>
      <c r="H1936" s="31" t="n">
        <v>1013.25</v>
      </c>
      <c r="I1936" t="inlineStr">
        <is>
          <t>Paid</t>
        </is>
      </c>
      <c r="K1936" s="29" t="n">
        <v>45955</v>
      </c>
      <c r="L1936" s="33" t="n"/>
    </row>
    <row r="1937">
      <c r="A1937" t="inlineStr">
        <is>
          <t>CLM518632</t>
        </is>
      </c>
      <c r="B1937" t="inlineStr">
        <is>
          <t>ENC118632</t>
        </is>
      </c>
      <c r="C1937" t="inlineStr">
        <is>
          <t>Keystone Health Partners</t>
        </is>
      </c>
      <c r="D1937" t="inlineStr">
        <is>
          <t>Emergency</t>
        </is>
      </c>
      <c r="E1937" s="29" t="n">
        <v>45921</v>
      </c>
      <c r="F1937" s="29" t="n">
        <v>45925</v>
      </c>
      <c r="G1937" s="31" t="n">
        <v>4220.62</v>
      </c>
      <c r="H1937" s="31" t="n">
        <v>1500.11</v>
      </c>
      <c r="I1937" t="inlineStr">
        <is>
          <t>Partially Paid</t>
        </is>
      </c>
      <c r="J1937" t="inlineStr">
        <is>
          <t>Coding Error</t>
        </is>
      </c>
      <c r="K1937" s="29" t="n">
        <v>45947</v>
      </c>
      <c r="L1937" s="33" t="n"/>
    </row>
    <row r="1938">
      <c r="A1938" t="inlineStr">
        <is>
          <t>CLM518635</t>
        </is>
      </c>
      <c r="B1938" t="inlineStr">
        <is>
          <t>ENC118635</t>
        </is>
      </c>
      <c r="C1938" t="inlineStr">
        <is>
          <t>Medicare</t>
        </is>
      </c>
      <c r="D1938" t="inlineStr">
        <is>
          <t>Emergency</t>
        </is>
      </c>
      <c r="E1938" s="29" t="n">
        <v>45921</v>
      </c>
      <c r="F1938" s="29" t="n">
        <v>45923</v>
      </c>
      <c r="G1938" s="31" t="n">
        <v>2902.41</v>
      </c>
      <c r="H1938" s="31" t="n">
        <v>784.46</v>
      </c>
      <c r="I1938" t="inlineStr">
        <is>
          <t>Paid</t>
        </is>
      </c>
      <c r="K1938" s="29" t="n">
        <v>45938</v>
      </c>
      <c r="L1938" s="33" t="n"/>
    </row>
    <row r="1939">
      <c r="A1939" t="inlineStr">
        <is>
          <t>CLM518636</t>
        </is>
      </c>
      <c r="B1939" t="inlineStr">
        <is>
          <t>ENC118636</t>
        </is>
      </c>
      <c r="C1939" t="inlineStr">
        <is>
          <t>Evergreen Mutual Insurance</t>
        </is>
      </c>
      <c r="D1939" t="inlineStr">
        <is>
          <t>Inpatient</t>
        </is>
      </c>
      <c r="E1939" s="29" t="n">
        <v>45925</v>
      </c>
      <c r="F1939" s="29" t="n">
        <v>45931</v>
      </c>
      <c r="G1939" s="31" t="n">
        <v>19061.4</v>
      </c>
      <c r="H1939" s="31" t="n">
        <v>8237.51</v>
      </c>
      <c r="I1939" t="inlineStr">
        <is>
          <t>Paid</t>
        </is>
      </c>
      <c r="K1939" s="29" t="n">
        <v>45955</v>
      </c>
      <c r="L1939" s="33" t="n"/>
    </row>
    <row r="1940">
      <c r="A1940" t="inlineStr">
        <is>
          <t>CLM518637</t>
        </is>
      </c>
      <c r="B1940" t="inlineStr">
        <is>
          <t>ENC118637</t>
        </is>
      </c>
      <c r="C1940" t="inlineStr">
        <is>
          <t>State Medicaid</t>
        </is>
      </c>
      <c r="D1940" t="inlineStr">
        <is>
          <t>Emergency</t>
        </is>
      </c>
      <c r="E1940" s="29" t="n">
        <v>45922</v>
      </c>
      <c r="F1940" s="29" t="n">
        <v>45923</v>
      </c>
      <c r="G1940" s="31" t="n">
        <v>2759.56</v>
      </c>
      <c r="H1940" s="31" t="n">
        <v>365.29</v>
      </c>
      <c r="I1940" t="inlineStr">
        <is>
          <t>Partially Paid</t>
        </is>
      </c>
      <c r="J1940" t="inlineStr">
        <is>
          <t>Coding Error</t>
        </is>
      </c>
      <c r="K1940" s="29" t="n">
        <v>45962</v>
      </c>
      <c r="L1940" s="33" t="n"/>
    </row>
    <row r="1941">
      <c r="A1941" t="inlineStr">
        <is>
          <t>CLM518638</t>
        </is>
      </c>
      <c r="B1941" t="inlineStr">
        <is>
          <t>ENC118638</t>
        </is>
      </c>
      <c r="C1941" t="inlineStr">
        <is>
          <t>Silverline Medicare Advantage</t>
        </is>
      </c>
      <c r="D1941" t="inlineStr">
        <is>
          <t>Observation</t>
        </is>
      </c>
      <c r="E1941" s="29" t="n">
        <v>45922</v>
      </c>
      <c r="F1941" s="29" t="n">
        <v>45926</v>
      </c>
      <c r="G1941" s="31" t="n">
        <v>10786.54</v>
      </c>
      <c r="H1941" s="31" t="n">
        <v>3384.88</v>
      </c>
      <c r="I1941" t="inlineStr">
        <is>
          <t>Paid</t>
        </is>
      </c>
      <c r="K1941" s="29" t="n">
        <v>45957</v>
      </c>
      <c r="L1941" s="33" t="n"/>
    </row>
    <row r="1942">
      <c r="A1942" t="inlineStr">
        <is>
          <t>CLM518645</t>
        </is>
      </c>
      <c r="B1942" t="inlineStr">
        <is>
          <t>ENC118645</t>
        </is>
      </c>
      <c r="C1942" t="inlineStr">
        <is>
          <t>Medicare</t>
        </is>
      </c>
      <c r="D1942" t="inlineStr">
        <is>
          <t>Emergency</t>
        </is>
      </c>
      <c r="E1942" s="29" t="n">
        <v>45922</v>
      </c>
      <c r="F1942" s="29" t="n">
        <v>45927</v>
      </c>
      <c r="G1942" s="31" t="n">
        <v>3817.17</v>
      </c>
      <c r="H1942" s="31" t="n">
        <v>1008.48</v>
      </c>
      <c r="I1942" t="inlineStr">
        <is>
          <t>Paid</t>
        </is>
      </c>
      <c r="K1942" s="29" t="n">
        <v>45934</v>
      </c>
      <c r="L1942" s="33" t="n"/>
    </row>
    <row r="1943">
      <c r="A1943" t="inlineStr">
        <is>
          <t>CLM518647</t>
        </is>
      </c>
      <c r="B1943" t="inlineStr">
        <is>
          <t>ENC118647</t>
        </is>
      </c>
      <c r="C1943" t="inlineStr">
        <is>
          <t>State Medicaid</t>
        </is>
      </c>
      <c r="D1943" t="inlineStr">
        <is>
          <t>Inpatient</t>
        </is>
      </c>
      <c r="E1943" s="29" t="n">
        <v>45925</v>
      </c>
      <c r="F1943" s="29" t="n">
        <v>45927</v>
      </c>
      <c r="G1943" s="31" t="n">
        <v>16971.24</v>
      </c>
      <c r="H1943" s="31" t="n">
        <v>4244.1</v>
      </c>
      <c r="I1943" t="inlineStr">
        <is>
          <t>Paid</t>
        </is>
      </c>
      <c r="K1943" s="29" t="n">
        <v>45955</v>
      </c>
      <c r="L1943" s="33" t="n"/>
    </row>
    <row r="1944">
      <c r="A1944" t="inlineStr">
        <is>
          <t>CLM518652</t>
        </is>
      </c>
      <c r="B1944" t="inlineStr">
        <is>
          <t>ENC118652</t>
        </is>
      </c>
      <c r="C1944" t="inlineStr">
        <is>
          <t>Evergreen Mutual Insurance</t>
        </is>
      </c>
      <c r="D1944" t="inlineStr">
        <is>
          <t>Emergency</t>
        </is>
      </c>
      <c r="E1944" s="29" t="n">
        <v>45922</v>
      </c>
      <c r="F1944" s="29" t="n">
        <v>45930</v>
      </c>
      <c r="G1944" s="31" t="n">
        <v>1312.68</v>
      </c>
      <c r="H1944" s="31" t="n">
        <v>595.41</v>
      </c>
      <c r="I1944" t="inlineStr">
        <is>
          <t>Paid</t>
        </is>
      </c>
      <c r="K1944" s="29" t="n">
        <v>45959</v>
      </c>
      <c r="L1944" s="33" t="n"/>
    </row>
    <row r="1945">
      <c r="A1945" t="inlineStr">
        <is>
          <t>CLM518655</t>
        </is>
      </c>
      <c r="B1945" t="inlineStr">
        <is>
          <t>ENC118655</t>
        </is>
      </c>
      <c r="C1945" t="inlineStr">
        <is>
          <t>Silverline Medicare Advantage</t>
        </is>
      </c>
      <c r="D1945" t="inlineStr">
        <is>
          <t>Outpatient</t>
        </is>
      </c>
      <c r="E1945" s="29" t="n">
        <v>45922</v>
      </c>
      <c r="F1945" s="29" t="n">
        <v>45927</v>
      </c>
      <c r="G1945" s="31" t="n">
        <v>198.76</v>
      </c>
      <c r="H1945" s="31" t="n">
        <v>0</v>
      </c>
      <c r="I1945" t="inlineStr">
        <is>
          <t>Denied</t>
        </is>
      </c>
      <c r="J1945" t="inlineStr">
        <is>
          <t>Authorization Required</t>
        </is>
      </c>
      <c r="L1945" s="33" t="n"/>
    </row>
    <row r="1946">
      <c r="A1946" t="inlineStr">
        <is>
          <t>CLM518658</t>
        </is>
      </c>
      <c r="B1946" t="inlineStr">
        <is>
          <t>ENC118658</t>
        </is>
      </c>
      <c r="C1946" t="inlineStr">
        <is>
          <t>State Medicaid</t>
        </is>
      </c>
      <c r="D1946" t="inlineStr">
        <is>
          <t>Outpatient</t>
        </is>
      </c>
      <c r="E1946" s="29" t="n">
        <v>45922</v>
      </c>
      <c r="F1946" s="29" t="n">
        <v>45925</v>
      </c>
      <c r="G1946" s="31" t="n">
        <v>10124.14</v>
      </c>
      <c r="H1946" s="31" t="n">
        <v>2311.41</v>
      </c>
      <c r="I1946" t="inlineStr">
        <is>
          <t>Paid</t>
        </is>
      </c>
      <c r="K1946" s="29" t="n">
        <v>45966</v>
      </c>
      <c r="L1946" s="33" t="n"/>
    </row>
    <row r="1947">
      <c r="A1947" t="inlineStr">
        <is>
          <t>CLM518662</t>
        </is>
      </c>
      <c r="B1947" t="inlineStr">
        <is>
          <t>ENC118662</t>
        </is>
      </c>
      <c r="C1947" t="inlineStr">
        <is>
          <t>Workers' Compensation</t>
        </is>
      </c>
      <c r="D1947" t="inlineStr">
        <is>
          <t>Outpatient</t>
        </is>
      </c>
      <c r="E1947" s="29" t="n">
        <v>45922</v>
      </c>
      <c r="F1947" s="29" t="n">
        <v>45927</v>
      </c>
      <c r="G1947" s="31" t="n">
        <v>252.02</v>
      </c>
      <c r="H1947" s="31" t="n">
        <v>141.82</v>
      </c>
      <c r="I1947" t="inlineStr">
        <is>
          <t>Paid</t>
        </is>
      </c>
      <c r="K1947" s="29" t="n">
        <v>45971</v>
      </c>
      <c r="L1947" s="33" t="n"/>
    </row>
    <row r="1948">
      <c r="A1948" t="inlineStr">
        <is>
          <t>CLM518663</t>
        </is>
      </c>
      <c r="B1948" t="inlineStr">
        <is>
          <t>ENC118663</t>
        </is>
      </c>
      <c r="C1948" t="inlineStr">
        <is>
          <t>Medicare</t>
        </is>
      </c>
      <c r="D1948" t="inlineStr">
        <is>
          <t>Outpatient</t>
        </is>
      </c>
      <c r="E1948" s="29" t="n">
        <v>45922</v>
      </c>
      <c r="F1948" s="29" t="n">
        <v>45926</v>
      </c>
      <c r="G1948" s="31" t="n">
        <v>210.31</v>
      </c>
      <c r="H1948" s="31" t="n">
        <v>65.79000000000001</v>
      </c>
      <c r="I1948" t="inlineStr">
        <is>
          <t>Paid</t>
        </is>
      </c>
      <c r="K1948" s="29" t="n">
        <v>45950</v>
      </c>
      <c r="L1948" s="33" t="n"/>
    </row>
    <row r="1949">
      <c r="A1949" t="inlineStr">
        <is>
          <t>CLM518667</t>
        </is>
      </c>
      <c r="B1949" t="inlineStr">
        <is>
          <t>ENC118667</t>
        </is>
      </c>
      <c r="C1949" t="inlineStr">
        <is>
          <t>Summit Choice PPO</t>
        </is>
      </c>
      <c r="D1949" t="inlineStr">
        <is>
          <t>Inpatient</t>
        </is>
      </c>
      <c r="E1949" s="29" t="n">
        <v>45931</v>
      </c>
      <c r="F1949" s="29" t="n">
        <v>45935</v>
      </c>
      <c r="G1949" s="31" t="n">
        <v>37997.22</v>
      </c>
      <c r="H1949" s="31" t="n">
        <v>0</v>
      </c>
      <c r="I1949" t="inlineStr">
        <is>
          <t>Denied</t>
        </is>
      </c>
      <c r="J1949" t="inlineStr">
        <is>
          <t>Duplicate Claim</t>
        </is>
      </c>
      <c r="L1949" s="33" t="n"/>
    </row>
    <row r="1950">
      <c r="A1950" t="inlineStr">
        <is>
          <t>CLM518668</t>
        </is>
      </c>
      <c r="B1950" t="inlineStr">
        <is>
          <t>ENC118668</t>
        </is>
      </c>
      <c r="C1950" t="inlineStr">
        <is>
          <t>Medicare</t>
        </is>
      </c>
      <c r="D1950" t="inlineStr">
        <is>
          <t>Inpatient</t>
        </is>
      </c>
      <c r="E1950" s="29" t="n">
        <v>45925</v>
      </c>
      <c r="F1950" s="29" t="n">
        <v>45931</v>
      </c>
      <c r="G1950" s="31" t="n">
        <v>17974.6</v>
      </c>
      <c r="H1950" s="31" t="n">
        <v>5161.69</v>
      </c>
      <c r="I1950" t="inlineStr">
        <is>
          <t>Paid</t>
        </is>
      </c>
      <c r="K1950" s="29" t="n">
        <v>45939</v>
      </c>
      <c r="L1950" s="33" t="n"/>
    </row>
    <row r="1951">
      <c r="A1951" t="inlineStr">
        <is>
          <t>CLM518669</t>
        </is>
      </c>
      <c r="B1951" t="inlineStr">
        <is>
          <t>ENC118669</t>
        </is>
      </c>
      <c r="C1951" t="inlineStr">
        <is>
          <t>Keystone Health Partners</t>
        </is>
      </c>
      <c r="D1951" t="inlineStr">
        <is>
          <t>Outpatient</t>
        </is>
      </c>
      <c r="E1951" s="29" t="n">
        <v>45922</v>
      </c>
      <c r="F1951" s="29" t="n">
        <v>45926</v>
      </c>
      <c r="G1951" s="31" t="n">
        <v>10983.61</v>
      </c>
      <c r="H1951" s="31" t="n">
        <v>5388.19</v>
      </c>
      <c r="I1951" t="inlineStr">
        <is>
          <t>Paid</t>
        </is>
      </c>
      <c r="K1951" s="29" t="n">
        <v>45949</v>
      </c>
      <c r="L1951" s="33" t="n"/>
    </row>
    <row r="1952">
      <c r="A1952" t="inlineStr">
        <is>
          <t>CLM518678</t>
        </is>
      </c>
      <c r="B1952" t="inlineStr">
        <is>
          <t>ENC118678</t>
        </is>
      </c>
      <c r="C1952" t="inlineStr">
        <is>
          <t>Summit Choice PPO</t>
        </is>
      </c>
      <c r="D1952" t="inlineStr">
        <is>
          <t>Emergency</t>
        </is>
      </c>
      <c r="E1952" s="29" t="n">
        <v>45923</v>
      </c>
      <c r="F1952" s="29" t="n">
        <v>45929</v>
      </c>
      <c r="G1952" s="31" t="n">
        <v>3666.01</v>
      </c>
      <c r="H1952" s="31" t="n">
        <v>1698.33</v>
      </c>
      <c r="I1952" t="inlineStr">
        <is>
          <t>Paid</t>
        </is>
      </c>
      <c r="K1952" s="29" t="n">
        <v>45944</v>
      </c>
      <c r="L1952" s="33" t="n"/>
    </row>
    <row r="1953">
      <c r="A1953" t="inlineStr">
        <is>
          <t>CLM518681</t>
        </is>
      </c>
      <c r="B1953" t="inlineStr">
        <is>
          <t>ENC118681</t>
        </is>
      </c>
      <c r="C1953" t="inlineStr">
        <is>
          <t>Workers' Compensation</t>
        </is>
      </c>
      <c r="D1953" t="inlineStr">
        <is>
          <t>Emergency</t>
        </is>
      </c>
      <c r="E1953" s="29" t="n">
        <v>45923</v>
      </c>
      <c r="F1953" s="29" t="n">
        <v>45932</v>
      </c>
      <c r="G1953" s="31" t="n">
        <v>607.1</v>
      </c>
      <c r="H1953" s="31" t="n">
        <v>403.5</v>
      </c>
      <c r="I1953" t="inlineStr">
        <is>
          <t>Paid</t>
        </is>
      </c>
      <c r="K1953" s="29" t="n">
        <v>45982</v>
      </c>
      <c r="L1953" s="33" t="n"/>
    </row>
    <row r="1954">
      <c r="A1954" t="inlineStr">
        <is>
          <t>CLM518682</t>
        </is>
      </c>
      <c r="B1954" t="inlineStr">
        <is>
          <t>ENC118682</t>
        </is>
      </c>
      <c r="C1954" t="inlineStr">
        <is>
          <t>Self-Pay</t>
        </is>
      </c>
      <c r="D1954" t="inlineStr">
        <is>
          <t>Emergency</t>
        </is>
      </c>
      <c r="E1954" s="29" t="n">
        <v>45923</v>
      </c>
      <c r="F1954" s="29" t="n">
        <v>45927</v>
      </c>
      <c r="G1954" s="31" t="n">
        <v>4573.44</v>
      </c>
      <c r="H1954" s="31" t="n">
        <v>0</v>
      </c>
      <c r="I1954" t="inlineStr">
        <is>
          <t>Pending</t>
        </is>
      </c>
      <c r="L1954" s="33" t="n"/>
    </row>
    <row r="1955">
      <c r="A1955" t="inlineStr">
        <is>
          <t>CLM518687</t>
        </is>
      </c>
      <c r="B1955" t="inlineStr">
        <is>
          <t>ENC118687</t>
        </is>
      </c>
      <c r="C1955" t="inlineStr">
        <is>
          <t>Evergreen Mutual Insurance</t>
        </is>
      </c>
      <c r="D1955" t="inlineStr">
        <is>
          <t>Emergency</t>
        </is>
      </c>
      <c r="E1955" s="29" t="n">
        <v>45923</v>
      </c>
      <c r="F1955" s="29" t="n">
        <v>45927</v>
      </c>
      <c r="G1955" s="31" t="n">
        <v>4585.04</v>
      </c>
      <c r="H1955" s="31" t="n">
        <v>1937.9</v>
      </c>
      <c r="I1955" t="inlineStr">
        <is>
          <t>Paid</t>
        </is>
      </c>
      <c r="K1955" s="29" t="n">
        <v>45959</v>
      </c>
      <c r="L1955" s="33" t="n"/>
    </row>
    <row r="1956">
      <c r="A1956" t="inlineStr">
        <is>
          <t>CLM518688</t>
        </is>
      </c>
      <c r="B1956" t="inlineStr">
        <is>
          <t>ENC118688</t>
        </is>
      </c>
      <c r="C1956" t="inlineStr">
        <is>
          <t>Keystone Health Partners</t>
        </is>
      </c>
      <c r="D1956" t="inlineStr">
        <is>
          <t>Outpatient</t>
        </is>
      </c>
      <c r="E1956" s="29" t="n">
        <v>45923</v>
      </c>
      <c r="F1956" s="29" t="n">
        <v>45929</v>
      </c>
      <c r="G1956" s="31" t="n">
        <v>284.45</v>
      </c>
      <c r="H1956" s="31" t="n">
        <v>124.54</v>
      </c>
      <c r="I1956" t="inlineStr">
        <is>
          <t>Paid</t>
        </is>
      </c>
      <c r="K1956" s="29" t="n">
        <v>45952</v>
      </c>
      <c r="L1956" s="33" t="n"/>
    </row>
    <row r="1957">
      <c r="A1957" t="inlineStr">
        <is>
          <t>CLM518690</t>
        </is>
      </c>
      <c r="B1957" t="inlineStr">
        <is>
          <t>ENC118690</t>
        </is>
      </c>
      <c r="C1957" t="inlineStr">
        <is>
          <t>State Medicaid</t>
        </is>
      </c>
      <c r="D1957" t="inlineStr">
        <is>
          <t>Inpatient</t>
        </is>
      </c>
      <c r="E1957" s="29" t="n">
        <v>45926</v>
      </c>
      <c r="F1957" s="29" t="n">
        <v>45928</v>
      </c>
      <c r="G1957" s="31" t="n">
        <v>17382.13</v>
      </c>
      <c r="H1957" s="31" t="n">
        <v>4600.02</v>
      </c>
      <c r="I1957" t="inlineStr">
        <is>
          <t>Paid</t>
        </is>
      </c>
      <c r="K1957" s="29" t="n">
        <v>45969</v>
      </c>
      <c r="L1957" s="33" t="n"/>
    </row>
    <row r="1958">
      <c r="A1958" t="inlineStr">
        <is>
          <t>CLM518696</t>
        </is>
      </c>
      <c r="B1958" t="inlineStr">
        <is>
          <t>ENC118696</t>
        </is>
      </c>
      <c r="C1958" t="inlineStr">
        <is>
          <t>Evergreen Mutual Insurance</t>
        </is>
      </c>
      <c r="D1958" t="inlineStr">
        <is>
          <t>Outpatient</t>
        </is>
      </c>
      <c r="E1958" s="29" t="n">
        <v>45923</v>
      </c>
      <c r="F1958" s="29" t="n">
        <v>45925</v>
      </c>
      <c r="G1958" s="31" t="n">
        <v>383.01</v>
      </c>
      <c r="H1958" s="31" t="n">
        <v>162.45</v>
      </c>
      <c r="I1958" t="inlineStr">
        <is>
          <t>Paid</t>
        </is>
      </c>
      <c r="K1958" s="29" t="n">
        <v>45946</v>
      </c>
      <c r="L1958" s="33" t="n"/>
    </row>
    <row r="1959">
      <c r="A1959" t="inlineStr">
        <is>
          <t>CLM518698</t>
        </is>
      </c>
      <c r="B1959" t="inlineStr">
        <is>
          <t>ENC118698</t>
        </is>
      </c>
      <c r="C1959" t="inlineStr">
        <is>
          <t>Summit Choice PPO</t>
        </is>
      </c>
      <c r="D1959" t="inlineStr">
        <is>
          <t>Inpatient</t>
        </is>
      </c>
      <c r="E1959" s="29" t="n">
        <v>45928</v>
      </c>
      <c r="F1959" s="29" t="n">
        <v>45932</v>
      </c>
      <c r="G1959" s="31" t="n">
        <v>13047.85</v>
      </c>
      <c r="H1959" s="31" t="n">
        <v>6978.65</v>
      </c>
      <c r="I1959" t="inlineStr">
        <is>
          <t>Paid</t>
        </is>
      </c>
      <c r="K1959" s="29" t="n">
        <v>45950</v>
      </c>
      <c r="L1959" s="33" t="n"/>
    </row>
    <row r="1960">
      <c r="A1960" t="inlineStr">
        <is>
          <t>CLM518699</t>
        </is>
      </c>
      <c r="B1960" t="inlineStr">
        <is>
          <t>ENC118699</t>
        </is>
      </c>
      <c r="C1960" t="inlineStr">
        <is>
          <t>Silverline Medicare Advantage</t>
        </is>
      </c>
      <c r="D1960" t="inlineStr">
        <is>
          <t>Outpatient</t>
        </is>
      </c>
      <c r="E1960" s="29" t="n">
        <v>45923</v>
      </c>
      <c r="F1960" s="29" t="n">
        <v>45927</v>
      </c>
      <c r="G1960" s="31" t="n">
        <v>16461.87</v>
      </c>
      <c r="H1960" s="31" t="n">
        <v>4350.07</v>
      </c>
      <c r="I1960" t="inlineStr">
        <is>
          <t>Paid</t>
        </is>
      </c>
      <c r="K1960" s="29" t="n">
        <v>45937</v>
      </c>
      <c r="L1960" s="33" t="n"/>
    </row>
    <row r="1961">
      <c r="A1961" t="inlineStr">
        <is>
          <t>CLM518703</t>
        </is>
      </c>
      <c r="B1961" t="inlineStr">
        <is>
          <t>ENC118703</t>
        </is>
      </c>
      <c r="C1961" t="inlineStr">
        <is>
          <t>Workers' Compensation</t>
        </is>
      </c>
      <c r="D1961" t="inlineStr">
        <is>
          <t>Emergency</t>
        </is>
      </c>
      <c r="E1961" s="29" t="n">
        <v>45923</v>
      </c>
      <c r="F1961" s="29" t="n">
        <v>45927</v>
      </c>
      <c r="G1961" s="31" t="n">
        <v>1244.96</v>
      </c>
      <c r="H1961" s="31" t="n">
        <v>742.05</v>
      </c>
      <c r="I1961" t="inlineStr">
        <is>
          <t>Paid</t>
        </is>
      </c>
      <c r="K1961" s="29" t="n">
        <v>45982</v>
      </c>
      <c r="L1961" s="33" t="n"/>
    </row>
    <row r="1962">
      <c r="A1962" t="inlineStr">
        <is>
          <t>CLM518707</t>
        </is>
      </c>
      <c r="B1962" t="inlineStr">
        <is>
          <t>ENC118707</t>
        </is>
      </c>
      <c r="C1962" t="inlineStr">
        <is>
          <t>Silverline Medicare Advantage</t>
        </is>
      </c>
      <c r="D1962" t="inlineStr">
        <is>
          <t>Emergency</t>
        </is>
      </c>
      <c r="E1962" s="29" t="n">
        <v>45923</v>
      </c>
      <c r="F1962" s="29" t="n">
        <v>45927</v>
      </c>
      <c r="G1962" s="31" t="n">
        <v>4405.02</v>
      </c>
      <c r="H1962" s="31" t="n">
        <v>1337.75</v>
      </c>
      <c r="I1962" t="inlineStr">
        <is>
          <t>Paid</t>
        </is>
      </c>
      <c r="K1962" s="29" t="n">
        <v>45960</v>
      </c>
      <c r="L1962" s="33" t="n"/>
    </row>
    <row r="1963">
      <c r="A1963" t="inlineStr">
        <is>
          <t>CLM518709</t>
        </is>
      </c>
      <c r="B1963" t="inlineStr">
        <is>
          <t>ENC118709</t>
        </is>
      </c>
      <c r="C1963" t="inlineStr">
        <is>
          <t>State Medicaid</t>
        </is>
      </c>
      <c r="D1963" t="inlineStr">
        <is>
          <t>Emergency</t>
        </is>
      </c>
      <c r="E1963" s="29" t="n">
        <v>45923</v>
      </c>
      <c r="F1963" s="29" t="n">
        <v>45925</v>
      </c>
      <c r="G1963" s="31" t="n">
        <v>2846.52</v>
      </c>
      <c r="H1963" s="31" t="n">
        <v>756.3200000000001</v>
      </c>
      <c r="I1963" t="inlineStr">
        <is>
          <t>Paid</t>
        </is>
      </c>
      <c r="K1963" s="29" t="n">
        <v>45954</v>
      </c>
      <c r="L1963" s="33" t="n"/>
    </row>
    <row r="1964">
      <c r="A1964" t="inlineStr">
        <is>
          <t>CLM518721</t>
        </is>
      </c>
      <c r="B1964" t="inlineStr">
        <is>
          <t>ENC118721</t>
        </is>
      </c>
      <c r="C1964" t="inlineStr">
        <is>
          <t>State Medicaid</t>
        </is>
      </c>
      <c r="D1964" t="inlineStr">
        <is>
          <t>Outpatient</t>
        </is>
      </c>
      <c r="E1964" s="29" t="n">
        <v>45924</v>
      </c>
      <c r="F1964" s="29" t="n">
        <v>45933</v>
      </c>
      <c r="G1964" s="31" t="n">
        <v>251.13</v>
      </c>
      <c r="H1964" s="31" t="n">
        <v>57.01</v>
      </c>
      <c r="I1964" t="inlineStr">
        <is>
          <t>Paid</t>
        </is>
      </c>
      <c r="K1964" s="29" t="n">
        <v>45960</v>
      </c>
      <c r="L1964" s="33" t="n"/>
    </row>
    <row r="1965">
      <c r="A1965" t="inlineStr">
        <is>
          <t>CLM518722</t>
        </is>
      </c>
      <c r="B1965" t="inlineStr">
        <is>
          <t>ENC118722</t>
        </is>
      </c>
      <c r="C1965" t="inlineStr">
        <is>
          <t>State Medicaid</t>
        </is>
      </c>
      <c r="D1965" t="inlineStr">
        <is>
          <t>Outpatient</t>
        </is>
      </c>
      <c r="E1965" s="29" t="n">
        <v>45924</v>
      </c>
      <c r="F1965" s="29" t="n">
        <v>45927</v>
      </c>
      <c r="G1965" s="31" t="n">
        <v>339.1</v>
      </c>
      <c r="H1965" s="31" t="n">
        <v>79.97</v>
      </c>
      <c r="I1965" t="inlineStr">
        <is>
          <t>Paid</t>
        </is>
      </c>
      <c r="K1965" s="29" t="n">
        <v>45945</v>
      </c>
      <c r="L1965" s="33" t="n"/>
    </row>
    <row r="1966">
      <c r="A1966" t="inlineStr">
        <is>
          <t>CLM518725</t>
        </is>
      </c>
      <c r="B1966" t="inlineStr">
        <is>
          <t>ENC118725</t>
        </is>
      </c>
      <c r="C1966" t="inlineStr">
        <is>
          <t>Evergreen Mutual Insurance</t>
        </is>
      </c>
      <c r="D1966" t="inlineStr">
        <is>
          <t>Outpatient</t>
        </is>
      </c>
      <c r="E1966" s="29" t="n">
        <v>45924</v>
      </c>
      <c r="F1966" s="29" t="n">
        <v>45933</v>
      </c>
      <c r="G1966" s="31" t="n">
        <v>366.17</v>
      </c>
      <c r="H1966" s="31" t="n">
        <v>0</v>
      </c>
      <c r="I1966" t="inlineStr">
        <is>
          <t>Denied</t>
        </is>
      </c>
      <c r="J1966" t="inlineStr">
        <is>
          <t>Authorization Required</t>
        </is>
      </c>
      <c r="L1966" s="33" t="n"/>
    </row>
    <row r="1967">
      <c r="A1967" t="inlineStr">
        <is>
          <t>CLM518729</t>
        </is>
      </c>
      <c r="B1967" t="inlineStr">
        <is>
          <t>ENC118729</t>
        </is>
      </c>
      <c r="C1967" t="inlineStr">
        <is>
          <t>Evergreen Mutual Insurance</t>
        </is>
      </c>
      <c r="D1967" t="inlineStr">
        <is>
          <t>Inpatient</t>
        </is>
      </c>
      <c r="E1967" s="29" t="n">
        <v>45928</v>
      </c>
      <c r="F1967" s="29" t="n">
        <v>45930</v>
      </c>
      <c r="G1967" s="31" t="n">
        <v>14680.6</v>
      </c>
      <c r="H1967" s="31" t="n">
        <v>7719.36</v>
      </c>
      <c r="I1967" t="inlineStr">
        <is>
          <t>Paid</t>
        </is>
      </c>
      <c r="K1967" s="29" t="n">
        <v>45947</v>
      </c>
      <c r="L1967" s="33" t="n"/>
    </row>
    <row r="1968">
      <c r="A1968" t="inlineStr">
        <is>
          <t>CLM518732</t>
        </is>
      </c>
      <c r="B1968" t="inlineStr">
        <is>
          <t>ENC118732</t>
        </is>
      </c>
      <c r="C1968" t="inlineStr">
        <is>
          <t>State Medicaid</t>
        </is>
      </c>
      <c r="D1968" t="inlineStr">
        <is>
          <t>Emergency</t>
        </is>
      </c>
      <c r="E1968" s="29" t="n">
        <v>45924</v>
      </c>
      <c r="F1968" s="29" t="n">
        <v>45934</v>
      </c>
      <c r="G1968" s="31" t="n">
        <v>1857</v>
      </c>
      <c r="H1968" s="31" t="n">
        <v>0</v>
      </c>
      <c r="I1968" t="inlineStr">
        <is>
          <t>Appealed</t>
        </is>
      </c>
      <c r="J1968" t="inlineStr">
        <is>
          <t>Coding Error</t>
        </is>
      </c>
      <c r="L1968" s="33" t="n"/>
    </row>
    <row r="1969">
      <c r="A1969" t="inlineStr">
        <is>
          <t>CLM518735</t>
        </is>
      </c>
      <c r="B1969" t="inlineStr">
        <is>
          <t>ENC118735</t>
        </is>
      </c>
      <c r="C1969" t="inlineStr">
        <is>
          <t>Medicare</t>
        </is>
      </c>
      <c r="D1969" t="inlineStr">
        <is>
          <t>Emergency</t>
        </is>
      </c>
      <c r="E1969" s="29" t="n">
        <v>45924</v>
      </c>
      <c r="F1969" s="29" t="n">
        <v>45926</v>
      </c>
      <c r="G1969" s="31" t="n">
        <v>2709.13</v>
      </c>
      <c r="H1969" s="31" t="n">
        <v>795.21</v>
      </c>
      <c r="I1969" t="inlineStr">
        <is>
          <t>Paid</t>
        </is>
      </c>
      <c r="K1969" s="29" t="n">
        <v>45938</v>
      </c>
      <c r="L1969" s="33" t="n"/>
    </row>
    <row r="1970">
      <c r="A1970" t="inlineStr">
        <is>
          <t>CLM518737</t>
        </is>
      </c>
      <c r="B1970" t="inlineStr">
        <is>
          <t>ENC118737</t>
        </is>
      </c>
      <c r="C1970" t="inlineStr">
        <is>
          <t>Medicare</t>
        </is>
      </c>
      <c r="D1970" t="inlineStr">
        <is>
          <t>Outpatient</t>
        </is>
      </c>
      <c r="E1970" s="29" t="n">
        <v>45924</v>
      </c>
      <c r="F1970" s="29" t="n">
        <v>45929</v>
      </c>
      <c r="G1970" s="31" t="n">
        <v>160.88</v>
      </c>
      <c r="H1970" s="31" t="n">
        <v>44.55</v>
      </c>
      <c r="I1970" t="inlineStr">
        <is>
          <t>Paid</t>
        </is>
      </c>
      <c r="K1970" s="29" t="n">
        <v>45940</v>
      </c>
      <c r="L1970" s="33" t="n"/>
    </row>
    <row r="1971">
      <c r="A1971" t="inlineStr">
        <is>
          <t>CLM518740</t>
        </is>
      </c>
      <c r="B1971" t="inlineStr">
        <is>
          <t>ENC118740</t>
        </is>
      </c>
      <c r="C1971" t="inlineStr">
        <is>
          <t>Silverline Medicare Advantage</t>
        </is>
      </c>
      <c r="D1971" t="inlineStr">
        <is>
          <t>Emergency</t>
        </is>
      </c>
      <c r="E1971" s="29" t="n">
        <v>45925</v>
      </c>
      <c r="F1971" s="29" t="n">
        <v>45927</v>
      </c>
      <c r="G1971" s="31" t="n">
        <v>2777.37</v>
      </c>
      <c r="H1971" s="31" t="n">
        <v>663.84</v>
      </c>
      <c r="I1971" t="inlineStr">
        <is>
          <t>Partially Paid</t>
        </is>
      </c>
      <c r="J1971" t="inlineStr">
        <is>
          <t>Coding Error</t>
        </is>
      </c>
      <c r="K1971" s="29" t="n">
        <v>45967</v>
      </c>
      <c r="L1971" s="33" t="n"/>
    </row>
    <row r="1972">
      <c r="A1972" t="inlineStr">
        <is>
          <t>CLM518744</t>
        </is>
      </c>
      <c r="B1972" t="inlineStr">
        <is>
          <t>ENC118744</t>
        </is>
      </c>
      <c r="C1972" t="inlineStr">
        <is>
          <t>Evergreen Mutual Insurance</t>
        </is>
      </c>
      <c r="D1972" t="inlineStr">
        <is>
          <t>Outpatient</t>
        </is>
      </c>
      <c r="E1972" s="29" t="n">
        <v>45925</v>
      </c>
      <c r="F1972" s="29" t="n">
        <v>45928</v>
      </c>
      <c r="G1972" s="31" t="n">
        <v>438.75</v>
      </c>
      <c r="H1972" s="31" t="n">
        <v>187.53</v>
      </c>
      <c r="I1972" t="inlineStr">
        <is>
          <t>Paid</t>
        </is>
      </c>
      <c r="K1972" s="29" t="n">
        <v>45965</v>
      </c>
      <c r="L1972" s="33" t="n"/>
    </row>
    <row r="1973">
      <c r="A1973" t="inlineStr">
        <is>
          <t>CLM518745</t>
        </is>
      </c>
      <c r="B1973" t="inlineStr">
        <is>
          <t>ENC118745</t>
        </is>
      </c>
      <c r="C1973" t="inlineStr">
        <is>
          <t>Medicare</t>
        </is>
      </c>
      <c r="D1973" t="inlineStr">
        <is>
          <t>Emergency</t>
        </is>
      </c>
      <c r="E1973" s="29" t="n">
        <v>45925</v>
      </c>
      <c r="F1973" s="29" t="n">
        <v>45929</v>
      </c>
      <c r="G1973" s="31" t="n">
        <v>2368.95</v>
      </c>
      <c r="H1973" s="31" t="n">
        <v>662.58</v>
      </c>
      <c r="I1973" t="inlineStr">
        <is>
          <t>Paid</t>
        </is>
      </c>
      <c r="K1973" s="29" t="n">
        <v>45938</v>
      </c>
      <c r="L1973" s="33" t="n"/>
    </row>
    <row r="1974">
      <c r="A1974" t="inlineStr">
        <is>
          <t>CLM518750</t>
        </is>
      </c>
      <c r="B1974" t="inlineStr">
        <is>
          <t>ENC118750</t>
        </is>
      </c>
      <c r="C1974" t="inlineStr">
        <is>
          <t>Keystone Health Partners</t>
        </is>
      </c>
      <c r="D1974" t="inlineStr">
        <is>
          <t>Emergency</t>
        </is>
      </c>
      <c r="E1974" s="29" t="n">
        <v>45925</v>
      </c>
      <c r="F1974" s="29" t="n">
        <v>45927</v>
      </c>
      <c r="G1974" s="31" t="n">
        <v>2504.39</v>
      </c>
      <c r="H1974" s="31" t="n">
        <v>1138.45</v>
      </c>
      <c r="I1974" t="inlineStr">
        <is>
          <t>Paid</t>
        </is>
      </c>
      <c r="K1974" s="29" t="n">
        <v>45950</v>
      </c>
      <c r="L1974" s="33" t="n"/>
    </row>
    <row r="1975">
      <c r="A1975" t="inlineStr">
        <is>
          <t>CLM518751</t>
        </is>
      </c>
      <c r="B1975" t="inlineStr">
        <is>
          <t>ENC118751</t>
        </is>
      </c>
      <c r="C1975" t="inlineStr">
        <is>
          <t>Keystone Health Partners</t>
        </is>
      </c>
      <c r="D1975" t="inlineStr">
        <is>
          <t>Emergency</t>
        </is>
      </c>
      <c r="E1975" s="29" t="n">
        <v>45925</v>
      </c>
      <c r="F1975" s="29" t="n">
        <v>46022</v>
      </c>
      <c r="G1975" s="31" t="n">
        <v>4014.13</v>
      </c>
      <c r="H1975" s="31" t="n">
        <v>0</v>
      </c>
      <c r="I1975" t="inlineStr">
        <is>
          <t>Denied</t>
        </is>
      </c>
      <c r="J1975" t="inlineStr">
        <is>
          <t>Timely Filing</t>
        </is>
      </c>
      <c r="L1975" s="33" t="n"/>
    </row>
    <row r="1976">
      <c r="A1976" t="inlineStr">
        <is>
          <t>CLM518753</t>
        </is>
      </c>
      <c r="B1976" t="inlineStr">
        <is>
          <t>ENC118753</t>
        </is>
      </c>
      <c r="C1976" t="inlineStr">
        <is>
          <t>Self-Pay</t>
        </is>
      </c>
      <c r="D1976" t="inlineStr">
        <is>
          <t>Outpatient</t>
        </is>
      </c>
      <c r="E1976" s="29" t="n">
        <v>45925</v>
      </c>
      <c r="F1976" s="29" t="n">
        <v>45930</v>
      </c>
      <c r="G1976" s="31" t="n">
        <v>231.45</v>
      </c>
      <c r="H1976" s="31" t="n">
        <v>82.34999999999999</v>
      </c>
      <c r="I1976" t="inlineStr">
        <is>
          <t>Paid</t>
        </is>
      </c>
      <c r="K1976" s="29" t="n">
        <v>45985</v>
      </c>
      <c r="L1976" s="33" t="n"/>
    </row>
    <row r="1977">
      <c r="A1977" t="inlineStr">
        <is>
          <t>CLM518768</t>
        </is>
      </c>
      <c r="B1977" t="inlineStr">
        <is>
          <t>ENC118768</t>
        </is>
      </c>
      <c r="C1977" t="inlineStr">
        <is>
          <t>State Medicaid</t>
        </is>
      </c>
      <c r="D1977" t="inlineStr">
        <is>
          <t>Outpatient</t>
        </is>
      </c>
      <c r="E1977" s="29" t="n">
        <v>45926</v>
      </c>
      <c r="F1977" s="29" t="n">
        <v>45931</v>
      </c>
      <c r="G1977" s="31" t="n">
        <v>100.44</v>
      </c>
      <c r="H1977" s="31" t="n">
        <v>24</v>
      </c>
      <c r="I1977" t="inlineStr">
        <is>
          <t>Paid</t>
        </is>
      </c>
      <c r="K1977" s="29" t="n">
        <v>45960</v>
      </c>
      <c r="L1977" s="33" t="n"/>
    </row>
    <row r="1978">
      <c r="A1978" t="inlineStr">
        <is>
          <t>CLM518769</t>
        </is>
      </c>
      <c r="B1978" t="inlineStr">
        <is>
          <t>ENC118769</t>
        </is>
      </c>
      <c r="C1978" t="inlineStr">
        <is>
          <t>Summit Choice PPO</t>
        </is>
      </c>
      <c r="D1978" t="inlineStr">
        <is>
          <t>Emergency</t>
        </is>
      </c>
      <c r="E1978" s="29" t="n">
        <v>45926</v>
      </c>
      <c r="F1978" s="29" t="n">
        <v>45927</v>
      </c>
      <c r="G1978" s="31" t="n">
        <v>1763.74</v>
      </c>
      <c r="H1978" s="31" t="n">
        <v>901.54</v>
      </c>
      <c r="I1978" t="inlineStr">
        <is>
          <t>Paid</t>
        </is>
      </c>
      <c r="K1978" s="29" t="n">
        <v>45948</v>
      </c>
      <c r="L1978" s="33" t="n"/>
    </row>
    <row r="1979">
      <c r="A1979" t="inlineStr">
        <is>
          <t>CLM518774</t>
        </is>
      </c>
      <c r="B1979" t="inlineStr">
        <is>
          <t>ENC118774</t>
        </is>
      </c>
      <c r="C1979" t="inlineStr">
        <is>
          <t>Silverline Medicare Advantage</t>
        </is>
      </c>
      <c r="D1979" t="inlineStr">
        <is>
          <t>Outpatient</t>
        </is>
      </c>
      <c r="E1979" s="29" t="n">
        <v>45926</v>
      </c>
      <c r="F1979" s="29" t="n">
        <v>45931</v>
      </c>
      <c r="G1979" s="31" t="n">
        <v>301.73</v>
      </c>
      <c r="H1979" s="31" t="n">
        <v>88.31999999999999</v>
      </c>
      <c r="I1979" t="inlineStr">
        <is>
          <t>Paid</t>
        </is>
      </c>
      <c r="K1979" s="29" t="n">
        <v>45960</v>
      </c>
      <c r="L1979" s="33" t="n"/>
    </row>
    <row r="1980">
      <c r="A1980" t="inlineStr">
        <is>
          <t>CLM518776</t>
        </is>
      </c>
      <c r="B1980" t="inlineStr">
        <is>
          <t>ENC118776</t>
        </is>
      </c>
      <c r="C1980" t="inlineStr">
        <is>
          <t>Keystone Health Partners</t>
        </is>
      </c>
      <c r="D1980" t="inlineStr">
        <is>
          <t>Outpatient</t>
        </is>
      </c>
      <c r="E1980" s="29" t="n">
        <v>45926</v>
      </c>
      <c r="F1980" s="29" t="n">
        <v>45928</v>
      </c>
      <c r="G1980" s="31" t="n">
        <v>242.62</v>
      </c>
      <c r="H1980" s="31" t="n">
        <v>45.02</v>
      </c>
      <c r="I1980" t="inlineStr">
        <is>
          <t>Partially Paid</t>
        </is>
      </c>
      <c r="J1980" t="inlineStr">
        <is>
          <t>Coding Error</t>
        </is>
      </c>
      <c r="K1980" s="29" t="n">
        <v>45965</v>
      </c>
      <c r="L1980" s="33" t="n"/>
    </row>
    <row r="1981">
      <c r="A1981" t="inlineStr">
        <is>
          <t>CLM518777</t>
        </is>
      </c>
      <c r="B1981" t="inlineStr">
        <is>
          <t>ENC118777</t>
        </is>
      </c>
      <c r="C1981" t="inlineStr">
        <is>
          <t>Silverline Medicare Advantage</t>
        </is>
      </c>
      <c r="D1981" t="inlineStr">
        <is>
          <t>Outpatient</t>
        </is>
      </c>
      <c r="E1981" s="29" t="n">
        <v>45926</v>
      </c>
      <c r="F1981" s="29" t="n">
        <v>45931</v>
      </c>
      <c r="G1981" s="31" t="n">
        <v>514.13</v>
      </c>
      <c r="H1981" s="31" t="n">
        <v>156.66</v>
      </c>
      <c r="I1981" t="inlineStr">
        <is>
          <t>Paid</t>
        </is>
      </c>
      <c r="K1981" s="29" t="n">
        <v>45946</v>
      </c>
      <c r="L1981" s="33" t="n"/>
    </row>
    <row r="1982">
      <c r="A1982" t="inlineStr">
        <is>
          <t>CLM518778</t>
        </is>
      </c>
      <c r="B1982" t="inlineStr">
        <is>
          <t>ENC118778</t>
        </is>
      </c>
      <c r="C1982" t="inlineStr">
        <is>
          <t>Evergreen Mutual Insurance</t>
        </is>
      </c>
      <c r="D1982" t="inlineStr">
        <is>
          <t>Emergency</t>
        </is>
      </c>
      <c r="E1982" s="29" t="n">
        <v>45926</v>
      </c>
      <c r="F1982" s="29" t="n">
        <v>45929</v>
      </c>
      <c r="G1982" s="31" t="n">
        <v>3308.97</v>
      </c>
      <c r="H1982" s="31" t="n">
        <v>1828.3</v>
      </c>
      <c r="I1982" t="inlineStr">
        <is>
          <t>Paid</t>
        </is>
      </c>
      <c r="K1982" s="29" t="n">
        <v>45943</v>
      </c>
      <c r="L1982" s="33" t="n"/>
    </row>
    <row r="1983">
      <c r="A1983" t="inlineStr">
        <is>
          <t>CLM518782</t>
        </is>
      </c>
      <c r="B1983" t="inlineStr">
        <is>
          <t>ENC118782</t>
        </is>
      </c>
      <c r="C1983" t="inlineStr">
        <is>
          <t>Keystone Health Partners</t>
        </is>
      </c>
      <c r="D1983" t="inlineStr">
        <is>
          <t>Outpatient</t>
        </is>
      </c>
      <c r="E1983" s="29" t="n">
        <v>45926</v>
      </c>
      <c r="F1983" s="29" t="n">
        <v>45929</v>
      </c>
      <c r="G1983" s="31" t="n">
        <v>332.88</v>
      </c>
      <c r="H1983" s="31" t="n">
        <v>0</v>
      </c>
      <c r="I1983" t="inlineStr">
        <is>
          <t>Appealed</t>
        </is>
      </c>
      <c r="J1983" t="inlineStr">
        <is>
          <t>Eligibility / Coverage</t>
        </is>
      </c>
      <c r="L1983" s="33" t="n"/>
    </row>
    <row r="1984">
      <c r="A1984" t="inlineStr">
        <is>
          <t>CLM518783</t>
        </is>
      </c>
      <c r="B1984" t="inlineStr">
        <is>
          <t>ENC118783</t>
        </is>
      </c>
      <c r="C1984" t="inlineStr">
        <is>
          <t>Evergreen Mutual Insurance</t>
        </is>
      </c>
      <c r="D1984" t="inlineStr">
        <is>
          <t>Observation</t>
        </is>
      </c>
      <c r="E1984" s="29" t="n">
        <v>45927</v>
      </c>
      <c r="F1984" s="29" t="n">
        <v>45929</v>
      </c>
      <c r="G1984" s="31" t="n">
        <v>4365.34</v>
      </c>
      <c r="H1984" s="31" t="n">
        <v>2050.7</v>
      </c>
      <c r="I1984" t="inlineStr">
        <is>
          <t>Paid</t>
        </is>
      </c>
      <c r="K1984" s="29" t="n">
        <v>45954</v>
      </c>
      <c r="L1984" s="33" t="n"/>
    </row>
    <row r="1985">
      <c r="A1985" t="inlineStr">
        <is>
          <t>CLM518789</t>
        </is>
      </c>
      <c r="B1985" t="inlineStr">
        <is>
          <t>ENC118789</t>
        </is>
      </c>
      <c r="C1985" t="inlineStr">
        <is>
          <t>State Medicaid</t>
        </is>
      </c>
      <c r="D1985" t="inlineStr">
        <is>
          <t>Inpatient</t>
        </is>
      </c>
      <c r="E1985" s="29" t="n">
        <v>45930</v>
      </c>
      <c r="F1985" s="29" t="n">
        <v>45933</v>
      </c>
      <c r="G1985" s="31" t="n">
        <v>19954.37</v>
      </c>
      <c r="H1985" s="31" t="n">
        <v>4172.6</v>
      </c>
      <c r="I1985" t="inlineStr">
        <is>
          <t>Paid</t>
        </is>
      </c>
      <c r="K1985" s="29" t="n">
        <v>45985</v>
      </c>
      <c r="L1985" s="33" t="n"/>
    </row>
    <row r="1986">
      <c r="A1986" t="inlineStr">
        <is>
          <t>CLM518790</t>
        </is>
      </c>
      <c r="B1986" t="inlineStr">
        <is>
          <t>ENC118790</t>
        </is>
      </c>
      <c r="C1986" t="inlineStr">
        <is>
          <t>Self-Pay</t>
        </is>
      </c>
      <c r="D1986" t="inlineStr">
        <is>
          <t>Emergency</t>
        </is>
      </c>
      <c r="E1986" s="29" t="n">
        <v>45927</v>
      </c>
      <c r="F1986" s="29" t="n">
        <v>45929</v>
      </c>
      <c r="G1986" s="31" t="n">
        <v>3600.31</v>
      </c>
      <c r="H1986" s="31" t="n">
        <v>382.66</v>
      </c>
      <c r="I1986" t="inlineStr">
        <is>
          <t>Partially Paid</t>
        </is>
      </c>
      <c r="K1986" s="29" t="n">
        <v>45983</v>
      </c>
      <c r="L1986" s="33" t="n"/>
    </row>
    <row r="1987">
      <c r="A1987" t="inlineStr">
        <is>
          <t>CLM518793</t>
        </is>
      </c>
      <c r="B1987" t="inlineStr">
        <is>
          <t>ENC118793</t>
        </is>
      </c>
      <c r="C1987" t="inlineStr">
        <is>
          <t>Summit Choice PPO</t>
        </is>
      </c>
      <c r="D1987" t="inlineStr">
        <is>
          <t>Inpatient</t>
        </is>
      </c>
      <c r="E1987" s="29" t="n">
        <v>45930</v>
      </c>
      <c r="F1987" s="29" t="n">
        <v>45932</v>
      </c>
      <c r="G1987" s="31" t="n">
        <v>31041.48</v>
      </c>
      <c r="H1987" s="31" t="n">
        <v>17792.51</v>
      </c>
      <c r="I1987" t="inlineStr">
        <is>
          <t>Paid</t>
        </is>
      </c>
      <c r="K1987" s="29" t="n">
        <v>45952</v>
      </c>
      <c r="L1987" s="33" t="n"/>
    </row>
    <row r="1988">
      <c r="A1988" t="inlineStr">
        <is>
          <t>CLM518799</t>
        </is>
      </c>
      <c r="B1988" t="inlineStr">
        <is>
          <t>ENC118799</t>
        </is>
      </c>
      <c r="C1988" t="inlineStr">
        <is>
          <t>Keystone Health Partners</t>
        </is>
      </c>
      <c r="D1988" t="inlineStr">
        <is>
          <t>Emergency</t>
        </is>
      </c>
      <c r="E1988" s="29" t="n">
        <v>45927</v>
      </c>
      <c r="F1988" s="29" t="n">
        <v>45932</v>
      </c>
      <c r="G1988" s="31" t="n">
        <v>2046.72</v>
      </c>
      <c r="H1988" s="31" t="n">
        <v>0</v>
      </c>
      <c r="I1988" t="inlineStr">
        <is>
          <t>Denied</t>
        </is>
      </c>
      <c r="J1988" t="inlineStr">
        <is>
          <t>Authorization Required</t>
        </is>
      </c>
      <c r="L1988" s="33" t="n"/>
    </row>
    <row r="1989">
      <c r="A1989" t="inlineStr">
        <is>
          <t>CLM518815</t>
        </is>
      </c>
      <c r="B1989" t="inlineStr">
        <is>
          <t>ENC118815</t>
        </is>
      </c>
      <c r="C1989" t="inlineStr">
        <is>
          <t>Keystone Health Partners</t>
        </is>
      </c>
      <c r="D1989" t="inlineStr">
        <is>
          <t>Emergency</t>
        </is>
      </c>
      <c r="E1989" s="29" t="n">
        <v>45928</v>
      </c>
      <c r="F1989" s="29" t="n">
        <v>45932</v>
      </c>
      <c r="G1989" s="31" t="n">
        <v>2681.96</v>
      </c>
      <c r="H1989" s="31" t="n">
        <v>1332.83</v>
      </c>
      <c r="I1989" t="inlineStr">
        <is>
          <t>Paid</t>
        </is>
      </c>
      <c r="K1989" s="29" t="n">
        <v>45953</v>
      </c>
      <c r="L1989" s="33" t="n"/>
    </row>
    <row r="1990">
      <c r="A1990" t="inlineStr">
        <is>
          <t>CLM518817</t>
        </is>
      </c>
      <c r="B1990" t="inlineStr">
        <is>
          <t>ENC118817</t>
        </is>
      </c>
      <c r="C1990" t="inlineStr">
        <is>
          <t>Medicare</t>
        </is>
      </c>
      <c r="D1990" t="inlineStr">
        <is>
          <t>Emergency</t>
        </is>
      </c>
      <c r="E1990" s="29" t="n">
        <v>45928</v>
      </c>
      <c r="F1990" s="29" t="n">
        <v>45930</v>
      </c>
      <c r="G1990" s="31" t="n">
        <v>821.61</v>
      </c>
      <c r="H1990" s="31" t="n">
        <v>268.01</v>
      </c>
      <c r="I1990" t="inlineStr">
        <is>
          <t>Paid</t>
        </is>
      </c>
      <c r="K1990" s="29" t="n">
        <v>45972</v>
      </c>
      <c r="L1990" s="33" t="n"/>
    </row>
    <row r="1991">
      <c r="A1991" t="inlineStr">
        <is>
          <t>CLM518821</t>
        </is>
      </c>
      <c r="B1991" t="inlineStr">
        <is>
          <t>ENC118821</t>
        </is>
      </c>
      <c r="C1991" t="inlineStr">
        <is>
          <t>Keystone Health Partners</t>
        </is>
      </c>
      <c r="D1991" t="inlineStr">
        <is>
          <t>Inpatient</t>
        </is>
      </c>
      <c r="E1991" s="29" t="n">
        <v>45930</v>
      </c>
      <c r="F1991" s="29" t="n">
        <v>45933</v>
      </c>
      <c r="G1991" s="31" t="n">
        <v>11714.9</v>
      </c>
      <c r="H1991" s="31" t="n">
        <v>4840.44</v>
      </c>
      <c r="I1991" t="inlineStr">
        <is>
          <t>Paid</t>
        </is>
      </c>
      <c r="K1991" s="29" t="n">
        <v>45946</v>
      </c>
      <c r="L1991" s="33" t="n"/>
    </row>
    <row r="1992">
      <c r="A1992" t="inlineStr">
        <is>
          <t>CLM518824</t>
        </is>
      </c>
      <c r="B1992" t="inlineStr">
        <is>
          <t>ENC118824</t>
        </is>
      </c>
      <c r="C1992" t="inlineStr">
        <is>
          <t>State Medicaid</t>
        </is>
      </c>
      <c r="D1992" t="inlineStr">
        <is>
          <t>Inpatient</t>
        </is>
      </c>
      <c r="E1992" s="29" t="n">
        <v>45934</v>
      </c>
      <c r="F1992" s="29" t="n">
        <v>45938</v>
      </c>
      <c r="G1992" s="31" t="n">
        <v>19463.64</v>
      </c>
      <c r="H1992" s="31" t="n">
        <v>4532.21</v>
      </c>
      <c r="I1992" t="inlineStr">
        <is>
          <t>Paid</t>
        </is>
      </c>
      <c r="K1992" s="29" t="n">
        <v>45970</v>
      </c>
      <c r="L1992" s="33" t="n"/>
    </row>
    <row r="1993">
      <c r="A1993" t="inlineStr">
        <is>
          <t>CLM518826</t>
        </is>
      </c>
      <c r="B1993" t="inlineStr">
        <is>
          <t>ENC118826</t>
        </is>
      </c>
      <c r="C1993" t="inlineStr">
        <is>
          <t>State Medicaid</t>
        </is>
      </c>
      <c r="D1993" t="inlineStr">
        <is>
          <t>Observation</t>
        </is>
      </c>
      <c r="E1993" s="29" t="n">
        <v>45931</v>
      </c>
      <c r="F1993" s="29" t="n">
        <v>45936</v>
      </c>
      <c r="G1993" s="31" t="n">
        <v>14058.01</v>
      </c>
      <c r="H1993" s="31" t="n">
        <v>3419.8</v>
      </c>
      <c r="I1993" t="inlineStr">
        <is>
          <t>Paid</t>
        </is>
      </c>
      <c r="K1993" s="29" t="n">
        <v>45968</v>
      </c>
      <c r="L1993" s="33" t="n"/>
    </row>
    <row r="1994">
      <c r="A1994" t="inlineStr">
        <is>
          <t>CLM518827</t>
        </is>
      </c>
      <c r="B1994" t="inlineStr">
        <is>
          <t>ENC118827</t>
        </is>
      </c>
      <c r="C1994" t="inlineStr">
        <is>
          <t>Medicare</t>
        </is>
      </c>
      <c r="D1994" t="inlineStr">
        <is>
          <t>Emergency</t>
        </is>
      </c>
      <c r="E1994" s="29" t="n">
        <v>45929</v>
      </c>
      <c r="F1994" s="29" t="n">
        <v>45932</v>
      </c>
      <c r="G1994" s="31" t="n">
        <v>583.74</v>
      </c>
      <c r="H1994" s="31" t="n">
        <v>70.8</v>
      </c>
      <c r="I1994" t="inlineStr">
        <is>
          <t>Partially Paid</t>
        </is>
      </c>
      <c r="J1994" t="inlineStr">
        <is>
          <t>Coding Error</t>
        </is>
      </c>
      <c r="K1994" s="29" t="n">
        <v>45942</v>
      </c>
      <c r="L1994" s="33" t="n"/>
    </row>
    <row r="1995">
      <c r="A1995" t="inlineStr">
        <is>
          <t>CLM518828</t>
        </is>
      </c>
      <c r="B1995" t="inlineStr">
        <is>
          <t>ENC118828</t>
        </is>
      </c>
      <c r="C1995" t="inlineStr">
        <is>
          <t>Silverline Medicare Advantage</t>
        </is>
      </c>
      <c r="D1995" t="inlineStr">
        <is>
          <t>Outpatient</t>
        </is>
      </c>
      <c r="E1995" s="29" t="n">
        <v>45929</v>
      </c>
      <c r="F1995" s="29" t="n">
        <v>45930</v>
      </c>
      <c r="G1995" s="31" t="n">
        <v>393.77</v>
      </c>
      <c r="H1995" s="31" t="n">
        <v>61.98</v>
      </c>
      <c r="I1995" t="inlineStr">
        <is>
          <t>Partially Paid</t>
        </is>
      </c>
      <c r="J1995" t="inlineStr">
        <is>
          <t>Medical Necessity</t>
        </is>
      </c>
      <c r="K1995" s="29" t="n">
        <v>45965</v>
      </c>
      <c r="L1995" s="33" t="n"/>
    </row>
    <row r="1996">
      <c r="A1996" t="inlineStr">
        <is>
          <t>CLM518829</t>
        </is>
      </c>
      <c r="B1996" t="inlineStr">
        <is>
          <t>ENC118829</t>
        </is>
      </c>
      <c r="C1996" t="inlineStr">
        <is>
          <t>Medicare</t>
        </is>
      </c>
      <c r="D1996" t="inlineStr">
        <is>
          <t>Outpatient</t>
        </is>
      </c>
      <c r="E1996" s="29" t="n">
        <v>45929</v>
      </c>
      <c r="F1996" s="29" t="n">
        <v>45936</v>
      </c>
      <c r="G1996" s="31" t="n">
        <v>119</v>
      </c>
      <c r="H1996" s="31" t="n">
        <v>33.66</v>
      </c>
      <c r="I1996" t="inlineStr">
        <is>
          <t>Paid</t>
        </is>
      </c>
      <c r="K1996" s="29" t="n">
        <v>45945</v>
      </c>
      <c r="L1996" s="33" t="n"/>
    </row>
    <row r="1997">
      <c r="A1997" t="inlineStr">
        <is>
          <t>CLM518833</t>
        </is>
      </c>
      <c r="B1997" t="inlineStr">
        <is>
          <t>ENC118833</t>
        </is>
      </c>
      <c r="C1997" t="inlineStr">
        <is>
          <t>Keystone Health Partners</t>
        </is>
      </c>
      <c r="D1997" t="inlineStr">
        <is>
          <t>Emergency</t>
        </is>
      </c>
      <c r="E1997" s="29" t="n">
        <v>45929</v>
      </c>
      <c r="F1997" s="29" t="n">
        <v>45934</v>
      </c>
      <c r="G1997" s="31" t="n">
        <v>4429.18</v>
      </c>
      <c r="H1997" s="31" t="n">
        <v>2172.86</v>
      </c>
      <c r="I1997" t="inlineStr">
        <is>
          <t>Paid</t>
        </is>
      </c>
      <c r="K1997" s="29" t="n">
        <v>45966</v>
      </c>
      <c r="L1997" s="33" t="n"/>
    </row>
    <row r="1998">
      <c r="A1998" t="inlineStr">
        <is>
          <t>CLM518836</t>
        </is>
      </c>
      <c r="B1998" t="inlineStr">
        <is>
          <t>ENC118836</t>
        </is>
      </c>
      <c r="C1998" t="inlineStr">
        <is>
          <t>State Medicaid</t>
        </is>
      </c>
      <c r="D1998" t="inlineStr">
        <is>
          <t>Emergency</t>
        </is>
      </c>
      <c r="E1998" s="29" t="n">
        <v>45929</v>
      </c>
      <c r="F1998" s="29" t="n">
        <v>45933</v>
      </c>
      <c r="G1998" s="31" t="n">
        <v>4034.51</v>
      </c>
      <c r="H1998" s="31" t="n">
        <v>0</v>
      </c>
      <c r="I1998" t="inlineStr">
        <is>
          <t>Appealed</t>
        </is>
      </c>
      <c r="J1998" t="inlineStr">
        <is>
          <t>Medical Necessity</t>
        </is>
      </c>
      <c r="L1998" s="33" t="n"/>
    </row>
    <row r="1999">
      <c r="A1999" t="inlineStr">
        <is>
          <t>CLM518845</t>
        </is>
      </c>
      <c r="B1999" t="inlineStr">
        <is>
          <t>ENC118845</t>
        </is>
      </c>
      <c r="C1999" t="inlineStr">
        <is>
          <t>Evergreen Mutual Insurance</t>
        </is>
      </c>
      <c r="D1999" t="inlineStr">
        <is>
          <t>Outpatient</t>
        </is>
      </c>
      <c r="E1999" s="29" t="n">
        <v>45929</v>
      </c>
      <c r="F1999" s="29" t="n">
        <v>45933</v>
      </c>
      <c r="G1999" s="31" t="n">
        <v>297.04</v>
      </c>
      <c r="H1999" s="31" t="n">
        <v>121.17</v>
      </c>
      <c r="I1999" t="inlineStr">
        <is>
          <t>Paid</t>
        </is>
      </c>
      <c r="K1999" s="29" t="n">
        <v>45952</v>
      </c>
      <c r="L1999" s="33" t="n"/>
    </row>
    <row r="2000">
      <c r="A2000" t="inlineStr">
        <is>
          <t>CLM518855</t>
        </is>
      </c>
      <c r="B2000" t="inlineStr">
        <is>
          <t>ENC118855</t>
        </is>
      </c>
      <c r="C2000" t="inlineStr">
        <is>
          <t>Keystone Health Partners</t>
        </is>
      </c>
      <c r="D2000" t="inlineStr">
        <is>
          <t>Inpatient</t>
        </is>
      </c>
      <c r="E2000" s="29" t="n">
        <v>45933</v>
      </c>
      <c r="F2000" s="29" t="n">
        <v>45939</v>
      </c>
      <c r="G2000" s="31" t="n">
        <v>66398.97</v>
      </c>
      <c r="H2000" s="31" t="n">
        <v>32293.45</v>
      </c>
      <c r="I2000" t="inlineStr">
        <is>
          <t>Paid</t>
        </is>
      </c>
      <c r="K2000" s="29" t="n">
        <v>45960</v>
      </c>
      <c r="L2000" s="33" t="n"/>
    </row>
    <row r="2001">
      <c r="A2001" t="inlineStr">
        <is>
          <t>CLM518858</t>
        </is>
      </c>
      <c r="B2001" t="inlineStr">
        <is>
          <t>ENC118858</t>
        </is>
      </c>
      <c r="C2001" t="inlineStr">
        <is>
          <t>Medicare</t>
        </is>
      </c>
      <c r="D2001" t="inlineStr">
        <is>
          <t>Outpatient</t>
        </is>
      </c>
      <c r="E2001" s="29" t="n">
        <v>45930</v>
      </c>
      <c r="F2001" s="29" t="n">
        <v>45933</v>
      </c>
      <c r="G2001" s="31" t="n">
        <v>307.33</v>
      </c>
      <c r="H2001" s="31" t="n">
        <v>92.04000000000001</v>
      </c>
      <c r="I2001" t="inlineStr">
        <is>
          <t>Paid</t>
        </is>
      </c>
      <c r="K2001" s="29" t="n">
        <v>45946</v>
      </c>
      <c r="L2001" s="33" t="n"/>
    </row>
    <row r="2002">
      <c r="A2002" t="inlineStr">
        <is>
          <t>CLM518862</t>
        </is>
      </c>
      <c r="B2002" t="inlineStr">
        <is>
          <t>ENC118862</t>
        </is>
      </c>
      <c r="C2002" t="inlineStr">
        <is>
          <t>Evergreen Mutual Insurance</t>
        </is>
      </c>
      <c r="D2002" t="inlineStr">
        <is>
          <t>Emergency</t>
        </is>
      </c>
      <c r="E2002" s="29" t="n">
        <v>45930</v>
      </c>
      <c r="F2002" s="29" t="n">
        <v>45936</v>
      </c>
      <c r="G2002" s="31" t="n">
        <v>1049.63</v>
      </c>
      <c r="H2002" s="31" t="n">
        <v>497.41</v>
      </c>
      <c r="I2002" t="inlineStr">
        <is>
          <t>Paid</t>
        </is>
      </c>
      <c r="K2002" s="29" t="n">
        <v>45965</v>
      </c>
      <c r="L2002" s="33" t="n"/>
    </row>
    <row r="2003">
      <c r="A2003" t="inlineStr">
        <is>
          <t>CLM518865</t>
        </is>
      </c>
      <c r="B2003" t="inlineStr">
        <is>
          <t>ENC118865</t>
        </is>
      </c>
      <c r="C2003" t="inlineStr">
        <is>
          <t>Keystone Health Partners</t>
        </is>
      </c>
      <c r="D2003" t="inlineStr">
        <is>
          <t>Outpatient</t>
        </is>
      </c>
      <c r="E2003" s="29" t="n">
        <v>45930</v>
      </c>
      <c r="F2003" s="29" t="n">
        <v>45935</v>
      </c>
      <c r="G2003" s="31" t="n">
        <v>813.09</v>
      </c>
      <c r="H2003" s="31" t="n">
        <v>365.51</v>
      </c>
      <c r="I2003" t="inlineStr">
        <is>
          <t>Paid</t>
        </is>
      </c>
      <c r="K2003" s="29" t="n">
        <v>45957</v>
      </c>
      <c r="L2003" s="33" t="n"/>
    </row>
    <row r="2004">
      <c r="A2004" t="inlineStr">
        <is>
          <t>CLM518868</t>
        </is>
      </c>
      <c r="B2004" t="inlineStr">
        <is>
          <t>ENC118868</t>
        </is>
      </c>
      <c r="C2004" t="inlineStr">
        <is>
          <t>Evergreen Mutual Insurance</t>
        </is>
      </c>
      <c r="D2004" t="inlineStr">
        <is>
          <t>Outpatient</t>
        </is>
      </c>
      <c r="E2004" s="29" t="n">
        <v>45930</v>
      </c>
      <c r="F2004" s="29" t="n">
        <v>45931</v>
      </c>
      <c r="G2004" s="31" t="n">
        <v>587.0599999999999</v>
      </c>
      <c r="H2004" s="31" t="n">
        <v>221.11</v>
      </c>
      <c r="I2004" t="inlineStr">
        <is>
          <t>Paid</t>
        </is>
      </c>
      <c r="K2004" s="29" t="n">
        <v>45962</v>
      </c>
      <c r="L2004" s="33" t="n"/>
    </row>
    <row r="2005">
      <c r="A2005" t="inlineStr">
        <is>
          <t>CLM518871</t>
        </is>
      </c>
      <c r="B2005" t="inlineStr">
        <is>
          <t>ENC118871</t>
        </is>
      </c>
      <c r="C2005" t="inlineStr">
        <is>
          <t>Evergreen Mutual Insurance</t>
        </is>
      </c>
      <c r="D2005" t="inlineStr">
        <is>
          <t>Emergency</t>
        </is>
      </c>
      <c r="E2005" s="29" t="n">
        <v>45930</v>
      </c>
      <c r="F2005" s="29" t="n">
        <v>45991</v>
      </c>
      <c r="G2005" s="31" t="n">
        <v>1133.28</v>
      </c>
      <c r="H2005" s="31" t="n">
        <v>0</v>
      </c>
      <c r="I2005" t="inlineStr">
        <is>
          <t>Denied</t>
        </is>
      </c>
      <c r="J2005" t="inlineStr">
        <is>
          <t>Medical Necessity</t>
        </is>
      </c>
      <c r="L2005" s="33" t="n"/>
    </row>
    <row r="2006">
      <c r="A2006" t="inlineStr">
        <is>
          <t>CLM518880</t>
        </is>
      </c>
      <c r="B2006" t="inlineStr">
        <is>
          <t>ENC118880</t>
        </is>
      </c>
      <c r="C2006" t="inlineStr">
        <is>
          <t>State Medicaid</t>
        </is>
      </c>
      <c r="D2006" t="inlineStr">
        <is>
          <t>Emergency</t>
        </is>
      </c>
      <c r="E2006" s="29" t="n">
        <v>45930</v>
      </c>
      <c r="F2006" s="29" t="n">
        <v>45936</v>
      </c>
      <c r="G2006" s="31" t="n">
        <v>3314.49</v>
      </c>
      <c r="H2006" s="31" t="n">
        <v>0</v>
      </c>
      <c r="I2006" t="inlineStr">
        <is>
          <t>Denied</t>
        </is>
      </c>
      <c r="J2006" t="inlineStr">
        <is>
          <t>Authorization Required</t>
        </is>
      </c>
      <c r="L2006" s="33" t="n"/>
    </row>
    <row r="2007">
      <c r="A2007" t="inlineStr">
        <is>
          <t>CLM518882</t>
        </is>
      </c>
      <c r="B2007" t="inlineStr">
        <is>
          <t>ENC118882</t>
        </is>
      </c>
      <c r="C2007" t="inlineStr">
        <is>
          <t>Medicare</t>
        </is>
      </c>
      <c r="D2007" t="inlineStr">
        <is>
          <t>Emergency</t>
        </is>
      </c>
      <c r="E2007" s="29" t="n">
        <v>45930</v>
      </c>
      <c r="F2007" s="29" t="n">
        <v>45932</v>
      </c>
      <c r="G2007" s="31" t="n">
        <v>1689.91</v>
      </c>
      <c r="H2007" s="31" t="n">
        <v>532.5599999999999</v>
      </c>
      <c r="I2007" t="inlineStr">
        <is>
          <t>Paid</t>
        </is>
      </c>
      <c r="K2007" s="29" t="n">
        <v>45948</v>
      </c>
      <c r="L2007" s="33" t="n"/>
    </row>
    <row r="2008">
      <c r="A2008" t="inlineStr">
        <is>
          <t>CLM518901</t>
        </is>
      </c>
      <c r="B2008" t="inlineStr">
        <is>
          <t>ENC118901</t>
        </is>
      </c>
      <c r="C2008" t="inlineStr">
        <is>
          <t>State Medicaid</t>
        </is>
      </c>
      <c r="D2008" t="inlineStr">
        <is>
          <t>Emergency</t>
        </is>
      </c>
      <c r="E2008" s="29" t="n">
        <v>45931</v>
      </c>
      <c r="F2008" s="29" t="n">
        <v>45934</v>
      </c>
      <c r="G2008" s="31" t="n">
        <v>1508.36</v>
      </c>
      <c r="H2008" s="31" t="n">
        <v>395.39</v>
      </c>
      <c r="I2008" t="inlineStr">
        <is>
          <t>Paid</t>
        </is>
      </c>
      <c r="K2008" s="29" t="n">
        <v>45965</v>
      </c>
      <c r="L2008" s="33" t="n"/>
    </row>
    <row r="2009">
      <c r="A2009" t="inlineStr">
        <is>
          <t>CLM518904</t>
        </is>
      </c>
      <c r="B2009" t="inlineStr">
        <is>
          <t>ENC118904</t>
        </is>
      </c>
      <c r="C2009" t="inlineStr">
        <is>
          <t>Silverline Medicare Advantage</t>
        </is>
      </c>
      <c r="D2009" t="inlineStr">
        <is>
          <t>Outpatient</t>
        </is>
      </c>
      <c r="E2009" s="29" t="n">
        <v>45931</v>
      </c>
      <c r="F2009" s="29" t="n">
        <v>45934</v>
      </c>
      <c r="G2009" s="31" t="n">
        <v>527.61</v>
      </c>
      <c r="H2009" s="31" t="n">
        <v>154.29</v>
      </c>
      <c r="I2009" t="inlineStr">
        <is>
          <t>Paid</t>
        </is>
      </c>
      <c r="K2009" s="29" t="n">
        <v>45948</v>
      </c>
      <c r="L2009" s="33" t="n"/>
    </row>
    <row r="2010">
      <c r="A2010" t="inlineStr">
        <is>
          <t>CLM518909</t>
        </is>
      </c>
      <c r="B2010" t="inlineStr">
        <is>
          <t>ENC118909</t>
        </is>
      </c>
      <c r="C2010" t="inlineStr">
        <is>
          <t>Evergreen Mutual Insurance</t>
        </is>
      </c>
      <c r="D2010" t="inlineStr">
        <is>
          <t>Outpatient</t>
        </is>
      </c>
      <c r="E2010" s="29" t="n">
        <v>45931</v>
      </c>
      <c r="F2010" s="29" t="n">
        <v>45932</v>
      </c>
      <c r="G2010" s="31" t="n">
        <v>382.19</v>
      </c>
      <c r="H2010" s="31" t="n">
        <v>138.74</v>
      </c>
      <c r="I2010" t="inlineStr">
        <is>
          <t>Paid</t>
        </is>
      </c>
      <c r="K2010" s="29" t="n">
        <v>45954</v>
      </c>
      <c r="L2010" s="33" t="n"/>
    </row>
    <row r="2011">
      <c r="A2011" t="inlineStr">
        <is>
          <t>CLM518915</t>
        </is>
      </c>
      <c r="B2011" t="inlineStr">
        <is>
          <t>ENC118915</t>
        </is>
      </c>
      <c r="C2011" t="inlineStr">
        <is>
          <t>Silverline Medicare Advantage</t>
        </is>
      </c>
      <c r="D2011" t="inlineStr">
        <is>
          <t>Inpatient</t>
        </is>
      </c>
      <c r="E2011" s="29" t="n">
        <v>45935</v>
      </c>
      <c r="F2011" s="29" t="n">
        <v>45939</v>
      </c>
      <c r="G2011" s="31" t="n">
        <v>23060.38</v>
      </c>
      <c r="H2011" s="31" t="n">
        <v>5981.89</v>
      </c>
      <c r="I2011" t="inlineStr">
        <is>
          <t>Paid</t>
        </is>
      </c>
      <c r="K2011" s="29" t="n">
        <v>45970</v>
      </c>
      <c r="L2011" s="33" t="n"/>
    </row>
    <row r="2012">
      <c r="A2012" t="inlineStr">
        <is>
          <t>CLM518916</t>
        </is>
      </c>
      <c r="B2012" t="inlineStr">
        <is>
          <t>ENC118916</t>
        </is>
      </c>
      <c r="C2012" t="inlineStr">
        <is>
          <t>Keystone Health Partners</t>
        </is>
      </c>
      <c r="D2012" t="inlineStr">
        <is>
          <t>Emergency</t>
        </is>
      </c>
      <c r="E2012" s="29" t="n">
        <v>45932</v>
      </c>
      <c r="F2012" s="29" t="n">
        <v>45934</v>
      </c>
      <c r="G2012" s="31" t="n">
        <v>5755.78</v>
      </c>
      <c r="H2012" s="31" t="n">
        <v>2402.94</v>
      </c>
      <c r="I2012" t="inlineStr">
        <is>
          <t>Paid</t>
        </is>
      </c>
      <c r="K2012" s="29" t="n">
        <v>45984</v>
      </c>
      <c r="L2012" s="33" t="n"/>
    </row>
    <row r="2013">
      <c r="A2013" t="inlineStr">
        <is>
          <t>CLM518919</t>
        </is>
      </c>
      <c r="B2013" t="inlineStr">
        <is>
          <t>ENC118919</t>
        </is>
      </c>
      <c r="C2013" t="inlineStr">
        <is>
          <t>State Medicaid</t>
        </is>
      </c>
      <c r="D2013" t="inlineStr">
        <is>
          <t>Inpatient</t>
        </is>
      </c>
      <c r="E2013" s="29" t="n">
        <v>45934</v>
      </c>
      <c r="F2013" s="29" t="n">
        <v>45942</v>
      </c>
      <c r="G2013" s="31" t="n">
        <v>12132.05</v>
      </c>
      <c r="H2013" s="31" t="n">
        <v>2878.16</v>
      </c>
      <c r="I2013" t="inlineStr">
        <is>
          <t>Paid</t>
        </is>
      </c>
      <c r="K2013" s="29" t="n">
        <v>45972</v>
      </c>
      <c r="L2013" s="33" t="n"/>
    </row>
    <row r="2014">
      <c r="A2014" t="inlineStr">
        <is>
          <t>CLM518920</t>
        </is>
      </c>
      <c r="B2014" t="inlineStr">
        <is>
          <t>ENC118920</t>
        </is>
      </c>
      <c r="C2014" t="inlineStr">
        <is>
          <t>State Medicaid</t>
        </is>
      </c>
      <c r="D2014" t="inlineStr">
        <is>
          <t>Outpatient</t>
        </is>
      </c>
      <c r="E2014" s="29" t="n">
        <v>45932</v>
      </c>
      <c r="F2014" s="29" t="n">
        <v>45943</v>
      </c>
      <c r="G2014" s="31" t="n">
        <v>209.16</v>
      </c>
      <c r="H2014" s="31" t="n">
        <v>48.01</v>
      </c>
      <c r="I2014" t="inlineStr">
        <is>
          <t>Paid</t>
        </is>
      </c>
      <c r="K2014" s="29" t="n">
        <v>45988</v>
      </c>
      <c r="L2014" s="33" t="n"/>
    </row>
    <row r="2015">
      <c r="A2015" t="inlineStr">
        <is>
          <t>CLM518924</t>
        </is>
      </c>
      <c r="B2015" t="inlineStr">
        <is>
          <t>ENC118924</t>
        </is>
      </c>
      <c r="C2015" t="inlineStr">
        <is>
          <t>Medicare</t>
        </is>
      </c>
      <c r="D2015" t="inlineStr">
        <is>
          <t>Outpatient</t>
        </is>
      </c>
      <c r="E2015" s="29" t="n">
        <v>45932</v>
      </c>
      <c r="F2015" s="29" t="n">
        <v>45937</v>
      </c>
      <c r="G2015" s="31" t="n">
        <v>391.99</v>
      </c>
      <c r="H2015" s="31" t="n">
        <v>104.84</v>
      </c>
      <c r="I2015" t="inlineStr">
        <is>
          <t>Paid</t>
        </is>
      </c>
      <c r="K2015" s="29" t="n">
        <v>45943</v>
      </c>
      <c r="L2015" s="33" t="n"/>
    </row>
    <row r="2016">
      <c r="A2016" t="inlineStr">
        <is>
          <t>CLM518930</t>
        </is>
      </c>
      <c r="B2016" t="inlineStr">
        <is>
          <t>ENC118930</t>
        </is>
      </c>
      <c r="C2016" t="inlineStr">
        <is>
          <t>Keystone Health Partners</t>
        </is>
      </c>
      <c r="D2016" t="inlineStr">
        <is>
          <t>Outpatient</t>
        </is>
      </c>
      <c r="E2016" s="29" t="n">
        <v>45932</v>
      </c>
      <c r="F2016" s="29" t="n">
        <v>45937</v>
      </c>
      <c r="G2016" s="31" t="n">
        <v>397.21</v>
      </c>
      <c r="H2016" s="31" t="n">
        <v>0</v>
      </c>
      <c r="I2016" t="inlineStr">
        <is>
          <t>Denied</t>
        </is>
      </c>
      <c r="J2016" t="inlineStr">
        <is>
          <t>Medical Necessity</t>
        </is>
      </c>
      <c r="L2016" s="33" t="n"/>
    </row>
    <row r="2017">
      <c r="A2017" t="inlineStr">
        <is>
          <t>CLM518932</t>
        </is>
      </c>
      <c r="B2017" t="inlineStr">
        <is>
          <t>ENC118932</t>
        </is>
      </c>
      <c r="C2017" t="inlineStr">
        <is>
          <t>Evergreen Mutual Insurance</t>
        </is>
      </c>
      <c r="D2017" t="inlineStr">
        <is>
          <t>Outpatient</t>
        </is>
      </c>
      <c r="E2017" s="29" t="n">
        <v>45932</v>
      </c>
      <c r="F2017" s="29" t="n">
        <v>45935</v>
      </c>
      <c r="G2017" s="31" t="n">
        <v>313.59</v>
      </c>
      <c r="H2017" s="31" t="n">
        <v>156.41</v>
      </c>
      <c r="I2017" t="inlineStr">
        <is>
          <t>Paid</t>
        </is>
      </c>
      <c r="K2017" s="29" t="n">
        <v>45973</v>
      </c>
      <c r="L2017" s="33" t="n"/>
    </row>
    <row r="2018">
      <c r="A2018" t="inlineStr">
        <is>
          <t>CLM518939</t>
        </is>
      </c>
      <c r="B2018" t="inlineStr">
        <is>
          <t>ENC118939</t>
        </is>
      </c>
      <c r="C2018" t="inlineStr">
        <is>
          <t>Keystone Health Partners</t>
        </is>
      </c>
      <c r="D2018" t="inlineStr">
        <is>
          <t>Outpatient</t>
        </is>
      </c>
      <c r="E2018" s="29" t="n">
        <v>45932</v>
      </c>
      <c r="F2018" s="29" t="n">
        <v>45933</v>
      </c>
      <c r="G2018" s="31" t="n">
        <v>443.95</v>
      </c>
      <c r="H2018" s="31" t="n">
        <v>228.05</v>
      </c>
      <c r="I2018" t="inlineStr">
        <is>
          <t>Paid</t>
        </is>
      </c>
      <c r="K2018" s="29" t="n">
        <v>45961</v>
      </c>
      <c r="L2018" s="33" t="n"/>
    </row>
    <row r="2019">
      <c r="A2019" t="inlineStr">
        <is>
          <t>CLM518943</t>
        </is>
      </c>
      <c r="B2019" t="inlineStr">
        <is>
          <t>ENC118943</t>
        </is>
      </c>
      <c r="C2019" t="inlineStr">
        <is>
          <t>Self-Pay</t>
        </is>
      </c>
      <c r="D2019" t="inlineStr">
        <is>
          <t>Observation</t>
        </is>
      </c>
      <c r="E2019" s="29" t="n">
        <v>45934</v>
      </c>
      <c r="F2019" s="29" t="n">
        <v>45943</v>
      </c>
      <c r="G2019" s="31" t="n">
        <v>6661.09</v>
      </c>
      <c r="H2019" s="31" t="n">
        <v>1311.83</v>
      </c>
      <c r="I2019" t="inlineStr">
        <is>
          <t>Partially Paid</t>
        </is>
      </c>
      <c r="K2019" s="29" t="n">
        <v>45992</v>
      </c>
      <c r="L2019" s="33" t="n"/>
    </row>
    <row r="2020">
      <c r="A2020" t="inlineStr">
        <is>
          <t>CLM518946</t>
        </is>
      </c>
      <c r="B2020" t="inlineStr">
        <is>
          <t>ENC118946</t>
        </is>
      </c>
      <c r="C2020" t="inlineStr">
        <is>
          <t>Evergreen Mutual Insurance</t>
        </is>
      </c>
      <c r="D2020" t="inlineStr">
        <is>
          <t>Emergency</t>
        </is>
      </c>
      <c r="E2020" s="29" t="n">
        <v>45932</v>
      </c>
      <c r="F2020" s="29" t="n">
        <v>45934</v>
      </c>
      <c r="G2020" s="31" t="n">
        <v>1454.68</v>
      </c>
      <c r="H2020" s="31" t="n">
        <v>540.8200000000001</v>
      </c>
      <c r="I2020" t="inlineStr">
        <is>
          <t>Paid</t>
        </is>
      </c>
      <c r="K2020" s="29" t="n">
        <v>45970</v>
      </c>
      <c r="L2020" s="33" t="n"/>
    </row>
    <row r="2021">
      <c r="A2021" t="inlineStr">
        <is>
          <t>CLM518955</t>
        </is>
      </c>
      <c r="B2021" t="inlineStr">
        <is>
          <t>ENC118955</t>
        </is>
      </c>
      <c r="C2021" t="inlineStr">
        <is>
          <t>Summit Choice PPO</t>
        </is>
      </c>
      <c r="D2021" t="inlineStr">
        <is>
          <t>Outpatient</t>
        </is>
      </c>
      <c r="E2021" s="29" t="n">
        <v>45933</v>
      </c>
      <c r="F2021" s="29" t="n">
        <v>45938</v>
      </c>
      <c r="G2021" s="31" t="n">
        <v>396.97</v>
      </c>
      <c r="H2021" s="31" t="n">
        <v>198.12</v>
      </c>
      <c r="I2021" t="inlineStr">
        <is>
          <t>Paid</t>
        </is>
      </c>
      <c r="K2021" s="29" t="n">
        <v>45963</v>
      </c>
      <c r="L2021" s="33" t="n"/>
    </row>
    <row r="2022">
      <c r="A2022" t="inlineStr">
        <is>
          <t>CLM518959</t>
        </is>
      </c>
      <c r="B2022" t="inlineStr">
        <is>
          <t>ENC118959</t>
        </is>
      </c>
      <c r="C2022" t="inlineStr">
        <is>
          <t>Silverline Medicare Advantage</t>
        </is>
      </c>
      <c r="D2022" t="inlineStr">
        <is>
          <t>Outpatient</t>
        </is>
      </c>
      <c r="E2022" s="29" t="n">
        <v>45933</v>
      </c>
      <c r="F2022" s="29" t="n">
        <v>45938</v>
      </c>
      <c r="G2022" s="31" t="n">
        <v>544.2</v>
      </c>
      <c r="H2022" s="31" t="n">
        <v>181.97</v>
      </c>
      <c r="I2022" t="inlineStr">
        <is>
          <t>Paid</t>
        </is>
      </c>
      <c r="K2022" s="29" t="n">
        <v>45973</v>
      </c>
      <c r="L2022" s="33" t="n"/>
    </row>
    <row r="2023">
      <c r="A2023" t="inlineStr">
        <is>
          <t>CLM518962</t>
        </is>
      </c>
      <c r="B2023" t="inlineStr">
        <is>
          <t>ENC118962</t>
        </is>
      </c>
      <c r="C2023" t="inlineStr">
        <is>
          <t>Silverline Medicare Advantage</t>
        </is>
      </c>
      <c r="D2023" t="inlineStr">
        <is>
          <t>Emergency</t>
        </is>
      </c>
      <c r="E2023" s="29" t="n">
        <v>45933</v>
      </c>
      <c r="F2023" s="29" t="n">
        <v>45939</v>
      </c>
      <c r="G2023" s="31" t="n">
        <v>5528.21</v>
      </c>
      <c r="H2023" s="31" t="n">
        <v>0</v>
      </c>
      <c r="I2023" t="inlineStr">
        <is>
          <t>Denied</t>
        </is>
      </c>
      <c r="J2023" t="inlineStr">
        <is>
          <t>Authorization Required</t>
        </is>
      </c>
      <c r="L2023" s="33" t="n"/>
    </row>
    <row r="2024">
      <c r="A2024" t="inlineStr">
        <is>
          <t>CLM518963</t>
        </is>
      </c>
      <c r="B2024" t="inlineStr">
        <is>
          <t>ENC118963</t>
        </is>
      </c>
      <c r="C2024" t="inlineStr">
        <is>
          <t>State Medicaid</t>
        </is>
      </c>
      <c r="D2024" t="inlineStr">
        <is>
          <t>Outpatient</t>
        </is>
      </c>
      <c r="E2024" s="29" t="n">
        <v>45933</v>
      </c>
      <c r="F2024" s="29" t="n">
        <v>45934</v>
      </c>
      <c r="G2024" s="31" t="n">
        <v>231.32</v>
      </c>
      <c r="H2024" s="31" t="n">
        <v>52.47</v>
      </c>
      <c r="I2024" t="inlineStr">
        <is>
          <t>Paid</t>
        </is>
      </c>
      <c r="K2024" s="29" t="n">
        <v>45982</v>
      </c>
      <c r="L2024" s="33" t="n"/>
    </row>
    <row r="2025">
      <c r="A2025" t="inlineStr">
        <is>
          <t>CLM518964</t>
        </is>
      </c>
      <c r="B2025" t="inlineStr">
        <is>
          <t>ENC118964</t>
        </is>
      </c>
      <c r="C2025" t="inlineStr">
        <is>
          <t>State Medicaid</t>
        </is>
      </c>
      <c r="D2025" t="inlineStr">
        <is>
          <t>Inpatient</t>
        </is>
      </c>
      <c r="E2025" s="29" t="n">
        <v>45937</v>
      </c>
      <c r="F2025" s="29" t="n">
        <v>45941</v>
      </c>
      <c r="G2025" s="31" t="n">
        <v>16393.04</v>
      </c>
      <c r="H2025" s="31" t="n">
        <v>4100.52</v>
      </c>
      <c r="I2025" t="inlineStr">
        <is>
          <t>Paid</t>
        </is>
      </c>
      <c r="K2025" s="29" t="n">
        <v>45985</v>
      </c>
      <c r="L2025" s="33" t="n"/>
    </row>
    <row r="2026">
      <c r="A2026" t="inlineStr">
        <is>
          <t>CLM518968</t>
        </is>
      </c>
      <c r="B2026" t="inlineStr">
        <is>
          <t>ENC118968</t>
        </is>
      </c>
      <c r="C2026" t="inlineStr">
        <is>
          <t>Keystone Health Partners</t>
        </is>
      </c>
      <c r="D2026" t="inlineStr">
        <is>
          <t>Outpatient</t>
        </is>
      </c>
      <c r="E2026" s="29" t="n">
        <v>45933</v>
      </c>
      <c r="F2026" s="29" t="n">
        <v>45934</v>
      </c>
      <c r="G2026" s="31" t="n">
        <v>437.34</v>
      </c>
      <c r="H2026" s="31" t="n">
        <v>202.92</v>
      </c>
      <c r="I2026" t="inlineStr">
        <is>
          <t>Paid</t>
        </is>
      </c>
      <c r="K2026" s="29" t="n">
        <v>45953</v>
      </c>
      <c r="L2026" s="33" t="n"/>
    </row>
    <row r="2027">
      <c r="A2027" t="inlineStr">
        <is>
          <t>CLM518976</t>
        </is>
      </c>
      <c r="B2027" t="inlineStr">
        <is>
          <t>ENC118976</t>
        </is>
      </c>
      <c r="C2027" t="inlineStr">
        <is>
          <t>Keystone Health Partners</t>
        </is>
      </c>
      <c r="D2027" t="inlineStr">
        <is>
          <t>Inpatient</t>
        </is>
      </c>
      <c r="E2027" s="29" t="n">
        <v>45937</v>
      </c>
      <c r="F2027" s="29" t="n">
        <v>45947</v>
      </c>
      <c r="G2027" s="31" t="n">
        <v>17254.19</v>
      </c>
      <c r="H2027" s="31" t="n">
        <v>8218.85</v>
      </c>
      <c r="I2027" t="inlineStr">
        <is>
          <t>Paid</t>
        </is>
      </c>
      <c r="K2027" s="29" t="n">
        <v>45983</v>
      </c>
      <c r="L2027" s="33" t="n"/>
    </row>
    <row r="2028">
      <c r="A2028" t="inlineStr">
        <is>
          <t>CLM518978</t>
        </is>
      </c>
      <c r="B2028" t="inlineStr">
        <is>
          <t>ENC118978</t>
        </is>
      </c>
      <c r="C2028" t="inlineStr">
        <is>
          <t>Summit Choice PPO</t>
        </is>
      </c>
      <c r="D2028" t="inlineStr">
        <is>
          <t>Inpatient</t>
        </is>
      </c>
      <c r="E2028" s="29" t="n">
        <v>45937</v>
      </c>
      <c r="F2028" s="29" t="n">
        <v>45949</v>
      </c>
      <c r="G2028" s="31" t="n">
        <v>20244.34</v>
      </c>
      <c r="H2028" s="31" t="n">
        <v>9684.08</v>
      </c>
      <c r="I2028" t="inlineStr">
        <is>
          <t>Paid</t>
        </is>
      </c>
      <c r="K2028" s="29" t="n">
        <v>45970</v>
      </c>
      <c r="L2028" s="33" t="n"/>
    </row>
    <row r="2029">
      <c r="A2029" t="inlineStr">
        <is>
          <t>CLM518983</t>
        </is>
      </c>
      <c r="B2029" t="inlineStr">
        <is>
          <t>ENC118983</t>
        </is>
      </c>
      <c r="C2029" t="inlineStr">
        <is>
          <t>Keystone Health Partners</t>
        </is>
      </c>
      <c r="D2029" t="inlineStr">
        <is>
          <t>Emergency</t>
        </is>
      </c>
      <c r="E2029" s="29" t="n">
        <v>45934</v>
      </c>
      <c r="F2029" s="29" t="n">
        <v>45935</v>
      </c>
      <c r="G2029" s="31" t="n">
        <v>5098.24</v>
      </c>
      <c r="H2029" s="31" t="n">
        <v>2418.06</v>
      </c>
      <c r="I2029" t="inlineStr">
        <is>
          <t>Paid</t>
        </is>
      </c>
      <c r="K2029" s="29" t="n">
        <v>45951</v>
      </c>
      <c r="L2029" s="33" t="n"/>
    </row>
    <row r="2030">
      <c r="A2030" t="inlineStr">
        <is>
          <t>CLM518986</t>
        </is>
      </c>
      <c r="B2030" t="inlineStr">
        <is>
          <t>ENC118986</t>
        </is>
      </c>
      <c r="C2030" t="inlineStr">
        <is>
          <t>Keystone Health Partners</t>
        </is>
      </c>
      <c r="D2030" t="inlineStr">
        <is>
          <t>Emergency</t>
        </is>
      </c>
      <c r="E2030" s="29" t="n">
        <v>45934</v>
      </c>
      <c r="F2030" s="29" t="n">
        <v>45938</v>
      </c>
      <c r="G2030" s="31" t="n">
        <v>1944.82</v>
      </c>
      <c r="H2030" s="31" t="n">
        <v>815.6799999999999</v>
      </c>
      <c r="I2030" t="inlineStr">
        <is>
          <t>Paid</t>
        </is>
      </c>
      <c r="K2030" s="29" t="n">
        <v>45956</v>
      </c>
      <c r="L2030" s="33" t="n"/>
    </row>
    <row r="2031">
      <c r="A2031" t="inlineStr">
        <is>
          <t>CLM518995</t>
        </is>
      </c>
      <c r="B2031" t="inlineStr">
        <is>
          <t>ENC118995</t>
        </is>
      </c>
      <c r="C2031" t="inlineStr">
        <is>
          <t>Summit Choice PPO</t>
        </is>
      </c>
      <c r="D2031" t="inlineStr">
        <is>
          <t>Inpatient</t>
        </is>
      </c>
      <c r="E2031" s="29" t="n">
        <v>45943</v>
      </c>
      <c r="F2031" s="29" t="n">
        <v>45945</v>
      </c>
      <c r="G2031" s="31" t="n">
        <v>37647.77</v>
      </c>
      <c r="H2031" s="31" t="n">
        <v>0</v>
      </c>
      <c r="I2031" t="inlineStr">
        <is>
          <t>Appealed</t>
        </is>
      </c>
      <c r="J2031" t="inlineStr">
        <is>
          <t>Medical Necessity</t>
        </is>
      </c>
      <c r="L2031" s="33" t="n"/>
    </row>
    <row r="2032">
      <c r="A2032" t="inlineStr">
        <is>
          <t>CLM518998</t>
        </is>
      </c>
      <c r="B2032" t="inlineStr">
        <is>
          <t>ENC118998</t>
        </is>
      </c>
      <c r="C2032" t="inlineStr">
        <is>
          <t>Silverline Medicare Advantage</t>
        </is>
      </c>
      <c r="D2032" t="inlineStr">
        <is>
          <t>Inpatient</t>
        </is>
      </c>
      <c r="E2032" s="29" t="n">
        <v>45935</v>
      </c>
      <c r="F2032" s="29" t="n">
        <v>45940</v>
      </c>
      <c r="G2032" s="31" t="n">
        <v>21051.79</v>
      </c>
      <c r="H2032" s="31" t="n">
        <v>6395.21</v>
      </c>
      <c r="I2032" t="inlineStr">
        <is>
          <t>Paid</t>
        </is>
      </c>
      <c r="K2032" s="29" t="n">
        <v>45962</v>
      </c>
      <c r="L2032" s="33" t="n"/>
    </row>
    <row r="2033">
      <c r="A2033" t="inlineStr">
        <is>
          <t>CLM519001</t>
        </is>
      </c>
      <c r="B2033" t="inlineStr">
        <is>
          <t>ENC119001</t>
        </is>
      </c>
      <c r="C2033" t="inlineStr">
        <is>
          <t>State Medicaid</t>
        </is>
      </c>
      <c r="D2033" t="inlineStr">
        <is>
          <t>Emergency</t>
        </is>
      </c>
      <c r="E2033" s="29" t="n">
        <v>45935</v>
      </c>
      <c r="F2033" s="29" t="n">
        <v>45937</v>
      </c>
      <c r="G2033" s="31" t="n">
        <v>3646.06</v>
      </c>
      <c r="H2033" s="31" t="n">
        <v>927.91</v>
      </c>
      <c r="I2033" t="inlineStr">
        <is>
          <t>Paid</t>
        </is>
      </c>
      <c r="K2033" s="29" t="n">
        <v>45970</v>
      </c>
      <c r="L2033" s="33" t="n"/>
    </row>
    <row r="2034">
      <c r="A2034" t="inlineStr">
        <is>
          <t>CLM519006</t>
        </is>
      </c>
      <c r="B2034" t="inlineStr">
        <is>
          <t>ENC119006</t>
        </is>
      </c>
      <c r="C2034" t="inlineStr">
        <is>
          <t>Medicare</t>
        </is>
      </c>
      <c r="D2034" t="inlineStr">
        <is>
          <t>Inpatient</t>
        </is>
      </c>
      <c r="E2034" s="29" t="n">
        <v>45938</v>
      </c>
      <c r="F2034" s="29" t="n">
        <v>45942</v>
      </c>
      <c r="G2034" s="31" t="n">
        <v>13685.3</v>
      </c>
      <c r="H2034" s="31" t="n">
        <v>4005.95</v>
      </c>
      <c r="I2034" t="inlineStr">
        <is>
          <t>Paid</t>
        </is>
      </c>
      <c r="K2034" s="29" t="n">
        <v>45949</v>
      </c>
      <c r="L2034" s="33" t="n"/>
    </row>
    <row r="2035">
      <c r="A2035" t="inlineStr">
        <is>
          <t>CLM519008</t>
        </is>
      </c>
      <c r="B2035" t="inlineStr">
        <is>
          <t>ENC119008</t>
        </is>
      </c>
      <c r="C2035" t="inlineStr">
        <is>
          <t>Medicare</t>
        </is>
      </c>
      <c r="D2035" t="inlineStr">
        <is>
          <t>Emergency</t>
        </is>
      </c>
      <c r="E2035" s="29" t="n">
        <v>45935</v>
      </c>
      <c r="F2035" s="29" t="n">
        <v>45937</v>
      </c>
      <c r="G2035" s="31" t="n">
        <v>1554.7</v>
      </c>
      <c r="H2035" s="31" t="n">
        <v>487.3</v>
      </c>
      <c r="I2035" t="inlineStr">
        <is>
          <t>Paid</t>
        </is>
      </c>
      <c r="K2035" s="29" t="n">
        <v>45953</v>
      </c>
      <c r="L2035" s="33" t="n"/>
    </row>
    <row r="2036">
      <c r="A2036" t="inlineStr">
        <is>
          <t>CLM519012</t>
        </is>
      </c>
      <c r="B2036" t="inlineStr">
        <is>
          <t>ENC119012</t>
        </is>
      </c>
      <c r="C2036" t="inlineStr">
        <is>
          <t>Evergreen Mutual Insurance</t>
        </is>
      </c>
      <c r="D2036" t="inlineStr">
        <is>
          <t>Inpatient</t>
        </is>
      </c>
      <c r="E2036" s="29" t="n">
        <v>45941</v>
      </c>
      <c r="F2036" s="29" t="n">
        <v>45948</v>
      </c>
      <c r="G2036" s="31" t="n">
        <v>26847.58</v>
      </c>
      <c r="H2036" s="31" t="n">
        <v>11815.65</v>
      </c>
      <c r="I2036" t="inlineStr">
        <is>
          <t>Paid</t>
        </is>
      </c>
      <c r="K2036" s="29" t="n">
        <v>45963</v>
      </c>
      <c r="L2036" s="33" t="n"/>
    </row>
    <row r="2037">
      <c r="A2037" t="inlineStr">
        <is>
          <t>CLM519015</t>
        </is>
      </c>
      <c r="B2037" t="inlineStr">
        <is>
          <t>ENC119015</t>
        </is>
      </c>
      <c r="C2037" t="inlineStr">
        <is>
          <t>State Medicaid</t>
        </is>
      </c>
      <c r="D2037" t="inlineStr">
        <is>
          <t>Inpatient</t>
        </is>
      </c>
      <c r="E2037" s="29" t="n">
        <v>45942</v>
      </c>
      <c r="F2037" s="29" t="n">
        <v>45945</v>
      </c>
      <c r="G2037" s="31" t="n">
        <v>62387.48</v>
      </c>
      <c r="H2037" s="31" t="n">
        <v>14513.63</v>
      </c>
      <c r="I2037" t="inlineStr">
        <is>
          <t>Paid</t>
        </is>
      </c>
      <c r="K2037" s="29" t="n">
        <v>45992</v>
      </c>
      <c r="L2037" s="33" t="n"/>
    </row>
    <row r="2038">
      <c r="A2038" t="inlineStr">
        <is>
          <t>CLM519020</t>
        </is>
      </c>
      <c r="B2038" t="inlineStr">
        <is>
          <t>ENC119020</t>
        </is>
      </c>
      <c r="C2038" t="inlineStr">
        <is>
          <t>State Medicaid</t>
        </is>
      </c>
      <c r="D2038" t="inlineStr">
        <is>
          <t>Outpatient</t>
        </is>
      </c>
      <c r="E2038" s="29" t="n">
        <v>45936</v>
      </c>
      <c r="F2038" s="29" t="n">
        <v>45947</v>
      </c>
      <c r="G2038" s="31" t="n">
        <v>248.55</v>
      </c>
      <c r="H2038" s="31" t="n">
        <v>61.54</v>
      </c>
      <c r="I2038" t="inlineStr">
        <is>
          <t>Paid</t>
        </is>
      </c>
      <c r="K2038" s="29" t="n">
        <v>45987</v>
      </c>
      <c r="L2038" s="33" t="n"/>
    </row>
    <row r="2039">
      <c r="A2039" t="inlineStr">
        <is>
          <t>CLM519026</t>
        </is>
      </c>
      <c r="B2039" t="inlineStr">
        <is>
          <t>ENC119026</t>
        </is>
      </c>
      <c r="C2039" t="inlineStr">
        <is>
          <t>Keystone Health Partners</t>
        </is>
      </c>
      <c r="D2039" t="inlineStr">
        <is>
          <t>Outpatient</t>
        </is>
      </c>
      <c r="E2039" s="29" t="n">
        <v>45936</v>
      </c>
      <c r="F2039" s="29" t="n">
        <v>45951</v>
      </c>
      <c r="G2039" s="31" t="n">
        <v>360.94</v>
      </c>
      <c r="H2039" s="31" t="n">
        <v>183.55</v>
      </c>
      <c r="I2039" t="inlineStr">
        <is>
          <t>Paid</t>
        </is>
      </c>
      <c r="K2039" s="29" t="n">
        <v>45976</v>
      </c>
      <c r="L2039" s="33" t="n"/>
    </row>
    <row r="2040">
      <c r="A2040" t="inlineStr">
        <is>
          <t>CLM519028</t>
        </is>
      </c>
      <c r="B2040" t="inlineStr">
        <is>
          <t>ENC119028</t>
        </is>
      </c>
      <c r="C2040" t="inlineStr">
        <is>
          <t>State Medicaid</t>
        </is>
      </c>
      <c r="D2040" t="inlineStr">
        <is>
          <t>Outpatient</t>
        </is>
      </c>
      <c r="E2040" s="29" t="n">
        <v>45936</v>
      </c>
      <c r="F2040" s="29" t="n">
        <v>45939</v>
      </c>
      <c r="G2040" s="31" t="n">
        <v>495.66</v>
      </c>
      <c r="H2040" s="31" t="n">
        <v>0</v>
      </c>
      <c r="I2040" t="inlineStr">
        <is>
          <t>Denied</t>
        </is>
      </c>
      <c r="J2040" t="inlineStr">
        <is>
          <t>Authorization Required</t>
        </is>
      </c>
      <c r="L2040" s="33" t="n"/>
    </row>
    <row r="2041">
      <c r="A2041" t="inlineStr">
        <is>
          <t>CLM519032</t>
        </is>
      </c>
      <c r="B2041" t="inlineStr">
        <is>
          <t>ENC119032</t>
        </is>
      </c>
      <c r="C2041" t="inlineStr">
        <is>
          <t>Summit Choice PPO</t>
        </is>
      </c>
      <c r="D2041" t="inlineStr">
        <is>
          <t>Emergency</t>
        </is>
      </c>
      <c r="E2041" s="29" t="n">
        <v>45936</v>
      </c>
      <c r="F2041" s="29" t="n">
        <v>45940</v>
      </c>
      <c r="G2041" s="31" t="n">
        <v>7780.42</v>
      </c>
      <c r="H2041" s="31" t="n">
        <v>3328.25</v>
      </c>
      <c r="I2041" t="inlineStr">
        <is>
          <t>Paid</t>
        </is>
      </c>
      <c r="K2041" s="29" t="n">
        <v>45954</v>
      </c>
      <c r="L2041" s="33" t="n"/>
    </row>
    <row r="2042">
      <c r="A2042" t="inlineStr">
        <is>
          <t>CLM519036</t>
        </is>
      </c>
      <c r="B2042" t="inlineStr">
        <is>
          <t>ENC119036</t>
        </is>
      </c>
      <c r="C2042" t="inlineStr">
        <is>
          <t>Silverline Medicare Advantage</t>
        </is>
      </c>
      <c r="D2042" t="inlineStr">
        <is>
          <t>Outpatient</t>
        </is>
      </c>
      <c r="E2042" s="29" t="n">
        <v>45936</v>
      </c>
      <c r="F2042" s="29" t="n">
        <v>45939</v>
      </c>
      <c r="G2042" s="31" t="n">
        <v>166.36</v>
      </c>
      <c r="H2042" s="31" t="n">
        <v>0</v>
      </c>
      <c r="I2042" t="inlineStr">
        <is>
          <t>Denied</t>
        </is>
      </c>
      <c r="J2042" t="inlineStr">
        <is>
          <t>Authorization Required</t>
        </is>
      </c>
      <c r="L2042" s="33" t="n"/>
    </row>
    <row r="2043">
      <c r="A2043" t="inlineStr">
        <is>
          <t>CLM519049</t>
        </is>
      </c>
      <c r="B2043" t="inlineStr">
        <is>
          <t>ENC119049</t>
        </is>
      </c>
      <c r="C2043" t="inlineStr">
        <is>
          <t>Silverline Medicare Advantage</t>
        </is>
      </c>
      <c r="D2043" t="inlineStr">
        <is>
          <t>Observation</t>
        </is>
      </c>
      <c r="E2043" s="29" t="n">
        <v>45938</v>
      </c>
      <c r="F2043" s="29" t="n">
        <v>45955</v>
      </c>
      <c r="G2043" s="31" t="n">
        <v>12508.94</v>
      </c>
      <c r="H2043" s="31" t="n">
        <v>4000.15</v>
      </c>
      <c r="I2043" t="inlineStr">
        <is>
          <t>Paid</t>
        </is>
      </c>
      <c r="K2043" s="29" t="n">
        <v>46003</v>
      </c>
      <c r="L2043" s="33" t="n"/>
    </row>
    <row r="2044">
      <c r="A2044" t="inlineStr">
        <is>
          <t>CLM519064</t>
        </is>
      </c>
      <c r="B2044" t="inlineStr">
        <is>
          <t>ENC119064</t>
        </is>
      </c>
      <c r="C2044" t="inlineStr">
        <is>
          <t>Silverline Medicare Advantage</t>
        </is>
      </c>
      <c r="D2044" t="inlineStr">
        <is>
          <t>Outpatient</t>
        </is>
      </c>
      <c r="E2044" s="29" t="n">
        <v>45937</v>
      </c>
      <c r="F2044" s="29" t="n">
        <v>45941</v>
      </c>
      <c r="G2044" s="31" t="n">
        <v>271.87</v>
      </c>
      <c r="H2044" s="31" t="n">
        <v>74.89</v>
      </c>
      <c r="I2044" t="inlineStr">
        <is>
          <t>Paid</t>
        </is>
      </c>
      <c r="K2044" s="29" t="n">
        <v>45962</v>
      </c>
      <c r="L2044" s="33" t="n"/>
    </row>
    <row r="2045">
      <c r="A2045" t="inlineStr">
        <is>
          <t>CLM519075</t>
        </is>
      </c>
      <c r="B2045" t="inlineStr">
        <is>
          <t>ENC119075</t>
        </is>
      </c>
      <c r="C2045" t="inlineStr">
        <is>
          <t>Keystone Health Partners</t>
        </is>
      </c>
      <c r="D2045" t="inlineStr">
        <is>
          <t>Outpatient</t>
        </is>
      </c>
      <c r="E2045" s="29" t="n">
        <v>45937</v>
      </c>
      <c r="F2045" s="29" t="n">
        <v>45939</v>
      </c>
      <c r="G2045" s="31" t="n">
        <v>732.3</v>
      </c>
      <c r="H2045" s="31" t="n">
        <v>324.81</v>
      </c>
      <c r="I2045" t="inlineStr">
        <is>
          <t>Paid</t>
        </is>
      </c>
      <c r="K2045" s="29" t="n">
        <v>45961</v>
      </c>
      <c r="L2045" s="33" t="n"/>
    </row>
    <row r="2046">
      <c r="A2046" t="inlineStr">
        <is>
          <t>CLM519076</t>
        </is>
      </c>
      <c r="B2046" t="inlineStr">
        <is>
          <t>ENC119076</t>
        </is>
      </c>
      <c r="C2046" t="inlineStr">
        <is>
          <t>State Medicaid</t>
        </is>
      </c>
      <c r="D2046" t="inlineStr">
        <is>
          <t>Emergency</t>
        </is>
      </c>
      <c r="E2046" s="29" t="n">
        <v>45937</v>
      </c>
      <c r="F2046" s="29" t="n">
        <v>45939</v>
      </c>
      <c r="G2046" s="31" t="n">
        <v>9503.790000000001</v>
      </c>
      <c r="H2046" s="31" t="n">
        <v>1959.03</v>
      </c>
      <c r="I2046" t="inlineStr">
        <is>
          <t>Paid</t>
        </is>
      </c>
      <c r="K2046" s="29" t="n">
        <v>45967</v>
      </c>
      <c r="L2046" s="33" t="n"/>
    </row>
    <row r="2047">
      <c r="A2047" t="inlineStr">
        <is>
          <t>CLM519078</t>
        </is>
      </c>
      <c r="B2047" t="inlineStr">
        <is>
          <t>ENC119078</t>
        </is>
      </c>
      <c r="C2047" t="inlineStr">
        <is>
          <t>State Medicaid</t>
        </is>
      </c>
      <c r="D2047" t="inlineStr">
        <is>
          <t>Emergency</t>
        </is>
      </c>
      <c r="E2047" s="29" t="n">
        <v>45937</v>
      </c>
      <c r="F2047" s="29" t="n">
        <v>45939</v>
      </c>
      <c r="G2047" s="31" t="n">
        <v>3194.1</v>
      </c>
      <c r="H2047" s="31" t="n">
        <v>615.47</v>
      </c>
      <c r="I2047" t="inlineStr">
        <is>
          <t>Paid</t>
        </is>
      </c>
      <c r="K2047" s="29" t="n">
        <v>45974</v>
      </c>
      <c r="L2047" s="33" t="n"/>
    </row>
    <row r="2048">
      <c r="A2048" t="inlineStr">
        <is>
          <t>CLM519083</t>
        </is>
      </c>
      <c r="B2048" t="inlineStr">
        <is>
          <t>ENC119083</t>
        </is>
      </c>
      <c r="C2048" t="inlineStr">
        <is>
          <t>Summit Choice PPO</t>
        </is>
      </c>
      <c r="D2048" t="inlineStr">
        <is>
          <t>Emergency</t>
        </is>
      </c>
      <c r="E2048" s="29" t="n">
        <v>45938</v>
      </c>
      <c r="F2048" s="29" t="n">
        <v>45950</v>
      </c>
      <c r="G2048" s="31" t="n">
        <v>1742.2</v>
      </c>
      <c r="H2048" s="31" t="n">
        <v>971.13</v>
      </c>
      <c r="I2048" t="inlineStr">
        <is>
          <t>Paid</t>
        </is>
      </c>
      <c r="K2048" s="29" t="n">
        <v>45973</v>
      </c>
      <c r="L2048" s="33" t="n"/>
    </row>
    <row r="2049">
      <c r="A2049" t="inlineStr">
        <is>
          <t>CLM519093</t>
        </is>
      </c>
      <c r="B2049" t="inlineStr">
        <is>
          <t>ENC119093</t>
        </is>
      </c>
      <c r="C2049" t="inlineStr">
        <is>
          <t>Medicare</t>
        </is>
      </c>
      <c r="D2049" t="inlineStr">
        <is>
          <t>Outpatient</t>
        </is>
      </c>
      <c r="E2049" s="29" t="n">
        <v>45938</v>
      </c>
      <c r="F2049" s="29" t="n">
        <v>45944</v>
      </c>
      <c r="G2049" s="31" t="n">
        <v>383.54</v>
      </c>
      <c r="H2049" s="31" t="n">
        <v>91.08</v>
      </c>
      <c r="I2049" t="inlineStr">
        <is>
          <t>Paid</t>
        </is>
      </c>
      <c r="K2049" s="29" t="n">
        <v>45956</v>
      </c>
      <c r="L2049" s="33" t="n"/>
    </row>
    <row r="2050">
      <c r="A2050" t="inlineStr">
        <is>
          <t>CLM519094</t>
        </is>
      </c>
      <c r="B2050" t="inlineStr">
        <is>
          <t>ENC119094</t>
        </is>
      </c>
      <c r="C2050" t="inlineStr">
        <is>
          <t>Silverline Medicare Advantage</t>
        </is>
      </c>
      <c r="D2050" t="inlineStr">
        <is>
          <t>Outpatient</t>
        </is>
      </c>
      <c r="E2050" s="29" t="n">
        <v>45938</v>
      </c>
      <c r="F2050" s="29" t="n">
        <v>45950</v>
      </c>
      <c r="G2050" s="31" t="n">
        <v>209.17</v>
      </c>
      <c r="H2050" s="31" t="n">
        <v>58.76</v>
      </c>
      <c r="I2050" t="inlineStr">
        <is>
          <t>Paid</t>
        </is>
      </c>
      <c r="K2050" s="29" t="n">
        <v>45986</v>
      </c>
      <c r="L2050" s="33" t="n"/>
    </row>
    <row r="2051">
      <c r="A2051" t="inlineStr">
        <is>
          <t>CLM519102</t>
        </is>
      </c>
      <c r="B2051" t="inlineStr">
        <is>
          <t>ENC119102</t>
        </is>
      </c>
      <c r="C2051" t="inlineStr">
        <is>
          <t>Evergreen Mutual Insurance</t>
        </is>
      </c>
      <c r="D2051" t="inlineStr">
        <is>
          <t>Inpatient</t>
        </is>
      </c>
      <c r="E2051" s="29" t="n">
        <v>45946</v>
      </c>
      <c r="F2051" s="29" t="n">
        <v>45948</v>
      </c>
      <c r="G2051" s="31" t="n">
        <v>88714.67</v>
      </c>
      <c r="H2051" s="31" t="n">
        <v>38924.83</v>
      </c>
      <c r="I2051" t="inlineStr">
        <is>
          <t>Paid</t>
        </is>
      </c>
      <c r="K2051" s="29" t="n">
        <v>45983</v>
      </c>
      <c r="L2051" s="33" t="n"/>
    </row>
    <row r="2052">
      <c r="A2052" t="inlineStr">
        <is>
          <t>CLM519103</t>
        </is>
      </c>
      <c r="B2052" t="inlineStr">
        <is>
          <t>ENC119103</t>
        </is>
      </c>
      <c r="C2052" t="inlineStr">
        <is>
          <t>Silverline Medicare Advantage</t>
        </is>
      </c>
      <c r="D2052" t="inlineStr">
        <is>
          <t>Inpatient</t>
        </is>
      </c>
      <c r="E2052" s="29" t="n">
        <v>45941</v>
      </c>
      <c r="F2052" s="29" t="n">
        <v>45942</v>
      </c>
      <c r="G2052" s="31" t="n">
        <v>12794.3</v>
      </c>
      <c r="H2052" s="31" t="n">
        <v>0</v>
      </c>
      <c r="I2052" t="inlineStr">
        <is>
          <t>Appealed</t>
        </is>
      </c>
      <c r="J2052" t="inlineStr">
        <is>
          <t>Authorization Required</t>
        </is>
      </c>
      <c r="L2052" s="33" t="n"/>
    </row>
    <row r="2053">
      <c r="A2053" t="inlineStr">
        <is>
          <t>CLM519117</t>
        </is>
      </c>
      <c r="B2053" t="inlineStr">
        <is>
          <t>ENC119117</t>
        </is>
      </c>
      <c r="C2053" t="inlineStr">
        <is>
          <t>Summit Choice PPO</t>
        </is>
      </c>
      <c r="D2053" t="inlineStr">
        <is>
          <t>Inpatient</t>
        </is>
      </c>
      <c r="E2053" s="29" t="n">
        <v>45940</v>
      </c>
      <c r="F2053" s="29" t="n">
        <v>45941</v>
      </c>
      <c r="G2053" s="31" t="n">
        <v>21811.1</v>
      </c>
      <c r="H2053" s="31" t="n">
        <v>11472.43</v>
      </c>
      <c r="I2053" t="inlineStr">
        <is>
          <t>Paid</t>
        </is>
      </c>
      <c r="K2053" s="29" t="n">
        <v>45968</v>
      </c>
      <c r="L2053" s="33" t="n"/>
    </row>
    <row r="2054">
      <c r="A2054" t="inlineStr">
        <is>
          <t>CLM519120</t>
        </is>
      </c>
      <c r="B2054" t="inlineStr">
        <is>
          <t>ENC119120</t>
        </is>
      </c>
      <c r="C2054" t="inlineStr">
        <is>
          <t>Silverline Medicare Advantage</t>
        </is>
      </c>
      <c r="D2054" t="inlineStr">
        <is>
          <t>Inpatient</t>
        </is>
      </c>
      <c r="E2054" s="29" t="n">
        <v>45946</v>
      </c>
      <c r="F2054" s="29" t="n">
        <v>45951</v>
      </c>
      <c r="G2054" s="31" t="n">
        <v>54451.32</v>
      </c>
      <c r="H2054" s="31" t="n">
        <v>0</v>
      </c>
      <c r="I2054" t="inlineStr">
        <is>
          <t>Denied</t>
        </is>
      </c>
      <c r="J2054" t="inlineStr">
        <is>
          <t>Medical Necessity</t>
        </is>
      </c>
      <c r="L2054" s="33" t="n"/>
    </row>
    <row r="2055">
      <c r="A2055" t="inlineStr">
        <is>
          <t>CLM519130</t>
        </is>
      </c>
      <c r="B2055" t="inlineStr">
        <is>
          <t>ENC119130</t>
        </is>
      </c>
      <c r="C2055" t="inlineStr">
        <is>
          <t>State Medicaid</t>
        </is>
      </c>
      <c r="D2055" t="inlineStr">
        <is>
          <t>Outpatient</t>
        </is>
      </c>
      <c r="E2055" s="29" t="n">
        <v>45939</v>
      </c>
      <c r="F2055" s="29" t="n">
        <v>45941</v>
      </c>
      <c r="G2055" s="31" t="n">
        <v>286.39</v>
      </c>
      <c r="H2055" s="31" t="n">
        <v>67.28</v>
      </c>
      <c r="I2055" t="inlineStr">
        <is>
          <t>Paid</t>
        </is>
      </c>
      <c r="K2055" s="29" t="n">
        <v>45992</v>
      </c>
      <c r="L2055" s="33" t="n"/>
    </row>
    <row r="2056">
      <c r="A2056" t="inlineStr">
        <is>
          <t>CLM519131</t>
        </is>
      </c>
      <c r="B2056" t="inlineStr">
        <is>
          <t>ENC119131</t>
        </is>
      </c>
      <c r="C2056" t="inlineStr">
        <is>
          <t>State Medicaid</t>
        </is>
      </c>
      <c r="D2056" t="inlineStr">
        <is>
          <t>Outpatient</t>
        </is>
      </c>
      <c r="E2056" s="29" t="n">
        <v>45939</v>
      </c>
      <c r="F2056" s="29" t="n">
        <v>45945</v>
      </c>
      <c r="G2056" s="31" t="n">
        <v>142.59</v>
      </c>
      <c r="H2056" s="31" t="n">
        <v>34.59</v>
      </c>
      <c r="I2056" t="inlineStr">
        <is>
          <t>Paid</t>
        </is>
      </c>
      <c r="K2056" s="29" t="n">
        <v>45993</v>
      </c>
      <c r="L2056" s="33" t="n"/>
    </row>
    <row r="2057">
      <c r="A2057" t="inlineStr">
        <is>
          <t>CLM519132</t>
        </is>
      </c>
      <c r="B2057" t="inlineStr">
        <is>
          <t>ENC119132</t>
        </is>
      </c>
      <c r="C2057" t="inlineStr">
        <is>
          <t>Summit Choice PPO</t>
        </is>
      </c>
      <c r="D2057" t="inlineStr">
        <is>
          <t>Outpatient</t>
        </is>
      </c>
      <c r="E2057" s="29" t="n">
        <v>45939</v>
      </c>
      <c r="F2057" s="29" t="n">
        <v>45943</v>
      </c>
      <c r="G2057" s="31" t="n">
        <v>264.96</v>
      </c>
      <c r="H2057" s="31" t="n">
        <v>100.93</v>
      </c>
      <c r="I2057" t="inlineStr">
        <is>
          <t>Paid</t>
        </is>
      </c>
      <c r="K2057" s="29" t="n">
        <v>45965</v>
      </c>
      <c r="L2057" s="33" t="n"/>
    </row>
    <row r="2058">
      <c r="A2058" t="inlineStr">
        <is>
          <t>CLM519139</t>
        </is>
      </c>
      <c r="B2058" t="inlineStr">
        <is>
          <t>ENC119139</t>
        </is>
      </c>
      <c r="C2058" t="inlineStr">
        <is>
          <t>Evergreen Mutual Insurance</t>
        </is>
      </c>
      <c r="D2058" t="inlineStr">
        <is>
          <t>Outpatient</t>
        </is>
      </c>
      <c r="E2058" s="29" t="n">
        <v>45939</v>
      </c>
      <c r="F2058" s="29" t="n">
        <v>45943</v>
      </c>
      <c r="G2058" s="31" t="n">
        <v>11519.33</v>
      </c>
      <c r="H2058" s="31" t="n">
        <v>4149.04</v>
      </c>
      <c r="I2058" t="inlineStr">
        <is>
          <t>Paid</t>
        </is>
      </c>
      <c r="K2058" s="29" t="n">
        <v>45981</v>
      </c>
      <c r="L2058" s="33" t="n"/>
    </row>
    <row r="2059">
      <c r="A2059" t="inlineStr">
        <is>
          <t>CLM519144</t>
        </is>
      </c>
      <c r="B2059" t="inlineStr">
        <is>
          <t>ENC119144</t>
        </is>
      </c>
      <c r="C2059" t="inlineStr">
        <is>
          <t>State Medicaid</t>
        </is>
      </c>
      <c r="D2059" t="inlineStr">
        <is>
          <t>Outpatient</t>
        </is>
      </c>
      <c r="E2059" s="29" t="n">
        <v>45939</v>
      </c>
      <c r="F2059" s="29" t="n">
        <v>45940</v>
      </c>
      <c r="G2059" s="31" t="n">
        <v>207.61</v>
      </c>
      <c r="H2059" s="31" t="n">
        <v>0</v>
      </c>
      <c r="I2059" t="inlineStr">
        <is>
          <t>Pending</t>
        </is>
      </c>
      <c r="L2059" s="33" t="n"/>
    </row>
    <row r="2060">
      <c r="A2060" t="inlineStr">
        <is>
          <t>CLM519145</t>
        </is>
      </c>
      <c r="B2060" t="inlineStr">
        <is>
          <t>ENC119145</t>
        </is>
      </c>
      <c r="C2060" t="inlineStr">
        <is>
          <t>State Medicaid</t>
        </is>
      </c>
      <c r="D2060" t="inlineStr">
        <is>
          <t>Emergency</t>
        </is>
      </c>
      <c r="E2060" s="29" t="n">
        <v>45939</v>
      </c>
      <c r="F2060" s="29" t="n">
        <v>45948</v>
      </c>
      <c r="G2060" s="31" t="n">
        <v>4930.05</v>
      </c>
      <c r="H2060" s="31" t="n">
        <v>0</v>
      </c>
      <c r="I2060" t="inlineStr">
        <is>
          <t>Appealed</t>
        </is>
      </c>
      <c r="J2060" t="inlineStr">
        <is>
          <t>Medical Necessity</t>
        </is>
      </c>
      <c r="L2060" s="33" t="n"/>
    </row>
    <row r="2061">
      <c r="A2061" t="inlineStr">
        <is>
          <t>CLM519146</t>
        </is>
      </c>
      <c r="B2061" t="inlineStr">
        <is>
          <t>ENC119146</t>
        </is>
      </c>
      <c r="C2061" t="inlineStr">
        <is>
          <t>State Medicaid</t>
        </is>
      </c>
      <c r="D2061" t="inlineStr">
        <is>
          <t>Outpatient</t>
        </is>
      </c>
      <c r="E2061" s="29" t="n">
        <v>45939</v>
      </c>
      <c r="F2061" s="29" t="n">
        <v>45940</v>
      </c>
      <c r="G2061" s="31" t="n">
        <v>9260.950000000001</v>
      </c>
      <c r="H2061" s="31" t="n">
        <v>1266.1</v>
      </c>
      <c r="I2061" t="inlineStr">
        <is>
          <t>Partially Paid</t>
        </is>
      </c>
      <c r="J2061" t="inlineStr">
        <is>
          <t>Missing Documentation</t>
        </is>
      </c>
      <c r="K2061" s="29" t="n">
        <v>45961</v>
      </c>
      <c r="L2061" s="33" t="n"/>
    </row>
    <row r="2062">
      <c r="A2062" t="inlineStr">
        <is>
          <t>CLM519154</t>
        </is>
      </c>
      <c r="B2062" t="inlineStr">
        <is>
          <t>ENC119154</t>
        </is>
      </c>
      <c r="C2062" t="inlineStr">
        <is>
          <t>Silverline Medicare Advantage</t>
        </is>
      </c>
      <c r="D2062" t="inlineStr">
        <is>
          <t>Outpatient</t>
        </is>
      </c>
      <c r="E2062" s="29" t="n">
        <v>45940</v>
      </c>
      <c r="F2062" s="29" t="n">
        <v>45945</v>
      </c>
      <c r="G2062" s="31" t="n">
        <v>321.34</v>
      </c>
      <c r="H2062" s="31" t="n">
        <v>101.75</v>
      </c>
      <c r="I2062" t="inlineStr">
        <is>
          <t>Paid</t>
        </is>
      </c>
      <c r="K2062" s="29" t="n">
        <v>45964</v>
      </c>
      <c r="L2062" s="33" t="n"/>
    </row>
    <row r="2063">
      <c r="A2063" t="inlineStr">
        <is>
          <t>CLM519157</t>
        </is>
      </c>
      <c r="B2063" t="inlineStr">
        <is>
          <t>ENC119157</t>
        </is>
      </c>
      <c r="C2063" t="inlineStr">
        <is>
          <t>Medicare</t>
        </is>
      </c>
      <c r="D2063" t="inlineStr">
        <is>
          <t>Outpatient</t>
        </is>
      </c>
      <c r="E2063" s="29" t="n">
        <v>45940</v>
      </c>
      <c r="F2063" s="29" t="n">
        <v>45950</v>
      </c>
      <c r="G2063" s="31" t="n">
        <v>511</v>
      </c>
      <c r="H2063" s="31" t="n">
        <v>132.18</v>
      </c>
      <c r="I2063" t="inlineStr">
        <is>
          <t>Paid</t>
        </is>
      </c>
      <c r="K2063" s="29" t="n">
        <v>45967</v>
      </c>
      <c r="L2063" s="33" t="n"/>
    </row>
    <row r="2064">
      <c r="A2064" t="inlineStr">
        <is>
          <t>CLM519159</t>
        </is>
      </c>
      <c r="B2064" t="inlineStr">
        <is>
          <t>ENC119159</t>
        </is>
      </c>
      <c r="C2064" t="inlineStr">
        <is>
          <t>Keystone Health Partners</t>
        </is>
      </c>
      <c r="D2064" t="inlineStr">
        <is>
          <t>Emergency</t>
        </is>
      </c>
      <c r="E2064" s="29" t="n">
        <v>45940</v>
      </c>
      <c r="F2064" s="29" t="n">
        <v>45941</v>
      </c>
      <c r="G2064" s="31" t="n">
        <v>3603.47</v>
      </c>
      <c r="H2064" s="31" t="n">
        <v>1704.05</v>
      </c>
      <c r="I2064" t="inlineStr">
        <is>
          <t>Paid</t>
        </is>
      </c>
      <c r="K2064" s="29" t="n">
        <v>45956</v>
      </c>
      <c r="L2064" s="33" t="n"/>
    </row>
    <row r="2065">
      <c r="A2065" t="inlineStr">
        <is>
          <t>CLM519163</t>
        </is>
      </c>
      <c r="B2065" t="inlineStr">
        <is>
          <t>ENC119163</t>
        </is>
      </c>
      <c r="C2065" t="inlineStr">
        <is>
          <t>Keystone Health Partners</t>
        </is>
      </c>
      <c r="D2065" t="inlineStr">
        <is>
          <t>Outpatient</t>
        </is>
      </c>
      <c r="E2065" s="29" t="n">
        <v>45940</v>
      </c>
      <c r="F2065" s="29" t="n">
        <v>45945</v>
      </c>
      <c r="G2065" s="31" t="n">
        <v>409.55</v>
      </c>
      <c r="H2065" s="31" t="n">
        <v>184.25</v>
      </c>
      <c r="I2065" t="inlineStr">
        <is>
          <t>Paid</t>
        </is>
      </c>
      <c r="K2065" s="29" t="n">
        <v>45961</v>
      </c>
      <c r="L2065" s="33" t="n"/>
    </row>
    <row r="2066">
      <c r="A2066" t="inlineStr">
        <is>
          <t>CLM519164</t>
        </is>
      </c>
      <c r="B2066" t="inlineStr">
        <is>
          <t>ENC119164</t>
        </is>
      </c>
      <c r="C2066" t="inlineStr">
        <is>
          <t>Evergreen Mutual Insurance</t>
        </is>
      </c>
      <c r="D2066" t="inlineStr">
        <is>
          <t>Outpatient</t>
        </is>
      </c>
      <c r="E2066" s="29" t="n">
        <v>45940</v>
      </c>
      <c r="F2066" s="29" t="n">
        <v>45948</v>
      </c>
      <c r="G2066" s="31" t="n">
        <v>231.44</v>
      </c>
      <c r="H2066" s="31" t="n">
        <v>89.19</v>
      </c>
      <c r="I2066" t="inlineStr">
        <is>
          <t>Paid</t>
        </is>
      </c>
      <c r="K2066" s="29" t="n">
        <v>45985</v>
      </c>
      <c r="L2066" s="33" t="n"/>
    </row>
    <row r="2067">
      <c r="A2067" t="inlineStr">
        <is>
          <t>CLM519169</t>
        </is>
      </c>
      <c r="B2067" t="inlineStr">
        <is>
          <t>ENC119169</t>
        </is>
      </c>
      <c r="C2067" t="inlineStr">
        <is>
          <t>Keystone Health Partners</t>
        </is>
      </c>
      <c r="D2067" t="inlineStr">
        <is>
          <t>Observation</t>
        </is>
      </c>
      <c r="E2067" s="29" t="n">
        <v>45942</v>
      </c>
      <c r="F2067" s="29" t="n">
        <v>45946</v>
      </c>
      <c r="G2067" s="31" t="n">
        <v>15753.96</v>
      </c>
      <c r="H2067" s="31" t="n">
        <v>6868.87</v>
      </c>
      <c r="I2067" t="inlineStr">
        <is>
          <t>Paid</t>
        </is>
      </c>
      <c r="K2067" s="29" t="n">
        <v>45967</v>
      </c>
      <c r="L2067" s="33" t="n"/>
    </row>
    <row r="2068">
      <c r="A2068" t="inlineStr">
        <is>
          <t>CLM519171</t>
        </is>
      </c>
      <c r="B2068" t="inlineStr">
        <is>
          <t>ENC119171</t>
        </is>
      </c>
      <c r="C2068" t="inlineStr">
        <is>
          <t>Summit Choice PPO</t>
        </is>
      </c>
      <c r="D2068" t="inlineStr">
        <is>
          <t>Outpatient</t>
        </is>
      </c>
      <c r="E2068" s="29" t="n">
        <v>45940</v>
      </c>
      <c r="F2068" s="29" t="n">
        <v>45943</v>
      </c>
      <c r="G2068" s="31" t="n">
        <v>298.2</v>
      </c>
      <c r="H2068" s="31" t="n">
        <v>142.99</v>
      </c>
      <c r="I2068" t="inlineStr">
        <is>
          <t>Paid</t>
        </is>
      </c>
      <c r="K2068" s="29" t="n">
        <v>45966</v>
      </c>
      <c r="L2068" s="33" t="n"/>
    </row>
    <row r="2069">
      <c r="A2069" t="inlineStr">
        <is>
          <t>CLM519175</t>
        </is>
      </c>
      <c r="B2069" t="inlineStr">
        <is>
          <t>ENC119175</t>
        </is>
      </c>
      <c r="C2069" t="inlineStr">
        <is>
          <t>Medicare</t>
        </is>
      </c>
      <c r="D2069" t="inlineStr">
        <is>
          <t>Emergency</t>
        </is>
      </c>
      <c r="E2069" s="29" t="n">
        <v>45940</v>
      </c>
      <c r="F2069" s="29" t="n">
        <v>45948</v>
      </c>
      <c r="G2069" s="31" t="n">
        <v>4281.59</v>
      </c>
      <c r="H2069" s="31" t="n">
        <v>1188.89</v>
      </c>
      <c r="I2069" t="inlineStr">
        <is>
          <t>Paid</t>
        </is>
      </c>
      <c r="K2069" s="29" t="n">
        <v>45956</v>
      </c>
      <c r="L2069" s="33" t="n"/>
    </row>
    <row r="2070">
      <c r="A2070" t="inlineStr">
        <is>
          <t>CLM519181</t>
        </is>
      </c>
      <c r="B2070" t="inlineStr">
        <is>
          <t>ENC119181</t>
        </is>
      </c>
      <c r="C2070" t="inlineStr">
        <is>
          <t>State Medicaid</t>
        </is>
      </c>
      <c r="D2070" t="inlineStr">
        <is>
          <t>Emergency</t>
        </is>
      </c>
      <c r="E2070" s="29" t="n">
        <v>45941</v>
      </c>
      <c r="F2070" s="29" t="n">
        <v>45958</v>
      </c>
      <c r="G2070" s="31" t="n">
        <v>1506.95</v>
      </c>
      <c r="H2070" s="31" t="n">
        <v>386.74</v>
      </c>
      <c r="I2070" t="inlineStr">
        <is>
          <t>Paid</t>
        </is>
      </c>
      <c r="K2070" s="29" t="n">
        <v>45992</v>
      </c>
      <c r="L2070" s="33" t="n"/>
    </row>
    <row r="2071">
      <c r="A2071" t="inlineStr">
        <is>
          <t>CLM519183</t>
        </is>
      </c>
      <c r="B2071" t="inlineStr">
        <is>
          <t>ENC119183</t>
        </is>
      </c>
      <c r="C2071" t="inlineStr">
        <is>
          <t>Keystone Health Partners</t>
        </is>
      </c>
      <c r="D2071" t="inlineStr">
        <is>
          <t>Inpatient</t>
        </is>
      </c>
      <c r="E2071" s="29" t="n">
        <v>45943</v>
      </c>
      <c r="F2071" s="29" t="n">
        <v>45946</v>
      </c>
      <c r="G2071" s="31" t="n">
        <v>15694.06</v>
      </c>
      <c r="H2071" s="31" t="n">
        <v>0</v>
      </c>
      <c r="I2071" t="inlineStr">
        <is>
          <t>Denied</t>
        </is>
      </c>
      <c r="J2071" t="inlineStr">
        <is>
          <t>Coding Error</t>
        </is>
      </c>
      <c r="L2071" s="33" t="n"/>
    </row>
    <row r="2072">
      <c r="A2072" t="inlineStr">
        <is>
          <t>CLM519185</t>
        </is>
      </c>
      <c r="B2072" t="inlineStr">
        <is>
          <t>ENC119185</t>
        </is>
      </c>
      <c r="C2072" t="inlineStr">
        <is>
          <t>Keystone Health Partners</t>
        </is>
      </c>
      <c r="D2072" t="inlineStr">
        <is>
          <t>Inpatient</t>
        </is>
      </c>
      <c r="E2072" s="29" t="n">
        <v>45943</v>
      </c>
      <c r="F2072" s="29" t="n">
        <v>45950</v>
      </c>
      <c r="G2072" s="31" t="n">
        <v>17117.24</v>
      </c>
      <c r="H2072" s="31" t="n">
        <v>8795.76</v>
      </c>
      <c r="I2072" t="inlineStr">
        <is>
          <t>Paid</t>
        </is>
      </c>
      <c r="K2072" s="29" t="n">
        <v>45977</v>
      </c>
      <c r="L2072" s="33" t="n"/>
    </row>
    <row r="2073">
      <c r="A2073" t="inlineStr">
        <is>
          <t>CLM519187</t>
        </is>
      </c>
      <c r="B2073" t="inlineStr">
        <is>
          <t>ENC119187</t>
        </is>
      </c>
      <c r="C2073" t="inlineStr">
        <is>
          <t>State Medicaid</t>
        </is>
      </c>
      <c r="D2073" t="inlineStr">
        <is>
          <t>Emergency</t>
        </is>
      </c>
      <c r="E2073" s="29" t="n">
        <v>45941</v>
      </c>
      <c r="F2073" s="29" t="n">
        <v>45942</v>
      </c>
      <c r="G2073" s="31" t="n">
        <v>1740.12</v>
      </c>
      <c r="H2073" s="31" t="n">
        <v>455.02</v>
      </c>
      <c r="I2073" t="inlineStr">
        <is>
          <t>Paid</t>
        </is>
      </c>
      <c r="K2073" s="29" t="n">
        <v>45972</v>
      </c>
      <c r="L2073" s="33" t="n"/>
    </row>
    <row r="2074">
      <c r="A2074" t="inlineStr">
        <is>
          <t>CLM519188</t>
        </is>
      </c>
      <c r="B2074" t="inlineStr">
        <is>
          <t>ENC119188</t>
        </is>
      </c>
      <c r="C2074" t="inlineStr">
        <is>
          <t>Silverline Medicare Advantage</t>
        </is>
      </c>
      <c r="D2074" t="inlineStr">
        <is>
          <t>Emergency</t>
        </is>
      </c>
      <c r="E2074" s="29" t="n">
        <v>45941</v>
      </c>
      <c r="F2074" s="29" t="n">
        <v>45947</v>
      </c>
      <c r="G2074" s="31" t="n">
        <v>2543.92</v>
      </c>
      <c r="H2074" s="31" t="n">
        <v>877.12</v>
      </c>
      <c r="I2074" t="inlineStr">
        <is>
          <t>Paid</t>
        </is>
      </c>
      <c r="K2074" s="29" t="n">
        <v>45979</v>
      </c>
      <c r="L2074" s="33" t="n"/>
    </row>
    <row r="2075">
      <c r="A2075" t="inlineStr">
        <is>
          <t>CLM519190</t>
        </is>
      </c>
      <c r="B2075" t="inlineStr">
        <is>
          <t>ENC119190</t>
        </is>
      </c>
      <c r="C2075" t="inlineStr">
        <is>
          <t>State Medicaid</t>
        </is>
      </c>
      <c r="D2075" t="inlineStr">
        <is>
          <t>Observation</t>
        </is>
      </c>
      <c r="E2075" s="29" t="n">
        <v>45942</v>
      </c>
      <c r="F2075" s="29" t="n">
        <v>45945</v>
      </c>
      <c r="G2075" s="31" t="n">
        <v>7848.68</v>
      </c>
      <c r="H2075" s="31" t="n">
        <v>1937.52</v>
      </c>
      <c r="I2075" t="inlineStr">
        <is>
          <t>Paid</t>
        </is>
      </c>
      <c r="K2075" s="29" t="n">
        <v>45967</v>
      </c>
      <c r="L2075" s="33" t="n"/>
    </row>
    <row r="2076">
      <c r="A2076" t="inlineStr">
        <is>
          <t>CLM519191</t>
        </is>
      </c>
      <c r="B2076" t="inlineStr">
        <is>
          <t>ENC119191</t>
        </is>
      </c>
      <c r="C2076" t="inlineStr">
        <is>
          <t>Evergreen Mutual Insurance</t>
        </is>
      </c>
      <c r="D2076" t="inlineStr">
        <is>
          <t>Emergency</t>
        </is>
      </c>
      <c r="E2076" s="29" t="n">
        <v>45941</v>
      </c>
      <c r="F2076" s="29" t="n">
        <v>45948</v>
      </c>
      <c r="G2076" s="31" t="n">
        <v>3183.17</v>
      </c>
      <c r="H2076" s="31" t="n">
        <v>1349.33</v>
      </c>
      <c r="I2076" t="inlineStr">
        <is>
          <t>Paid</t>
        </is>
      </c>
      <c r="K2076" s="29" t="n">
        <v>45990</v>
      </c>
      <c r="L2076" s="33" t="n"/>
    </row>
    <row r="2077">
      <c r="A2077" t="inlineStr">
        <is>
          <t>CLM519192</t>
        </is>
      </c>
      <c r="B2077" t="inlineStr">
        <is>
          <t>ENC119192</t>
        </is>
      </c>
      <c r="C2077" t="inlineStr">
        <is>
          <t>Self-Pay</t>
        </is>
      </c>
      <c r="D2077" t="inlineStr">
        <is>
          <t>Emergency</t>
        </is>
      </c>
      <c r="E2077" s="29" t="n">
        <v>45941</v>
      </c>
      <c r="F2077" s="29" t="n">
        <v>45949</v>
      </c>
      <c r="G2077" s="31" t="n">
        <v>4367.73</v>
      </c>
      <c r="H2077" s="31" t="n">
        <v>1232.37</v>
      </c>
      <c r="I2077" t="inlineStr">
        <is>
          <t>Partially Paid</t>
        </is>
      </c>
      <c r="K2077" s="29" t="n">
        <v>45985</v>
      </c>
      <c r="L2077" s="33" t="n"/>
    </row>
    <row r="2078">
      <c r="A2078" t="inlineStr">
        <is>
          <t>CLM519193</t>
        </is>
      </c>
      <c r="B2078" t="inlineStr">
        <is>
          <t>ENC119193</t>
        </is>
      </c>
      <c r="C2078" t="inlineStr">
        <is>
          <t>Medicare</t>
        </is>
      </c>
      <c r="D2078" t="inlineStr">
        <is>
          <t>Inpatient</t>
        </is>
      </c>
      <c r="E2078" s="29" t="n">
        <v>45943</v>
      </c>
      <c r="F2078" s="29" t="n">
        <v>45946</v>
      </c>
      <c r="G2078" s="31" t="n">
        <v>13135.87</v>
      </c>
      <c r="H2078" s="31" t="n">
        <v>3625.69</v>
      </c>
      <c r="I2078" t="inlineStr">
        <is>
          <t>Paid</t>
        </is>
      </c>
      <c r="K2078" s="29" t="n">
        <v>45957</v>
      </c>
      <c r="L2078" s="33" t="n"/>
    </row>
    <row r="2079">
      <c r="A2079" t="inlineStr">
        <is>
          <t>CLM519201</t>
        </is>
      </c>
      <c r="B2079" t="inlineStr">
        <is>
          <t>ENC119201</t>
        </is>
      </c>
      <c r="C2079" t="inlineStr">
        <is>
          <t>Evergreen Mutual Insurance</t>
        </is>
      </c>
      <c r="D2079" t="inlineStr">
        <is>
          <t>Inpatient</t>
        </is>
      </c>
      <c r="E2079" s="29" t="n">
        <v>45945</v>
      </c>
      <c r="F2079" s="29" t="n">
        <v>45950</v>
      </c>
      <c r="G2079" s="31" t="n">
        <v>81054.78</v>
      </c>
      <c r="H2079" s="31" t="n">
        <v>31727.44</v>
      </c>
      <c r="I2079" t="inlineStr">
        <is>
          <t>Paid</t>
        </is>
      </c>
      <c r="K2079" s="29" t="n">
        <v>45985</v>
      </c>
      <c r="L2079" s="33" t="n"/>
    </row>
    <row r="2080">
      <c r="A2080" t="inlineStr">
        <is>
          <t>CLM519210</t>
        </is>
      </c>
      <c r="B2080" t="inlineStr">
        <is>
          <t>ENC119210</t>
        </is>
      </c>
      <c r="C2080" t="inlineStr">
        <is>
          <t>State Medicaid</t>
        </is>
      </c>
      <c r="D2080" t="inlineStr">
        <is>
          <t>Emergency</t>
        </is>
      </c>
      <c r="E2080" s="29" t="n">
        <v>45942</v>
      </c>
      <c r="F2080" s="29" t="n">
        <v>45944</v>
      </c>
      <c r="G2080" s="31" t="n">
        <v>1856.29</v>
      </c>
      <c r="H2080" s="31" t="n">
        <v>0</v>
      </c>
      <c r="I2080" t="inlineStr">
        <is>
          <t>Denied</t>
        </is>
      </c>
      <c r="J2080" t="inlineStr">
        <is>
          <t>Authorization Required</t>
        </is>
      </c>
      <c r="L2080" s="33" t="n"/>
    </row>
    <row r="2081">
      <c r="A2081" t="inlineStr">
        <is>
          <t>CLM519213</t>
        </is>
      </c>
      <c r="B2081" t="inlineStr">
        <is>
          <t>ENC119213</t>
        </is>
      </c>
      <c r="C2081" t="inlineStr">
        <is>
          <t>State Medicaid</t>
        </is>
      </c>
      <c r="D2081" t="inlineStr">
        <is>
          <t>Emergency</t>
        </is>
      </c>
      <c r="E2081" s="29" t="n">
        <v>45943</v>
      </c>
      <c r="F2081" s="29" t="n">
        <v>45944</v>
      </c>
      <c r="G2081" s="31" t="n">
        <v>1029.07</v>
      </c>
      <c r="H2081" s="31" t="n">
        <v>0</v>
      </c>
      <c r="I2081" t="inlineStr">
        <is>
          <t>Denied</t>
        </is>
      </c>
      <c r="J2081" t="inlineStr">
        <is>
          <t>Authorization Required</t>
        </is>
      </c>
      <c r="L2081" s="33" t="n"/>
    </row>
    <row r="2082">
      <c r="A2082" t="inlineStr">
        <is>
          <t>CLM519215</t>
        </is>
      </c>
      <c r="B2082" t="inlineStr">
        <is>
          <t>ENC119215</t>
        </is>
      </c>
      <c r="C2082" t="inlineStr">
        <is>
          <t>State Medicaid</t>
        </is>
      </c>
      <c r="D2082" t="inlineStr">
        <is>
          <t>Inpatient</t>
        </is>
      </c>
      <c r="E2082" s="29" t="n">
        <v>45946</v>
      </c>
      <c r="F2082" s="29" t="n">
        <v>45948</v>
      </c>
      <c r="G2082" s="31" t="n">
        <v>20400.05</v>
      </c>
      <c r="H2082" s="31" t="n">
        <v>0</v>
      </c>
      <c r="I2082" t="inlineStr">
        <is>
          <t>Denied</t>
        </is>
      </c>
      <c r="J2082" t="inlineStr">
        <is>
          <t>Coding Error</t>
        </is>
      </c>
      <c r="L2082" s="33" t="n"/>
    </row>
    <row r="2083">
      <c r="A2083" t="inlineStr">
        <is>
          <t>CLM519220</t>
        </is>
      </c>
      <c r="B2083" t="inlineStr">
        <is>
          <t>ENC119220</t>
        </is>
      </c>
      <c r="C2083" t="inlineStr">
        <is>
          <t>Self-Pay</t>
        </is>
      </c>
      <c r="D2083" t="inlineStr">
        <is>
          <t>Outpatient</t>
        </is>
      </c>
      <c r="E2083" s="29" t="n">
        <v>45943</v>
      </c>
      <c r="F2083" s="29" t="n">
        <v>45949</v>
      </c>
      <c r="G2083" s="31" t="n">
        <v>280.92</v>
      </c>
      <c r="H2083" s="31" t="n">
        <v>54.28</v>
      </c>
      <c r="I2083" t="inlineStr">
        <is>
          <t>Partially Paid</t>
        </is>
      </c>
      <c r="K2083" s="29" t="n">
        <v>46018</v>
      </c>
      <c r="L2083" s="33" t="n"/>
    </row>
    <row r="2084">
      <c r="A2084" t="inlineStr">
        <is>
          <t>CLM519224</t>
        </is>
      </c>
      <c r="B2084" t="inlineStr">
        <is>
          <t>ENC119224</t>
        </is>
      </c>
      <c r="C2084" t="inlineStr">
        <is>
          <t>Medicare</t>
        </is>
      </c>
      <c r="D2084" t="inlineStr">
        <is>
          <t>Outpatient</t>
        </is>
      </c>
      <c r="E2084" s="29" t="n">
        <v>45943</v>
      </c>
      <c r="F2084" s="29" t="n">
        <v>45946</v>
      </c>
      <c r="G2084" s="31" t="n">
        <v>216.73</v>
      </c>
      <c r="H2084" s="31" t="n">
        <v>44.3</v>
      </c>
      <c r="I2084" t="inlineStr">
        <is>
          <t>Partially Paid</t>
        </is>
      </c>
      <c r="J2084" t="inlineStr">
        <is>
          <t>Coding Error</t>
        </is>
      </c>
      <c r="K2084" s="29" t="n">
        <v>45964</v>
      </c>
      <c r="L2084" s="33" t="n"/>
    </row>
    <row r="2085">
      <c r="A2085" t="inlineStr">
        <is>
          <t>CLM519226</t>
        </is>
      </c>
      <c r="B2085" t="inlineStr">
        <is>
          <t>ENC119226</t>
        </is>
      </c>
      <c r="C2085" t="inlineStr">
        <is>
          <t>Summit Choice PPO</t>
        </is>
      </c>
      <c r="D2085" t="inlineStr">
        <is>
          <t>Outpatient</t>
        </is>
      </c>
      <c r="E2085" s="29" t="n">
        <v>45943</v>
      </c>
      <c r="F2085" s="29" t="n">
        <v>45949</v>
      </c>
      <c r="G2085" s="31" t="n">
        <v>405.59</v>
      </c>
      <c r="H2085" s="31" t="n">
        <v>195.41</v>
      </c>
      <c r="I2085" t="inlineStr">
        <is>
          <t>Paid</t>
        </is>
      </c>
      <c r="K2085" s="29" t="n">
        <v>45969</v>
      </c>
      <c r="L2085" s="33" t="n"/>
    </row>
    <row r="2086">
      <c r="A2086" t="inlineStr">
        <is>
          <t>CLM519229</t>
        </is>
      </c>
      <c r="B2086" t="inlineStr">
        <is>
          <t>ENC119229</t>
        </is>
      </c>
      <c r="C2086" t="inlineStr">
        <is>
          <t>Medicare</t>
        </is>
      </c>
      <c r="D2086" t="inlineStr">
        <is>
          <t>Inpatient</t>
        </is>
      </c>
      <c r="E2086" s="29" t="n">
        <v>45953</v>
      </c>
      <c r="F2086" s="29" t="n">
        <v>45958</v>
      </c>
      <c r="G2086" s="31" t="n">
        <v>41905.32</v>
      </c>
      <c r="H2086" s="31" t="n">
        <v>11082.87</v>
      </c>
      <c r="I2086" t="inlineStr">
        <is>
          <t>Paid</t>
        </is>
      </c>
      <c r="K2086" s="29" t="n">
        <v>45973</v>
      </c>
      <c r="L2086" s="33" t="n"/>
    </row>
    <row r="2087">
      <c r="A2087" t="inlineStr">
        <is>
          <t>CLM519231</t>
        </is>
      </c>
      <c r="B2087" t="inlineStr">
        <is>
          <t>ENC119231</t>
        </is>
      </c>
      <c r="C2087" t="inlineStr">
        <is>
          <t>State Medicaid</t>
        </is>
      </c>
      <c r="D2087" t="inlineStr">
        <is>
          <t>Outpatient</t>
        </is>
      </c>
      <c r="E2087" s="29" t="n">
        <v>45943</v>
      </c>
      <c r="F2087" s="29" t="n">
        <v>45948</v>
      </c>
      <c r="G2087" s="31" t="n">
        <v>189.36</v>
      </c>
      <c r="H2087" s="31" t="n">
        <v>46.91</v>
      </c>
      <c r="I2087" t="inlineStr">
        <is>
          <t>Paid</t>
        </is>
      </c>
      <c r="K2087" s="29" t="n">
        <v>45963</v>
      </c>
      <c r="L2087" s="33" t="n"/>
    </row>
    <row r="2088">
      <c r="A2088" t="inlineStr">
        <is>
          <t>CLM519235</t>
        </is>
      </c>
      <c r="B2088" t="inlineStr">
        <is>
          <t>ENC119235</t>
        </is>
      </c>
      <c r="C2088" t="inlineStr">
        <is>
          <t>Evergreen Mutual Insurance</t>
        </is>
      </c>
      <c r="D2088" t="inlineStr">
        <is>
          <t>Outpatient</t>
        </is>
      </c>
      <c r="E2088" s="29" t="n">
        <v>45943</v>
      </c>
      <c r="F2088" s="29" t="n">
        <v>45947</v>
      </c>
      <c r="G2088" s="31" t="n">
        <v>17160.23</v>
      </c>
      <c r="H2088" s="31" t="n">
        <v>6243.2</v>
      </c>
      <c r="I2088" t="inlineStr">
        <is>
          <t>Paid</t>
        </is>
      </c>
      <c r="K2088" s="29" t="n">
        <v>45984</v>
      </c>
      <c r="L2088" s="33" t="n"/>
    </row>
    <row r="2089">
      <c r="A2089" t="inlineStr">
        <is>
          <t>CLM519237</t>
        </is>
      </c>
      <c r="B2089" t="inlineStr">
        <is>
          <t>ENC119237</t>
        </is>
      </c>
      <c r="C2089" t="inlineStr">
        <is>
          <t>Keystone Health Partners</t>
        </is>
      </c>
      <c r="D2089" t="inlineStr">
        <is>
          <t>Emergency</t>
        </is>
      </c>
      <c r="E2089" s="29" t="n">
        <v>45943</v>
      </c>
      <c r="F2089" s="29" t="n">
        <v>45986</v>
      </c>
      <c r="G2089" s="31" t="n">
        <v>1438.03</v>
      </c>
      <c r="H2089" s="31" t="n">
        <v>0</v>
      </c>
      <c r="I2089" t="inlineStr">
        <is>
          <t>Pending</t>
        </is>
      </c>
      <c r="L2089" s="33" t="n"/>
    </row>
    <row r="2090">
      <c r="A2090" t="inlineStr">
        <is>
          <t>CLM519244</t>
        </is>
      </c>
      <c r="B2090" t="inlineStr">
        <is>
          <t>ENC119244</t>
        </is>
      </c>
      <c r="C2090" t="inlineStr">
        <is>
          <t>Medicare</t>
        </is>
      </c>
      <c r="D2090" t="inlineStr">
        <is>
          <t>Emergency</t>
        </is>
      </c>
      <c r="E2090" s="29" t="n">
        <v>45943</v>
      </c>
      <c r="F2090" s="29" t="n">
        <v>45951</v>
      </c>
      <c r="G2090" s="31" t="n">
        <v>2978.43</v>
      </c>
      <c r="H2090" s="31" t="n">
        <v>818.8</v>
      </c>
      <c r="I2090" t="inlineStr">
        <is>
          <t>Paid</t>
        </is>
      </c>
      <c r="K2090" s="29" t="n">
        <v>45970</v>
      </c>
      <c r="L2090" s="33" t="n"/>
    </row>
    <row r="2091">
      <c r="A2091" t="inlineStr">
        <is>
          <t>CLM519250</t>
        </is>
      </c>
      <c r="B2091" t="inlineStr">
        <is>
          <t>ENC119250</t>
        </is>
      </c>
      <c r="C2091" t="inlineStr">
        <is>
          <t>Silverline Medicare Advantage</t>
        </is>
      </c>
      <c r="D2091" t="inlineStr">
        <is>
          <t>Observation</t>
        </is>
      </c>
      <c r="E2091" s="29" t="n">
        <v>45945</v>
      </c>
      <c r="F2091" s="29" t="n">
        <v>45952</v>
      </c>
      <c r="G2091" s="31" t="n">
        <v>8202.200000000001</v>
      </c>
      <c r="H2091" s="31" t="n">
        <v>2444.33</v>
      </c>
      <c r="I2091" t="inlineStr">
        <is>
          <t>Paid</t>
        </is>
      </c>
      <c r="K2091" s="29" t="n">
        <v>45975</v>
      </c>
      <c r="L2091" s="33" t="n"/>
    </row>
    <row r="2092">
      <c r="A2092" t="inlineStr">
        <is>
          <t>CLM519254</t>
        </is>
      </c>
      <c r="B2092" t="inlineStr">
        <is>
          <t>ENC119254</t>
        </is>
      </c>
      <c r="C2092" t="inlineStr">
        <is>
          <t>State Medicaid</t>
        </is>
      </c>
      <c r="D2092" t="inlineStr">
        <is>
          <t>Outpatient</t>
        </is>
      </c>
      <c r="E2092" s="29" t="n">
        <v>45944</v>
      </c>
      <c r="F2092" s="29" t="n">
        <v>45948</v>
      </c>
      <c r="G2092" s="31" t="n">
        <v>267.57</v>
      </c>
      <c r="H2092" s="31" t="n">
        <v>58.69</v>
      </c>
      <c r="I2092" t="inlineStr">
        <is>
          <t>Paid</t>
        </is>
      </c>
      <c r="K2092" s="29" t="n">
        <v>45999</v>
      </c>
      <c r="L2092" s="33" t="n"/>
    </row>
    <row r="2093">
      <c r="A2093" t="inlineStr">
        <is>
          <t>CLM519256</t>
        </is>
      </c>
      <c r="B2093" t="inlineStr">
        <is>
          <t>ENC119256</t>
        </is>
      </c>
      <c r="C2093" t="inlineStr">
        <is>
          <t>Evergreen Mutual Insurance</t>
        </is>
      </c>
      <c r="D2093" t="inlineStr">
        <is>
          <t>Outpatient</t>
        </is>
      </c>
      <c r="E2093" s="29" t="n">
        <v>45944</v>
      </c>
      <c r="F2093" s="29" t="n">
        <v>45945</v>
      </c>
      <c r="G2093" s="31" t="n">
        <v>382.34</v>
      </c>
      <c r="H2093" s="31" t="n">
        <v>175.16</v>
      </c>
      <c r="I2093" t="inlineStr">
        <is>
          <t>Paid</t>
        </is>
      </c>
      <c r="K2093" s="29" t="n">
        <v>45962</v>
      </c>
      <c r="L2093" s="33" t="n"/>
    </row>
    <row r="2094">
      <c r="A2094" t="inlineStr">
        <is>
          <t>CLM519257</t>
        </is>
      </c>
      <c r="B2094" t="inlineStr">
        <is>
          <t>ENC119257</t>
        </is>
      </c>
      <c r="C2094" t="inlineStr">
        <is>
          <t>Medicare</t>
        </is>
      </c>
      <c r="D2094" t="inlineStr">
        <is>
          <t>Outpatient</t>
        </is>
      </c>
      <c r="E2094" s="29" t="n">
        <v>45944</v>
      </c>
      <c r="F2094" s="29" t="n">
        <v>45947</v>
      </c>
      <c r="G2094" s="31" t="n">
        <v>244.79</v>
      </c>
      <c r="H2094" s="31" t="n">
        <v>67</v>
      </c>
      <c r="I2094" t="inlineStr">
        <is>
          <t>Paid</t>
        </is>
      </c>
      <c r="K2094" s="29" t="n">
        <v>45960</v>
      </c>
      <c r="L2094" s="33" t="n"/>
    </row>
    <row r="2095">
      <c r="A2095" t="inlineStr">
        <is>
          <t>CLM519259</t>
        </is>
      </c>
      <c r="B2095" t="inlineStr">
        <is>
          <t>ENC119259</t>
        </is>
      </c>
      <c r="C2095" t="inlineStr">
        <is>
          <t>Summit Choice PPO</t>
        </is>
      </c>
      <c r="D2095" t="inlineStr">
        <is>
          <t>Inpatient</t>
        </is>
      </c>
      <c r="E2095" s="29" t="n">
        <v>45952</v>
      </c>
      <c r="F2095" s="29" t="n">
        <v>45961</v>
      </c>
      <c r="G2095" s="31" t="n">
        <v>15486.98</v>
      </c>
      <c r="H2095" s="31" t="n">
        <v>6933.59</v>
      </c>
      <c r="I2095" t="inlineStr">
        <is>
          <t>Paid</t>
        </is>
      </c>
      <c r="K2095" s="29" t="n">
        <v>45977</v>
      </c>
      <c r="L2095" s="33" t="n"/>
    </row>
    <row r="2096">
      <c r="A2096" t="inlineStr">
        <is>
          <t>CLM519263</t>
        </is>
      </c>
      <c r="B2096" t="inlineStr">
        <is>
          <t>ENC119263</t>
        </is>
      </c>
      <c r="C2096" t="inlineStr">
        <is>
          <t>Evergreen Mutual Insurance</t>
        </is>
      </c>
      <c r="D2096" t="inlineStr">
        <is>
          <t>Outpatient</t>
        </is>
      </c>
      <c r="E2096" s="29" t="n">
        <v>45944</v>
      </c>
      <c r="F2096" s="29" t="n">
        <v>45949</v>
      </c>
      <c r="G2096" s="31" t="n">
        <v>184.03</v>
      </c>
      <c r="H2096" s="31" t="n">
        <v>75.56999999999999</v>
      </c>
      <c r="I2096" t="inlineStr">
        <is>
          <t>Paid</t>
        </is>
      </c>
      <c r="K2096" s="29" t="n">
        <v>45988</v>
      </c>
      <c r="L2096" s="33" t="n"/>
    </row>
    <row r="2097">
      <c r="A2097" t="inlineStr">
        <is>
          <t>CLM519265</t>
        </is>
      </c>
      <c r="B2097" t="inlineStr">
        <is>
          <t>ENC119265</t>
        </is>
      </c>
      <c r="C2097" t="inlineStr">
        <is>
          <t>Silverline Medicare Advantage</t>
        </is>
      </c>
      <c r="D2097" t="inlineStr">
        <is>
          <t>Outpatient</t>
        </is>
      </c>
      <c r="E2097" s="29" t="n">
        <v>45944</v>
      </c>
      <c r="F2097" s="29" t="n">
        <v>45949</v>
      </c>
      <c r="G2097" s="31" t="n">
        <v>321.78</v>
      </c>
      <c r="H2097" s="31" t="n">
        <v>0</v>
      </c>
      <c r="I2097" t="inlineStr">
        <is>
          <t>Denied</t>
        </is>
      </c>
      <c r="J2097" t="inlineStr">
        <is>
          <t>Missing Documentation</t>
        </is>
      </c>
      <c r="L2097" s="33" t="n"/>
    </row>
    <row r="2098">
      <c r="A2098" t="inlineStr">
        <is>
          <t>CLM519266</t>
        </is>
      </c>
      <c r="B2098" t="inlineStr">
        <is>
          <t>ENC119266</t>
        </is>
      </c>
      <c r="C2098" t="inlineStr">
        <is>
          <t>Medicare</t>
        </is>
      </c>
      <c r="D2098" t="inlineStr">
        <is>
          <t>Outpatient</t>
        </is>
      </c>
      <c r="E2098" s="29" t="n">
        <v>45944</v>
      </c>
      <c r="F2098" s="29" t="n">
        <v>45949</v>
      </c>
      <c r="G2098" s="31" t="n">
        <v>353.81</v>
      </c>
      <c r="H2098" s="31" t="n">
        <v>99.87</v>
      </c>
      <c r="I2098" t="inlineStr">
        <is>
          <t>Paid</t>
        </is>
      </c>
      <c r="K2098" s="29" t="n">
        <v>45960</v>
      </c>
      <c r="L2098" s="33" t="n"/>
    </row>
    <row r="2099">
      <c r="A2099" t="inlineStr">
        <is>
          <t>CLM519273</t>
        </is>
      </c>
      <c r="B2099" t="inlineStr">
        <is>
          <t>ENC119273</t>
        </is>
      </c>
      <c r="C2099" t="inlineStr">
        <is>
          <t>Medicare</t>
        </is>
      </c>
      <c r="D2099" t="inlineStr">
        <is>
          <t>Outpatient</t>
        </is>
      </c>
      <c r="E2099" s="29" t="n">
        <v>45944</v>
      </c>
      <c r="F2099" s="29" t="n">
        <v>45947</v>
      </c>
      <c r="G2099" s="31" t="n">
        <v>342.05</v>
      </c>
      <c r="H2099" s="31" t="n">
        <v>93.59999999999999</v>
      </c>
      <c r="I2099" t="inlineStr">
        <is>
          <t>Paid</t>
        </is>
      </c>
      <c r="K2099" s="29" t="n">
        <v>45955</v>
      </c>
      <c r="L2099" s="33" t="n"/>
    </row>
    <row r="2100">
      <c r="A2100" t="inlineStr">
        <is>
          <t>CLM519274</t>
        </is>
      </c>
      <c r="B2100" t="inlineStr">
        <is>
          <t>ENC119274</t>
        </is>
      </c>
      <c r="C2100" t="inlineStr">
        <is>
          <t>Silverline Medicare Advantage</t>
        </is>
      </c>
      <c r="D2100" t="inlineStr">
        <is>
          <t>Inpatient</t>
        </is>
      </c>
      <c r="E2100" s="29" t="n">
        <v>45949</v>
      </c>
      <c r="F2100" s="29" t="n">
        <v>45952</v>
      </c>
      <c r="G2100" s="31" t="n">
        <v>21791</v>
      </c>
      <c r="H2100" s="31" t="n">
        <v>0</v>
      </c>
      <c r="I2100" t="inlineStr">
        <is>
          <t>Denied</t>
        </is>
      </c>
      <c r="J2100" t="inlineStr">
        <is>
          <t>Coding Error</t>
        </is>
      </c>
      <c r="L2100" s="33" t="n"/>
    </row>
    <row r="2101">
      <c r="A2101" t="inlineStr">
        <is>
          <t>CLM519276</t>
        </is>
      </c>
      <c r="B2101" t="inlineStr">
        <is>
          <t>ENC119276</t>
        </is>
      </c>
      <c r="C2101" t="inlineStr">
        <is>
          <t>Keystone Health Partners</t>
        </is>
      </c>
      <c r="D2101" t="inlineStr">
        <is>
          <t>Emergency</t>
        </is>
      </c>
      <c r="E2101" s="29" t="n">
        <v>45944</v>
      </c>
      <c r="F2101" s="29" t="n">
        <v>45950</v>
      </c>
      <c r="G2101" s="31" t="n">
        <v>1525.19</v>
      </c>
      <c r="H2101" s="31" t="n">
        <v>0</v>
      </c>
      <c r="I2101" t="inlineStr">
        <is>
          <t>Denied</t>
        </is>
      </c>
      <c r="J2101" t="inlineStr">
        <is>
          <t>Medical Necessity</t>
        </is>
      </c>
      <c r="L2101" s="33" t="n"/>
    </row>
    <row r="2102">
      <c r="A2102" t="inlineStr">
        <is>
          <t>CLM519278</t>
        </is>
      </c>
      <c r="B2102" t="inlineStr">
        <is>
          <t>ENC119278</t>
        </is>
      </c>
      <c r="C2102" t="inlineStr">
        <is>
          <t>Self-Pay</t>
        </is>
      </c>
      <c r="D2102" t="inlineStr">
        <is>
          <t>Emergency</t>
        </is>
      </c>
      <c r="E2102" s="29" t="n">
        <v>45944</v>
      </c>
      <c r="F2102" s="29" t="n">
        <v>45948</v>
      </c>
      <c r="G2102" s="31" t="n">
        <v>2911.9</v>
      </c>
      <c r="H2102" s="31" t="n">
        <v>329.66</v>
      </c>
      <c r="I2102" t="inlineStr">
        <is>
          <t>Partially Paid</t>
        </is>
      </c>
      <c r="K2102" s="29" t="n">
        <v>45982</v>
      </c>
      <c r="L2102" s="33" t="n"/>
    </row>
    <row r="2103">
      <c r="A2103" t="inlineStr">
        <is>
          <t>CLM519289</t>
        </is>
      </c>
      <c r="B2103" t="inlineStr">
        <is>
          <t>ENC119289</t>
        </is>
      </c>
      <c r="C2103" t="inlineStr">
        <is>
          <t>Keystone Health Partners</t>
        </is>
      </c>
      <c r="D2103" t="inlineStr">
        <is>
          <t>Inpatient</t>
        </is>
      </c>
      <c r="E2103" s="29" t="n">
        <v>45951</v>
      </c>
      <c r="F2103" s="29" t="n">
        <v>45953</v>
      </c>
      <c r="G2103" s="31" t="n">
        <v>70827.64999999999</v>
      </c>
      <c r="H2103" s="31" t="n">
        <v>36109.64</v>
      </c>
      <c r="I2103" t="inlineStr">
        <is>
          <t>Paid</t>
        </is>
      </c>
      <c r="K2103" s="29" t="n">
        <v>45985</v>
      </c>
      <c r="L2103" s="33" t="n"/>
    </row>
    <row r="2104">
      <c r="A2104" t="inlineStr">
        <is>
          <t>CLM519297</t>
        </is>
      </c>
      <c r="B2104" t="inlineStr">
        <is>
          <t>ENC119297</t>
        </is>
      </c>
      <c r="C2104" t="inlineStr">
        <is>
          <t>Silverline Medicare Advantage</t>
        </is>
      </c>
      <c r="D2104" t="inlineStr">
        <is>
          <t>Emergency</t>
        </is>
      </c>
      <c r="E2104" s="29" t="n">
        <v>45945</v>
      </c>
      <c r="F2104" s="29" t="n">
        <v>45948</v>
      </c>
      <c r="G2104" s="31" t="n">
        <v>1198.71</v>
      </c>
      <c r="H2104" s="31" t="n">
        <v>0</v>
      </c>
      <c r="I2104" t="inlineStr">
        <is>
          <t>Pending</t>
        </is>
      </c>
      <c r="L2104" s="33" t="n"/>
    </row>
    <row r="2105">
      <c r="A2105" t="inlineStr">
        <is>
          <t>CLM519308</t>
        </is>
      </c>
      <c r="B2105" t="inlineStr">
        <is>
          <t>ENC119308</t>
        </is>
      </c>
      <c r="C2105" t="inlineStr">
        <is>
          <t>Medicare</t>
        </is>
      </c>
      <c r="D2105" t="inlineStr">
        <is>
          <t>Outpatient</t>
        </is>
      </c>
      <c r="E2105" s="29" t="n">
        <v>45945</v>
      </c>
      <c r="F2105" s="29" t="n">
        <v>45952</v>
      </c>
      <c r="G2105" s="31" t="n">
        <v>11923.79</v>
      </c>
      <c r="H2105" s="31" t="n">
        <v>2250.27</v>
      </c>
      <c r="I2105" t="inlineStr">
        <is>
          <t>Partially Paid</t>
        </is>
      </c>
      <c r="J2105" t="inlineStr">
        <is>
          <t>Coding Error</t>
        </is>
      </c>
      <c r="K2105" s="29" t="n">
        <v>45962</v>
      </c>
      <c r="L2105" s="33" t="n"/>
    </row>
    <row r="2106">
      <c r="A2106" t="inlineStr">
        <is>
          <t>CLM519311</t>
        </is>
      </c>
      <c r="B2106" t="inlineStr">
        <is>
          <t>ENC119311</t>
        </is>
      </c>
      <c r="C2106" t="inlineStr">
        <is>
          <t>Evergreen Mutual Insurance</t>
        </is>
      </c>
      <c r="D2106" t="inlineStr">
        <is>
          <t>Outpatient</t>
        </is>
      </c>
      <c r="E2106" s="29" t="n">
        <v>45945</v>
      </c>
      <c r="F2106" s="29" t="n">
        <v>45955</v>
      </c>
      <c r="G2106" s="31" t="n">
        <v>357.81</v>
      </c>
      <c r="H2106" s="31" t="n">
        <v>141.99</v>
      </c>
      <c r="I2106" t="inlineStr">
        <is>
          <t>Paid</t>
        </is>
      </c>
      <c r="K2106" s="29" t="n">
        <v>45973</v>
      </c>
      <c r="L2106" s="33" t="n"/>
    </row>
    <row r="2107">
      <c r="A2107" t="inlineStr">
        <is>
          <t>CLM519312</t>
        </is>
      </c>
      <c r="B2107" t="inlineStr">
        <is>
          <t>ENC119312</t>
        </is>
      </c>
      <c r="C2107" t="inlineStr">
        <is>
          <t>State Medicaid</t>
        </is>
      </c>
      <c r="D2107" t="inlineStr">
        <is>
          <t>Outpatient</t>
        </is>
      </c>
      <c r="E2107" s="29" t="n">
        <v>45945</v>
      </c>
      <c r="F2107" s="29" t="n">
        <v>45948</v>
      </c>
      <c r="G2107" s="31" t="n">
        <v>377.33</v>
      </c>
      <c r="H2107" s="31" t="n">
        <v>88.40000000000001</v>
      </c>
      <c r="I2107" t="inlineStr">
        <is>
          <t>Paid</t>
        </is>
      </c>
      <c r="K2107" s="29" t="n">
        <v>45976</v>
      </c>
      <c r="L2107" s="33" t="n"/>
    </row>
    <row r="2108">
      <c r="A2108" t="inlineStr">
        <is>
          <t>CLM519319</t>
        </is>
      </c>
      <c r="B2108" t="inlineStr">
        <is>
          <t>ENC119319</t>
        </is>
      </c>
      <c r="C2108" t="inlineStr">
        <is>
          <t>Evergreen Mutual Insurance</t>
        </is>
      </c>
      <c r="D2108" t="inlineStr">
        <is>
          <t>Emergency</t>
        </is>
      </c>
      <c r="E2108" s="29" t="n">
        <v>45946</v>
      </c>
      <c r="F2108" s="29" t="n">
        <v>45950</v>
      </c>
      <c r="G2108" s="31" t="n">
        <v>3743.61</v>
      </c>
      <c r="H2108" s="31" t="n">
        <v>1634.47</v>
      </c>
      <c r="I2108" t="inlineStr">
        <is>
          <t>Paid</t>
        </is>
      </c>
      <c r="K2108" s="29" t="n">
        <v>45985</v>
      </c>
      <c r="L2108" s="33" t="n"/>
    </row>
    <row r="2109">
      <c r="A2109" t="inlineStr">
        <is>
          <t>CLM519322</t>
        </is>
      </c>
      <c r="B2109" t="inlineStr">
        <is>
          <t>ENC119322</t>
        </is>
      </c>
      <c r="C2109" t="inlineStr">
        <is>
          <t>State Medicaid</t>
        </is>
      </c>
      <c r="D2109" t="inlineStr">
        <is>
          <t>Emergency</t>
        </is>
      </c>
      <c r="E2109" s="29" t="n">
        <v>45946</v>
      </c>
      <c r="F2109" s="29" t="n">
        <v>45947</v>
      </c>
      <c r="G2109" s="31" t="n">
        <v>10505.75</v>
      </c>
      <c r="H2109" s="31" t="n">
        <v>2950.8</v>
      </c>
      <c r="I2109" t="inlineStr">
        <is>
          <t>Paid</t>
        </is>
      </c>
      <c r="K2109" s="29" t="n">
        <v>45969</v>
      </c>
      <c r="L2109" s="33" t="n"/>
    </row>
    <row r="2110">
      <c r="A2110" t="inlineStr">
        <is>
          <t>CLM519323</t>
        </is>
      </c>
      <c r="B2110" t="inlineStr">
        <is>
          <t>ENC119323</t>
        </is>
      </c>
      <c r="C2110" t="inlineStr">
        <is>
          <t>Medicare</t>
        </is>
      </c>
      <c r="D2110" t="inlineStr">
        <is>
          <t>Outpatient</t>
        </is>
      </c>
      <c r="E2110" s="29" t="n">
        <v>45946</v>
      </c>
      <c r="F2110" s="29" t="n">
        <v>45954</v>
      </c>
      <c r="G2110" s="31" t="n">
        <v>297.83</v>
      </c>
      <c r="H2110" s="31" t="n">
        <v>87.7</v>
      </c>
      <c r="I2110" t="inlineStr">
        <is>
          <t>Paid</t>
        </is>
      </c>
      <c r="K2110" s="29" t="n">
        <v>45963</v>
      </c>
      <c r="L2110" s="33" t="n"/>
    </row>
    <row r="2111">
      <c r="A2111" t="inlineStr">
        <is>
          <t>CLM519326</t>
        </is>
      </c>
      <c r="B2111" t="inlineStr">
        <is>
          <t>ENC119326</t>
        </is>
      </c>
      <c r="C2111" t="inlineStr">
        <is>
          <t>Medicare</t>
        </is>
      </c>
      <c r="D2111" t="inlineStr">
        <is>
          <t>Outpatient</t>
        </is>
      </c>
      <c r="E2111" s="29" t="n">
        <v>45946</v>
      </c>
      <c r="F2111" s="29" t="n">
        <v>45951</v>
      </c>
      <c r="G2111" s="31" t="n">
        <v>237.74</v>
      </c>
      <c r="H2111" s="31" t="n">
        <v>0</v>
      </c>
      <c r="I2111" t="inlineStr">
        <is>
          <t>Appealed</t>
        </is>
      </c>
      <c r="J2111" t="inlineStr">
        <is>
          <t>Coding Error</t>
        </is>
      </c>
      <c r="L2111" s="33" t="n"/>
    </row>
    <row r="2112">
      <c r="A2112" t="inlineStr">
        <is>
          <t>CLM519329</t>
        </is>
      </c>
      <c r="B2112" t="inlineStr">
        <is>
          <t>ENC119329</t>
        </is>
      </c>
      <c r="C2112" t="inlineStr">
        <is>
          <t>Evergreen Mutual Insurance</t>
        </is>
      </c>
      <c r="D2112" t="inlineStr">
        <is>
          <t>Emergency</t>
        </is>
      </c>
      <c r="E2112" s="29" t="n">
        <v>45946</v>
      </c>
      <c r="F2112" s="29" t="n">
        <v>45953</v>
      </c>
      <c r="G2112" s="31" t="n">
        <v>3268.17</v>
      </c>
      <c r="H2112" s="31" t="n">
        <v>1620.51</v>
      </c>
      <c r="I2112" t="inlineStr">
        <is>
          <t>Paid</t>
        </is>
      </c>
      <c r="K2112" s="29" t="n">
        <v>45972</v>
      </c>
      <c r="L2112" s="33" t="n"/>
    </row>
    <row r="2113">
      <c r="A2113" t="inlineStr">
        <is>
          <t>CLM519330</t>
        </is>
      </c>
      <c r="B2113" t="inlineStr">
        <is>
          <t>ENC119330</t>
        </is>
      </c>
      <c r="C2113" t="inlineStr">
        <is>
          <t>Evergreen Mutual Insurance</t>
        </is>
      </c>
      <c r="D2113" t="inlineStr">
        <is>
          <t>Outpatient</t>
        </is>
      </c>
      <c r="E2113" s="29" t="n">
        <v>45946</v>
      </c>
      <c r="F2113" s="29" t="n">
        <v>45948</v>
      </c>
      <c r="G2113" s="31" t="n">
        <v>367.95</v>
      </c>
      <c r="H2113" s="31" t="n">
        <v>183.81</v>
      </c>
      <c r="I2113" t="inlineStr">
        <is>
          <t>Paid</t>
        </is>
      </c>
      <c r="K2113" s="29" t="n">
        <v>45976</v>
      </c>
      <c r="L2113" s="33" t="n"/>
    </row>
    <row r="2114">
      <c r="A2114" t="inlineStr">
        <is>
          <t>CLM519337</t>
        </is>
      </c>
      <c r="B2114" t="inlineStr">
        <is>
          <t>ENC119337</t>
        </is>
      </c>
      <c r="C2114" t="inlineStr">
        <is>
          <t>Medicare</t>
        </is>
      </c>
      <c r="D2114" t="inlineStr">
        <is>
          <t>Inpatient</t>
        </is>
      </c>
      <c r="E2114" s="29" t="n">
        <v>45955</v>
      </c>
      <c r="F2114" s="29" t="n">
        <v>45964</v>
      </c>
      <c r="G2114" s="31" t="n">
        <v>34455.09</v>
      </c>
      <c r="H2114" s="31" t="n">
        <v>9553.49</v>
      </c>
      <c r="I2114" t="inlineStr">
        <is>
          <t>Paid</t>
        </is>
      </c>
      <c r="K2114" s="29" t="n">
        <v>45990</v>
      </c>
      <c r="L2114" s="33" t="n"/>
    </row>
    <row r="2115">
      <c r="A2115" t="inlineStr">
        <is>
          <t>CLM519341</t>
        </is>
      </c>
      <c r="B2115" t="inlineStr">
        <is>
          <t>ENC119341</t>
        </is>
      </c>
      <c r="C2115" t="inlineStr">
        <is>
          <t>State Medicaid</t>
        </is>
      </c>
      <c r="D2115" t="inlineStr">
        <is>
          <t>Outpatient</t>
        </is>
      </c>
      <c r="E2115" s="29" t="n">
        <v>45946</v>
      </c>
      <c r="F2115" s="29" t="n">
        <v>45950</v>
      </c>
      <c r="G2115" s="31" t="n">
        <v>246.06</v>
      </c>
      <c r="H2115" s="31" t="n">
        <v>60.54</v>
      </c>
      <c r="I2115" t="inlineStr">
        <is>
          <t>Paid</t>
        </is>
      </c>
      <c r="K2115" s="29" t="n">
        <v>45992</v>
      </c>
      <c r="L2115" s="33" t="n"/>
    </row>
    <row r="2116">
      <c r="A2116" t="inlineStr">
        <is>
          <t>CLM519348</t>
        </is>
      </c>
      <c r="B2116" t="inlineStr">
        <is>
          <t>ENC119348</t>
        </is>
      </c>
      <c r="C2116" t="inlineStr">
        <is>
          <t>Keystone Health Partners</t>
        </is>
      </c>
      <c r="D2116" t="inlineStr">
        <is>
          <t>Emergency</t>
        </is>
      </c>
      <c r="E2116" s="29" t="n">
        <v>45947</v>
      </c>
      <c r="F2116" s="29" t="n">
        <v>45948</v>
      </c>
      <c r="G2116" s="31" t="n">
        <v>2129.76</v>
      </c>
      <c r="H2116" s="31" t="n">
        <v>1182.17</v>
      </c>
      <c r="I2116" t="inlineStr">
        <is>
          <t>Paid</t>
        </is>
      </c>
      <c r="K2116" s="29" t="n">
        <v>45963</v>
      </c>
      <c r="L2116" s="33" t="n"/>
    </row>
    <row r="2117">
      <c r="A2117" t="inlineStr">
        <is>
          <t>CLM519351</t>
        </is>
      </c>
      <c r="B2117" t="inlineStr">
        <is>
          <t>ENC119351</t>
        </is>
      </c>
      <c r="C2117" t="inlineStr">
        <is>
          <t>Keystone Health Partners</t>
        </is>
      </c>
      <c r="D2117" t="inlineStr">
        <is>
          <t>Inpatient</t>
        </is>
      </c>
      <c r="E2117" s="29" t="n">
        <v>45951</v>
      </c>
      <c r="F2117" s="29" t="n">
        <v>45956</v>
      </c>
      <c r="G2117" s="31" t="n">
        <v>39547.93</v>
      </c>
      <c r="H2117" s="31" t="n">
        <v>16212.17</v>
      </c>
      <c r="I2117" t="inlineStr">
        <is>
          <t>Paid</t>
        </is>
      </c>
      <c r="K2117" s="29" t="n">
        <v>45983</v>
      </c>
      <c r="L2117" s="33" t="n"/>
    </row>
    <row r="2118">
      <c r="A2118" t="inlineStr">
        <is>
          <t>CLM519353</t>
        </is>
      </c>
      <c r="B2118" t="inlineStr">
        <is>
          <t>ENC119353</t>
        </is>
      </c>
      <c r="C2118" t="inlineStr">
        <is>
          <t>State Medicaid</t>
        </is>
      </c>
      <c r="D2118" t="inlineStr">
        <is>
          <t>Emergency</t>
        </is>
      </c>
      <c r="E2118" s="29" t="n">
        <v>45947</v>
      </c>
      <c r="F2118" s="29" t="n">
        <v>45955</v>
      </c>
      <c r="G2118" s="31" t="n">
        <v>6109.68</v>
      </c>
      <c r="H2118" s="31" t="n">
        <v>0</v>
      </c>
      <c r="I2118" t="inlineStr">
        <is>
          <t>Denied</t>
        </is>
      </c>
      <c r="J2118" t="inlineStr">
        <is>
          <t>Authorization Required</t>
        </is>
      </c>
      <c r="L2118" s="33" t="n"/>
    </row>
    <row r="2119">
      <c r="A2119" t="inlineStr">
        <is>
          <t>CLM519364</t>
        </is>
      </c>
      <c r="B2119" t="inlineStr">
        <is>
          <t>ENC119364</t>
        </is>
      </c>
      <c r="C2119" t="inlineStr">
        <is>
          <t>Self-Pay</t>
        </is>
      </c>
      <c r="D2119" t="inlineStr">
        <is>
          <t>Outpatient</t>
        </is>
      </c>
      <c r="E2119" s="29" t="n">
        <v>45947</v>
      </c>
      <c r="F2119" s="29" t="n">
        <v>45951</v>
      </c>
      <c r="G2119" s="31" t="n">
        <v>217.55</v>
      </c>
      <c r="H2119" s="31" t="n">
        <v>0</v>
      </c>
      <c r="I2119" t="inlineStr">
        <is>
          <t>Pending</t>
        </is>
      </c>
      <c r="L2119" s="33" t="n"/>
    </row>
    <row r="2120">
      <c r="A2120" t="inlineStr">
        <is>
          <t>CLM519366</t>
        </is>
      </c>
      <c r="B2120" t="inlineStr">
        <is>
          <t>ENC119366</t>
        </is>
      </c>
      <c r="C2120" t="inlineStr">
        <is>
          <t>Evergreen Mutual Insurance</t>
        </is>
      </c>
      <c r="D2120" t="inlineStr">
        <is>
          <t>Outpatient</t>
        </is>
      </c>
      <c r="E2120" s="29" t="n">
        <v>45947</v>
      </c>
      <c r="F2120" s="29" t="n">
        <v>45948</v>
      </c>
      <c r="G2120" s="31" t="n">
        <v>313.45</v>
      </c>
      <c r="H2120" s="31" t="n">
        <v>125.35</v>
      </c>
      <c r="I2120" t="inlineStr">
        <is>
          <t>Paid</t>
        </is>
      </c>
      <c r="K2120" s="29" t="n">
        <v>45976</v>
      </c>
      <c r="L2120" s="33" t="n"/>
    </row>
    <row r="2121">
      <c r="A2121" t="inlineStr">
        <is>
          <t>CLM519368</t>
        </is>
      </c>
      <c r="B2121" t="inlineStr">
        <is>
          <t>ENC119368</t>
        </is>
      </c>
      <c r="C2121" t="inlineStr">
        <is>
          <t>Silverline Medicare Advantage</t>
        </is>
      </c>
      <c r="D2121" t="inlineStr">
        <is>
          <t>Outpatient</t>
        </is>
      </c>
      <c r="E2121" s="29" t="n">
        <v>45947</v>
      </c>
      <c r="F2121" s="29" t="n">
        <v>45949</v>
      </c>
      <c r="G2121" s="31" t="n">
        <v>313.49</v>
      </c>
      <c r="H2121" s="31" t="n">
        <v>97.45999999999999</v>
      </c>
      <c r="I2121" t="inlineStr">
        <is>
          <t>Paid</t>
        </is>
      </c>
      <c r="K2121" s="29" t="n">
        <v>45986</v>
      </c>
      <c r="L2121" s="33" t="n"/>
    </row>
    <row r="2122">
      <c r="A2122" t="inlineStr">
        <is>
          <t>CLM519371</t>
        </is>
      </c>
      <c r="B2122" t="inlineStr">
        <is>
          <t>ENC119371</t>
        </is>
      </c>
      <c r="C2122" t="inlineStr">
        <is>
          <t>Silverline Medicare Advantage</t>
        </is>
      </c>
      <c r="D2122" t="inlineStr">
        <is>
          <t>Emergency</t>
        </is>
      </c>
      <c r="E2122" s="29" t="n">
        <v>45947</v>
      </c>
      <c r="F2122" s="29" t="n">
        <v>45949</v>
      </c>
      <c r="G2122" s="31" t="n">
        <v>1595.28</v>
      </c>
      <c r="H2122" s="31" t="n">
        <v>0</v>
      </c>
      <c r="I2122" t="inlineStr">
        <is>
          <t>Denied</t>
        </is>
      </c>
      <c r="J2122" t="inlineStr">
        <is>
          <t>Authorization Required</t>
        </is>
      </c>
      <c r="L2122" s="33" t="n"/>
    </row>
    <row r="2123">
      <c r="A2123" t="inlineStr">
        <is>
          <t>CLM519377</t>
        </is>
      </c>
      <c r="B2123" t="inlineStr">
        <is>
          <t>ENC119377</t>
        </is>
      </c>
      <c r="C2123" t="inlineStr">
        <is>
          <t>Silverline Medicare Advantage</t>
        </is>
      </c>
      <c r="D2123" t="inlineStr">
        <is>
          <t>Emergency</t>
        </is>
      </c>
      <c r="E2123" s="29" t="n">
        <v>45947</v>
      </c>
      <c r="F2123" s="29" t="n">
        <v>45952</v>
      </c>
      <c r="G2123" s="31" t="n">
        <v>3243.04</v>
      </c>
      <c r="H2123" s="31" t="n">
        <v>1126.21</v>
      </c>
      <c r="I2123" t="inlineStr">
        <is>
          <t>Paid</t>
        </is>
      </c>
      <c r="K2123" s="29" t="n">
        <v>46017</v>
      </c>
      <c r="L2123" s="33" t="n"/>
    </row>
    <row r="2124">
      <c r="A2124" t="inlineStr">
        <is>
          <t>CLM519399</t>
        </is>
      </c>
      <c r="B2124" t="inlineStr">
        <is>
          <t>ENC119399</t>
        </is>
      </c>
      <c r="C2124" t="inlineStr">
        <is>
          <t>State Medicaid</t>
        </is>
      </c>
      <c r="D2124" t="inlineStr">
        <is>
          <t>Observation</t>
        </is>
      </c>
      <c r="E2124" s="29" t="n">
        <v>45949</v>
      </c>
      <c r="F2124" s="29" t="n">
        <v>45952</v>
      </c>
      <c r="G2124" s="31" t="n">
        <v>9673.799999999999</v>
      </c>
      <c r="H2124" s="31" t="n">
        <v>2226.82</v>
      </c>
      <c r="I2124" t="inlineStr">
        <is>
          <t>Paid</t>
        </is>
      </c>
      <c r="K2124" s="29" t="n">
        <v>45981</v>
      </c>
      <c r="L2124" s="33" t="n"/>
    </row>
    <row r="2125">
      <c r="A2125" t="inlineStr">
        <is>
          <t>CLM519400</t>
        </is>
      </c>
      <c r="B2125" t="inlineStr">
        <is>
          <t>ENC119400</t>
        </is>
      </c>
      <c r="C2125" t="inlineStr">
        <is>
          <t>Keystone Health Partners</t>
        </is>
      </c>
      <c r="D2125" t="inlineStr">
        <is>
          <t>Emergency</t>
        </is>
      </c>
      <c r="E2125" s="29" t="n">
        <v>45949</v>
      </c>
      <c r="F2125" s="29" t="n">
        <v>45953</v>
      </c>
      <c r="G2125" s="31" t="n">
        <v>1271.06</v>
      </c>
      <c r="H2125" s="31" t="n">
        <v>529.83</v>
      </c>
      <c r="I2125" t="inlineStr">
        <is>
          <t>Paid</t>
        </is>
      </c>
      <c r="K2125" s="29" t="n">
        <v>45988</v>
      </c>
      <c r="L2125" s="33" t="n"/>
    </row>
    <row r="2126">
      <c r="A2126" t="inlineStr">
        <is>
          <t>CLM519403</t>
        </is>
      </c>
      <c r="B2126" t="inlineStr">
        <is>
          <t>ENC119403</t>
        </is>
      </c>
      <c r="C2126" t="inlineStr">
        <is>
          <t>Silverline Medicare Advantage</t>
        </is>
      </c>
      <c r="D2126" t="inlineStr">
        <is>
          <t>Observation</t>
        </is>
      </c>
      <c r="E2126" s="29" t="n">
        <v>45950</v>
      </c>
      <c r="F2126" s="29" t="n">
        <v>45959</v>
      </c>
      <c r="G2126" s="31" t="n">
        <v>11575.38</v>
      </c>
      <c r="H2126" s="31" t="n">
        <v>0</v>
      </c>
      <c r="I2126" t="inlineStr">
        <is>
          <t>Denied</t>
        </is>
      </c>
      <c r="J2126" t="inlineStr">
        <is>
          <t>Missing Documentation</t>
        </is>
      </c>
      <c r="L2126" s="33" t="n"/>
    </row>
    <row r="2127">
      <c r="A2127" t="inlineStr">
        <is>
          <t>CLM519408</t>
        </is>
      </c>
      <c r="B2127" t="inlineStr">
        <is>
          <t>ENC119408</t>
        </is>
      </c>
      <c r="C2127" t="inlineStr">
        <is>
          <t>Medicare</t>
        </is>
      </c>
      <c r="D2127" t="inlineStr">
        <is>
          <t>Emergency</t>
        </is>
      </c>
      <c r="E2127" s="29" t="n">
        <v>45949</v>
      </c>
      <c r="F2127" s="29" t="n">
        <v>45964</v>
      </c>
      <c r="G2127" s="31" t="n">
        <v>1436.93</v>
      </c>
      <c r="H2127" s="31" t="n">
        <v>448.92</v>
      </c>
      <c r="I2127" t="inlineStr">
        <is>
          <t>Paid</t>
        </is>
      </c>
      <c r="K2127" s="29" t="n">
        <v>45975</v>
      </c>
      <c r="L2127" s="33" t="n"/>
    </row>
    <row r="2128">
      <c r="A2128" t="inlineStr">
        <is>
          <t>CLM519421</t>
        </is>
      </c>
      <c r="B2128" t="inlineStr">
        <is>
          <t>ENC119421</t>
        </is>
      </c>
      <c r="C2128" t="inlineStr">
        <is>
          <t>Self-Pay</t>
        </is>
      </c>
      <c r="D2128" t="inlineStr">
        <is>
          <t>Inpatient</t>
        </is>
      </c>
      <c r="E2128" s="29" t="n">
        <v>45954</v>
      </c>
      <c r="F2128" s="29" t="n">
        <v>45959</v>
      </c>
      <c r="G2128" s="31" t="n">
        <v>43737.93</v>
      </c>
      <c r="H2128" s="31" t="n">
        <v>17825.96</v>
      </c>
      <c r="I2128" t="inlineStr">
        <is>
          <t>Paid</t>
        </is>
      </c>
      <c r="K2128" s="29" t="n">
        <v>46014</v>
      </c>
      <c r="L2128" s="33" t="n"/>
    </row>
    <row r="2129">
      <c r="A2129" t="inlineStr">
        <is>
          <t>CLM519424</t>
        </is>
      </c>
      <c r="B2129" t="inlineStr">
        <is>
          <t>ENC119424</t>
        </is>
      </c>
      <c r="C2129" t="inlineStr">
        <is>
          <t>Silverline Medicare Advantage</t>
        </is>
      </c>
      <c r="D2129" t="inlineStr">
        <is>
          <t>Inpatient</t>
        </is>
      </c>
      <c r="E2129" s="29" t="n">
        <v>45954</v>
      </c>
      <c r="F2129" s="29" t="n">
        <v>45956</v>
      </c>
      <c r="G2129" s="31" t="n">
        <v>16898.93</v>
      </c>
      <c r="H2129" s="31" t="n">
        <v>5604.04</v>
      </c>
      <c r="I2129" t="inlineStr">
        <is>
          <t>Paid</t>
        </is>
      </c>
      <c r="K2129" s="29" t="n">
        <v>45971</v>
      </c>
      <c r="L2129" s="33" t="n"/>
    </row>
    <row r="2130">
      <c r="A2130" t="inlineStr">
        <is>
          <t>CLM519427</t>
        </is>
      </c>
      <c r="B2130" t="inlineStr">
        <is>
          <t>ENC119427</t>
        </is>
      </c>
      <c r="C2130" t="inlineStr">
        <is>
          <t>Medicare</t>
        </is>
      </c>
      <c r="D2130" t="inlineStr">
        <is>
          <t>Outpatient</t>
        </is>
      </c>
      <c r="E2130" s="29" t="n">
        <v>45950</v>
      </c>
      <c r="F2130" s="29" t="n">
        <v>45952</v>
      </c>
      <c r="G2130" s="31" t="n">
        <v>242.7</v>
      </c>
      <c r="H2130" s="31" t="n">
        <v>60.73</v>
      </c>
      <c r="I2130" t="inlineStr">
        <is>
          <t>Paid</t>
        </is>
      </c>
      <c r="K2130" s="29" t="n">
        <v>45966</v>
      </c>
      <c r="L2130" s="33" t="n"/>
    </row>
    <row r="2131">
      <c r="A2131" t="inlineStr">
        <is>
          <t>CLM519432</t>
        </is>
      </c>
      <c r="B2131" t="inlineStr">
        <is>
          <t>ENC119432</t>
        </is>
      </c>
      <c r="C2131" t="inlineStr">
        <is>
          <t>Keystone Health Partners</t>
        </is>
      </c>
      <c r="D2131" t="inlineStr">
        <is>
          <t>Outpatient</t>
        </is>
      </c>
      <c r="E2131" s="29" t="n">
        <v>45950</v>
      </c>
      <c r="F2131" s="29" t="n">
        <v>45953</v>
      </c>
      <c r="G2131" s="31" t="n">
        <v>9628.030000000001</v>
      </c>
      <c r="H2131" s="31" t="n">
        <v>4041.6</v>
      </c>
      <c r="I2131" t="inlineStr">
        <is>
          <t>Paid</t>
        </is>
      </c>
      <c r="K2131" s="29" t="n">
        <v>45972</v>
      </c>
      <c r="L2131" s="33" t="n"/>
    </row>
    <row r="2132">
      <c r="A2132" t="inlineStr">
        <is>
          <t>CLM519433</t>
        </is>
      </c>
      <c r="B2132" t="inlineStr">
        <is>
          <t>ENC119433</t>
        </is>
      </c>
      <c r="C2132" t="inlineStr">
        <is>
          <t>Silverline Medicare Advantage</t>
        </is>
      </c>
      <c r="D2132" t="inlineStr">
        <is>
          <t>Inpatient</t>
        </is>
      </c>
      <c r="E2132" s="29" t="n">
        <v>45953</v>
      </c>
      <c r="F2132" s="29" t="n">
        <v>45955</v>
      </c>
      <c r="G2132" s="31" t="n">
        <v>12170</v>
      </c>
      <c r="H2132" s="31" t="n">
        <v>0</v>
      </c>
      <c r="I2132" t="inlineStr">
        <is>
          <t>Appealed</t>
        </is>
      </c>
      <c r="J2132" t="inlineStr">
        <is>
          <t>Authorization Required</t>
        </is>
      </c>
      <c r="L2132" s="33" t="n"/>
    </row>
    <row r="2133">
      <c r="A2133" t="inlineStr">
        <is>
          <t>CLM519437</t>
        </is>
      </c>
      <c r="B2133" t="inlineStr">
        <is>
          <t>ENC119437</t>
        </is>
      </c>
      <c r="C2133" t="inlineStr">
        <is>
          <t>State Medicaid</t>
        </is>
      </c>
      <c r="D2133" t="inlineStr">
        <is>
          <t>Outpatient</t>
        </is>
      </c>
      <c r="E2133" s="29" t="n">
        <v>45950</v>
      </c>
      <c r="F2133" s="29" t="n">
        <v>45953</v>
      </c>
      <c r="G2133" s="31" t="n">
        <v>671.48</v>
      </c>
      <c r="H2133" s="31" t="n">
        <v>160.48</v>
      </c>
      <c r="I2133" t="inlineStr">
        <is>
          <t>Paid</t>
        </is>
      </c>
      <c r="K2133" s="29" t="n">
        <v>45981</v>
      </c>
      <c r="L2133" s="33" t="n"/>
    </row>
    <row r="2134">
      <c r="A2134" t="inlineStr">
        <is>
          <t>CLM519438</t>
        </is>
      </c>
      <c r="B2134" t="inlineStr">
        <is>
          <t>ENC119438</t>
        </is>
      </c>
      <c r="C2134" t="inlineStr">
        <is>
          <t>Medicare</t>
        </is>
      </c>
      <c r="D2134" t="inlineStr">
        <is>
          <t>Outpatient</t>
        </is>
      </c>
      <c r="E2134" s="29" t="n">
        <v>45950</v>
      </c>
      <c r="F2134" s="29" t="n">
        <v>45955</v>
      </c>
      <c r="G2134" s="31" t="n">
        <v>201.02</v>
      </c>
      <c r="H2134" s="31" t="n">
        <v>56.82</v>
      </c>
      <c r="I2134" t="inlineStr">
        <is>
          <t>Paid</t>
        </is>
      </c>
      <c r="K2134" s="29" t="n">
        <v>45966</v>
      </c>
      <c r="L2134" s="33" t="n"/>
    </row>
    <row r="2135">
      <c r="A2135" t="inlineStr">
        <is>
          <t>CLM519442</t>
        </is>
      </c>
      <c r="B2135" t="inlineStr">
        <is>
          <t>ENC119442</t>
        </is>
      </c>
      <c r="C2135" t="inlineStr">
        <is>
          <t>State Medicaid</t>
        </is>
      </c>
      <c r="D2135" t="inlineStr">
        <is>
          <t>Outpatient</t>
        </is>
      </c>
      <c r="E2135" s="29" t="n">
        <v>45950</v>
      </c>
      <c r="F2135" s="29" t="n">
        <v>45953</v>
      </c>
      <c r="G2135" s="31" t="n">
        <v>392.82</v>
      </c>
      <c r="H2135" s="31" t="n">
        <v>97.25</v>
      </c>
      <c r="I2135" t="inlineStr">
        <is>
          <t>Paid</t>
        </is>
      </c>
      <c r="K2135" s="29" t="n">
        <v>45998</v>
      </c>
      <c r="L2135" s="33" t="n"/>
    </row>
    <row r="2136">
      <c r="A2136" t="inlineStr">
        <is>
          <t>CLM519447</t>
        </is>
      </c>
      <c r="B2136" t="inlineStr">
        <is>
          <t>ENC119447</t>
        </is>
      </c>
      <c r="C2136" t="inlineStr">
        <is>
          <t>State Medicaid</t>
        </is>
      </c>
      <c r="D2136" t="inlineStr">
        <is>
          <t>Observation</t>
        </is>
      </c>
      <c r="E2136" s="29" t="n">
        <v>45951</v>
      </c>
      <c r="F2136" s="29" t="n">
        <v>45952</v>
      </c>
      <c r="G2136" s="31" t="n">
        <v>6273.59</v>
      </c>
      <c r="H2136" s="31" t="n">
        <v>1565.08</v>
      </c>
      <c r="I2136" t="inlineStr">
        <is>
          <t>Paid</t>
        </is>
      </c>
      <c r="K2136" s="29" t="n">
        <v>45990</v>
      </c>
      <c r="L2136" s="33" t="n"/>
    </row>
    <row r="2137">
      <c r="A2137" t="inlineStr">
        <is>
          <t>CLM519448</t>
        </is>
      </c>
      <c r="B2137" t="inlineStr">
        <is>
          <t>ENC119448</t>
        </is>
      </c>
      <c r="C2137" t="inlineStr">
        <is>
          <t>State Medicaid</t>
        </is>
      </c>
      <c r="D2137" t="inlineStr">
        <is>
          <t>Emergency</t>
        </is>
      </c>
      <c r="E2137" s="29" t="n">
        <v>45950</v>
      </c>
      <c r="F2137" s="29" t="n">
        <v>45953</v>
      </c>
      <c r="G2137" s="31" t="n">
        <v>1363.92</v>
      </c>
      <c r="H2137" s="31" t="n">
        <v>0</v>
      </c>
      <c r="I2137" t="inlineStr">
        <is>
          <t>Appealed</t>
        </is>
      </c>
      <c r="J2137" t="inlineStr">
        <is>
          <t>Medical Necessity</t>
        </is>
      </c>
      <c r="L2137" s="33" t="n"/>
    </row>
    <row r="2138">
      <c r="A2138" t="inlineStr">
        <is>
          <t>CLM519450</t>
        </is>
      </c>
      <c r="B2138" t="inlineStr">
        <is>
          <t>ENC119450</t>
        </is>
      </c>
      <c r="C2138" t="inlineStr">
        <is>
          <t>State Medicaid</t>
        </is>
      </c>
      <c r="D2138" t="inlineStr">
        <is>
          <t>Emergency</t>
        </is>
      </c>
      <c r="E2138" s="29" t="n">
        <v>45951</v>
      </c>
      <c r="F2138" s="29" t="n">
        <v>45956</v>
      </c>
      <c r="G2138" s="31" t="n">
        <v>734.55</v>
      </c>
      <c r="H2138" s="31" t="n">
        <v>0</v>
      </c>
      <c r="I2138" t="inlineStr">
        <is>
          <t>Denied</t>
        </is>
      </c>
      <c r="J2138" t="inlineStr">
        <is>
          <t>Authorization Required</t>
        </is>
      </c>
      <c r="L2138" s="33" t="n"/>
    </row>
    <row r="2139">
      <c r="A2139" t="inlineStr">
        <is>
          <t>CLM519452</t>
        </is>
      </c>
      <c r="B2139" t="inlineStr">
        <is>
          <t>ENC119452</t>
        </is>
      </c>
      <c r="C2139" t="inlineStr">
        <is>
          <t>Keystone Health Partners</t>
        </is>
      </c>
      <c r="D2139" t="inlineStr">
        <is>
          <t>Emergency</t>
        </is>
      </c>
      <c r="E2139" s="29" t="n">
        <v>45951</v>
      </c>
      <c r="F2139" s="29" t="n">
        <v>46015</v>
      </c>
      <c r="G2139" s="31" t="n">
        <v>3933.55</v>
      </c>
      <c r="H2139" s="31" t="n">
        <v>0</v>
      </c>
      <c r="I2139" t="inlineStr">
        <is>
          <t>Pending</t>
        </is>
      </c>
      <c r="L2139" s="33" t="n"/>
    </row>
    <row r="2140">
      <c r="A2140" t="inlineStr">
        <is>
          <t>CLM519454</t>
        </is>
      </c>
      <c r="B2140" t="inlineStr">
        <is>
          <t>ENC119454</t>
        </is>
      </c>
      <c r="C2140" t="inlineStr">
        <is>
          <t>Silverline Medicare Advantage</t>
        </is>
      </c>
      <c r="D2140" t="inlineStr">
        <is>
          <t>Outpatient</t>
        </is>
      </c>
      <c r="E2140" s="29" t="n">
        <v>45951</v>
      </c>
      <c r="F2140" s="29" t="n">
        <v>45954</v>
      </c>
      <c r="G2140" s="31" t="n">
        <v>199.19</v>
      </c>
      <c r="H2140" s="31" t="n">
        <v>0</v>
      </c>
      <c r="I2140" t="inlineStr">
        <is>
          <t>Denied</t>
        </is>
      </c>
      <c r="J2140" t="inlineStr">
        <is>
          <t>Missing Documentation</t>
        </is>
      </c>
      <c r="L2140" s="33" t="n"/>
    </row>
    <row r="2141">
      <c r="A2141" t="inlineStr">
        <is>
          <t>CLM519460</t>
        </is>
      </c>
      <c r="B2141" t="inlineStr">
        <is>
          <t>ENC119460</t>
        </is>
      </c>
      <c r="C2141" t="inlineStr">
        <is>
          <t>Silverline Medicare Advantage</t>
        </is>
      </c>
      <c r="D2141" t="inlineStr">
        <is>
          <t>Outpatient</t>
        </is>
      </c>
      <c r="E2141" s="29" t="n">
        <v>45951</v>
      </c>
      <c r="F2141" s="29" t="n">
        <v>45956</v>
      </c>
      <c r="G2141" s="31" t="n">
        <v>473.32</v>
      </c>
      <c r="H2141" s="31" t="n">
        <v>157.59</v>
      </c>
      <c r="I2141" t="inlineStr">
        <is>
          <t>Paid</t>
        </is>
      </c>
      <c r="K2141" s="29" t="n">
        <v>45972</v>
      </c>
      <c r="L2141" s="33" t="n"/>
    </row>
    <row r="2142">
      <c r="A2142" t="inlineStr">
        <is>
          <t>CLM519467</t>
        </is>
      </c>
      <c r="B2142" t="inlineStr">
        <is>
          <t>ENC119467</t>
        </is>
      </c>
      <c r="C2142" t="inlineStr">
        <is>
          <t>Silverline Medicare Advantage</t>
        </is>
      </c>
      <c r="D2142" t="inlineStr">
        <is>
          <t>Inpatient</t>
        </is>
      </c>
      <c r="E2142" s="29" t="n">
        <v>45960</v>
      </c>
      <c r="F2142" s="29" t="n">
        <v>45970</v>
      </c>
      <c r="G2142" s="31" t="n">
        <v>75980.69</v>
      </c>
      <c r="H2142" s="31" t="n">
        <v>0</v>
      </c>
      <c r="I2142" t="inlineStr">
        <is>
          <t>Denied</t>
        </is>
      </c>
      <c r="J2142" t="inlineStr">
        <is>
          <t>Authorization Required</t>
        </is>
      </c>
      <c r="L2142" s="33" t="n"/>
    </row>
    <row r="2143">
      <c r="A2143" t="inlineStr">
        <is>
          <t>CLM519468</t>
        </is>
      </c>
      <c r="B2143" t="inlineStr">
        <is>
          <t>ENC119468</t>
        </is>
      </c>
      <c r="C2143" t="inlineStr">
        <is>
          <t>Silverline Medicare Advantage</t>
        </is>
      </c>
      <c r="D2143" t="inlineStr">
        <is>
          <t>Outpatient</t>
        </is>
      </c>
      <c r="E2143" s="29" t="n">
        <v>45951</v>
      </c>
      <c r="F2143" s="29" t="n">
        <v>45963</v>
      </c>
      <c r="G2143" s="31" t="n">
        <v>1221.93</v>
      </c>
      <c r="H2143" s="31" t="n">
        <v>393.15</v>
      </c>
      <c r="I2143" t="inlineStr">
        <is>
          <t>Paid</t>
        </is>
      </c>
      <c r="K2143" s="29" t="n">
        <v>46000</v>
      </c>
      <c r="L2143" s="33" t="n"/>
    </row>
    <row r="2144">
      <c r="A2144" t="inlineStr">
        <is>
          <t>CLM519471</t>
        </is>
      </c>
      <c r="B2144" t="inlineStr">
        <is>
          <t>ENC119471</t>
        </is>
      </c>
      <c r="C2144" t="inlineStr">
        <is>
          <t>Silverline Medicare Advantage</t>
        </is>
      </c>
      <c r="D2144" t="inlineStr">
        <is>
          <t>Outpatient</t>
        </is>
      </c>
      <c r="E2144" s="29" t="n">
        <v>45951</v>
      </c>
      <c r="F2144" s="29" t="n">
        <v>45959</v>
      </c>
      <c r="G2144" s="31" t="n">
        <v>664.9400000000001</v>
      </c>
      <c r="H2144" s="31" t="n">
        <v>191.96</v>
      </c>
      <c r="I2144" t="inlineStr">
        <is>
          <t>Partially Paid</t>
        </is>
      </c>
      <c r="J2144" t="inlineStr">
        <is>
          <t>Coding Error</t>
        </is>
      </c>
      <c r="K2144" s="29" t="n">
        <v>45983</v>
      </c>
      <c r="L2144" s="33" t="n"/>
    </row>
    <row r="2145">
      <c r="A2145" t="inlineStr">
        <is>
          <t>CLM519473</t>
        </is>
      </c>
      <c r="B2145" t="inlineStr">
        <is>
          <t>ENC119473</t>
        </is>
      </c>
      <c r="C2145" t="inlineStr">
        <is>
          <t>Silverline Medicare Advantage</t>
        </is>
      </c>
      <c r="D2145" t="inlineStr">
        <is>
          <t>Outpatient</t>
        </is>
      </c>
      <c r="E2145" s="29" t="n">
        <v>45951</v>
      </c>
      <c r="F2145" s="29" t="n">
        <v>45955</v>
      </c>
      <c r="G2145" s="31" t="n">
        <v>17397.59</v>
      </c>
      <c r="H2145" s="31" t="n">
        <v>5352.07</v>
      </c>
      <c r="I2145" t="inlineStr">
        <is>
          <t>Paid</t>
        </is>
      </c>
      <c r="K2145" s="29" t="n">
        <v>45985</v>
      </c>
      <c r="L2145" s="33" t="n"/>
    </row>
    <row r="2146">
      <c r="A2146" t="inlineStr">
        <is>
          <t>CLM519474</t>
        </is>
      </c>
      <c r="B2146" t="inlineStr">
        <is>
          <t>ENC119474</t>
        </is>
      </c>
      <c r="C2146" t="inlineStr">
        <is>
          <t>Medicare</t>
        </is>
      </c>
      <c r="D2146" t="inlineStr">
        <is>
          <t>Emergency</t>
        </is>
      </c>
      <c r="E2146" s="29" t="n">
        <v>45951</v>
      </c>
      <c r="F2146" s="29" t="n">
        <v>45955</v>
      </c>
      <c r="G2146" s="31" t="n">
        <v>3411.93</v>
      </c>
      <c r="H2146" s="31" t="n">
        <v>905.42</v>
      </c>
      <c r="I2146" t="inlineStr">
        <is>
          <t>Paid</t>
        </is>
      </c>
      <c r="K2146" s="29" t="n">
        <v>45969</v>
      </c>
      <c r="L2146" s="33" t="n"/>
    </row>
    <row r="2147">
      <c r="A2147" t="inlineStr">
        <is>
          <t>CLM519480</t>
        </is>
      </c>
      <c r="B2147" t="inlineStr">
        <is>
          <t>ENC119480</t>
        </is>
      </c>
      <c r="C2147" t="inlineStr">
        <is>
          <t>Summit Choice PPO</t>
        </is>
      </c>
      <c r="D2147" t="inlineStr">
        <is>
          <t>Inpatient</t>
        </is>
      </c>
      <c r="E2147" s="29" t="n">
        <v>45959</v>
      </c>
      <c r="F2147" s="29" t="n">
        <v>45965</v>
      </c>
      <c r="G2147" s="31" t="n">
        <v>60667.62</v>
      </c>
      <c r="H2147" s="31" t="n">
        <v>0</v>
      </c>
      <c r="I2147" t="inlineStr">
        <is>
          <t>Denied</t>
        </is>
      </c>
      <c r="J2147" t="inlineStr">
        <is>
          <t>Missing Documentation</t>
        </is>
      </c>
      <c r="L2147" s="33" t="n"/>
    </row>
    <row r="2148">
      <c r="A2148" t="inlineStr">
        <is>
          <t>CLM519483</t>
        </is>
      </c>
      <c r="B2148" t="inlineStr">
        <is>
          <t>ENC119483</t>
        </is>
      </c>
      <c r="C2148" t="inlineStr">
        <is>
          <t>Silverline Medicare Advantage</t>
        </is>
      </c>
      <c r="D2148" t="inlineStr">
        <is>
          <t>Emergency</t>
        </is>
      </c>
      <c r="E2148" s="29" t="n">
        <v>45952</v>
      </c>
      <c r="F2148" s="29" t="n">
        <v>45953</v>
      </c>
      <c r="G2148" s="31" t="n">
        <v>4166.6</v>
      </c>
      <c r="H2148" s="31" t="n">
        <v>1358.66</v>
      </c>
      <c r="I2148" t="inlineStr">
        <is>
          <t>Paid</t>
        </is>
      </c>
      <c r="K2148" s="29" t="n">
        <v>46003</v>
      </c>
      <c r="L2148" s="33" t="n"/>
    </row>
    <row r="2149">
      <c r="A2149" t="inlineStr">
        <is>
          <t>CLM519484</t>
        </is>
      </c>
      <c r="B2149" t="inlineStr">
        <is>
          <t>ENC119484</t>
        </is>
      </c>
      <c r="C2149" t="inlineStr">
        <is>
          <t>Silverline Medicare Advantage</t>
        </is>
      </c>
      <c r="D2149" t="inlineStr">
        <is>
          <t>Outpatient</t>
        </is>
      </c>
      <c r="E2149" s="29" t="n">
        <v>45952</v>
      </c>
      <c r="F2149" s="29" t="n">
        <v>45954</v>
      </c>
      <c r="G2149" s="31" t="n">
        <v>429.44</v>
      </c>
      <c r="H2149" s="31" t="n">
        <v>144.24</v>
      </c>
      <c r="I2149" t="inlineStr">
        <is>
          <t>Paid</t>
        </is>
      </c>
      <c r="K2149" s="29" t="n">
        <v>45984</v>
      </c>
      <c r="L2149" s="33" t="n"/>
    </row>
    <row r="2150">
      <c r="A2150" t="inlineStr">
        <is>
          <t>CLM519488</t>
        </is>
      </c>
      <c r="B2150" t="inlineStr">
        <is>
          <t>ENC119488</t>
        </is>
      </c>
      <c r="C2150" t="inlineStr">
        <is>
          <t>State Medicaid</t>
        </is>
      </c>
      <c r="D2150" t="inlineStr">
        <is>
          <t>Inpatient</t>
        </is>
      </c>
      <c r="E2150" s="29" t="n">
        <v>45959</v>
      </c>
      <c r="F2150" s="29" t="n">
        <v>45963</v>
      </c>
      <c r="G2150" s="31" t="n">
        <v>78093.03999999999</v>
      </c>
      <c r="H2150" s="31" t="n">
        <v>0</v>
      </c>
      <c r="I2150" t="inlineStr">
        <is>
          <t>Denied</t>
        </is>
      </c>
      <c r="J2150" t="inlineStr">
        <is>
          <t>Coding Error</t>
        </is>
      </c>
      <c r="L2150" s="33" t="n"/>
    </row>
    <row r="2151">
      <c r="A2151" t="inlineStr">
        <is>
          <t>CLM519489</t>
        </is>
      </c>
      <c r="B2151" t="inlineStr">
        <is>
          <t>ENC119489</t>
        </is>
      </c>
      <c r="C2151" t="inlineStr">
        <is>
          <t>Medicare</t>
        </is>
      </c>
      <c r="D2151" t="inlineStr">
        <is>
          <t>Emergency</t>
        </is>
      </c>
      <c r="E2151" s="29" t="n">
        <v>45952</v>
      </c>
      <c r="F2151" s="29" t="n">
        <v>45953</v>
      </c>
      <c r="G2151" s="31" t="n">
        <v>6424.44</v>
      </c>
      <c r="H2151" s="31" t="n">
        <v>1862.81</v>
      </c>
      <c r="I2151" t="inlineStr">
        <is>
          <t>Paid</t>
        </is>
      </c>
      <c r="K2151" s="29" t="n">
        <v>45962</v>
      </c>
      <c r="L2151" s="33" t="n"/>
    </row>
    <row r="2152">
      <c r="A2152" t="inlineStr">
        <is>
          <t>CLM519502</t>
        </is>
      </c>
      <c r="B2152" t="inlineStr">
        <is>
          <t>ENC119502</t>
        </is>
      </c>
      <c r="C2152" t="inlineStr">
        <is>
          <t>Medicare</t>
        </is>
      </c>
      <c r="D2152" t="inlineStr">
        <is>
          <t>Inpatient</t>
        </is>
      </c>
      <c r="E2152" s="29" t="n">
        <v>45954</v>
      </c>
      <c r="F2152" s="29" t="n">
        <v>46022</v>
      </c>
      <c r="G2152" s="31" t="n">
        <v>13185.11</v>
      </c>
      <c r="H2152" s="31" t="n">
        <v>0</v>
      </c>
      <c r="I2152" t="inlineStr">
        <is>
          <t>Pending</t>
        </is>
      </c>
      <c r="L2152" s="33" t="n"/>
    </row>
    <row r="2153">
      <c r="A2153" t="inlineStr">
        <is>
          <t>CLM519503</t>
        </is>
      </c>
      <c r="B2153" t="inlineStr">
        <is>
          <t>ENC119503</t>
        </is>
      </c>
      <c r="C2153" t="inlineStr">
        <is>
          <t>State Medicaid</t>
        </is>
      </c>
      <c r="D2153" t="inlineStr">
        <is>
          <t>Outpatient</t>
        </is>
      </c>
      <c r="E2153" s="29" t="n">
        <v>45952</v>
      </c>
      <c r="F2153" s="29" t="n">
        <v>45957</v>
      </c>
      <c r="G2153" s="31" t="n">
        <v>378.33</v>
      </c>
      <c r="H2153" s="31" t="n">
        <v>112.99</v>
      </c>
      <c r="I2153" t="inlineStr">
        <is>
          <t>Paid</t>
        </is>
      </c>
      <c r="K2153" s="29" t="n">
        <v>46013</v>
      </c>
      <c r="L2153" s="33" t="n"/>
    </row>
    <row r="2154">
      <c r="A2154" t="inlineStr">
        <is>
          <t>CLM519506</t>
        </is>
      </c>
      <c r="B2154" t="inlineStr">
        <is>
          <t>ENC119506</t>
        </is>
      </c>
      <c r="C2154" t="inlineStr">
        <is>
          <t>Medicare</t>
        </is>
      </c>
      <c r="D2154" t="inlineStr">
        <is>
          <t>Emergency</t>
        </is>
      </c>
      <c r="E2154" s="29" t="n">
        <v>45952</v>
      </c>
      <c r="F2154" s="29" t="n">
        <v>45956</v>
      </c>
      <c r="G2154" s="31" t="n">
        <v>3234.42</v>
      </c>
      <c r="H2154" s="31" t="n">
        <v>949.6799999999999</v>
      </c>
      <c r="I2154" t="inlineStr">
        <is>
          <t>Paid</t>
        </is>
      </c>
      <c r="K2154" s="29" t="n">
        <v>45977</v>
      </c>
      <c r="L2154" s="33" t="n"/>
    </row>
    <row r="2155">
      <c r="A2155" t="inlineStr">
        <is>
          <t>CLM519513</t>
        </is>
      </c>
      <c r="B2155" t="inlineStr">
        <is>
          <t>ENC119513</t>
        </is>
      </c>
      <c r="C2155" t="inlineStr">
        <is>
          <t>Summit Choice PPO</t>
        </is>
      </c>
      <c r="D2155" t="inlineStr">
        <is>
          <t>Emergency</t>
        </is>
      </c>
      <c r="E2155" s="29" t="n">
        <v>45952</v>
      </c>
      <c r="F2155" s="29" t="n">
        <v>45956</v>
      </c>
      <c r="G2155" s="31" t="n">
        <v>2096.74</v>
      </c>
      <c r="H2155" s="31" t="n">
        <v>886.78</v>
      </c>
      <c r="I2155" t="inlineStr">
        <is>
          <t>Paid</t>
        </is>
      </c>
      <c r="K2155" s="29" t="n">
        <v>46002</v>
      </c>
      <c r="L2155" s="33" t="n"/>
    </row>
    <row r="2156">
      <c r="A2156" t="inlineStr">
        <is>
          <t>CLM519516</t>
        </is>
      </c>
      <c r="B2156" t="inlineStr">
        <is>
          <t>ENC119516</t>
        </is>
      </c>
      <c r="C2156" t="inlineStr">
        <is>
          <t>Medicare</t>
        </is>
      </c>
      <c r="D2156" t="inlineStr">
        <is>
          <t>Inpatient</t>
        </is>
      </c>
      <c r="E2156" s="29" t="n">
        <v>45955</v>
      </c>
      <c r="F2156" s="29" t="n">
        <v>45962</v>
      </c>
      <c r="G2156" s="31" t="n">
        <v>12721.05</v>
      </c>
      <c r="H2156" s="31" t="n">
        <v>3505.96</v>
      </c>
      <c r="I2156" t="inlineStr">
        <is>
          <t>Paid</t>
        </is>
      </c>
      <c r="K2156" s="29" t="n">
        <v>45974</v>
      </c>
      <c r="L2156" s="33" t="n"/>
    </row>
    <row r="2157">
      <c r="A2157" t="inlineStr">
        <is>
          <t>CLM519520</t>
        </is>
      </c>
      <c r="B2157" t="inlineStr">
        <is>
          <t>ENC119520</t>
        </is>
      </c>
      <c r="C2157" t="inlineStr">
        <is>
          <t>Evergreen Mutual Insurance</t>
        </is>
      </c>
      <c r="D2157" t="inlineStr">
        <is>
          <t>Outpatient</t>
        </is>
      </c>
      <c r="E2157" s="29" t="n">
        <v>45953</v>
      </c>
      <c r="F2157" s="29" t="n">
        <v>45957</v>
      </c>
      <c r="G2157" s="31" t="n">
        <v>9016.870000000001</v>
      </c>
      <c r="H2157" s="31" t="n">
        <v>3989.43</v>
      </c>
      <c r="I2157" t="inlineStr">
        <is>
          <t>Paid</t>
        </is>
      </c>
      <c r="K2157" s="29" t="n">
        <v>45988</v>
      </c>
      <c r="L2157" s="33" t="n"/>
    </row>
    <row r="2158">
      <c r="A2158" t="inlineStr">
        <is>
          <t>CLM519525</t>
        </is>
      </c>
      <c r="B2158" t="inlineStr">
        <is>
          <t>ENC119525</t>
        </is>
      </c>
      <c r="C2158" t="inlineStr">
        <is>
          <t>Keystone Health Partners</t>
        </is>
      </c>
      <c r="D2158" t="inlineStr">
        <is>
          <t>Emergency</t>
        </is>
      </c>
      <c r="E2158" s="29" t="n">
        <v>45953</v>
      </c>
      <c r="F2158" s="29" t="n">
        <v>45960</v>
      </c>
      <c r="G2158" s="31" t="n">
        <v>1647.67</v>
      </c>
      <c r="H2158" s="31" t="n">
        <v>773.37</v>
      </c>
      <c r="I2158" t="inlineStr">
        <is>
          <t>Paid</t>
        </is>
      </c>
      <c r="K2158" s="29" t="n">
        <v>45997</v>
      </c>
      <c r="L2158" s="33" t="n"/>
    </row>
    <row r="2159">
      <c r="A2159" t="inlineStr">
        <is>
          <t>CLM519528</t>
        </is>
      </c>
      <c r="B2159" t="inlineStr">
        <is>
          <t>ENC119528</t>
        </is>
      </c>
      <c r="C2159" t="inlineStr">
        <is>
          <t>State Medicaid</t>
        </is>
      </c>
      <c r="D2159" t="inlineStr">
        <is>
          <t>Outpatient</t>
        </is>
      </c>
      <c r="E2159" s="29" t="n">
        <v>45953</v>
      </c>
      <c r="F2159" s="29" t="n">
        <v>45955</v>
      </c>
      <c r="G2159" s="31" t="n">
        <v>365.17</v>
      </c>
      <c r="H2159" s="31" t="n">
        <v>89.09</v>
      </c>
      <c r="I2159" t="inlineStr">
        <is>
          <t>Paid</t>
        </is>
      </c>
      <c r="K2159" s="29" t="n">
        <v>45995</v>
      </c>
      <c r="L2159" s="33" t="n"/>
    </row>
    <row r="2160">
      <c r="A2160" t="inlineStr">
        <is>
          <t>CLM519529</t>
        </is>
      </c>
      <c r="B2160" t="inlineStr">
        <is>
          <t>ENC119529</t>
        </is>
      </c>
      <c r="C2160" t="inlineStr">
        <is>
          <t>Summit Choice PPO</t>
        </is>
      </c>
      <c r="D2160" t="inlineStr">
        <is>
          <t>Emergency</t>
        </is>
      </c>
      <c r="E2160" s="29" t="n">
        <v>45953</v>
      </c>
      <c r="F2160" s="29" t="n">
        <v>45954</v>
      </c>
      <c r="G2160" s="31" t="n">
        <v>5127.59</v>
      </c>
      <c r="H2160" s="31" t="n">
        <v>2621.95</v>
      </c>
      <c r="I2160" t="inlineStr">
        <is>
          <t>Paid</t>
        </is>
      </c>
      <c r="K2160" s="29" t="n">
        <v>45974</v>
      </c>
      <c r="L2160" s="33" t="n"/>
    </row>
    <row r="2161">
      <c r="A2161" t="inlineStr">
        <is>
          <t>CLM519530</t>
        </is>
      </c>
      <c r="B2161" t="inlineStr">
        <is>
          <t>ENC119530</t>
        </is>
      </c>
      <c r="C2161" t="inlineStr">
        <is>
          <t>Summit Choice PPO</t>
        </is>
      </c>
      <c r="D2161" t="inlineStr">
        <is>
          <t>Emergency</t>
        </is>
      </c>
      <c r="E2161" s="29" t="n">
        <v>45953</v>
      </c>
      <c r="F2161" s="29" t="n">
        <v>45968</v>
      </c>
      <c r="G2161" s="31" t="n">
        <v>808.33</v>
      </c>
      <c r="H2161" s="31" t="n">
        <v>426.45</v>
      </c>
      <c r="I2161" t="inlineStr">
        <is>
          <t>Paid</t>
        </is>
      </c>
      <c r="K2161" s="29" t="n">
        <v>45982</v>
      </c>
      <c r="L2161" s="33" t="n"/>
    </row>
    <row r="2162">
      <c r="A2162" t="inlineStr">
        <is>
          <t>CLM519533</t>
        </is>
      </c>
      <c r="B2162" t="inlineStr">
        <is>
          <t>ENC119533</t>
        </is>
      </c>
      <c r="C2162" t="inlineStr">
        <is>
          <t>Evergreen Mutual Insurance</t>
        </is>
      </c>
      <c r="D2162" t="inlineStr">
        <is>
          <t>Outpatient</t>
        </is>
      </c>
      <c r="E2162" s="29" t="n">
        <v>45953</v>
      </c>
      <c r="F2162" s="29" t="n">
        <v>45958</v>
      </c>
      <c r="G2162" s="31" t="n">
        <v>247.86</v>
      </c>
      <c r="H2162" s="31" t="n">
        <v>96.06999999999999</v>
      </c>
      <c r="I2162" t="inlineStr">
        <is>
          <t>Paid</t>
        </is>
      </c>
      <c r="K2162" s="29" t="n">
        <v>45990</v>
      </c>
      <c r="L2162" s="33" t="n"/>
    </row>
    <row r="2163">
      <c r="A2163" t="inlineStr">
        <is>
          <t>CLM519534</t>
        </is>
      </c>
      <c r="B2163" t="inlineStr">
        <is>
          <t>ENC119534</t>
        </is>
      </c>
      <c r="C2163" t="inlineStr">
        <is>
          <t>Silverline Medicare Advantage</t>
        </is>
      </c>
      <c r="D2163" t="inlineStr">
        <is>
          <t>Outpatient</t>
        </is>
      </c>
      <c r="E2163" s="29" t="n">
        <v>45953</v>
      </c>
      <c r="F2163" s="29" t="n">
        <v>45959</v>
      </c>
      <c r="G2163" s="31" t="n">
        <v>196.58</v>
      </c>
      <c r="H2163" s="31" t="n">
        <v>59.94</v>
      </c>
      <c r="I2163" t="inlineStr">
        <is>
          <t>Paid</t>
        </is>
      </c>
      <c r="K2163" s="29" t="n">
        <v>45988</v>
      </c>
      <c r="L2163" s="33" t="n"/>
    </row>
    <row r="2164">
      <c r="A2164" t="inlineStr">
        <is>
          <t>CLM519541</t>
        </is>
      </c>
      <c r="B2164" t="inlineStr">
        <is>
          <t>ENC119541</t>
        </is>
      </c>
      <c r="C2164" t="inlineStr">
        <is>
          <t>Medicare</t>
        </is>
      </c>
      <c r="D2164" t="inlineStr">
        <is>
          <t>Outpatient</t>
        </is>
      </c>
      <c r="E2164" s="29" t="n">
        <v>45953</v>
      </c>
      <c r="F2164" s="29" t="n">
        <v>45956</v>
      </c>
      <c r="G2164" s="31" t="n">
        <v>492.76</v>
      </c>
      <c r="H2164" s="31" t="n">
        <v>144.61</v>
      </c>
      <c r="I2164" t="inlineStr">
        <is>
          <t>Paid</t>
        </is>
      </c>
      <c r="K2164" s="29" t="n">
        <v>45980</v>
      </c>
      <c r="L2164" s="33" t="n"/>
    </row>
    <row r="2165">
      <c r="A2165" t="inlineStr">
        <is>
          <t>CLM519549</t>
        </is>
      </c>
      <c r="B2165" t="inlineStr">
        <is>
          <t>ENC119549</t>
        </is>
      </c>
      <c r="C2165" t="inlineStr">
        <is>
          <t>Keystone Health Partners</t>
        </is>
      </c>
      <c r="D2165" t="inlineStr">
        <is>
          <t>Inpatient</t>
        </is>
      </c>
      <c r="E2165" s="29" t="n">
        <v>45956</v>
      </c>
      <c r="F2165" s="29" t="n">
        <v>45959</v>
      </c>
      <c r="G2165" s="31" t="n">
        <v>20382</v>
      </c>
      <c r="H2165" s="31" t="n">
        <v>8365.5</v>
      </c>
      <c r="I2165" t="inlineStr">
        <is>
          <t>Paid</t>
        </is>
      </c>
      <c r="K2165" s="29" t="n">
        <v>45975</v>
      </c>
      <c r="L2165" s="33" t="n"/>
    </row>
    <row r="2166">
      <c r="A2166" t="inlineStr">
        <is>
          <t>CLM519550</t>
        </is>
      </c>
      <c r="B2166" t="inlineStr">
        <is>
          <t>ENC119550</t>
        </is>
      </c>
      <c r="C2166" t="inlineStr">
        <is>
          <t>Medicare</t>
        </is>
      </c>
      <c r="D2166" t="inlineStr">
        <is>
          <t>Emergency</t>
        </is>
      </c>
      <c r="E2166" s="29" t="n">
        <v>45953</v>
      </c>
      <c r="F2166" s="29" t="n">
        <v>45957</v>
      </c>
      <c r="G2166" s="31" t="n">
        <v>4277.13</v>
      </c>
      <c r="H2166" s="31" t="n">
        <v>1539.99</v>
      </c>
      <c r="I2166" t="inlineStr">
        <is>
          <t>Paid</t>
        </is>
      </c>
      <c r="K2166" s="29" t="n">
        <v>45968</v>
      </c>
      <c r="L2166" s="33" t="n"/>
    </row>
    <row r="2167">
      <c r="A2167" t="inlineStr">
        <is>
          <t>CLM519551</t>
        </is>
      </c>
      <c r="B2167" t="inlineStr">
        <is>
          <t>ENC119551</t>
        </is>
      </c>
      <c r="C2167" t="inlineStr">
        <is>
          <t>Medicare</t>
        </is>
      </c>
      <c r="D2167" t="inlineStr">
        <is>
          <t>Emergency</t>
        </is>
      </c>
      <c r="E2167" s="29" t="n">
        <v>45954</v>
      </c>
      <c r="F2167" s="29" t="n">
        <v>45959</v>
      </c>
      <c r="G2167" s="31" t="n">
        <v>3674.18</v>
      </c>
      <c r="H2167" s="31" t="n">
        <v>1064.46</v>
      </c>
      <c r="I2167" t="inlineStr">
        <is>
          <t>Paid</t>
        </is>
      </c>
      <c r="K2167" s="29" t="n">
        <v>45968</v>
      </c>
      <c r="L2167" s="33" t="n"/>
    </row>
    <row r="2168">
      <c r="A2168" t="inlineStr">
        <is>
          <t>CLM519553</t>
        </is>
      </c>
      <c r="B2168" t="inlineStr">
        <is>
          <t>ENC119553</t>
        </is>
      </c>
      <c r="C2168" t="inlineStr">
        <is>
          <t>Evergreen Mutual Insurance</t>
        </is>
      </c>
      <c r="D2168" t="inlineStr">
        <is>
          <t>Emergency</t>
        </is>
      </c>
      <c r="E2168" s="29" t="n">
        <v>45954</v>
      </c>
      <c r="F2168" s="29" t="n">
        <v>45958</v>
      </c>
      <c r="G2168" s="31" t="n">
        <v>1326.61</v>
      </c>
      <c r="H2168" s="31" t="n">
        <v>566.84</v>
      </c>
      <c r="I2168" t="inlineStr">
        <is>
          <t>Paid</t>
        </is>
      </c>
      <c r="K2168" s="29" t="n">
        <v>45982</v>
      </c>
      <c r="L2168" s="33" t="n"/>
    </row>
    <row r="2169">
      <c r="A2169" t="inlineStr">
        <is>
          <t>CLM519561</t>
        </is>
      </c>
      <c r="B2169" t="inlineStr">
        <is>
          <t>ENC119561</t>
        </is>
      </c>
      <c r="C2169" t="inlineStr">
        <is>
          <t>Medicare</t>
        </is>
      </c>
      <c r="D2169" t="inlineStr">
        <is>
          <t>Outpatient</t>
        </is>
      </c>
      <c r="E2169" s="29" t="n">
        <v>45954</v>
      </c>
      <c r="F2169" s="29" t="n">
        <v>45962</v>
      </c>
      <c r="G2169" s="31" t="n">
        <v>234.48</v>
      </c>
      <c r="H2169" s="31" t="n">
        <v>73.39</v>
      </c>
      <c r="I2169" t="inlineStr">
        <is>
          <t>Paid</t>
        </is>
      </c>
      <c r="K2169" s="29" t="n">
        <v>45972</v>
      </c>
      <c r="L2169" s="33" t="n"/>
    </row>
    <row r="2170">
      <c r="A2170" t="inlineStr">
        <is>
          <t>CLM519562</t>
        </is>
      </c>
      <c r="B2170" t="inlineStr">
        <is>
          <t>ENC119562</t>
        </is>
      </c>
      <c r="C2170" t="inlineStr">
        <is>
          <t>Keystone Health Partners</t>
        </is>
      </c>
      <c r="D2170" t="inlineStr">
        <is>
          <t>Emergency</t>
        </is>
      </c>
      <c r="E2170" s="29" t="n">
        <v>45954</v>
      </c>
      <c r="F2170" s="29" t="n">
        <v>45956</v>
      </c>
      <c r="G2170" s="31" t="n">
        <v>463.69</v>
      </c>
      <c r="H2170" s="31" t="n">
        <v>196.69</v>
      </c>
      <c r="I2170" t="inlineStr">
        <is>
          <t>Paid</t>
        </is>
      </c>
      <c r="K2170" s="29" t="n">
        <v>45989</v>
      </c>
      <c r="L2170" s="33" t="n"/>
    </row>
    <row r="2171">
      <c r="A2171" t="inlineStr">
        <is>
          <t>CLM519577</t>
        </is>
      </c>
      <c r="B2171" t="inlineStr">
        <is>
          <t>ENC119577</t>
        </is>
      </c>
      <c r="C2171" t="inlineStr">
        <is>
          <t>Keystone Health Partners</t>
        </is>
      </c>
      <c r="D2171" t="inlineStr">
        <is>
          <t>Outpatient</t>
        </is>
      </c>
      <c r="E2171" s="29" t="n">
        <v>45954</v>
      </c>
      <c r="F2171" s="29" t="n">
        <v>45956</v>
      </c>
      <c r="G2171" s="31" t="n">
        <v>496.61</v>
      </c>
      <c r="H2171" s="31" t="n">
        <v>207.77</v>
      </c>
      <c r="I2171" t="inlineStr">
        <is>
          <t>Paid</t>
        </is>
      </c>
      <c r="K2171" s="29" t="n">
        <v>45981</v>
      </c>
      <c r="L2171" s="33" t="n"/>
    </row>
    <row r="2172">
      <c r="A2172" t="inlineStr">
        <is>
          <t>CLM519579</t>
        </is>
      </c>
      <c r="B2172" t="inlineStr">
        <is>
          <t>ENC119579</t>
        </is>
      </c>
      <c r="C2172" t="inlineStr">
        <is>
          <t>Silverline Medicare Advantage</t>
        </is>
      </c>
      <c r="D2172" t="inlineStr">
        <is>
          <t>Emergency</t>
        </is>
      </c>
      <c r="E2172" s="29" t="n">
        <v>45954</v>
      </c>
      <c r="F2172" s="29" t="n">
        <v>45957</v>
      </c>
      <c r="G2172" s="31" t="n">
        <v>1132.95</v>
      </c>
      <c r="H2172" s="31" t="n">
        <v>352.21</v>
      </c>
      <c r="I2172" t="inlineStr">
        <is>
          <t>Paid</t>
        </is>
      </c>
      <c r="K2172" s="29" t="n">
        <v>45972</v>
      </c>
      <c r="L2172" s="33" t="n"/>
    </row>
    <row r="2173">
      <c r="A2173" t="inlineStr">
        <is>
          <t>CLM519585</t>
        </is>
      </c>
      <c r="B2173" t="inlineStr">
        <is>
          <t>ENC119585</t>
        </is>
      </c>
      <c r="C2173" t="inlineStr">
        <is>
          <t>Self-Pay</t>
        </is>
      </c>
      <c r="D2173" t="inlineStr">
        <is>
          <t>Emergency</t>
        </is>
      </c>
      <c r="E2173" s="29" t="n">
        <v>45955</v>
      </c>
      <c r="F2173" s="29" t="n">
        <v>45961</v>
      </c>
      <c r="G2173" s="31" t="n">
        <v>3276.65</v>
      </c>
      <c r="H2173" s="31" t="n">
        <v>0</v>
      </c>
      <c r="I2173" t="inlineStr">
        <is>
          <t>Pending</t>
        </is>
      </c>
      <c r="L2173" s="33" t="n"/>
    </row>
    <row r="2174">
      <c r="A2174" t="inlineStr">
        <is>
          <t>CLM519587</t>
        </is>
      </c>
      <c r="B2174" t="inlineStr">
        <is>
          <t>ENC119587</t>
        </is>
      </c>
      <c r="C2174" t="inlineStr">
        <is>
          <t>Medicare</t>
        </is>
      </c>
      <c r="D2174" t="inlineStr">
        <is>
          <t>Inpatient</t>
        </is>
      </c>
      <c r="E2174" s="29" t="n">
        <v>45961</v>
      </c>
      <c r="F2174" s="29" t="n">
        <v>45964</v>
      </c>
      <c r="G2174" s="31" t="n">
        <v>59767.7</v>
      </c>
      <c r="H2174" s="31" t="n">
        <v>17904.52</v>
      </c>
      <c r="I2174" t="inlineStr">
        <is>
          <t>Paid</t>
        </is>
      </c>
      <c r="K2174" s="29" t="n">
        <v>45977</v>
      </c>
      <c r="L2174" s="33" t="n"/>
    </row>
    <row r="2175">
      <c r="A2175" t="inlineStr">
        <is>
          <t>CLM519588</t>
        </is>
      </c>
      <c r="B2175" t="inlineStr">
        <is>
          <t>ENC119588</t>
        </is>
      </c>
      <c r="C2175" t="inlineStr">
        <is>
          <t>Keystone Health Partners</t>
        </is>
      </c>
      <c r="D2175" t="inlineStr">
        <is>
          <t>Emergency</t>
        </is>
      </c>
      <c r="E2175" s="29" t="n">
        <v>45955</v>
      </c>
      <c r="F2175" s="29" t="n">
        <v>45959</v>
      </c>
      <c r="G2175" s="31" t="n">
        <v>4227.46</v>
      </c>
      <c r="H2175" s="31" t="n">
        <v>2166.24</v>
      </c>
      <c r="I2175" t="inlineStr">
        <is>
          <t>Paid</t>
        </is>
      </c>
      <c r="K2175" s="29" t="n">
        <v>45978</v>
      </c>
      <c r="L2175" s="33" t="n"/>
    </row>
    <row r="2176">
      <c r="A2176" t="inlineStr">
        <is>
          <t>CLM519593</t>
        </is>
      </c>
      <c r="B2176" t="inlineStr">
        <is>
          <t>ENC119593</t>
        </is>
      </c>
      <c r="C2176" t="inlineStr">
        <is>
          <t>Keystone Health Partners</t>
        </is>
      </c>
      <c r="D2176" t="inlineStr">
        <is>
          <t>Emergency</t>
        </is>
      </c>
      <c r="E2176" s="29" t="n">
        <v>45955</v>
      </c>
      <c r="F2176" s="29" t="n">
        <v>45957</v>
      </c>
      <c r="G2176" s="31" t="n">
        <v>5855.55</v>
      </c>
      <c r="H2176" s="31" t="n">
        <v>2899.03</v>
      </c>
      <c r="I2176" t="inlineStr">
        <is>
          <t>Paid</t>
        </is>
      </c>
      <c r="K2176" s="29" t="n">
        <v>45984</v>
      </c>
      <c r="L2176" s="33" t="n"/>
    </row>
    <row r="2177">
      <c r="A2177" t="inlineStr">
        <is>
          <t>CLM519600</t>
        </is>
      </c>
      <c r="B2177" t="inlineStr">
        <is>
          <t>ENC119600</t>
        </is>
      </c>
      <c r="C2177" t="inlineStr">
        <is>
          <t>Self-Pay</t>
        </is>
      </c>
      <c r="D2177" t="inlineStr">
        <is>
          <t>Inpatient</t>
        </is>
      </c>
      <c r="E2177" s="29" t="n">
        <v>45958</v>
      </c>
      <c r="F2177" s="29" t="n">
        <v>45960</v>
      </c>
      <c r="G2177" s="31" t="n">
        <v>12410.87</v>
      </c>
      <c r="H2177" s="31" t="n">
        <v>4962.7</v>
      </c>
      <c r="I2177" t="inlineStr">
        <is>
          <t>Paid</t>
        </is>
      </c>
      <c r="K2177" s="29" t="n">
        <v>45999</v>
      </c>
      <c r="L2177" s="33" t="n"/>
    </row>
    <row r="2178">
      <c r="A2178" t="inlineStr">
        <is>
          <t>CLM519605</t>
        </is>
      </c>
      <c r="B2178" t="inlineStr">
        <is>
          <t>ENC119605</t>
        </is>
      </c>
      <c r="C2178" t="inlineStr">
        <is>
          <t>State Medicaid</t>
        </is>
      </c>
      <c r="D2178" t="inlineStr">
        <is>
          <t>Emergency</t>
        </is>
      </c>
      <c r="E2178" s="29" t="n">
        <v>45956</v>
      </c>
      <c r="F2178" s="29" t="n">
        <v>45958</v>
      </c>
      <c r="G2178" s="31" t="n">
        <v>3241.83</v>
      </c>
      <c r="H2178" s="31" t="n">
        <v>856.21</v>
      </c>
      <c r="I2178" t="inlineStr">
        <is>
          <t>Paid</t>
        </is>
      </c>
      <c r="K2178" s="29" t="n">
        <v>45994</v>
      </c>
      <c r="L2178" s="33" t="n"/>
    </row>
    <row r="2179">
      <c r="A2179" t="inlineStr">
        <is>
          <t>CLM519618</t>
        </is>
      </c>
      <c r="B2179" t="inlineStr">
        <is>
          <t>ENC119618</t>
        </is>
      </c>
      <c r="C2179" t="inlineStr">
        <is>
          <t>Self-Pay</t>
        </is>
      </c>
      <c r="D2179" t="inlineStr">
        <is>
          <t>Inpatient</t>
        </is>
      </c>
      <c r="E2179" s="29" t="n">
        <v>45959</v>
      </c>
      <c r="F2179" s="29" t="n">
        <v>45970</v>
      </c>
      <c r="G2179" s="31" t="n">
        <v>46570.37</v>
      </c>
      <c r="H2179" s="31" t="n">
        <v>0</v>
      </c>
      <c r="I2179" t="inlineStr">
        <is>
          <t>Pending</t>
        </is>
      </c>
      <c r="L2179" s="33" t="n"/>
    </row>
    <row r="2180">
      <c r="A2180" t="inlineStr">
        <is>
          <t>CLM519620</t>
        </is>
      </c>
      <c r="B2180" t="inlineStr">
        <is>
          <t>ENC119620</t>
        </is>
      </c>
      <c r="C2180" t="inlineStr">
        <is>
          <t>Medicare</t>
        </is>
      </c>
      <c r="D2180" t="inlineStr">
        <is>
          <t>Inpatient</t>
        </is>
      </c>
      <c r="E2180" s="29" t="n">
        <v>45964</v>
      </c>
      <c r="F2180" s="29" t="n">
        <v>45971</v>
      </c>
      <c r="G2180" s="31" t="n">
        <v>30567.28</v>
      </c>
      <c r="H2180" s="31" t="n">
        <v>8257.76</v>
      </c>
      <c r="I2180" t="inlineStr">
        <is>
          <t>Paid</t>
        </is>
      </c>
      <c r="K2180" s="29" t="n">
        <v>45985</v>
      </c>
      <c r="L2180" s="33" t="n"/>
    </row>
    <row r="2181">
      <c r="A2181" t="inlineStr">
        <is>
          <t>CLM519624</t>
        </is>
      </c>
      <c r="B2181" t="inlineStr">
        <is>
          <t>ENC119624</t>
        </is>
      </c>
      <c r="C2181" t="inlineStr">
        <is>
          <t>Evergreen Mutual Insurance</t>
        </is>
      </c>
      <c r="D2181" t="inlineStr">
        <is>
          <t>Outpatient</t>
        </is>
      </c>
      <c r="E2181" s="29" t="n">
        <v>45957</v>
      </c>
      <c r="F2181" s="29" t="n">
        <v>45958</v>
      </c>
      <c r="G2181" s="31" t="n">
        <v>224.49</v>
      </c>
      <c r="H2181" s="31" t="n">
        <v>105.6</v>
      </c>
      <c r="I2181" t="inlineStr">
        <is>
          <t>Paid</t>
        </is>
      </c>
      <c r="K2181" s="29" t="n">
        <v>45985</v>
      </c>
      <c r="L2181" s="33" t="n"/>
    </row>
    <row r="2182">
      <c r="A2182" t="inlineStr">
        <is>
          <t>CLM519627</t>
        </is>
      </c>
      <c r="B2182" t="inlineStr">
        <is>
          <t>ENC119627</t>
        </is>
      </c>
      <c r="C2182" t="inlineStr">
        <is>
          <t>Medicare</t>
        </is>
      </c>
      <c r="D2182" t="inlineStr">
        <is>
          <t>Outpatient</t>
        </is>
      </c>
      <c r="E2182" s="29" t="n">
        <v>45957</v>
      </c>
      <c r="F2182" s="29" t="n">
        <v>45963</v>
      </c>
      <c r="G2182" s="31" t="n">
        <v>326.99</v>
      </c>
      <c r="H2182" s="31" t="n">
        <v>85.23</v>
      </c>
      <c r="I2182" t="inlineStr">
        <is>
          <t>Paid</t>
        </is>
      </c>
      <c r="K2182" s="29" t="n">
        <v>45972</v>
      </c>
      <c r="L2182" s="33" t="n"/>
    </row>
    <row r="2183">
      <c r="A2183" t="inlineStr">
        <is>
          <t>CLM519631</t>
        </is>
      </c>
      <c r="B2183" t="inlineStr">
        <is>
          <t>ENC119631</t>
        </is>
      </c>
      <c r="C2183" t="inlineStr">
        <is>
          <t>Keystone Health Partners</t>
        </is>
      </c>
      <c r="D2183" t="inlineStr">
        <is>
          <t>Emergency</t>
        </is>
      </c>
      <c r="E2183" s="29" t="n">
        <v>45957</v>
      </c>
      <c r="F2183" s="29" t="n">
        <v>45963</v>
      </c>
      <c r="G2183" s="31" t="n">
        <v>4374.55</v>
      </c>
      <c r="H2183" s="31" t="n">
        <v>1744.9</v>
      </c>
      <c r="I2183" t="inlineStr">
        <is>
          <t>Paid</t>
        </is>
      </c>
      <c r="K2183" s="29" t="n">
        <v>45998</v>
      </c>
      <c r="L2183" s="33" t="n"/>
    </row>
    <row r="2184">
      <c r="A2184" t="inlineStr">
        <is>
          <t>CLM519633</t>
        </is>
      </c>
      <c r="B2184" t="inlineStr">
        <is>
          <t>ENC119633</t>
        </is>
      </c>
      <c r="C2184" t="inlineStr">
        <is>
          <t>State Medicaid</t>
        </is>
      </c>
      <c r="D2184" t="inlineStr">
        <is>
          <t>Emergency</t>
        </is>
      </c>
      <c r="E2184" s="29" t="n">
        <v>45957</v>
      </c>
      <c r="F2184" s="29" t="n">
        <v>45959</v>
      </c>
      <c r="G2184" s="31" t="n">
        <v>5688.29</v>
      </c>
      <c r="H2184" s="31" t="n">
        <v>1344.68</v>
      </c>
      <c r="I2184" t="inlineStr">
        <is>
          <t>Paid</t>
        </is>
      </c>
      <c r="K2184" s="29" t="n">
        <v>46003</v>
      </c>
      <c r="L2184" s="33" t="n"/>
    </row>
    <row r="2185">
      <c r="A2185" t="inlineStr">
        <is>
          <t>CLM519634</t>
        </is>
      </c>
      <c r="B2185" t="inlineStr">
        <is>
          <t>ENC119634</t>
        </is>
      </c>
      <c r="C2185" t="inlineStr">
        <is>
          <t>Evergreen Mutual Insurance</t>
        </is>
      </c>
      <c r="D2185" t="inlineStr">
        <is>
          <t>Emergency</t>
        </is>
      </c>
      <c r="E2185" s="29" t="n">
        <v>45957</v>
      </c>
      <c r="F2185" s="29" t="n">
        <v>45959</v>
      </c>
      <c r="G2185" s="31" t="n">
        <v>791.22</v>
      </c>
      <c r="H2185" s="31" t="n">
        <v>334.36</v>
      </c>
      <c r="I2185" t="inlineStr">
        <is>
          <t>Paid</t>
        </is>
      </c>
      <c r="K2185" s="29" t="n">
        <v>45981</v>
      </c>
      <c r="L2185" s="33" t="n"/>
    </row>
    <row r="2186">
      <c r="A2186" t="inlineStr">
        <is>
          <t>CLM519635</t>
        </is>
      </c>
      <c r="B2186" t="inlineStr">
        <is>
          <t>ENC119635</t>
        </is>
      </c>
      <c r="C2186" t="inlineStr">
        <is>
          <t>Silverline Medicare Advantage</t>
        </is>
      </c>
      <c r="D2186" t="inlineStr">
        <is>
          <t>Emergency</t>
        </is>
      </c>
      <c r="E2186" s="29" t="n">
        <v>45957</v>
      </c>
      <c r="F2186" s="29" t="n">
        <v>45960</v>
      </c>
      <c r="G2186" s="31" t="n">
        <v>4797.85</v>
      </c>
      <c r="H2186" s="31" t="n">
        <v>1537.11</v>
      </c>
      <c r="I2186" t="inlineStr">
        <is>
          <t>Paid</t>
        </is>
      </c>
      <c r="K2186" s="29" t="n">
        <v>45984</v>
      </c>
      <c r="L2186" s="33" t="n"/>
    </row>
    <row r="2187">
      <c r="A2187" t="inlineStr">
        <is>
          <t>CLM519642</t>
        </is>
      </c>
      <c r="B2187" t="inlineStr">
        <is>
          <t>ENC119642</t>
        </is>
      </c>
      <c r="C2187" t="inlineStr">
        <is>
          <t>Keystone Health Partners</t>
        </is>
      </c>
      <c r="D2187" t="inlineStr">
        <is>
          <t>Inpatient</t>
        </is>
      </c>
      <c r="E2187" s="29" t="n">
        <v>45961</v>
      </c>
      <c r="F2187" s="29" t="n">
        <v>45962</v>
      </c>
      <c r="G2187" s="31" t="n">
        <v>21470.43</v>
      </c>
      <c r="H2187" s="31" t="n">
        <v>10980.43</v>
      </c>
      <c r="I2187" t="inlineStr">
        <is>
          <t>Paid</t>
        </is>
      </c>
      <c r="K2187" s="29" t="n">
        <v>45988</v>
      </c>
      <c r="L2187" s="33" t="n"/>
    </row>
    <row r="2188">
      <c r="A2188" t="inlineStr">
        <is>
          <t>CLM519651</t>
        </is>
      </c>
      <c r="B2188" t="inlineStr">
        <is>
          <t>ENC119651</t>
        </is>
      </c>
      <c r="C2188" t="inlineStr">
        <is>
          <t>Medicare</t>
        </is>
      </c>
      <c r="D2188" t="inlineStr">
        <is>
          <t>Outpatient</t>
        </is>
      </c>
      <c r="E2188" s="29" t="n">
        <v>45958</v>
      </c>
      <c r="F2188" s="29" t="n">
        <v>45964</v>
      </c>
      <c r="G2188" s="31" t="n">
        <v>322.96</v>
      </c>
      <c r="H2188" s="31" t="n">
        <v>105.85</v>
      </c>
      <c r="I2188" t="inlineStr">
        <is>
          <t>Paid</t>
        </is>
      </c>
      <c r="K2188" s="29" t="n">
        <v>45969</v>
      </c>
      <c r="L2188" s="33" t="n"/>
    </row>
    <row r="2189">
      <c r="A2189" t="inlineStr">
        <is>
          <t>CLM519652</t>
        </is>
      </c>
      <c r="B2189" t="inlineStr">
        <is>
          <t>ENC119652</t>
        </is>
      </c>
      <c r="C2189" t="inlineStr">
        <is>
          <t>State Medicaid</t>
        </is>
      </c>
      <c r="D2189" t="inlineStr">
        <is>
          <t>Inpatient</t>
        </is>
      </c>
      <c r="E2189" s="29" t="n">
        <v>45962</v>
      </c>
      <c r="F2189" s="29" t="n">
        <v>45966</v>
      </c>
      <c r="G2189" s="31" t="n">
        <v>29531.4</v>
      </c>
      <c r="H2189" s="31" t="n">
        <v>0</v>
      </c>
      <c r="I2189" t="inlineStr">
        <is>
          <t>Denied</t>
        </is>
      </c>
      <c r="J2189" t="inlineStr">
        <is>
          <t>Authorization Required</t>
        </is>
      </c>
      <c r="L2189" s="33" t="n"/>
    </row>
    <row r="2190">
      <c r="A2190" t="inlineStr">
        <is>
          <t>CLM519657</t>
        </is>
      </c>
      <c r="B2190" t="inlineStr">
        <is>
          <t>ENC119657</t>
        </is>
      </c>
      <c r="C2190" t="inlineStr">
        <is>
          <t>Evergreen Mutual Insurance</t>
        </is>
      </c>
      <c r="D2190" t="inlineStr">
        <is>
          <t>Outpatient</t>
        </is>
      </c>
      <c r="E2190" s="29" t="n">
        <v>45958</v>
      </c>
      <c r="F2190" s="29" t="n">
        <v>45963</v>
      </c>
      <c r="G2190" s="31" t="n">
        <v>264.51</v>
      </c>
      <c r="H2190" s="31" t="n">
        <v>143.44</v>
      </c>
      <c r="I2190" t="inlineStr">
        <is>
          <t>Paid</t>
        </is>
      </c>
      <c r="K2190" s="29" t="n">
        <v>45987</v>
      </c>
      <c r="L2190" s="33" t="n"/>
    </row>
    <row r="2191">
      <c r="A2191" t="inlineStr">
        <is>
          <t>CLM519659</t>
        </is>
      </c>
      <c r="B2191" t="inlineStr">
        <is>
          <t>ENC119659</t>
        </is>
      </c>
      <c r="C2191" t="inlineStr">
        <is>
          <t>Evergreen Mutual Insurance</t>
        </is>
      </c>
      <c r="D2191" t="inlineStr">
        <is>
          <t>Outpatient</t>
        </is>
      </c>
      <c r="E2191" s="29" t="n">
        <v>45958</v>
      </c>
      <c r="F2191" s="29" t="n">
        <v>45968</v>
      </c>
      <c r="G2191" s="31" t="n">
        <v>203.47</v>
      </c>
      <c r="H2191" s="31" t="n">
        <v>95.7</v>
      </c>
      <c r="I2191" t="inlineStr">
        <is>
          <t>Paid</t>
        </is>
      </c>
      <c r="K2191" s="29" t="n">
        <v>45993</v>
      </c>
      <c r="L2191" s="33" t="n"/>
    </row>
    <row r="2192">
      <c r="A2192" t="inlineStr">
        <is>
          <t>CLM519662</t>
        </is>
      </c>
      <c r="B2192" t="inlineStr">
        <is>
          <t>ENC119662</t>
        </is>
      </c>
      <c r="C2192" t="inlineStr">
        <is>
          <t>Keystone Health Partners</t>
        </is>
      </c>
      <c r="D2192" t="inlineStr">
        <is>
          <t>Outpatient</t>
        </is>
      </c>
      <c r="E2192" s="29" t="n">
        <v>45958</v>
      </c>
      <c r="F2192" s="29" t="n">
        <v>45965</v>
      </c>
      <c r="G2192" s="31" t="n">
        <v>251.72</v>
      </c>
      <c r="H2192" s="31" t="n">
        <v>110.21</v>
      </c>
      <c r="I2192" t="inlineStr">
        <is>
          <t>Paid</t>
        </is>
      </c>
      <c r="K2192" s="29" t="n">
        <v>45977</v>
      </c>
      <c r="L2192" s="33" t="n"/>
    </row>
    <row r="2193">
      <c r="A2193" t="inlineStr">
        <is>
          <t>CLM519671</t>
        </is>
      </c>
      <c r="B2193" t="inlineStr">
        <is>
          <t>ENC119671</t>
        </is>
      </c>
      <c r="C2193" t="inlineStr">
        <is>
          <t>Evergreen Mutual Insurance</t>
        </is>
      </c>
      <c r="D2193" t="inlineStr">
        <is>
          <t>Outpatient</t>
        </is>
      </c>
      <c r="E2193" s="29" t="n">
        <v>45958</v>
      </c>
      <c r="F2193" s="29" t="n">
        <v>45960</v>
      </c>
      <c r="G2193" s="31" t="n">
        <v>342.69</v>
      </c>
      <c r="H2193" s="31" t="n">
        <v>144.95</v>
      </c>
      <c r="I2193" t="inlineStr">
        <is>
          <t>Paid</t>
        </is>
      </c>
      <c r="K2193" s="29" t="n">
        <v>45994</v>
      </c>
      <c r="L2193" s="33" t="n"/>
    </row>
    <row r="2194">
      <c r="A2194" t="inlineStr">
        <is>
          <t>CLM519672</t>
        </is>
      </c>
      <c r="B2194" t="inlineStr">
        <is>
          <t>ENC119672</t>
        </is>
      </c>
      <c r="C2194" t="inlineStr">
        <is>
          <t>Medicare</t>
        </is>
      </c>
      <c r="D2194" t="inlineStr">
        <is>
          <t>Outpatient</t>
        </is>
      </c>
      <c r="E2194" s="29" t="n">
        <v>45958</v>
      </c>
      <c r="F2194" s="29" t="n">
        <v>45963</v>
      </c>
      <c r="G2194" s="31" t="n">
        <v>283.19</v>
      </c>
      <c r="H2194" s="31" t="n">
        <v>86.48</v>
      </c>
      <c r="I2194" t="inlineStr">
        <is>
          <t>Paid</t>
        </is>
      </c>
      <c r="K2194" s="29" t="n">
        <v>45979</v>
      </c>
      <c r="L2194" s="33" t="n"/>
    </row>
    <row r="2195">
      <c r="A2195" t="inlineStr">
        <is>
          <t>CLM519673</t>
        </is>
      </c>
      <c r="B2195" t="inlineStr">
        <is>
          <t>ENC119673</t>
        </is>
      </c>
      <c r="C2195" t="inlineStr">
        <is>
          <t>Medicare</t>
        </is>
      </c>
      <c r="D2195" t="inlineStr">
        <is>
          <t>Outpatient</t>
        </is>
      </c>
      <c r="E2195" s="29" t="n">
        <v>45958</v>
      </c>
      <c r="F2195" s="29" t="n">
        <v>45961</v>
      </c>
      <c r="G2195" s="31" t="n">
        <v>458.87</v>
      </c>
      <c r="H2195" s="31" t="n">
        <v>116.38</v>
      </c>
      <c r="I2195" t="inlineStr">
        <is>
          <t>Paid</t>
        </is>
      </c>
      <c r="K2195" s="29" t="n">
        <v>45974</v>
      </c>
      <c r="L2195" s="33" t="n"/>
    </row>
    <row r="2196">
      <c r="A2196" t="inlineStr">
        <is>
          <t>CLM519676</t>
        </is>
      </c>
      <c r="B2196" t="inlineStr">
        <is>
          <t>ENC119676</t>
        </is>
      </c>
      <c r="C2196" t="inlineStr">
        <is>
          <t>Self-Pay</t>
        </is>
      </c>
      <c r="D2196" t="inlineStr">
        <is>
          <t>Emergency</t>
        </is>
      </c>
      <c r="E2196" s="29" t="n">
        <v>45958</v>
      </c>
      <c r="F2196" s="29" t="n">
        <v>45962</v>
      </c>
      <c r="G2196" s="31" t="n">
        <v>4754</v>
      </c>
      <c r="H2196" s="31" t="n">
        <v>2019.08</v>
      </c>
      <c r="I2196" t="inlineStr">
        <is>
          <t>Paid</t>
        </is>
      </c>
      <c r="K2196" s="29" t="n">
        <v>46022</v>
      </c>
      <c r="L2196" s="33" t="n"/>
    </row>
    <row r="2197">
      <c r="A2197" t="inlineStr">
        <is>
          <t>CLM519677</t>
        </is>
      </c>
      <c r="B2197" t="inlineStr">
        <is>
          <t>ENC119677</t>
        </is>
      </c>
      <c r="C2197" t="inlineStr">
        <is>
          <t>Summit Choice PPO</t>
        </is>
      </c>
      <c r="D2197" t="inlineStr">
        <is>
          <t>Inpatient</t>
        </is>
      </c>
      <c r="E2197" s="29" t="n">
        <v>45960</v>
      </c>
      <c r="F2197" s="29" t="n">
        <v>45965</v>
      </c>
      <c r="G2197" s="31" t="n">
        <v>17228.74</v>
      </c>
      <c r="H2197" s="31" t="n">
        <v>9546.67</v>
      </c>
      <c r="I2197" t="inlineStr">
        <is>
          <t>Paid</t>
        </is>
      </c>
      <c r="K2197" s="29" t="n">
        <v>45977</v>
      </c>
      <c r="L2197" s="33" t="n"/>
    </row>
    <row r="2198">
      <c r="A2198" t="inlineStr">
        <is>
          <t>CLM519685</t>
        </is>
      </c>
      <c r="B2198" t="inlineStr">
        <is>
          <t>ENC119685</t>
        </is>
      </c>
      <c r="C2198" t="inlineStr">
        <is>
          <t>Medicare</t>
        </is>
      </c>
      <c r="D2198" t="inlineStr">
        <is>
          <t>Inpatient</t>
        </is>
      </c>
      <c r="E2198" s="29" t="n">
        <v>45963</v>
      </c>
      <c r="F2198" s="29" t="n">
        <v>45965</v>
      </c>
      <c r="G2198" s="31" t="n">
        <v>18289.11</v>
      </c>
      <c r="H2198" s="31" t="n">
        <v>5133.39</v>
      </c>
      <c r="I2198" t="inlineStr">
        <is>
          <t>Paid</t>
        </is>
      </c>
      <c r="K2198" s="29" t="n">
        <v>45981</v>
      </c>
      <c r="L2198" s="33" t="n"/>
    </row>
    <row r="2199">
      <c r="A2199" t="inlineStr">
        <is>
          <t>CLM519686</t>
        </is>
      </c>
      <c r="B2199" t="inlineStr">
        <is>
          <t>ENC119686</t>
        </is>
      </c>
      <c r="C2199" t="inlineStr">
        <is>
          <t>Medicare</t>
        </is>
      </c>
      <c r="D2199" t="inlineStr">
        <is>
          <t>Emergency</t>
        </is>
      </c>
      <c r="E2199" s="29" t="n">
        <v>45958</v>
      </c>
      <c r="F2199" s="29" t="n">
        <v>45967</v>
      </c>
      <c r="G2199" s="31" t="n">
        <v>1372.49</v>
      </c>
      <c r="H2199" s="31" t="n">
        <v>411.14</v>
      </c>
      <c r="I2199" t="inlineStr">
        <is>
          <t>Paid</t>
        </is>
      </c>
      <c r="K2199" s="29" t="n">
        <v>45982</v>
      </c>
      <c r="L2199" s="33" t="n"/>
    </row>
    <row r="2200">
      <c r="A2200" t="inlineStr">
        <is>
          <t>CLM519691</t>
        </is>
      </c>
      <c r="B2200" t="inlineStr">
        <is>
          <t>ENC119691</t>
        </is>
      </c>
      <c r="C2200" t="inlineStr">
        <is>
          <t>Medicare</t>
        </is>
      </c>
      <c r="D2200" t="inlineStr">
        <is>
          <t>Inpatient</t>
        </is>
      </c>
      <c r="E2200" s="29" t="n">
        <v>45967</v>
      </c>
      <c r="F2200" s="29" t="n">
        <v>45971</v>
      </c>
      <c r="G2200" s="31" t="n">
        <v>42880.08</v>
      </c>
      <c r="H2200" s="31" t="n">
        <v>12489.06</v>
      </c>
      <c r="I2200" t="inlineStr">
        <is>
          <t>Paid</t>
        </is>
      </c>
      <c r="K2200" s="29" t="n">
        <v>45987</v>
      </c>
      <c r="L2200" s="33" t="n"/>
    </row>
    <row r="2201">
      <c r="A2201" t="inlineStr">
        <is>
          <t>CLM519696</t>
        </is>
      </c>
      <c r="B2201" t="inlineStr">
        <is>
          <t>ENC119696</t>
        </is>
      </c>
      <c r="C2201" t="inlineStr">
        <is>
          <t>Summit Choice PPO</t>
        </is>
      </c>
      <c r="D2201" t="inlineStr">
        <is>
          <t>Outpatient</t>
        </is>
      </c>
      <c r="E2201" s="29" t="n">
        <v>45959</v>
      </c>
      <c r="F2201" s="29" t="n">
        <v>45964</v>
      </c>
      <c r="G2201" s="31" t="n">
        <v>436.61</v>
      </c>
      <c r="H2201" s="31" t="n">
        <v>224.44</v>
      </c>
      <c r="I2201" t="inlineStr">
        <is>
          <t>Paid</t>
        </is>
      </c>
      <c r="K2201" s="29" t="n">
        <v>45994</v>
      </c>
      <c r="L2201" s="33" t="n"/>
    </row>
    <row r="2202">
      <c r="A2202" t="inlineStr">
        <is>
          <t>CLM519704</t>
        </is>
      </c>
      <c r="B2202" t="inlineStr">
        <is>
          <t>ENC119704</t>
        </is>
      </c>
      <c r="C2202" t="inlineStr">
        <is>
          <t>Medicare</t>
        </is>
      </c>
      <c r="D2202" t="inlineStr">
        <is>
          <t>Inpatient</t>
        </is>
      </c>
      <c r="E2202" s="29" t="n">
        <v>45962</v>
      </c>
      <c r="F2202" s="29" t="n">
        <v>45965</v>
      </c>
      <c r="G2202" s="31" t="n">
        <v>21626.53</v>
      </c>
      <c r="H2202" s="31" t="n">
        <v>5547.51</v>
      </c>
      <c r="I2202" t="inlineStr">
        <is>
          <t>Paid</t>
        </is>
      </c>
      <c r="K2202" s="29" t="n">
        <v>45981</v>
      </c>
      <c r="L2202" s="33" t="n"/>
    </row>
    <row r="2203">
      <c r="A2203" t="inlineStr">
        <is>
          <t>CLM519707</t>
        </is>
      </c>
      <c r="B2203" t="inlineStr">
        <is>
          <t>ENC119707</t>
        </is>
      </c>
      <c r="C2203" t="inlineStr">
        <is>
          <t>State Medicaid</t>
        </is>
      </c>
      <c r="D2203" t="inlineStr">
        <is>
          <t>Outpatient</t>
        </is>
      </c>
      <c r="E2203" s="29" t="n">
        <v>45959</v>
      </c>
      <c r="F2203" s="29" t="n">
        <v>45966</v>
      </c>
      <c r="G2203" s="31" t="n">
        <v>354.81</v>
      </c>
      <c r="H2203" s="31" t="n">
        <v>92.70999999999999</v>
      </c>
      <c r="I2203" t="inlineStr">
        <is>
          <t>Paid</t>
        </is>
      </c>
      <c r="K2203" s="29" t="n">
        <v>45992</v>
      </c>
      <c r="L2203" s="33" t="n"/>
    </row>
    <row r="2204">
      <c r="A2204" t="inlineStr">
        <is>
          <t>CLM519709</t>
        </is>
      </c>
      <c r="B2204" t="inlineStr">
        <is>
          <t>ENC119709</t>
        </is>
      </c>
      <c r="C2204" t="inlineStr">
        <is>
          <t>Silverline Medicare Advantage</t>
        </is>
      </c>
      <c r="D2204" t="inlineStr">
        <is>
          <t>Outpatient</t>
        </is>
      </c>
      <c r="E2204" s="29" t="n">
        <v>45959</v>
      </c>
      <c r="F2204" s="29" t="n">
        <v>45965</v>
      </c>
      <c r="G2204" s="31" t="n">
        <v>335.5</v>
      </c>
      <c r="H2204" s="31" t="n">
        <v>111.87</v>
      </c>
      <c r="I2204" t="inlineStr">
        <is>
          <t>Paid</t>
        </is>
      </c>
      <c r="K2204" s="29" t="n">
        <v>45989</v>
      </c>
      <c r="L2204" s="33" t="n"/>
    </row>
    <row r="2205">
      <c r="A2205" t="inlineStr">
        <is>
          <t>CLM519717</t>
        </is>
      </c>
      <c r="B2205" t="inlineStr">
        <is>
          <t>ENC119717</t>
        </is>
      </c>
      <c r="C2205" t="inlineStr">
        <is>
          <t>Medicare</t>
        </is>
      </c>
      <c r="D2205" t="inlineStr">
        <is>
          <t>Emergency</t>
        </is>
      </c>
      <c r="E2205" s="29" t="n">
        <v>45959</v>
      </c>
      <c r="F2205" s="29" t="n">
        <v>45965</v>
      </c>
      <c r="G2205" s="31" t="n">
        <v>2565.88</v>
      </c>
      <c r="H2205" s="31" t="n">
        <v>690.95</v>
      </c>
      <c r="I2205" t="inlineStr">
        <is>
          <t>Paid</t>
        </is>
      </c>
      <c r="K2205" s="29" t="n">
        <v>45980</v>
      </c>
      <c r="L2205" s="33" t="n"/>
    </row>
    <row r="2206">
      <c r="A2206" t="inlineStr">
        <is>
          <t>CLM519718</t>
        </is>
      </c>
      <c r="B2206" t="inlineStr">
        <is>
          <t>ENC119718</t>
        </is>
      </c>
      <c r="C2206" t="inlineStr">
        <is>
          <t>Silverline Medicare Advantage</t>
        </is>
      </c>
      <c r="D2206" t="inlineStr">
        <is>
          <t>Inpatient</t>
        </is>
      </c>
      <c r="E2206" s="29" t="n">
        <v>45970</v>
      </c>
      <c r="F2206" s="29" t="n">
        <v>45974</v>
      </c>
      <c r="G2206" s="31" t="n">
        <v>64673.13</v>
      </c>
      <c r="H2206" s="31" t="n">
        <v>20272.58</v>
      </c>
      <c r="I2206" t="inlineStr">
        <is>
          <t>Paid</t>
        </is>
      </c>
      <c r="K2206" s="29" t="n">
        <v>46003</v>
      </c>
      <c r="L2206" s="33" t="n"/>
    </row>
    <row r="2207">
      <c r="A2207" t="inlineStr">
        <is>
          <t>CLM519723</t>
        </is>
      </c>
      <c r="B2207" t="inlineStr">
        <is>
          <t>ENC119723</t>
        </is>
      </c>
      <c r="C2207" t="inlineStr">
        <is>
          <t>Keystone Health Partners</t>
        </is>
      </c>
      <c r="D2207" t="inlineStr">
        <is>
          <t>Emergency</t>
        </is>
      </c>
      <c r="E2207" s="29" t="n">
        <v>45960</v>
      </c>
      <c r="F2207" s="29" t="n">
        <v>45961</v>
      </c>
      <c r="G2207" s="31" t="n">
        <v>1187.8</v>
      </c>
      <c r="H2207" s="31" t="n">
        <v>0</v>
      </c>
      <c r="I2207" t="inlineStr">
        <is>
          <t>Denied</t>
        </is>
      </c>
      <c r="J2207" t="inlineStr">
        <is>
          <t>Medical Necessity</t>
        </is>
      </c>
      <c r="L2207" s="33" t="n"/>
    </row>
    <row r="2208">
      <c r="A2208" t="inlineStr">
        <is>
          <t>CLM519724</t>
        </is>
      </c>
      <c r="B2208" t="inlineStr">
        <is>
          <t>ENC119724</t>
        </is>
      </c>
      <c r="C2208" t="inlineStr">
        <is>
          <t>Medicare</t>
        </is>
      </c>
      <c r="D2208" t="inlineStr">
        <is>
          <t>Emergency</t>
        </is>
      </c>
      <c r="E2208" s="29" t="n">
        <v>45960</v>
      </c>
      <c r="F2208" s="29" t="n">
        <v>45970</v>
      </c>
      <c r="G2208" s="31" t="n">
        <v>2849.02</v>
      </c>
      <c r="H2208" s="31" t="n">
        <v>861.71</v>
      </c>
      <c r="I2208" t="inlineStr">
        <is>
          <t>Paid</t>
        </is>
      </c>
      <c r="K2208" s="29" t="n">
        <v>45988</v>
      </c>
      <c r="L2208" s="33" t="n"/>
    </row>
    <row r="2209">
      <c r="A2209" t="inlineStr">
        <is>
          <t>CLM519729</t>
        </is>
      </c>
      <c r="B2209" t="inlineStr">
        <is>
          <t>ENC119729</t>
        </is>
      </c>
      <c r="C2209" t="inlineStr">
        <is>
          <t>State Medicaid</t>
        </is>
      </c>
      <c r="D2209" t="inlineStr">
        <is>
          <t>Inpatient</t>
        </is>
      </c>
      <c r="E2209" s="29" t="n">
        <v>45963</v>
      </c>
      <c r="F2209" s="29" t="n">
        <v>45969</v>
      </c>
      <c r="G2209" s="31" t="n">
        <v>16541.44</v>
      </c>
      <c r="H2209" s="31" t="n">
        <v>4007.97</v>
      </c>
      <c r="I2209" t="inlineStr">
        <is>
          <t>Paid</t>
        </is>
      </c>
      <c r="K2209" s="29" t="n">
        <v>45993</v>
      </c>
      <c r="L2209" s="33" t="n"/>
    </row>
    <row r="2210">
      <c r="A2210" t="inlineStr">
        <is>
          <t>CLM519735</t>
        </is>
      </c>
      <c r="B2210" t="inlineStr">
        <is>
          <t>ENC119735</t>
        </is>
      </c>
      <c r="C2210" t="inlineStr">
        <is>
          <t>Summit Choice PPO</t>
        </is>
      </c>
      <c r="D2210" t="inlineStr">
        <is>
          <t>Emergency</t>
        </is>
      </c>
      <c r="E2210" s="29" t="n">
        <v>45960</v>
      </c>
      <c r="F2210" s="29" t="n">
        <v>45965</v>
      </c>
      <c r="G2210" s="31" t="n">
        <v>1928.57</v>
      </c>
      <c r="H2210" s="31" t="n">
        <v>955.15</v>
      </c>
      <c r="I2210" t="inlineStr">
        <is>
          <t>Paid</t>
        </is>
      </c>
      <c r="K2210" s="29" t="n">
        <v>45992</v>
      </c>
      <c r="L2210" s="33" t="n"/>
    </row>
    <row r="2211">
      <c r="A2211" t="inlineStr">
        <is>
          <t>CLM519744</t>
        </is>
      </c>
      <c r="B2211" t="inlineStr">
        <is>
          <t>ENC119744</t>
        </is>
      </c>
      <c r="C2211" t="inlineStr">
        <is>
          <t>Medicare</t>
        </is>
      </c>
      <c r="D2211" t="inlineStr">
        <is>
          <t>Outpatient</t>
        </is>
      </c>
      <c r="E2211" s="29" t="n">
        <v>45960</v>
      </c>
      <c r="F2211" s="29" t="n">
        <v>45962</v>
      </c>
      <c r="G2211" s="31" t="n">
        <v>390.26</v>
      </c>
      <c r="H2211" s="31" t="n">
        <v>116.43</v>
      </c>
      <c r="I2211" t="inlineStr">
        <is>
          <t>Paid</t>
        </is>
      </c>
      <c r="K2211" s="29" t="n">
        <v>45972</v>
      </c>
      <c r="L2211" s="33" t="n"/>
    </row>
    <row r="2212">
      <c r="A2212" t="inlineStr">
        <is>
          <t>CLM519752</t>
        </is>
      </c>
      <c r="B2212" t="inlineStr">
        <is>
          <t>ENC119752</t>
        </is>
      </c>
      <c r="C2212" t="inlineStr">
        <is>
          <t>Evergreen Mutual Insurance</t>
        </is>
      </c>
      <c r="D2212" t="inlineStr">
        <is>
          <t>Emergency</t>
        </is>
      </c>
      <c r="E2212" s="29" t="n">
        <v>45960</v>
      </c>
      <c r="F2212" s="29" t="n">
        <v>45971</v>
      </c>
      <c r="G2212" s="31" t="n">
        <v>3507.22</v>
      </c>
      <c r="H2212" s="31" t="n">
        <v>1550.34</v>
      </c>
      <c r="I2212" t="inlineStr">
        <is>
          <t>Paid</t>
        </is>
      </c>
      <c r="K2212" s="29" t="n">
        <v>45997</v>
      </c>
      <c r="L2212" s="33" t="n"/>
    </row>
    <row r="2213">
      <c r="A2213" t="inlineStr">
        <is>
          <t>CLM519761</t>
        </is>
      </c>
      <c r="B2213" t="inlineStr">
        <is>
          <t>ENC119761</t>
        </is>
      </c>
      <c r="C2213" t="inlineStr">
        <is>
          <t>Summit Choice PPO</t>
        </is>
      </c>
      <c r="D2213" t="inlineStr">
        <is>
          <t>Emergency</t>
        </is>
      </c>
      <c r="E2213" s="29" t="n">
        <v>45961</v>
      </c>
      <c r="F2213" s="29" t="n">
        <v>45964</v>
      </c>
      <c r="G2213" s="31" t="n">
        <v>2526.79</v>
      </c>
      <c r="H2213" s="31" t="n">
        <v>1296.26</v>
      </c>
      <c r="I2213" t="inlineStr">
        <is>
          <t>Paid</t>
        </is>
      </c>
      <c r="K2213" s="29" t="n">
        <v>45989</v>
      </c>
      <c r="L2213" s="33" t="n"/>
    </row>
    <row r="2214">
      <c r="A2214" t="inlineStr">
        <is>
          <t>CLM519763</t>
        </is>
      </c>
      <c r="B2214" t="inlineStr">
        <is>
          <t>ENC119763</t>
        </is>
      </c>
      <c r="C2214" t="inlineStr">
        <is>
          <t>Silverline Medicare Advantage</t>
        </is>
      </c>
      <c r="D2214" t="inlineStr">
        <is>
          <t>Inpatient</t>
        </is>
      </c>
      <c r="E2214" s="29" t="n">
        <v>45963</v>
      </c>
      <c r="F2214" s="29" t="n">
        <v>45968</v>
      </c>
      <c r="G2214" s="31" t="n">
        <v>52881.07</v>
      </c>
      <c r="H2214" s="31" t="n">
        <v>15698.01</v>
      </c>
      <c r="I2214" t="inlineStr">
        <is>
          <t>Paid</t>
        </is>
      </c>
      <c r="K2214" s="29" t="n">
        <v>45999</v>
      </c>
      <c r="L2214" s="33" t="n"/>
    </row>
    <row r="2215">
      <c r="A2215" t="inlineStr">
        <is>
          <t>CLM519766</t>
        </is>
      </c>
      <c r="B2215" t="inlineStr">
        <is>
          <t>ENC119766</t>
        </is>
      </c>
      <c r="C2215" t="inlineStr">
        <is>
          <t>Silverline Medicare Advantage</t>
        </is>
      </c>
      <c r="D2215" t="inlineStr">
        <is>
          <t>Outpatient</t>
        </is>
      </c>
      <c r="E2215" s="29" t="n">
        <v>45961</v>
      </c>
      <c r="F2215" s="29" t="n">
        <v>45965</v>
      </c>
      <c r="G2215" s="31" t="n">
        <v>438.36</v>
      </c>
      <c r="H2215" s="31" t="n">
        <v>124.56</v>
      </c>
      <c r="I2215" t="inlineStr">
        <is>
          <t>Paid</t>
        </is>
      </c>
      <c r="K2215" s="29" t="n">
        <v>45986</v>
      </c>
      <c r="L2215" s="33" t="n"/>
    </row>
    <row r="2216">
      <c r="A2216" t="inlineStr">
        <is>
          <t>CLM519768</t>
        </is>
      </c>
      <c r="B2216" t="inlineStr">
        <is>
          <t>ENC119768</t>
        </is>
      </c>
      <c r="C2216" t="inlineStr">
        <is>
          <t>Evergreen Mutual Insurance</t>
        </is>
      </c>
      <c r="D2216" t="inlineStr">
        <is>
          <t>Outpatient</t>
        </is>
      </c>
      <c r="E2216" s="29" t="n">
        <v>45961</v>
      </c>
      <c r="F2216" s="29" t="n">
        <v>46010</v>
      </c>
      <c r="G2216" s="31" t="n">
        <v>350.77</v>
      </c>
      <c r="H2216" s="31" t="n">
        <v>0</v>
      </c>
      <c r="I2216" t="inlineStr">
        <is>
          <t>Pending</t>
        </is>
      </c>
      <c r="L2216" s="33" t="n"/>
    </row>
    <row r="2217">
      <c r="A2217" t="inlineStr">
        <is>
          <t>CLM519771</t>
        </is>
      </c>
      <c r="B2217" t="inlineStr">
        <is>
          <t>ENC119771</t>
        </is>
      </c>
      <c r="C2217" t="inlineStr">
        <is>
          <t>Evergreen Mutual Insurance</t>
        </is>
      </c>
      <c r="D2217" t="inlineStr">
        <is>
          <t>Outpatient</t>
        </is>
      </c>
      <c r="E2217" s="29" t="n">
        <v>45961</v>
      </c>
      <c r="F2217" s="29" t="n">
        <v>45967</v>
      </c>
      <c r="G2217" s="31" t="n">
        <v>490.16</v>
      </c>
      <c r="H2217" s="31" t="n">
        <v>242.69</v>
      </c>
      <c r="I2217" t="inlineStr">
        <is>
          <t>Paid</t>
        </is>
      </c>
      <c r="K2217" s="29" t="n">
        <v>45995</v>
      </c>
      <c r="L2217" s="33" t="n"/>
    </row>
    <row r="2218">
      <c r="A2218" t="inlineStr">
        <is>
          <t>CLM519772</t>
        </is>
      </c>
      <c r="B2218" t="inlineStr">
        <is>
          <t>ENC119772</t>
        </is>
      </c>
      <c r="C2218" t="inlineStr">
        <is>
          <t>Keystone Health Partners</t>
        </is>
      </c>
      <c r="D2218" t="inlineStr">
        <is>
          <t>Inpatient</t>
        </is>
      </c>
      <c r="E2218" s="29" t="n">
        <v>45963</v>
      </c>
      <c r="F2218" s="29" t="n">
        <v>45968</v>
      </c>
      <c r="G2218" s="31" t="n">
        <v>16690.57</v>
      </c>
      <c r="H2218" s="31" t="n">
        <v>7326.58</v>
      </c>
      <c r="I2218" t="inlineStr">
        <is>
          <t>Paid</t>
        </is>
      </c>
      <c r="K2218" s="29" t="n">
        <v>46005</v>
      </c>
      <c r="L2218" s="33" t="n"/>
    </row>
    <row r="2219">
      <c r="A2219" t="inlineStr">
        <is>
          <t>CLM519779</t>
        </is>
      </c>
      <c r="B2219" t="inlineStr">
        <is>
          <t>ENC119779</t>
        </is>
      </c>
      <c r="C2219" t="inlineStr">
        <is>
          <t>Summit Choice PPO</t>
        </is>
      </c>
      <c r="D2219" t="inlineStr">
        <is>
          <t>Outpatient</t>
        </is>
      </c>
      <c r="E2219" s="29" t="n">
        <v>45961</v>
      </c>
      <c r="F2219" s="29" t="n">
        <v>45968</v>
      </c>
      <c r="G2219" s="31" t="n">
        <v>257.29</v>
      </c>
      <c r="H2219" s="31" t="n">
        <v>128.65</v>
      </c>
      <c r="I2219" t="inlineStr">
        <is>
          <t>Paid</t>
        </is>
      </c>
      <c r="K2219" s="29" t="n">
        <v>46000</v>
      </c>
      <c r="L2219" s="33" t="n"/>
    </row>
    <row r="2220">
      <c r="A2220" t="inlineStr">
        <is>
          <t>CLM519780</t>
        </is>
      </c>
      <c r="B2220" t="inlineStr">
        <is>
          <t>ENC119780</t>
        </is>
      </c>
      <c r="C2220" t="inlineStr">
        <is>
          <t>State Medicaid</t>
        </is>
      </c>
      <c r="D2220" t="inlineStr">
        <is>
          <t>Outpatient</t>
        </is>
      </c>
      <c r="E2220" s="29" t="n">
        <v>45961</v>
      </c>
      <c r="F2220" s="29" t="n">
        <v>45963</v>
      </c>
      <c r="G2220" s="31" t="n">
        <v>221.46</v>
      </c>
      <c r="H2220" s="31" t="n">
        <v>48.36</v>
      </c>
      <c r="I2220" t="inlineStr">
        <is>
          <t>Paid</t>
        </is>
      </c>
      <c r="K2220" s="29" t="n">
        <v>46015</v>
      </c>
      <c r="L2220" s="33" t="n"/>
    </row>
    <row r="2221">
      <c r="A2221" t="inlineStr">
        <is>
          <t>CLM519784</t>
        </is>
      </c>
      <c r="B2221" t="inlineStr">
        <is>
          <t>ENC119784</t>
        </is>
      </c>
      <c r="C2221" t="inlineStr">
        <is>
          <t>Summit Choice PPO</t>
        </is>
      </c>
      <c r="D2221" t="inlineStr">
        <is>
          <t>Outpatient</t>
        </is>
      </c>
      <c r="E2221" s="29" t="n">
        <v>45961</v>
      </c>
      <c r="F2221" s="29" t="n">
        <v>45968</v>
      </c>
      <c r="G2221" s="31" t="n">
        <v>174.99</v>
      </c>
      <c r="H2221" s="31" t="n">
        <v>79.90000000000001</v>
      </c>
      <c r="I2221" t="inlineStr">
        <is>
          <t>Paid</t>
        </is>
      </c>
      <c r="K2221" s="29" t="n">
        <v>45990</v>
      </c>
      <c r="L2221" s="33" t="n"/>
    </row>
    <row r="2222">
      <c r="A2222" t="inlineStr">
        <is>
          <t>CLM519786</t>
        </is>
      </c>
      <c r="B2222" t="inlineStr">
        <is>
          <t>ENC119786</t>
        </is>
      </c>
      <c r="C2222" t="inlineStr">
        <is>
          <t>Evergreen Mutual Insurance</t>
        </is>
      </c>
      <c r="D2222" t="inlineStr">
        <is>
          <t>Inpatient</t>
        </is>
      </c>
      <c r="E2222" s="29" t="n">
        <v>45964</v>
      </c>
      <c r="F2222" s="29" t="n">
        <v>45968</v>
      </c>
      <c r="G2222" s="31" t="n">
        <v>17056.46</v>
      </c>
      <c r="H2222" s="31" t="n">
        <v>0</v>
      </c>
      <c r="I2222" t="inlineStr">
        <is>
          <t>Pending</t>
        </is>
      </c>
      <c r="L2222" s="33" t="n"/>
    </row>
    <row r="2223">
      <c r="A2223" t="inlineStr">
        <is>
          <t>CLM519787</t>
        </is>
      </c>
      <c r="B2223" t="inlineStr">
        <is>
          <t>ENC119787</t>
        </is>
      </c>
      <c r="C2223" t="inlineStr">
        <is>
          <t>Summit Choice PPO</t>
        </is>
      </c>
      <c r="D2223" t="inlineStr">
        <is>
          <t>Emergency</t>
        </is>
      </c>
      <c r="E2223" s="29" t="n">
        <v>45961</v>
      </c>
      <c r="F2223" s="29" t="n">
        <v>45968</v>
      </c>
      <c r="G2223" s="31" t="n">
        <v>1288.83</v>
      </c>
      <c r="H2223" s="31" t="n">
        <v>654.98</v>
      </c>
      <c r="I2223" t="inlineStr">
        <is>
          <t>Paid</t>
        </is>
      </c>
      <c r="K2223" s="29" t="n">
        <v>45984</v>
      </c>
      <c r="L2223" s="33" t="n"/>
    </row>
    <row r="2224">
      <c r="A2224" t="inlineStr">
        <is>
          <t>CLM519792</t>
        </is>
      </c>
      <c r="B2224" t="inlineStr">
        <is>
          <t>ENC119792</t>
        </is>
      </c>
      <c r="C2224" t="inlineStr">
        <is>
          <t>Self-Pay</t>
        </is>
      </c>
      <c r="D2224" t="inlineStr">
        <is>
          <t>Emergency</t>
        </is>
      </c>
      <c r="E2224" s="29" t="n">
        <v>45961</v>
      </c>
      <c r="F2224" s="29" t="n">
        <v>45965</v>
      </c>
      <c r="G2224" s="31" t="n">
        <v>4890.99</v>
      </c>
      <c r="H2224" s="31" t="n">
        <v>1457.43</v>
      </c>
      <c r="I2224" t="inlineStr">
        <is>
          <t>Partially Paid</t>
        </is>
      </c>
      <c r="K2224" s="29" t="n">
        <v>46014</v>
      </c>
      <c r="L2224" s="33" t="n"/>
    </row>
    <row r="2225">
      <c r="A2225" t="inlineStr">
        <is>
          <t>CLM519800</t>
        </is>
      </c>
      <c r="B2225" t="inlineStr">
        <is>
          <t>ENC119800</t>
        </is>
      </c>
      <c r="C2225" t="inlineStr">
        <is>
          <t>Keystone Health Partners</t>
        </is>
      </c>
      <c r="D2225" t="inlineStr">
        <is>
          <t>Emergency</t>
        </is>
      </c>
      <c r="E2225" s="29" t="n">
        <v>45961</v>
      </c>
      <c r="F2225" s="29" t="n">
        <v>45966</v>
      </c>
      <c r="G2225" s="31" t="n">
        <v>1055.03</v>
      </c>
      <c r="H2225" s="31" t="n">
        <v>486.26</v>
      </c>
      <c r="I2225" t="inlineStr">
        <is>
          <t>Paid</t>
        </is>
      </c>
      <c r="K2225" s="29" t="n">
        <v>45991</v>
      </c>
      <c r="L2225" s="33" t="n"/>
    </row>
    <row r="2226">
      <c r="A2226" t="inlineStr">
        <is>
          <t>CLM519804</t>
        </is>
      </c>
      <c r="B2226" t="inlineStr">
        <is>
          <t>ENC119804</t>
        </is>
      </c>
      <c r="C2226" t="inlineStr">
        <is>
          <t>Self-Pay</t>
        </is>
      </c>
      <c r="D2226" t="inlineStr">
        <is>
          <t>Inpatient</t>
        </is>
      </c>
      <c r="E2226" s="29" t="n">
        <v>45966</v>
      </c>
      <c r="F2226" s="29" t="n">
        <v>45969</v>
      </c>
      <c r="G2226" s="31" t="n">
        <v>27848.13</v>
      </c>
      <c r="H2226" s="31" t="n">
        <v>0</v>
      </c>
      <c r="I2226" t="inlineStr">
        <is>
          <t>Pending</t>
        </is>
      </c>
      <c r="L2226" s="33" t="n"/>
    </row>
    <row r="2227">
      <c r="A2227" t="inlineStr">
        <is>
          <t>CLM519807</t>
        </is>
      </c>
      <c r="B2227" t="inlineStr">
        <is>
          <t>ENC119807</t>
        </is>
      </c>
      <c r="C2227" t="inlineStr">
        <is>
          <t>Summit Choice PPO</t>
        </is>
      </c>
      <c r="D2227" t="inlineStr">
        <is>
          <t>Emergency</t>
        </is>
      </c>
      <c r="E2227" s="29" t="n">
        <v>45962</v>
      </c>
      <c r="F2227" s="29" t="n">
        <v>45972</v>
      </c>
      <c r="G2227" s="31" t="n">
        <v>3023.42</v>
      </c>
      <c r="H2227" s="31" t="n">
        <v>1419.57</v>
      </c>
      <c r="I2227" t="inlineStr">
        <is>
          <t>Paid</t>
        </is>
      </c>
      <c r="K2227" s="29" t="n">
        <v>45990</v>
      </c>
      <c r="L2227" s="33" t="n"/>
    </row>
    <row r="2228">
      <c r="A2228" t="inlineStr">
        <is>
          <t>CLM519810</t>
        </is>
      </c>
      <c r="B2228" t="inlineStr">
        <is>
          <t>ENC119810</t>
        </is>
      </c>
      <c r="C2228" t="inlineStr">
        <is>
          <t>State Medicaid</t>
        </is>
      </c>
      <c r="D2228" t="inlineStr">
        <is>
          <t>Inpatient</t>
        </is>
      </c>
      <c r="E2228" s="29" t="n">
        <v>45966</v>
      </c>
      <c r="F2228" s="29" t="n">
        <v>45969</v>
      </c>
      <c r="G2228" s="31" t="n">
        <v>19140.34</v>
      </c>
      <c r="H2228" s="31" t="n">
        <v>4394.82</v>
      </c>
      <c r="I2228" t="inlineStr">
        <is>
          <t>Paid</t>
        </is>
      </c>
      <c r="K2228" s="29" t="n">
        <v>46020</v>
      </c>
      <c r="L2228" s="33" t="n"/>
    </row>
    <row r="2229">
      <c r="A2229" t="inlineStr">
        <is>
          <t>CLM519815</t>
        </is>
      </c>
      <c r="B2229" t="inlineStr">
        <is>
          <t>ENC119815</t>
        </is>
      </c>
      <c r="C2229" t="inlineStr">
        <is>
          <t>State Medicaid</t>
        </is>
      </c>
      <c r="D2229" t="inlineStr">
        <is>
          <t>Emergency</t>
        </is>
      </c>
      <c r="E2229" s="29" t="n">
        <v>45962</v>
      </c>
      <c r="F2229" s="29" t="n">
        <v>45966</v>
      </c>
      <c r="G2229" s="31" t="n">
        <v>971.66</v>
      </c>
      <c r="H2229" s="31" t="n">
        <v>233.08</v>
      </c>
      <c r="I2229" t="inlineStr">
        <is>
          <t>Paid</t>
        </is>
      </c>
      <c r="K2229" s="29" t="n">
        <v>45995</v>
      </c>
      <c r="L2229" s="33" t="n"/>
    </row>
    <row r="2230">
      <c r="A2230" t="inlineStr">
        <is>
          <t>CLM519819</t>
        </is>
      </c>
      <c r="B2230" t="inlineStr">
        <is>
          <t>ENC119819</t>
        </is>
      </c>
      <c r="C2230" t="inlineStr">
        <is>
          <t>Medicare</t>
        </is>
      </c>
      <c r="D2230" t="inlineStr">
        <is>
          <t>Emergency</t>
        </is>
      </c>
      <c r="E2230" s="29" t="n">
        <v>45963</v>
      </c>
      <c r="F2230" s="29" t="n">
        <v>45973</v>
      </c>
      <c r="G2230" s="31" t="n">
        <v>2551.48</v>
      </c>
      <c r="H2230" s="31" t="n">
        <v>815.46</v>
      </c>
      <c r="I2230" t="inlineStr">
        <is>
          <t>Paid</t>
        </is>
      </c>
      <c r="K2230" s="29" t="n">
        <v>45981</v>
      </c>
      <c r="L2230" s="33" t="n"/>
    </row>
    <row r="2231">
      <c r="A2231" t="inlineStr">
        <is>
          <t>CLM519822</t>
        </is>
      </c>
      <c r="B2231" t="inlineStr">
        <is>
          <t>ENC119822</t>
        </is>
      </c>
      <c r="C2231" t="inlineStr">
        <is>
          <t>Evergreen Mutual Insurance</t>
        </is>
      </c>
      <c r="D2231" t="inlineStr">
        <is>
          <t>Observation</t>
        </is>
      </c>
      <c r="E2231" s="29" t="n">
        <v>45964</v>
      </c>
      <c r="F2231" s="29" t="n">
        <v>45966</v>
      </c>
      <c r="G2231" s="31" t="n">
        <v>5834.29</v>
      </c>
      <c r="H2231" s="31" t="n">
        <v>2431.08</v>
      </c>
      <c r="I2231" t="inlineStr">
        <is>
          <t>Paid</t>
        </is>
      </c>
      <c r="K2231" s="29" t="n">
        <v>46000</v>
      </c>
      <c r="L2231" s="33" t="n"/>
    </row>
    <row r="2232">
      <c r="A2232" t="inlineStr">
        <is>
          <t>CLM519823</t>
        </is>
      </c>
      <c r="B2232" t="inlineStr">
        <is>
          <t>ENC119823</t>
        </is>
      </c>
      <c r="C2232" t="inlineStr">
        <is>
          <t>Silverline Medicare Advantage</t>
        </is>
      </c>
      <c r="D2232" t="inlineStr">
        <is>
          <t>Inpatient</t>
        </is>
      </c>
      <c r="E2232" s="29" t="n">
        <v>45968</v>
      </c>
      <c r="F2232" s="29" t="n">
        <v>45972</v>
      </c>
      <c r="G2232" s="31" t="n">
        <v>16070.33</v>
      </c>
      <c r="H2232" s="31" t="n">
        <v>4715.27</v>
      </c>
      <c r="I2232" t="inlineStr">
        <is>
          <t>Paid</t>
        </is>
      </c>
      <c r="K2232" s="29" t="n">
        <v>45994</v>
      </c>
      <c r="L2232" s="33" t="n"/>
    </row>
    <row r="2233">
      <c r="A2233" t="inlineStr">
        <is>
          <t>CLM519824</t>
        </is>
      </c>
      <c r="B2233" t="inlineStr">
        <is>
          <t>ENC119824</t>
        </is>
      </c>
      <c r="C2233" t="inlineStr">
        <is>
          <t>Silverline Medicare Advantage</t>
        </is>
      </c>
      <c r="D2233" t="inlineStr">
        <is>
          <t>Inpatient</t>
        </is>
      </c>
      <c r="E2233" s="29" t="n">
        <v>45966</v>
      </c>
      <c r="F2233" s="29" t="n">
        <v>45976</v>
      </c>
      <c r="G2233" s="31" t="n">
        <v>41999.67</v>
      </c>
      <c r="H2233" s="31" t="n">
        <v>0</v>
      </c>
      <c r="I2233" t="inlineStr">
        <is>
          <t>Denied</t>
        </is>
      </c>
      <c r="J2233" t="inlineStr">
        <is>
          <t>Duplicate Claim</t>
        </is>
      </c>
      <c r="L2233" s="33" t="n"/>
    </row>
    <row r="2234">
      <c r="A2234" t="inlineStr">
        <is>
          <t>CLM519828</t>
        </is>
      </c>
      <c r="B2234" t="inlineStr">
        <is>
          <t>ENC119828</t>
        </is>
      </c>
      <c r="C2234" t="inlineStr">
        <is>
          <t>Silverline Medicare Advantage</t>
        </is>
      </c>
      <c r="D2234" t="inlineStr">
        <is>
          <t>Emergency</t>
        </is>
      </c>
      <c r="E2234" s="29" t="n">
        <v>45964</v>
      </c>
      <c r="F2234" s="29" t="n">
        <v>45976</v>
      </c>
      <c r="G2234" s="31" t="n">
        <v>1605.99</v>
      </c>
      <c r="H2234" s="31" t="n">
        <v>433.3</v>
      </c>
      <c r="I2234" t="inlineStr">
        <is>
          <t>Paid</t>
        </is>
      </c>
      <c r="K2234" s="29" t="n">
        <v>46000</v>
      </c>
      <c r="L2234" s="33" t="n"/>
    </row>
    <row r="2235">
      <c r="A2235" t="inlineStr">
        <is>
          <t>CLM519837</t>
        </is>
      </c>
      <c r="B2235" t="inlineStr">
        <is>
          <t>ENC119837</t>
        </is>
      </c>
      <c r="C2235" t="inlineStr">
        <is>
          <t>Summit Choice PPO</t>
        </is>
      </c>
      <c r="D2235" t="inlineStr">
        <is>
          <t>Outpatient</t>
        </is>
      </c>
      <c r="E2235" s="29" t="n">
        <v>45964</v>
      </c>
      <c r="F2235" s="29" t="n">
        <v>45971</v>
      </c>
      <c r="G2235" s="31" t="n">
        <v>352.56</v>
      </c>
      <c r="H2235" s="31" t="n">
        <v>172.21</v>
      </c>
      <c r="I2235" t="inlineStr">
        <is>
          <t>Paid</t>
        </is>
      </c>
      <c r="K2235" s="29" t="n">
        <v>45996</v>
      </c>
      <c r="L2235" s="33" t="n"/>
    </row>
    <row r="2236">
      <c r="A2236" t="inlineStr">
        <is>
          <t>CLM519838</t>
        </is>
      </c>
      <c r="B2236" t="inlineStr">
        <is>
          <t>ENC119838</t>
        </is>
      </c>
      <c r="C2236" t="inlineStr">
        <is>
          <t>Evergreen Mutual Insurance</t>
        </is>
      </c>
      <c r="D2236" t="inlineStr">
        <is>
          <t>Outpatient</t>
        </is>
      </c>
      <c r="E2236" s="29" t="n">
        <v>45964</v>
      </c>
      <c r="F2236" s="29" t="n">
        <v>45970</v>
      </c>
      <c r="G2236" s="31" t="n">
        <v>180.21</v>
      </c>
      <c r="H2236" s="31" t="n">
        <v>84.02</v>
      </c>
      <c r="I2236" t="inlineStr">
        <is>
          <t>Paid</t>
        </is>
      </c>
      <c r="K2236" s="29" t="n">
        <v>46006</v>
      </c>
      <c r="L2236" s="33" t="n"/>
    </row>
    <row r="2237">
      <c r="A2237" t="inlineStr">
        <is>
          <t>CLM519841</t>
        </is>
      </c>
      <c r="B2237" t="inlineStr">
        <is>
          <t>ENC119841</t>
        </is>
      </c>
      <c r="C2237" t="inlineStr">
        <is>
          <t>Medicare</t>
        </is>
      </c>
      <c r="D2237" t="inlineStr">
        <is>
          <t>Emergency</t>
        </is>
      </c>
      <c r="E2237" s="29" t="n">
        <v>45964</v>
      </c>
      <c r="F2237" s="29" t="n">
        <v>45973</v>
      </c>
      <c r="G2237" s="31" t="n">
        <v>953.5700000000001</v>
      </c>
      <c r="H2237" s="31" t="n">
        <v>277.2</v>
      </c>
      <c r="I2237" t="inlineStr">
        <is>
          <t>Paid</t>
        </is>
      </c>
      <c r="K2237" s="29" t="n">
        <v>45986</v>
      </c>
      <c r="L2237" s="33" t="n"/>
    </row>
    <row r="2238">
      <c r="A2238" t="inlineStr">
        <is>
          <t>CLM519847</t>
        </is>
      </c>
      <c r="B2238" t="inlineStr">
        <is>
          <t>ENC119847</t>
        </is>
      </c>
      <c r="C2238" t="inlineStr">
        <is>
          <t>Keystone Health Partners</t>
        </is>
      </c>
      <c r="D2238" t="inlineStr">
        <is>
          <t>Outpatient</t>
        </is>
      </c>
      <c r="E2238" s="29" t="n">
        <v>45964</v>
      </c>
      <c r="F2238" s="29" t="n">
        <v>45976</v>
      </c>
      <c r="G2238" s="31" t="n">
        <v>324.27</v>
      </c>
      <c r="H2238" s="31" t="n">
        <v>150.58</v>
      </c>
      <c r="I2238" t="inlineStr">
        <is>
          <t>Paid</t>
        </is>
      </c>
      <c r="K2238" s="29" t="n">
        <v>46016</v>
      </c>
      <c r="L2238" s="33" t="n"/>
    </row>
    <row r="2239">
      <c r="A2239" t="inlineStr">
        <is>
          <t>CLM519849</t>
        </is>
      </c>
      <c r="B2239" t="inlineStr">
        <is>
          <t>ENC119849</t>
        </is>
      </c>
      <c r="C2239" t="inlineStr">
        <is>
          <t>Medicare</t>
        </is>
      </c>
      <c r="D2239" t="inlineStr">
        <is>
          <t>Observation</t>
        </is>
      </c>
      <c r="E2239" s="29" t="n">
        <v>45965</v>
      </c>
      <c r="F2239" s="29" t="n">
        <v>45976</v>
      </c>
      <c r="G2239" s="31" t="n">
        <v>10639.95</v>
      </c>
      <c r="H2239" s="31" t="n">
        <v>3185.18</v>
      </c>
      <c r="I2239" t="inlineStr">
        <is>
          <t>Paid</t>
        </is>
      </c>
      <c r="K2239" s="29" t="n">
        <v>45986</v>
      </c>
      <c r="L2239" s="33" t="n"/>
    </row>
    <row r="2240">
      <c r="A2240" t="inlineStr">
        <is>
          <t>CLM519859</t>
        </is>
      </c>
      <c r="B2240" t="inlineStr">
        <is>
          <t>ENC119859</t>
        </is>
      </c>
      <c r="C2240" t="inlineStr">
        <is>
          <t>State Medicaid</t>
        </is>
      </c>
      <c r="D2240" t="inlineStr">
        <is>
          <t>Emergency</t>
        </is>
      </c>
      <c r="E2240" s="29" t="n">
        <v>45964</v>
      </c>
      <c r="F2240" s="29" t="n">
        <v>45965</v>
      </c>
      <c r="G2240" s="31" t="n">
        <v>1376.86</v>
      </c>
      <c r="H2240" s="31" t="n">
        <v>354.79</v>
      </c>
      <c r="I2240" t="inlineStr">
        <is>
          <t>Paid</t>
        </is>
      </c>
      <c r="K2240" s="29" t="n">
        <v>46002</v>
      </c>
      <c r="L2240" s="33" t="n"/>
    </row>
    <row r="2241">
      <c r="A2241" t="inlineStr">
        <is>
          <t>CLM519860</t>
        </is>
      </c>
      <c r="B2241" t="inlineStr">
        <is>
          <t>ENC119860</t>
        </is>
      </c>
      <c r="C2241" t="inlineStr">
        <is>
          <t>State Medicaid</t>
        </is>
      </c>
      <c r="D2241" t="inlineStr">
        <is>
          <t>Outpatient</t>
        </is>
      </c>
      <c r="E2241" s="29" t="n">
        <v>45964</v>
      </c>
      <c r="F2241" s="29" t="n">
        <v>45971</v>
      </c>
      <c r="G2241" s="31" t="n">
        <v>294.97</v>
      </c>
      <c r="H2241" s="31" t="n">
        <v>0</v>
      </c>
      <c r="I2241" t="inlineStr">
        <is>
          <t>Denied</t>
        </is>
      </c>
      <c r="J2241" t="inlineStr">
        <is>
          <t>Missing Documentation</t>
        </is>
      </c>
      <c r="L2241" s="33" t="n"/>
    </row>
    <row r="2242">
      <c r="A2242" t="inlineStr">
        <is>
          <t>CLM519866</t>
        </is>
      </c>
      <c r="B2242" t="inlineStr">
        <is>
          <t>ENC119866</t>
        </is>
      </c>
      <c r="C2242" t="inlineStr">
        <is>
          <t>Evergreen Mutual Insurance</t>
        </is>
      </c>
      <c r="D2242" t="inlineStr">
        <is>
          <t>Outpatient</t>
        </is>
      </c>
      <c r="E2242" s="29" t="n">
        <v>45964</v>
      </c>
      <c r="F2242" s="29" t="n">
        <v>45970</v>
      </c>
      <c r="G2242" s="31" t="n">
        <v>269.51</v>
      </c>
      <c r="H2242" s="31" t="n">
        <v>114.67</v>
      </c>
      <c r="I2242" t="inlineStr">
        <is>
          <t>Paid</t>
        </is>
      </c>
      <c r="K2242" s="29" t="n">
        <v>45996</v>
      </c>
      <c r="L2242" s="33" t="n"/>
    </row>
    <row r="2243">
      <c r="A2243" t="inlineStr">
        <is>
          <t>CLM519878</t>
        </is>
      </c>
      <c r="B2243" t="inlineStr">
        <is>
          <t>ENC119878</t>
        </is>
      </c>
      <c r="C2243" t="inlineStr">
        <is>
          <t>Medicare</t>
        </is>
      </c>
      <c r="D2243" t="inlineStr">
        <is>
          <t>Emergency</t>
        </is>
      </c>
      <c r="E2243" s="29" t="n">
        <v>45965</v>
      </c>
      <c r="F2243" s="29" t="n">
        <v>45972</v>
      </c>
      <c r="G2243" s="31" t="n">
        <v>2739.36</v>
      </c>
      <c r="H2243" s="31" t="n">
        <v>808.87</v>
      </c>
      <c r="I2243" t="inlineStr">
        <is>
          <t>Paid</t>
        </is>
      </c>
      <c r="K2243" s="29" t="n">
        <v>45986</v>
      </c>
      <c r="L2243" s="33" t="n"/>
    </row>
    <row r="2244">
      <c r="A2244" t="inlineStr">
        <is>
          <t>CLM519882</t>
        </is>
      </c>
      <c r="B2244" t="inlineStr">
        <is>
          <t>ENC119882</t>
        </is>
      </c>
      <c r="C2244" t="inlineStr">
        <is>
          <t>Evergreen Mutual Insurance</t>
        </is>
      </c>
      <c r="D2244" t="inlineStr">
        <is>
          <t>Outpatient</t>
        </is>
      </c>
      <c r="E2244" s="29" t="n">
        <v>45965</v>
      </c>
      <c r="F2244" s="29" t="n">
        <v>45970</v>
      </c>
      <c r="G2244" s="31" t="n">
        <v>128.73</v>
      </c>
      <c r="H2244" s="31" t="n">
        <v>58.79</v>
      </c>
      <c r="I2244" t="inlineStr">
        <is>
          <t>Paid</t>
        </is>
      </c>
      <c r="K2244" s="29" t="n">
        <v>46000</v>
      </c>
      <c r="L2244" s="33" t="n"/>
    </row>
    <row r="2245">
      <c r="A2245" t="inlineStr">
        <is>
          <t>CLM519883</t>
        </is>
      </c>
      <c r="B2245" t="inlineStr">
        <is>
          <t>ENC119883</t>
        </is>
      </c>
      <c r="C2245" t="inlineStr">
        <is>
          <t>Medicare</t>
        </is>
      </c>
      <c r="D2245" t="inlineStr">
        <is>
          <t>Outpatient</t>
        </is>
      </c>
      <c r="E2245" s="29" t="n">
        <v>45965</v>
      </c>
      <c r="F2245" s="29" t="n">
        <v>45972</v>
      </c>
      <c r="G2245" s="31" t="n">
        <v>127.5</v>
      </c>
      <c r="H2245" s="31" t="n">
        <v>32.67</v>
      </c>
      <c r="I2245" t="inlineStr">
        <is>
          <t>Paid</t>
        </is>
      </c>
      <c r="K2245" s="29" t="n">
        <v>45983</v>
      </c>
      <c r="L2245" s="33" t="n"/>
    </row>
    <row r="2246">
      <c r="A2246" t="inlineStr">
        <is>
          <t>CLM519886</t>
        </is>
      </c>
      <c r="B2246" t="inlineStr">
        <is>
          <t>ENC119886</t>
        </is>
      </c>
      <c r="C2246" t="inlineStr">
        <is>
          <t>Evergreen Mutual Insurance</t>
        </is>
      </c>
      <c r="D2246" t="inlineStr">
        <is>
          <t>Emergency</t>
        </is>
      </c>
      <c r="E2246" s="29" t="n">
        <v>45965</v>
      </c>
      <c r="F2246" s="29" t="n">
        <v>45975</v>
      </c>
      <c r="G2246" s="31" t="n">
        <v>2655.08</v>
      </c>
      <c r="H2246" s="31" t="n">
        <v>638.6799999999999</v>
      </c>
      <c r="I2246" t="inlineStr">
        <is>
          <t>Partially Paid</t>
        </is>
      </c>
      <c r="J2246" t="inlineStr">
        <is>
          <t>Coding Error</t>
        </is>
      </c>
      <c r="K2246" s="29" t="n">
        <v>46014</v>
      </c>
      <c r="L2246" s="33" t="n"/>
    </row>
    <row r="2247">
      <c r="A2247" t="inlineStr">
        <is>
          <t>CLM519887</t>
        </is>
      </c>
      <c r="B2247" t="inlineStr">
        <is>
          <t>ENC119887</t>
        </is>
      </c>
      <c r="C2247" t="inlineStr">
        <is>
          <t>State Medicaid</t>
        </is>
      </c>
      <c r="D2247" t="inlineStr">
        <is>
          <t>Outpatient</t>
        </is>
      </c>
      <c r="E2247" s="29" t="n">
        <v>45965</v>
      </c>
      <c r="F2247" s="29" t="n">
        <v>45967</v>
      </c>
      <c r="G2247" s="31" t="n">
        <v>276.06</v>
      </c>
      <c r="H2247" s="31" t="n">
        <v>62.26</v>
      </c>
      <c r="I2247" t="inlineStr">
        <is>
          <t>Paid</t>
        </is>
      </c>
      <c r="K2247" s="29" t="n">
        <v>46004</v>
      </c>
      <c r="L2247" s="33" t="n"/>
    </row>
    <row r="2248">
      <c r="A2248" t="inlineStr">
        <is>
          <t>CLM519890</t>
        </is>
      </c>
      <c r="B2248" t="inlineStr">
        <is>
          <t>ENC119890</t>
        </is>
      </c>
      <c r="C2248" t="inlineStr">
        <is>
          <t>Medicare</t>
        </is>
      </c>
      <c r="D2248" t="inlineStr">
        <is>
          <t>Emergency</t>
        </is>
      </c>
      <c r="E2248" s="29" t="n">
        <v>45965</v>
      </c>
      <c r="F2248" s="29" t="n">
        <v>45967</v>
      </c>
      <c r="G2248" s="31" t="n">
        <v>3992.48</v>
      </c>
      <c r="H2248" s="31" t="n">
        <v>1137.68</v>
      </c>
      <c r="I2248" t="inlineStr">
        <is>
          <t>Paid</t>
        </is>
      </c>
      <c r="K2248" s="29" t="n">
        <v>45979</v>
      </c>
      <c r="L2248" s="33" t="n"/>
    </row>
    <row r="2249">
      <c r="A2249" t="inlineStr">
        <is>
          <t>CLM519895</t>
        </is>
      </c>
      <c r="B2249" t="inlineStr">
        <is>
          <t>ENC119895</t>
        </is>
      </c>
      <c r="C2249" t="inlineStr">
        <is>
          <t>Silverline Medicare Advantage</t>
        </is>
      </c>
      <c r="D2249" t="inlineStr">
        <is>
          <t>Outpatient</t>
        </is>
      </c>
      <c r="E2249" s="29" t="n">
        <v>45965</v>
      </c>
      <c r="F2249" s="29" t="n">
        <v>45966</v>
      </c>
      <c r="G2249" s="31" t="n">
        <v>323.08</v>
      </c>
      <c r="H2249" s="31" t="n">
        <v>0</v>
      </c>
      <c r="I2249" t="inlineStr">
        <is>
          <t>Denied</t>
        </is>
      </c>
      <c r="J2249" t="inlineStr">
        <is>
          <t>Coding Error</t>
        </is>
      </c>
      <c r="L2249" s="33" t="n"/>
    </row>
    <row r="2250">
      <c r="A2250" t="inlineStr">
        <is>
          <t>CLM519897</t>
        </is>
      </c>
      <c r="B2250" t="inlineStr">
        <is>
          <t>ENC119897</t>
        </is>
      </c>
      <c r="C2250" t="inlineStr">
        <is>
          <t>Medicare</t>
        </is>
      </c>
      <c r="D2250" t="inlineStr">
        <is>
          <t>Outpatient</t>
        </is>
      </c>
      <c r="E2250" s="29" t="n">
        <v>45965</v>
      </c>
      <c r="F2250" s="29" t="n">
        <v>45972</v>
      </c>
      <c r="G2250" s="31" t="n">
        <v>193.93</v>
      </c>
      <c r="H2250" s="31" t="n">
        <v>29.82</v>
      </c>
      <c r="I2250" t="inlineStr">
        <is>
          <t>Partially Paid</t>
        </is>
      </c>
      <c r="J2250" t="inlineStr">
        <is>
          <t>Coding Error</t>
        </is>
      </c>
      <c r="K2250" s="29" t="n">
        <v>45981</v>
      </c>
      <c r="L2250" s="33" t="n"/>
    </row>
    <row r="2251">
      <c r="A2251" t="inlineStr">
        <is>
          <t>CLM519905</t>
        </is>
      </c>
      <c r="B2251" t="inlineStr">
        <is>
          <t>ENC119905</t>
        </is>
      </c>
      <c r="C2251" t="inlineStr">
        <is>
          <t>State Medicaid</t>
        </is>
      </c>
      <c r="D2251" t="inlineStr">
        <is>
          <t>Outpatient</t>
        </is>
      </c>
      <c r="E2251" s="29" t="n">
        <v>45965</v>
      </c>
      <c r="F2251" s="29" t="n">
        <v>45968</v>
      </c>
      <c r="G2251" s="31" t="n">
        <v>474.53</v>
      </c>
      <c r="H2251" s="31" t="n">
        <v>110.72</v>
      </c>
      <c r="I2251" t="inlineStr">
        <is>
          <t>Paid</t>
        </is>
      </c>
      <c r="K2251" s="29" t="n">
        <v>45988</v>
      </c>
      <c r="L2251" s="33" t="n"/>
    </row>
    <row r="2252">
      <c r="A2252" t="inlineStr">
        <is>
          <t>CLM519911</t>
        </is>
      </c>
      <c r="B2252" t="inlineStr">
        <is>
          <t>ENC119911</t>
        </is>
      </c>
      <c r="C2252" t="inlineStr">
        <is>
          <t>State Medicaid</t>
        </is>
      </c>
      <c r="D2252" t="inlineStr">
        <is>
          <t>Emergency</t>
        </is>
      </c>
      <c r="E2252" s="29" t="n">
        <v>45966</v>
      </c>
      <c r="F2252" s="29" t="n">
        <v>45976</v>
      </c>
      <c r="G2252" s="31" t="n">
        <v>3854.68</v>
      </c>
      <c r="H2252" s="31" t="n">
        <v>0</v>
      </c>
      <c r="I2252" t="inlineStr">
        <is>
          <t>Pending</t>
        </is>
      </c>
      <c r="L2252" s="33" t="n"/>
    </row>
    <row r="2253">
      <c r="A2253" t="inlineStr">
        <is>
          <t>CLM519918</t>
        </is>
      </c>
      <c r="B2253" t="inlineStr">
        <is>
          <t>ENC119918</t>
        </is>
      </c>
      <c r="C2253" t="inlineStr">
        <is>
          <t>Medicare</t>
        </is>
      </c>
      <c r="D2253" t="inlineStr">
        <is>
          <t>Outpatient</t>
        </is>
      </c>
      <c r="E2253" s="29" t="n">
        <v>45966</v>
      </c>
      <c r="F2253" s="29" t="n">
        <v>45968</v>
      </c>
      <c r="G2253" s="31" t="n">
        <v>333.5</v>
      </c>
      <c r="H2253" s="31" t="n">
        <v>77.78</v>
      </c>
      <c r="I2253" t="inlineStr">
        <is>
          <t>Partially Paid</t>
        </is>
      </c>
      <c r="J2253" t="inlineStr">
        <is>
          <t>Medical Necessity</t>
        </is>
      </c>
      <c r="K2253" s="29" t="n">
        <v>45984</v>
      </c>
      <c r="L2253" s="33" t="n"/>
    </row>
    <row r="2254">
      <c r="A2254" t="inlineStr">
        <is>
          <t>CLM519929</t>
        </is>
      </c>
      <c r="B2254" t="inlineStr">
        <is>
          <t>ENC119929</t>
        </is>
      </c>
      <c r="C2254" t="inlineStr">
        <is>
          <t>State Medicaid</t>
        </is>
      </c>
      <c r="D2254" t="inlineStr">
        <is>
          <t>Emergency</t>
        </is>
      </c>
      <c r="E2254" s="29" t="n">
        <v>45966</v>
      </c>
      <c r="F2254" s="29" t="n">
        <v>45970</v>
      </c>
      <c r="G2254" s="31" t="n">
        <v>4477.44</v>
      </c>
      <c r="H2254" s="31" t="n">
        <v>0</v>
      </c>
      <c r="I2254" t="inlineStr">
        <is>
          <t>Denied</t>
        </is>
      </c>
      <c r="J2254" t="inlineStr">
        <is>
          <t>Authorization Required</t>
        </is>
      </c>
      <c r="L2254" s="33" t="n"/>
    </row>
    <row r="2255">
      <c r="A2255" t="inlineStr">
        <is>
          <t>CLM519932</t>
        </is>
      </c>
      <c r="B2255" t="inlineStr">
        <is>
          <t>ENC119932</t>
        </is>
      </c>
      <c r="C2255" t="inlineStr">
        <is>
          <t>Summit Choice PPO</t>
        </is>
      </c>
      <c r="D2255" t="inlineStr">
        <is>
          <t>Outpatient</t>
        </is>
      </c>
      <c r="E2255" s="29" t="n">
        <v>45966</v>
      </c>
      <c r="F2255" s="29" t="n">
        <v>45974</v>
      </c>
      <c r="G2255" s="31" t="n">
        <v>589.0599999999999</v>
      </c>
      <c r="H2255" s="31" t="n">
        <v>309.88</v>
      </c>
      <c r="I2255" t="inlineStr">
        <is>
          <t>Paid</t>
        </is>
      </c>
      <c r="K2255" s="29" t="n">
        <v>46003</v>
      </c>
      <c r="L2255" s="33" t="n"/>
    </row>
    <row r="2256">
      <c r="A2256" t="inlineStr">
        <is>
          <t>CLM519934</t>
        </is>
      </c>
      <c r="B2256" t="inlineStr">
        <is>
          <t>ENC119934</t>
        </is>
      </c>
      <c r="C2256" t="inlineStr">
        <is>
          <t>Evergreen Mutual Insurance</t>
        </is>
      </c>
      <c r="D2256" t="inlineStr">
        <is>
          <t>Outpatient</t>
        </is>
      </c>
      <c r="E2256" s="29" t="n">
        <v>45966</v>
      </c>
      <c r="F2256" s="29" t="n">
        <v>45970</v>
      </c>
      <c r="G2256" s="31" t="n">
        <v>13833.35</v>
      </c>
      <c r="H2256" s="31" t="n">
        <v>4619.91</v>
      </c>
      <c r="I2256" t="inlineStr">
        <is>
          <t>Paid</t>
        </is>
      </c>
      <c r="K2256" s="29" t="n">
        <v>46001</v>
      </c>
      <c r="L2256" s="33" t="n"/>
    </row>
    <row r="2257">
      <c r="A2257" t="inlineStr">
        <is>
          <t>CLM519951</t>
        </is>
      </c>
      <c r="B2257" t="inlineStr">
        <is>
          <t>ENC119951</t>
        </is>
      </c>
      <c r="C2257" t="inlineStr">
        <is>
          <t>State Medicaid</t>
        </is>
      </c>
      <c r="D2257" t="inlineStr">
        <is>
          <t>Inpatient</t>
        </is>
      </c>
      <c r="E2257" s="29" t="n">
        <v>45968</v>
      </c>
      <c r="F2257" s="29" t="n">
        <v>45969</v>
      </c>
      <c r="G2257" s="31" t="n">
        <v>11939.37</v>
      </c>
      <c r="H2257" s="31" t="n">
        <v>3137.62</v>
      </c>
      <c r="I2257" t="inlineStr">
        <is>
          <t>Paid</t>
        </is>
      </c>
      <c r="K2257" s="29" t="n">
        <v>46001</v>
      </c>
      <c r="L2257" s="33" t="n"/>
    </row>
    <row r="2258">
      <c r="A2258" t="inlineStr">
        <is>
          <t>CLM519953</t>
        </is>
      </c>
      <c r="B2258" t="inlineStr">
        <is>
          <t>ENC119953</t>
        </is>
      </c>
      <c r="C2258" t="inlineStr">
        <is>
          <t>Summit Choice PPO</t>
        </is>
      </c>
      <c r="D2258" t="inlineStr">
        <is>
          <t>Inpatient</t>
        </is>
      </c>
      <c r="E2258" s="29" t="n">
        <v>45968</v>
      </c>
      <c r="F2258" s="29" t="n">
        <v>45970</v>
      </c>
      <c r="G2258" s="31" t="n">
        <v>19295.99</v>
      </c>
      <c r="H2258" s="31" t="n">
        <v>9465.690000000001</v>
      </c>
      <c r="I2258" t="inlineStr">
        <is>
          <t>Paid</t>
        </is>
      </c>
      <c r="K2258" s="29" t="n">
        <v>45986</v>
      </c>
      <c r="L2258" s="33" t="n"/>
    </row>
    <row r="2259">
      <c r="A2259" t="inlineStr">
        <is>
          <t>CLM519954</t>
        </is>
      </c>
      <c r="B2259" t="inlineStr">
        <is>
          <t>ENC119954</t>
        </is>
      </c>
      <c r="C2259" t="inlineStr">
        <is>
          <t>State Medicaid</t>
        </is>
      </c>
      <c r="D2259" t="inlineStr">
        <is>
          <t>Emergency</t>
        </is>
      </c>
      <c r="E2259" s="29" t="n">
        <v>45966</v>
      </c>
      <c r="F2259" s="29" t="n">
        <v>45967</v>
      </c>
      <c r="G2259" s="31" t="n">
        <v>2752.16</v>
      </c>
      <c r="H2259" s="31" t="n">
        <v>505.63</v>
      </c>
      <c r="I2259" t="inlineStr">
        <is>
          <t>Partially Paid</t>
        </is>
      </c>
      <c r="J2259" t="inlineStr">
        <is>
          <t>Missing Documentation</t>
        </is>
      </c>
      <c r="K2259" s="29" t="n">
        <v>46012</v>
      </c>
      <c r="L2259" s="33" t="n"/>
    </row>
    <row r="2260">
      <c r="A2260" t="inlineStr">
        <is>
          <t>CLM519956</t>
        </is>
      </c>
      <c r="B2260" t="inlineStr">
        <is>
          <t>ENC119956</t>
        </is>
      </c>
      <c r="C2260" t="inlineStr">
        <is>
          <t>Keystone Health Partners</t>
        </is>
      </c>
      <c r="D2260" t="inlineStr">
        <is>
          <t>Inpatient</t>
        </is>
      </c>
      <c r="E2260" s="29" t="n">
        <v>45972</v>
      </c>
      <c r="F2260" s="29" t="n">
        <v>45977</v>
      </c>
      <c r="G2260" s="31" t="n">
        <v>87110.78999999999</v>
      </c>
      <c r="H2260" s="31" t="n">
        <v>0</v>
      </c>
      <c r="I2260" t="inlineStr">
        <is>
          <t>Denied</t>
        </is>
      </c>
      <c r="J2260" t="inlineStr">
        <is>
          <t>Medical Necessity</t>
        </is>
      </c>
      <c r="L2260" s="33" t="n"/>
    </row>
    <row r="2261">
      <c r="A2261" t="inlineStr">
        <is>
          <t>CLM519965</t>
        </is>
      </c>
      <c r="B2261" t="inlineStr">
        <is>
          <t>ENC119965</t>
        </is>
      </c>
      <c r="C2261" t="inlineStr">
        <is>
          <t>Silverline Medicare Advantage</t>
        </is>
      </c>
      <c r="D2261" t="inlineStr">
        <is>
          <t>Outpatient</t>
        </is>
      </c>
      <c r="E2261" s="29" t="n">
        <v>45967</v>
      </c>
      <c r="F2261" s="29" t="n">
        <v>45976</v>
      </c>
      <c r="G2261" s="31" t="n">
        <v>130.86</v>
      </c>
      <c r="H2261" s="31" t="n">
        <v>38.08</v>
      </c>
      <c r="I2261" t="inlineStr">
        <is>
          <t>Paid</t>
        </is>
      </c>
      <c r="K2261" s="29" t="n">
        <v>46014</v>
      </c>
      <c r="L2261" s="33" t="n"/>
    </row>
    <row r="2262">
      <c r="A2262" t="inlineStr">
        <is>
          <t>CLM519968</t>
        </is>
      </c>
      <c r="B2262" t="inlineStr">
        <is>
          <t>ENC119968</t>
        </is>
      </c>
      <c r="C2262" t="inlineStr">
        <is>
          <t>Keystone Health Partners</t>
        </is>
      </c>
      <c r="D2262" t="inlineStr">
        <is>
          <t>Inpatient</t>
        </is>
      </c>
      <c r="E2262" s="29" t="n">
        <v>45974</v>
      </c>
      <c r="F2262" s="29" t="n">
        <v>45980</v>
      </c>
      <c r="G2262" s="31" t="n">
        <v>59838.18</v>
      </c>
      <c r="H2262" s="31" t="n">
        <v>10587.81</v>
      </c>
      <c r="I2262" t="inlineStr">
        <is>
          <t>Partially Paid</t>
        </is>
      </c>
      <c r="J2262" t="inlineStr">
        <is>
          <t>Coding Error</t>
        </is>
      </c>
      <c r="K2262" s="29" t="n">
        <v>46005</v>
      </c>
      <c r="L2262" s="33" t="n"/>
    </row>
    <row r="2263">
      <c r="A2263" t="inlineStr">
        <is>
          <t>CLM519969</t>
        </is>
      </c>
      <c r="B2263" t="inlineStr">
        <is>
          <t>ENC119969</t>
        </is>
      </c>
      <c r="C2263" t="inlineStr">
        <is>
          <t>Medicare</t>
        </is>
      </c>
      <c r="D2263" t="inlineStr">
        <is>
          <t>Outpatient</t>
        </is>
      </c>
      <c r="E2263" s="29" t="n">
        <v>45967</v>
      </c>
      <c r="F2263" s="29" t="n">
        <v>45970</v>
      </c>
      <c r="G2263" s="31" t="n">
        <v>275.61</v>
      </c>
      <c r="H2263" s="31" t="n">
        <v>74.67</v>
      </c>
      <c r="I2263" t="inlineStr">
        <is>
          <t>Paid</t>
        </is>
      </c>
      <c r="K2263" s="29" t="n">
        <v>45981</v>
      </c>
      <c r="L2263" s="33" t="n"/>
    </row>
    <row r="2264">
      <c r="A2264" t="inlineStr">
        <is>
          <t>CLM519973</t>
        </is>
      </c>
      <c r="B2264" t="inlineStr">
        <is>
          <t>ENC119973</t>
        </is>
      </c>
      <c r="C2264" t="inlineStr">
        <is>
          <t>Evergreen Mutual Insurance</t>
        </is>
      </c>
      <c r="D2264" t="inlineStr">
        <is>
          <t>Inpatient</t>
        </is>
      </c>
      <c r="E2264" s="29" t="n">
        <v>45971</v>
      </c>
      <c r="F2264" s="29" t="n">
        <v>45989</v>
      </c>
      <c r="G2264" s="31" t="n">
        <v>18362.37</v>
      </c>
      <c r="H2264" s="31" t="n">
        <v>7860.75</v>
      </c>
      <c r="I2264" t="inlineStr">
        <is>
          <t>Paid</t>
        </is>
      </c>
      <c r="K2264" s="29" t="n">
        <v>46017</v>
      </c>
      <c r="L2264" s="33" t="n"/>
    </row>
    <row r="2265">
      <c r="A2265" t="inlineStr">
        <is>
          <t>CLM519977</t>
        </is>
      </c>
      <c r="B2265" t="inlineStr">
        <is>
          <t>ENC119977</t>
        </is>
      </c>
      <c r="C2265" t="inlineStr">
        <is>
          <t>State Medicaid</t>
        </is>
      </c>
      <c r="D2265" t="inlineStr">
        <is>
          <t>Outpatient</t>
        </is>
      </c>
      <c r="E2265" s="29" t="n">
        <v>45967</v>
      </c>
      <c r="F2265" s="29" t="n">
        <v>45976</v>
      </c>
      <c r="G2265" s="31" t="n">
        <v>122.18</v>
      </c>
      <c r="H2265" s="31" t="n">
        <v>29.55</v>
      </c>
      <c r="I2265" t="inlineStr">
        <is>
          <t>Paid</t>
        </is>
      </c>
      <c r="K2265" s="29" t="n">
        <v>46014</v>
      </c>
      <c r="L2265" s="33" t="n"/>
    </row>
    <row r="2266">
      <c r="A2266" t="inlineStr">
        <is>
          <t>CLM519988</t>
        </is>
      </c>
      <c r="B2266" t="inlineStr">
        <is>
          <t>ENC119988</t>
        </is>
      </c>
      <c r="C2266" t="inlineStr">
        <is>
          <t>Summit Choice PPO</t>
        </is>
      </c>
      <c r="D2266" t="inlineStr">
        <is>
          <t>Emergency</t>
        </is>
      </c>
      <c r="E2266" s="29" t="n">
        <v>45967</v>
      </c>
      <c r="F2266" s="29" t="n">
        <v>45969</v>
      </c>
      <c r="G2266" s="31" t="n">
        <v>6868.43</v>
      </c>
      <c r="H2266" s="31" t="n">
        <v>3246.98</v>
      </c>
      <c r="I2266" t="inlineStr">
        <is>
          <t>Paid</t>
        </is>
      </c>
      <c r="K2266" s="29" t="n">
        <v>45989</v>
      </c>
      <c r="L2266" s="33" t="n"/>
    </row>
    <row r="2267">
      <c r="A2267" t="inlineStr">
        <is>
          <t>CLM519989</t>
        </is>
      </c>
      <c r="B2267" t="inlineStr">
        <is>
          <t>ENC119989</t>
        </is>
      </c>
      <c r="C2267" t="inlineStr">
        <is>
          <t>Summit Choice PPO</t>
        </is>
      </c>
      <c r="D2267" t="inlineStr">
        <is>
          <t>Observation</t>
        </is>
      </c>
      <c r="E2267" s="29" t="n">
        <v>45969</v>
      </c>
      <c r="F2267" s="29" t="n">
        <v>45978</v>
      </c>
      <c r="G2267" s="31" t="n">
        <v>6973</v>
      </c>
      <c r="H2267" s="31" t="n">
        <v>0</v>
      </c>
      <c r="I2267" t="inlineStr">
        <is>
          <t>Denied</t>
        </is>
      </c>
      <c r="J2267" t="inlineStr">
        <is>
          <t>Authorization Required</t>
        </is>
      </c>
      <c r="L2267" s="33" t="n"/>
    </row>
    <row r="2268">
      <c r="A2268" t="inlineStr">
        <is>
          <t>CLM520003</t>
        </is>
      </c>
      <c r="B2268" t="inlineStr">
        <is>
          <t>ENC120003</t>
        </is>
      </c>
      <c r="C2268" t="inlineStr">
        <is>
          <t>State Medicaid</t>
        </is>
      </c>
      <c r="D2268" t="inlineStr">
        <is>
          <t>Observation</t>
        </is>
      </c>
      <c r="E2268" s="29" t="n">
        <v>45969</v>
      </c>
      <c r="F2268" s="29" t="n">
        <v>45972</v>
      </c>
      <c r="G2268" s="31" t="n">
        <v>8979.299999999999</v>
      </c>
      <c r="H2268" s="31" t="n">
        <v>2197.71</v>
      </c>
      <c r="I2268" t="inlineStr">
        <is>
          <t>Paid</t>
        </is>
      </c>
      <c r="K2268" s="29" t="n">
        <v>46001</v>
      </c>
      <c r="L2268" s="33" t="n"/>
    </row>
    <row r="2269">
      <c r="A2269" t="inlineStr">
        <is>
          <t>CLM520007</t>
        </is>
      </c>
      <c r="B2269" t="inlineStr">
        <is>
          <t>ENC120007</t>
        </is>
      </c>
      <c r="C2269" t="inlineStr">
        <is>
          <t>State Medicaid</t>
        </is>
      </c>
      <c r="D2269" t="inlineStr">
        <is>
          <t>Inpatient</t>
        </is>
      </c>
      <c r="E2269" s="29" t="n">
        <v>45976</v>
      </c>
      <c r="F2269" s="29" t="n">
        <v>45978</v>
      </c>
      <c r="G2269" s="31" t="n">
        <v>30149.72</v>
      </c>
      <c r="H2269" s="31" t="n">
        <v>5818.63</v>
      </c>
      <c r="I2269" t="inlineStr">
        <is>
          <t>Paid</t>
        </is>
      </c>
      <c r="K2269" s="29" t="n">
        <v>46007</v>
      </c>
      <c r="L2269" s="33" t="n"/>
    </row>
    <row r="2270">
      <c r="A2270" t="inlineStr">
        <is>
          <t>CLM520009</t>
        </is>
      </c>
      <c r="B2270" t="inlineStr">
        <is>
          <t>ENC120009</t>
        </is>
      </c>
      <c r="C2270" t="inlineStr">
        <is>
          <t>Summit Choice PPO</t>
        </is>
      </c>
      <c r="D2270" t="inlineStr">
        <is>
          <t>Inpatient</t>
        </is>
      </c>
      <c r="E2270" s="29" t="n">
        <v>45973</v>
      </c>
      <c r="F2270" s="29" t="n">
        <v>45979</v>
      </c>
      <c r="G2270" s="31" t="n">
        <v>23633.97</v>
      </c>
      <c r="H2270" s="31" t="n">
        <v>11638.4</v>
      </c>
      <c r="I2270" t="inlineStr">
        <is>
          <t>Paid</t>
        </is>
      </c>
      <c r="K2270" s="29" t="n">
        <v>45993</v>
      </c>
      <c r="L2270" s="33" t="n"/>
    </row>
    <row r="2271">
      <c r="A2271" t="inlineStr">
        <is>
          <t>CLM520011</t>
        </is>
      </c>
      <c r="B2271" t="inlineStr">
        <is>
          <t>ENC120011</t>
        </is>
      </c>
      <c r="C2271" t="inlineStr">
        <is>
          <t>Keystone Health Partners</t>
        </is>
      </c>
      <c r="D2271" t="inlineStr">
        <is>
          <t>Inpatient</t>
        </is>
      </c>
      <c r="E2271" s="29" t="n">
        <v>45972</v>
      </c>
      <c r="F2271" s="29" t="n">
        <v>45973</v>
      </c>
      <c r="G2271" s="31" t="n">
        <v>20820.36</v>
      </c>
      <c r="H2271" s="31" t="n">
        <v>9846.57</v>
      </c>
      <c r="I2271" t="inlineStr">
        <is>
          <t>Paid</t>
        </is>
      </c>
      <c r="K2271" s="29" t="n">
        <v>45997</v>
      </c>
      <c r="L2271" s="33" t="n"/>
    </row>
    <row r="2272">
      <c r="A2272" t="inlineStr">
        <is>
          <t>CLM520012</t>
        </is>
      </c>
      <c r="B2272" t="inlineStr">
        <is>
          <t>ENC120012</t>
        </is>
      </c>
      <c r="C2272" t="inlineStr">
        <is>
          <t>Summit Choice PPO</t>
        </is>
      </c>
      <c r="D2272" t="inlineStr">
        <is>
          <t>Inpatient</t>
        </is>
      </c>
      <c r="E2272" s="29" t="n">
        <v>45972</v>
      </c>
      <c r="F2272" s="29" t="n">
        <v>45975</v>
      </c>
      <c r="G2272" s="31" t="n">
        <v>48517.39</v>
      </c>
      <c r="H2272" s="31" t="n">
        <v>22170.07</v>
      </c>
      <c r="I2272" t="inlineStr">
        <is>
          <t>Paid</t>
        </is>
      </c>
      <c r="K2272" s="29" t="n">
        <v>45996</v>
      </c>
      <c r="L2272" s="33" t="n"/>
    </row>
    <row r="2273">
      <c r="A2273" t="inlineStr">
        <is>
          <t>CLM520014</t>
        </is>
      </c>
      <c r="B2273" t="inlineStr">
        <is>
          <t>ENC120014</t>
        </is>
      </c>
      <c r="C2273" t="inlineStr">
        <is>
          <t>State Medicaid</t>
        </is>
      </c>
      <c r="D2273" t="inlineStr">
        <is>
          <t>Observation</t>
        </is>
      </c>
      <c r="E2273" s="29" t="n">
        <v>45970</v>
      </c>
      <c r="F2273" s="29" t="n">
        <v>45973</v>
      </c>
      <c r="G2273" s="31" t="n">
        <v>7623.06</v>
      </c>
      <c r="H2273" s="31" t="n">
        <v>1755.93</v>
      </c>
      <c r="I2273" t="inlineStr">
        <is>
          <t>Paid</t>
        </is>
      </c>
      <c r="K2273" s="29" t="n">
        <v>45988</v>
      </c>
      <c r="L2273" s="33" t="n"/>
    </row>
    <row r="2274">
      <c r="A2274" t="inlineStr">
        <is>
          <t>CLM520023</t>
        </is>
      </c>
      <c r="B2274" t="inlineStr">
        <is>
          <t>ENC120023</t>
        </is>
      </c>
      <c r="C2274" t="inlineStr">
        <is>
          <t>Self-Pay</t>
        </is>
      </c>
      <c r="D2274" t="inlineStr">
        <is>
          <t>Emergency</t>
        </is>
      </c>
      <c r="E2274" s="29" t="n">
        <v>45969</v>
      </c>
      <c r="F2274" s="29" t="n">
        <v>45974</v>
      </c>
      <c r="G2274" s="31" t="n">
        <v>1322.9</v>
      </c>
      <c r="H2274" s="31" t="n">
        <v>232.45</v>
      </c>
      <c r="I2274" t="inlineStr">
        <is>
          <t>Partially Paid</t>
        </is>
      </c>
      <c r="K2274" s="29" t="n">
        <v>46012</v>
      </c>
      <c r="L2274" s="33" t="n"/>
    </row>
    <row r="2275">
      <c r="A2275" t="inlineStr">
        <is>
          <t>CLM520024</t>
        </is>
      </c>
      <c r="B2275" t="inlineStr">
        <is>
          <t>ENC120024</t>
        </is>
      </c>
      <c r="C2275" t="inlineStr">
        <is>
          <t>Silverline Medicare Advantage</t>
        </is>
      </c>
      <c r="D2275" t="inlineStr">
        <is>
          <t>Inpatient</t>
        </is>
      </c>
      <c r="E2275" s="29" t="n">
        <v>45974</v>
      </c>
      <c r="F2275" s="29" t="n">
        <v>45976</v>
      </c>
      <c r="G2275" s="31" t="n">
        <v>29291.28</v>
      </c>
      <c r="H2275" s="31" t="n">
        <v>9172.23</v>
      </c>
      <c r="I2275" t="inlineStr">
        <is>
          <t>Paid</t>
        </is>
      </c>
      <c r="K2275" s="29" t="n">
        <v>45991</v>
      </c>
      <c r="L2275" s="33" t="n"/>
    </row>
    <row r="2276">
      <c r="A2276" t="inlineStr">
        <is>
          <t>CLM520029</t>
        </is>
      </c>
      <c r="B2276" t="inlineStr">
        <is>
          <t>ENC120029</t>
        </is>
      </c>
      <c r="C2276" t="inlineStr">
        <is>
          <t>Summit Choice PPO</t>
        </is>
      </c>
      <c r="D2276" t="inlineStr">
        <is>
          <t>Emergency</t>
        </is>
      </c>
      <c r="E2276" s="29" t="n">
        <v>45969</v>
      </c>
      <c r="F2276" s="29" t="n">
        <v>45979</v>
      </c>
      <c r="G2276" s="31" t="n">
        <v>2430.38</v>
      </c>
      <c r="H2276" s="31" t="n">
        <v>1038.38</v>
      </c>
      <c r="I2276" t="inlineStr">
        <is>
          <t>Paid</t>
        </is>
      </c>
      <c r="K2276" s="29" t="n">
        <v>45991</v>
      </c>
      <c r="L2276" s="33" t="n"/>
    </row>
    <row r="2277">
      <c r="A2277" t="inlineStr">
        <is>
          <t>CLM520031</t>
        </is>
      </c>
      <c r="B2277" t="inlineStr">
        <is>
          <t>ENC120031</t>
        </is>
      </c>
      <c r="C2277" t="inlineStr">
        <is>
          <t>Medicare</t>
        </is>
      </c>
      <c r="D2277" t="inlineStr">
        <is>
          <t>Emergency</t>
        </is>
      </c>
      <c r="E2277" s="29" t="n">
        <v>45969</v>
      </c>
      <c r="F2277" s="29" t="n">
        <v>45971</v>
      </c>
      <c r="G2277" s="31" t="n">
        <v>2294.77</v>
      </c>
      <c r="H2277" s="31" t="n">
        <v>650.1</v>
      </c>
      <c r="I2277" t="inlineStr">
        <is>
          <t>Paid</t>
        </is>
      </c>
      <c r="K2277" s="29" t="n">
        <v>45983</v>
      </c>
      <c r="L2277" s="33" t="n"/>
    </row>
    <row r="2278">
      <c r="A2278" t="inlineStr">
        <is>
          <t>CLM520032</t>
        </is>
      </c>
      <c r="B2278" t="inlineStr">
        <is>
          <t>ENC120032</t>
        </is>
      </c>
      <c r="C2278" t="inlineStr">
        <is>
          <t>Silverline Medicare Advantage</t>
        </is>
      </c>
      <c r="D2278" t="inlineStr">
        <is>
          <t>Inpatient</t>
        </is>
      </c>
      <c r="E2278" s="29" t="n">
        <v>45979</v>
      </c>
      <c r="F2278" s="29" t="n">
        <v>45984</v>
      </c>
      <c r="G2278" s="31" t="n">
        <v>53222.14</v>
      </c>
      <c r="H2278" s="31" t="n">
        <v>0</v>
      </c>
      <c r="I2278" t="inlineStr">
        <is>
          <t>Pending</t>
        </is>
      </c>
      <c r="L2278" s="33" t="n"/>
    </row>
    <row r="2279">
      <c r="A2279" t="inlineStr">
        <is>
          <t>CLM520037</t>
        </is>
      </c>
      <c r="B2279" t="inlineStr">
        <is>
          <t>ENC120037</t>
        </is>
      </c>
      <c r="C2279" t="inlineStr">
        <is>
          <t>Self-Pay</t>
        </is>
      </c>
      <c r="D2279" t="inlineStr">
        <is>
          <t>Emergency</t>
        </is>
      </c>
      <c r="E2279" s="29" t="n">
        <v>45970</v>
      </c>
      <c r="F2279" s="29" t="n">
        <v>45972</v>
      </c>
      <c r="G2279" s="31" t="n">
        <v>3874.8</v>
      </c>
      <c r="H2279" s="31" t="n">
        <v>0</v>
      </c>
      <c r="I2279" t="inlineStr">
        <is>
          <t>Pending</t>
        </is>
      </c>
      <c r="L2279" s="33" t="n"/>
    </row>
    <row r="2280">
      <c r="A2280" t="inlineStr">
        <is>
          <t>CLM520042</t>
        </is>
      </c>
      <c r="B2280" t="inlineStr">
        <is>
          <t>ENC120042</t>
        </is>
      </c>
      <c r="C2280" t="inlineStr">
        <is>
          <t>Silverline Medicare Advantage</t>
        </is>
      </c>
      <c r="D2280" t="inlineStr">
        <is>
          <t>Inpatient</t>
        </is>
      </c>
      <c r="E2280" s="29" t="n">
        <v>45973</v>
      </c>
      <c r="F2280" s="29" t="n">
        <v>45980</v>
      </c>
      <c r="G2280" s="31" t="n">
        <v>26807.81</v>
      </c>
      <c r="H2280" s="31" t="n">
        <v>0</v>
      </c>
      <c r="I2280" t="inlineStr">
        <is>
          <t>Pending</t>
        </is>
      </c>
      <c r="L2280" s="33" t="n"/>
    </row>
    <row r="2281">
      <c r="A2281" t="inlineStr">
        <is>
          <t>CLM520044</t>
        </is>
      </c>
      <c r="B2281" t="inlineStr">
        <is>
          <t>ENC120044</t>
        </is>
      </c>
      <c r="C2281" t="inlineStr">
        <is>
          <t>State Medicaid</t>
        </is>
      </c>
      <c r="D2281" t="inlineStr">
        <is>
          <t>Observation</t>
        </is>
      </c>
      <c r="E2281" s="29" t="n">
        <v>45971</v>
      </c>
      <c r="F2281" s="29" t="n">
        <v>45972</v>
      </c>
      <c r="G2281" s="31" t="n">
        <v>7965.37</v>
      </c>
      <c r="H2281" s="31" t="n">
        <v>1906.74</v>
      </c>
      <c r="I2281" t="inlineStr">
        <is>
          <t>Paid</t>
        </is>
      </c>
      <c r="K2281" s="29" t="n">
        <v>46003</v>
      </c>
      <c r="L2281" s="33" t="n"/>
    </row>
    <row r="2282">
      <c r="A2282" t="inlineStr">
        <is>
          <t>CLM520045</t>
        </is>
      </c>
      <c r="B2282" t="inlineStr">
        <is>
          <t>ENC120045</t>
        </is>
      </c>
      <c r="C2282" t="inlineStr">
        <is>
          <t>State Medicaid</t>
        </is>
      </c>
      <c r="D2282" t="inlineStr">
        <is>
          <t>Inpatient</t>
        </is>
      </c>
      <c r="E2282" s="29" t="n">
        <v>45974</v>
      </c>
      <c r="F2282" s="29" t="n">
        <v>45976</v>
      </c>
      <c r="G2282" s="31" t="n">
        <v>13734.68</v>
      </c>
      <c r="H2282" s="31" t="n">
        <v>3133.42</v>
      </c>
      <c r="I2282" t="inlineStr">
        <is>
          <t>Paid</t>
        </is>
      </c>
      <c r="K2282" s="29" t="n">
        <v>46004</v>
      </c>
      <c r="L2282" s="33" t="n"/>
    </row>
    <row r="2283">
      <c r="A2283" t="inlineStr">
        <is>
          <t>CLM520046</t>
        </is>
      </c>
      <c r="B2283" t="inlineStr">
        <is>
          <t>ENC120046</t>
        </is>
      </c>
      <c r="C2283" t="inlineStr">
        <is>
          <t>Summit Choice PPO</t>
        </is>
      </c>
      <c r="D2283" t="inlineStr">
        <is>
          <t>Emergency</t>
        </is>
      </c>
      <c r="E2283" s="29" t="n">
        <v>45970</v>
      </c>
      <c r="F2283" s="29" t="n">
        <v>45976</v>
      </c>
      <c r="G2283" s="31" t="n">
        <v>652.62</v>
      </c>
      <c r="H2283" s="31" t="n">
        <v>297.32</v>
      </c>
      <c r="I2283" t="inlineStr">
        <is>
          <t>Paid</t>
        </is>
      </c>
      <c r="K2283" s="29" t="n">
        <v>45988</v>
      </c>
      <c r="L2283" s="33" t="n"/>
    </row>
    <row r="2284">
      <c r="A2284" t="inlineStr">
        <is>
          <t>CLM520051</t>
        </is>
      </c>
      <c r="B2284" t="inlineStr">
        <is>
          <t>ENC120051</t>
        </is>
      </c>
      <c r="C2284" t="inlineStr">
        <is>
          <t>Medicare</t>
        </is>
      </c>
      <c r="D2284" t="inlineStr">
        <is>
          <t>Inpatient</t>
        </is>
      </c>
      <c r="E2284" s="29" t="n">
        <v>45975</v>
      </c>
      <c r="F2284" s="29" t="n">
        <v>45979</v>
      </c>
      <c r="G2284" s="31" t="n">
        <v>19977.46</v>
      </c>
      <c r="H2284" s="31" t="n">
        <v>5259.51</v>
      </c>
      <c r="I2284" t="inlineStr">
        <is>
          <t>Paid</t>
        </is>
      </c>
      <c r="K2284" s="29" t="n">
        <v>45987</v>
      </c>
      <c r="L2284" s="33" t="n"/>
    </row>
    <row r="2285">
      <c r="A2285" t="inlineStr">
        <is>
          <t>CLM520053</t>
        </is>
      </c>
      <c r="B2285" t="inlineStr">
        <is>
          <t>ENC120053</t>
        </is>
      </c>
      <c r="C2285" t="inlineStr">
        <is>
          <t>Medicare</t>
        </is>
      </c>
      <c r="D2285" t="inlineStr">
        <is>
          <t>Inpatient</t>
        </is>
      </c>
      <c r="E2285" s="29" t="n">
        <v>45972</v>
      </c>
      <c r="F2285" s="29" t="n">
        <v>45973</v>
      </c>
      <c r="G2285" s="31" t="n">
        <v>12837.92</v>
      </c>
      <c r="H2285" s="31" t="n">
        <v>3354.86</v>
      </c>
      <c r="I2285" t="inlineStr">
        <is>
          <t>Paid</t>
        </is>
      </c>
      <c r="K2285" s="29" t="n">
        <v>45987</v>
      </c>
      <c r="L2285" s="33" t="n"/>
    </row>
    <row r="2286">
      <c r="A2286" t="inlineStr">
        <is>
          <t>CLM520054</t>
        </is>
      </c>
      <c r="B2286" t="inlineStr">
        <is>
          <t>ENC120054</t>
        </is>
      </c>
      <c r="C2286" t="inlineStr">
        <is>
          <t>Evergreen Mutual Insurance</t>
        </is>
      </c>
      <c r="D2286" t="inlineStr">
        <is>
          <t>Inpatient</t>
        </is>
      </c>
      <c r="E2286" s="29" t="n">
        <v>45975</v>
      </c>
      <c r="F2286" s="29" t="n">
        <v>45988</v>
      </c>
      <c r="G2286" s="31" t="n">
        <v>26695.91</v>
      </c>
      <c r="H2286" s="31" t="n">
        <v>5485.23</v>
      </c>
      <c r="I2286" t="inlineStr">
        <is>
          <t>Partially Paid</t>
        </is>
      </c>
      <c r="J2286" t="inlineStr">
        <is>
          <t>Coding Error</t>
        </is>
      </c>
      <c r="K2286" s="29" t="n">
        <v>46011</v>
      </c>
      <c r="L2286" s="33" t="n"/>
    </row>
    <row r="2287">
      <c r="A2287" t="inlineStr">
        <is>
          <t>CLM520055</t>
        </is>
      </c>
      <c r="B2287" t="inlineStr">
        <is>
          <t>ENC120055</t>
        </is>
      </c>
      <c r="C2287" t="inlineStr">
        <is>
          <t>Silverline Medicare Advantage</t>
        </is>
      </c>
      <c r="D2287" t="inlineStr">
        <is>
          <t>Inpatient</t>
        </is>
      </c>
      <c r="E2287" s="29" t="n">
        <v>45973</v>
      </c>
      <c r="F2287" s="29" t="n">
        <v>45976</v>
      </c>
      <c r="G2287" s="31" t="n">
        <v>89046.84</v>
      </c>
      <c r="H2287" s="31" t="n">
        <v>0</v>
      </c>
      <c r="I2287" t="inlineStr">
        <is>
          <t>Pending</t>
        </is>
      </c>
      <c r="L2287" s="33" t="n"/>
    </row>
    <row r="2288">
      <c r="A2288" t="inlineStr">
        <is>
          <t>CLM520060</t>
        </is>
      </c>
      <c r="B2288" t="inlineStr">
        <is>
          <t>ENC120060</t>
        </is>
      </c>
      <c r="C2288" t="inlineStr">
        <is>
          <t>Keystone Health Partners</t>
        </is>
      </c>
      <c r="D2288" t="inlineStr">
        <is>
          <t>Emergency</t>
        </is>
      </c>
      <c r="E2288" s="29" t="n">
        <v>45971</v>
      </c>
      <c r="F2288" s="29" t="n">
        <v>45977</v>
      </c>
      <c r="G2288" s="31" t="n">
        <v>3035.54</v>
      </c>
      <c r="H2288" s="31" t="n">
        <v>1294.88</v>
      </c>
      <c r="I2288" t="inlineStr">
        <is>
          <t>Paid</t>
        </is>
      </c>
      <c r="K2288" s="29" t="n">
        <v>46012</v>
      </c>
      <c r="L2288" s="33" t="n"/>
    </row>
    <row r="2289">
      <c r="A2289" t="inlineStr">
        <is>
          <t>CLM520081</t>
        </is>
      </c>
      <c r="B2289" t="inlineStr">
        <is>
          <t>ENC120081</t>
        </is>
      </c>
      <c r="C2289" t="inlineStr">
        <is>
          <t>Keystone Health Partners</t>
        </is>
      </c>
      <c r="D2289" t="inlineStr">
        <is>
          <t>Outpatient</t>
        </is>
      </c>
      <c r="E2289" s="29" t="n">
        <v>45971</v>
      </c>
      <c r="F2289" s="29" t="n">
        <v>45973</v>
      </c>
      <c r="G2289" s="31" t="n">
        <v>388.26</v>
      </c>
      <c r="H2289" s="31" t="n">
        <v>191.92</v>
      </c>
      <c r="I2289" t="inlineStr">
        <is>
          <t>Paid</t>
        </is>
      </c>
      <c r="K2289" s="29" t="n">
        <v>45989</v>
      </c>
      <c r="L2289" s="33" t="n"/>
    </row>
    <row r="2290">
      <c r="A2290" t="inlineStr">
        <is>
          <t>CLM520082</t>
        </is>
      </c>
      <c r="B2290" t="inlineStr">
        <is>
          <t>ENC120082</t>
        </is>
      </c>
      <c r="C2290" t="inlineStr">
        <is>
          <t>Keystone Health Partners</t>
        </is>
      </c>
      <c r="D2290" t="inlineStr">
        <is>
          <t>Emergency</t>
        </is>
      </c>
      <c r="E2290" s="29" t="n">
        <v>45971</v>
      </c>
      <c r="F2290" s="29" t="n">
        <v>45974</v>
      </c>
      <c r="G2290" s="31" t="n">
        <v>1491.38</v>
      </c>
      <c r="H2290" s="31" t="n">
        <v>682.84</v>
      </c>
      <c r="I2290" t="inlineStr">
        <is>
          <t>Paid</t>
        </is>
      </c>
      <c r="K2290" s="29" t="n">
        <v>45985</v>
      </c>
      <c r="L2290" s="33" t="n"/>
    </row>
    <row r="2291">
      <c r="A2291" t="inlineStr">
        <is>
          <t>CLM520088</t>
        </is>
      </c>
      <c r="B2291" t="inlineStr">
        <is>
          <t>ENC120088</t>
        </is>
      </c>
      <c r="C2291" t="inlineStr">
        <is>
          <t>Medicare</t>
        </is>
      </c>
      <c r="D2291" t="inlineStr">
        <is>
          <t>Inpatient</t>
        </is>
      </c>
      <c r="E2291" s="29" t="n">
        <v>45994</v>
      </c>
      <c r="F2291" s="29" t="n">
        <v>45999</v>
      </c>
      <c r="G2291" s="31" t="n">
        <v>80275.45</v>
      </c>
      <c r="H2291" s="31" t="n">
        <v>21411.09</v>
      </c>
      <c r="I2291" t="inlineStr">
        <is>
          <t>Paid</t>
        </is>
      </c>
      <c r="K2291" s="29" t="n">
        <v>46019</v>
      </c>
      <c r="L2291" s="33" t="n"/>
    </row>
    <row r="2292">
      <c r="A2292" t="inlineStr">
        <is>
          <t>CLM520094</t>
        </is>
      </c>
      <c r="B2292" t="inlineStr">
        <is>
          <t>ENC120094</t>
        </is>
      </c>
      <c r="C2292" t="inlineStr">
        <is>
          <t>State Medicaid</t>
        </is>
      </c>
      <c r="D2292" t="inlineStr">
        <is>
          <t>Emergency</t>
        </is>
      </c>
      <c r="E2292" s="29" t="n">
        <v>45971</v>
      </c>
      <c r="F2292" s="29" t="n">
        <v>45973</v>
      </c>
      <c r="G2292" s="31" t="n">
        <v>4333.7</v>
      </c>
      <c r="H2292" s="31" t="n">
        <v>893.27</v>
      </c>
      <c r="I2292" t="inlineStr">
        <is>
          <t>Paid</t>
        </is>
      </c>
      <c r="K2292" s="29" t="n">
        <v>46012</v>
      </c>
      <c r="L2292" s="33" t="n"/>
    </row>
    <row r="2293">
      <c r="A2293" t="inlineStr">
        <is>
          <t>CLM520100</t>
        </is>
      </c>
      <c r="B2293" t="inlineStr">
        <is>
          <t>ENC120100</t>
        </is>
      </c>
      <c r="C2293" t="inlineStr">
        <is>
          <t>Medicare</t>
        </is>
      </c>
      <c r="D2293" t="inlineStr">
        <is>
          <t>Inpatient</t>
        </is>
      </c>
      <c r="E2293" s="29" t="n">
        <v>45976</v>
      </c>
      <c r="F2293" s="29" t="n">
        <v>45979</v>
      </c>
      <c r="G2293" s="31" t="n">
        <v>31058.6</v>
      </c>
      <c r="H2293" s="31" t="n">
        <v>9200.809999999999</v>
      </c>
      <c r="I2293" t="inlineStr">
        <is>
          <t>Paid</t>
        </is>
      </c>
      <c r="K2293" s="29" t="n">
        <v>46004</v>
      </c>
      <c r="L2293" s="33" t="n"/>
    </row>
    <row r="2294">
      <c r="A2294" t="inlineStr">
        <is>
          <t>CLM520103</t>
        </is>
      </c>
      <c r="B2294" t="inlineStr">
        <is>
          <t>ENC120103</t>
        </is>
      </c>
      <c r="C2294" t="inlineStr">
        <is>
          <t>Medicare</t>
        </is>
      </c>
      <c r="D2294" t="inlineStr">
        <is>
          <t>Inpatient</t>
        </is>
      </c>
      <c r="E2294" s="29" t="n">
        <v>45973</v>
      </c>
      <c r="F2294" s="29" t="n">
        <v>45977</v>
      </c>
      <c r="G2294" s="31" t="n">
        <v>49661.81</v>
      </c>
      <c r="H2294" s="31" t="n">
        <v>14954.17</v>
      </c>
      <c r="I2294" t="inlineStr">
        <is>
          <t>Paid</t>
        </is>
      </c>
      <c r="K2294" s="29" t="n">
        <v>45988</v>
      </c>
      <c r="L2294" s="33" t="n"/>
    </row>
    <row r="2295">
      <c r="A2295" t="inlineStr">
        <is>
          <t>CLM520104</t>
        </is>
      </c>
      <c r="B2295" t="inlineStr">
        <is>
          <t>ENC120104</t>
        </is>
      </c>
      <c r="C2295" t="inlineStr">
        <is>
          <t>Keystone Health Partners</t>
        </is>
      </c>
      <c r="D2295" t="inlineStr">
        <is>
          <t>Outpatient</t>
        </is>
      </c>
      <c r="E2295" s="29" t="n">
        <v>45972</v>
      </c>
      <c r="F2295" s="29" t="n">
        <v>45974</v>
      </c>
      <c r="G2295" s="31" t="n">
        <v>212.35</v>
      </c>
      <c r="H2295" s="31" t="n">
        <v>95.66</v>
      </c>
      <c r="I2295" t="inlineStr">
        <is>
          <t>Paid</t>
        </is>
      </c>
      <c r="K2295" s="29" t="n">
        <v>46002</v>
      </c>
      <c r="L2295" s="33" t="n"/>
    </row>
    <row r="2296">
      <c r="A2296" t="inlineStr">
        <is>
          <t>CLM520105</t>
        </is>
      </c>
      <c r="B2296" t="inlineStr">
        <is>
          <t>ENC120105</t>
        </is>
      </c>
      <c r="C2296" t="inlineStr">
        <is>
          <t>Silverline Medicare Advantage</t>
        </is>
      </c>
      <c r="D2296" t="inlineStr">
        <is>
          <t>Outpatient</t>
        </is>
      </c>
      <c r="E2296" s="29" t="n">
        <v>45972</v>
      </c>
      <c r="F2296" s="29" t="n">
        <v>45975</v>
      </c>
      <c r="G2296" s="31" t="n">
        <v>305.44</v>
      </c>
      <c r="H2296" s="31" t="n">
        <v>111.42</v>
      </c>
      <c r="I2296" t="inlineStr">
        <is>
          <t>Paid</t>
        </is>
      </c>
      <c r="K2296" s="29" t="n">
        <v>46008</v>
      </c>
      <c r="L2296" s="33" t="n"/>
    </row>
    <row r="2297">
      <c r="A2297" t="inlineStr">
        <is>
          <t>CLM520114</t>
        </is>
      </c>
      <c r="B2297" t="inlineStr">
        <is>
          <t>ENC120114</t>
        </is>
      </c>
      <c r="C2297" t="inlineStr">
        <is>
          <t>Medicare</t>
        </is>
      </c>
      <c r="D2297" t="inlineStr">
        <is>
          <t>Inpatient</t>
        </is>
      </c>
      <c r="E2297" s="29" t="n">
        <v>45981</v>
      </c>
      <c r="F2297" s="29" t="n">
        <v>45987</v>
      </c>
      <c r="G2297" s="31" t="n">
        <v>118837.48</v>
      </c>
      <c r="H2297" s="31" t="n">
        <v>36613.99</v>
      </c>
      <c r="I2297" t="inlineStr">
        <is>
          <t>Paid</t>
        </is>
      </c>
      <c r="K2297" s="29" t="n">
        <v>46003</v>
      </c>
      <c r="L2297" s="33" t="n"/>
    </row>
    <row r="2298">
      <c r="A2298" t="inlineStr">
        <is>
          <t>CLM520124</t>
        </is>
      </c>
      <c r="B2298" t="inlineStr">
        <is>
          <t>ENC120124</t>
        </is>
      </c>
      <c r="C2298" t="inlineStr">
        <is>
          <t>Keystone Health Partners</t>
        </is>
      </c>
      <c r="D2298" t="inlineStr">
        <is>
          <t>Emergency</t>
        </is>
      </c>
      <c r="E2298" s="29" t="n">
        <v>45972</v>
      </c>
      <c r="F2298" s="29" t="n">
        <v>45978</v>
      </c>
      <c r="G2298" s="31" t="n">
        <v>811.39</v>
      </c>
      <c r="H2298" s="31" t="n">
        <v>413.32</v>
      </c>
      <c r="I2298" t="inlineStr">
        <is>
          <t>Paid</t>
        </is>
      </c>
      <c r="K2298" s="29" t="n">
        <v>46004</v>
      </c>
      <c r="L2298" s="33" t="n"/>
    </row>
    <row r="2299">
      <c r="A2299" t="inlineStr">
        <is>
          <t>CLM520125</t>
        </is>
      </c>
      <c r="B2299" t="inlineStr">
        <is>
          <t>ENC120125</t>
        </is>
      </c>
      <c r="C2299" t="inlineStr">
        <is>
          <t>Medicare</t>
        </is>
      </c>
      <c r="D2299" t="inlineStr">
        <is>
          <t>Outpatient</t>
        </is>
      </c>
      <c r="E2299" s="29" t="n">
        <v>45972</v>
      </c>
      <c r="F2299" s="29" t="n">
        <v>45976</v>
      </c>
      <c r="G2299" s="31" t="n">
        <v>313.42</v>
      </c>
      <c r="H2299" s="31" t="n">
        <v>81.04000000000001</v>
      </c>
      <c r="I2299" t="inlineStr">
        <is>
          <t>Paid</t>
        </is>
      </c>
      <c r="K2299" s="29" t="n">
        <v>45990</v>
      </c>
      <c r="L2299" s="33" t="n"/>
    </row>
    <row r="2300">
      <c r="A2300" t="inlineStr">
        <is>
          <t>CLM520126</t>
        </is>
      </c>
      <c r="B2300" t="inlineStr">
        <is>
          <t>ENC120126</t>
        </is>
      </c>
      <c r="C2300" t="inlineStr">
        <is>
          <t>Medicare</t>
        </is>
      </c>
      <c r="D2300" t="inlineStr">
        <is>
          <t>Outpatient</t>
        </is>
      </c>
      <c r="E2300" s="29" t="n">
        <v>45972</v>
      </c>
      <c r="F2300" s="29" t="n">
        <v>45978</v>
      </c>
      <c r="G2300" s="31" t="n">
        <v>294.81</v>
      </c>
      <c r="H2300" s="31" t="n">
        <v>86.33</v>
      </c>
      <c r="I2300" t="inlineStr">
        <is>
          <t>Paid</t>
        </is>
      </c>
      <c r="K2300" s="29" t="n">
        <v>45998</v>
      </c>
      <c r="L2300" s="33" t="n"/>
    </row>
    <row r="2301">
      <c r="A2301" t="inlineStr">
        <is>
          <t>CLM520131</t>
        </is>
      </c>
      <c r="B2301" t="inlineStr">
        <is>
          <t>ENC120131</t>
        </is>
      </c>
      <c r="C2301" t="inlineStr">
        <is>
          <t>Silverline Medicare Advantage</t>
        </is>
      </c>
      <c r="D2301" t="inlineStr">
        <is>
          <t>Outpatient</t>
        </is>
      </c>
      <c r="E2301" s="29" t="n">
        <v>45972</v>
      </c>
      <c r="F2301" s="29" t="n">
        <v>45976</v>
      </c>
      <c r="G2301" s="31" t="n">
        <v>13864.16</v>
      </c>
      <c r="H2301" s="31" t="n">
        <v>3881.97</v>
      </c>
      <c r="I2301" t="inlineStr">
        <is>
          <t>Paid</t>
        </is>
      </c>
      <c r="K2301" s="29" t="n">
        <v>46002</v>
      </c>
      <c r="L2301" s="33" t="n"/>
    </row>
    <row r="2302">
      <c r="A2302" t="inlineStr">
        <is>
          <t>CLM520139</t>
        </is>
      </c>
      <c r="B2302" t="inlineStr">
        <is>
          <t>ENC120139</t>
        </is>
      </c>
      <c r="C2302" t="inlineStr">
        <is>
          <t>Silverline Medicare Advantage</t>
        </is>
      </c>
      <c r="D2302" t="inlineStr">
        <is>
          <t>Inpatient</t>
        </is>
      </c>
      <c r="E2302" s="29" t="n">
        <v>45975</v>
      </c>
      <c r="F2302" s="29" t="n">
        <v>45977</v>
      </c>
      <c r="G2302" s="31" t="n">
        <v>8303.68</v>
      </c>
      <c r="H2302" s="31" t="n">
        <v>2467.44</v>
      </c>
      <c r="I2302" t="inlineStr">
        <is>
          <t>Paid</t>
        </is>
      </c>
      <c r="K2302" s="29" t="n">
        <v>46002</v>
      </c>
      <c r="L2302" s="33" t="n"/>
    </row>
    <row r="2303">
      <c r="A2303" t="inlineStr">
        <is>
          <t>CLM520152</t>
        </is>
      </c>
      <c r="B2303" t="inlineStr">
        <is>
          <t>ENC120152</t>
        </is>
      </c>
      <c r="C2303" t="inlineStr">
        <is>
          <t>Evergreen Mutual Insurance</t>
        </is>
      </c>
      <c r="D2303" t="inlineStr">
        <is>
          <t>Emergency</t>
        </is>
      </c>
      <c r="E2303" s="29" t="n">
        <v>45973</v>
      </c>
      <c r="F2303" s="29" t="n">
        <v>45977</v>
      </c>
      <c r="G2303" s="31" t="n">
        <v>3759.52</v>
      </c>
      <c r="H2303" s="31" t="n">
        <v>0</v>
      </c>
      <c r="I2303" t="inlineStr">
        <is>
          <t>Denied</t>
        </is>
      </c>
      <c r="J2303" t="inlineStr">
        <is>
          <t>Medical Necessity</t>
        </is>
      </c>
      <c r="L2303" s="33" t="n"/>
    </row>
    <row r="2304">
      <c r="A2304" t="inlineStr">
        <is>
          <t>CLM520154</t>
        </is>
      </c>
      <c r="B2304" t="inlineStr">
        <is>
          <t>ENC120154</t>
        </is>
      </c>
      <c r="C2304" t="inlineStr">
        <is>
          <t>Medicare</t>
        </is>
      </c>
      <c r="D2304" t="inlineStr">
        <is>
          <t>Emergency</t>
        </is>
      </c>
      <c r="E2304" s="29" t="n">
        <v>45973</v>
      </c>
      <c r="F2304" s="29" t="n">
        <v>45983</v>
      </c>
      <c r="G2304" s="31" t="n">
        <v>3991.17</v>
      </c>
      <c r="H2304" s="31" t="n">
        <v>1062.77</v>
      </c>
      <c r="I2304" t="inlineStr">
        <is>
          <t>Paid</t>
        </is>
      </c>
      <c r="K2304" s="29" t="n">
        <v>46013</v>
      </c>
      <c r="L2304" s="33" t="n"/>
    </row>
    <row r="2305">
      <c r="A2305" t="inlineStr">
        <is>
          <t>CLM520156</t>
        </is>
      </c>
      <c r="B2305" t="inlineStr">
        <is>
          <t>ENC120156</t>
        </is>
      </c>
      <c r="C2305" t="inlineStr">
        <is>
          <t>Summit Choice PPO</t>
        </is>
      </c>
      <c r="D2305" t="inlineStr">
        <is>
          <t>Outpatient</t>
        </is>
      </c>
      <c r="E2305" s="29" t="n">
        <v>45973</v>
      </c>
      <c r="F2305" s="29" t="n">
        <v>45979</v>
      </c>
      <c r="G2305" s="31" t="n">
        <v>106.73</v>
      </c>
      <c r="H2305" s="31" t="n">
        <v>51.89</v>
      </c>
      <c r="I2305" t="inlineStr">
        <is>
          <t>Paid</t>
        </is>
      </c>
      <c r="K2305" s="29" t="n">
        <v>46006</v>
      </c>
      <c r="L2305" s="33" t="n"/>
    </row>
    <row r="2306">
      <c r="A2306" t="inlineStr">
        <is>
          <t>CLM520162</t>
        </is>
      </c>
      <c r="B2306" t="inlineStr">
        <is>
          <t>ENC120162</t>
        </is>
      </c>
      <c r="C2306" t="inlineStr">
        <is>
          <t>Medicare</t>
        </is>
      </c>
      <c r="D2306" t="inlineStr">
        <is>
          <t>Inpatient</t>
        </is>
      </c>
      <c r="E2306" s="29" t="n">
        <v>45986</v>
      </c>
      <c r="F2306" s="29" t="n">
        <v>45989</v>
      </c>
      <c r="G2306" s="31" t="n">
        <v>32870.43</v>
      </c>
      <c r="H2306" s="31" t="n">
        <v>9929.969999999999</v>
      </c>
      <c r="I2306" t="inlineStr">
        <is>
          <t>Paid</t>
        </is>
      </c>
      <c r="K2306" s="29" t="n">
        <v>46002</v>
      </c>
      <c r="L2306" s="33" t="n"/>
    </row>
    <row r="2307">
      <c r="A2307" t="inlineStr">
        <is>
          <t>CLM520172</t>
        </is>
      </c>
      <c r="B2307" t="inlineStr">
        <is>
          <t>ENC120172</t>
        </is>
      </c>
      <c r="C2307" t="inlineStr">
        <is>
          <t>Keystone Health Partners</t>
        </is>
      </c>
      <c r="D2307" t="inlineStr">
        <is>
          <t>Inpatient</t>
        </is>
      </c>
      <c r="E2307" s="29" t="n">
        <v>46007</v>
      </c>
      <c r="F2307" s="29" t="n">
        <v>46019</v>
      </c>
      <c r="G2307" s="31" t="n">
        <v>109181.2</v>
      </c>
      <c r="H2307" s="31" t="n">
        <v>0</v>
      </c>
      <c r="I2307" t="inlineStr">
        <is>
          <t>Pending</t>
        </is>
      </c>
      <c r="L2307" s="33" t="n"/>
    </row>
    <row r="2308">
      <c r="A2308" t="inlineStr">
        <is>
          <t>CLM520174</t>
        </is>
      </c>
      <c r="B2308" t="inlineStr">
        <is>
          <t>ENC120174</t>
        </is>
      </c>
      <c r="C2308" t="inlineStr">
        <is>
          <t>Silverline Medicare Advantage</t>
        </is>
      </c>
      <c r="D2308" t="inlineStr">
        <is>
          <t>Inpatient</t>
        </is>
      </c>
      <c r="E2308" s="29" t="n">
        <v>45977</v>
      </c>
      <c r="F2308" s="29" t="n">
        <v>45980</v>
      </c>
      <c r="G2308" s="31" t="n">
        <v>29547.35</v>
      </c>
      <c r="H2308" s="31" t="n">
        <v>8902.959999999999</v>
      </c>
      <c r="I2308" t="inlineStr">
        <is>
          <t>Paid</t>
        </is>
      </c>
      <c r="K2308" s="29" t="n">
        <v>46017</v>
      </c>
      <c r="L2308" s="33" t="n"/>
    </row>
    <row r="2309">
      <c r="A2309" t="inlineStr">
        <is>
          <t>CLM520175</t>
        </is>
      </c>
      <c r="B2309" t="inlineStr">
        <is>
          <t>ENC120175</t>
        </is>
      </c>
      <c r="C2309" t="inlineStr">
        <is>
          <t>Silverline Medicare Advantage</t>
        </is>
      </c>
      <c r="D2309" t="inlineStr">
        <is>
          <t>Inpatient</t>
        </is>
      </c>
      <c r="E2309" s="29" t="n">
        <v>45984</v>
      </c>
      <c r="F2309" s="29" t="n">
        <v>45985</v>
      </c>
      <c r="G2309" s="31" t="n">
        <v>43866.5</v>
      </c>
      <c r="H2309" s="31" t="n">
        <v>0</v>
      </c>
      <c r="I2309" t="inlineStr">
        <is>
          <t>Pending</t>
        </is>
      </c>
      <c r="L2309" s="33" t="n"/>
    </row>
    <row r="2310">
      <c r="A2310" t="inlineStr">
        <is>
          <t>CLM520176</t>
        </is>
      </c>
      <c r="B2310" t="inlineStr">
        <is>
          <t>ENC120176</t>
        </is>
      </c>
      <c r="C2310" t="inlineStr">
        <is>
          <t>Medicare</t>
        </is>
      </c>
      <c r="D2310" t="inlineStr">
        <is>
          <t>Inpatient</t>
        </is>
      </c>
      <c r="E2310" s="29" t="n">
        <v>45982</v>
      </c>
      <c r="F2310" s="29" t="n">
        <v>45985</v>
      </c>
      <c r="G2310" s="31" t="n">
        <v>26938.04</v>
      </c>
      <c r="H2310" s="31" t="n">
        <v>7339.64</v>
      </c>
      <c r="I2310" t="inlineStr">
        <is>
          <t>Paid</t>
        </is>
      </c>
      <c r="K2310" s="29" t="n">
        <v>46005</v>
      </c>
      <c r="L2310" s="33" t="n"/>
    </row>
    <row r="2311">
      <c r="A2311" t="inlineStr">
        <is>
          <t>CLM520183</t>
        </is>
      </c>
      <c r="B2311" t="inlineStr">
        <is>
          <t>ENC120183</t>
        </is>
      </c>
      <c r="C2311" t="inlineStr">
        <is>
          <t>Silverline Medicare Advantage</t>
        </is>
      </c>
      <c r="D2311" t="inlineStr">
        <is>
          <t>Inpatient</t>
        </is>
      </c>
      <c r="E2311" s="29" t="n">
        <v>45976</v>
      </c>
      <c r="F2311" s="29" t="n">
        <v>45978</v>
      </c>
      <c r="G2311" s="31" t="n">
        <v>12145.75</v>
      </c>
      <c r="H2311" s="31" t="n">
        <v>0</v>
      </c>
      <c r="I2311" t="inlineStr">
        <is>
          <t>Pending</t>
        </is>
      </c>
      <c r="L2311" s="33" t="n"/>
    </row>
    <row r="2312">
      <c r="A2312" t="inlineStr">
        <is>
          <t>CLM520184</t>
        </is>
      </c>
      <c r="B2312" t="inlineStr">
        <is>
          <t>ENC120184</t>
        </is>
      </c>
      <c r="C2312" t="inlineStr">
        <is>
          <t>Keystone Health Partners</t>
        </is>
      </c>
      <c r="D2312" t="inlineStr">
        <is>
          <t>Outpatient</t>
        </is>
      </c>
      <c r="E2312" s="29" t="n">
        <v>45974</v>
      </c>
      <c r="F2312" s="29" t="n">
        <v>45977</v>
      </c>
      <c r="G2312" s="31" t="n">
        <v>279.79</v>
      </c>
      <c r="H2312" s="31" t="n">
        <v>135.82</v>
      </c>
      <c r="I2312" t="inlineStr">
        <is>
          <t>Paid</t>
        </is>
      </c>
      <c r="K2312" s="29" t="n">
        <v>45995</v>
      </c>
      <c r="L2312" s="33" t="n"/>
    </row>
    <row r="2313">
      <c r="A2313" t="inlineStr">
        <is>
          <t>CLM520185</t>
        </is>
      </c>
      <c r="B2313" t="inlineStr">
        <is>
          <t>ENC120185</t>
        </is>
      </c>
      <c r="C2313" t="inlineStr">
        <is>
          <t>State Medicaid</t>
        </is>
      </c>
      <c r="D2313" t="inlineStr">
        <is>
          <t>Outpatient</t>
        </is>
      </c>
      <c r="E2313" s="29" t="n">
        <v>45974</v>
      </c>
      <c r="F2313" s="29" t="n">
        <v>45978</v>
      </c>
      <c r="G2313" s="31" t="n">
        <v>509.88</v>
      </c>
      <c r="H2313" s="31" t="n">
        <v>136.84</v>
      </c>
      <c r="I2313" t="inlineStr">
        <is>
          <t>Paid</t>
        </is>
      </c>
      <c r="K2313" s="29" t="n">
        <v>46005</v>
      </c>
      <c r="L2313" s="33" t="n"/>
    </row>
    <row r="2314">
      <c r="A2314" t="inlineStr">
        <is>
          <t>CLM520187</t>
        </is>
      </c>
      <c r="B2314" t="inlineStr">
        <is>
          <t>ENC120187</t>
        </is>
      </c>
      <c r="C2314" t="inlineStr">
        <is>
          <t>Medicare</t>
        </is>
      </c>
      <c r="D2314" t="inlineStr">
        <is>
          <t>Emergency</t>
        </is>
      </c>
      <c r="E2314" s="29" t="n">
        <v>45974</v>
      </c>
      <c r="F2314" s="29" t="n">
        <v>45981</v>
      </c>
      <c r="G2314" s="31" t="n">
        <v>4235.59</v>
      </c>
      <c r="H2314" s="31" t="n">
        <v>989.45</v>
      </c>
      <c r="I2314" t="inlineStr">
        <is>
          <t>Paid</t>
        </is>
      </c>
      <c r="K2314" s="29" t="n">
        <v>45993</v>
      </c>
      <c r="L2314" s="33" t="n"/>
    </row>
    <row r="2315">
      <c r="A2315" t="inlineStr">
        <is>
          <t>CLM520192</t>
        </is>
      </c>
      <c r="B2315" t="inlineStr">
        <is>
          <t>ENC120192</t>
        </is>
      </c>
      <c r="C2315" t="inlineStr">
        <is>
          <t>Medicare</t>
        </is>
      </c>
      <c r="D2315" t="inlineStr">
        <is>
          <t>Outpatient</t>
        </is>
      </c>
      <c r="E2315" s="29" t="n">
        <v>45974</v>
      </c>
      <c r="F2315" s="29" t="n">
        <v>45980</v>
      </c>
      <c r="G2315" s="31" t="n">
        <v>278.58</v>
      </c>
      <c r="H2315" s="31" t="n">
        <v>89.72</v>
      </c>
      <c r="I2315" t="inlineStr">
        <is>
          <t>Paid</t>
        </is>
      </c>
      <c r="K2315" s="29" t="n">
        <v>46001</v>
      </c>
      <c r="L2315" s="33" t="n"/>
    </row>
    <row r="2316">
      <c r="A2316" t="inlineStr">
        <is>
          <t>CLM520195</t>
        </is>
      </c>
      <c r="B2316" t="inlineStr">
        <is>
          <t>ENC120195</t>
        </is>
      </c>
      <c r="C2316" t="inlineStr">
        <is>
          <t>Silverline Medicare Advantage</t>
        </is>
      </c>
      <c r="D2316" t="inlineStr">
        <is>
          <t>Emergency</t>
        </is>
      </c>
      <c r="E2316" s="29" t="n">
        <v>45974</v>
      </c>
      <c r="F2316" s="29" t="n">
        <v>45977</v>
      </c>
      <c r="G2316" s="31" t="n">
        <v>3687.57</v>
      </c>
      <c r="H2316" s="31" t="n">
        <v>1082.25</v>
      </c>
      <c r="I2316" t="inlineStr">
        <is>
          <t>Paid</t>
        </is>
      </c>
      <c r="K2316" s="29" t="n">
        <v>46010</v>
      </c>
      <c r="L2316" s="33" t="n"/>
    </row>
    <row r="2317">
      <c r="A2317" t="inlineStr">
        <is>
          <t>CLM520202</t>
        </is>
      </c>
      <c r="B2317" t="inlineStr">
        <is>
          <t>ENC120202</t>
        </is>
      </c>
      <c r="C2317" t="inlineStr">
        <is>
          <t>Silverline Medicare Advantage</t>
        </is>
      </c>
      <c r="D2317" t="inlineStr">
        <is>
          <t>Outpatient</t>
        </is>
      </c>
      <c r="E2317" s="29" t="n">
        <v>45974</v>
      </c>
      <c r="F2317" s="29" t="n">
        <v>45976</v>
      </c>
      <c r="G2317" s="31" t="n">
        <v>204.08</v>
      </c>
      <c r="H2317" s="31" t="n">
        <v>0</v>
      </c>
      <c r="I2317" t="inlineStr">
        <is>
          <t>Pending</t>
        </is>
      </c>
      <c r="L2317" s="33" t="n"/>
    </row>
    <row r="2318">
      <c r="A2318" t="inlineStr">
        <is>
          <t>CLM520203</t>
        </is>
      </c>
      <c r="B2318" t="inlineStr">
        <is>
          <t>ENC120203</t>
        </is>
      </c>
      <c r="C2318" t="inlineStr">
        <is>
          <t>State Medicaid</t>
        </is>
      </c>
      <c r="D2318" t="inlineStr">
        <is>
          <t>Inpatient</t>
        </is>
      </c>
      <c r="E2318" s="29" t="n">
        <v>45977</v>
      </c>
      <c r="F2318" s="29" t="n">
        <v>45984</v>
      </c>
      <c r="G2318" s="31" t="n">
        <v>24418.98</v>
      </c>
      <c r="H2318" s="31" t="n">
        <v>5336.29</v>
      </c>
      <c r="I2318" t="inlineStr">
        <is>
          <t>Paid</t>
        </is>
      </c>
      <c r="K2318" s="29" t="n">
        <v>46022</v>
      </c>
      <c r="L2318" s="33" t="n"/>
    </row>
    <row r="2319">
      <c r="A2319" t="inlineStr">
        <is>
          <t>CLM520209</t>
        </is>
      </c>
      <c r="B2319" t="inlineStr">
        <is>
          <t>ENC120209</t>
        </is>
      </c>
      <c r="C2319" t="inlineStr">
        <is>
          <t>Self-Pay</t>
        </is>
      </c>
      <c r="D2319" t="inlineStr">
        <is>
          <t>Inpatient</t>
        </is>
      </c>
      <c r="E2319" s="29" t="n">
        <v>45979</v>
      </c>
      <c r="F2319" s="29" t="n">
        <v>45985</v>
      </c>
      <c r="G2319" s="31" t="n">
        <v>25595.67</v>
      </c>
      <c r="H2319" s="31" t="n">
        <v>0</v>
      </c>
      <c r="I2319" t="inlineStr">
        <is>
          <t>Pending</t>
        </is>
      </c>
      <c r="L2319" s="33" t="n"/>
    </row>
    <row r="2320">
      <c r="A2320" t="inlineStr">
        <is>
          <t>CLM520211</t>
        </is>
      </c>
      <c r="B2320" t="inlineStr">
        <is>
          <t>ENC120211</t>
        </is>
      </c>
      <c r="C2320" t="inlineStr">
        <is>
          <t>Keystone Health Partners</t>
        </is>
      </c>
      <c r="D2320" t="inlineStr">
        <is>
          <t>Inpatient</t>
        </is>
      </c>
      <c r="E2320" s="29" t="n">
        <v>45976</v>
      </c>
      <c r="F2320" s="29" t="n">
        <v>45978</v>
      </c>
      <c r="G2320" s="31" t="n">
        <v>15881.16</v>
      </c>
      <c r="H2320" s="31" t="n">
        <v>7913.03</v>
      </c>
      <c r="I2320" t="inlineStr">
        <is>
          <t>Paid</t>
        </is>
      </c>
      <c r="K2320" s="29" t="n">
        <v>46000</v>
      </c>
      <c r="L2320" s="33" t="n"/>
    </row>
    <row r="2321">
      <c r="A2321" t="inlineStr">
        <is>
          <t>CLM520213</t>
        </is>
      </c>
      <c r="B2321" t="inlineStr">
        <is>
          <t>ENC120213</t>
        </is>
      </c>
      <c r="C2321" t="inlineStr">
        <is>
          <t>State Medicaid</t>
        </is>
      </c>
      <c r="D2321" t="inlineStr">
        <is>
          <t>Inpatient</t>
        </is>
      </c>
      <c r="E2321" s="29" t="n">
        <v>45977</v>
      </c>
      <c r="F2321" s="29" t="n">
        <v>45982</v>
      </c>
      <c r="G2321" s="31" t="n">
        <v>62751.62</v>
      </c>
      <c r="H2321" s="31" t="n">
        <v>15039.62</v>
      </c>
      <c r="I2321" t="inlineStr">
        <is>
          <t>Paid</t>
        </is>
      </c>
      <c r="K2321" s="29" t="n">
        <v>46002</v>
      </c>
      <c r="L2321" s="33" t="n"/>
    </row>
    <row r="2322">
      <c r="A2322" t="inlineStr">
        <is>
          <t>CLM520214</t>
        </is>
      </c>
      <c r="B2322" t="inlineStr">
        <is>
          <t>ENC120214</t>
        </is>
      </c>
      <c r="C2322" t="inlineStr">
        <is>
          <t>Keystone Health Partners</t>
        </is>
      </c>
      <c r="D2322" t="inlineStr">
        <is>
          <t>Inpatient</t>
        </is>
      </c>
      <c r="E2322" s="29" t="n">
        <v>45977</v>
      </c>
      <c r="F2322" s="29" t="n">
        <v>45987</v>
      </c>
      <c r="G2322" s="31" t="n">
        <v>55698.39</v>
      </c>
      <c r="H2322" s="31" t="n">
        <v>25739.23</v>
      </c>
      <c r="I2322" t="inlineStr">
        <is>
          <t>Paid</t>
        </is>
      </c>
      <c r="K2322" s="29" t="n">
        <v>46016</v>
      </c>
      <c r="L2322" s="33" t="n"/>
    </row>
    <row r="2323">
      <c r="A2323" t="inlineStr">
        <is>
          <t>CLM520219</t>
        </is>
      </c>
      <c r="B2323" t="inlineStr">
        <is>
          <t>ENC120219</t>
        </is>
      </c>
      <c r="C2323" t="inlineStr">
        <is>
          <t>Medicare</t>
        </is>
      </c>
      <c r="D2323" t="inlineStr">
        <is>
          <t>Outpatient</t>
        </is>
      </c>
      <c r="E2323" s="29" t="n">
        <v>45975</v>
      </c>
      <c r="F2323" s="29" t="n">
        <v>45979</v>
      </c>
      <c r="G2323" s="31" t="n">
        <v>168.4</v>
      </c>
      <c r="H2323" s="31" t="n">
        <v>47.1</v>
      </c>
      <c r="I2323" t="inlineStr">
        <is>
          <t>Paid</t>
        </is>
      </c>
      <c r="K2323" s="29" t="n">
        <v>45990</v>
      </c>
      <c r="L2323" s="33" t="n"/>
    </row>
    <row r="2324">
      <c r="A2324" t="inlineStr">
        <is>
          <t>CLM520224</t>
        </is>
      </c>
      <c r="B2324" t="inlineStr">
        <is>
          <t>ENC120224</t>
        </is>
      </c>
      <c r="C2324" t="inlineStr">
        <is>
          <t>Keystone Health Partners</t>
        </is>
      </c>
      <c r="D2324" t="inlineStr">
        <is>
          <t>Outpatient</t>
        </is>
      </c>
      <c r="E2324" s="29" t="n">
        <v>45975</v>
      </c>
      <c r="F2324" s="29" t="n">
        <v>45982</v>
      </c>
      <c r="G2324" s="31" t="n">
        <v>500.79</v>
      </c>
      <c r="H2324" s="31" t="n">
        <v>250.97</v>
      </c>
      <c r="I2324" t="inlineStr">
        <is>
          <t>Paid</t>
        </is>
      </c>
      <c r="K2324" s="29" t="n">
        <v>46003</v>
      </c>
      <c r="L2324" s="33" t="n"/>
    </row>
    <row r="2325">
      <c r="A2325" t="inlineStr">
        <is>
          <t>CLM520238</t>
        </is>
      </c>
      <c r="B2325" t="inlineStr">
        <is>
          <t>ENC120238</t>
        </is>
      </c>
      <c r="C2325" t="inlineStr">
        <is>
          <t>Keystone Health Partners</t>
        </is>
      </c>
      <c r="D2325" t="inlineStr">
        <is>
          <t>Emergency</t>
        </is>
      </c>
      <c r="E2325" s="29" t="n">
        <v>45976</v>
      </c>
      <c r="F2325" s="29" t="n">
        <v>45980</v>
      </c>
      <c r="G2325" s="31" t="n">
        <v>2448.4</v>
      </c>
      <c r="H2325" s="31" t="n">
        <v>1163.71</v>
      </c>
      <c r="I2325" t="inlineStr">
        <is>
          <t>Paid</t>
        </is>
      </c>
      <c r="K2325" s="29" t="n">
        <v>46005</v>
      </c>
      <c r="L2325" s="33" t="n"/>
    </row>
    <row r="2326">
      <c r="A2326" t="inlineStr">
        <is>
          <t>CLM520250</t>
        </is>
      </c>
      <c r="B2326" t="inlineStr">
        <is>
          <t>ENC120250</t>
        </is>
      </c>
      <c r="C2326" t="inlineStr">
        <is>
          <t>Summit Choice PPO</t>
        </is>
      </c>
      <c r="D2326" t="inlineStr">
        <is>
          <t>Inpatient</t>
        </is>
      </c>
      <c r="E2326" s="29" t="n">
        <v>45980</v>
      </c>
      <c r="F2326" s="29" t="n">
        <v>45983</v>
      </c>
      <c r="G2326" s="31" t="n">
        <v>27681.25</v>
      </c>
      <c r="H2326" s="31" t="n">
        <v>12496.15</v>
      </c>
      <c r="I2326" t="inlineStr">
        <is>
          <t>Paid</t>
        </is>
      </c>
      <c r="K2326" s="29" t="n">
        <v>46003</v>
      </c>
      <c r="L2326" s="33" t="n"/>
    </row>
    <row r="2327">
      <c r="A2327" t="inlineStr">
        <is>
          <t>CLM520251</t>
        </is>
      </c>
      <c r="B2327" t="inlineStr">
        <is>
          <t>ENC120251</t>
        </is>
      </c>
      <c r="C2327" t="inlineStr">
        <is>
          <t>Medicare</t>
        </is>
      </c>
      <c r="D2327" t="inlineStr">
        <is>
          <t>Inpatient</t>
        </is>
      </c>
      <c r="E2327" s="29" t="n">
        <v>45982</v>
      </c>
      <c r="F2327" s="29" t="n">
        <v>45987</v>
      </c>
      <c r="G2327" s="31" t="n">
        <v>39628.05</v>
      </c>
      <c r="H2327" s="31" t="n">
        <v>11068.39</v>
      </c>
      <c r="I2327" t="inlineStr">
        <is>
          <t>Paid</t>
        </is>
      </c>
      <c r="K2327" s="29" t="n">
        <v>46013</v>
      </c>
      <c r="L2327" s="33" t="n"/>
    </row>
    <row r="2328">
      <c r="A2328" t="inlineStr">
        <is>
          <t>CLM520264</t>
        </is>
      </c>
      <c r="B2328" t="inlineStr">
        <is>
          <t>ENC120264</t>
        </is>
      </c>
      <c r="C2328" t="inlineStr">
        <is>
          <t>State Medicaid</t>
        </is>
      </c>
      <c r="D2328" t="inlineStr">
        <is>
          <t>Emergency</t>
        </is>
      </c>
      <c r="E2328" s="29" t="n">
        <v>45977</v>
      </c>
      <c r="F2328" s="29" t="n">
        <v>45982</v>
      </c>
      <c r="G2328" s="31" t="n">
        <v>1704.12</v>
      </c>
      <c r="H2328" s="31" t="n">
        <v>0</v>
      </c>
      <c r="I2328" t="inlineStr">
        <is>
          <t>Denied</t>
        </is>
      </c>
      <c r="J2328" t="inlineStr">
        <is>
          <t>Medical Necessity</t>
        </is>
      </c>
      <c r="L2328" s="33" t="n"/>
    </row>
    <row r="2329">
      <c r="A2329" t="inlineStr">
        <is>
          <t>CLM520265</t>
        </is>
      </c>
      <c r="B2329" t="inlineStr">
        <is>
          <t>ENC120265</t>
        </is>
      </c>
      <c r="C2329" t="inlineStr">
        <is>
          <t>Self-Pay</t>
        </is>
      </c>
      <c r="D2329" t="inlineStr">
        <is>
          <t>Inpatient</t>
        </is>
      </c>
      <c r="E2329" s="29" t="n">
        <v>45979</v>
      </c>
      <c r="F2329" s="29" t="n">
        <v>46004</v>
      </c>
      <c r="G2329" s="31" t="n">
        <v>8107.81</v>
      </c>
      <c r="H2329" s="31" t="n">
        <v>0</v>
      </c>
      <c r="I2329" t="inlineStr">
        <is>
          <t>Pending</t>
        </is>
      </c>
      <c r="L2329" s="33" t="n"/>
    </row>
    <row r="2330">
      <c r="A2330" t="inlineStr">
        <is>
          <t>CLM520276</t>
        </is>
      </c>
      <c r="B2330" t="inlineStr">
        <is>
          <t>ENC120276</t>
        </is>
      </c>
      <c r="C2330" t="inlineStr">
        <is>
          <t>Keystone Health Partners</t>
        </is>
      </c>
      <c r="D2330" t="inlineStr">
        <is>
          <t>Inpatient</t>
        </is>
      </c>
      <c r="E2330" s="29" t="n">
        <v>45980</v>
      </c>
      <c r="F2330" s="29" t="n">
        <v>45983</v>
      </c>
      <c r="G2330" s="31" t="n">
        <v>16683.21</v>
      </c>
      <c r="H2330" s="31" t="n">
        <v>5511.15</v>
      </c>
      <c r="I2330" t="inlineStr">
        <is>
          <t>Partially Paid</t>
        </is>
      </c>
      <c r="J2330" t="inlineStr">
        <is>
          <t>Coding Error</t>
        </is>
      </c>
      <c r="K2330" s="29" t="n">
        <v>46000</v>
      </c>
      <c r="L2330" s="33" t="n"/>
    </row>
    <row r="2331">
      <c r="A2331" t="inlineStr">
        <is>
          <t>CLM520281</t>
        </is>
      </c>
      <c r="B2331" t="inlineStr">
        <is>
          <t>ENC120281</t>
        </is>
      </c>
      <c r="C2331" t="inlineStr">
        <is>
          <t>Medicare</t>
        </is>
      </c>
      <c r="D2331" t="inlineStr">
        <is>
          <t>Emergency</t>
        </is>
      </c>
      <c r="E2331" s="29" t="n">
        <v>45978</v>
      </c>
      <c r="F2331" s="29" t="n">
        <v>45980</v>
      </c>
      <c r="G2331" s="31" t="n">
        <v>2487.4</v>
      </c>
      <c r="H2331" s="31" t="n">
        <v>746.22</v>
      </c>
      <c r="I2331" t="inlineStr">
        <is>
          <t>Paid</t>
        </is>
      </c>
      <c r="K2331" s="29" t="n">
        <v>46008</v>
      </c>
      <c r="L2331" s="33" t="n"/>
    </row>
    <row r="2332">
      <c r="A2332" t="inlineStr">
        <is>
          <t>CLM520282</t>
        </is>
      </c>
      <c r="B2332" t="inlineStr">
        <is>
          <t>ENC120282</t>
        </is>
      </c>
      <c r="C2332" t="inlineStr">
        <is>
          <t>Silverline Medicare Advantage</t>
        </is>
      </c>
      <c r="D2332" t="inlineStr">
        <is>
          <t>Emergency</t>
        </is>
      </c>
      <c r="E2332" s="29" t="n">
        <v>45978</v>
      </c>
      <c r="F2332" s="29" t="n">
        <v>45982</v>
      </c>
      <c r="G2332" s="31" t="n">
        <v>3303.32</v>
      </c>
      <c r="H2332" s="31" t="n">
        <v>0</v>
      </c>
      <c r="I2332" t="inlineStr">
        <is>
          <t>Denied</t>
        </is>
      </c>
      <c r="J2332" t="inlineStr">
        <is>
          <t>Coding Error</t>
        </is>
      </c>
      <c r="L2332" s="33" t="n"/>
    </row>
    <row r="2333">
      <c r="A2333" t="inlineStr">
        <is>
          <t>CLM520288</t>
        </is>
      </c>
      <c r="B2333" t="inlineStr">
        <is>
          <t>ENC120288</t>
        </is>
      </c>
      <c r="C2333" t="inlineStr">
        <is>
          <t>Evergreen Mutual Insurance</t>
        </is>
      </c>
      <c r="D2333" t="inlineStr">
        <is>
          <t>Outpatient</t>
        </is>
      </c>
      <c r="E2333" s="29" t="n">
        <v>45978</v>
      </c>
      <c r="F2333" s="29" t="n">
        <v>45983</v>
      </c>
      <c r="G2333" s="31" t="n">
        <v>339.95</v>
      </c>
      <c r="H2333" s="31" t="n">
        <v>153.36</v>
      </c>
      <c r="I2333" t="inlineStr">
        <is>
          <t>Paid</t>
        </is>
      </c>
      <c r="K2333" s="29" t="n">
        <v>46002</v>
      </c>
      <c r="L2333" s="33" t="n"/>
    </row>
    <row r="2334">
      <c r="A2334" t="inlineStr">
        <is>
          <t>CLM520290</t>
        </is>
      </c>
      <c r="B2334" t="inlineStr">
        <is>
          <t>ENC120290</t>
        </is>
      </c>
      <c r="C2334" t="inlineStr">
        <is>
          <t>State Medicaid</t>
        </is>
      </c>
      <c r="D2334" t="inlineStr">
        <is>
          <t>Emergency</t>
        </is>
      </c>
      <c r="E2334" s="29" t="n">
        <v>45978</v>
      </c>
      <c r="F2334" s="29" t="n">
        <v>45986</v>
      </c>
      <c r="G2334" s="31" t="n">
        <v>1326.77</v>
      </c>
      <c r="H2334" s="31" t="n">
        <v>0</v>
      </c>
      <c r="I2334" t="inlineStr">
        <is>
          <t>Pending</t>
        </is>
      </c>
      <c r="L2334" s="33" t="n"/>
    </row>
    <row r="2335">
      <c r="A2335" t="inlineStr">
        <is>
          <t>CLM520294</t>
        </is>
      </c>
      <c r="B2335" t="inlineStr">
        <is>
          <t>ENC120294</t>
        </is>
      </c>
      <c r="C2335" t="inlineStr">
        <is>
          <t>Medicare</t>
        </is>
      </c>
      <c r="D2335" t="inlineStr">
        <is>
          <t>Inpatient</t>
        </is>
      </c>
      <c r="E2335" s="29" t="n">
        <v>45984</v>
      </c>
      <c r="F2335" s="29" t="n">
        <v>45987</v>
      </c>
      <c r="G2335" s="31" t="n">
        <v>94149.39999999999</v>
      </c>
      <c r="H2335" s="31" t="n">
        <v>27863.38</v>
      </c>
      <c r="I2335" t="inlineStr">
        <is>
          <t>Paid</t>
        </is>
      </c>
      <c r="K2335" s="29" t="n">
        <v>45994</v>
      </c>
      <c r="L2335" s="33" t="n"/>
    </row>
    <row r="2336">
      <c r="A2336" t="inlineStr">
        <is>
          <t>CLM520295</t>
        </is>
      </c>
      <c r="B2336" t="inlineStr">
        <is>
          <t>ENC120295</t>
        </is>
      </c>
      <c r="C2336" t="inlineStr">
        <is>
          <t>Medicare</t>
        </is>
      </c>
      <c r="D2336" t="inlineStr">
        <is>
          <t>Outpatient</t>
        </is>
      </c>
      <c r="E2336" s="29" t="n">
        <v>45978</v>
      </c>
      <c r="F2336" s="29" t="n">
        <v>45989</v>
      </c>
      <c r="G2336" s="31" t="n">
        <v>235.77</v>
      </c>
      <c r="H2336" s="31" t="n">
        <v>75.8</v>
      </c>
      <c r="I2336" t="inlineStr">
        <is>
          <t>Paid</t>
        </is>
      </c>
      <c r="K2336" s="29" t="n">
        <v>46000</v>
      </c>
      <c r="L2336" s="33" t="n"/>
    </row>
    <row r="2337">
      <c r="A2337" t="inlineStr">
        <is>
          <t>CLM520298</t>
        </is>
      </c>
      <c r="B2337" t="inlineStr">
        <is>
          <t>ENC120298</t>
        </is>
      </c>
      <c r="C2337" t="inlineStr">
        <is>
          <t>Evergreen Mutual Insurance</t>
        </is>
      </c>
      <c r="D2337" t="inlineStr">
        <is>
          <t>Outpatient</t>
        </is>
      </c>
      <c r="E2337" s="29" t="n">
        <v>45978</v>
      </c>
      <c r="F2337" s="29" t="n">
        <v>45979</v>
      </c>
      <c r="G2337" s="31" t="n">
        <v>119.28</v>
      </c>
      <c r="H2337" s="31" t="n">
        <v>46.17</v>
      </c>
      <c r="I2337" t="inlineStr">
        <is>
          <t>Paid</t>
        </is>
      </c>
      <c r="K2337" s="29" t="n">
        <v>46011</v>
      </c>
      <c r="L2337" s="33" t="n"/>
    </row>
    <row r="2338">
      <c r="A2338" t="inlineStr">
        <is>
          <t>CLM520299</t>
        </is>
      </c>
      <c r="B2338" t="inlineStr">
        <is>
          <t>ENC120299</t>
        </is>
      </c>
      <c r="C2338" t="inlineStr">
        <is>
          <t>Silverline Medicare Advantage</t>
        </is>
      </c>
      <c r="D2338" t="inlineStr">
        <is>
          <t>Outpatient</t>
        </is>
      </c>
      <c r="E2338" s="29" t="n">
        <v>45978</v>
      </c>
      <c r="F2338" s="29" t="n">
        <v>45982</v>
      </c>
      <c r="G2338" s="31" t="n">
        <v>9103.870000000001</v>
      </c>
      <c r="H2338" s="31" t="n">
        <v>1104.75</v>
      </c>
      <c r="I2338" t="inlineStr">
        <is>
          <t>Partially Paid</t>
        </is>
      </c>
      <c r="J2338" t="inlineStr">
        <is>
          <t>Coding Error</t>
        </is>
      </c>
      <c r="K2338" s="29" t="n">
        <v>45998</v>
      </c>
      <c r="L2338" s="33" t="n"/>
    </row>
    <row r="2339">
      <c r="A2339" t="inlineStr">
        <is>
          <t>CLM520302</t>
        </is>
      </c>
      <c r="B2339" t="inlineStr">
        <is>
          <t>ENC120302</t>
        </is>
      </c>
      <c r="C2339" t="inlineStr">
        <is>
          <t>State Medicaid</t>
        </is>
      </c>
      <c r="D2339" t="inlineStr">
        <is>
          <t>Observation</t>
        </is>
      </c>
      <c r="E2339" s="29" t="n">
        <v>45980</v>
      </c>
      <c r="F2339" s="29" t="n">
        <v>45982</v>
      </c>
      <c r="G2339" s="31" t="n">
        <v>3737.4</v>
      </c>
      <c r="H2339" s="31" t="n">
        <v>935.86</v>
      </c>
      <c r="I2339" t="inlineStr">
        <is>
          <t>Paid</t>
        </is>
      </c>
      <c r="K2339" s="29" t="n">
        <v>46017</v>
      </c>
      <c r="L2339" s="33" t="n"/>
    </row>
    <row r="2340">
      <c r="A2340" t="inlineStr">
        <is>
          <t>CLM520306</t>
        </is>
      </c>
      <c r="B2340" t="inlineStr">
        <is>
          <t>ENC120306</t>
        </is>
      </c>
      <c r="C2340" t="inlineStr">
        <is>
          <t>Keystone Health Partners</t>
        </is>
      </c>
      <c r="D2340" t="inlineStr">
        <is>
          <t>Outpatient</t>
        </is>
      </c>
      <c r="E2340" s="29" t="n">
        <v>45978</v>
      </c>
      <c r="F2340" s="29" t="n">
        <v>45982</v>
      </c>
      <c r="G2340" s="31" t="n">
        <v>98.65000000000001</v>
      </c>
      <c r="H2340" s="31" t="n">
        <v>25.54</v>
      </c>
      <c r="I2340" t="inlineStr">
        <is>
          <t>Partially Paid</t>
        </is>
      </c>
      <c r="J2340" t="inlineStr">
        <is>
          <t>Medical Necessity</t>
        </is>
      </c>
      <c r="K2340" s="29" t="n">
        <v>46005</v>
      </c>
      <c r="L2340" s="33" t="n"/>
    </row>
    <row r="2341">
      <c r="A2341" t="inlineStr">
        <is>
          <t>CLM520313</t>
        </is>
      </c>
      <c r="B2341" t="inlineStr">
        <is>
          <t>ENC120313</t>
        </is>
      </c>
      <c r="C2341" t="inlineStr">
        <is>
          <t>Medicare</t>
        </is>
      </c>
      <c r="D2341" t="inlineStr">
        <is>
          <t>Outpatient</t>
        </is>
      </c>
      <c r="E2341" s="29" t="n">
        <v>45978</v>
      </c>
      <c r="F2341" s="29" t="n">
        <v>45983</v>
      </c>
      <c r="G2341" s="31" t="n">
        <v>238.39</v>
      </c>
      <c r="H2341" s="31" t="n">
        <v>66.72</v>
      </c>
      <c r="I2341" t="inlineStr">
        <is>
          <t>Paid</t>
        </is>
      </c>
      <c r="K2341" s="29" t="n">
        <v>45996</v>
      </c>
      <c r="L2341" s="33" t="n"/>
    </row>
    <row r="2342">
      <c r="A2342" t="inlineStr">
        <is>
          <t>CLM520315</t>
        </is>
      </c>
      <c r="B2342" t="inlineStr">
        <is>
          <t>ENC120315</t>
        </is>
      </c>
      <c r="C2342" t="inlineStr">
        <is>
          <t>Self-Pay</t>
        </is>
      </c>
      <c r="D2342" t="inlineStr">
        <is>
          <t>Outpatient</t>
        </is>
      </c>
      <c r="E2342" s="29" t="n">
        <v>45978</v>
      </c>
      <c r="F2342" s="29" t="n">
        <v>45992</v>
      </c>
      <c r="G2342" s="31" t="n">
        <v>199.44</v>
      </c>
      <c r="H2342" s="31" t="n">
        <v>0</v>
      </c>
      <c r="I2342" t="inlineStr">
        <is>
          <t>Pending</t>
        </is>
      </c>
      <c r="L2342" s="33" t="n"/>
    </row>
    <row r="2343">
      <c r="A2343" t="inlineStr">
        <is>
          <t>CLM520317</t>
        </is>
      </c>
      <c r="B2343" t="inlineStr">
        <is>
          <t>ENC120317</t>
        </is>
      </c>
      <c r="C2343" t="inlineStr">
        <is>
          <t>State Medicaid</t>
        </is>
      </c>
      <c r="D2343" t="inlineStr">
        <is>
          <t>Emergency</t>
        </is>
      </c>
      <c r="E2343" s="29" t="n">
        <v>45978</v>
      </c>
      <c r="F2343" s="29" t="n">
        <v>45979</v>
      </c>
      <c r="G2343" s="31" t="n">
        <v>2914.77</v>
      </c>
      <c r="H2343" s="31" t="n">
        <v>616.3</v>
      </c>
      <c r="I2343" t="inlineStr">
        <is>
          <t>Paid</t>
        </is>
      </c>
      <c r="K2343" s="29" t="n">
        <v>46005</v>
      </c>
      <c r="L2343" s="33" t="n"/>
    </row>
    <row r="2344">
      <c r="A2344" t="inlineStr">
        <is>
          <t>CLM520318</t>
        </is>
      </c>
      <c r="B2344" t="inlineStr">
        <is>
          <t>ENC120318</t>
        </is>
      </c>
      <c r="C2344" t="inlineStr">
        <is>
          <t>Silverline Medicare Advantage</t>
        </is>
      </c>
      <c r="D2344" t="inlineStr">
        <is>
          <t>Emergency</t>
        </is>
      </c>
      <c r="E2344" s="29" t="n">
        <v>45978</v>
      </c>
      <c r="F2344" s="29" t="n">
        <v>45982</v>
      </c>
      <c r="G2344" s="31" t="n">
        <v>3440.43</v>
      </c>
      <c r="H2344" s="31" t="n">
        <v>0</v>
      </c>
      <c r="I2344" t="inlineStr">
        <is>
          <t>Denied</t>
        </is>
      </c>
      <c r="J2344" t="inlineStr">
        <is>
          <t>Medical Necessity</t>
        </is>
      </c>
      <c r="L2344" s="33" t="n"/>
    </row>
    <row r="2345">
      <c r="A2345" t="inlineStr">
        <is>
          <t>CLM520322</t>
        </is>
      </c>
      <c r="B2345" t="inlineStr">
        <is>
          <t>ENC120322</t>
        </is>
      </c>
      <c r="C2345" t="inlineStr">
        <is>
          <t>State Medicaid</t>
        </is>
      </c>
      <c r="D2345" t="inlineStr">
        <is>
          <t>Emergency</t>
        </is>
      </c>
      <c r="E2345" s="29" t="n">
        <v>45979</v>
      </c>
      <c r="F2345" s="29" t="n">
        <v>45989</v>
      </c>
      <c r="G2345" s="31" t="n">
        <v>1196.22</v>
      </c>
      <c r="H2345" s="31" t="n">
        <v>0</v>
      </c>
      <c r="I2345" t="inlineStr">
        <is>
          <t>Pending</t>
        </is>
      </c>
      <c r="L2345" s="33" t="n"/>
    </row>
    <row r="2346">
      <c r="A2346" t="inlineStr">
        <is>
          <t>CLM520334</t>
        </is>
      </c>
      <c r="B2346" t="inlineStr">
        <is>
          <t>ENC120334</t>
        </is>
      </c>
      <c r="C2346" t="inlineStr">
        <is>
          <t>Evergreen Mutual Insurance</t>
        </is>
      </c>
      <c r="D2346" t="inlineStr">
        <is>
          <t>Emergency</t>
        </is>
      </c>
      <c r="E2346" s="29" t="n">
        <v>45979</v>
      </c>
      <c r="F2346" s="29" t="n">
        <v>45981</v>
      </c>
      <c r="G2346" s="31" t="n">
        <v>1990.05</v>
      </c>
      <c r="H2346" s="31" t="n">
        <v>814.95</v>
      </c>
      <c r="I2346" t="inlineStr">
        <is>
          <t>Paid</t>
        </is>
      </c>
      <c r="K2346" s="29" t="n">
        <v>46008</v>
      </c>
      <c r="L2346" s="33" t="n"/>
    </row>
    <row r="2347">
      <c r="A2347" t="inlineStr">
        <is>
          <t>CLM520341</t>
        </is>
      </c>
      <c r="B2347" t="inlineStr">
        <is>
          <t>ENC120341</t>
        </is>
      </c>
      <c r="C2347" t="inlineStr">
        <is>
          <t>Summit Choice PPO</t>
        </is>
      </c>
      <c r="D2347" t="inlineStr">
        <is>
          <t>Outpatient</t>
        </is>
      </c>
      <c r="E2347" s="29" t="n">
        <v>45979</v>
      </c>
      <c r="F2347" s="29" t="n">
        <v>45987</v>
      </c>
      <c r="G2347" s="31" t="n">
        <v>225.21</v>
      </c>
      <c r="H2347" s="31" t="n">
        <v>97.2</v>
      </c>
      <c r="I2347" t="inlineStr">
        <is>
          <t>Paid</t>
        </is>
      </c>
      <c r="K2347" s="29" t="n">
        <v>46005</v>
      </c>
      <c r="L2347" s="33" t="n"/>
    </row>
    <row r="2348">
      <c r="A2348" t="inlineStr">
        <is>
          <t>CLM520342</t>
        </is>
      </c>
      <c r="B2348" t="inlineStr">
        <is>
          <t>ENC120342</t>
        </is>
      </c>
      <c r="C2348" t="inlineStr">
        <is>
          <t>State Medicaid</t>
        </is>
      </c>
      <c r="D2348" t="inlineStr">
        <is>
          <t>Outpatient</t>
        </is>
      </c>
      <c r="E2348" s="29" t="n">
        <v>45979</v>
      </c>
      <c r="F2348" s="29" t="n">
        <v>45983</v>
      </c>
      <c r="G2348" s="31" t="n">
        <v>222.96</v>
      </c>
      <c r="H2348" s="31" t="n">
        <v>0</v>
      </c>
      <c r="I2348" t="inlineStr">
        <is>
          <t>Pending</t>
        </is>
      </c>
      <c r="L2348" s="33" t="n"/>
    </row>
    <row r="2349">
      <c r="A2349" t="inlineStr">
        <is>
          <t>CLM520355</t>
        </is>
      </c>
      <c r="B2349" t="inlineStr">
        <is>
          <t>ENC120355</t>
        </is>
      </c>
      <c r="C2349" t="inlineStr">
        <is>
          <t>Silverline Medicare Advantage</t>
        </is>
      </c>
      <c r="D2349" t="inlineStr">
        <is>
          <t>Inpatient</t>
        </is>
      </c>
      <c r="E2349" s="29" t="n">
        <v>45983</v>
      </c>
      <c r="F2349" s="29" t="n">
        <v>45996</v>
      </c>
      <c r="G2349" s="31" t="n">
        <v>16511.45</v>
      </c>
      <c r="H2349" s="31" t="n">
        <v>0</v>
      </c>
      <c r="I2349" t="inlineStr">
        <is>
          <t>Pending</t>
        </is>
      </c>
      <c r="L2349" s="33" t="n"/>
    </row>
    <row r="2350">
      <c r="A2350" t="inlineStr">
        <is>
          <t>CLM520359</t>
        </is>
      </c>
      <c r="B2350" t="inlineStr">
        <is>
          <t>ENC120359</t>
        </is>
      </c>
      <c r="C2350" t="inlineStr">
        <is>
          <t>Evergreen Mutual Insurance</t>
        </is>
      </c>
      <c r="D2350" t="inlineStr">
        <is>
          <t>Inpatient</t>
        </is>
      </c>
      <c r="E2350" s="29" t="n">
        <v>45985</v>
      </c>
      <c r="F2350" s="29" t="n">
        <v>45994</v>
      </c>
      <c r="G2350" s="31" t="n">
        <v>23550.3</v>
      </c>
      <c r="H2350" s="31" t="n">
        <v>10827.17</v>
      </c>
      <c r="I2350" t="inlineStr">
        <is>
          <t>Paid</t>
        </is>
      </c>
      <c r="K2350" s="29" t="n">
        <v>46021</v>
      </c>
      <c r="L2350" s="33" t="n"/>
    </row>
    <row r="2351">
      <c r="A2351" t="inlineStr">
        <is>
          <t>CLM520361</t>
        </is>
      </c>
      <c r="B2351" t="inlineStr">
        <is>
          <t>ENC120361</t>
        </is>
      </c>
      <c r="C2351" t="inlineStr">
        <is>
          <t>Keystone Health Partners</t>
        </is>
      </c>
      <c r="D2351" t="inlineStr">
        <is>
          <t>Inpatient</t>
        </is>
      </c>
      <c r="E2351" s="29" t="n">
        <v>45988</v>
      </c>
      <c r="F2351" s="29" t="n">
        <v>45992</v>
      </c>
      <c r="G2351" s="31" t="n">
        <v>71314.78</v>
      </c>
      <c r="H2351" s="31" t="n">
        <v>37052.81</v>
      </c>
      <c r="I2351" t="inlineStr">
        <is>
          <t>Paid</t>
        </is>
      </c>
      <c r="K2351" s="29" t="n">
        <v>46009</v>
      </c>
      <c r="L2351" s="33" t="n"/>
    </row>
    <row r="2352">
      <c r="A2352" t="inlineStr">
        <is>
          <t>CLM520369</t>
        </is>
      </c>
      <c r="B2352" t="inlineStr">
        <is>
          <t>ENC120369</t>
        </is>
      </c>
      <c r="C2352" t="inlineStr">
        <is>
          <t>State Medicaid</t>
        </is>
      </c>
      <c r="D2352" t="inlineStr">
        <is>
          <t>Emergency</t>
        </is>
      </c>
      <c r="E2352" s="29" t="n">
        <v>45980</v>
      </c>
      <c r="F2352" s="29" t="n">
        <v>45982</v>
      </c>
      <c r="G2352" s="31" t="n">
        <v>1453.62</v>
      </c>
      <c r="H2352" s="31" t="n">
        <v>345.75</v>
      </c>
      <c r="I2352" t="inlineStr">
        <is>
          <t>Paid</t>
        </is>
      </c>
      <c r="K2352" s="29" t="n">
        <v>46000</v>
      </c>
      <c r="L2352" s="33" t="n"/>
    </row>
    <row r="2353">
      <c r="A2353" t="inlineStr">
        <is>
          <t>CLM520372</t>
        </is>
      </c>
      <c r="B2353" t="inlineStr">
        <is>
          <t>ENC120372</t>
        </is>
      </c>
      <c r="C2353" t="inlineStr">
        <is>
          <t>Medicare</t>
        </is>
      </c>
      <c r="D2353" t="inlineStr">
        <is>
          <t>Inpatient</t>
        </is>
      </c>
      <c r="E2353" s="29" t="n">
        <v>45986</v>
      </c>
      <c r="F2353" s="29" t="n">
        <v>45996</v>
      </c>
      <c r="G2353" s="31" t="n">
        <v>31937.15</v>
      </c>
      <c r="H2353" s="31" t="n">
        <v>9811.610000000001</v>
      </c>
      <c r="I2353" t="inlineStr">
        <is>
          <t>Paid</t>
        </is>
      </c>
      <c r="K2353" s="29" t="n">
        <v>46012</v>
      </c>
      <c r="L2353" s="33" t="n"/>
    </row>
    <row r="2354">
      <c r="A2354" t="inlineStr">
        <is>
          <t>CLM520378</t>
        </is>
      </c>
      <c r="B2354" t="inlineStr">
        <is>
          <t>ENC120378</t>
        </is>
      </c>
      <c r="C2354" t="inlineStr">
        <is>
          <t>Self-Pay</t>
        </is>
      </c>
      <c r="D2354" t="inlineStr">
        <is>
          <t>Outpatient</t>
        </is>
      </c>
      <c r="E2354" s="29" t="n">
        <v>45980</v>
      </c>
      <c r="F2354" s="29" t="n">
        <v>45988</v>
      </c>
      <c r="G2354" s="31" t="n">
        <v>253.47</v>
      </c>
      <c r="H2354" s="31" t="n">
        <v>0</v>
      </c>
      <c r="I2354" t="inlineStr">
        <is>
          <t>Pending</t>
        </is>
      </c>
      <c r="L2354" s="33" t="n"/>
    </row>
    <row r="2355">
      <c r="A2355" t="inlineStr">
        <is>
          <t>CLM520381</t>
        </is>
      </c>
      <c r="B2355" t="inlineStr">
        <is>
          <t>ENC120381</t>
        </is>
      </c>
      <c r="C2355" t="inlineStr">
        <is>
          <t>State Medicaid</t>
        </is>
      </c>
      <c r="D2355" t="inlineStr">
        <is>
          <t>Outpatient</t>
        </is>
      </c>
      <c r="E2355" s="29" t="n">
        <v>45980</v>
      </c>
      <c r="F2355" s="29" t="n">
        <v>45985</v>
      </c>
      <c r="G2355" s="31" t="n">
        <v>228.61</v>
      </c>
      <c r="H2355" s="31" t="n">
        <v>58.71</v>
      </c>
      <c r="I2355" t="inlineStr">
        <is>
          <t>Paid</t>
        </is>
      </c>
      <c r="K2355" s="29" t="n">
        <v>46002</v>
      </c>
      <c r="L2355" s="33" t="n"/>
    </row>
    <row r="2356">
      <c r="A2356" t="inlineStr">
        <is>
          <t>CLM520385</t>
        </is>
      </c>
      <c r="B2356" t="inlineStr">
        <is>
          <t>ENC120385</t>
        </is>
      </c>
      <c r="C2356" t="inlineStr">
        <is>
          <t>State Medicaid</t>
        </is>
      </c>
      <c r="D2356" t="inlineStr">
        <is>
          <t>Outpatient</t>
        </is>
      </c>
      <c r="E2356" s="29" t="n">
        <v>45980</v>
      </c>
      <c r="F2356" s="29" t="n">
        <v>45987</v>
      </c>
      <c r="G2356" s="31" t="n">
        <v>14646.79</v>
      </c>
      <c r="H2356" s="31" t="n">
        <v>0</v>
      </c>
      <c r="I2356" t="inlineStr">
        <is>
          <t>Pending</t>
        </is>
      </c>
      <c r="L2356" s="33" t="n"/>
    </row>
    <row r="2357">
      <c r="A2357" t="inlineStr">
        <is>
          <t>CLM520386</t>
        </is>
      </c>
      <c r="B2357" t="inlineStr">
        <is>
          <t>ENC120386</t>
        </is>
      </c>
      <c r="C2357" t="inlineStr">
        <is>
          <t>State Medicaid</t>
        </is>
      </c>
      <c r="D2357" t="inlineStr">
        <is>
          <t>Inpatient</t>
        </is>
      </c>
      <c r="E2357" s="29" t="n">
        <v>45982</v>
      </c>
      <c r="F2357" s="29" t="n">
        <v>45985</v>
      </c>
      <c r="G2357" s="31" t="n">
        <v>9073.719999999999</v>
      </c>
      <c r="H2357" s="31" t="n">
        <v>0</v>
      </c>
      <c r="I2357" t="inlineStr">
        <is>
          <t>Pending</t>
        </is>
      </c>
      <c r="L2357" s="33" t="n"/>
    </row>
    <row r="2358">
      <c r="A2358" t="inlineStr">
        <is>
          <t>CLM520387</t>
        </is>
      </c>
      <c r="B2358" t="inlineStr">
        <is>
          <t>ENC120387</t>
        </is>
      </c>
      <c r="C2358" t="inlineStr">
        <is>
          <t>Medicare</t>
        </is>
      </c>
      <c r="D2358" t="inlineStr">
        <is>
          <t>Inpatient</t>
        </is>
      </c>
      <c r="E2358" s="29" t="n">
        <v>45987</v>
      </c>
      <c r="F2358" s="29" t="n">
        <v>45991</v>
      </c>
      <c r="G2358" s="31" t="n">
        <v>22399.13</v>
      </c>
      <c r="H2358" s="31" t="n">
        <v>0</v>
      </c>
      <c r="I2358" t="inlineStr">
        <is>
          <t>Denied</t>
        </is>
      </c>
      <c r="J2358" t="inlineStr">
        <is>
          <t>Coding Error</t>
        </is>
      </c>
      <c r="L2358" s="33" t="n"/>
    </row>
    <row r="2359">
      <c r="A2359" t="inlineStr">
        <is>
          <t>CLM520390</t>
        </is>
      </c>
      <c r="B2359" t="inlineStr">
        <is>
          <t>ENC120390</t>
        </is>
      </c>
      <c r="C2359" t="inlineStr">
        <is>
          <t>State Medicaid</t>
        </is>
      </c>
      <c r="D2359" t="inlineStr">
        <is>
          <t>Outpatient</t>
        </is>
      </c>
      <c r="E2359" s="29" t="n">
        <v>45980</v>
      </c>
      <c r="F2359" s="29" t="n">
        <v>45985</v>
      </c>
      <c r="G2359" s="31" t="n">
        <v>292.82</v>
      </c>
      <c r="H2359" s="31" t="n">
        <v>0</v>
      </c>
      <c r="I2359" t="inlineStr">
        <is>
          <t>Pending</t>
        </is>
      </c>
      <c r="L2359" s="33" t="n"/>
    </row>
    <row r="2360">
      <c r="A2360" t="inlineStr">
        <is>
          <t>CLM520396</t>
        </is>
      </c>
      <c r="B2360" t="inlineStr">
        <is>
          <t>ENC120396</t>
        </is>
      </c>
      <c r="C2360" t="inlineStr">
        <is>
          <t>Medicare</t>
        </is>
      </c>
      <c r="D2360" t="inlineStr">
        <is>
          <t>Emergency</t>
        </is>
      </c>
      <c r="E2360" s="29" t="n">
        <v>45980</v>
      </c>
      <c r="F2360" s="29" t="n">
        <v>45985</v>
      </c>
      <c r="G2360" s="31" t="n">
        <v>1124.36</v>
      </c>
      <c r="H2360" s="31" t="n">
        <v>316.54</v>
      </c>
      <c r="I2360" t="inlineStr">
        <is>
          <t>Paid</t>
        </is>
      </c>
      <c r="K2360" s="29" t="n">
        <v>45993</v>
      </c>
      <c r="L2360" s="33" t="n"/>
    </row>
    <row r="2361">
      <c r="A2361" t="inlineStr">
        <is>
          <t>CLM520398</t>
        </is>
      </c>
      <c r="B2361" t="inlineStr">
        <is>
          <t>ENC120398</t>
        </is>
      </c>
      <c r="C2361" t="inlineStr">
        <is>
          <t>Silverline Medicare Advantage</t>
        </is>
      </c>
      <c r="D2361" t="inlineStr">
        <is>
          <t>Emergency</t>
        </is>
      </c>
      <c r="E2361" s="29" t="n">
        <v>45980</v>
      </c>
      <c r="F2361" s="29" t="n">
        <v>45984</v>
      </c>
      <c r="G2361" s="31" t="n">
        <v>1126.26</v>
      </c>
      <c r="H2361" s="31" t="n">
        <v>0</v>
      </c>
      <c r="I2361" t="inlineStr">
        <is>
          <t>Pending</t>
        </is>
      </c>
      <c r="L2361" s="33" t="n"/>
    </row>
    <row r="2362">
      <c r="A2362" t="inlineStr">
        <is>
          <t>CLM520401</t>
        </is>
      </c>
      <c r="B2362" t="inlineStr">
        <is>
          <t>ENC120401</t>
        </is>
      </c>
      <c r="C2362" t="inlineStr">
        <is>
          <t>Summit Choice PPO</t>
        </is>
      </c>
      <c r="D2362" t="inlineStr">
        <is>
          <t>Observation</t>
        </is>
      </c>
      <c r="E2362" s="29" t="n">
        <v>45982</v>
      </c>
      <c r="F2362" s="29" t="n">
        <v>45988</v>
      </c>
      <c r="G2362" s="31" t="n">
        <v>10372.53</v>
      </c>
      <c r="H2362" s="31" t="n">
        <v>4583.55</v>
      </c>
      <c r="I2362" t="inlineStr">
        <is>
          <t>Paid</t>
        </is>
      </c>
      <c r="K2362" s="29" t="n">
        <v>46001</v>
      </c>
      <c r="L2362" s="33" t="n"/>
    </row>
    <row r="2363">
      <c r="A2363" t="inlineStr">
        <is>
          <t>CLM520405</t>
        </is>
      </c>
      <c r="B2363" t="inlineStr">
        <is>
          <t>ENC120405</t>
        </is>
      </c>
      <c r="C2363" t="inlineStr">
        <is>
          <t>Evergreen Mutual Insurance</t>
        </is>
      </c>
      <c r="D2363" t="inlineStr">
        <is>
          <t>Emergency</t>
        </is>
      </c>
      <c r="E2363" s="29" t="n">
        <v>45981</v>
      </c>
      <c r="F2363" s="29" t="n">
        <v>45983</v>
      </c>
      <c r="G2363" s="31" t="n">
        <v>2236.31</v>
      </c>
      <c r="H2363" s="31" t="n">
        <v>863.5</v>
      </c>
      <c r="I2363" t="inlineStr">
        <is>
          <t>Paid</t>
        </is>
      </c>
      <c r="K2363" s="29" t="n">
        <v>46005</v>
      </c>
      <c r="L2363" s="33" t="n"/>
    </row>
    <row r="2364">
      <c r="A2364" t="inlineStr">
        <is>
          <t>CLM520406</t>
        </is>
      </c>
      <c r="B2364" t="inlineStr">
        <is>
          <t>ENC120406</t>
        </is>
      </c>
      <c r="C2364" t="inlineStr">
        <is>
          <t>Evergreen Mutual Insurance</t>
        </is>
      </c>
      <c r="D2364" t="inlineStr">
        <is>
          <t>Inpatient</t>
        </is>
      </c>
      <c r="E2364" s="29" t="n">
        <v>45984</v>
      </c>
      <c r="F2364" s="29" t="n">
        <v>45989</v>
      </c>
      <c r="G2364" s="31" t="n">
        <v>19136.34</v>
      </c>
      <c r="H2364" s="31" t="n">
        <v>6447.96</v>
      </c>
      <c r="I2364" t="inlineStr">
        <is>
          <t>Partially Paid</t>
        </is>
      </c>
      <c r="J2364" t="inlineStr">
        <is>
          <t>Medical Necessity</t>
        </is>
      </c>
      <c r="K2364" s="29" t="n">
        <v>46003</v>
      </c>
      <c r="L2364" s="33" t="n"/>
    </row>
    <row r="2365">
      <c r="A2365" t="inlineStr">
        <is>
          <t>CLM520407</t>
        </is>
      </c>
      <c r="B2365" t="inlineStr">
        <is>
          <t>ENC120407</t>
        </is>
      </c>
      <c r="C2365" t="inlineStr">
        <is>
          <t>Evergreen Mutual Insurance</t>
        </is>
      </c>
      <c r="D2365" t="inlineStr">
        <is>
          <t>Inpatient</t>
        </is>
      </c>
      <c r="E2365" s="29" t="n">
        <v>45985</v>
      </c>
      <c r="F2365" s="29" t="n">
        <v>45989</v>
      </c>
      <c r="G2365" s="31" t="n">
        <v>17451.75</v>
      </c>
      <c r="H2365" s="31" t="n">
        <v>0</v>
      </c>
      <c r="I2365" t="inlineStr">
        <is>
          <t>Pending</t>
        </is>
      </c>
      <c r="L2365" s="33" t="n"/>
    </row>
    <row r="2366">
      <c r="A2366" t="inlineStr">
        <is>
          <t>CLM520408</t>
        </is>
      </c>
      <c r="B2366" t="inlineStr">
        <is>
          <t>ENC120408</t>
        </is>
      </c>
      <c r="C2366" t="inlineStr">
        <is>
          <t>Evergreen Mutual Insurance</t>
        </is>
      </c>
      <c r="D2366" t="inlineStr">
        <is>
          <t>Emergency</t>
        </is>
      </c>
      <c r="E2366" s="29" t="n">
        <v>45981</v>
      </c>
      <c r="F2366" s="29" t="n">
        <v>45985</v>
      </c>
      <c r="G2366" s="31" t="n">
        <v>1452.48</v>
      </c>
      <c r="H2366" s="31" t="n">
        <v>302.29</v>
      </c>
      <c r="I2366" t="inlineStr">
        <is>
          <t>Partially Paid</t>
        </is>
      </c>
      <c r="J2366" t="inlineStr">
        <is>
          <t>Coding Error</t>
        </is>
      </c>
      <c r="K2366" s="29" t="n">
        <v>46014</v>
      </c>
      <c r="L2366" s="33" t="n"/>
    </row>
    <row r="2367">
      <c r="A2367" t="inlineStr">
        <is>
          <t>CLM520418</t>
        </is>
      </c>
      <c r="B2367" t="inlineStr">
        <is>
          <t>ENC120418</t>
        </is>
      </c>
      <c r="C2367" t="inlineStr">
        <is>
          <t>Self-Pay</t>
        </is>
      </c>
      <c r="D2367" t="inlineStr">
        <is>
          <t>Inpatient</t>
        </is>
      </c>
      <c r="E2367" s="29" t="n">
        <v>45989</v>
      </c>
      <c r="F2367" s="29" t="n">
        <v>45996</v>
      </c>
      <c r="G2367" s="31" t="n">
        <v>37597.45</v>
      </c>
      <c r="H2367" s="31" t="n">
        <v>0</v>
      </c>
      <c r="I2367" t="inlineStr">
        <is>
          <t>Pending</t>
        </is>
      </c>
      <c r="L2367" s="33" t="n"/>
    </row>
    <row r="2368">
      <c r="A2368" t="inlineStr">
        <is>
          <t>CLM520420</t>
        </is>
      </c>
      <c r="B2368" t="inlineStr">
        <is>
          <t>ENC120420</t>
        </is>
      </c>
      <c r="C2368" t="inlineStr">
        <is>
          <t>Evergreen Mutual Insurance</t>
        </is>
      </c>
      <c r="D2368" t="inlineStr">
        <is>
          <t>Emergency</t>
        </is>
      </c>
      <c r="E2368" s="29" t="n">
        <v>45981</v>
      </c>
      <c r="F2368" s="29" t="n">
        <v>45983</v>
      </c>
      <c r="G2368" s="31" t="n">
        <v>3264.1</v>
      </c>
      <c r="H2368" s="31" t="n">
        <v>1707.1</v>
      </c>
      <c r="I2368" t="inlineStr">
        <is>
          <t>Paid</t>
        </is>
      </c>
      <c r="K2368" s="29" t="n">
        <v>46009</v>
      </c>
      <c r="L2368" s="33" t="n"/>
    </row>
    <row r="2369">
      <c r="A2369" t="inlineStr">
        <is>
          <t>CLM520424</t>
        </is>
      </c>
      <c r="B2369" t="inlineStr">
        <is>
          <t>ENC120424</t>
        </is>
      </c>
      <c r="C2369" t="inlineStr">
        <is>
          <t>Self-Pay</t>
        </is>
      </c>
      <c r="D2369" t="inlineStr">
        <is>
          <t>Inpatient</t>
        </is>
      </c>
      <c r="E2369" s="29" t="n">
        <v>45983</v>
      </c>
      <c r="F2369" s="29" t="n">
        <v>45985</v>
      </c>
      <c r="G2369" s="31" t="n">
        <v>12051.23</v>
      </c>
      <c r="H2369" s="31" t="n">
        <v>0</v>
      </c>
      <c r="I2369" t="inlineStr">
        <is>
          <t>Pending</t>
        </is>
      </c>
      <c r="L2369" s="33" t="n"/>
    </row>
    <row r="2370">
      <c r="A2370" t="inlineStr">
        <is>
          <t>CLM520428</t>
        </is>
      </c>
      <c r="B2370" t="inlineStr">
        <is>
          <t>ENC120428</t>
        </is>
      </c>
      <c r="C2370" t="inlineStr">
        <is>
          <t>Medicare</t>
        </is>
      </c>
      <c r="D2370" t="inlineStr">
        <is>
          <t>Outpatient</t>
        </is>
      </c>
      <c r="E2370" s="29" t="n">
        <v>45981</v>
      </c>
      <c r="F2370" s="29" t="n">
        <v>45983</v>
      </c>
      <c r="G2370" s="31" t="n">
        <v>311.36</v>
      </c>
      <c r="H2370" s="31" t="n">
        <v>80.79000000000001</v>
      </c>
      <c r="I2370" t="inlineStr">
        <is>
          <t>Paid</t>
        </is>
      </c>
      <c r="K2370" s="29" t="n">
        <v>45991</v>
      </c>
      <c r="L2370" s="33" t="n"/>
    </row>
    <row r="2371">
      <c r="A2371" t="inlineStr">
        <is>
          <t>CLM520430</t>
        </is>
      </c>
      <c r="B2371" t="inlineStr">
        <is>
          <t>ENC120430</t>
        </is>
      </c>
      <c r="C2371" t="inlineStr">
        <is>
          <t>State Medicaid</t>
        </is>
      </c>
      <c r="D2371" t="inlineStr">
        <is>
          <t>Inpatient</t>
        </is>
      </c>
      <c r="E2371" s="29" t="n">
        <v>45983</v>
      </c>
      <c r="F2371" s="29" t="n">
        <v>45987</v>
      </c>
      <c r="G2371" s="31" t="n">
        <v>23664.31</v>
      </c>
      <c r="H2371" s="31" t="n">
        <v>0</v>
      </c>
      <c r="I2371" t="inlineStr">
        <is>
          <t>Denied</t>
        </is>
      </c>
      <c r="J2371" t="inlineStr">
        <is>
          <t>Eligibility / Coverage</t>
        </is>
      </c>
      <c r="L2371" s="33" t="n"/>
    </row>
    <row r="2372">
      <c r="A2372" t="inlineStr">
        <is>
          <t>CLM520432</t>
        </is>
      </c>
      <c r="B2372" t="inlineStr">
        <is>
          <t>ENC120432</t>
        </is>
      </c>
      <c r="C2372" t="inlineStr">
        <is>
          <t>Silverline Medicare Advantage</t>
        </is>
      </c>
      <c r="D2372" t="inlineStr">
        <is>
          <t>Outpatient</t>
        </is>
      </c>
      <c r="E2372" s="29" t="n">
        <v>45981</v>
      </c>
      <c r="F2372" s="29" t="n">
        <v>45984</v>
      </c>
      <c r="G2372" s="31" t="n">
        <v>319.24</v>
      </c>
      <c r="H2372" s="31" t="n">
        <v>92.20999999999999</v>
      </c>
      <c r="I2372" t="inlineStr">
        <is>
          <t>Partially Paid</t>
        </is>
      </c>
      <c r="J2372" t="inlineStr">
        <is>
          <t>Coding Error</t>
        </is>
      </c>
      <c r="K2372" s="29" t="n">
        <v>46020</v>
      </c>
      <c r="L2372" s="33" t="n"/>
    </row>
    <row r="2373">
      <c r="A2373" t="inlineStr">
        <is>
          <t>CLM520436</t>
        </is>
      </c>
      <c r="B2373" t="inlineStr">
        <is>
          <t>ENC120436</t>
        </is>
      </c>
      <c r="C2373" t="inlineStr">
        <is>
          <t>State Medicaid</t>
        </is>
      </c>
      <c r="D2373" t="inlineStr">
        <is>
          <t>Outpatient</t>
        </is>
      </c>
      <c r="E2373" s="29" t="n">
        <v>45981</v>
      </c>
      <c r="F2373" s="29" t="n">
        <v>45985</v>
      </c>
      <c r="G2373" s="31" t="n">
        <v>287.77</v>
      </c>
      <c r="H2373" s="31" t="n">
        <v>0</v>
      </c>
      <c r="I2373" t="inlineStr">
        <is>
          <t>Denied</t>
        </is>
      </c>
      <c r="J2373" t="inlineStr">
        <is>
          <t>Eligibility / Coverage</t>
        </is>
      </c>
      <c r="L2373" s="33" t="n"/>
    </row>
    <row r="2374">
      <c r="A2374" t="inlineStr">
        <is>
          <t>CLM520439</t>
        </is>
      </c>
      <c r="B2374" t="inlineStr">
        <is>
          <t>ENC120439</t>
        </is>
      </c>
      <c r="C2374" t="inlineStr">
        <is>
          <t>State Medicaid</t>
        </is>
      </c>
      <c r="D2374" t="inlineStr">
        <is>
          <t>Outpatient</t>
        </is>
      </c>
      <c r="E2374" s="29" t="n">
        <v>45981</v>
      </c>
      <c r="F2374" s="29" t="n">
        <v>45985</v>
      </c>
      <c r="G2374" s="31" t="n">
        <v>369.56</v>
      </c>
      <c r="H2374" s="31" t="n">
        <v>0</v>
      </c>
      <c r="I2374" t="inlineStr">
        <is>
          <t>Denied</t>
        </is>
      </c>
      <c r="J2374" t="inlineStr">
        <is>
          <t>Missing Documentation</t>
        </is>
      </c>
      <c r="L2374" s="33" t="n"/>
    </row>
    <row r="2375">
      <c r="A2375" t="inlineStr">
        <is>
          <t>CLM520459</t>
        </is>
      </c>
      <c r="B2375" t="inlineStr">
        <is>
          <t>ENC120459</t>
        </is>
      </c>
      <c r="C2375" t="inlineStr">
        <is>
          <t>State Medicaid</t>
        </is>
      </c>
      <c r="D2375" t="inlineStr">
        <is>
          <t>Emergency</t>
        </is>
      </c>
      <c r="E2375" s="29" t="n">
        <v>45982</v>
      </c>
      <c r="F2375" s="29" t="n">
        <v>45987</v>
      </c>
      <c r="G2375" s="31" t="n">
        <v>4212.11</v>
      </c>
      <c r="H2375" s="31" t="n">
        <v>1046.11</v>
      </c>
      <c r="I2375" t="inlineStr">
        <is>
          <t>Paid</t>
        </is>
      </c>
      <c r="K2375" s="29" t="n">
        <v>46021</v>
      </c>
      <c r="L2375" s="33" t="n"/>
    </row>
    <row r="2376">
      <c r="A2376" t="inlineStr">
        <is>
          <t>CLM520462</t>
        </is>
      </c>
      <c r="B2376" t="inlineStr">
        <is>
          <t>ENC120462</t>
        </is>
      </c>
      <c r="C2376" t="inlineStr">
        <is>
          <t>Keystone Health Partners</t>
        </is>
      </c>
      <c r="D2376" t="inlineStr">
        <is>
          <t>Outpatient</t>
        </is>
      </c>
      <c r="E2376" s="29" t="n">
        <v>45982</v>
      </c>
      <c r="F2376" s="29" t="n">
        <v>45984</v>
      </c>
      <c r="G2376" s="31" t="n">
        <v>316.53</v>
      </c>
      <c r="H2376" s="31" t="n">
        <v>125.73</v>
      </c>
      <c r="I2376" t="inlineStr">
        <is>
          <t>Partially Paid</t>
        </is>
      </c>
      <c r="J2376" t="inlineStr">
        <is>
          <t>Medical Necessity</t>
        </is>
      </c>
      <c r="K2376" s="29" t="n">
        <v>46015</v>
      </c>
      <c r="L2376" s="33" t="n"/>
    </row>
    <row r="2377">
      <c r="A2377" t="inlineStr">
        <is>
          <t>CLM520470</t>
        </is>
      </c>
      <c r="B2377" t="inlineStr">
        <is>
          <t>ENC120470</t>
        </is>
      </c>
      <c r="C2377" t="inlineStr">
        <is>
          <t>Keystone Health Partners</t>
        </is>
      </c>
      <c r="D2377" t="inlineStr">
        <is>
          <t>Emergency</t>
        </is>
      </c>
      <c r="E2377" s="29" t="n">
        <v>45982</v>
      </c>
      <c r="F2377" s="29" t="n">
        <v>45986</v>
      </c>
      <c r="G2377" s="31" t="n">
        <v>4729.31</v>
      </c>
      <c r="H2377" s="31" t="n">
        <v>2378.6</v>
      </c>
      <c r="I2377" t="inlineStr">
        <is>
          <t>Paid</t>
        </is>
      </c>
      <c r="K2377" s="29" t="n">
        <v>46005</v>
      </c>
      <c r="L2377" s="33" t="n"/>
    </row>
    <row r="2378">
      <c r="A2378" t="inlineStr">
        <is>
          <t>CLM520471</t>
        </is>
      </c>
      <c r="B2378" t="inlineStr">
        <is>
          <t>ENC120471</t>
        </is>
      </c>
      <c r="C2378" t="inlineStr">
        <is>
          <t>Keystone Health Partners</t>
        </is>
      </c>
      <c r="D2378" t="inlineStr">
        <is>
          <t>Emergency</t>
        </is>
      </c>
      <c r="E2378" s="29" t="n">
        <v>45982</v>
      </c>
      <c r="F2378" s="29" t="n">
        <v>45988</v>
      </c>
      <c r="G2378" s="31" t="n">
        <v>2747.29</v>
      </c>
      <c r="H2378" s="31" t="n">
        <v>1264.63</v>
      </c>
      <c r="I2378" t="inlineStr">
        <is>
          <t>Paid</t>
        </is>
      </c>
      <c r="K2378" s="29" t="n">
        <v>46005</v>
      </c>
      <c r="L2378" s="33" t="n"/>
    </row>
    <row r="2379">
      <c r="A2379" t="inlineStr">
        <is>
          <t>CLM520473</t>
        </is>
      </c>
      <c r="B2379" t="inlineStr">
        <is>
          <t>ENC120473</t>
        </is>
      </c>
      <c r="C2379" t="inlineStr">
        <is>
          <t>Silverline Medicare Advantage</t>
        </is>
      </c>
      <c r="D2379" t="inlineStr">
        <is>
          <t>Emergency</t>
        </is>
      </c>
      <c r="E2379" s="29" t="n">
        <v>45982</v>
      </c>
      <c r="F2379" s="29" t="n">
        <v>45985</v>
      </c>
      <c r="G2379" s="31" t="n">
        <v>1713.66</v>
      </c>
      <c r="H2379" s="31" t="n">
        <v>475.74</v>
      </c>
      <c r="I2379" t="inlineStr">
        <is>
          <t>Paid</t>
        </is>
      </c>
      <c r="K2379" s="29" t="n">
        <v>46009</v>
      </c>
      <c r="L2379" s="33" t="n"/>
    </row>
    <row r="2380">
      <c r="A2380" t="inlineStr">
        <is>
          <t>CLM520474</t>
        </is>
      </c>
      <c r="B2380" t="inlineStr">
        <is>
          <t>ENC120474</t>
        </is>
      </c>
      <c r="C2380" t="inlineStr">
        <is>
          <t>Self-Pay</t>
        </is>
      </c>
      <c r="D2380" t="inlineStr">
        <is>
          <t>Emergency</t>
        </is>
      </c>
      <c r="E2380" s="29" t="n">
        <v>45982</v>
      </c>
      <c r="F2380" s="29" t="n">
        <v>45985</v>
      </c>
      <c r="G2380" s="31" t="n">
        <v>1659.7</v>
      </c>
      <c r="H2380" s="31" t="n">
        <v>0</v>
      </c>
      <c r="I2380" t="inlineStr">
        <is>
          <t>Pending</t>
        </is>
      </c>
      <c r="L2380" s="33" t="n"/>
    </row>
    <row r="2381">
      <c r="A2381" t="inlineStr">
        <is>
          <t>CLM520475</t>
        </is>
      </c>
      <c r="B2381" t="inlineStr">
        <is>
          <t>ENC120475</t>
        </is>
      </c>
      <c r="C2381" t="inlineStr">
        <is>
          <t>State Medicaid</t>
        </is>
      </c>
      <c r="D2381" t="inlineStr">
        <is>
          <t>Inpatient</t>
        </is>
      </c>
      <c r="E2381" s="29" t="n">
        <v>45987</v>
      </c>
      <c r="F2381" s="29" t="n">
        <v>45990</v>
      </c>
      <c r="G2381" s="31" t="n">
        <v>26693.74</v>
      </c>
      <c r="H2381" s="31" t="n">
        <v>0</v>
      </c>
      <c r="I2381" t="inlineStr">
        <is>
          <t>Pending</t>
        </is>
      </c>
      <c r="L2381" s="33" t="n"/>
    </row>
    <row r="2382">
      <c r="A2382" t="inlineStr">
        <is>
          <t>CLM520504</t>
        </is>
      </c>
      <c r="B2382" t="inlineStr">
        <is>
          <t>ENC120504</t>
        </is>
      </c>
      <c r="C2382" t="inlineStr">
        <is>
          <t>Keystone Health Partners</t>
        </is>
      </c>
      <c r="D2382" t="inlineStr">
        <is>
          <t>Inpatient</t>
        </is>
      </c>
      <c r="E2382" s="29" t="n">
        <v>45987</v>
      </c>
      <c r="F2382" s="29" t="n">
        <v>45989</v>
      </c>
      <c r="G2382" s="31" t="n">
        <v>11951.44</v>
      </c>
      <c r="H2382" s="31" t="n">
        <v>6056.5</v>
      </c>
      <c r="I2382" t="inlineStr">
        <is>
          <t>Paid</t>
        </is>
      </c>
      <c r="K2382" s="29" t="n">
        <v>46010</v>
      </c>
      <c r="L2382" s="33" t="n"/>
    </row>
    <row r="2383">
      <c r="A2383" t="inlineStr">
        <is>
          <t>CLM520507</t>
        </is>
      </c>
      <c r="B2383" t="inlineStr">
        <is>
          <t>ENC120507</t>
        </is>
      </c>
      <c r="C2383" t="inlineStr">
        <is>
          <t>Silverline Medicare Advantage</t>
        </is>
      </c>
      <c r="D2383" t="inlineStr">
        <is>
          <t>Observation</t>
        </is>
      </c>
      <c r="E2383" s="29" t="n">
        <v>45985</v>
      </c>
      <c r="F2383" s="29" t="n">
        <v>45990</v>
      </c>
      <c r="G2383" s="31" t="n">
        <v>9572.280000000001</v>
      </c>
      <c r="H2383" s="31" t="n">
        <v>2742.17</v>
      </c>
      <c r="I2383" t="inlineStr">
        <is>
          <t>Paid</t>
        </is>
      </c>
      <c r="K2383" s="29" t="n">
        <v>46009</v>
      </c>
      <c r="L2383" s="33" t="n"/>
    </row>
    <row r="2384">
      <c r="A2384" t="inlineStr">
        <is>
          <t>CLM520510</t>
        </is>
      </c>
      <c r="B2384" t="inlineStr">
        <is>
          <t>ENC120510</t>
        </is>
      </c>
      <c r="C2384" t="inlineStr">
        <is>
          <t>State Medicaid</t>
        </is>
      </c>
      <c r="D2384" t="inlineStr">
        <is>
          <t>Inpatient</t>
        </is>
      </c>
      <c r="E2384" s="29" t="n">
        <v>45989</v>
      </c>
      <c r="F2384" s="29" t="n">
        <v>45994</v>
      </c>
      <c r="G2384" s="31" t="n">
        <v>15186.03</v>
      </c>
      <c r="H2384" s="31" t="n">
        <v>3602.8</v>
      </c>
      <c r="I2384" t="inlineStr">
        <is>
          <t>Paid</t>
        </is>
      </c>
      <c r="K2384" s="29" t="n">
        <v>46016</v>
      </c>
      <c r="L2384" s="33" t="n"/>
    </row>
    <row r="2385">
      <c r="A2385" t="inlineStr">
        <is>
          <t>CLM520521</t>
        </is>
      </c>
      <c r="B2385" t="inlineStr">
        <is>
          <t>ENC120521</t>
        </is>
      </c>
      <c r="C2385" t="inlineStr">
        <is>
          <t>Self-Pay</t>
        </is>
      </c>
      <c r="D2385" t="inlineStr">
        <is>
          <t>Emergency</t>
        </is>
      </c>
      <c r="E2385" s="29" t="n">
        <v>45985</v>
      </c>
      <c r="F2385" s="29" t="n">
        <v>45987</v>
      </c>
      <c r="G2385" s="31" t="n">
        <v>2736.8</v>
      </c>
      <c r="H2385" s="31" t="n">
        <v>0</v>
      </c>
      <c r="I2385" t="inlineStr">
        <is>
          <t>Pending</t>
        </is>
      </c>
      <c r="L2385" s="33" t="n"/>
    </row>
    <row r="2386">
      <c r="A2386" t="inlineStr">
        <is>
          <t>CLM520524</t>
        </is>
      </c>
      <c r="B2386" t="inlineStr">
        <is>
          <t>ENC120524</t>
        </is>
      </c>
      <c r="C2386" t="inlineStr">
        <is>
          <t>Summit Choice PPO</t>
        </is>
      </c>
      <c r="D2386" t="inlineStr">
        <is>
          <t>Emergency</t>
        </is>
      </c>
      <c r="E2386" s="29" t="n">
        <v>45985</v>
      </c>
      <c r="F2386" s="29" t="n">
        <v>45990</v>
      </c>
      <c r="G2386" s="31" t="n">
        <v>2416.84</v>
      </c>
      <c r="H2386" s="31" t="n">
        <v>1182.27</v>
      </c>
      <c r="I2386" t="inlineStr">
        <is>
          <t>Paid</t>
        </is>
      </c>
      <c r="K2386" s="29" t="n">
        <v>46013</v>
      </c>
      <c r="L2386" s="33" t="n"/>
    </row>
    <row r="2387">
      <c r="A2387" t="inlineStr">
        <is>
          <t>CLM520527</t>
        </is>
      </c>
      <c r="B2387" t="inlineStr">
        <is>
          <t>ENC120527</t>
        </is>
      </c>
      <c r="C2387" t="inlineStr">
        <is>
          <t>Evergreen Mutual Insurance</t>
        </is>
      </c>
      <c r="D2387" t="inlineStr">
        <is>
          <t>Outpatient</t>
        </is>
      </c>
      <c r="E2387" s="29" t="n">
        <v>45985</v>
      </c>
      <c r="F2387" s="29" t="n">
        <v>45988</v>
      </c>
      <c r="G2387" s="31" t="n">
        <v>538.55</v>
      </c>
      <c r="H2387" s="31" t="n">
        <v>258.96</v>
      </c>
      <c r="I2387" t="inlineStr">
        <is>
          <t>Paid</t>
        </is>
      </c>
      <c r="K2387" s="29" t="n">
        <v>46015</v>
      </c>
      <c r="L2387" s="33" t="n"/>
    </row>
    <row r="2388">
      <c r="A2388" t="inlineStr">
        <is>
          <t>CLM520529</t>
        </is>
      </c>
      <c r="B2388" t="inlineStr">
        <is>
          <t>ENC120529</t>
        </is>
      </c>
      <c r="C2388" t="inlineStr">
        <is>
          <t>Evergreen Mutual Insurance</t>
        </is>
      </c>
      <c r="D2388" t="inlineStr">
        <is>
          <t>Outpatient</t>
        </is>
      </c>
      <c r="E2388" s="29" t="n">
        <v>45985</v>
      </c>
      <c r="F2388" s="29" t="n">
        <v>45988</v>
      </c>
      <c r="G2388" s="31" t="n">
        <v>125.83</v>
      </c>
      <c r="H2388" s="31" t="n">
        <v>0</v>
      </c>
      <c r="I2388" t="inlineStr">
        <is>
          <t>Pending</t>
        </is>
      </c>
      <c r="L2388" s="33" t="n"/>
    </row>
    <row r="2389">
      <c r="A2389" t="inlineStr">
        <is>
          <t>CLM520542</t>
        </is>
      </c>
      <c r="B2389" t="inlineStr">
        <is>
          <t>ENC120542</t>
        </is>
      </c>
      <c r="C2389" t="inlineStr">
        <is>
          <t>State Medicaid</t>
        </is>
      </c>
      <c r="D2389" t="inlineStr">
        <is>
          <t>Outpatient</t>
        </is>
      </c>
      <c r="E2389" s="29" t="n">
        <v>45985</v>
      </c>
      <c r="F2389" s="29" t="n">
        <v>45992</v>
      </c>
      <c r="G2389" s="31" t="n">
        <v>6805.34</v>
      </c>
      <c r="H2389" s="31" t="n">
        <v>0</v>
      </c>
      <c r="I2389" t="inlineStr">
        <is>
          <t>Pending</t>
        </is>
      </c>
      <c r="L2389" s="33" t="n"/>
    </row>
    <row r="2390">
      <c r="A2390" t="inlineStr">
        <is>
          <t>CLM520545</t>
        </is>
      </c>
      <c r="B2390" t="inlineStr">
        <is>
          <t>ENC120545</t>
        </is>
      </c>
      <c r="C2390" t="inlineStr">
        <is>
          <t>State Medicaid</t>
        </is>
      </c>
      <c r="D2390" t="inlineStr">
        <is>
          <t>Outpatient</t>
        </is>
      </c>
      <c r="E2390" s="29" t="n">
        <v>45985</v>
      </c>
      <c r="F2390" s="29" t="n">
        <v>45987</v>
      </c>
      <c r="G2390" s="31" t="n">
        <v>288.08</v>
      </c>
      <c r="H2390" s="31" t="n">
        <v>0</v>
      </c>
      <c r="I2390" t="inlineStr">
        <is>
          <t>Pending</t>
        </is>
      </c>
      <c r="L2390" s="33" t="n"/>
    </row>
    <row r="2391">
      <c r="A2391" t="inlineStr">
        <is>
          <t>CLM520561</t>
        </is>
      </c>
      <c r="B2391" t="inlineStr">
        <is>
          <t>ENC120561</t>
        </is>
      </c>
      <c r="C2391" t="inlineStr">
        <is>
          <t>State Medicaid</t>
        </is>
      </c>
      <c r="D2391" t="inlineStr">
        <is>
          <t>Outpatient</t>
        </is>
      </c>
      <c r="E2391" s="29" t="n">
        <v>45986</v>
      </c>
      <c r="F2391" s="29" t="n">
        <v>45991</v>
      </c>
      <c r="G2391" s="31" t="n">
        <v>355.37</v>
      </c>
      <c r="H2391" s="31" t="n">
        <v>0</v>
      </c>
      <c r="I2391" t="inlineStr">
        <is>
          <t>Pending</t>
        </is>
      </c>
      <c r="L2391" s="33" t="n"/>
    </row>
    <row r="2392">
      <c r="A2392" t="inlineStr">
        <is>
          <t>CLM520566</t>
        </is>
      </c>
      <c r="B2392" t="inlineStr">
        <is>
          <t>ENC120566</t>
        </is>
      </c>
      <c r="C2392" t="inlineStr">
        <is>
          <t>State Medicaid</t>
        </is>
      </c>
      <c r="D2392" t="inlineStr">
        <is>
          <t>Emergency</t>
        </is>
      </c>
      <c r="E2392" s="29" t="n">
        <v>45986</v>
      </c>
      <c r="F2392" s="29" t="n">
        <v>45987</v>
      </c>
      <c r="G2392" s="31" t="n">
        <v>1748.85</v>
      </c>
      <c r="H2392" s="31" t="n">
        <v>463.34</v>
      </c>
      <c r="I2392" t="inlineStr">
        <is>
          <t>Paid</t>
        </is>
      </c>
      <c r="K2392" s="29" t="n">
        <v>46013</v>
      </c>
      <c r="L2392" s="33" t="n"/>
    </row>
    <row r="2393">
      <c r="A2393" t="inlineStr">
        <is>
          <t>CLM520569</t>
        </is>
      </c>
      <c r="B2393" t="inlineStr">
        <is>
          <t>ENC120569</t>
        </is>
      </c>
      <c r="C2393" t="inlineStr">
        <is>
          <t>Medicare</t>
        </is>
      </c>
      <c r="D2393" t="inlineStr">
        <is>
          <t>Emergency</t>
        </is>
      </c>
      <c r="E2393" s="29" t="n">
        <v>45986</v>
      </c>
      <c r="F2393" s="29" t="n">
        <v>45993</v>
      </c>
      <c r="G2393" s="31" t="n">
        <v>1556.5</v>
      </c>
      <c r="H2393" s="31" t="n">
        <v>405.16</v>
      </c>
      <c r="I2393" t="inlineStr">
        <is>
          <t>Paid</t>
        </is>
      </c>
      <c r="K2393" s="29" t="n">
        <v>46006</v>
      </c>
      <c r="L2393" s="33" t="n"/>
    </row>
    <row r="2394">
      <c r="A2394" t="inlineStr">
        <is>
          <t>CLM520574</t>
        </is>
      </c>
      <c r="B2394" t="inlineStr">
        <is>
          <t>ENC120574</t>
        </is>
      </c>
      <c r="C2394" t="inlineStr">
        <is>
          <t>State Medicaid</t>
        </is>
      </c>
      <c r="D2394" t="inlineStr">
        <is>
          <t>Emergency</t>
        </is>
      </c>
      <c r="E2394" s="29" t="n">
        <v>45986</v>
      </c>
      <c r="F2394" s="29" t="n">
        <v>45990</v>
      </c>
      <c r="G2394" s="31" t="n">
        <v>2997.87</v>
      </c>
      <c r="H2394" s="31" t="n">
        <v>0</v>
      </c>
      <c r="I2394" t="inlineStr">
        <is>
          <t>Pending</t>
        </is>
      </c>
      <c r="L2394" s="33" t="n"/>
    </row>
    <row r="2395">
      <c r="A2395" t="inlineStr">
        <is>
          <t>CLM520580</t>
        </is>
      </c>
      <c r="B2395" t="inlineStr">
        <is>
          <t>ENC120580</t>
        </is>
      </c>
      <c r="C2395" t="inlineStr">
        <is>
          <t>Silverline Medicare Advantage</t>
        </is>
      </c>
      <c r="D2395" t="inlineStr">
        <is>
          <t>Outpatient</t>
        </is>
      </c>
      <c r="E2395" s="29" t="n">
        <v>45986</v>
      </c>
      <c r="F2395" s="29" t="n">
        <v>45988</v>
      </c>
      <c r="G2395" s="31" t="n">
        <v>168.21</v>
      </c>
      <c r="H2395" s="31" t="n">
        <v>0</v>
      </c>
      <c r="I2395" t="inlineStr">
        <is>
          <t>Pending</t>
        </is>
      </c>
      <c r="L2395" s="33" t="n"/>
    </row>
    <row r="2396">
      <c r="A2396" t="inlineStr">
        <is>
          <t>CLM520581</t>
        </is>
      </c>
      <c r="B2396" t="inlineStr">
        <is>
          <t>ENC120581</t>
        </is>
      </c>
      <c r="C2396" t="inlineStr">
        <is>
          <t>Medicare</t>
        </is>
      </c>
      <c r="D2396" t="inlineStr">
        <is>
          <t>Outpatient</t>
        </is>
      </c>
      <c r="E2396" s="29" t="n">
        <v>45986</v>
      </c>
      <c r="F2396" s="29" t="n">
        <v>45989</v>
      </c>
      <c r="G2396" s="31" t="n">
        <v>303.76</v>
      </c>
      <c r="H2396" s="31" t="n">
        <v>0</v>
      </c>
      <c r="I2396" t="inlineStr">
        <is>
          <t>Denied</t>
        </is>
      </c>
      <c r="J2396" t="inlineStr">
        <is>
          <t>Coding Error</t>
        </is>
      </c>
      <c r="L2396" s="33" t="n"/>
    </row>
    <row r="2397">
      <c r="A2397" t="inlineStr">
        <is>
          <t>CLM520583</t>
        </is>
      </c>
      <c r="B2397" t="inlineStr">
        <is>
          <t>ENC120583</t>
        </is>
      </c>
      <c r="C2397" t="inlineStr">
        <is>
          <t>Silverline Medicare Advantage</t>
        </is>
      </c>
      <c r="D2397" t="inlineStr">
        <is>
          <t>Outpatient</t>
        </is>
      </c>
      <c r="E2397" s="29" t="n">
        <v>45986</v>
      </c>
      <c r="F2397" s="29" t="n">
        <v>45988</v>
      </c>
      <c r="G2397" s="31" t="n">
        <v>227.37</v>
      </c>
      <c r="H2397" s="31" t="n">
        <v>80.36</v>
      </c>
      <c r="I2397" t="inlineStr">
        <is>
          <t>Paid</t>
        </is>
      </c>
      <c r="K2397" s="29" t="n">
        <v>46020</v>
      </c>
      <c r="L2397" s="33" t="n"/>
    </row>
    <row r="2398">
      <c r="A2398" t="inlineStr">
        <is>
          <t>CLM520584</t>
        </is>
      </c>
      <c r="B2398" t="inlineStr">
        <is>
          <t>ENC120584</t>
        </is>
      </c>
      <c r="C2398" t="inlineStr">
        <is>
          <t>Medicare</t>
        </is>
      </c>
      <c r="D2398" t="inlineStr">
        <is>
          <t>Inpatient</t>
        </is>
      </c>
      <c r="E2398" s="29" t="n">
        <v>45991</v>
      </c>
      <c r="F2398" s="29" t="n">
        <v>45995</v>
      </c>
      <c r="G2398" s="31" t="n">
        <v>20355.66</v>
      </c>
      <c r="H2398" s="31" t="n">
        <v>6108.14</v>
      </c>
      <c r="I2398" t="inlineStr">
        <is>
          <t>Paid</t>
        </is>
      </c>
      <c r="K2398" s="29" t="n">
        <v>46010</v>
      </c>
      <c r="L2398" s="33" t="n"/>
    </row>
    <row r="2399">
      <c r="A2399" t="inlineStr">
        <is>
          <t>CLM520591</t>
        </is>
      </c>
      <c r="B2399" t="inlineStr">
        <is>
          <t>ENC120591</t>
        </is>
      </c>
      <c r="C2399" t="inlineStr">
        <is>
          <t>Silverline Medicare Advantage</t>
        </is>
      </c>
      <c r="D2399" t="inlineStr">
        <is>
          <t>Outpatient</t>
        </is>
      </c>
      <c r="E2399" s="29" t="n">
        <v>45987</v>
      </c>
      <c r="F2399" s="29" t="n">
        <v>45993</v>
      </c>
      <c r="G2399" s="31" t="n">
        <v>617.14</v>
      </c>
      <c r="H2399" s="31" t="n">
        <v>188.39</v>
      </c>
      <c r="I2399" t="inlineStr">
        <is>
          <t>Paid</t>
        </is>
      </c>
      <c r="K2399" s="29" t="n">
        <v>46020</v>
      </c>
      <c r="L2399" s="33" t="n"/>
    </row>
    <row r="2400">
      <c r="A2400" t="inlineStr">
        <is>
          <t>CLM520597</t>
        </is>
      </c>
      <c r="B2400" t="inlineStr">
        <is>
          <t>ENC120597</t>
        </is>
      </c>
      <c r="C2400" t="inlineStr">
        <is>
          <t>Self-Pay</t>
        </is>
      </c>
      <c r="D2400" t="inlineStr">
        <is>
          <t>Outpatient</t>
        </is>
      </c>
      <c r="E2400" s="29" t="n">
        <v>45987</v>
      </c>
      <c r="F2400" s="29" t="n">
        <v>45992</v>
      </c>
      <c r="G2400" s="31" t="n">
        <v>383.94</v>
      </c>
      <c r="H2400" s="31" t="n">
        <v>0</v>
      </c>
      <c r="I2400" t="inlineStr">
        <is>
          <t>Pending</t>
        </is>
      </c>
      <c r="L2400" s="33" t="n"/>
    </row>
    <row r="2401">
      <c r="A2401" t="inlineStr">
        <is>
          <t>CLM520599</t>
        </is>
      </c>
      <c r="B2401" t="inlineStr">
        <is>
          <t>ENC120599</t>
        </is>
      </c>
      <c r="C2401" t="inlineStr">
        <is>
          <t>State Medicaid</t>
        </is>
      </c>
      <c r="D2401" t="inlineStr">
        <is>
          <t>Outpatient</t>
        </is>
      </c>
      <c r="E2401" s="29" t="n">
        <v>45987</v>
      </c>
      <c r="F2401" s="29" t="n">
        <v>45989</v>
      </c>
      <c r="G2401" s="31" t="n">
        <v>194.08</v>
      </c>
      <c r="H2401" s="31" t="n">
        <v>0</v>
      </c>
      <c r="I2401" t="inlineStr">
        <is>
          <t>Pending</t>
        </is>
      </c>
      <c r="L2401" s="33" t="n"/>
    </row>
    <row r="2402">
      <c r="A2402" t="inlineStr">
        <is>
          <t>CLM520606</t>
        </is>
      </c>
      <c r="B2402" t="inlineStr">
        <is>
          <t>ENC120606</t>
        </is>
      </c>
      <c r="C2402" t="inlineStr">
        <is>
          <t>Evergreen Mutual Insurance</t>
        </is>
      </c>
      <c r="D2402" t="inlineStr">
        <is>
          <t>Outpatient</t>
        </is>
      </c>
      <c r="E2402" s="29" t="n">
        <v>45987</v>
      </c>
      <c r="F2402" s="29" t="n">
        <v>45991</v>
      </c>
      <c r="G2402" s="31" t="n">
        <v>197.85</v>
      </c>
      <c r="H2402" s="31" t="n">
        <v>0</v>
      </c>
      <c r="I2402" t="inlineStr">
        <is>
          <t>Pending</t>
        </is>
      </c>
      <c r="L2402" s="33" t="n"/>
    </row>
    <row r="2403">
      <c r="A2403" t="inlineStr">
        <is>
          <t>CLM520609</t>
        </is>
      </c>
      <c r="B2403" t="inlineStr">
        <is>
          <t>ENC120609</t>
        </is>
      </c>
      <c r="C2403" t="inlineStr">
        <is>
          <t>Silverline Medicare Advantage</t>
        </is>
      </c>
      <c r="D2403" t="inlineStr">
        <is>
          <t>Emergency</t>
        </is>
      </c>
      <c r="E2403" s="29" t="n">
        <v>45987</v>
      </c>
      <c r="F2403" s="29" t="n">
        <v>45998</v>
      </c>
      <c r="G2403" s="31" t="n">
        <v>3563.44</v>
      </c>
      <c r="H2403" s="31" t="n">
        <v>0</v>
      </c>
      <c r="I2403" t="inlineStr">
        <is>
          <t>Pending</t>
        </is>
      </c>
      <c r="L2403" s="33" t="n"/>
    </row>
    <row r="2404">
      <c r="A2404" t="inlineStr">
        <is>
          <t>CLM520619</t>
        </is>
      </c>
      <c r="B2404" t="inlineStr">
        <is>
          <t>ENC120619</t>
        </is>
      </c>
      <c r="C2404" t="inlineStr">
        <is>
          <t>State Medicaid</t>
        </is>
      </c>
      <c r="D2404" t="inlineStr">
        <is>
          <t>Outpatient</t>
        </is>
      </c>
      <c r="E2404" s="29" t="n">
        <v>45988</v>
      </c>
      <c r="F2404" s="29" t="n">
        <v>45992</v>
      </c>
      <c r="G2404" s="31" t="n">
        <v>363.05</v>
      </c>
      <c r="H2404" s="31" t="n">
        <v>0</v>
      </c>
      <c r="I2404" t="inlineStr">
        <is>
          <t>Pending</t>
        </is>
      </c>
      <c r="L2404" s="33" t="n"/>
    </row>
    <row r="2405">
      <c r="A2405" t="inlineStr">
        <is>
          <t>CLM520622</t>
        </is>
      </c>
      <c r="B2405" t="inlineStr">
        <is>
          <t>ENC120622</t>
        </is>
      </c>
      <c r="C2405" t="inlineStr">
        <is>
          <t>State Medicaid</t>
        </is>
      </c>
      <c r="D2405" t="inlineStr">
        <is>
          <t>Outpatient</t>
        </is>
      </c>
      <c r="E2405" s="29" t="n">
        <v>45988</v>
      </c>
      <c r="F2405" s="29" t="n">
        <v>45989</v>
      </c>
      <c r="G2405" s="31" t="n">
        <v>209.9</v>
      </c>
      <c r="H2405" s="31" t="n">
        <v>0</v>
      </c>
      <c r="I2405" t="inlineStr">
        <is>
          <t>Pending</t>
        </is>
      </c>
      <c r="L2405" s="33" t="n"/>
    </row>
    <row r="2406">
      <c r="A2406" t="inlineStr">
        <is>
          <t>CLM520625</t>
        </is>
      </c>
      <c r="B2406" t="inlineStr">
        <is>
          <t>ENC120625</t>
        </is>
      </c>
      <c r="C2406" t="inlineStr">
        <is>
          <t>State Medicaid</t>
        </is>
      </c>
      <c r="D2406" t="inlineStr">
        <is>
          <t>Outpatient</t>
        </is>
      </c>
      <c r="E2406" s="29" t="n">
        <v>45988</v>
      </c>
      <c r="F2406" s="29" t="n">
        <v>45989</v>
      </c>
      <c r="G2406" s="31" t="n">
        <v>573.12</v>
      </c>
      <c r="H2406" s="31" t="n">
        <v>141.19</v>
      </c>
      <c r="I2406" t="inlineStr">
        <is>
          <t>Paid</t>
        </is>
      </c>
      <c r="K2406" s="29" t="n">
        <v>46020</v>
      </c>
      <c r="L2406" s="33" t="n"/>
    </row>
    <row r="2407">
      <c r="A2407" t="inlineStr">
        <is>
          <t>CLM520630</t>
        </is>
      </c>
      <c r="B2407" t="inlineStr">
        <is>
          <t>ENC120630</t>
        </is>
      </c>
      <c r="C2407" t="inlineStr">
        <is>
          <t>Silverline Medicare Advantage</t>
        </is>
      </c>
      <c r="D2407" t="inlineStr">
        <is>
          <t>Emergency</t>
        </is>
      </c>
      <c r="E2407" s="29" t="n">
        <v>45988</v>
      </c>
      <c r="F2407" s="29" t="n">
        <v>45991</v>
      </c>
      <c r="G2407" s="31" t="n">
        <v>3796.39</v>
      </c>
      <c r="H2407" s="31" t="n">
        <v>1213.54</v>
      </c>
      <c r="I2407" t="inlineStr">
        <is>
          <t>Paid</t>
        </is>
      </c>
      <c r="K2407" s="29" t="n">
        <v>46013</v>
      </c>
      <c r="L2407" s="33" t="n"/>
    </row>
    <row r="2408">
      <c r="A2408" t="inlineStr">
        <is>
          <t>CLM520632</t>
        </is>
      </c>
      <c r="B2408" t="inlineStr">
        <is>
          <t>ENC120632</t>
        </is>
      </c>
      <c r="C2408" t="inlineStr">
        <is>
          <t>State Medicaid</t>
        </is>
      </c>
      <c r="D2408" t="inlineStr">
        <is>
          <t>Outpatient</t>
        </is>
      </c>
      <c r="E2408" s="29" t="n">
        <v>45988</v>
      </c>
      <c r="F2408" s="29" t="n">
        <v>45991</v>
      </c>
      <c r="G2408" s="31" t="n">
        <v>128.83</v>
      </c>
      <c r="H2408" s="31" t="n">
        <v>0</v>
      </c>
      <c r="I2408" t="inlineStr">
        <is>
          <t>Pending</t>
        </is>
      </c>
      <c r="L2408" s="33" t="n"/>
    </row>
    <row r="2409">
      <c r="A2409" t="inlineStr">
        <is>
          <t>CLM520647</t>
        </is>
      </c>
      <c r="B2409" t="inlineStr">
        <is>
          <t>ENC120647</t>
        </is>
      </c>
      <c r="C2409" t="inlineStr">
        <is>
          <t>Summit Choice PPO</t>
        </is>
      </c>
      <c r="D2409" t="inlineStr">
        <is>
          <t>Emergency</t>
        </is>
      </c>
      <c r="E2409" s="29" t="n">
        <v>45988</v>
      </c>
      <c r="F2409" s="29" t="n">
        <v>45991</v>
      </c>
      <c r="G2409" s="31" t="n">
        <v>647.42</v>
      </c>
      <c r="H2409" s="31" t="n">
        <v>317.89</v>
      </c>
      <c r="I2409" t="inlineStr">
        <is>
          <t>Paid</t>
        </is>
      </c>
      <c r="K2409" s="29" t="n">
        <v>46010</v>
      </c>
      <c r="L2409" s="33" t="n"/>
    </row>
    <row r="2410">
      <c r="A2410" t="inlineStr">
        <is>
          <t>CLM520648</t>
        </is>
      </c>
      <c r="B2410" t="inlineStr">
        <is>
          <t>ENC120648</t>
        </is>
      </c>
      <c r="C2410" t="inlineStr">
        <is>
          <t>Medicare</t>
        </is>
      </c>
      <c r="D2410" t="inlineStr">
        <is>
          <t>Inpatient</t>
        </is>
      </c>
      <c r="E2410" s="29" t="n">
        <v>45998</v>
      </c>
      <c r="F2410" s="29" t="n">
        <v>46000</v>
      </c>
      <c r="G2410" s="31" t="n">
        <v>28386.47</v>
      </c>
      <c r="H2410" s="31" t="n">
        <v>8603.66</v>
      </c>
      <c r="I2410" t="inlineStr">
        <is>
          <t>Paid</t>
        </is>
      </c>
      <c r="K2410" s="29" t="n">
        <v>46022</v>
      </c>
      <c r="L2410" s="33" t="n"/>
    </row>
    <row r="2411">
      <c r="A2411" t="inlineStr">
        <is>
          <t>CLM520651</t>
        </is>
      </c>
      <c r="B2411" t="inlineStr">
        <is>
          <t>ENC120651</t>
        </is>
      </c>
      <c r="C2411" t="inlineStr">
        <is>
          <t>Medicare</t>
        </is>
      </c>
      <c r="D2411" t="inlineStr">
        <is>
          <t>Inpatient</t>
        </is>
      </c>
      <c r="E2411" s="29" t="n">
        <v>45998</v>
      </c>
      <c r="F2411" s="29" t="n">
        <v>46001</v>
      </c>
      <c r="G2411" s="31" t="n">
        <v>90551.12</v>
      </c>
      <c r="H2411" s="31" t="n">
        <v>22076.25</v>
      </c>
      <c r="I2411" t="inlineStr">
        <is>
          <t>Paid</t>
        </is>
      </c>
      <c r="K2411" s="29" t="n">
        <v>46019</v>
      </c>
      <c r="L2411" s="33" t="n"/>
    </row>
    <row r="2412">
      <c r="A2412" t="inlineStr">
        <is>
          <t>CLM520653</t>
        </is>
      </c>
      <c r="B2412" t="inlineStr">
        <is>
          <t>ENC120653</t>
        </is>
      </c>
      <c r="C2412" t="inlineStr">
        <is>
          <t>Evergreen Mutual Insurance</t>
        </is>
      </c>
      <c r="D2412" t="inlineStr">
        <is>
          <t>Inpatient</t>
        </is>
      </c>
      <c r="E2412" s="29" t="n">
        <v>45992</v>
      </c>
      <c r="F2412" s="29" t="n">
        <v>45996</v>
      </c>
      <c r="G2412" s="31" t="n">
        <v>22757.18</v>
      </c>
      <c r="H2412" s="31" t="n">
        <v>0</v>
      </c>
      <c r="I2412" t="inlineStr">
        <is>
          <t>Denied</t>
        </is>
      </c>
      <c r="J2412" t="inlineStr">
        <is>
          <t>Coding Error</t>
        </is>
      </c>
      <c r="L2412" s="33" t="n"/>
    </row>
    <row r="2413">
      <c r="A2413" t="inlineStr">
        <is>
          <t>CLM520654</t>
        </is>
      </c>
      <c r="B2413" t="inlineStr">
        <is>
          <t>ENC120654</t>
        </is>
      </c>
      <c r="C2413" t="inlineStr">
        <is>
          <t>Evergreen Mutual Insurance</t>
        </is>
      </c>
      <c r="D2413" t="inlineStr">
        <is>
          <t>Inpatient</t>
        </is>
      </c>
      <c r="E2413" s="29" t="n">
        <v>45990</v>
      </c>
      <c r="F2413" s="29" t="n">
        <v>46002</v>
      </c>
      <c r="G2413" s="31" t="n">
        <v>9884.24</v>
      </c>
      <c r="H2413" s="31" t="n">
        <v>0</v>
      </c>
      <c r="I2413" t="inlineStr">
        <is>
          <t>Pending</t>
        </is>
      </c>
      <c r="L2413" s="33" t="n"/>
    </row>
    <row r="2414">
      <c r="A2414" t="inlineStr">
        <is>
          <t>CLM520656</t>
        </is>
      </c>
      <c r="B2414" t="inlineStr">
        <is>
          <t>ENC120656</t>
        </is>
      </c>
      <c r="C2414" t="inlineStr">
        <is>
          <t>Medicare</t>
        </is>
      </c>
      <c r="D2414" t="inlineStr">
        <is>
          <t>Inpatient</t>
        </is>
      </c>
      <c r="E2414" s="29" t="n">
        <v>45992</v>
      </c>
      <c r="F2414" s="29" t="n">
        <v>45995</v>
      </c>
      <c r="G2414" s="31" t="n">
        <v>13865</v>
      </c>
      <c r="H2414" s="31" t="n">
        <v>0</v>
      </c>
      <c r="I2414" t="inlineStr">
        <is>
          <t>Denied</t>
        </is>
      </c>
      <c r="J2414" t="inlineStr">
        <is>
          <t>Authorization Required</t>
        </is>
      </c>
      <c r="L2414" s="33" t="n"/>
    </row>
    <row r="2415">
      <c r="A2415" t="inlineStr">
        <is>
          <t>CLM520657</t>
        </is>
      </c>
      <c r="B2415" t="inlineStr">
        <is>
          <t>ENC120657</t>
        </is>
      </c>
      <c r="C2415" t="inlineStr">
        <is>
          <t>Medicare</t>
        </is>
      </c>
      <c r="D2415" t="inlineStr">
        <is>
          <t>Outpatient</t>
        </is>
      </c>
      <c r="E2415" s="29" t="n">
        <v>45989</v>
      </c>
      <c r="F2415" s="29" t="n">
        <v>45993</v>
      </c>
      <c r="G2415" s="31" t="n">
        <v>218.61</v>
      </c>
      <c r="H2415" s="31" t="n">
        <v>32.35</v>
      </c>
      <c r="I2415" t="inlineStr">
        <is>
          <t>Partially Paid</t>
        </is>
      </c>
      <c r="J2415" t="inlineStr">
        <is>
          <t>Medical Necessity</t>
        </is>
      </c>
      <c r="K2415" s="29" t="n">
        <v>46012</v>
      </c>
      <c r="L2415" s="33" t="n"/>
    </row>
    <row r="2416">
      <c r="A2416" t="inlineStr">
        <is>
          <t>CLM520661</t>
        </is>
      </c>
      <c r="B2416" t="inlineStr">
        <is>
          <t>ENC120661</t>
        </is>
      </c>
      <c r="C2416" t="inlineStr">
        <is>
          <t>Evergreen Mutual Insurance</t>
        </is>
      </c>
      <c r="D2416" t="inlineStr">
        <is>
          <t>Outpatient</t>
        </is>
      </c>
      <c r="E2416" s="29" t="n">
        <v>45989</v>
      </c>
      <c r="F2416" s="29" t="n">
        <v>45995</v>
      </c>
      <c r="G2416" s="31" t="n">
        <v>12421.23</v>
      </c>
      <c r="H2416" s="31" t="n">
        <v>0</v>
      </c>
      <c r="I2416" t="inlineStr">
        <is>
          <t>Pending</t>
        </is>
      </c>
      <c r="L2416" s="33" t="n"/>
    </row>
    <row r="2417">
      <c r="A2417" t="inlineStr">
        <is>
          <t>CLM520669</t>
        </is>
      </c>
      <c r="B2417" t="inlineStr">
        <is>
          <t>ENC120669</t>
        </is>
      </c>
      <c r="C2417" t="inlineStr">
        <is>
          <t>State Medicaid</t>
        </is>
      </c>
      <c r="D2417" t="inlineStr">
        <is>
          <t>Outpatient</t>
        </is>
      </c>
      <c r="E2417" s="29" t="n">
        <v>45989</v>
      </c>
      <c r="F2417" s="29" t="n">
        <v>45998</v>
      </c>
      <c r="G2417" s="31" t="n">
        <v>206.7</v>
      </c>
      <c r="H2417" s="31" t="n">
        <v>0</v>
      </c>
      <c r="I2417" t="inlineStr">
        <is>
          <t>Denied</t>
        </is>
      </c>
      <c r="J2417" t="inlineStr">
        <is>
          <t>Authorization Required</t>
        </is>
      </c>
      <c r="L2417" s="33" t="n"/>
    </row>
    <row r="2418">
      <c r="A2418" t="inlineStr">
        <is>
          <t>CLM520673</t>
        </is>
      </c>
      <c r="B2418" t="inlineStr">
        <is>
          <t>ENC120673</t>
        </is>
      </c>
      <c r="C2418" t="inlineStr">
        <is>
          <t>Summit Choice PPO</t>
        </is>
      </c>
      <c r="D2418" t="inlineStr">
        <is>
          <t>Emergency</t>
        </is>
      </c>
      <c r="E2418" s="29" t="n">
        <v>45989</v>
      </c>
      <c r="F2418" s="29" t="n">
        <v>45991</v>
      </c>
      <c r="G2418" s="31" t="n">
        <v>1425.36</v>
      </c>
      <c r="H2418" s="31" t="n">
        <v>0</v>
      </c>
      <c r="I2418" t="inlineStr">
        <is>
          <t>Denied</t>
        </is>
      </c>
      <c r="J2418" t="inlineStr">
        <is>
          <t>Eligibility / Coverage</t>
        </is>
      </c>
      <c r="L2418" s="33" t="n"/>
    </row>
    <row r="2419">
      <c r="A2419" t="inlineStr">
        <is>
          <t>CLM520676</t>
        </is>
      </c>
      <c r="B2419" t="inlineStr">
        <is>
          <t>ENC120676</t>
        </is>
      </c>
      <c r="C2419" t="inlineStr">
        <is>
          <t>Silverline Medicare Advantage</t>
        </is>
      </c>
      <c r="D2419" t="inlineStr">
        <is>
          <t>Outpatient</t>
        </is>
      </c>
      <c r="E2419" s="29" t="n">
        <v>45989</v>
      </c>
      <c r="F2419" s="29" t="n">
        <v>45991</v>
      </c>
      <c r="G2419" s="31" t="n">
        <v>702.9400000000001</v>
      </c>
      <c r="H2419" s="31" t="n">
        <v>207.43</v>
      </c>
      <c r="I2419" t="inlineStr">
        <is>
          <t>Paid</t>
        </is>
      </c>
      <c r="K2419" s="29" t="n">
        <v>46021</v>
      </c>
      <c r="L2419" s="33" t="n"/>
    </row>
    <row r="2420">
      <c r="A2420" t="inlineStr">
        <is>
          <t>CLM520677</t>
        </is>
      </c>
      <c r="B2420" t="inlineStr">
        <is>
          <t>ENC120677</t>
        </is>
      </c>
      <c r="C2420" t="inlineStr">
        <is>
          <t>Summit Choice PPO</t>
        </is>
      </c>
      <c r="D2420" t="inlineStr">
        <is>
          <t>Outpatient</t>
        </is>
      </c>
      <c r="E2420" s="29" t="n">
        <v>45989</v>
      </c>
      <c r="F2420" s="29" t="n">
        <v>45995</v>
      </c>
      <c r="G2420" s="31" t="n">
        <v>407.32</v>
      </c>
      <c r="H2420" s="31" t="n">
        <v>191.04</v>
      </c>
      <c r="I2420" t="inlineStr">
        <is>
          <t>Paid</t>
        </is>
      </c>
      <c r="K2420" s="29" t="n">
        <v>46017</v>
      </c>
      <c r="L2420" s="33" t="n"/>
    </row>
    <row r="2421">
      <c r="A2421" t="inlineStr">
        <is>
          <t>CLM520681</t>
        </is>
      </c>
      <c r="B2421" t="inlineStr">
        <is>
          <t>ENC120681</t>
        </is>
      </c>
      <c r="C2421" t="inlineStr">
        <is>
          <t>Silverline Medicare Advantage</t>
        </is>
      </c>
      <c r="D2421" t="inlineStr">
        <is>
          <t>Inpatient</t>
        </is>
      </c>
      <c r="E2421" s="29" t="n">
        <v>45997</v>
      </c>
      <c r="F2421" s="29" t="n">
        <v>46000</v>
      </c>
      <c r="G2421" s="31" t="n">
        <v>42962.4</v>
      </c>
      <c r="H2421" s="31" t="n">
        <v>0</v>
      </c>
      <c r="I2421" t="inlineStr">
        <is>
          <t>Pending</t>
        </is>
      </c>
      <c r="L2421" s="33" t="n"/>
    </row>
    <row r="2422">
      <c r="A2422" t="inlineStr">
        <is>
          <t>CLM520682</t>
        </is>
      </c>
      <c r="B2422" t="inlineStr">
        <is>
          <t>ENC120682</t>
        </is>
      </c>
      <c r="C2422" t="inlineStr">
        <is>
          <t>Medicare</t>
        </is>
      </c>
      <c r="D2422" t="inlineStr">
        <is>
          <t>Inpatient</t>
        </is>
      </c>
      <c r="E2422" s="29" t="n">
        <v>45993</v>
      </c>
      <c r="F2422" s="29" t="n">
        <v>45999</v>
      </c>
      <c r="G2422" s="31" t="n">
        <v>41805.71</v>
      </c>
      <c r="H2422" s="31" t="n">
        <v>0</v>
      </c>
      <c r="I2422" t="inlineStr">
        <is>
          <t>Denied</t>
        </is>
      </c>
      <c r="J2422" t="inlineStr">
        <is>
          <t>Missing Documentation</t>
        </is>
      </c>
      <c r="L2422" s="33" t="n"/>
    </row>
    <row r="2423">
      <c r="A2423" t="inlineStr">
        <is>
          <t>CLM520683</t>
        </is>
      </c>
      <c r="B2423" t="inlineStr">
        <is>
          <t>ENC120683</t>
        </is>
      </c>
      <c r="C2423" t="inlineStr">
        <is>
          <t>Silverline Medicare Advantage</t>
        </is>
      </c>
      <c r="D2423" t="inlineStr">
        <is>
          <t>Inpatient</t>
        </is>
      </c>
      <c r="E2423" s="29" t="n">
        <v>45997</v>
      </c>
      <c r="F2423" s="29" t="n">
        <v>46001</v>
      </c>
      <c r="G2423" s="31" t="n">
        <v>39568.78</v>
      </c>
      <c r="H2423" s="31" t="n">
        <v>0</v>
      </c>
      <c r="I2423" t="inlineStr">
        <is>
          <t>Pending</t>
        </is>
      </c>
      <c r="L2423" s="33" t="n"/>
    </row>
    <row r="2424">
      <c r="A2424" t="inlineStr">
        <is>
          <t>CLM520684</t>
        </is>
      </c>
      <c r="B2424" t="inlineStr">
        <is>
          <t>ENC120684</t>
        </is>
      </c>
      <c r="C2424" t="inlineStr">
        <is>
          <t>Silverline Medicare Advantage</t>
        </is>
      </c>
      <c r="D2424" t="inlineStr">
        <is>
          <t>Emergency</t>
        </is>
      </c>
      <c r="E2424" s="29" t="n">
        <v>45989</v>
      </c>
      <c r="F2424" s="29" t="n">
        <v>45994</v>
      </c>
      <c r="G2424" s="31" t="n">
        <v>2023.02</v>
      </c>
      <c r="H2424" s="31" t="n">
        <v>0</v>
      </c>
      <c r="I2424" t="inlineStr">
        <is>
          <t>Pending</t>
        </is>
      </c>
      <c r="L2424" s="33" t="n"/>
    </row>
    <row r="2425">
      <c r="A2425" t="inlineStr">
        <is>
          <t>CLM520688</t>
        </is>
      </c>
      <c r="B2425" t="inlineStr">
        <is>
          <t>ENC120688</t>
        </is>
      </c>
      <c r="C2425" t="inlineStr">
        <is>
          <t>State Medicaid</t>
        </is>
      </c>
      <c r="D2425" t="inlineStr">
        <is>
          <t>Inpatient</t>
        </is>
      </c>
      <c r="E2425" s="29" t="n">
        <v>45995</v>
      </c>
      <c r="F2425" s="29" t="n">
        <v>46006</v>
      </c>
      <c r="G2425" s="31" t="n">
        <v>22356.16</v>
      </c>
      <c r="H2425" s="31" t="n">
        <v>0</v>
      </c>
      <c r="I2425" t="inlineStr">
        <is>
          <t>Pending</t>
        </is>
      </c>
      <c r="L2425" s="33" t="n"/>
    </row>
    <row r="2426">
      <c r="A2426" t="inlineStr">
        <is>
          <t>CLM520691</t>
        </is>
      </c>
      <c r="B2426" t="inlineStr">
        <is>
          <t>ENC120691</t>
        </is>
      </c>
      <c r="C2426" t="inlineStr">
        <is>
          <t>State Medicaid</t>
        </is>
      </c>
      <c r="D2426" t="inlineStr">
        <is>
          <t>Inpatient</t>
        </is>
      </c>
      <c r="E2426" s="29" t="n">
        <v>45992</v>
      </c>
      <c r="F2426" s="29" t="n">
        <v>45994</v>
      </c>
      <c r="G2426" s="31" t="n">
        <v>13574.18</v>
      </c>
      <c r="H2426" s="31" t="n">
        <v>0</v>
      </c>
      <c r="I2426" t="inlineStr">
        <is>
          <t>Pending</t>
        </is>
      </c>
      <c r="L2426" s="33" t="n"/>
    </row>
    <row r="2427">
      <c r="A2427" t="inlineStr">
        <is>
          <t>CLM520707</t>
        </is>
      </c>
      <c r="B2427" t="inlineStr">
        <is>
          <t>ENC120707</t>
        </is>
      </c>
      <c r="C2427" t="inlineStr">
        <is>
          <t>Medicare</t>
        </is>
      </c>
      <c r="D2427" t="inlineStr">
        <is>
          <t>Inpatient</t>
        </is>
      </c>
      <c r="E2427" s="29" t="n">
        <v>45995</v>
      </c>
      <c r="F2427" s="29" t="n">
        <v>46003</v>
      </c>
      <c r="G2427" s="31" t="n">
        <v>30153.04</v>
      </c>
      <c r="H2427" s="31" t="n">
        <v>8014.72</v>
      </c>
      <c r="I2427" t="inlineStr">
        <is>
          <t>Paid</t>
        </is>
      </c>
      <c r="K2427" s="29" t="n">
        <v>46019</v>
      </c>
      <c r="L2427" s="33" t="n"/>
    </row>
    <row r="2428">
      <c r="A2428" t="inlineStr">
        <is>
          <t>CLM520710</t>
        </is>
      </c>
      <c r="B2428" t="inlineStr">
        <is>
          <t>ENC120710</t>
        </is>
      </c>
      <c r="C2428" t="inlineStr">
        <is>
          <t>State Medicaid</t>
        </is>
      </c>
      <c r="D2428" t="inlineStr">
        <is>
          <t>Emergency</t>
        </is>
      </c>
      <c r="E2428" s="29" t="n">
        <v>45991</v>
      </c>
      <c r="F2428" s="29" t="n">
        <v>45994</v>
      </c>
      <c r="G2428" s="31" t="n">
        <v>1428.03</v>
      </c>
      <c r="H2428" s="31" t="n">
        <v>0</v>
      </c>
      <c r="I2428" t="inlineStr">
        <is>
          <t>Pending</t>
        </is>
      </c>
      <c r="L2428" s="33" t="n"/>
    </row>
    <row r="2429">
      <c r="A2429" t="inlineStr">
        <is>
          <t>CLM520712</t>
        </is>
      </c>
      <c r="B2429" t="inlineStr">
        <is>
          <t>ENC120712</t>
        </is>
      </c>
      <c r="C2429" t="inlineStr">
        <is>
          <t>Summit Choice PPO</t>
        </is>
      </c>
      <c r="D2429" t="inlineStr">
        <is>
          <t>Inpatient</t>
        </is>
      </c>
      <c r="E2429" s="29" t="n">
        <v>45998</v>
      </c>
      <c r="F2429" s="29" t="n">
        <v>46009</v>
      </c>
      <c r="G2429" s="31" t="n">
        <v>40674.74</v>
      </c>
      <c r="H2429" s="31" t="n">
        <v>0</v>
      </c>
      <c r="I2429" t="inlineStr">
        <is>
          <t>Pending</t>
        </is>
      </c>
      <c r="L2429" s="33" t="n"/>
    </row>
    <row r="2430">
      <c r="A2430" t="inlineStr">
        <is>
          <t>CLM520713</t>
        </is>
      </c>
      <c r="B2430" t="inlineStr">
        <is>
          <t>ENC120713</t>
        </is>
      </c>
      <c r="C2430" t="inlineStr">
        <is>
          <t>Silverline Medicare Advantage</t>
        </is>
      </c>
      <c r="D2430" t="inlineStr">
        <is>
          <t>Emergency</t>
        </is>
      </c>
      <c r="E2430" s="29" t="n">
        <v>45991</v>
      </c>
      <c r="F2430" s="29" t="n">
        <v>45993</v>
      </c>
      <c r="G2430" s="31" t="n">
        <v>2283.05</v>
      </c>
      <c r="H2430" s="31" t="n">
        <v>667.09</v>
      </c>
      <c r="I2430" t="inlineStr">
        <is>
          <t>Paid</t>
        </is>
      </c>
      <c r="K2430" s="29" t="n">
        <v>46015</v>
      </c>
      <c r="L2430" s="33" t="n"/>
    </row>
    <row r="2431">
      <c r="A2431" t="inlineStr">
        <is>
          <t>CLM520723</t>
        </is>
      </c>
      <c r="B2431" t="inlineStr">
        <is>
          <t>ENC120723</t>
        </is>
      </c>
      <c r="C2431" t="inlineStr">
        <is>
          <t>Silverline Medicare Advantage</t>
        </is>
      </c>
      <c r="D2431" t="inlineStr">
        <is>
          <t>Emergency</t>
        </is>
      </c>
      <c r="E2431" s="29" t="n">
        <v>45991</v>
      </c>
      <c r="F2431" s="29" t="n">
        <v>45995</v>
      </c>
      <c r="G2431" s="31" t="n">
        <v>3532.11</v>
      </c>
      <c r="H2431" s="31" t="n">
        <v>0</v>
      </c>
      <c r="I2431" t="inlineStr">
        <is>
          <t>Pending</t>
        </is>
      </c>
      <c r="L2431" s="33" t="n"/>
    </row>
    <row r="2432">
      <c r="A2432" t="inlineStr">
        <is>
          <t>CLM520726</t>
        </is>
      </c>
      <c r="B2432" t="inlineStr">
        <is>
          <t>ENC120726</t>
        </is>
      </c>
      <c r="C2432" t="inlineStr">
        <is>
          <t>State Medicaid</t>
        </is>
      </c>
      <c r="D2432" t="inlineStr">
        <is>
          <t>Inpatient</t>
        </is>
      </c>
      <c r="E2432" s="29" t="n">
        <v>45995</v>
      </c>
      <c r="F2432" s="29" t="n">
        <v>46001</v>
      </c>
      <c r="G2432" s="31" t="n">
        <v>24170.55</v>
      </c>
      <c r="H2432" s="31" t="n">
        <v>0</v>
      </c>
      <c r="I2432" t="inlineStr">
        <is>
          <t>Pending</t>
        </is>
      </c>
      <c r="L2432" s="33" t="n"/>
    </row>
    <row r="2433">
      <c r="A2433" t="inlineStr">
        <is>
          <t>CLM520733</t>
        </is>
      </c>
      <c r="B2433" t="inlineStr">
        <is>
          <t>ENC120733</t>
        </is>
      </c>
      <c r="C2433" t="inlineStr">
        <is>
          <t>State Medicaid</t>
        </is>
      </c>
      <c r="D2433" t="inlineStr">
        <is>
          <t>Inpatient</t>
        </is>
      </c>
      <c r="E2433" s="29" t="n">
        <v>45993</v>
      </c>
      <c r="F2433" s="29" t="n">
        <v>45996</v>
      </c>
      <c r="G2433" s="31" t="n">
        <v>14044.44</v>
      </c>
      <c r="H2433" s="31" t="n">
        <v>3088.13</v>
      </c>
      <c r="I2433" t="inlineStr">
        <is>
          <t>Paid</t>
        </is>
      </c>
      <c r="K2433" s="29" t="n">
        <v>46018</v>
      </c>
      <c r="L2433" s="33" t="n"/>
    </row>
    <row r="2434">
      <c r="A2434" t="inlineStr">
        <is>
          <t>CLM520735</t>
        </is>
      </c>
      <c r="B2434" t="inlineStr">
        <is>
          <t>ENC120735</t>
        </is>
      </c>
      <c r="C2434" t="inlineStr">
        <is>
          <t>Medicare</t>
        </is>
      </c>
      <c r="D2434" t="inlineStr">
        <is>
          <t>Outpatient</t>
        </is>
      </c>
      <c r="E2434" s="29" t="n">
        <v>45992</v>
      </c>
      <c r="F2434" s="29" t="n">
        <v>45996</v>
      </c>
      <c r="G2434" s="31" t="n">
        <v>210.24</v>
      </c>
      <c r="H2434" s="31" t="n">
        <v>0</v>
      </c>
      <c r="I2434" t="inlineStr">
        <is>
          <t>Denied</t>
        </is>
      </c>
      <c r="J2434" t="inlineStr">
        <is>
          <t>Authorization Required</t>
        </is>
      </c>
      <c r="L2434" s="33" t="n"/>
    </row>
    <row r="2435">
      <c r="A2435" t="inlineStr">
        <is>
          <t>CLM520736</t>
        </is>
      </c>
      <c r="B2435" t="inlineStr">
        <is>
          <t>ENC120736</t>
        </is>
      </c>
      <c r="C2435" t="inlineStr">
        <is>
          <t>Silverline Medicare Advantage</t>
        </is>
      </c>
      <c r="D2435" t="inlineStr">
        <is>
          <t>Emergency</t>
        </is>
      </c>
      <c r="E2435" s="29" t="n">
        <v>45992</v>
      </c>
      <c r="F2435" s="29" t="n">
        <v>45999</v>
      </c>
      <c r="G2435" s="31" t="n">
        <v>2258.22</v>
      </c>
      <c r="H2435" s="31" t="n">
        <v>658.6799999999999</v>
      </c>
      <c r="I2435" t="inlineStr">
        <is>
          <t>Paid</t>
        </is>
      </c>
      <c r="K2435" s="29" t="n">
        <v>46018</v>
      </c>
      <c r="L2435" s="33" t="n"/>
    </row>
    <row r="2436">
      <c r="A2436" t="inlineStr">
        <is>
          <t>CLM520738</t>
        </is>
      </c>
      <c r="B2436" t="inlineStr">
        <is>
          <t>ENC120738</t>
        </is>
      </c>
      <c r="C2436" t="inlineStr">
        <is>
          <t>Silverline Medicare Advantage</t>
        </is>
      </c>
      <c r="D2436" t="inlineStr">
        <is>
          <t>Outpatient</t>
        </is>
      </c>
      <c r="E2436" s="29" t="n">
        <v>45992</v>
      </c>
      <c r="F2436" s="29" t="n">
        <v>45995</v>
      </c>
      <c r="G2436" s="31" t="n">
        <v>214.76</v>
      </c>
      <c r="H2436" s="31" t="n">
        <v>0</v>
      </c>
      <c r="I2436" t="inlineStr">
        <is>
          <t>Pending</t>
        </is>
      </c>
      <c r="L2436" s="33" t="n"/>
    </row>
    <row r="2437">
      <c r="A2437" t="inlineStr">
        <is>
          <t>CLM520740</t>
        </is>
      </c>
      <c r="B2437" t="inlineStr">
        <is>
          <t>ENC120740</t>
        </is>
      </c>
      <c r="C2437" t="inlineStr">
        <is>
          <t>State Medicaid</t>
        </is>
      </c>
      <c r="D2437" t="inlineStr">
        <is>
          <t>Inpatient</t>
        </is>
      </c>
      <c r="E2437" s="29" t="n">
        <v>45994</v>
      </c>
      <c r="F2437" s="29" t="n">
        <v>45996</v>
      </c>
      <c r="G2437" s="31" t="n">
        <v>12385.25</v>
      </c>
      <c r="H2437" s="31" t="n">
        <v>3342.15</v>
      </c>
      <c r="I2437" t="inlineStr">
        <is>
          <t>Paid</t>
        </is>
      </c>
      <c r="K2437" s="29" t="n">
        <v>46011</v>
      </c>
      <c r="L2437" s="33" t="n"/>
    </row>
    <row r="2438">
      <c r="A2438" t="inlineStr">
        <is>
          <t>CLM520742</t>
        </is>
      </c>
      <c r="B2438" t="inlineStr">
        <is>
          <t>ENC120742</t>
        </is>
      </c>
      <c r="C2438" t="inlineStr">
        <is>
          <t>Medicare</t>
        </is>
      </c>
      <c r="D2438" t="inlineStr">
        <is>
          <t>Inpatient</t>
        </is>
      </c>
      <c r="E2438" s="29" t="n">
        <v>45995</v>
      </c>
      <c r="F2438" s="29" t="n">
        <v>45997</v>
      </c>
      <c r="G2438" s="31" t="n">
        <v>18076.75</v>
      </c>
      <c r="H2438" s="31" t="n">
        <v>4781.14</v>
      </c>
      <c r="I2438" t="inlineStr">
        <is>
          <t>Paid</t>
        </is>
      </c>
      <c r="K2438" s="29" t="n">
        <v>46009</v>
      </c>
      <c r="L2438" s="33" t="n"/>
    </row>
    <row r="2439">
      <c r="A2439" t="inlineStr">
        <is>
          <t>CLM520744</t>
        </is>
      </c>
      <c r="B2439" t="inlineStr">
        <is>
          <t>ENC120744</t>
        </is>
      </c>
      <c r="C2439" t="inlineStr">
        <is>
          <t>Silverline Medicare Advantage</t>
        </is>
      </c>
      <c r="D2439" t="inlineStr">
        <is>
          <t>Outpatient</t>
        </is>
      </c>
      <c r="E2439" s="29" t="n">
        <v>45992</v>
      </c>
      <c r="F2439" s="29" t="n">
        <v>45999</v>
      </c>
      <c r="G2439" s="31" t="n">
        <v>253.69</v>
      </c>
      <c r="H2439" s="31" t="n">
        <v>51.5</v>
      </c>
      <c r="I2439" t="inlineStr">
        <is>
          <t>Partially Paid</t>
        </is>
      </c>
      <c r="J2439" t="inlineStr">
        <is>
          <t>Medical Necessity</t>
        </is>
      </c>
      <c r="K2439" s="29" t="n">
        <v>46021</v>
      </c>
      <c r="L2439" s="33" t="n"/>
    </row>
    <row r="2440">
      <c r="A2440" t="inlineStr">
        <is>
          <t>CLM520750</t>
        </is>
      </c>
      <c r="B2440" t="inlineStr">
        <is>
          <t>ENC120750</t>
        </is>
      </c>
      <c r="C2440" t="inlineStr">
        <is>
          <t>Evergreen Mutual Insurance</t>
        </is>
      </c>
      <c r="D2440" t="inlineStr">
        <is>
          <t>Emergency</t>
        </is>
      </c>
      <c r="E2440" s="29" t="n">
        <v>45992</v>
      </c>
      <c r="F2440" s="29" t="n">
        <v>46002</v>
      </c>
      <c r="G2440" s="31" t="n">
        <v>2152.88</v>
      </c>
      <c r="H2440" s="31" t="n">
        <v>0</v>
      </c>
      <c r="I2440" t="inlineStr">
        <is>
          <t>Pending</t>
        </is>
      </c>
      <c r="L2440" s="33" t="n"/>
    </row>
    <row r="2441">
      <c r="A2441" t="inlineStr">
        <is>
          <t>CLM520759</t>
        </is>
      </c>
      <c r="B2441" t="inlineStr">
        <is>
          <t>ENC120759</t>
        </is>
      </c>
      <c r="C2441" t="inlineStr">
        <is>
          <t>Evergreen Mutual Insurance</t>
        </is>
      </c>
      <c r="D2441" t="inlineStr">
        <is>
          <t>Inpatient</t>
        </is>
      </c>
      <c r="E2441" s="29" t="n">
        <v>46003</v>
      </c>
      <c r="F2441" s="29" t="n">
        <v>46008</v>
      </c>
      <c r="G2441" s="31" t="n">
        <v>40309.31</v>
      </c>
      <c r="H2441" s="31" t="n">
        <v>0</v>
      </c>
      <c r="I2441" t="inlineStr">
        <is>
          <t>Pending</t>
        </is>
      </c>
      <c r="L2441" s="33" t="n"/>
    </row>
    <row r="2442">
      <c r="A2442" t="inlineStr">
        <is>
          <t>CLM520760</t>
        </is>
      </c>
      <c r="B2442" t="inlineStr">
        <is>
          <t>ENC120760</t>
        </is>
      </c>
      <c r="C2442" t="inlineStr">
        <is>
          <t>Medicare</t>
        </is>
      </c>
      <c r="D2442" t="inlineStr">
        <is>
          <t>Emergency</t>
        </is>
      </c>
      <c r="E2442" s="29" t="n">
        <v>45992</v>
      </c>
      <c r="F2442" s="29" t="n">
        <v>46000</v>
      </c>
      <c r="G2442" s="31" t="n">
        <v>1410.74</v>
      </c>
      <c r="H2442" s="31" t="n">
        <v>383.81</v>
      </c>
      <c r="I2442" t="inlineStr">
        <is>
          <t>Paid</t>
        </is>
      </c>
      <c r="K2442" s="29" t="n">
        <v>46017</v>
      </c>
      <c r="L2442" s="33" t="n"/>
    </row>
    <row r="2443">
      <c r="A2443" t="inlineStr">
        <is>
          <t>CLM520770</t>
        </is>
      </c>
      <c r="B2443" t="inlineStr">
        <is>
          <t>ENC120770</t>
        </is>
      </c>
      <c r="C2443" t="inlineStr">
        <is>
          <t>State Medicaid</t>
        </is>
      </c>
      <c r="D2443" t="inlineStr">
        <is>
          <t>Inpatient</t>
        </is>
      </c>
      <c r="E2443" s="29" t="n">
        <v>45999</v>
      </c>
      <c r="F2443" s="29" t="n">
        <v>46002</v>
      </c>
      <c r="G2443" s="31" t="n">
        <v>36539.47</v>
      </c>
      <c r="H2443" s="31" t="n">
        <v>0</v>
      </c>
      <c r="I2443" t="inlineStr">
        <is>
          <t>Pending</t>
        </is>
      </c>
      <c r="L2443" s="33" t="n"/>
    </row>
    <row r="2444">
      <c r="A2444" t="inlineStr">
        <is>
          <t>CLM520778</t>
        </is>
      </c>
      <c r="B2444" t="inlineStr">
        <is>
          <t>ENC120778</t>
        </is>
      </c>
      <c r="C2444" t="inlineStr">
        <is>
          <t>Summit Choice PPO</t>
        </is>
      </c>
      <c r="D2444" t="inlineStr">
        <is>
          <t>Emergency</t>
        </is>
      </c>
      <c r="E2444" s="29" t="n">
        <v>45993</v>
      </c>
      <c r="F2444" s="29" t="n">
        <v>45999</v>
      </c>
      <c r="G2444" s="31" t="n">
        <v>994.6799999999999</v>
      </c>
      <c r="H2444" s="31" t="n">
        <v>468.84</v>
      </c>
      <c r="I2444" t="inlineStr">
        <is>
          <t>Paid</t>
        </is>
      </c>
      <c r="K2444" s="29" t="n">
        <v>46013</v>
      </c>
      <c r="L2444" s="33" t="n"/>
    </row>
    <row r="2445">
      <c r="A2445" t="inlineStr">
        <is>
          <t>CLM520795</t>
        </is>
      </c>
      <c r="B2445" t="inlineStr">
        <is>
          <t>ENC120795</t>
        </is>
      </c>
      <c r="C2445" t="inlineStr">
        <is>
          <t>Keystone Health Partners</t>
        </is>
      </c>
      <c r="D2445" t="inlineStr">
        <is>
          <t>Outpatient</t>
        </is>
      </c>
      <c r="E2445" s="29" t="n">
        <v>45993</v>
      </c>
      <c r="F2445" s="29" t="n">
        <v>45998</v>
      </c>
      <c r="G2445" s="31" t="n">
        <v>306.39</v>
      </c>
      <c r="H2445" s="31" t="n">
        <v>139.16</v>
      </c>
      <c r="I2445" t="inlineStr">
        <is>
          <t>Paid</t>
        </is>
      </c>
      <c r="K2445" s="29" t="n">
        <v>46019</v>
      </c>
      <c r="L2445" s="33" t="n"/>
    </row>
    <row r="2446">
      <c r="A2446" t="inlineStr">
        <is>
          <t>CLM520803</t>
        </is>
      </c>
      <c r="B2446" t="inlineStr">
        <is>
          <t>ENC120803</t>
        </is>
      </c>
      <c r="C2446" t="inlineStr">
        <is>
          <t>Medicare</t>
        </is>
      </c>
      <c r="D2446" t="inlineStr">
        <is>
          <t>Outpatient</t>
        </is>
      </c>
      <c r="E2446" s="29" t="n">
        <v>45993</v>
      </c>
      <c r="F2446" s="29" t="n">
        <v>45995</v>
      </c>
      <c r="G2446" s="31" t="n">
        <v>292.96</v>
      </c>
      <c r="H2446" s="31" t="n">
        <v>88.23999999999999</v>
      </c>
      <c r="I2446" t="inlineStr">
        <is>
          <t>Paid</t>
        </is>
      </c>
      <c r="K2446" s="29" t="n">
        <v>46010</v>
      </c>
      <c r="L2446" s="33" t="n"/>
    </row>
    <row r="2447">
      <c r="A2447" t="inlineStr">
        <is>
          <t>CLM520804</t>
        </is>
      </c>
      <c r="B2447" t="inlineStr">
        <is>
          <t>ENC120804</t>
        </is>
      </c>
      <c r="C2447" t="inlineStr">
        <is>
          <t>State Medicaid</t>
        </is>
      </c>
      <c r="D2447" t="inlineStr">
        <is>
          <t>Inpatient</t>
        </is>
      </c>
      <c r="E2447" s="29" t="n">
        <v>45996</v>
      </c>
      <c r="F2447" s="29" t="n">
        <v>45998</v>
      </c>
      <c r="G2447" s="31" t="n">
        <v>19391.83</v>
      </c>
      <c r="H2447" s="31" t="n">
        <v>0</v>
      </c>
      <c r="I2447" t="inlineStr">
        <is>
          <t>Pending</t>
        </is>
      </c>
      <c r="L2447" s="33" t="n"/>
    </row>
    <row r="2448">
      <c r="A2448" t="inlineStr">
        <is>
          <t>CLM520805</t>
        </is>
      </c>
      <c r="B2448" t="inlineStr">
        <is>
          <t>ENC120805</t>
        </is>
      </c>
      <c r="C2448" t="inlineStr">
        <is>
          <t>Summit Choice PPO</t>
        </is>
      </c>
      <c r="D2448" t="inlineStr">
        <is>
          <t>Outpatient</t>
        </is>
      </c>
      <c r="E2448" s="29" t="n">
        <v>45993</v>
      </c>
      <c r="F2448" s="29" t="n">
        <v>45996</v>
      </c>
      <c r="G2448" s="31" t="n">
        <v>467.76</v>
      </c>
      <c r="H2448" s="31" t="n">
        <v>229.18</v>
      </c>
      <c r="I2448" t="inlineStr">
        <is>
          <t>Paid</t>
        </is>
      </c>
      <c r="K2448" s="29" t="n">
        <v>46016</v>
      </c>
      <c r="L2448" s="33" t="n"/>
    </row>
    <row r="2449">
      <c r="A2449" t="inlineStr">
        <is>
          <t>CLM520807</t>
        </is>
      </c>
      <c r="B2449" t="inlineStr">
        <is>
          <t>ENC120807</t>
        </is>
      </c>
      <c r="C2449" t="inlineStr">
        <is>
          <t>Summit Choice PPO</t>
        </is>
      </c>
      <c r="D2449" t="inlineStr">
        <is>
          <t>Outpatient</t>
        </is>
      </c>
      <c r="E2449" s="29" t="n">
        <v>45993</v>
      </c>
      <c r="F2449" s="29" t="n">
        <v>45996</v>
      </c>
      <c r="G2449" s="31" t="n">
        <v>689.1</v>
      </c>
      <c r="H2449" s="31" t="n">
        <v>369.99</v>
      </c>
      <c r="I2449" t="inlineStr">
        <is>
          <t>Paid</t>
        </is>
      </c>
      <c r="K2449" s="29" t="n">
        <v>46022</v>
      </c>
      <c r="L2449" s="33" t="n"/>
    </row>
    <row r="2450">
      <c r="A2450" t="inlineStr">
        <is>
          <t>CLM520808</t>
        </is>
      </c>
      <c r="B2450" t="inlineStr">
        <is>
          <t>ENC120808</t>
        </is>
      </c>
      <c r="C2450" t="inlineStr">
        <is>
          <t>Keystone Health Partners</t>
        </is>
      </c>
      <c r="D2450" t="inlineStr">
        <is>
          <t>Emergency</t>
        </is>
      </c>
      <c r="E2450" s="29" t="n">
        <v>45993</v>
      </c>
      <c r="F2450" s="29" t="n">
        <v>45996</v>
      </c>
      <c r="G2450" s="31" t="n">
        <v>4784.85</v>
      </c>
      <c r="H2450" s="31" t="n">
        <v>0</v>
      </c>
      <c r="I2450" t="inlineStr">
        <is>
          <t>Pending</t>
        </is>
      </c>
      <c r="L2450" s="33" t="n"/>
    </row>
    <row r="2451">
      <c r="A2451" t="inlineStr">
        <is>
          <t>CLM520811</t>
        </is>
      </c>
      <c r="B2451" t="inlineStr">
        <is>
          <t>ENC120811</t>
        </is>
      </c>
      <c r="C2451" t="inlineStr">
        <is>
          <t>State Medicaid</t>
        </is>
      </c>
      <c r="D2451" t="inlineStr">
        <is>
          <t>Outpatient</t>
        </is>
      </c>
      <c r="E2451" s="29" t="n">
        <v>45993</v>
      </c>
      <c r="F2451" s="29" t="n">
        <v>45998</v>
      </c>
      <c r="G2451" s="31" t="n">
        <v>289.99</v>
      </c>
      <c r="H2451" s="31" t="n">
        <v>0</v>
      </c>
      <c r="I2451" t="inlineStr">
        <is>
          <t>Denied</t>
        </is>
      </c>
      <c r="J2451" t="inlineStr">
        <is>
          <t>Missing Documentation</t>
        </is>
      </c>
      <c r="L2451" s="33" t="n"/>
    </row>
    <row r="2452">
      <c r="A2452" t="inlineStr">
        <is>
          <t>CLM520812</t>
        </is>
      </c>
      <c r="B2452" t="inlineStr">
        <is>
          <t>ENC120812</t>
        </is>
      </c>
      <c r="C2452" t="inlineStr">
        <is>
          <t>Evergreen Mutual Insurance</t>
        </is>
      </c>
      <c r="D2452" t="inlineStr">
        <is>
          <t>Outpatient</t>
        </is>
      </c>
      <c r="E2452" s="29" t="n">
        <v>45993</v>
      </c>
      <c r="F2452" s="29" t="n">
        <v>45996</v>
      </c>
      <c r="G2452" s="31" t="n">
        <v>254.42</v>
      </c>
      <c r="H2452" s="31" t="n">
        <v>0</v>
      </c>
      <c r="I2452" t="inlineStr">
        <is>
          <t>Pending</t>
        </is>
      </c>
      <c r="L2452" s="33" t="n"/>
    </row>
    <row r="2453">
      <c r="A2453" t="inlineStr">
        <is>
          <t>CLM520815</t>
        </is>
      </c>
      <c r="B2453" t="inlineStr">
        <is>
          <t>ENC120815</t>
        </is>
      </c>
      <c r="C2453" t="inlineStr">
        <is>
          <t>Keystone Health Partners</t>
        </is>
      </c>
      <c r="D2453" t="inlineStr">
        <is>
          <t>Inpatient</t>
        </is>
      </c>
      <c r="E2453" s="29" t="n">
        <v>45996</v>
      </c>
      <c r="F2453" s="29" t="n">
        <v>46003</v>
      </c>
      <c r="G2453" s="31" t="n">
        <v>46456.88</v>
      </c>
      <c r="H2453" s="31" t="n">
        <v>0</v>
      </c>
      <c r="I2453" t="inlineStr">
        <is>
          <t>Denied</t>
        </is>
      </c>
      <c r="J2453" t="inlineStr">
        <is>
          <t>Medical Necessity</t>
        </is>
      </c>
      <c r="L2453" s="33" t="n"/>
    </row>
    <row r="2454">
      <c r="A2454" t="inlineStr">
        <is>
          <t>CLM520820</t>
        </is>
      </c>
      <c r="B2454" t="inlineStr">
        <is>
          <t>ENC120820</t>
        </is>
      </c>
      <c r="C2454" t="inlineStr">
        <is>
          <t>Medicare</t>
        </is>
      </c>
      <c r="D2454" t="inlineStr">
        <is>
          <t>Inpatient</t>
        </is>
      </c>
      <c r="E2454" s="29" t="n">
        <v>45997</v>
      </c>
      <c r="F2454" s="29" t="n">
        <v>46003</v>
      </c>
      <c r="G2454" s="31" t="n">
        <v>15297.83</v>
      </c>
      <c r="H2454" s="31" t="n">
        <v>4526.69</v>
      </c>
      <c r="I2454" t="inlineStr">
        <is>
          <t>Paid</t>
        </is>
      </c>
      <c r="K2454" s="29" t="n">
        <v>46013</v>
      </c>
      <c r="L2454" s="33" t="n"/>
    </row>
    <row r="2455">
      <c r="A2455" t="inlineStr">
        <is>
          <t>CLM520825</t>
        </is>
      </c>
      <c r="B2455" t="inlineStr">
        <is>
          <t>ENC120825</t>
        </is>
      </c>
      <c r="C2455" t="inlineStr">
        <is>
          <t>Keystone Health Partners</t>
        </is>
      </c>
      <c r="D2455" t="inlineStr">
        <is>
          <t>Inpatient</t>
        </is>
      </c>
      <c r="E2455" s="29" t="n">
        <v>45998</v>
      </c>
      <c r="F2455" s="29" t="n">
        <v>46000</v>
      </c>
      <c r="G2455" s="31" t="n">
        <v>16015.75</v>
      </c>
      <c r="H2455" s="31" t="n">
        <v>0</v>
      </c>
      <c r="I2455" t="inlineStr">
        <is>
          <t>Pending</t>
        </is>
      </c>
      <c r="L2455" s="33" t="n"/>
    </row>
    <row r="2456">
      <c r="A2456" t="inlineStr">
        <is>
          <t>CLM520826</t>
        </is>
      </c>
      <c r="B2456" t="inlineStr">
        <is>
          <t>ENC120826</t>
        </is>
      </c>
      <c r="C2456" t="inlineStr">
        <is>
          <t>Evergreen Mutual Insurance</t>
        </is>
      </c>
      <c r="D2456" t="inlineStr">
        <is>
          <t>Observation</t>
        </is>
      </c>
      <c r="E2456" s="29" t="n">
        <v>45995</v>
      </c>
      <c r="F2456" s="29" t="n">
        <v>45999</v>
      </c>
      <c r="G2456" s="31" t="n">
        <v>10911.28</v>
      </c>
      <c r="H2456" s="31" t="n">
        <v>0</v>
      </c>
      <c r="I2456" t="inlineStr">
        <is>
          <t>Pending</t>
        </is>
      </c>
      <c r="L2456" s="33" t="n"/>
    </row>
    <row r="2457">
      <c r="A2457" t="inlineStr">
        <is>
          <t>CLM520828</t>
        </is>
      </c>
      <c r="B2457" t="inlineStr">
        <is>
          <t>ENC120828</t>
        </is>
      </c>
      <c r="C2457" t="inlineStr">
        <is>
          <t>Silverline Medicare Advantage</t>
        </is>
      </c>
      <c r="D2457" t="inlineStr">
        <is>
          <t>Inpatient</t>
        </is>
      </c>
      <c r="E2457" s="29" t="n">
        <v>45996</v>
      </c>
      <c r="F2457" s="29" t="n">
        <v>45997</v>
      </c>
      <c r="G2457" s="31" t="n">
        <v>51675.39</v>
      </c>
      <c r="H2457" s="31" t="n">
        <v>17138.83</v>
      </c>
      <c r="I2457" t="inlineStr">
        <is>
          <t>Paid</t>
        </is>
      </c>
      <c r="K2457" s="29" t="n">
        <v>46008</v>
      </c>
      <c r="L2457" s="33" t="n"/>
    </row>
    <row r="2458">
      <c r="A2458" t="inlineStr">
        <is>
          <t>CLM520832</t>
        </is>
      </c>
      <c r="B2458" t="inlineStr">
        <is>
          <t>ENC120832</t>
        </is>
      </c>
      <c r="C2458" t="inlineStr">
        <is>
          <t>Silverline Medicare Advantage</t>
        </is>
      </c>
      <c r="D2458" t="inlineStr">
        <is>
          <t>Inpatient</t>
        </is>
      </c>
      <c r="E2458" s="29" t="n">
        <v>45997</v>
      </c>
      <c r="F2458" s="29" t="n">
        <v>46003</v>
      </c>
      <c r="G2458" s="31" t="n">
        <v>7130.02</v>
      </c>
      <c r="H2458" s="31" t="n">
        <v>0</v>
      </c>
      <c r="I2458" t="inlineStr">
        <is>
          <t>Denied</t>
        </is>
      </c>
      <c r="J2458" t="inlineStr">
        <is>
          <t>Medical Necessity</t>
        </is>
      </c>
      <c r="L2458" s="33" t="n"/>
    </row>
    <row r="2459">
      <c r="A2459" t="inlineStr">
        <is>
          <t>CLM520833</t>
        </is>
      </c>
      <c r="B2459" t="inlineStr">
        <is>
          <t>ENC120833</t>
        </is>
      </c>
      <c r="C2459" t="inlineStr">
        <is>
          <t>Keystone Health Partners</t>
        </is>
      </c>
      <c r="D2459" t="inlineStr">
        <is>
          <t>Inpatient</t>
        </is>
      </c>
      <c r="E2459" s="29" t="n">
        <v>45997</v>
      </c>
      <c r="F2459" s="29" t="n">
        <v>45999</v>
      </c>
      <c r="G2459" s="31" t="n">
        <v>62660.37</v>
      </c>
      <c r="H2459" s="31" t="n">
        <v>28867.18</v>
      </c>
      <c r="I2459" t="inlineStr">
        <is>
          <t>Paid</t>
        </is>
      </c>
      <c r="K2459" s="29" t="n">
        <v>46018</v>
      </c>
      <c r="L2459" s="33" t="n"/>
    </row>
    <row r="2460">
      <c r="A2460" t="inlineStr">
        <is>
          <t>CLM520838</t>
        </is>
      </c>
      <c r="B2460" t="inlineStr">
        <is>
          <t>ENC120838</t>
        </is>
      </c>
      <c r="C2460" t="inlineStr">
        <is>
          <t>Silverline Medicare Advantage</t>
        </is>
      </c>
      <c r="D2460" t="inlineStr">
        <is>
          <t>Inpatient</t>
        </is>
      </c>
      <c r="E2460" s="29" t="n">
        <v>45997</v>
      </c>
      <c r="F2460" s="29" t="n">
        <v>46014</v>
      </c>
      <c r="G2460" s="31" t="n">
        <v>13541.03</v>
      </c>
      <c r="H2460" s="31" t="n">
        <v>0</v>
      </c>
      <c r="I2460" t="inlineStr">
        <is>
          <t>Pending</t>
        </is>
      </c>
      <c r="L2460" s="33" t="n"/>
    </row>
    <row r="2461">
      <c r="A2461" t="inlineStr">
        <is>
          <t>CLM520848</t>
        </is>
      </c>
      <c r="B2461" t="inlineStr">
        <is>
          <t>ENC120848</t>
        </is>
      </c>
      <c r="C2461" t="inlineStr">
        <is>
          <t>Evergreen Mutual Insurance</t>
        </is>
      </c>
      <c r="D2461" t="inlineStr">
        <is>
          <t>Inpatient</t>
        </is>
      </c>
      <c r="E2461" s="29" t="n">
        <v>45997</v>
      </c>
      <c r="F2461" s="29" t="n">
        <v>46002</v>
      </c>
      <c r="G2461" s="31" t="n">
        <v>43062.37</v>
      </c>
      <c r="H2461" s="31" t="n">
        <v>0</v>
      </c>
      <c r="I2461" t="inlineStr">
        <is>
          <t>Pending</t>
        </is>
      </c>
      <c r="L2461" s="33" t="n"/>
    </row>
    <row r="2462">
      <c r="A2462" t="inlineStr">
        <is>
          <t>CLM520849</t>
        </is>
      </c>
      <c r="B2462" t="inlineStr">
        <is>
          <t>ENC120849</t>
        </is>
      </c>
      <c r="C2462" t="inlineStr">
        <is>
          <t>Silverline Medicare Advantage</t>
        </is>
      </c>
      <c r="D2462" t="inlineStr">
        <is>
          <t>Inpatient</t>
        </is>
      </c>
      <c r="E2462" s="29" t="n">
        <v>46003</v>
      </c>
      <c r="F2462" s="29" t="n">
        <v>46008</v>
      </c>
      <c r="G2462" s="31" t="n">
        <v>81476.33</v>
      </c>
      <c r="H2462" s="31" t="n">
        <v>0</v>
      </c>
      <c r="I2462" t="inlineStr">
        <is>
          <t>Pending</t>
        </is>
      </c>
      <c r="L2462" s="33" t="n"/>
    </row>
    <row r="2463">
      <c r="A2463" t="inlineStr">
        <is>
          <t>CLM520858</t>
        </is>
      </c>
      <c r="B2463" t="inlineStr">
        <is>
          <t>ENC120858</t>
        </is>
      </c>
      <c r="C2463" t="inlineStr">
        <is>
          <t>Evergreen Mutual Insurance</t>
        </is>
      </c>
      <c r="D2463" t="inlineStr">
        <is>
          <t>Emergency</t>
        </is>
      </c>
      <c r="E2463" s="29" t="n">
        <v>45994</v>
      </c>
      <c r="F2463" s="29" t="n">
        <v>45998</v>
      </c>
      <c r="G2463" s="31" t="n">
        <v>5135.49</v>
      </c>
      <c r="H2463" s="31" t="n">
        <v>0</v>
      </c>
      <c r="I2463" t="inlineStr">
        <is>
          <t>Pending</t>
        </is>
      </c>
      <c r="L2463" s="33" t="n"/>
    </row>
    <row r="2464">
      <c r="A2464" t="inlineStr">
        <is>
          <t>CLM520863</t>
        </is>
      </c>
      <c r="B2464" t="inlineStr">
        <is>
          <t>ENC120863</t>
        </is>
      </c>
      <c r="C2464" t="inlineStr">
        <is>
          <t>Evergreen Mutual Insurance</t>
        </is>
      </c>
      <c r="D2464" t="inlineStr">
        <is>
          <t>Emergency</t>
        </is>
      </c>
      <c r="E2464" s="29" t="n">
        <v>45995</v>
      </c>
      <c r="F2464" s="29" t="n">
        <v>46005</v>
      </c>
      <c r="G2464" s="31" t="n">
        <v>1689.16</v>
      </c>
      <c r="H2464" s="31" t="n">
        <v>686.25</v>
      </c>
      <c r="I2464" t="inlineStr">
        <is>
          <t>Paid</t>
        </is>
      </c>
      <c r="K2464" s="29" t="n">
        <v>46022</v>
      </c>
      <c r="L2464" s="33" t="n"/>
    </row>
    <row r="2465">
      <c r="A2465" t="inlineStr">
        <is>
          <t>CLM520864</t>
        </is>
      </c>
      <c r="B2465" t="inlineStr">
        <is>
          <t>ENC120864</t>
        </is>
      </c>
      <c r="C2465" t="inlineStr">
        <is>
          <t>Summit Choice PPO</t>
        </is>
      </c>
      <c r="D2465" t="inlineStr">
        <is>
          <t>Emergency</t>
        </is>
      </c>
      <c r="E2465" s="29" t="n">
        <v>45995</v>
      </c>
      <c r="F2465" s="29" t="n">
        <v>45999</v>
      </c>
      <c r="G2465" s="31" t="n">
        <v>1328.03</v>
      </c>
      <c r="H2465" s="31" t="n">
        <v>602.39</v>
      </c>
      <c r="I2465" t="inlineStr">
        <is>
          <t>Partially Paid</t>
        </is>
      </c>
      <c r="J2465" t="inlineStr">
        <is>
          <t>Coding Error</t>
        </is>
      </c>
      <c r="K2465" s="29" t="n">
        <v>46017</v>
      </c>
      <c r="L2465" s="33" t="n"/>
    </row>
    <row r="2466">
      <c r="A2466" t="inlineStr">
        <is>
          <t>CLM520876</t>
        </is>
      </c>
      <c r="B2466" t="inlineStr">
        <is>
          <t>ENC120876</t>
        </is>
      </c>
      <c r="C2466" t="inlineStr">
        <is>
          <t>Keystone Health Partners</t>
        </is>
      </c>
      <c r="D2466" t="inlineStr">
        <is>
          <t>Outpatient</t>
        </is>
      </c>
      <c r="E2466" s="29" t="n">
        <v>45995</v>
      </c>
      <c r="F2466" s="29" t="n">
        <v>45999</v>
      </c>
      <c r="G2466" s="31" t="n">
        <v>266.22</v>
      </c>
      <c r="H2466" s="31" t="n">
        <v>118.08</v>
      </c>
      <c r="I2466" t="inlineStr">
        <is>
          <t>Paid</t>
        </is>
      </c>
      <c r="K2466" s="29" t="n">
        <v>46017</v>
      </c>
      <c r="L2466" s="33" t="n"/>
    </row>
    <row r="2467">
      <c r="A2467" t="inlineStr">
        <is>
          <t>CLM520878</t>
        </is>
      </c>
      <c r="B2467" t="inlineStr">
        <is>
          <t>ENC120878</t>
        </is>
      </c>
      <c r="C2467" t="inlineStr">
        <is>
          <t>State Medicaid</t>
        </is>
      </c>
      <c r="D2467" t="inlineStr">
        <is>
          <t>Emergency</t>
        </is>
      </c>
      <c r="E2467" s="29" t="n">
        <v>45995</v>
      </c>
      <c r="F2467" s="29" t="n">
        <v>46000</v>
      </c>
      <c r="G2467" s="31" t="n">
        <v>717.2</v>
      </c>
      <c r="H2467" s="31" t="n">
        <v>0</v>
      </c>
      <c r="I2467" t="inlineStr">
        <is>
          <t>Pending</t>
        </is>
      </c>
      <c r="L2467" s="33" t="n"/>
    </row>
    <row r="2468">
      <c r="A2468" t="inlineStr">
        <is>
          <t>CLM520889</t>
        </is>
      </c>
      <c r="B2468" t="inlineStr">
        <is>
          <t>ENC120889</t>
        </is>
      </c>
      <c r="C2468" t="inlineStr">
        <is>
          <t>Medicare</t>
        </is>
      </c>
      <c r="D2468" t="inlineStr">
        <is>
          <t>Outpatient</t>
        </is>
      </c>
      <c r="E2468" s="29" t="n">
        <v>45995</v>
      </c>
      <c r="F2468" s="29" t="n">
        <v>46001</v>
      </c>
      <c r="G2468" s="31" t="n">
        <v>361.02</v>
      </c>
      <c r="H2468" s="31" t="n">
        <v>94.41</v>
      </c>
      <c r="I2468" t="inlineStr">
        <is>
          <t>Paid</t>
        </is>
      </c>
      <c r="K2468" s="29" t="n">
        <v>46013</v>
      </c>
      <c r="L2468" s="33" t="n"/>
    </row>
    <row r="2469">
      <c r="A2469" t="inlineStr">
        <is>
          <t>CLM520890</t>
        </is>
      </c>
      <c r="B2469" t="inlineStr">
        <is>
          <t>ENC120890</t>
        </is>
      </c>
      <c r="C2469" t="inlineStr">
        <is>
          <t>Medicare</t>
        </is>
      </c>
      <c r="D2469" t="inlineStr">
        <is>
          <t>Outpatient</t>
        </is>
      </c>
      <c r="E2469" s="29" t="n">
        <v>45995</v>
      </c>
      <c r="F2469" s="29" t="n">
        <v>46003</v>
      </c>
      <c r="G2469" s="31" t="n">
        <v>433.97</v>
      </c>
      <c r="H2469" s="31" t="n">
        <v>50.69</v>
      </c>
      <c r="I2469" t="inlineStr">
        <is>
          <t>Partially Paid</t>
        </is>
      </c>
      <c r="J2469" t="inlineStr">
        <is>
          <t>Coding Error</t>
        </is>
      </c>
      <c r="K2469" s="29" t="n">
        <v>46021</v>
      </c>
      <c r="L2469" s="33" t="n"/>
    </row>
    <row r="2470">
      <c r="A2470" t="inlineStr">
        <is>
          <t>CLM520898</t>
        </is>
      </c>
      <c r="B2470" t="inlineStr">
        <is>
          <t>ENC120898</t>
        </is>
      </c>
      <c r="C2470" t="inlineStr">
        <is>
          <t>State Medicaid</t>
        </is>
      </c>
      <c r="D2470" t="inlineStr">
        <is>
          <t>Outpatient</t>
        </is>
      </c>
      <c r="E2470" s="29" t="n">
        <v>45995</v>
      </c>
      <c r="F2470" s="29" t="n">
        <v>46004</v>
      </c>
      <c r="G2470" s="31" t="n">
        <v>124.34</v>
      </c>
      <c r="H2470" s="31" t="n">
        <v>0</v>
      </c>
      <c r="I2470" t="inlineStr">
        <is>
          <t>Denied</t>
        </is>
      </c>
      <c r="J2470" t="inlineStr">
        <is>
          <t>Missing Documentation</t>
        </is>
      </c>
      <c r="L2470" s="33" t="n"/>
    </row>
    <row r="2471">
      <c r="A2471" t="inlineStr">
        <is>
          <t>CLM520900</t>
        </is>
      </c>
      <c r="B2471" t="inlineStr">
        <is>
          <t>ENC120900</t>
        </is>
      </c>
      <c r="C2471" t="inlineStr">
        <is>
          <t>Medicare</t>
        </is>
      </c>
      <c r="D2471" t="inlineStr">
        <is>
          <t>Outpatient</t>
        </is>
      </c>
      <c r="E2471" s="29" t="n">
        <v>45995</v>
      </c>
      <c r="F2471" s="29" t="n">
        <v>45999</v>
      </c>
      <c r="G2471" s="31" t="n">
        <v>263.73</v>
      </c>
      <c r="H2471" s="31" t="n">
        <v>0</v>
      </c>
      <c r="I2471" t="inlineStr">
        <is>
          <t>Denied</t>
        </is>
      </c>
      <c r="J2471" t="inlineStr">
        <is>
          <t>Coding Error</t>
        </is>
      </c>
      <c r="L2471" s="33" t="n"/>
    </row>
    <row r="2472">
      <c r="A2472" t="inlineStr">
        <is>
          <t>CLM520902</t>
        </is>
      </c>
      <c r="B2472" t="inlineStr">
        <is>
          <t>ENC120902</t>
        </is>
      </c>
      <c r="C2472" t="inlineStr">
        <is>
          <t>State Medicaid</t>
        </is>
      </c>
      <c r="D2472" t="inlineStr">
        <is>
          <t>Inpatient</t>
        </is>
      </c>
      <c r="E2472" s="29" t="n">
        <v>45997</v>
      </c>
      <c r="F2472" s="29" t="n">
        <v>46002</v>
      </c>
      <c r="G2472" s="31" t="n">
        <v>14684.29</v>
      </c>
      <c r="H2472" s="31" t="n">
        <v>0</v>
      </c>
      <c r="I2472" t="inlineStr">
        <is>
          <t>Pending</t>
        </is>
      </c>
      <c r="L2472" s="33" t="n"/>
    </row>
    <row r="2473">
      <c r="A2473" t="inlineStr">
        <is>
          <t>CLM520910</t>
        </is>
      </c>
      <c r="B2473" t="inlineStr">
        <is>
          <t>ENC120910</t>
        </is>
      </c>
      <c r="C2473" t="inlineStr">
        <is>
          <t>Keystone Health Partners</t>
        </is>
      </c>
      <c r="D2473" t="inlineStr">
        <is>
          <t>Inpatient</t>
        </is>
      </c>
      <c r="E2473" s="29" t="n">
        <v>45998</v>
      </c>
      <c r="F2473" s="29" t="n">
        <v>46002</v>
      </c>
      <c r="G2473" s="31" t="n">
        <v>11609.9</v>
      </c>
      <c r="H2473" s="31" t="n">
        <v>0</v>
      </c>
      <c r="I2473" t="inlineStr">
        <is>
          <t>Pending</t>
        </is>
      </c>
      <c r="L2473" s="33" t="n"/>
    </row>
    <row r="2474">
      <c r="A2474" t="inlineStr">
        <is>
          <t>CLM520914</t>
        </is>
      </c>
      <c r="B2474" t="inlineStr">
        <is>
          <t>ENC120914</t>
        </is>
      </c>
      <c r="C2474" t="inlineStr">
        <is>
          <t>Self-Pay</t>
        </is>
      </c>
      <c r="D2474" t="inlineStr">
        <is>
          <t>Outpatient</t>
        </is>
      </c>
      <c r="E2474" s="29" t="n">
        <v>45996</v>
      </c>
      <c r="F2474" s="29" t="n">
        <v>46000</v>
      </c>
      <c r="G2474" s="31" t="n">
        <v>597.05</v>
      </c>
      <c r="H2474" s="31" t="n">
        <v>0</v>
      </c>
      <c r="I2474" t="inlineStr">
        <is>
          <t>Pending</t>
        </is>
      </c>
      <c r="L2474" s="33" t="n"/>
    </row>
    <row r="2475">
      <c r="A2475" t="inlineStr">
        <is>
          <t>CLM520921</t>
        </is>
      </c>
      <c r="B2475" t="inlineStr">
        <is>
          <t>ENC120921</t>
        </is>
      </c>
      <c r="C2475" t="inlineStr">
        <is>
          <t>Keystone Health Partners</t>
        </is>
      </c>
      <c r="D2475" t="inlineStr">
        <is>
          <t>Emergency</t>
        </is>
      </c>
      <c r="E2475" s="29" t="n">
        <v>45996</v>
      </c>
      <c r="F2475" s="29" t="n">
        <v>45997</v>
      </c>
      <c r="G2475" s="31" t="n">
        <v>1686.25</v>
      </c>
      <c r="H2475" s="31" t="n">
        <v>0</v>
      </c>
      <c r="I2475" t="inlineStr">
        <is>
          <t>Pending</t>
        </is>
      </c>
      <c r="L2475" s="33" t="n"/>
    </row>
    <row r="2476">
      <c r="A2476" t="inlineStr">
        <is>
          <t>CLM520922</t>
        </is>
      </c>
      <c r="B2476" t="inlineStr">
        <is>
          <t>ENC120922</t>
        </is>
      </c>
      <c r="C2476" t="inlineStr">
        <is>
          <t>State Medicaid</t>
        </is>
      </c>
      <c r="D2476" t="inlineStr">
        <is>
          <t>Outpatient</t>
        </is>
      </c>
      <c r="E2476" s="29" t="n">
        <v>45996</v>
      </c>
      <c r="F2476" s="29" t="n">
        <v>46000</v>
      </c>
      <c r="G2476" s="31" t="n">
        <v>103.77</v>
      </c>
      <c r="H2476" s="31" t="n">
        <v>0</v>
      </c>
      <c r="I2476" t="inlineStr">
        <is>
          <t>Pending</t>
        </is>
      </c>
      <c r="L2476" s="33" t="n"/>
    </row>
    <row r="2477">
      <c r="A2477" t="inlineStr">
        <is>
          <t>CLM520923</t>
        </is>
      </c>
      <c r="B2477" t="inlineStr">
        <is>
          <t>ENC120923</t>
        </is>
      </c>
      <c r="C2477" t="inlineStr">
        <is>
          <t>State Medicaid</t>
        </is>
      </c>
      <c r="D2477" t="inlineStr">
        <is>
          <t>Outpatient</t>
        </is>
      </c>
      <c r="E2477" s="29" t="n">
        <v>45996</v>
      </c>
      <c r="F2477" s="29" t="n">
        <v>45999</v>
      </c>
      <c r="G2477" s="31" t="n">
        <v>738.16</v>
      </c>
      <c r="H2477" s="31" t="n">
        <v>0</v>
      </c>
      <c r="I2477" t="inlineStr">
        <is>
          <t>Pending</t>
        </is>
      </c>
      <c r="L2477" s="33" t="n"/>
    </row>
    <row r="2478">
      <c r="A2478" t="inlineStr">
        <is>
          <t>CLM520931</t>
        </is>
      </c>
      <c r="B2478" t="inlineStr">
        <is>
          <t>ENC120931</t>
        </is>
      </c>
      <c r="C2478" t="inlineStr">
        <is>
          <t>Keystone Health Partners</t>
        </is>
      </c>
      <c r="D2478" t="inlineStr">
        <is>
          <t>Outpatient</t>
        </is>
      </c>
      <c r="E2478" s="29" t="n">
        <v>45996</v>
      </c>
      <c r="F2478" s="29" t="n">
        <v>45998</v>
      </c>
      <c r="G2478" s="31" t="n">
        <v>107.01</v>
      </c>
      <c r="H2478" s="31" t="n">
        <v>0</v>
      </c>
      <c r="I2478" t="inlineStr">
        <is>
          <t>Pending</t>
        </is>
      </c>
      <c r="L2478" s="33" t="n"/>
    </row>
    <row r="2479">
      <c r="A2479" t="inlineStr">
        <is>
          <t>CLM520933</t>
        </is>
      </c>
      <c r="B2479" t="inlineStr">
        <is>
          <t>ENC120933</t>
        </is>
      </c>
      <c r="C2479" t="inlineStr">
        <is>
          <t>Medicare</t>
        </is>
      </c>
      <c r="D2479" t="inlineStr">
        <is>
          <t>Outpatient</t>
        </is>
      </c>
      <c r="E2479" s="29" t="n">
        <v>45996</v>
      </c>
      <c r="F2479" s="29" t="n">
        <v>46002</v>
      </c>
      <c r="G2479" s="31" t="n">
        <v>311.35</v>
      </c>
      <c r="H2479" s="31" t="n">
        <v>99.19</v>
      </c>
      <c r="I2479" t="inlineStr">
        <is>
          <t>Paid</t>
        </is>
      </c>
      <c r="K2479" s="29" t="n">
        <v>46010</v>
      </c>
      <c r="L2479" s="33" t="n"/>
    </row>
    <row r="2480">
      <c r="A2480" t="inlineStr">
        <is>
          <t>CLM520938</t>
        </is>
      </c>
      <c r="B2480" t="inlineStr">
        <is>
          <t>ENC120938</t>
        </is>
      </c>
      <c r="C2480" t="inlineStr">
        <is>
          <t>State Medicaid</t>
        </is>
      </c>
      <c r="D2480" t="inlineStr">
        <is>
          <t>Outpatient</t>
        </is>
      </c>
      <c r="E2480" s="29" t="n">
        <v>45996</v>
      </c>
      <c r="F2480" s="29" t="n">
        <v>45999</v>
      </c>
      <c r="G2480" s="31" t="n">
        <v>223.24</v>
      </c>
      <c r="H2480" s="31" t="n">
        <v>0</v>
      </c>
      <c r="I2480" t="inlineStr">
        <is>
          <t>Pending</t>
        </is>
      </c>
      <c r="L2480" s="33" t="n"/>
    </row>
    <row r="2481">
      <c r="A2481" t="inlineStr">
        <is>
          <t>CLM520954</t>
        </is>
      </c>
      <c r="B2481" t="inlineStr">
        <is>
          <t>ENC120954</t>
        </is>
      </c>
      <c r="C2481" t="inlineStr">
        <is>
          <t>Evergreen Mutual Insurance</t>
        </is>
      </c>
      <c r="D2481" t="inlineStr">
        <is>
          <t>Emergency</t>
        </is>
      </c>
      <c r="E2481" s="29" t="n">
        <v>45997</v>
      </c>
      <c r="F2481" s="29" t="n">
        <v>46011</v>
      </c>
      <c r="G2481" s="31" t="n">
        <v>1550.86</v>
      </c>
      <c r="H2481" s="31" t="n">
        <v>0</v>
      </c>
      <c r="I2481" t="inlineStr">
        <is>
          <t>Pending</t>
        </is>
      </c>
      <c r="L2481" s="33" t="n"/>
    </row>
    <row r="2482">
      <c r="A2482" t="inlineStr">
        <is>
          <t>CLM520955</t>
        </is>
      </c>
      <c r="B2482" t="inlineStr">
        <is>
          <t>ENC120955</t>
        </is>
      </c>
      <c r="C2482" t="inlineStr">
        <is>
          <t>Evergreen Mutual Insurance</t>
        </is>
      </c>
      <c r="D2482" t="inlineStr">
        <is>
          <t>Inpatient</t>
        </is>
      </c>
      <c r="E2482" s="29" t="n">
        <v>46005</v>
      </c>
      <c r="F2482" s="29" t="n">
        <v>46009</v>
      </c>
      <c r="G2482" s="31" t="n">
        <v>30634.73</v>
      </c>
      <c r="H2482" s="31" t="n">
        <v>0</v>
      </c>
      <c r="I2482" t="inlineStr">
        <is>
          <t>Pending</t>
        </is>
      </c>
      <c r="L2482" s="33" t="n"/>
    </row>
    <row r="2483">
      <c r="A2483" t="inlineStr">
        <is>
          <t>CLM520956</t>
        </is>
      </c>
      <c r="B2483" t="inlineStr">
        <is>
          <t>ENC120956</t>
        </is>
      </c>
      <c r="C2483" t="inlineStr">
        <is>
          <t>Medicare</t>
        </is>
      </c>
      <c r="D2483" t="inlineStr">
        <is>
          <t>Inpatient</t>
        </is>
      </c>
      <c r="E2483" s="29" t="n">
        <v>45999</v>
      </c>
      <c r="F2483" s="29" t="n">
        <v>46008</v>
      </c>
      <c r="G2483" s="31" t="n">
        <v>21597.84</v>
      </c>
      <c r="H2483" s="31" t="n">
        <v>0</v>
      </c>
      <c r="I2483" t="inlineStr">
        <is>
          <t>Pending</t>
        </is>
      </c>
      <c r="L2483" s="33" t="n"/>
    </row>
    <row r="2484">
      <c r="A2484" t="inlineStr">
        <is>
          <t>CLM520970</t>
        </is>
      </c>
      <c r="B2484" t="inlineStr">
        <is>
          <t>ENC120970</t>
        </is>
      </c>
      <c r="C2484" t="inlineStr">
        <is>
          <t>Keystone Health Partners</t>
        </is>
      </c>
      <c r="D2484" t="inlineStr">
        <is>
          <t>Inpatient</t>
        </is>
      </c>
      <c r="E2484" s="29" t="n">
        <v>46000</v>
      </c>
      <c r="F2484" s="29" t="n">
        <v>46010</v>
      </c>
      <c r="G2484" s="31" t="n">
        <v>24767.24</v>
      </c>
      <c r="H2484" s="31" t="n">
        <v>0</v>
      </c>
      <c r="I2484" t="inlineStr">
        <is>
          <t>Pending</t>
        </is>
      </c>
      <c r="L2484" s="33" t="n"/>
    </row>
    <row r="2485">
      <c r="A2485" t="inlineStr">
        <is>
          <t>CLM520974</t>
        </is>
      </c>
      <c r="B2485" t="inlineStr">
        <is>
          <t>ENC120974</t>
        </is>
      </c>
      <c r="C2485" t="inlineStr">
        <is>
          <t>Silverline Medicare Advantage</t>
        </is>
      </c>
      <c r="D2485" t="inlineStr">
        <is>
          <t>Inpatient</t>
        </is>
      </c>
      <c r="E2485" s="29" t="n">
        <v>46004</v>
      </c>
      <c r="F2485" s="29" t="n">
        <v>46008</v>
      </c>
      <c r="G2485" s="31" t="n">
        <v>88135.64999999999</v>
      </c>
      <c r="H2485" s="31" t="n">
        <v>0</v>
      </c>
      <c r="I2485" t="inlineStr">
        <is>
          <t>Pending</t>
        </is>
      </c>
      <c r="L2485" s="33" t="n"/>
    </row>
    <row r="2486">
      <c r="A2486" t="inlineStr">
        <is>
          <t>CLM520977</t>
        </is>
      </c>
      <c r="B2486" t="inlineStr">
        <is>
          <t>ENC120977</t>
        </is>
      </c>
      <c r="C2486" t="inlineStr">
        <is>
          <t>Medicare</t>
        </is>
      </c>
      <c r="D2486" t="inlineStr">
        <is>
          <t>Inpatient</t>
        </is>
      </c>
      <c r="E2486" s="29" t="n">
        <v>46001</v>
      </c>
      <c r="F2486" s="29" t="n">
        <v>46007</v>
      </c>
      <c r="G2486" s="31" t="n">
        <v>19463.54</v>
      </c>
      <c r="H2486" s="31" t="n">
        <v>5475.52</v>
      </c>
      <c r="I2486" t="inlineStr">
        <is>
          <t>Paid</t>
        </is>
      </c>
      <c r="K2486" s="29" t="n">
        <v>46017</v>
      </c>
      <c r="L2486" s="33" t="n"/>
    </row>
    <row r="2487">
      <c r="A2487" t="inlineStr">
        <is>
          <t>CLM520978</t>
        </is>
      </c>
      <c r="B2487" t="inlineStr">
        <is>
          <t>ENC120978</t>
        </is>
      </c>
      <c r="C2487" t="inlineStr">
        <is>
          <t>Evergreen Mutual Insurance</t>
        </is>
      </c>
      <c r="D2487" t="inlineStr">
        <is>
          <t>Inpatient</t>
        </is>
      </c>
      <c r="E2487" s="29" t="n">
        <v>46006</v>
      </c>
      <c r="F2487" s="29" t="n">
        <v>46011</v>
      </c>
      <c r="G2487" s="31" t="n">
        <v>55015.83</v>
      </c>
      <c r="H2487" s="31" t="n">
        <v>0</v>
      </c>
      <c r="I2487" t="inlineStr">
        <is>
          <t>Pending</t>
        </is>
      </c>
      <c r="L2487" s="33" t="n"/>
    </row>
    <row r="2488">
      <c r="A2488" t="inlineStr">
        <is>
          <t>CLM520982</t>
        </is>
      </c>
      <c r="B2488" t="inlineStr">
        <is>
          <t>ENC120982</t>
        </is>
      </c>
      <c r="C2488" t="inlineStr">
        <is>
          <t>Medicare</t>
        </is>
      </c>
      <c r="D2488" t="inlineStr">
        <is>
          <t>Emergency</t>
        </is>
      </c>
      <c r="E2488" s="29" t="n">
        <v>45998</v>
      </c>
      <c r="F2488" s="29" t="n">
        <v>46000</v>
      </c>
      <c r="G2488" s="31" t="n">
        <v>739.0599999999999</v>
      </c>
      <c r="H2488" s="31" t="n">
        <v>0</v>
      </c>
      <c r="I2488" t="inlineStr">
        <is>
          <t>Denied</t>
        </is>
      </c>
      <c r="J2488" t="inlineStr">
        <is>
          <t>Coding Error</t>
        </is>
      </c>
      <c r="L2488" s="33" t="n"/>
    </row>
    <row r="2489">
      <c r="A2489" t="inlineStr">
        <is>
          <t>CLM520983</t>
        </is>
      </c>
      <c r="B2489" t="inlineStr">
        <is>
          <t>ENC120983</t>
        </is>
      </c>
      <c r="C2489" t="inlineStr">
        <is>
          <t>Keystone Health Partners</t>
        </is>
      </c>
      <c r="D2489" t="inlineStr">
        <is>
          <t>Inpatient</t>
        </is>
      </c>
      <c r="E2489" s="29" t="n">
        <v>46000</v>
      </c>
      <c r="F2489" s="29" t="n">
        <v>46004</v>
      </c>
      <c r="G2489" s="31" t="n">
        <v>11204.42</v>
      </c>
      <c r="H2489" s="31" t="n">
        <v>0</v>
      </c>
      <c r="I2489" t="inlineStr">
        <is>
          <t>Pending</t>
        </is>
      </c>
      <c r="L2489" s="33" t="n"/>
    </row>
    <row r="2490">
      <c r="A2490" t="inlineStr">
        <is>
          <t>CLM520986</t>
        </is>
      </c>
      <c r="B2490" t="inlineStr">
        <is>
          <t>ENC120986</t>
        </is>
      </c>
      <c r="C2490" t="inlineStr">
        <is>
          <t>Keystone Health Partners</t>
        </is>
      </c>
      <c r="D2490" t="inlineStr">
        <is>
          <t>Inpatient</t>
        </is>
      </c>
      <c r="E2490" s="29" t="n">
        <v>45999</v>
      </c>
      <c r="F2490" s="29" t="n">
        <v>46003</v>
      </c>
      <c r="G2490" s="31" t="n">
        <v>22129.42</v>
      </c>
      <c r="H2490" s="31" t="n">
        <v>10420.14</v>
      </c>
      <c r="I2490" t="inlineStr">
        <is>
          <t>Paid</t>
        </is>
      </c>
      <c r="K2490" s="29" t="n">
        <v>46016</v>
      </c>
      <c r="L2490" s="33" t="n"/>
    </row>
    <row r="2491">
      <c r="A2491" t="inlineStr">
        <is>
          <t>CLM520988</t>
        </is>
      </c>
      <c r="B2491" t="inlineStr">
        <is>
          <t>ENC120988</t>
        </is>
      </c>
      <c r="C2491" t="inlineStr">
        <is>
          <t>Keystone Health Partners</t>
        </is>
      </c>
      <c r="D2491" t="inlineStr">
        <is>
          <t>Observation</t>
        </is>
      </c>
      <c r="E2491" s="29" t="n">
        <v>45999</v>
      </c>
      <c r="F2491" s="29" t="n">
        <v>46003</v>
      </c>
      <c r="G2491" s="31" t="n">
        <v>8042.91</v>
      </c>
      <c r="H2491" s="31" t="n">
        <v>0</v>
      </c>
      <c r="I2491" t="inlineStr">
        <is>
          <t>Pending</t>
        </is>
      </c>
      <c r="L2491" s="33" t="n"/>
    </row>
    <row r="2492">
      <c r="A2492" t="inlineStr">
        <is>
          <t>CLM520991</t>
        </is>
      </c>
      <c r="B2492" t="inlineStr">
        <is>
          <t>ENC120991</t>
        </is>
      </c>
      <c r="C2492" t="inlineStr">
        <is>
          <t>State Medicaid</t>
        </is>
      </c>
      <c r="D2492" t="inlineStr">
        <is>
          <t>Inpatient</t>
        </is>
      </c>
      <c r="E2492" s="29" t="n">
        <v>46001</v>
      </c>
      <c r="F2492" s="29" t="n">
        <v>46007</v>
      </c>
      <c r="G2492" s="31" t="n">
        <v>14029.79</v>
      </c>
      <c r="H2492" s="31" t="n">
        <v>0</v>
      </c>
      <c r="I2492" t="inlineStr">
        <is>
          <t>Pending</t>
        </is>
      </c>
      <c r="L2492" s="33" t="n"/>
    </row>
    <row r="2493">
      <c r="A2493" t="inlineStr">
        <is>
          <t>CLM520998</t>
        </is>
      </c>
      <c r="B2493" t="inlineStr">
        <is>
          <t>ENC120998</t>
        </is>
      </c>
      <c r="C2493" t="inlineStr">
        <is>
          <t>Silverline Medicare Advantage</t>
        </is>
      </c>
      <c r="D2493" t="inlineStr">
        <is>
          <t>Emergency</t>
        </is>
      </c>
      <c r="E2493" s="29" t="n">
        <v>45999</v>
      </c>
      <c r="F2493" s="29" t="n">
        <v>46007</v>
      </c>
      <c r="G2493" s="31" t="n">
        <v>3305.42</v>
      </c>
      <c r="H2493" s="31" t="n">
        <v>0</v>
      </c>
      <c r="I2493" t="inlineStr">
        <is>
          <t>Pending</t>
        </is>
      </c>
      <c r="L2493" s="33" t="n"/>
    </row>
    <row r="2494">
      <c r="A2494" t="inlineStr">
        <is>
          <t>CLM521001</t>
        </is>
      </c>
      <c r="B2494" t="inlineStr">
        <is>
          <t>ENC121001</t>
        </is>
      </c>
      <c r="C2494" t="inlineStr">
        <is>
          <t>Summit Choice PPO</t>
        </is>
      </c>
      <c r="D2494" t="inlineStr">
        <is>
          <t>Outpatient</t>
        </is>
      </c>
      <c r="E2494" s="29" t="n">
        <v>45999</v>
      </c>
      <c r="F2494" s="29" t="n">
        <v>46002</v>
      </c>
      <c r="G2494" s="31" t="n">
        <v>377.33</v>
      </c>
      <c r="H2494" s="31" t="n">
        <v>186.22</v>
      </c>
      <c r="I2494" t="inlineStr">
        <is>
          <t>Paid</t>
        </is>
      </c>
      <c r="K2494" s="29" t="n">
        <v>46018</v>
      </c>
      <c r="L2494" s="33" t="n"/>
    </row>
    <row r="2495">
      <c r="A2495" t="inlineStr">
        <is>
          <t>CLM521002</t>
        </is>
      </c>
      <c r="B2495" t="inlineStr">
        <is>
          <t>ENC121002</t>
        </is>
      </c>
      <c r="C2495" t="inlineStr">
        <is>
          <t>Summit Choice PPO</t>
        </is>
      </c>
      <c r="D2495" t="inlineStr">
        <is>
          <t>Outpatient</t>
        </is>
      </c>
      <c r="E2495" s="29" t="n">
        <v>45999</v>
      </c>
      <c r="F2495" s="29" t="n">
        <v>46007</v>
      </c>
      <c r="G2495" s="31" t="n">
        <v>327.17</v>
      </c>
      <c r="H2495" s="31" t="n">
        <v>0</v>
      </c>
      <c r="I2495" t="inlineStr">
        <is>
          <t>Pending</t>
        </is>
      </c>
      <c r="L2495" s="33" t="n"/>
    </row>
    <row r="2496">
      <c r="A2496" t="inlineStr">
        <is>
          <t>CLM521013</t>
        </is>
      </c>
      <c r="B2496" t="inlineStr">
        <is>
          <t>ENC121013</t>
        </is>
      </c>
      <c r="C2496" t="inlineStr">
        <is>
          <t>Silverline Medicare Advantage</t>
        </is>
      </c>
      <c r="D2496" t="inlineStr">
        <is>
          <t>Inpatient</t>
        </is>
      </c>
      <c r="E2496" s="29" t="n">
        <v>46007</v>
      </c>
      <c r="F2496" s="29" t="n">
        <v>46010</v>
      </c>
      <c r="G2496" s="31" t="n">
        <v>31721.18</v>
      </c>
      <c r="H2496" s="31" t="n">
        <v>0</v>
      </c>
      <c r="I2496" t="inlineStr">
        <is>
          <t>Pending</t>
        </is>
      </c>
      <c r="L2496" s="33" t="n"/>
    </row>
    <row r="2497">
      <c r="A2497" t="inlineStr">
        <is>
          <t>CLM521014</t>
        </is>
      </c>
      <c r="B2497" t="inlineStr">
        <is>
          <t>ENC121014</t>
        </is>
      </c>
      <c r="C2497" t="inlineStr">
        <is>
          <t>Self-Pay</t>
        </is>
      </c>
      <c r="D2497" t="inlineStr">
        <is>
          <t>Outpatient</t>
        </is>
      </c>
      <c r="E2497" s="29" t="n">
        <v>45999</v>
      </c>
      <c r="F2497" s="29" t="n">
        <v>46005</v>
      </c>
      <c r="G2497" s="31" t="n">
        <v>10091.4</v>
      </c>
      <c r="H2497" s="31" t="n">
        <v>0</v>
      </c>
      <c r="I2497" t="inlineStr">
        <is>
          <t>Pending</t>
        </is>
      </c>
      <c r="L2497" s="33" t="n"/>
    </row>
    <row r="2498">
      <c r="A2498" t="inlineStr">
        <is>
          <t>CLM521021</t>
        </is>
      </c>
      <c r="B2498" t="inlineStr">
        <is>
          <t>ENC121021</t>
        </is>
      </c>
      <c r="C2498" t="inlineStr">
        <is>
          <t>Keystone Health Partners</t>
        </is>
      </c>
      <c r="D2498" t="inlineStr">
        <is>
          <t>Emergency</t>
        </is>
      </c>
      <c r="E2498" s="29" t="n">
        <v>45999</v>
      </c>
      <c r="F2498" s="29" t="n">
        <v>46003</v>
      </c>
      <c r="G2498" s="31" t="n">
        <v>5191.45</v>
      </c>
      <c r="H2498" s="31" t="n">
        <v>0</v>
      </c>
      <c r="I2498" t="inlineStr">
        <is>
          <t>Pending</t>
        </is>
      </c>
      <c r="L2498" s="33" t="n"/>
    </row>
    <row r="2499">
      <c r="A2499" t="inlineStr">
        <is>
          <t>CLM521022</t>
        </is>
      </c>
      <c r="B2499" t="inlineStr">
        <is>
          <t>ENC121022</t>
        </is>
      </c>
      <c r="C2499" t="inlineStr">
        <is>
          <t>Summit Choice PPO</t>
        </is>
      </c>
      <c r="D2499" t="inlineStr">
        <is>
          <t>Inpatient</t>
        </is>
      </c>
      <c r="E2499" s="29" t="n">
        <v>46008</v>
      </c>
      <c r="F2499" s="29" t="n">
        <v>46010</v>
      </c>
      <c r="G2499" s="31" t="n">
        <v>75803.55</v>
      </c>
      <c r="H2499" s="31" t="n">
        <v>0</v>
      </c>
      <c r="I2499" t="inlineStr">
        <is>
          <t>Denied</t>
        </is>
      </c>
      <c r="J2499" t="inlineStr">
        <is>
          <t>Authorization Required</t>
        </is>
      </c>
      <c r="L2499" s="33" t="n"/>
    </row>
    <row r="2500">
      <c r="A2500" t="inlineStr">
        <is>
          <t>CLM521024</t>
        </is>
      </c>
      <c r="B2500" t="inlineStr">
        <is>
          <t>ENC121024</t>
        </is>
      </c>
      <c r="C2500" t="inlineStr">
        <is>
          <t>Keystone Health Partners</t>
        </is>
      </c>
      <c r="D2500" t="inlineStr">
        <is>
          <t>Outpatient</t>
        </is>
      </c>
      <c r="E2500" s="29" t="n">
        <v>45999</v>
      </c>
      <c r="F2500" s="29" t="n">
        <v>46001</v>
      </c>
      <c r="G2500" s="31" t="n">
        <v>275.5</v>
      </c>
      <c r="H2500" s="31" t="n">
        <v>0</v>
      </c>
      <c r="I2500" t="inlineStr">
        <is>
          <t>Denied</t>
        </is>
      </c>
      <c r="J2500" t="inlineStr">
        <is>
          <t>Medical Necessity</t>
        </is>
      </c>
      <c r="L2500" s="33" t="n"/>
    </row>
    <row r="2501">
      <c r="A2501" t="inlineStr">
        <is>
          <t>CLM521029</t>
        </is>
      </c>
      <c r="B2501" t="inlineStr">
        <is>
          <t>ENC121029</t>
        </is>
      </c>
      <c r="C2501" t="inlineStr">
        <is>
          <t>Evergreen Mutual Insurance</t>
        </is>
      </c>
      <c r="D2501" t="inlineStr">
        <is>
          <t>Outpatient</t>
        </is>
      </c>
      <c r="E2501" s="29" t="n">
        <v>45999</v>
      </c>
      <c r="F2501" s="29" t="n">
        <v>46004</v>
      </c>
      <c r="G2501" s="31" t="n">
        <v>227.52</v>
      </c>
      <c r="H2501" s="31" t="n">
        <v>0</v>
      </c>
      <c r="I2501" t="inlineStr">
        <is>
          <t>Denied</t>
        </is>
      </c>
      <c r="J2501" t="inlineStr">
        <is>
          <t>Medical Necessity</t>
        </is>
      </c>
      <c r="L2501" s="33" t="n"/>
    </row>
    <row r="2502">
      <c r="A2502" t="inlineStr">
        <is>
          <t>CLM521035</t>
        </is>
      </c>
      <c r="B2502" t="inlineStr">
        <is>
          <t>ENC121035</t>
        </is>
      </c>
      <c r="C2502" t="inlineStr">
        <is>
          <t>Silverline Medicare Advantage</t>
        </is>
      </c>
      <c r="D2502" t="inlineStr">
        <is>
          <t>Outpatient</t>
        </is>
      </c>
      <c r="E2502" s="29" t="n">
        <v>45999</v>
      </c>
      <c r="F2502" s="29" t="n">
        <v>46004</v>
      </c>
      <c r="G2502" s="31" t="n">
        <v>955.76</v>
      </c>
      <c r="H2502" s="31" t="n">
        <v>281.14</v>
      </c>
      <c r="I2502" t="inlineStr">
        <is>
          <t>Paid</t>
        </is>
      </c>
      <c r="K2502" s="29" t="n">
        <v>46018</v>
      </c>
      <c r="L2502" s="33" t="n"/>
    </row>
    <row r="2503">
      <c r="A2503" t="inlineStr">
        <is>
          <t>CLM521036</t>
        </is>
      </c>
      <c r="B2503" t="inlineStr">
        <is>
          <t>ENC121036</t>
        </is>
      </c>
      <c r="C2503" t="inlineStr">
        <is>
          <t>Silverline Medicare Advantage</t>
        </is>
      </c>
      <c r="D2503" t="inlineStr">
        <is>
          <t>Outpatient</t>
        </is>
      </c>
      <c r="E2503" s="29" t="n">
        <v>45999</v>
      </c>
      <c r="F2503" s="29" t="n">
        <v>46001</v>
      </c>
      <c r="G2503" s="31" t="n">
        <v>245.89</v>
      </c>
      <c r="H2503" s="31" t="n">
        <v>0</v>
      </c>
      <c r="I2503" t="inlineStr">
        <is>
          <t>Pending</t>
        </is>
      </c>
      <c r="L2503" s="33" t="n"/>
    </row>
    <row r="2504">
      <c r="A2504" t="inlineStr">
        <is>
          <t>CLM521041</t>
        </is>
      </c>
      <c r="B2504" t="inlineStr">
        <is>
          <t>ENC121041</t>
        </is>
      </c>
      <c r="C2504" t="inlineStr">
        <is>
          <t>Medicare</t>
        </is>
      </c>
      <c r="D2504" t="inlineStr">
        <is>
          <t>Emergency</t>
        </is>
      </c>
      <c r="E2504" s="29" t="n">
        <v>45999</v>
      </c>
      <c r="F2504" s="29" t="n">
        <v>46005</v>
      </c>
      <c r="G2504" s="31" t="n">
        <v>2070.75</v>
      </c>
      <c r="H2504" s="31" t="n">
        <v>0</v>
      </c>
      <c r="I2504" t="inlineStr">
        <is>
          <t>Denied</t>
        </is>
      </c>
      <c r="J2504" t="inlineStr">
        <is>
          <t>Authorization Required</t>
        </is>
      </c>
      <c r="L2504" s="33" t="n"/>
    </row>
    <row r="2505">
      <c r="A2505" t="inlineStr">
        <is>
          <t>CLM521042</t>
        </is>
      </c>
      <c r="B2505" t="inlineStr">
        <is>
          <t>ENC121042</t>
        </is>
      </c>
      <c r="C2505" t="inlineStr">
        <is>
          <t>Keystone Health Partners</t>
        </is>
      </c>
      <c r="D2505" t="inlineStr">
        <is>
          <t>Emergency</t>
        </is>
      </c>
      <c r="E2505" s="29" t="n">
        <v>45999</v>
      </c>
      <c r="F2505" s="29" t="n">
        <v>46003</v>
      </c>
      <c r="G2505" s="31" t="n">
        <v>4464.59</v>
      </c>
      <c r="H2505" s="31" t="n">
        <v>0</v>
      </c>
      <c r="I2505" t="inlineStr">
        <is>
          <t>Pending</t>
        </is>
      </c>
      <c r="L2505" s="33" t="n"/>
    </row>
    <row r="2506">
      <c r="A2506" t="inlineStr">
        <is>
          <t>CLM521047</t>
        </is>
      </c>
      <c r="B2506" t="inlineStr">
        <is>
          <t>ENC121047</t>
        </is>
      </c>
      <c r="C2506" t="inlineStr">
        <is>
          <t>Evergreen Mutual Insurance</t>
        </is>
      </c>
      <c r="D2506" t="inlineStr">
        <is>
          <t>Emergency</t>
        </is>
      </c>
      <c r="E2506" s="29" t="n">
        <v>46000</v>
      </c>
      <c r="F2506" s="29" t="n">
        <v>46017</v>
      </c>
      <c r="G2506" s="31" t="n">
        <v>1591.13</v>
      </c>
      <c r="H2506" s="31" t="n">
        <v>0</v>
      </c>
      <c r="I2506" t="inlineStr">
        <is>
          <t>Pending</t>
        </is>
      </c>
      <c r="L2506" s="33" t="n"/>
    </row>
    <row r="2507">
      <c r="A2507" t="inlineStr">
        <is>
          <t>CLM521050</t>
        </is>
      </c>
      <c r="B2507" t="inlineStr">
        <is>
          <t>ENC121050</t>
        </is>
      </c>
      <c r="C2507" t="inlineStr">
        <is>
          <t>Keystone Health Partners</t>
        </is>
      </c>
      <c r="D2507" t="inlineStr">
        <is>
          <t>Observation</t>
        </is>
      </c>
      <c r="E2507" s="29" t="n">
        <v>46001</v>
      </c>
      <c r="F2507" s="29" t="n">
        <v>46003</v>
      </c>
      <c r="G2507" s="31" t="n">
        <v>14814.19</v>
      </c>
      <c r="H2507" s="31" t="n">
        <v>0</v>
      </c>
      <c r="I2507" t="inlineStr">
        <is>
          <t>Pending</t>
        </is>
      </c>
      <c r="L2507" s="33" t="n"/>
    </row>
    <row r="2508">
      <c r="A2508" t="inlineStr">
        <is>
          <t>CLM521051</t>
        </is>
      </c>
      <c r="B2508" t="inlineStr">
        <is>
          <t>ENC121051</t>
        </is>
      </c>
      <c r="C2508" t="inlineStr">
        <is>
          <t>Evergreen Mutual Insurance</t>
        </is>
      </c>
      <c r="D2508" t="inlineStr">
        <is>
          <t>Inpatient</t>
        </is>
      </c>
      <c r="E2508" s="29" t="n">
        <v>46004</v>
      </c>
      <c r="F2508" s="29" t="n">
        <v>46011</v>
      </c>
      <c r="G2508" s="31" t="n">
        <v>44166.68</v>
      </c>
      <c r="H2508" s="31" t="n">
        <v>0</v>
      </c>
      <c r="I2508" t="inlineStr">
        <is>
          <t>Pending</t>
        </is>
      </c>
      <c r="L2508" s="33" t="n"/>
    </row>
    <row r="2509">
      <c r="A2509" t="inlineStr">
        <is>
          <t>CLM521054</t>
        </is>
      </c>
      <c r="B2509" t="inlineStr">
        <is>
          <t>ENC121054</t>
        </is>
      </c>
      <c r="C2509" t="inlineStr">
        <is>
          <t>State Medicaid</t>
        </is>
      </c>
      <c r="D2509" t="inlineStr">
        <is>
          <t>Outpatient</t>
        </is>
      </c>
      <c r="E2509" s="29" t="n">
        <v>46000</v>
      </c>
      <c r="F2509" s="29" t="n">
        <v>46003</v>
      </c>
      <c r="G2509" s="31" t="n">
        <v>292.33</v>
      </c>
      <c r="H2509" s="31" t="n">
        <v>0</v>
      </c>
      <c r="I2509" t="inlineStr">
        <is>
          <t>Pending</t>
        </is>
      </c>
      <c r="L2509" s="33" t="n"/>
    </row>
    <row r="2510">
      <c r="A2510" t="inlineStr">
        <is>
          <t>CLM521058</t>
        </is>
      </c>
      <c r="B2510" t="inlineStr">
        <is>
          <t>ENC121058</t>
        </is>
      </c>
      <c r="C2510" t="inlineStr">
        <is>
          <t>State Medicaid</t>
        </is>
      </c>
      <c r="D2510" t="inlineStr">
        <is>
          <t>Inpatient</t>
        </is>
      </c>
      <c r="E2510" s="29" t="n">
        <v>46003</v>
      </c>
      <c r="F2510" s="29" t="n">
        <v>46004</v>
      </c>
      <c r="G2510" s="31" t="n">
        <v>15826.2</v>
      </c>
      <c r="H2510" s="31" t="n">
        <v>0</v>
      </c>
      <c r="I2510" t="inlineStr">
        <is>
          <t>Pending</t>
        </is>
      </c>
      <c r="L2510" s="33" t="n"/>
    </row>
    <row r="2511">
      <c r="A2511" t="inlineStr">
        <is>
          <t>CLM521062</t>
        </is>
      </c>
      <c r="B2511" t="inlineStr">
        <is>
          <t>ENC121062</t>
        </is>
      </c>
      <c r="C2511" t="inlineStr">
        <is>
          <t>Summit Choice PPO</t>
        </is>
      </c>
      <c r="D2511" t="inlineStr">
        <is>
          <t>Emergency</t>
        </is>
      </c>
      <c r="E2511" s="29" t="n">
        <v>46000</v>
      </c>
      <c r="F2511" s="29" t="n">
        <v>46010</v>
      </c>
      <c r="G2511" s="31" t="n">
        <v>8903.25</v>
      </c>
      <c r="H2511" s="31" t="n">
        <v>0</v>
      </c>
      <c r="I2511" t="inlineStr">
        <is>
          <t>Pending</t>
        </is>
      </c>
      <c r="L2511" s="33" t="n"/>
    </row>
    <row r="2512">
      <c r="A2512" t="inlineStr">
        <is>
          <t>CLM521063</t>
        </is>
      </c>
      <c r="B2512" t="inlineStr">
        <is>
          <t>ENC121063</t>
        </is>
      </c>
      <c r="C2512" t="inlineStr">
        <is>
          <t>Summit Choice PPO</t>
        </is>
      </c>
      <c r="D2512" t="inlineStr">
        <is>
          <t>Emergency</t>
        </is>
      </c>
      <c r="E2512" s="29" t="n">
        <v>46000</v>
      </c>
      <c r="F2512" s="29" t="n">
        <v>46008</v>
      </c>
      <c r="G2512" s="31" t="n">
        <v>4467.9</v>
      </c>
      <c r="H2512" s="31" t="n">
        <v>2059.07</v>
      </c>
      <c r="I2512" t="inlineStr">
        <is>
          <t>Paid</t>
        </is>
      </c>
      <c r="K2512" s="29" t="n">
        <v>46020</v>
      </c>
      <c r="L2512" s="33" t="n"/>
    </row>
    <row r="2513">
      <c r="A2513" t="inlineStr">
        <is>
          <t>CLM521066</t>
        </is>
      </c>
      <c r="B2513" t="inlineStr">
        <is>
          <t>ENC121066</t>
        </is>
      </c>
      <c r="C2513" t="inlineStr">
        <is>
          <t>State Medicaid</t>
        </is>
      </c>
      <c r="D2513" t="inlineStr">
        <is>
          <t>Outpatient</t>
        </is>
      </c>
      <c r="E2513" s="29" t="n">
        <v>46000</v>
      </c>
      <c r="F2513" s="29" t="n">
        <v>46012</v>
      </c>
      <c r="G2513" s="31" t="n">
        <v>255.23</v>
      </c>
      <c r="H2513" s="31" t="n">
        <v>0</v>
      </c>
      <c r="I2513" t="inlineStr">
        <is>
          <t>Pending</t>
        </is>
      </c>
      <c r="L2513" s="33" t="n"/>
    </row>
    <row r="2514">
      <c r="A2514" t="inlineStr">
        <is>
          <t>CLM521067</t>
        </is>
      </c>
      <c r="B2514" t="inlineStr">
        <is>
          <t>ENC121067</t>
        </is>
      </c>
      <c r="C2514" t="inlineStr">
        <is>
          <t>Keystone Health Partners</t>
        </is>
      </c>
      <c r="D2514" t="inlineStr">
        <is>
          <t>Emergency</t>
        </is>
      </c>
      <c r="E2514" s="29" t="n">
        <v>46000</v>
      </c>
      <c r="F2514" s="29" t="n">
        <v>46002</v>
      </c>
      <c r="G2514" s="31" t="n">
        <v>3202.77</v>
      </c>
      <c r="H2514" s="31" t="n">
        <v>1035.02</v>
      </c>
      <c r="I2514" t="inlineStr">
        <is>
          <t>Partially Paid</t>
        </is>
      </c>
      <c r="J2514" t="inlineStr">
        <is>
          <t>Coding Error</t>
        </is>
      </c>
      <c r="K2514" s="29" t="n">
        <v>46020</v>
      </c>
      <c r="L2514" s="33" t="n"/>
    </row>
    <row r="2515">
      <c r="A2515" t="inlineStr">
        <is>
          <t>CLM521069</t>
        </is>
      </c>
      <c r="B2515" t="inlineStr">
        <is>
          <t>ENC121069</t>
        </is>
      </c>
      <c r="C2515" t="inlineStr">
        <is>
          <t>Summit Choice PPO</t>
        </is>
      </c>
      <c r="D2515" t="inlineStr">
        <is>
          <t>Inpatient</t>
        </is>
      </c>
      <c r="E2515" s="29" t="n">
        <v>46005</v>
      </c>
      <c r="F2515" s="29" t="n">
        <v>46011</v>
      </c>
      <c r="G2515" s="31" t="n">
        <v>23921.17</v>
      </c>
      <c r="H2515" s="31" t="n">
        <v>0</v>
      </c>
      <c r="I2515" t="inlineStr">
        <is>
          <t>Pending</t>
        </is>
      </c>
      <c r="L2515" s="33" t="n"/>
    </row>
    <row r="2516">
      <c r="A2516" t="inlineStr">
        <is>
          <t>CLM521072</t>
        </is>
      </c>
      <c r="B2516" t="inlineStr">
        <is>
          <t>ENC121072</t>
        </is>
      </c>
      <c r="C2516" t="inlineStr">
        <is>
          <t>State Medicaid</t>
        </is>
      </c>
      <c r="D2516" t="inlineStr">
        <is>
          <t>Outpatient</t>
        </is>
      </c>
      <c r="E2516" s="29" t="n">
        <v>46000</v>
      </c>
      <c r="F2516" s="29" t="n">
        <v>46007</v>
      </c>
      <c r="G2516" s="31" t="n">
        <v>180.69</v>
      </c>
      <c r="H2516" s="31" t="n">
        <v>41.88</v>
      </c>
      <c r="I2516" t="inlineStr">
        <is>
          <t>Paid</t>
        </is>
      </c>
      <c r="K2516" s="29" t="n">
        <v>46022</v>
      </c>
      <c r="L2516" s="33" t="n"/>
    </row>
    <row r="2517">
      <c r="A2517" t="inlineStr">
        <is>
          <t>CLM521074</t>
        </is>
      </c>
      <c r="B2517" t="inlineStr">
        <is>
          <t>ENC121074</t>
        </is>
      </c>
      <c r="C2517" t="inlineStr">
        <is>
          <t>State Medicaid</t>
        </is>
      </c>
      <c r="D2517" t="inlineStr">
        <is>
          <t>Emergency</t>
        </is>
      </c>
      <c r="E2517" s="29" t="n">
        <v>46000</v>
      </c>
      <c r="F2517" s="29" t="n">
        <v>46005</v>
      </c>
      <c r="G2517" s="31" t="n">
        <v>818.62</v>
      </c>
      <c r="H2517" s="31" t="n">
        <v>0</v>
      </c>
      <c r="I2517" t="inlineStr">
        <is>
          <t>Pending</t>
        </is>
      </c>
      <c r="L2517" s="33" t="n"/>
    </row>
    <row r="2518">
      <c r="A2518" t="inlineStr">
        <is>
          <t>CLM521082</t>
        </is>
      </c>
      <c r="B2518" t="inlineStr">
        <is>
          <t>ENC121082</t>
        </is>
      </c>
      <c r="C2518" t="inlineStr">
        <is>
          <t>State Medicaid</t>
        </is>
      </c>
      <c r="D2518" t="inlineStr">
        <is>
          <t>Outpatient</t>
        </is>
      </c>
      <c r="E2518" s="29" t="n">
        <v>46000</v>
      </c>
      <c r="F2518" s="29" t="n">
        <v>46010</v>
      </c>
      <c r="G2518" s="31" t="n">
        <v>421.44</v>
      </c>
      <c r="H2518" s="31" t="n">
        <v>0</v>
      </c>
      <c r="I2518" t="inlineStr">
        <is>
          <t>Pending</t>
        </is>
      </c>
      <c r="L2518" s="33" t="n"/>
    </row>
    <row r="2519">
      <c r="A2519" t="inlineStr">
        <is>
          <t>CLM521083</t>
        </is>
      </c>
      <c r="B2519" t="inlineStr">
        <is>
          <t>ENC121083</t>
        </is>
      </c>
      <c r="C2519" t="inlineStr">
        <is>
          <t>State Medicaid</t>
        </is>
      </c>
      <c r="D2519" t="inlineStr">
        <is>
          <t>Outpatient</t>
        </is>
      </c>
      <c r="E2519" s="29" t="n">
        <v>46000</v>
      </c>
      <c r="F2519" s="29" t="n">
        <v>46004</v>
      </c>
      <c r="G2519" s="31" t="n">
        <v>393.03</v>
      </c>
      <c r="H2519" s="31" t="n">
        <v>0</v>
      </c>
      <c r="I2519" t="inlineStr">
        <is>
          <t>Denied</t>
        </is>
      </c>
      <c r="J2519" t="inlineStr">
        <is>
          <t>Authorization Required</t>
        </is>
      </c>
      <c r="L2519" s="33" t="n"/>
    </row>
    <row r="2520">
      <c r="A2520" t="inlineStr">
        <is>
          <t>CLM521093</t>
        </is>
      </c>
      <c r="B2520" t="inlineStr">
        <is>
          <t>ENC121093</t>
        </is>
      </c>
      <c r="C2520" t="inlineStr">
        <is>
          <t>Summit Choice PPO</t>
        </is>
      </c>
      <c r="D2520" t="inlineStr">
        <is>
          <t>Inpatient</t>
        </is>
      </c>
      <c r="E2520" s="29" t="n">
        <v>46014</v>
      </c>
      <c r="F2520" s="29" t="n">
        <v>46016</v>
      </c>
      <c r="G2520" s="31" t="n">
        <v>20133.2</v>
      </c>
      <c r="H2520" s="31" t="n">
        <v>0</v>
      </c>
      <c r="I2520" t="inlineStr">
        <is>
          <t>Pending</t>
        </is>
      </c>
      <c r="L2520" s="33" t="n"/>
    </row>
    <row r="2521">
      <c r="A2521" t="inlineStr">
        <is>
          <t>CLM521097</t>
        </is>
      </c>
      <c r="B2521" t="inlineStr">
        <is>
          <t>ENC121097</t>
        </is>
      </c>
      <c r="C2521" t="inlineStr">
        <is>
          <t>Medicare</t>
        </is>
      </c>
      <c r="D2521" t="inlineStr">
        <is>
          <t>Inpatient</t>
        </is>
      </c>
      <c r="E2521" s="29" t="n">
        <v>46007</v>
      </c>
      <c r="F2521" s="29" t="n">
        <v>46018</v>
      </c>
      <c r="G2521" s="31" t="n">
        <v>31927.49</v>
      </c>
      <c r="H2521" s="31" t="n">
        <v>0</v>
      </c>
      <c r="I2521" t="inlineStr">
        <is>
          <t>Pending</t>
        </is>
      </c>
      <c r="L2521" s="33" t="n"/>
    </row>
    <row r="2522">
      <c r="A2522" t="inlineStr">
        <is>
          <t>CLM521102</t>
        </is>
      </c>
      <c r="B2522" t="inlineStr">
        <is>
          <t>ENC121102</t>
        </is>
      </c>
      <c r="C2522" t="inlineStr">
        <is>
          <t>State Medicaid</t>
        </is>
      </c>
      <c r="D2522" t="inlineStr">
        <is>
          <t>Emergency</t>
        </is>
      </c>
      <c r="E2522" s="29" t="n">
        <v>46001</v>
      </c>
      <c r="F2522" s="29" t="n">
        <v>46013</v>
      </c>
      <c r="G2522" s="31" t="n">
        <v>1194.93</v>
      </c>
      <c r="H2522" s="31" t="n">
        <v>0</v>
      </c>
      <c r="I2522" t="inlineStr">
        <is>
          <t>Pending</t>
        </is>
      </c>
      <c r="L2522" s="33" t="n"/>
    </row>
    <row r="2523">
      <c r="A2523" t="inlineStr">
        <is>
          <t>CLM521105</t>
        </is>
      </c>
      <c r="B2523" t="inlineStr">
        <is>
          <t>ENC121105</t>
        </is>
      </c>
      <c r="C2523" t="inlineStr">
        <is>
          <t>Medicare</t>
        </is>
      </c>
      <c r="D2523" t="inlineStr">
        <is>
          <t>Emergency</t>
        </is>
      </c>
      <c r="E2523" s="29" t="n">
        <v>46001</v>
      </c>
      <c r="F2523" s="29" t="n">
        <v>46005</v>
      </c>
      <c r="G2523" s="31" t="n">
        <v>3516.49</v>
      </c>
      <c r="H2523" s="31" t="n">
        <v>915.99</v>
      </c>
      <c r="I2523" t="inlineStr">
        <is>
          <t>Paid</t>
        </is>
      </c>
      <c r="K2523" s="29" t="n">
        <v>46015</v>
      </c>
      <c r="L2523" s="33" t="n"/>
    </row>
    <row r="2524">
      <c r="A2524" t="inlineStr">
        <is>
          <t>CLM521106</t>
        </is>
      </c>
      <c r="B2524" t="inlineStr">
        <is>
          <t>ENC121106</t>
        </is>
      </c>
      <c r="C2524" t="inlineStr">
        <is>
          <t>State Medicaid</t>
        </is>
      </c>
      <c r="D2524" t="inlineStr">
        <is>
          <t>Outpatient</t>
        </is>
      </c>
      <c r="E2524" s="29" t="n">
        <v>46001</v>
      </c>
      <c r="F2524" s="29" t="n">
        <v>46007</v>
      </c>
      <c r="G2524" s="31" t="n">
        <v>311.81</v>
      </c>
      <c r="H2524" s="31" t="n">
        <v>0</v>
      </c>
      <c r="I2524" t="inlineStr">
        <is>
          <t>Pending</t>
        </is>
      </c>
      <c r="L2524" s="33" t="n"/>
    </row>
    <row r="2525">
      <c r="A2525" t="inlineStr">
        <is>
          <t>CLM521108</t>
        </is>
      </c>
      <c r="B2525" t="inlineStr">
        <is>
          <t>ENC121108</t>
        </is>
      </c>
      <c r="C2525" t="inlineStr">
        <is>
          <t>Medicare</t>
        </is>
      </c>
      <c r="D2525" t="inlineStr">
        <is>
          <t>Outpatient</t>
        </is>
      </c>
      <c r="E2525" s="29" t="n">
        <v>46001</v>
      </c>
      <c r="F2525" s="29" t="n">
        <v>46010</v>
      </c>
      <c r="G2525" s="31" t="n">
        <v>139.69</v>
      </c>
      <c r="H2525" s="31" t="n">
        <v>0</v>
      </c>
      <c r="I2525" t="inlineStr">
        <is>
          <t>Pending</t>
        </is>
      </c>
      <c r="L2525" s="33" t="n"/>
    </row>
    <row r="2526">
      <c r="A2526" t="inlineStr">
        <is>
          <t>CLM521110</t>
        </is>
      </c>
      <c r="B2526" t="inlineStr">
        <is>
          <t>ENC121110</t>
        </is>
      </c>
      <c r="C2526" t="inlineStr">
        <is>
          <t>Silverline Medicare Advantage</t>
        </is>
      </c>
      <c r="D2526" t="inlineStr">
        <is>
          <t>Outpatient</t>
        </is>
      </c>
      <c r="E2526" s="29" t="n">
        <v>46001</v>
      </c>
      <c r="F2526" s="29" t="n">
        <v>46006</v>
      </c>
      <c r="G2526" s="31" t="n">
        <v>142.31</v>
      </c>
      <c r="H2526" s="31" t="n">
        <v>0</v>
      </c>
      <c r="I2526" t="inlineStr">
        <is>
          <t>Pending</t>
        </is>
      </c>
      <c r="L2526" s="33" t="n"/>
    </row>
    <row r="2527">
      <c r="A2527" t="inlineStr">
        <is>
          <t>CLM521114</t>
        </is>
      </c>
      <c r="B2527" t="inlineStr">
        <is>
          <t>ENC121114</t>
        </is>
      </c>
      <c r="C2527" t="inlineStr">
        <is>
          <t>Silverline Medicare Advantage</t>
        </is>
      </c>
      <c r="D2527" t="inlineStr">
        <is>
          <t>Outpatient</t>
        </is>
      </c>
      <c r="E2527" s="29" t="n">
        <v>46001</v>
      </c>
      <c r="F2527" s="29" t="n">
        <v>46004</v>
      </c>
      <c r="G2527" s="31" t="n">
        <v>201.46</v>
      </c>
      <c r="H2527" s="31" t="n">
        <v>0</v>
      </c>
      <c r="I2527" t="inlineStr">
        <is>
          <t>Pending</t>
        </is>
      </c>
      <c r="L2527" s="33" t="n"/>
    </row>
    <row r="2528">
      <c r="A2528" t="inlineStr">
        <is>
          <t>CLM521115</t>
        </is>
      </c>
      <c r="B2528" t="inlineStr">
        <is>
          <t>ENC121115</t>
        </is>
      </c>
      <c r="C2528" t="inlineStr">
        <is>
          <t>Summit Choice PPO</t>
        </is>
      </c>
      <c r="D2528" t="inlineStr">
        <is>
          <t>Emergency</t>
        </is>
      </c>
      <c r="E2528" s="29" t="n">
        <v>46001</v>
      </c>
      <c r="F2528" s="29" t="n">
        <v>46010</v>
      </c>
      <c r="G2528" s="31" t="n">
        <v>700.35</v>
      </c>
      <c r="H2528" s="31" t="n">
        <v>0</v>
      </c>
      <c r="I2528" t="inlineStr">
        <is>
          <t>Pending</t>
        </is>
      </c>
      <c r="L2528" s="33" t="n"/>
    </row>
    <row r="2529">
      <c r="A2529" t="inlineStr">
        <is>
          <t>CLM521116</t>
        </is>
      </c>
      <c r="B2529" t="inlineStr">
        <is>
          <t>ENC121116</t>
        </is>
      </c>
      <c r="C2529" t="inlineStr">
        <is>
          <t>Silverline Medicare Advantage</t>
        </is>
      </c>
      <c r="D2529" t="inlineStr">
        <is>
          <t>Outpatient</t>
        </is>
      </c>
      <c r="E2529" s="29" t="n">
        <v>46001</v>
      </c>
      <c r="F2529" s="29" t="n">
        <v>46003</v>
      </c>
      <c r="G2529" s="31" t="n">
        <v>238.94</v>
      </c>
      <c r="H2529" s="31" t="n">
        <v>0</v>
      </c>
      <c r="I2529" t="inlineStr">
        <is>
          <t>Pending</t>
        </is>
      </c>
      <c r="L2529" s="33" t="n"/>
    </row>
    <row r="2530">
      <c r="A2530" t="inlineStr">
        <is>
          <t>CLM521117</t>
        </is>
      </c>
      <c r="B2530" t="inlineStr">
        <is>
          <t>ENC121117</t>
        </is>
      </c>
      <c r="C2530" t="inlineStr">
        <is>
          <t>State Medicaid</t>
        </is>
      </c>
      <c r="D2530" t="inlineStr">
        <is>
          <t>Outpatient</t>
        </is>
      </c>
      <c r="E2530" s="29" t="n">
        <v>46001</v>
      </c>
      <c r="F2530" s="29" t="n">
        <v>46008</v>
      </c>
      <c r="G2530" s="31" t="n">
        <v>327.9</v>
      </c>
      <c r="H2530" s="31" t="n">
        <v>0</v>
      </c>
      <c r="I2530" t="inlineStr">
        <is>
          <t>Pending</t>
        </is>
      </c>
      <c r="L2530" s="33" t="n"/>
    </row>
    <row r="2531">
      <c r="A2531" t="inlineStr">
        <is>
          <t>CLM521130</t>
        </is>
      </c>
      <c r="B2531" t="inlineStr">
        <is>
          <t>ENC121130</t>
        </is>
      </c>
      <c r="C2531" t="inlineStr">
        <is>
          <t>Medicare</t>
        </is>
      </c>
      <c r="D2531" t="inlineStr">
        <is>
          <t>Observation</t>
        </is>
      </c>
      <c r="E2531" s="29" t="n">
        <v>46002</v>
      </c>
      <c r="F2531" s="29" t="n">
        <v>46004</v>
      </c>
      <c r="G2531" s="31" t="n">
        <v>8652.98</v>
      </c>
      <c r="H2531" s="31" t="n">
        <v>2438.07</v>
      </c>
      <c r="I2531" t="inlineStr">
        <is>
          <t>Paid</t>
        </is>
      </c>
      <c r="K2531" s="29" t="n">
        <v>46016</v>
      </c>
      <c r="L2531" s="33" t="n"/>
    </row>
    <row r="2532">
      <c r="A2532" t="inlineStr">
        <is>
          <t>CLM521137</t>
        </is>
      </c>
      <c r="B2532" t="inlineStr">
        <is>
          <t>ENC121137</t>
        </is>
      </c>
      <c r="C2532" t="inlineStr">
        <is>
          <t>State Medicaid</t>
        </is>
      </c>
      <c r="D2532" t="inlineStr">
        <is>
          <t>Inpatient</t>
        </is>
      </c>
      <c r="E2532" s="29" t="n">
        <v>46009</v>
      </c>
      <c r="F2532" s="29" t="n">
        <v>46011</v>
      </c>
      <c r="G2532" s="31" t="n">
        <v>37574.58</v>
      </c>
      <c r="H2532" s="31" t="n">
        <v>0</v>
      </c>
      <c r="I2532" t="inlineStr">
        <is>
          <t>Pending</t>
        </is>
      </c>
      <c r="L2532" s="33" t="n"/>
    </row>
    <row r="2533">
      <c r="A2533" t="inlineStr">
        <is>
          <t>CLM521140</t>
        </is>
      </c>
      <c r="B2533" t="inlineStr">
        <is>
          <t>ENC121140</t>
        </is>
      </c>
      <c r="C2533" t="inlineStr">
        <is>
          <t>State Medicaid</t>
        </is>
      </c>
      <c r="D2533" t="inlineStr">
        <is>
          <t>Outpatient</t>
        </is>
      </c>
      <c r="E2533" s="29" t="n">
        <v>46002</v>
      </c>
      <c r="F2533" s="29" t="n">
        <v>46003</v>
      </c>
      <c r="G2533" s="31" t="n">
        <v>360.08</v>
      </c>
      <c r="H2533" s="31" t="n">
        <v>0</v>
      </c>
      <c r="I2533" t="inlineStr">
        <is>
          <t>Pending</t>
        </is>
      </c>
      <c r="L2533" s="33" t="n"/>
    </row>
    <row r="2534">
      <c r="A2534" t="inlineStr">
        <is>
          <t>CLM521149</t>
        </is>
      </c>
      <c r="B2534" t="inlineStr">
        <is>
          <t>ENC121149</t>
        </is>
      </c>
      <c r="C2534" t="inlineStr">
        <is>
          <t>Medicare</t>
        </is>
      </c>
      <c r="D2534" t="inlineStr">
        <is>
          <t>Inpatient</t>
        </is>
      </c>
      <c r="E2534" s="29" t="n">
        <v>46004</v>
      </c>
      <c r="F2534" s="29" t="n">
        <v>46012</v>
      </c>
      <c r="G2534" s="31" t="n">
        <v>8013.33</v>
      </c>
      <c r="H2534" s="31" t="n">
        <v>0</v>
      </c>
      <c r="I2534" t="inlineStr">
        <is>
          <t>Pending</t>
        </is>
      </c>
      <c r="L2534" s="33" t="n"/>
    </row>
    <row r="2535">
      <c r="A2535" t="inlineStr">
        <is>
          <t>CLM521155</t>
        </is>
      </c>
      <c r="B2535" t="inlineStr">
        <is>
          <t>ENC121155</t>
        </is>
      </c>
      <c r="C2535" t="inlineStr">
        <is>
          <t>State Medicaid</t>
        </is>
      </c>
      <c r="D2535" t="inlineStr">
        <is>
          <t>Outpatient</t>
        </is>
      </c>
      <c r="E2535" s="29" t="n">
        <v>46002</v>
      </c>
      <c r="F2535" s="29" t="n">
        <v>46006</v>
      </c>
      <c r="G2535" s="31" t="n">
        <v>532.95</v>
      </c>
      <c r="H2535" s="31" t="n">
        <v>0</v>
      </c>
      <c r="I2535" t="inlineStr">
        <is>
          <t>Pending</t>
        </is>
      </c>
      <c r="L2535" s="33" t="n"/>
    </row>
    <row r="2536">
      <c r="A2536" t="inlineStr">
        <is>
          <t>CLM521157</t>
        </is>
      </c>
      <c r="B2536" t="inlineStr">
        <is>
          <t>ENC121157</t>
        </is>
      </c>
      <c r="C2536" t="inlineStr">
        <is>
          <t>State Medicaid</t>
        </is>
      </c>
      <c r="D2536" t="inlineStr">
        <is>
          <t>Outpatient</t>
        </is>
      </c>
      <c r="E2536" s="29" t="n">
        <v>46002</v>
      </c>
      <c r="F2536" s="29" t="n">
        <v>46010</v>
      </c>
      <c r="G2536" s="31" t="n">
        <v>223.46</v>
      </c>
      <c r="H2536" s="31" t="n">
        <v>0</v>
      </c>
      <c r="I2536" t="inlineStr">
        <is>
          <t>Pending</t>
        </is>
      </c>
      <c r="L2536" s="33" t="n"/>
    </row>
    <row r="2537">
      <c r="A2537" t="inlineStr">
        <is>
          <t>CLM521164</t>
        </is>
      </c>
      <c r="B2537" t="inlineStr">
        <is>
          <t>ENC121164</t>
        </is>
      </c>
      <c r="C2537" t="inlineStr">
        <is>
          <t>Silverline Medicare Advantage</t>
        </is>
      </c>
      <c r="D2537" t="inlineStr">
        <is>
          <t>Inpatient</t>
        </is>
      </c>
      <c r="E2537" s="29" t="n">
        <v>46014</v>
      </c>
      <c r="F2537" s="29" t="n">
        <v>46017</v>
      </c>
      <c r="G2537" s="31" t="n">
        <v>153289.75</v>
      </c>
      <c r="H2537" s="31" t="n">
        <v>0</v>
      </c>
      <c r="I2537" t="inlineStr">
        <is>
          <t>Pending</t>
        </is>
      </c>
      <c r="L2537" s="33" t="n"/>
    </row>
    <row r="2538">
      <c r="A2538" t="inlineStr">
        <is>
          <t>CLM521173</t>
        </is>
      </c>
      <c r="B2538" t="inlineStr">
        <is>
          <t>ENC121173</t>
        </is>
      </c>
      <c r="C2538" t="inlineStr">
        <is>
          <t>Keystone Health Partners</t>
        </is>
      </c>
      <c r="D2538" t="inlineStr">
        <is>
          <t>Emergency</t>
        </is>
      </c>
      <c r="E2538" s="29" t="n">
        <v>46003</v>
      </c>
      <c r="F2538" s="29" t="n">
        <v>46005</v>
      </c>
      <c r="G2538" s="31" t="n">
        <v>4112.16</v>
      </c>
      <c r="H2538" s="31" t="n">
        <v>0</v>
      </c>
      <c r="I2538" t="inlineStr">
        <is>
          <t>Denied</t>
        </is>
      </c>
      <c r="J2538" t="inlineStr">
        <is>
          <t>Medical Necessity</t>
        </is>
      </c>
      <c r="L2538" s="33" t="n"/>
    </row>
    <row r="2539">
      <c r="A2539" t="inlineStr">
        <is>
          <t>CLM521176</t>
        </is>
      </c>
      <c r="B2539" t="inlineStr">
        <is>
          <t>ENC121176</t>
        </is>
      </c>
      <c r="C2539" t="inlineStr">
        <is>
          <t>State Medicaid</t>
        </is>
      </c>
      <c r="D2539" t="inlineStr">
        <is>
          <t>Inpatient</t>
        </is>
      </c>
      <c r="E2539" s="29" t="n">
        <v>46008</v>
      </c>
      <c r="F2539" s="29" t="n">
        <v>46011</v>
      </c>
      <c r="G2539" s="31" t="n">
        <v>27429.55</v>
      </c>
      <c r="H2539" s="31" t="n">
        <v>0</v>
      </c>
      <c r="I2539" t="inlineStr">
        <is>
          <t>Pending</t>
        </is>
      </c>
      <c r="L2539" s="33" t="n"/>
    </row>
    <row r="2540">
      <c r="A2540" t="inlineStr">
        <is>
          <t>CLM521179</t>
        </is>
      </c>
      <c r="B2540" t="inlineStr">
        <is>
          <t>ENC121179</t>
        </is>
      </c>
      <c r="C2540" t="inlineStr">
        <is>
          <t>Keystone Health Partners</t>
        </is>
      </c>
      <c r="D2540" t="inlineStr">
        <is>
          <t>Outpatient</t>
        </is>
      </c>
      <c r="E2540" s="29" t="n">
        <v>46003</v>
      </c>
      <c r="F2540" s="29" t="n">
        <v>46005</v>
      </c>
      <c r="G2540" s="31" t="n">
        <v>264.6</v>
      </c>
      <c r="H2540" s="31" t="n">
        <v>0</v>
      </c>
      <c r="I2540" t="inlineStr">
        <is>
          <t>Pending</t>
        </is>
      </c>
      <c r="L2540" s="33" t="n"/>
    </row>
    <row r="2541">
      <c r="A2541" t="inlineStr">
        <is>
          <t>CLM521186</t>
        </is>
      </c>
      <c r="B2541" t="inlineStr">
        <is>
          <t>ENC121186</t>
        </is>
      </c>
      <c r="C2541" t="inlineStr">
        <is>
          <t>State Medicaid</t>
        </is>
      </c>
      <c r="D2541" t="inlineStr">
        <is>
          <t>Emergency</t>
        </is>
      </c>
      <c r="E2541" s="29" t="n">
        <v>46003</v>
      </c>
      <c r="F2541" s="29" t="n">
        <v>46007</v>
      </c>
      <c r="G2541" s="31" t="n">
        <v>4454.28</v>
      </c>
      <c r="H2541" s="31" t="n">
        <v>0</v>
      </c>
      <c r="I2541" t="inlineStr">
        <is>
          <t>Denied</t>
        </is>
      </c>
      <c r="J2541" t="inlineStr">
        <is>
          <t>Coding Error</t>
        </is>
      </c>
      <c r="L2541" s="33" t="n"/>
    </row>
    <row r="2542">
      <c r="A2542" t="inlineStr">
        <is>
          <t>CLM521189</t>
        </is>
      </c>
      <c r="B2542" t="inlineStr">
        <is>
          <t>ENC121189</t>
        </is>
      </c>
      <c r="C2542" t="inlineStr">
        <is>
          <t>Medicare</t>
        </is>
      </c>
      <c r="D2542" t="inlineStr">
        <is>
          <t>Outpatient</t>
        </is>
      </c>
      <c r="E2542" s="29" t="n">
        <v>46003</v>
      </c>
      <c r="F2542" s="29" t="n">
        <v>46019</v>
      </c>
      <c r="G2542" s="31" t="n">
        <v>371.68</v>
      </c>
      <c r="H2542" s="31" t="n">
        <v>0</v>
      </c>
      <c r="I2542" t="inlineStr">
        <is>
          <t>Denied</t>
        </is>
      </c>
      <c r="J2542" t="inlineStr">
        <is>
          <t>Authorization Required</t>
        </is>
      </c>
      <c r="L2542" s="33" t="n"/>
    </row>
    <row r="2543">
      <c r="A2543" t="inlineStr">
        <is>
          <t>CLM521191</t>
        </is>
      </c>
      <c r="B2543" t="inlineStr">
        <is>
          <t>ENC121191</t>
        </is>
      </c>
      <c r="C2543" t="inlineStr">
        <is>
          <t>State Medicaid</t>
        </is>
      </c>
      <c r="D2543" t="inlineStr">
        <is>
          <t>Outpatient</t>
        </is>
      </c>
      <c r="E2543" s="29" t="n">
        <v>46003</v>
      </c>
      <c r="F2543" s="29" t="n">
        <v>46009</v>
      </c>
      <c r="G2543" s="31" t="n">
        <v>455.05</v>
      </c>
      <c r="H2543" s="31" t="n">
        <v>0</v>
      </c>
      <c r="I2543" t="inlineStr">
        <is>
          <t>Pending</t>
        </is>
      </c>
      <c r="L2543" s="33" t="n"/>
    </row>
    <row r="2544">
      <c r="A2544" t="inlineStr">
        <is>
          <t>CLM521194</t>
        </is>
      </c>
      <c r="B2544" t="inlineStr">
        <is>
          <t>ENC121194</t>
        </is>
      </c>
      <c r="C2544" t="inlineStr">
        <is>
          <t>Silverline Medicare Advantage</t>
        </is>
      </c>
      <c r="D2544" t="inlineStr">
        <is>
          <t>Emergency</t>
        </is>
      </c>
      <c r="E2544" s="29" t="n">
        <v>46003</v>
      </c>
      <c r="F2544" s="29" t="n">
        <v>46004</v>
      </c>
      <c r="G2544" s="31" t="n">
        <v>933.5</v>
      </c>
      <c r="H2544" s="31" t="n">
        <v>279.7</v>
      </c>
      <c r="I2544" t="inlineStr">
        <is>
          <t>Paid</t>
        </is>
      </c>
      <c r="K2544" s="29" t="n">
        <v>46020</v>
      </c>
      <c r="L2544" s="33" t="n"/>
    </row>
    <row r="2545">
      <c r="A2545" t="inlineStr">
        <is>
          <t>CLM521203</t>
        </is>
      </c>
      <c r="B2545" t="inlineStr">
        <is>
          <t>ENC121203</t>
        </is>
      </c>
      <c r="C2545" t="inlineStr">
        <is>
          <t>Summit Choice PPO</t>
        </is>
      </c>
      <c r="D2545" t="inlineStr">
        <is>
          <t>Outpatient</t>
        </is>
      </c>
      <c r="E2545" s="29" t="n">
        <v>46003</v>
      </c>
      <c r="F2545" s="29" t="n">
        <v>46012</v>
      </c>
      <c r="G2545" s="31" t="n">
        <v>351.71</v>
      </c>
      <c r="H2545" s="31" t="n">
        <v>0</v>
      </c>
      <c r="I2545" t="inlineStr">
        <is>
          <t>Pending</t>
        </is>
      </c>
      <c r="L2545" s="33" t="n"/>
    </row>
    <row r="2546">
      <c r="A2546" t="inlineStr">
        <is>
          <t>CLM521224</t>
        </is>
      </c>
      <c r="B2546" t="inlineStr">
        <is>
          <t>ENC121224</t>
        </is>
      </c>
      <c r="C2546" t="inlineStr">
        <is>
          <t>Evergreen Mutual Insurance</t>
        </is>
      </c>
      <c r="D2546" t="inlineStr">
        <is>
          <t>Emergency</t>
        </is>
      </c>
      <c r="E2546" s="29" t="n">
        <v>46004</v>
      </c>
      <c r="F2546" s="29" t="n">
        <v>46021</v>
      </c>
      <c r="G2546" s="31" t="n">
        <v>3339.3</v>
      </c>
      <c r="H2546" s="31" t="n">
        <v>0</v>
      </c>
      <c r="I2546" t="inlineStr">
        <is>
          <t>Pending</t>
        </is>
      </c>
      <c r="L2546" s="33" t="n"/>
    </row>
    <row r="2547">
      <c r="A2547" t="inlineStr">
        <is>
          <t>CLM521225</t>
        </is>
      </c>
      <c r="B2547" t="inlineStr">
        <is>
          <t>ENC121225</t>
        </is>
      </c>
      <c r="C2547" t="inlineStr">
        <is>
          <t>Keystone Health Partners</t>
        </is>
      </c>
      <c r="D2547" t="inlineStr">
        <is>
          <t>Inpatient</t>
        </is>
      </c>
      <c r="E2547" s="29" t="n">
        <v>46007</v>
      </c>
      <c r="F2547" s="29" t="n">
        <v>46013</v>
      </c>
      <c r="G2547" s="31" t="n">
        <v>12363.52</v>
      </c>
      <c r="H2547" s="31" t="n">
        <v>0</v>
      </c>
      <c r="I2547" t="inlineStr">
        <is>
          <t>Pending</t>
        </is>
      </c>
      <c r="L2547" s="33" t="n"/>
    </row>
    <row r="2548">
      <c r="A2548" t="inlineStr">
        <is>
          <t>CLM521242</t>
        </is>
      </c>
      <c r="B2548" t="inlineStr">
        <is>
          <t>ENC121242</t>
        </is>
      </c>
      <c r="C2548" t="inlineStr">
        <is>
          <t>Keystone Health Partners</t>
        </is>
      </c>
      <c r="D2548" t="inlineStr">
        <is>
          <t>Emergency</t>
        </is>
      </c>
      <c r="E2548" s="29" t="n">
        <v>46005</v>
      </c>
      <c r="F2548" s="29" t="n">
        <v>46012</v>
      </c>
      <c r="G2548" s="31" t="n">
        <v>5292.19</v>
      </c>
      <c r="H2548" s="31" t="n">
        <v>0</v>
      </c>
      <c r="I2548" t="inlineStr">
        <is>
          <t>Pending</t>
        </is>
      </c>
      <c r="L2548" s="33" t="n"/>
    </row>
    <row r="2549">
      <c r="A2549" t="inlineStr">
        <is>
          <t>CLM521243</t>
        </is>
      </c>
      <c r="B2549" t="inlineStr">
        <is>
          <t>ENC121243</t>
        </is>
      </c>
      <c r="C2549" t="inlineStr">
        <is>
          <t>State Medicaid</t>
        </is>
      </c>
      <c r="D2549" t="inlineStr">
        <is>
          <t>Emergency</t>
        </is>
      </c>
      <c r="E2549" s="29" t="n">
        <v>46005</v>
      </c>
      <c r="F2549" s="29" t="n">
        <v>46008</v>
      </c>
      <c r="G2549" s="31" t="n">
        <v>3740.7</v>
      </c>
      <c r="H2549" s="31" t="n">
        <v>0</v>
      </c>
      <c r="I2549" t="inlineStr">
        <is>
          <t>Pending</t>
        </is>
      </c>
      <c r="L2549" s="33" t="n"/>
    </row>
    <row r="2550">
      <c r="A2550" t="inlineStr">
        <is>
          <t>CLM521261</t>
        </is>
      </c>
      <c r="B2550" t="inlineStr">
        <is>
          <t>ENC121261</t>
        </is>
      </c>
      <c r="C2550" t="inlineStr">
        <is>
          <t>Silverline Medicare Advantage</t>
        </is>
      </c>
      <c r="D2550" t="inlineStr">
        <is>
          <t>Emergency</t>
        </is>
      </c>
      <c r="E2550" s="29" t="n">
        <v>46006</v>
      </c>
      <c r="F2550" s="29" t="n">
        <v>46008</v>
      </c>
      <c r="G2550" s="31" t="n">
        <v>1273.98</v>
      </c>
      <c r="H2550" s="31" t="n">
        <v>0</v>
      </c>
      <c r="I2550" t="inlineStr">
        <is>
          <t>Pending</t>
        </is>
      </c>
      <c r="L2550" s="33" t="n"/>
    </row>
    <row r="2551">
      <c r="A2551" t="inlineStr">
        <is>
          <t>CLM521262</t>
        </is>
      </c>
      <c r="B2551" t="inlineStr">
        <is>
          <t>ENC121262</t>
        </is>
      </c>
      <c r="C2551" t="inlineStr">
        <is>
          <t>Medicare</t>
        </is>
      </c>
      <c r="D2551" t="inlineStr">
        <is>
          <t>Outpatient</t>
        </is>
      </c>
      <c r="E2551" s="29" t="n">
        <v>46006</v>
      </c>
      <c r="F2551" s="29" t="n">
        <v>46019</v>
      </c>
      <c r="G2551" s="31" t="n">
        <v>805.12</v>
      </c>
      <c r="H2551" s="31" t="n">
        <v>0</v>
      </c>
      <c r="I2551" t="inlineStr">
        <is>
          <t>Pending</t>
        </is>
      </c>
      <c r="L2551" s="33" t="n"/>
    </row>
    <row r="2552">
      <c r="A2552" t="inlineStr">
        <is>
          <t>CLM521264</t>
        </is>
      </c>
      <c r="B2552" t="inlineStr">
        <is>
          <t>ENC121264</t>
        </is>
      </c>
      <c r="C2552" t="inlineStr">
        <is>
          <t>Medicare</t>
        </is>
      </c>
      <c r="D2552" t="inlineStr">
        <is>
          <t>Outpatient</t>
        </is>
      </c>
      <c r="E2552" s="29" t="n">
        <v>46006</v>
      </c>
      <c r="F2552" s="29" t="n">
        <v>46013</v>
      </c>
      <c r="G2552" s="31" t="n">
        <v>470.21</v>
      </c>
      <c r="H2552" s="31" t="n">
        <v>141.1</v>
      </c>
      <c r="I2552" t="inlineStr">
        <is>
          <t>Paid</t>
        </is>
      </c>
      <c r="K2552" s="29" t="n">
        <v>46020</v>
      </c>
      <c r="L2552" s="33" t="n"/>
    </row>
    <row r="2553">
      <c r="A2553" t="inlineStr">
        <is>
          <t>CLM521269</t>
        </is>
      </c>
      <c r="B2553" t="inlineStr">
        <is>
          <t>ENC121269</t>
        </is>
      </c>
      <c r="C2553" t="inlineStr">
        <is>
          <t>State Medicaid</t>
        </is>
      </c>
      <c r="D2553" t="inlineStr">
        <is>
          <t>Emergency</t>
        </is>
      </c>
      <c r="E2553" s="29" t="n">
        <v>46006</v>
      </c>
      <c r="F2553" s="29" t="n">
        <v>46009</v>
      </c>
      <c r="G2553" s="31" t="n">
        <v>778.4400000000001</v>
      </c>
      <c r="H2553" s="31" t="n">
        <v>0</v>
      </c>
      <c r="I2553" t="inlineStr">
        <is>
          <t>Pending</t>
        </is>
      </c>
      <c r="L2553" s="33" t="n"/>
    </row>
    <row r="2554">
      <c r="A2554" t="inlineStr">
        <is>
          <t>CLM521271</t>
        </is>
      </c>
      <c r="B2554" t="inlineStr">
        <is>
          <t>ENC121271</t>
        </is>
      </c>
      <c r="C2554" t="inlineStr">
        <is>
          <t>Medicare</t>
        </is>
      </c>
      <c r="D2554" t="inlineStr">
        <is>
          <t>Emergency</t>
        </is>
      </c>
      <c r="E2554" s="29" t="n">
        <v>46006</v>
      </c>
      <c r="F2554" s="29" t="n">
        <v>46009</v>
      </c>
      <c r="G2554" s="31" t="n">
        <v>3815.72</v>
      </c>
      <c r="H2554" s="31" t="n">
        <v>0</v>
      </c>
      <c r="I2554" t="inlineStr">
        <is>
          <t>Pending</t>
        </is>
      </c>
      <c r="L2554" s="33" t="n"/>
    </row>
    <row r="2555">
      <c r="A2555" t="inlineStr">
        <is>
          <t>CLM521276</t>
        </is>
      </c>
      <c r="B2555" t="inlineStr">
        <is>
          <t>ENC121276</t>
        </is>
      </c>
      <c r="C2555" t="inlineStr">
        <is>
          <t>Silverline Medicare Advantage</t>
        </is>
      </c>
      <c r="D2555" t="inlineStr">
        <is>
          <t>Emergency</t>
        </is>
      </c>
      <c r="E2555" s="29" t="n">
        <v>46006</v>
      </c>
      <c r="F2555" s="29" t="n">
        <v>46008</v>
      </c>
      <c r="G2555" s="31" t="n">
        <v>2290.65</v>
      </c>
      <c r="H2555" s="31" t="n">
        <v>0</v>
      </c>
      <c r="I2555" t="inlineStr">
        <is>
          <t>Pending</t>
        </is>
      </c>
      <c r="L2555" s="33" t="n"/>
    </row>
    <row r="2556">
      <c r="A2556" t="inlineStr">
        <is>
          <t>CLM521279</t>
        </is>
      </c>
      <c r="B2556" t="inlineStr">
        <is>
          <t>ENC121279</t>
        </is>
      </c>
      <c r="C2556" t="inlineStr">
        <is>
          <t>Silverline Medicare Advantage</t>
        </is>
      </c>
      <c r="D2556" t="inlineStr">
        <is>
          <t>Outpatient</t>
        </is>
      </c>
      <c r="E2556" s="29" t="n">
        <v>46006</v>
      </c>
      <c r="F2556" s="29" t="n">
        <v>46012</v>
      </c>
      <c r="G2556" s="31" t="n">
        <v>474.13</v>
      </c>
      <c r="H2556" s="31" t="n">
        <v>0</v>
      </c>
      <c r="I2556" t="inlineStr">
        <is>
          <t>Pending</t>
        </is>
      </c>
      <c r="L2556" s="33" t="n"/>
    </row>
    <row r="2557">
      <c r="A2557" t="inlineStr">
        <is>
          <t>CLM521281</t>
        </is>
      </c>
      <c r="B2557" t="inlineStr">
        <is>
          <t>ENC121281</t>
        </is>
      </c>
      <c r="C2557" t="inlineStr">
        <is>
          <t>Medicare</t>
        </is>
      </c>
      <c r="D2557" t="inlineStr">
        <is>
          <t>Outpatient</t>
        </is>
      </c>
      <c r="E2557" s="29" t="n">
        <v>46006</v>
      </c>
      <c r="F2557" s="29" t="n">
        <v>46010</v>
      </c>
      <c r="G2557" s="31" t="n">
        <v>299.31</v>
      </c>
      <c r="H2557" s="31" t="n">
        <v>85.31999999999999</v>
      </c>
      <c r="I2557" t="inlineStr">
        <is>
          <t>Paid</t>
        </is>
      </c>
      <c r="K2557" s="29" t="n">
        <v>46021</v>
      </c>
      <c r="L2557" s="33" t="n"/>
    </row>
    <row r="2558">
      <c r="A2558" t="inlineStr">
        <is>
          <t>CLM521282</t>
        </is>
      </c>
      <c r="B2558" t="inlineStr">
        <is>
          <t>ENC121282</t>
        </is>
      </c>
      <c r="C2558" t="inlineStr">
        <is>
          <t>Self-Pay</t>
        </is>
      </c>
      <c r="D2558" t="inlineStr">
        <is>
          <t>Outpatient</t>
        </is>
      </c>
      <c r="E2558" s="29" t="n">
        <v>46006</v>
      </c>
      <c r="F2558" s="29" t="n">
        <v>46015</v>
      </c>
      <c r="G2558" s="31" t="n">
        <v>386.16</v>
      </c>
      <c r="H2558" s="31" t="n">
        <v>0</v>
      </c>
      <c r="I2558" t="inlineStr">
        <is>
          <t>Pending</t>
        </is>
      </c>
      <c r="L2558" s="33" t="n"/>
    </row>
    <row r="2559">
      <c r="A2559" t="inlineStr">
        <is>
          <t>CLM521290</t>
        </is>
      </c>
      <c r="B2559" t="inlineStr">
        <is>
          <t>ENC121290</t>
        </is>
      </c>
      <c r="C2559" t="inlineStr">
        <is>
          <t>Summit Choice PPO</t>
        </is>
      </c>
      <c r="D2559" t="inlineStr">
        <is>
          <t>Inpatient</t>
        </is>
      </c>
      <c r="E2559" s="29" t="n">
        <v>46015</v>
      </c>
      <c r="F2559" s="29" t="n">
        <v>46022</v>
      </c>
      <c r="G2559" s="31" t="n">
        <v>89011.83</v>
      </c>
      <c r="H2559" s="31" t="n">
        <v>0</v>
      </c>
      <c r="I2559" t="inlineStr">
        <is>
          <t>Pending</t>
        </is>
      </c>
      <c r="L2559" s="33" t="n"/>
    </row>
    <row r="2560">
      <c r="A2560" t="inlineStr">
        <is>
          <t>CLM521291</t>
        </is>
      </c>
      <c r="B2560" t="inlineStr">
        <is>
          <t>ENC121291</t>
        </is>
      </c>
      <c r="C2560" t="inlineStr">
        <is>
          <t>Medicare</t>
        </is>
      </c>
      <c r="D2560" t="inlineStr">
        <is>
          <t>Emergency</t>
        </is>
      </c>
      <c r="E2560" s="29" t="n">
        <v>46006</v>
      </c>
      <c r="F2560" s="29" t="n">
        <v>46009</v>
      </c>
      <c r="G2560" s="31" t="n">
        <v>1765.4</v>
      </c>
      <c r="H2560" s="31" t="n">
        <v>438.28</v>
      </c>
      <c r="I2560" t="inlineStr">
        <is>
          <t>Paid</t>
        </is>
      </c>
      <c r="K2560" s="29" t="n">
        <v>46021</v>
      </c>
      <c r="L2560" s="33" t="n"/>
    </row>
    <row r="2561">
      <c r="A2561" t="inlineStr">
        <is>
          <t>CLM521301</t>
        </is>
      </c>
      <c r="B2561" t="inlineStr">
        <is>
          <t>ENC121301</t>
        </is>
      </c>
      <c r="C2561" t="inlineStr">
        <is>
          <t>Summit Choice PPO</t>
        </is>
      </c>
      <c r="D2561" t="inlineStr">
        <is>
          <t>Outpatient</t>
        </is>
      </c>
      <c r="E2561" s="29" t="n">
        <v>46007</v>
      </c>
      <c r="F2561" s="29" t="n">
        <v>46010</v>
      </c>
      <c r="G2561" s="31" t="n">
        <v>439.57</v>
      </c>
      <c r="H2561" s="31" t="n">
        <v>0</v>
      </c>
      <c r="I2561" t="inlineStr">
        <is>
          <t>Pending</t>
        </is>
      </c>
      <c r="L2561" s="33" t="n"/>
    </row>
    <row r="2562">
      <c r="A2562" t="inlineStr">
        <is>
          <t>CLM521312</t>
        </is>
      </c>
      <c r="B2562" t="inlineStr">
        <is>
          <t>ENC121312</t>
        </is>
      </c>
      <c r="C2562" t="inlineStr">
        <is>
          <t>Silverline Medicare Advantage</t>
        </is>
      </c>
      <c r="D2562" t="inlineStr">
        <is>
          <t>Outpatient</t>
        </is>
      </c>
      <c r="E2562" s="29" t="n">
        <v>46007</v>
      </c>
      <c r="F2562" s="29" t="n">
        <v>46012</v>
      </c>
      <c r="G2562" s="31" t="n">
        <v>263.69</v>
      </c>
      <c r="H2562" s="31" t="n">
        <v>0</v>
      </c>
      <c r="I2562" t="inlineStr">
        <is>
          <t>Pending</t>
        </is>
      </c>
      <c r="L2562" s="33" t="n"/>
    </row>
    <row r="2563">
      <c r="A2563" t="inlineStr">
        <is>
          <t>CLM521315</t>
        </is>
      </c>
      <c r="B2563" t="inlineStr">
        <is>
          <t>ENC121315</t>
        </is>
      </c>
      <c r="C2563" t="inlineStr">
        <is>
          <t>Self-Pay</t>
        </is>
      </c>
      <c r="D2563" t="inlineStr">
        <is>
          <t>Outpatient</t>
        </is>
      </c>
      <c r="E2563" s="29" t="n">
        <v>46007</v>
      </c>
      <c r="F2563" s="29" t="n">
        <v>46017</v>
      </c>
      <c r="G2563" s="31" t="n">
        <v>259.37</v>
      </c>
      <c r="H2563" s="31" t="n">
        <v>0</v>
      </c>
      <c r="I2563" t="inlineStr">
        <is>
          <t>Pending</t>
        </is>
      </c>
      <c r="L2563" s="33" t="n"/>
    </row>
    <row r="2564">
      <c r="A2564" t="inlineStr">
        <is>
          <t>CLM521321</t>
        </is>
      </c>
      <c r="B2564" t="inlineStr">
        <is>
          <t>ENC121321</t>
        </is>
      </c>
      <c r="C2564" t="inlineStr">
        <is>
          <t>Silverline Medicare Advantage</t>
        </is>
      </c>
      <c r="D2564" t="inlineStr">
        <is>
          <t>Outpatient</t>
        </is>
      </c>
      <c r="E2564" s="29" t="n">
        <v>46007</v>
      </c>
      <c r="F2564" s="29" t="n">
        <v>46016</v>
      </c>
      <c r="G2564" s="31" t="n">
        <v>134.29</v>
      </c>
      <c r="H2564" s="31" t="n">
        <v>0</v>
      </c>
      <c r="I2564" t="inlineStr">
        <is>
          <t>Denied</t>
        </is>
      </c>
      <c r="J2564" t="inlineStr">
        <is>
          <t>Coding Error</t>
        </is>
      </c>
      <c r="L2564" s="33" t="n"/>
    </row>
    <row r="2565">
      <c r="A2565" t="inlineStr">
        <is>
          <t>CLM521322</t>
        </is>
      </c>
      <c r="B2565" t="inlineStr">
        <is>
          <t>ENC121322</t>
        </is>
      </c>
      <c r="C2565" t="inlineStr">
        <is>
          <t>Medicare</t>
        </is>
      </c>
      <c r="D2565" t="inlineStr">
        <is>
          <t>Outpatient</t>
        </is>
      </c>
      <c r="E2565" s="29" t="n">
        <v>46007</v>
      </c>
      <c r="F2565" s="29" t="n">
        <v>46010</v>
      </c>
      <c r="G2565" s="31" t="n">
        <v>217.84</v>
      </c>
      <c r="H2565" s="31" t="n">
        <v>58.58</v>
      </c>
      <c r="I2565" t="inlineStr">
        <is>
          <t>Paid</t>
        </is>
      </c>
      <c r="K2565" s="29" t="n">
        <v>46016</v>
      </c>
      <c r="L2565" s="33" t="n"/>
    </row>
    <row r="2566">
      <c r="A2566" t="inlineStr">
        <is>
          <t>CLM521324</t>
        </is>
      </c>
      <c r="B2566" t="inlineStr">
        <is>
          <t>ENC121324</t>
        </is>
      </c>
      <c r="C2566" t="inlineStr">
        <is>
          <t>State Medicaid</t>
        </is>
      </c>
      <c r="D2566" t="inlineStr">
        <is>
          <t>Outpatient</t>
        </is>
      </c>
      <c r="E2566" s="29" t="n">
        <v>46007</v>
      </c>
      <c r="F2566" s="29" t="n">
        <v>46010</v>
      </c>
      <c r="G2566" s="31" t="n">
        <v>275.86</v>
      </c>
      <c r="H2566" s="31" t="n">
        <v>0</v>
      </c>
      <c r="I2566" t="inlineStr">
        <is>
          <t>Pending</t>
        </is>
      </c>
      <c r="L2566" s="33" t="n"/>
    </row>
    <row r="2567">
      <c r="A2567" t="inlineStr">
        <is>
          <t>CLM521331</t>
        </is>
      </c>
      <c r="B2567" t="inlineStr">
        <is>
          <t>ENC121331</t>
        </is>
      </c>
      <c r="C2567" t="inlineStr">
        <is>
          <t>Silverline Medicare Advantage</t>
        </is>
      </c>
      <c r="D2567" t="inlineStr">
        <is>
          <t>Inpatient</t>
        </is>
      </c>
      <c r="E2567" s="29" t="n">
        <v>46014</v>
      </c>
      <c r="F2567" s="29" t="n">
        <v>46018</v>
      </c>
      <c r="G2567" s="31" t="n">
        <v>49128.22</v>
      </c>
      <c r="H2567" s="31" t="n">
        <v>0</v>
      </c>
      <c r="I2567" t="inlineStr">
        <is>
          <t>Pending</t>
        </is>
      </c>
      <c r="L2567" s="33" t="n"/>
    </row>
    <row r="2568">
      <c r="A2568" t="inlineStr">
        <is>
          <t>CLM521332</t>
        </is>
      </c>
      <c r="B2568" t="inlineStr">
        <is>
          <t>ENC121332</t>
        </is>
      </c>
      <c r="C2568" t="inlineStr">
        <is>
          <t>Silverline Medicare Advantage</t>
        </is>
      </c>
      <c r="D2568" t="inlineStr">
        <is>
          <t>Emergency</t>
        </is>
      </c>
      <c r="E2568" s="29" t="n">
        <v>46007</v>
      </c>
      <c r="F2568" s="29" t="n">
        <v>46010</v>
      </c>
      <c r="G2568" s="31" t="n">
        <v>1489.55</v>
      </c>
      <c r="H2568" s="31" t="n">
        <v>0</v>
      </c>
      <c r="I2568" t="inlineStr">
        <is>
          <t>Pending</t>
        </is>
      </c>
      <c r="L2568" s="33" t="n"/>
    </row>
    <row r="2569">
      <c r="A2569" t="inlineStr">
        <is>
          <t>CLM521336</t>
        </is>
      </c>
      <c r="B2569" t="inlineStr">
        <is>
          <t>ENC121336</t>
        </is>
      </c>
      <c r="C2569" t="inlineStr">
        <is>
          <t>State Medicaid</t>
        </is>
      </c>
      <c r="D2569" t="inlineStr">
        <is>
          <t>Emergency</t>
        </is>
      </c>
      <c r="E2569" s="29" t="n">
        <v>46007</v>
      </c>
      <c r="F2569" s="29" t="n">
        <v>46012</v>
      </c>
      <c r="G2569" s="31" t="n">
        <v>3804.49</v>
      </c>
      <c r="H2569" s="31" t="n">
        <v>0</v>
      </c>
      <c r="I2569" t="inlineStr">
        <is>
          <t>Pending</t>
        </is>
      </c>
      <c r="L2569" s="33" t="n"/>
    </row>
    <row r="2570">
      <c r="A2570" t="inlineStr">
        <is>
          <t>CLM521340</t>
        </is>
      </c>
      <c r="B2570" t="inlineStr">
        <is>
          <t>ENC121340</t>
        </is>
      </c>
      <c r="C2570" t="inlineStr">
        <is>
          <t>Silverline Medicare Advantage</t>
        </is>
      </c>
      <c r="D2570" t="inlineStr">
        <is>
          <t>Emergency</t>
        </is>
      </c>
      <c r="E2570" s="29" t="n">
        <v>46008</v>
      </c>
      <c r="F2570" s="29" t="n">
        <v>46022</v>
      </c>
      <c r="G2570" s="31" t="n">
        <v>3870.77</v>
      </c>
      <c r="H2570" s="31" t="n">
        <v>0</v>
      </c>
      <c r="I2570" t="inlineStr">
        <is>
          <t>Pending</t>
        </is>
      </c>
      <c r="L2570" s="33" t="n"/>
    </row>
    <row r="2571">
      <c r="A2571" t="inlineStr">
        <is>
          <t>CLM521343</t>
        </is>
      </c>
      <c r="B2571" t="inlineStr">
        <is>
          <t>ENC121343</t>
        </is>
      </c>
      <c r="C2571" t="inlineStr">
        <is>
          <t>Evergreen Mutual Insurance</t>
        </is>
      </c>
      <c r="D2571" t="inlineStr">
        <is>
          <t>Observation</t>
        </is>
      </c>
      <c r="E2571" s="29" t="n">
        <v>46009</v>
      </c>
      <c r="F2571" s="29" t="n">
        <v>46014</v>
      </c>
      <c r="G2571" s="31" t="n">
        <v>9844.709999999999</v>
      </c>
      <c r="H2571" s="31" t="n">
        <v>0</v>
      </c>
      <c r="I2571" t="inlineStr">
        <is>
          <t>Denied</t>
        </is>
      </c>
      <c r="J2571" t="inlineStr">
        <is>
          <t>Eligibility / Coverage</t>
        </is>
      </c>
      <c r="L2571" s="33" t="n"/>
    </row>
    <row r="2572">
      <c r="A2572" t="inlineStr">
        <is>
          <t>CLM521346</t>
        </is>
      </c>
      <c r="B2572" t="inlineStr">
        <is>
          <t>ENC121346</t>
        </is>
      </c>
      <c r="C2572" t="inlineStr">
        <is>
          <t>Self-Pay</t>
        </is>
      </c>
      <c r="D2572" t="inlineStr">
        <is>
          <t>Outpatient</t>
        </is>
      </c>
      <c r="E2572" s="29" t="n">
        <v>46008</v>
      </c>
      <c r="F2572" s="29" t="n">
        <v>46015</v>
      </c>
      <c r="G2572" s="31" t="n">
        <v>141.68</v>
      </c>
      <c r="H2572" s="31" t="n">
        <v>0</v>
      </c>
      <c r="I2572" t="inlineStr">
        <is>
          <t>Pending</t>
        </is>
      </c>
      <c r="L2572" s="33" t="n"/>
    </row>
    <row r="2573">
      <c r="A2573" t="inlineStr">
        <is>
          <t>CLM521349</t>
        </is>
      </c>
      <c r="B2573" t="inlineStr">
        <is>
          <t>ENC121349</t>
        </is>
      </c>
      <c r="C2573" t="inlineStr">
        <is>
          <t>Medicare</t>
        </is>
      </c>
      <c r="D2573" t="inlineStr">
        <is>
          <t>Outpatient</t>
        </is>
      </c>
      <c r="E2573" s="29" t="n">
        <v>46008</v>
      </c>
      <c r="F2573" s="29" t="n">
        <v>46010</v>
      </c>
      <c r="G2573" s="31" t="n">
        <v>313.55</v>
      </c>
      <c r="H2573" s="31" t="n">
        <v>0</v>
      </c>
      <c r="I2573" t="inlineStr">
        <is>
          <t>Pending</t>
        </is>
      </c>
      <c r="L2573" s="33" t="n"/>
    </row>
    <row r="2574">
      <c r="A2574" t="inlineStr">
        <is>
          <t>CLM521351</t>
        </is>
      </c>
      <c r="B2574" t="inlineStr">
        <is>
          <t>ENC121351</t>
        </is>
      </c>
      <c r="C2574" t="inlineStr">
        <is>
          <t>Keystone Health Partners</t>
        </is>
      </c>
      <c r="D2574" t="inlineStr">
        <is>
          <t>Inpatient</t>
        </is>
      </c>
      <c r="E2574" s="29" t="n">
        <v>46012</v>
      </c>
      <c r="F2574" s="29" t="n">
        <v>46018</v>
      </c>
      <c r="G2574" s="31" t="n">
        <v>28069.06</v>
      </c>
      <c r="H2574" s="31" t="n">
        <v>0</v>
      </c>
      <c r="I2574" t="inlineStr">
        <is>
          <t>Denied</t>
        </is>
      </c>
      <c r="J2574" t="inlineStr">
        <is>
          <t>Eligibility / Coverage</t>
        </is>
      </c>
      <c r="L2574" s="33" t="n"/>
    </row>
    <row r="2575">
      <c r="A2575" t="inlineStr">
        <is>
          <t>CLM521353</t>
        </is>
      </c>
      <c r="B2575" t="inlineStr">
        <is>
          <t>ENC121353</t>
        </is>
      </c>
      <c r="C2575" t="inlineStr">
        <is>
          <t>Medicare</t>
        </is>
      </c>
      <c r="D2575" t="inlineStr">
        <is>
          <t>Observation</t>
        </is>
      </c>
      <c r="E2575" s="29" t="n">
        <v>46009</v>
      </c>
      <c r="F2575" s="29" t="n">
        <v>46015</v>
      </c>
      <c r="G2575" s="31" t="n">
        <v>4567.87</v>
      </c>
      <c r="H2575" s="31" t="n">
        <v>0</v>
      </c>
      <c r="I2575" t="inlineStr">
        <is>
          <t>Pending</t>
        </is>
      </c>
      <c r="L2575" s="33" t="n"/>
    </row>
    <row r="2576">
      <c r="A2576" t="inlineStr">
        <is>
          <t>CLM521361</t>
        </is>
      </c>
      <c r="B2576" t="inlineStr">
        <is>
          <t>ENC121361</t>
        </is>
      </c>
      <c r="C2576" t="inlineStr">
        <is>
          <t>Silverline Medicare Advantage</t>
        </is>
      </c>
      <c r="D2576" t="inlineStr">
        <is>
          <t>Emergency</t>
        </is>
      </c>
      <c r="E2576" s="29" t="n">
        <v>46008</v>
      </c>
      <c r="F2576" s="29" t="n">
        <v>46019</v>
      </c>
      <c r="G2576" s="31" t="n">
        <v>1692.88</v>
      </c>
      <c r="H2576" s="31" t="n">
        <v>0</v>
      </c>
      <c r="I2576" t="inlineStr">
        <is>
          <t>Pending</t>
        </is>
      </c>
      <c r="L2576" s="33" t="n"/>
    </row>
    <row r="2577">
      <c r="A2577" t="inlineStr">
        <is>
          <t>CLM521364</t>
        </is>
      </c>
      <c r="B2577" t="inlineStr">
        <is>
          <t>ENC121364</t>
        </is>
      </c>
      <c r="C2577" t="inlineStr">
        <is>
          <t>Keystone Health Partners</t>
        </is>
      </c>
      <c r="D2577" t="inlineStr">
        <is>
          <t>Emergency</t>
        </is>
      </c>
      <c r="E2577" s="29" t="n">
        <v>46008</v>
      </c>
      <c r="F2577" s="29" t="n">
        <v>46014</v>
      </c>
      <c r="G2577" s="31" t="n">
        <v>2697.05</v>
      </c>
      <c r="H2577" s="31" t="n">
        <v>0</v>
      </c>
      <c r="I2577" t="inlineStr">
        <is>
          <t>Pending</t>
        </is>
      </c>
      <c r="L2577" s="33" t="n"/>
    </row>
    <row r="2578">
      <c r="A2578" t="inlineStr">
        <is>
          <t>CLM521367</t>
        </is>
      </c>
      <c r="B2578" t="inlineStr">
        <is>
          <t>ENC121367</t>
        </is>
      </c>
      <c r="C2578" t="inlineStr">
        <is>
          <t>Medicare</t>
        </is>
      </c>
      <c r="D2578" t="inlineStr">
        <is>
          <t>Outpatient</t>
        </is>
      </c>
      <c r="E2578" s="29" t="n">
        <v>46008</v>
      </c>
      <c r="F2578" s="29" t="n">
        <v>46015</v>
      </c>
      <c r="G2578" s="31" t="n">
        <v>10798.31</v>
      </c>
      <c r="H2578" s="31" t="n">
        <v>0</v>
      </c>
      <c r="I2578" t="inlineStr">
        <is>
          <t>Pending</t>
        </is>
      </c>
      <c r="L2578" s="33" t="n"/>
    </row>
    <row r="2579">
      <c r="A2579" t="inlineStr">
        <is>
          <t>CLM521372</t>
        </is>
      </c>
      <c r="B2579" t="inlineStr">
        <is>
          <t>ENC121372</t>
        </is>
      </c>
      <c r="C2579" t="inlineStr">
        <is>
          <t>Summit Choice PPO</t>
        </is>
      </c>
      <c r="D2579" t="inlineStr">
        <is>
          <t>Emergency</t>
        </is>
      </c>
      <c r="E2579" s="29" t="n">
        <v>46008</v>
      </c>
      <c r="F2579" s="29" t="n">
        <v>46011</v>
      </c>
      <c r="G2579" s="31" t="n">
        <v>668.89</v>
      </c>
      <c r="H2579" s="31" t="n">
        <v>0</v>
      </c>
      <c r="I2579" t="inlineStr">
        <is>
          <t>Pending</t>
        </is>
      </c>
      <c r="L2579" s="33" t="n"/>
    </row>
    <row r="2580">
      <c r="A2580" t="inlineStr">
        <is>
          <t>CLM521376</t>
        </is>
      </c>
      <c r="B2580" t="inlineStr">
        <is>
          <t>ENC121376</t>
        </is>
      </c>
      <c r="C2580" t="inlineStr">
        <is>
          <t>Keystone Health Partners</t>
        </is>
      </c>
      <c r="D2580" t="inlineStr">
        <is>
          <t>Emergency</t>
        </is>
      </c>
      <c r="E2580" s="29" t="n">
        <v>46008</v>
      </c>
      <c r="F2580" s="29" t="n">
        <v>46009</v>
      </c>
      <c r="G2580" s="31" t="n">
        <v>1305.57</v>
      </c>
      <c r="H2580" s="31" t="n">
        <v>0</v>
      </c>
      <c r="I2580" t="inlineStr">
        <is>
          <t>Pending</t>
        </is>
      </c>
      <c r="L2580" s="33" t="n"/>
    </row>
    <row r="2581">
      <c r="A2581" t="inlineStr">
        <is>
          <t>CLM521378</t>
        </is>
      </c>
      <c r="B2581" t="inlineStr">
        <is>
          <t>ENC121378</t>
        </is>
      </c>
      <c r="C2581" t="inlineStr">
        <is>
          <t>State Medicaid</t>
        </is>
      </c>
      <c r="D2581" t="inlineStr">
        <is>
          <t>Emergency</t>
        </is>
      </c>
      <c r="E2581" s="29" t="n">
        <v>46009</v>
      </c>
      <c r="F2581" s="29" t="n">
        <v>46013</v>
      </c>
      <c r="G2581" s="31" t="n">
        <v>1079.32</v>
      </c>
      <c r="H2581" s="31" t="n">
        <v>0</v>
      </c>
      <c r="I2581" t="inlineStr">
        <is>
          <t>Pending</t>
        </is>
      </c>
      <c r="L2581" s="33" t="n"/>
    </row>
    <row r="2582">
      <c r="A2582" t="inlineStr">
        <is>
          <t>CLM521388</t>
        </is>
      </c>
      <c r="B2582" t="inlineStr">
        <is>
          <t>ENC121388</t>
        </is>
      </c>
      <c r="C2582" t="inlineStr">
        <is>
          <t>Keystone Health Partners</t>
        </is>
      </c>
      <c r="D2582" t="inlineStr">
        <is>
          <t>Inpatient</t>
        </is>
      </c>
      <c r="E2582" s="29" t="n">
        <v>46016</v>
      </c>
      <c r="F2582" s="29" t="n">
        <v>46020</v>
      </c>
      <c r="G2582" s="31" t="n">
        <v>80588.56</v>
      </c>
      <c r="H2582" s="31" t="n">
        <v>0</v>
      </c>
      <c r="I2582" t="inlineStr">
        <is>
          <t>Pending</t>
        </is>
      </c>
      <c r="L2582" s="33" t="n"/>
    </row>
    <row r="2583">
      <c r="A2583" t="inlineStr">
        <is>
          <t>CLM521389</t>
        </is>
      </c>
      <c r="B2583" t="inlineStr">
        <is>
          <t>ENC121389</t>
        </is>
      </c>
      <c r="C2583" t="inlineStr">
        <is>
          <t>State Medicaid</t>
        </is>
      </c>
      <c r="D2583" t="inlineStr">
        <is>
          <t>Inpatient</t>
        </is>
      </c>
      <c r="E2583" s="29" t="n">
        <v>46012</v>
      </c>
      <c r="F2583" s="29" t="n">
        <v>46015</v>
      </c>
      <c r="G2583" s="31" t="n">
        <v>36153.9</v>
      </c>
      <c r="H2583" s="31" t="n">
        <v>0</v>
      </c>
      <c r="I2583" t="inlineStr">
        <is>
          <t>Pending</t>
        </is>
      </c>
      <c r="L2583" s="33" t="n"/>
    </row>
    <row r="2584">
      <c r="A2584" t="inlineStr">
        <is>
          <t>CLM521393</t>
        </is>
      </c>
      <c r="B2584" t="inlineStr">
        <is>
          <t>ENC121393</t>
        </is>
      </c>
      <c r="C2584" t="inlineStr">
        <is>
          <t>Evergreen Mutual Insurance</t>
        </is>
      </c>
      <c r="D2584" t="inlineStr">
        <is>
          <t>Outpatient</t>
        </is>
      </c>
      <c r="E2584" s="29" t="n">
        <v>46009</v>
      </c>
      <c r="F2584" s="29" t="n">
        <v>46012</v>
      </c>
      <c r="G2584" s="31" t="n">
        <v>300.74</v>
      </c>
      <c r="H2584" s="31" t="n">
        <v>0</v>
      </c>
      <c r="I2584" t="inlineStr">
        <is>
          <t>Pending</t>
        </is>
      </c>
      <c r="L2584" s="33" t="n"/>
    </row>
    <row r="2585">
      <c r="A2585" t="inlineStr">
        <is>
          <t>CLM521396</t>
        </is>
      </c>
      <c r="B2585" t="inlineStr">
        <is>
          <t>ENC121396</t>
        </is>
      </c>
      <c r="C2585" t="inlineStr">
        <is>
          <t>Medicare</t>
        </is>
      </c>
      <c r="D2585" t="inlineStr">
        <is>
          <t>Outpatient</t>
        </is>
      </c>
      <c r="E2585" s="29" t="n">
        <v>46009</v>
      </c>
      <c r="F2585" s="29" t="n">
        <v>46014</v>
      </c>
      <c r="G2585" s="31" t="n">
        <v>141.97</v>
      </c>
      <c r="H2585" s="31" t="n">
        <v>0</v>
      </c>
      <c r="I2585" t="inlineStr">
        <is>
          <t>Pending</t>
        </is>
      </c>
      <c r="L2585" s="33" t="n"/>
    </row>
    <row r="2586">
      <c r="A2586" t="inlineStr">
        <is>
          <t>CLM521399</t>
        </is>
      </c>
      <c r="B2586" t="inlineStr">
        <is>
          <t>ENC121399</t>
        </is>
      </c>
      <c r="C2586" t="inlineStr">
        <is>
          <t>State Medicaid</t>
        </is>
      </c>
      <c r="D2586" t="inlineStr">
        <is>
          <t>Outpatient</t>
        </is>
      </c>
      <c r="E2586" s="29" t="n">
        <v>46009</v>
      </c>
      <c r="F2586" s="29" t="n">
        <v>46011</v>
      </c>
      <c r="G2586" s="31" t="n">
        <v>213.38</v>
      </c>
      <c r="H2586" s="31" t="n">
        <v>0</v>
      </c>
      <c r="I2586" t="inlineStr">
        <is>
          <t>Pending</t>
        </is>
      </c>
      <c r="L2586" s="33" t="n"/>
    </row>
    <row r="2587">
      <c r="A2587" t="inlineStr">
        <is>
          <t>CLM521400</t>
        </is>
      </c>
      <c r="B2587" t="inlineStr">
        <is>
          <t>ENC121400</t>
        </is>
      </c>
      <c r="C2587" t="inlineStr">
        <is>
          <t>Medicare</t>
        </is>
      </c>
      <c r="D2587" t="inlineStr">
        <is>
          <t>Outpatient</t>
        </is>
      </c>
      <c r="E2587" s="29" t="n">
        <v>46009</v>
      </c>
      <c r="F2587" s="29" t="n">
        <v>46013</v>
      </c>
      <c r="G2587" s="31" t="n">
        <v>379.53</v>
      </c>
      <c r="H2587" s="31" t="n">
        <v>0</v>
      </c>
      <c r="I2587" t="inlineStr">
        <is>
          <t>Pending</t>
        </is>
      </c>
      <c r="L2587" s="33" t="n"/>
    </row>
    <row r="2588">
      <c r="A2588" t="inlineStr">
        <is>
          <t>CLM521413</t>
        </is>
      </c>
      <c r="B2588" t="inlineStr">
        <is>
          <t>ENC121413</t>
        </is>
      </c>
      <c r="C2588" t="inlineStr">
        <is>
          <t>Medicare</t>
        </is>
      </c>
      <c r="D2588" t="inlineStr">
        <is>
          <t>Outpatient</t>
        </is>
      </c>
      <c r="E2588" s="29" t="n">
        <v>46009</v>
      </c>
      <c r="F2588" s="29" t="n">
        <v>46012</v>
      </c>
      <c r="G2588" s="31" t="n">
        <v>235.09</v>
      </c>
      <c r="H2588" s="31" t="n">
        <v>0</v>
      </c>
      <c r="I2588" t="inlineStr">
        <is>
          <t>Pending</t>
        </is>
      </c>
      <c r="L2588" s="33" t="n"/>
    </row>
    <row r="2589">
      <c r="A2589" t="inlineStr">
        <is>
          <t>CLM521417</t>
        </is>
      </c>
      <c r="B2589" t="inlineStr">
        <is>
          <t>ENC121417</t>
        </is>
      </c>
      <c r="C2589" t="inlineStr">
        <is>
          <t>Silverline Medicare Advantage</t>
        </is>
      </c>
      <c r="D2589" t="inlineStr">
        <is>
          <t>Outpatient</t>
        </is>
      </c>
      <c r="E2589" s="29" t="n">
        <v>46009</v>
      </c>
      <c r="F2589" s="29" t="n">
        <v>46015</v>
      </c>
      <c r="G2589" s="31" t="n">
        <v>257.28</v>
      </c>
      <c r="H2589" s="31" t="n">
        <v>0</v>
      </c>
      <c r="I2589" t="inlineStr">
        <is>
          <t>Pending</t>
        </is>
      </c>
      <c r="L2589" s="33" t="n"/>
    </row>
    <row r="2590">
      <c r="A2590" t="inlineStr">
        <is>
          <t>CLM521421</t>
        </is>
      </c>
      <c r="B2590" t="inlineStr">
        <is>
          <t>ENC121421</t>
        </is>
      </c>
      <c r="C2590" t="inlineStr">
        <is>
          <t>Summit Choice PPO</t>
        </is>
      </c>
      <c r="D2590" t="inlineStr">
        <is>
          <t>Inpatient</t>
        </is>
      </c>
      <c r="E2590" s="29" t="n">
        <v>46014</v>
      </c>
      <c r="F2590" s="29" t="n">
        <v>46018</v>
      </c>
      <c r="G2590" s="31" t="n">
        <v>20163.78</v>
      </c>
      <c r="H2590" s="31" t="n">
        <v>0</v>
      </c>
      <c r="I2590" t="inlineStr">
        <is>
          <t>Pending</t>
        </is>
      </c>
      <c r="L2590" s="33" t="n"/>
    </row>
    <row r="2591">
      <c r="A2591" t="inlineStr">
        <is>
          <t>CLM521426</t>
        </is>
      </c>
      <c r="B2591" t="inlineStr">
        <is>
          <t>ENC121426</t>
        </is>
      </c>
      <c r="C2591" t="inlineStr">
        <is>
          <t>Summit Choice PPO</t>
        </is>
      </c>
      <c r="D2591" t="inlineStr">
        <is>
          <t>Emergency</t>
        </is>
      </c>
      <c r="E2591" s="29" t="n">
        <v>46010</v>
      </c>
      <c r="F2591" s="29" t="n">
        <v>46013</v>
      </c>
      <c r="G2591" s="31" t="n">
        <v>5538.67</v>
      </c>
      <c r="H2591" s="31" t="n">
        <v>2561.02</v>
      </c>
      <c r="I2591" t="inlineStr">
        <is>
          <t>Paid</t>
        </is>
      </c>
      <c r="K2591" s="29" t="n">
        <v>46022</v>
      </c>
      <c r="L2591" s="33" t="n"/>
    </row>
    <row r="2592">
      <c r="A2592" t="inlineStr">
        <is>
          <t>CLM521428</t>
        </is>
      </c>
      <c r="B2592" t="inlineStr">
        <is>
          <t>ENC121428</t>
        </is>
      </c>
      <c r="C2592" t="inlineStr">
        <is>
          <t>Evergreen Mutual Insurance</t>
        </is>
      </c>
      <c r="D2592" t="inlineStr">
        <is>
          <t>Emergency</t>
        </is>
      </c>
      <c r="E2592" s="29" t="n">
        <v>46010</v>
      </c>
      <c r="F2592" s="29" t="n">
        <v>46014</v>
      </c>
      <c r="G2592" s="31" t="n">
        <v>2899.95</v>
      </c>
      <c r="H2592" s="31" t="n">
        <v>0</v>
      </c>
      <c r="I2592" t="inlineStr">
        <is>
          <t>Pending</t>
        </is>
      </c>
      <c r="L2592" s="33" t="n"/>
    </row>
    <row r="2593">
      <c r="A2593" t="inlineStr">
        <is>
          <t>CLM521429</t>
        </is>
      </c>
      <c r="B2593" t="inlineStr">
        <is>
          <t>ENC121429</t>
        </is>
      </c>
      <c r="C2593" t="inlineStr">
        <is>
          <t>Medicare</t>
        </is>
      </c>
      <c r="D2593" t="inlineStr">
        <is>
          <t>Outpatient</t>
        </is>
      </c>
      <c r="E2593" s="29" t="n">
        <v>46010</v>
      </c>
      <c r="F2593" s="29" t="n">
        <v>46013</v>
      </c>
      <c r="G2593" s="31" t="n">
        <v>5146.94</v>
      </c>
      <c r="H2593" s="31" t="n">
        <v>0</v>
      </c>
      <c r="I2593" t="inlineStr">
        <is>
          <t>Pending</t>
        </is>
      </c>
      <c r="L2593" s="33" t="n"/>
    </row>
    <row r="2594">
      <c r="A2594" t="inlineStr">
        <is>
          <t>CLM521431</t>
        </is>
      </c>
      <c r="B2594" t="inlineStr">
        <is>
          <t>ENC121431</t>
        </is>
      </c>
      <c r="C2594" t="inlineStr">
        <is>
          <t>State Medicaid</t>
        </is>
      </c>
      <c r="D2594" t="inlineStr">
        <is>
          <t>Outpatient</t>
        </is>
      </c>
      <c r="E2594" s="29" t="n">
        <v>46010</v>
      </c>
      <c r="F2594" s="29" t="n">
        <v>46013</v>
      </c>
      <c r="G2594" s="31" t="n">
        <v>295.74</v>
      </c>
      <c r="H2594" s="31" t="n">
        <v>0</v>
      </c>
      <c r="I2594" t="inlineStr">
        <is>
          <t>Pending</t>
        </is>
      </c>
      <c r="L2594" s="33" t="n"/>
    </row>
    <row r="2595">
      <c r="A2595" t="inlineStr">
        <is>
          <t>CLM521432</t>
        </is>
      </c>
      <c r="B2595" t="inlineStr">
        <is>
          <t>ENC121432</t>
        </is>
      </c>
      <c r="C2595" t="inlineStr">
        <is>
          <t>Evergreen Mutual Insurance</t>
        </is>
      </c>
      <c r="D2595" t="inlineStr">
        <is>
          <t>Emergency</t>
        </is>
      </c>
      <c r="E2595" s="29" t="n">
        <v>46010</v>
      </c>
      <c r="F2595" s="29" t="n">
        <v>46013</v>
      </c>
      <c r="G2595" s="31" t="n">
        <v>1853.25</v>
      </c>
      <c r="H2595" s="31" t="n">
        <v>0</v>
      </c>
      <c r="I2595" t="inlineStr">
        <is>
          <t>Pending</t>
        </is>
      </c>
      <c r="L2595" s="33" t="n"/>
    </row>
    <row r="2596">
      <c r="A2596" t="inlineStr">
        <is>
          <t>CLM521436</t>
        </is>
      </c>
      <c r="B2596" t="inlineStr">
        <is>
          <t>ENC121436</t>
        </is>
      </c>
      <c r="C2596" t="inlineStr">
        <is>
          <t>Medicare</t>
        </is>
      </c>
      <c r="D2596" t="inlineStr">
        <is>
          <t>Inpatient</t>
        </is>
      </c>
      <c r="E2596" s="29" t="n">
        <v>46013</v>
      </c>
      <c r="F2596" s="29" t="n">
        <v>46019</v>
      </c>
      <c r="G2596" s="31" t="n">
        <v>14646.1</v>
      </c>
      <c r="H2596" s="31" t="n">
        <v>0</v>
      </c>
      <c r="I2596" t="inlineStr">
        <is>
          <t>Pending</t>
        </is>
      </c>
      <c r="L2596" s="33" t="n"/>
    </row>
    <row r="2597">
      <c r="A2597" t="inlineStr">
        <is>
          <t>CLM521438</t>
        </is>
      </c>
      <c r="B2597" t="inlineStr">
        <is>
          <t>ENC121438</t>
        </is>
      </c>
      <c r="C2597" t="inlineStr">
        <is>
          <t>Keystone Health Partners</t>
        </is>
      </c>
      <c r="D2597" t="inlineStr">
        <is>
          <t>Emergency</t>
        </is>
      </c>
      <c r="E2597" s="29" t="n">
        <v>46010</v>
      </c>
      <c r="F2597" s="29" t="n">
        <v>46011</v>
      </c>
      <c r="G2597" s="31" t="n">
        <v>4633.16</v>
      </c>
      <c r="H2597" s="31" t="n">
        <v>0</v>
      </c>
      <c r="I2597" t="inlineStr">
        <is>
          <t>Pending</t>
        </is>
      </c>
      <c r="L2597" s="33" t="n"/>
    </row>
    <row r="2598">
      <c r="A2598" t="inlineStr">
        <is>
          <t>CLM521440</t>
        </is>
      </c>
      <c r="B2598" t="inlineStr">
        <is>
          <t>ENC121440</t>
        </is>
      </c>
      <c r="C2598" t="inlineStr">
        <is>
          <t>Silverline Medicare Advantage</t>
        </is>
      </c>
      <c r="D2598" t="inlineStr">
        <is>
          <t>Emergency</t>
        </is>
      </c>
      <c r="E2598" s="29" t="n">
        <v>46010</v>
      </c>
      <c r="F2598" s="29" t="n">
        <v>46013</v>
      </c>
      <c r="G2598" s="31" t="n">
        <v>1631.39</v>
      </c>
      <c r="H2598" s="31" t="n">
        <v>0</v>
      </c>
      <c r="I2598" t="inlineStr">
        <is>
          <t>Denied</t>
        </is>
      </c>
      <c r="J2598" t="inlineStr">
        <is>
          <t>Medical Necessity</t>
        </is>
      </c>
      <c r="L2598" s="33" t="n"/>
    </row>
    <row r="2599">
      <c r="A2599" t="inlineStr">
        <is>
          <t>CLM521457</t>
        </is>
      </c>
      <c r="B2599" t="inlineStr">
        <is>
          <t>ENC121457</t>
        </is>
      </c>
      <c r="C2599" t="inlineStr">
        <is>
          <t>Medicare</t>
        </is>
      </c>
      <c r="D2599" t="inlineStr">
        <is>
          <t>Emergency</t>
        </is>
      </c>
      <c r="E2599" s="29" t="n">
        <v>46010</v>
      </c>
      <c r="F2599" s="29" t="n">
        <v>46019</v>
      </c>
      <c r="G2599" s="31" t="n">
        <v>2557.8</v>
      </c>
      <c r="H2599" s="31" t="n">
        <v>0</v>
      </c>
      <c r="I2599" t="inlineStr">
        <is>
          <t>Pending</t>
        </is>
      </c>
      <c r="L2599" s="33" t="n"/>
    </row>
    <row r="2600">
      <c r="A2600" t="inlineStr">
        <is>
          <t>CLM521462</t>
        </is>
      </c>
      <c r="B2600" t="inlineStr">
        <is>
          <t>ENC121462</t>
        </is>
      </c>
      <c r="C2600" t="inlineStr">
        <is>
          <t>State Medicaid</t>
        </is>
      </c>
      <c r="D2600" t="inlineStr">
        <is>
          <t>Emergency</t>
        </is>
      </c>
      <c r="E2600" s="29" t="n">
        <v>46010</v>
      </c>
      <c r="F2600" s="29" t="n">
        <v>46017</v>
      </c>
      <c r="G2600" s="31" t="n">
        <v>1267.02</v>
      </c>
      <c r="H2600" s="31" t="n">
        <v>0</v>
      </c>
      <c r="I2600" t="inlineStr">
        <is>
          <t>Pending</t>
        </is>
      </c>
      <c r="L2600" s="33" t="n"/>
    </row>
    <row r="2601">
      <c r="A2601" t="inlineStr">
        <is>
          <t>CLM521463</t>
        </is>
      </c>
      <c r="B2601" t="inlineStr">
        <is>
          <t>ENC121463</t>
        </is>
      </c>
      <c r="C2601" t="inlineStr">
        <is>
          <t>Medicare</t>
        </is>
      </c>
      <c r="D2601" t="inlineStr">
        <is>
          <t>Observation</t>
        </is>
      </c>
      <c r="E2601" s="29" t="n">
        <v>46011</v>
      </c>
      <c r="F2601" s="29" t="n">
        <v>46015</v>
      </c>
      <c r="G2601" s="31" t="n">
        <v>8469.129999999999</v>
      </c>
      <c r="H2601" s="31" t="n">
        <v>0</v>
      </c>
      <c r="I2601" t="inlineStr">
        <is>
          <t>Pending</t>
        </is>
      </c>
      <c r="L2601" s="33" t="n"/>
    </row>
    <row r="2602">
      <c r="A2602" t="inlineStr">
        <is>
          <t>CLM521467</t>
        </is>
      </c>
      <c r="B2602" t="inlineStr">
        <is>
          <t>ENC121467</t>
        </is>
      </c>
      <c r="C2602" t="inlineStr">
        <is>
          <t>Summit Choice PPO</t>
        </is>
      </c>
      <c r="D2602" t="inlineStr">
        <is>
          <t>Emergency</t>
        </is>
      </c>
      <c r="E2602" s="29" t="n">
        <v>46011</v>
      </c>
      <c r="F2602" s="29" t="n">
        <v>46017</v>
      </c>
      <c r="G2602" s="31" t="n">
        <v>3139.14</v>
      </c>
      <c r="H2602" s="31" t="n">
        <v>0</v>
      </c>
      <c r="I2602" t="inlineStr">
        <is>
          <t>Pending</t>
        </is>
      </c>
      <c r="L2602" s="33" t="n"/>
    </row>
    <row r="2603">
      <c r="A2603" t="inlineStr">
        <is>
          <t>CLM521469</t>
        </is>
      </c>
      <c r="B2603" t="inlineStr">
        <is>
          <t>ENC121469</t>
        </is>
      </c>
      <c r="C2603" t="inlineStr">
        <is>
          <t>Keystone Health Partners</t>
        </is>
      </c>
      <c r="D2603" t="inlineStr">
        <is>
          <t>Emergency</t>
        </is>
      </c>
      <c r="E2603" s="29" t="n">
        <v>46011</v>
      </c>
      <c r="F2603" s="29" t="n">
        <v>46017</v>
      </c>
      <c r="G2603" s="31" t="n">
        <v>6037.18</v>
      </c>
      <c r="H2603" s="31" t="n">
        <v>0</v>
      </c>
      <c r="I2603" t="inlineStr">
        <is>
          <t>Pending</t>
        </is>
      </c>
      <c r="L2603" s="33" t="n"/>
    </row>
    <row r="2604">
      <c r="A2604" t="inlineStr">
        <is>
          <t>CLM521474</t>
        </is>
      </c>
      <c r="B2604" t="inlineStr">
        <is>
          <t>ENC121474</t>
        </is>
      </c>
      <c r="C2604" t="inlineStr">
        <is>
          <t>Keystone Health Partners</t>
        </is>
      </c>
      <c r="D2604" t="inlineStr">
        <is>
          <t>Inpatient</t>
        </is>
      </c>
      <c r="E2604" s="29" t="n">
        <v>46013</v>
      </c>
      <c r="F2604" s="29" t="n">
        <v>46022</v>
      </c>
      <c r="G2604" s="31" t="n">
        <v>7795.12</v>
      </c>
      <c r="H2604" s="31" t="n">
        <v>0</v>
      </c>
      <c r="I2604" t="inlineStr">
        <is>
          <t>Pending</t>
        </is>
      </c>
      <c r="L2604" s="33" t="n"/>
    </row>
    <row r="2605">
      <c r="A2605" t="inlineStr">
        <is>
          <t>CLM521475</t>
        </is>
      </c>
      <c r="B2605" t="inlineStr">
        <is>
          <t>ENC121475</t>
        </is>
      </c>
      <c r="C2605" t="inlineStr">
        <is>
          <t>Medicare</t>
        </is>
      </c>
      <c r="D2605" t="inlineStr">
        <is>
          <t>Inpatient</t>
        </is>
      </c>
      <c r="E2605" s="29" t="n">
        <v>46018</v>
      </c>
      <c r="F2605" s="29" t="n">
        <v>46021</v>
      </c>
      <c r="G2605" s="31" t="n">
        <v>16948.06</v>
      </c>
      <c r="H2605" s="31" t="n">
        <v>0</v>
      </c>
      <c r="I2605" t="inlineStr">
        <is>
          <t>Pending</t>
        </is>
      </c>
      <c r="L2605" s="33" t="n"/>
    </row>
    <row r="2606">
      <c r="A2606" t="inlineStr">
        <is>
          <t>CLM521477</t>
        </is>
      </c>
      <c r="B2606" t="inlineStr">
        <is>
          <t>ENC121477</t>
        </is>
      </c>
      <c r="C2606" t="inlineStr">
        <is>
          <t>Keystone Health Partners</t>
        </is>
      </c>
      <c r="D2606" t="inlineStr">
        <is>
          <t>Observation</t>
        </is>
      </c>
      <c r="E2606" s="29" t="n">
        <v>46012</v>
      </c>
      <c r="F2606" s="29" t="n">
        <v>46021</v>
      </c>
      <c r="G2606" s="31" t="n">
        <v>10239.94</v>
      </c>
      <c r="H2606" s="31" t="n">
        <v>0</v>
      </c>
      <c r="I2606" t="inlineStr">
        <is>
          <t>Denied</t>
        </is>
      </c>
      <c r="J2606" t="inlineStr">
        <is>
          <t>Authorization Required</t>
        </is>
      </c>
      <c r="L2606" s="33" t="n"/>
    </row>
    <row r="2607">
      <c r="A2607" t="inlineStr">
        <is>
          <t>CLM521490</t>
        </is>
      </c>
      <c r="B2607" t="inlineStr">
        <is>
          <t>ENC121490</t>
        </is>
      </c>
      <c r="C2607" t="inlineStr">
        <is>
          <t>Medicare</t>
        </is>
      </c>
      <c r="D2607" t="inlineStr">
        <is>
          <t>Emergency</t>
        </is>
      </c>
      <c r="E2607" s="29" t="n">
        <v>46012</v>
      </c>
      <c r="F2607" s="29" t="n">
        <v>46016</v>
      </c>
      <c r="G2607" s="31" t="n">
        <v>1581.44</v>
      </c>
      <c r="H2607" s="31" t="n">
        <v>0</v>
      </c>
      <c r="I2607" t="inlineStr">
        <is>
          <t>Pending</t>
        </is>
      </c>
      <c r="L2607" s="33" t="n"/>
    </row>
    <row r="2608">
      <c r="A2608" t="inlineStr">
        <is>
          <t>CLM521493</t>
        </is>
      </c>
      <c r="B2608" t="inlineStr">
        <is>
          <t>ENC121493</t>
        </is>
      </c>
      <c r="C2608" t="inlineStr">
        <is>
          <t>Self-Pay</t>
        </is>
      </c>
      <c r="D2608" t="inlineStr">
        <is>
          <t>Inpatient</t>
        </is>
      </c>
      <c r="E2608" s="29" t="n">
        <v>46016</v>
      </c>
      <c r="F2608" s="29" t="n">
        <v>46021</v>
      </c>
      <c r="G2608" s="31" t="n">
        <v>20372.3</v>
      </c>
      <c r="H2608" s="31" t="n">
        <v>0</v>
      </c>
      <c r="I2608" t="inlineStr">
        <is>
          <t>Pending</t>
        </is>
      </c>
      <c r="L2608" s="33" t="n"/>
    </row>
    <row r="2609">
      <c r="A2609" t="inlineStr">
        <is>
          <t>CLM521494</t>
        </is>
      </c>
      <c r="B2609" t="inlineStr">
        <is>
          <t>ENC121494</t>
        </is>
      </c>
      <c r="C2609" t="inlineStr">
        <is>
          <t>Medicare</t>
        </is>
      </c>
      <c r="D2609" t="inlineStr">
        <is>
          <t>Inpatient</t>
        </is>
      </c>
      <c r="E2609" s="29" t="n">
        <v>46017</v>
      </c>
      <c r="F2609" s="29" t="n">
        <v>46019</v>
      </c>
      <c r="G2609" s="31" t="n">
        <v>62808.24</v>
      </c>
      <c r="H2609" s="31" t="n">
        <v>0</v>
      </c>
      <c r="I2609" t="inlineStr">
        <is>
          <t>Denied</t>
        </is>
      </c>
      <c r="J2609" t="inlineStr">
        <is>
          <t>Medical Necessity</t>
        </is>
      </c>
      <c r="L2609" s="33" t="n"/>
    </row>
    <row r="2610">
      <c r="A2610" t="inlineStr">
        <is>
          <t>CLM521496</t>
        </is>
      </c>
      <c r="B2610" t="inlineStr">
        <is>
          <t>ENC121496</t>
        </is>
      </c>
      <c r="C2610" t="inlineStr">
        <is>
          <t>State Medicaid</t>
        </is>
      </c>
      <c r="D2610" t="inlineStr">
        <is>
          <t>Emergency</t>
        </is>
      </c>
      <c r="E2610" s="29" t="n">
        <v>46012</v>
      </c>
      <c r="F2610" s="29" t="n">
        <v>46013</v>
      </c>
      <c r="G2610" s="31" t="n">
        <v>1681.93</v>
      </c>
      <c r="H2610" s="31" t="n">
        <v>0</v>
      </c>
      <c r="I2610" t="inlineStr">
        <is>
          <t>Pending</t>
        </is>
      </c>
      <c r="L2610" s="33" t="n"/>
    </row>
    <row r="2611">
      <c r="A2611" t="inlineStr">
        <is>
          <t>CLM521498</t>
        </is>
      </c>
      <c r="B2611" t="inlineStr">
        <is>
          <t>ENC121498</t>
        </is>
      </c>
      <c r="C2611" t="inlineStr">
        <is>
          <t>Evergreen Mutual Insurance</t>
        </is>
      </c>
      <c r="D2611" t="inlineStr">
        <is>
          <t>Emergency</t>
        </is>
      </c>
      <c r="E2611" s="29" t="n">
        <v>46012</v>
      </c>
      <c r="F2611" s="29" t="n">
        <v>46016</v>
      </c>
      <c r="G2611" s="31" t="n">
        <v>3144.77</v>
      </c>
      <c r="H2611" s="31" t="n">
        <v>0</v>
      </c>
      <c r="I2611" t="inlineStr">
        <is>
          <t>Pending</t>
        </is>
      </c>
      <c r="L2611" s="33" t="n"/>
    </row>
    <row r="2612">
      <c r="A2612" t="inlineStr">
        <is>
          <t>CLM521501</t>
        </is>
      </c>
      <c r="B2612" t="inlineStr">
        <is>
          <t>ENC121501</t>
        </is>
      </c>
      <c r="C2612" t="inlineStr">
        <is>
          <t>Evergreen Mutual Insurance</t>
        </is>
      </c>
      <c r="D2612" t="inlineStr">
        <is>
          <t>Inpatient</t>
        </is>
      </c>
      <c r="E2612" s="29" t="n">
        <v>46014</v>
      </c>
      <c r="F2612" s="29" t="n">
        <v>46019</v>
      </c>
      <c r="G2612" s="31" t="n">
        <v>8131.82</v>
      </c>
      <c r="H2612" s="31" t="n">
        <v>0</v>
      </c>
      <c r="I2612" t="inlineStr">
        <is>
          <t>Pending</t>
        </is>
      </c>
      <c r="L2612" s="33" t="n"/>
    </row>
    <row r="2613">
      <c r="A2613" t="inlineStr">
        <is>
          <t>CLM521505</t>
        </is>
      </c>
      <c r="B2613" t="inlineStr">
        <is>
          <t>ENC121505</t>
        </is>
      </c>
      <c r="C2613" t="inlineStr">
        <is>
          <t>Workers' Compensation</t>
        </is>
      </c>
      <c r="D2613" t="inlineStr">
        <is>
          <t>Emergency</t>
        </is>
      </c>
      <c r="E2613" s="29" t="n">
        <v>46012</v>
      </c>
      <c r="F2613" s="29" t="n">
        <v>46015</v>
      </c>
      <c r="G2613" s="31" t="n">
        <v>1920.42</v>
      </c>
      <c r="H2613" s="31" t="n">
        <v>0</v>
      </c>
      <c r="I2613" t="inlineStr">
        <is>
          <t>Pending</t>
        </is>
      </c>
      <c r="L2613" s="33" t="n"/>
    </row>
    <row r="2614">
      <c r="A2614" t="inlineStr">
        <is>
          <t>CLM521513</t>
        </is>
      </c>
      <c r="B2614" t="inlineStr">
        <is>
          <t>ENC121513</t>
        </is>
      </c>
      <c r="C2614" t="inlineStr">
        <is>
          <t>State Medicaid</t>
        </is>
      </c>
      <c r="D2614" t="inlineStr">
        <is>
          <t>Outpatient</t>
        </is>
      </c>
      <c r="E2614" s="29" t="n">
        <v>46013</v>
      </c>
      <c r="F2614" s="29" t="n">
        <v>46014</v>
      </c>
      <c r="G2614" s="31" t="n">
        <v>235.66</v>
      </c>
      <c r="H2614" s="31" t="n">
        <v>0</v>
      </c>
      <c r="I2614" t="inlineStr">
        <is>
          <t>Denied</t>
        </is>
      </c>
      <c r="J2614" t="inlineStr">
        <is>
          <t>Authorization Required</t>
        </is>
      </c>
      <c r="L2614" s="33" t="n"/>
    </row>
    <row r="2615">
      <c r="A2615" t="inlineStr">
        <is>
          <t>CLM521518</t>
        </is>
      </c>
      <c r="B2615" t="inlineStr">
        <is>
          <t>ENC121518</t>
        </is>
      </c>
      <c r="C2615" t="inlineStr">
        <is>
          <t>Keystone Health Partners</t>
        </is>
      </c>
      <c r="D2615" t="inlineStr">
        <is>
          <t>Outpatient</t>
        </is>
      </c>
      <c r="E2615" s="29" t="n">
        <v>46013</v>
      </c>
      <c r="F2615" s="29" t="n">
        <v>46020</v>
      </c>
      <c r="G2615" s="31" t="n">
        <v>7258.3</v>
      </c>
      <c r="H2615" s="31" t="n">
        <v>0</v>
      </c>
      <c r="I2615" t="inlineStr">
        <is>
          <t>Pending</t>
        </is>
      </c>
      <c r="L2615" s="33" t="n"/>
    </row>
    <row r="2616">
      <c r="A2616" t="inlineStr">
        <is>
          <t>CLM521519</t>
        </is>
      </c>
      <c r="B2616" t="inlineStr">
        <is>
          <t>ENC121519</t>
        </is>
      </c>
      <c r="C2616" t="inlineStr">
        <is>
          <t>Silverline Medicare Advantage</t>
        </is>
      </c>
      <c r="D2616" t="inlineStr">
        <is>
          <t>Inpatient</t>
        </is>
      </c>
      <c r="E2616" s="29" t="n">
        <v>46016</v>
      </c>
      <c r="F2616" s="29" t="n">
        <v>46018</v>
      </c>
      <c r="G2616" s="31" t="n">
        <v>11846.11</v>
      </c>
      <c r="H2616" s="31" t="n">
        <v>0</v>
      </c>
      <c r="I2616" t="inlineStr">
        <is>
          <t>Pending</t>
        </is>
      </c>
      <c r="L2616" s="33" t="n"/>
    </row>
    <row r="2617">
      <c r="A2617" t="inlineStr">
        <is>
          <t>CLM521526</t>
        </is>
      </c>
      <c r="B2617" t="inlineStr">
        <is>
          <t>ENC121526</t>
        </is>
      </c>
      <c r="C2617" t="inlineStr">
        <is>
          <t>Evergreen Mutual Insurance</t>
        </is>
      </c>
      <c r="D2617" t="inlineStr">
        <is>
          <t>Inpatient</t>
        </is>
      </c>
      <c r="E2617" s="29" t="n">
        <v>46018</v>
      </c>
      <c r="F2617" s="29" t="n">
        <v>46020</v>
      </c>
      <c r="G2617" s="31" t="n">
        <v>60033.52</v>
      </c>
      <c r="H2617" s="31" t="n">
        <v>0</v>
      </c>
      <c r="I2617" t="inlineStr">
        <is>
          <t>Pending</t>
        </is>
      </c>
      <c r="L2617" s="33" t="n"/>
    </row>
    <row r="2618">
      <c r="A2618" t="inlineStr">
        <is>
          <t>CLM521527</t>
        </is>
      </c>
      <c r="B2618" t="inlineStr">
        <is>
          <t>ENC121527</t>
        </is>
      </c>
      <c r="C2618" t="inlineStr">
        <is>
          <t>Keystone Health Partners</t>
        </is>
      </c>
      <c r="D2618" t="inlineStr">
        <is>
          <t>Outpatient</t>
        </is>
      </c>
      <c r="E2618" s="29" t="n">
        <v>46013</v>
      </c>
      <c r="F2618" s="29" t="n">
        <v>46014</v>
      </c>
      <c r="G2618" s="31" t="n">
        <v>489.17</v>
      </c>
      <c r="H2618" s="31" t="n">
        <v>0</v>
      </c>
      <c r="I2618" t="inlineStr">
        <is>
          <t>Pending</t>
        </is>
      </c>
      <c r="L2618" s="33" t="n"/>
    </row>
    <row r="2619">
      <c r="A2619" t="inlineStr">
        <is>
          <t>CLM521528</t>
        </is>
      </c>
      <c r="B2619" t="inlineStr">
        <is>
          <t>ENC121528</t>
        </is>
      </c>
      <c r="C2619" t="inlineStr">
        <is>
          <t>Evergreen Mutual Insurance</t>
        </is>
      </c>
      <c r="D2619" t="inlineStr">
        <is>
          <t>Outpatient</t>
        </is>
      </c>
      <c r="E2619" s="29" t="n">
        <v>46013</v>
      </c>
      <c r="F2619" s="29" t="n">
        <v>46017</v>
      </c>
      <c r="G2619" s="31" t="n">
        <v>480.78</v>
      </c>
      <c r="H2619" s="31" t="n">
        <v>0</v>
      </c>
      <c r="I2619" t="inlineStr">
        <is>
          <t>Pending</t>
        </is>
      </c>
      <c r="L2619" s="33" t="n"/>
    </row>
    <row r="2620">
      <c r="A2620" t="inlineStr">
        <is>
          <t>CLM521531</t>
        </is>
      </c>
      <c r="B2620" t="inlineStr">
        <is>
          <t>ENC121531</t>
        </is>
      </c>
      <c r="C2620" t="inlineStr">
        <is>
          <t>Silverline Medicare Advantage</t>
        </is>
      </c>
      <c r="D2620" t="inlineStr">
        <is>
          <t>Emergency</t>
        </is>
      </c>
      <c r="E2620" s="29" t="n">
        <v>46013</v>
      </c>
      <c r="F2620" s="29" t="n">
        <v>46014</v>
      </c>
      <c r="G2620" s="31" t="n">
        <v>2180.74</v>
      </c>
      <c r="H2620" s="31" t="n">
        <v>0</v>
      </c>
      <c r="I2620" t="inlineStr">
        <is>
          <t>Pending</t>
        </is>
      </c>
      <c r="L2620" s="33" t="n"/>
    </row>
    <row r="2621">
      <c r="A2621" t="inlineStr">
        <is>
          <t>CLM521534</t>
        </is>
      </c>
      <c r="B2621" t="inlineStr">
        <is>
          <t>ENC121534</t>
        </is>
      </c>
      <c r="C2621" t="inlineStr">
        <is>
          <t>Keystone Health Partners</t>
        </is>
      </c>
      <c r="D2621" t="inlineStr">
        <is>
          <t>Inpatient</t>
        </is>
      </c>
      <c r="E2621" s="29" t="n">
        <v>46014</v>
      </c>
      <c r="F2621" s="29" t="n">
        <v>46021</v>
      </c>
      <c r="G2621" s="31" t="n">
        <v>33420.44</v>
      </c>
      <c r="H2621" s="31" t="n">
        <v>0</v>
      </c>
      <c r="I2621" t="inlineStr">
        <is>
          <t>Pending</t>
        </is>
      </c>
      <c r="L2621" s="33" t="n"/>
    </row>
    <row r="2622">
      <c r="A2622" t="inlineStr">
        <is>
          <t>CLM521537</t>
        </is>
      </c>
      <c r="B2622" t="inlineStr">
        <is>
          <t>ENC121537</t>
        </is>
      </c>
      <c r="C2622" t="inlineStr">
        <is>
          <t>Silverline Medicare Advantage</t>
        </is>
      </c>
      <c r="D2622" t="inlineStr">
        <is>
          <t>Emergency</t>
        </is>
      </c>
      <c r="E2622" s="29" t="n">
        <v>46013</v>
      </c>
      <c r="F2622" s="29" t="n">
        <v>46016</v>
      </c>
      <c r="G2622" s="31" t="n">
        <v>1642.78</v>
      </c>
      <c r="H2622" s="31" t="n">
        <v>0</v>
      </c>
      <c r="I2622" t="inlineStr">
        <is>
          <t>Pending</t>
        </is>
      </c>
      <c r="L2622" s="33" t="n"/>
    </row>
    <row r="2623">
      <c r="A2623" t="inlineStr">
        <is>
          <t>CLM521538</t>
        </is>
      </c>
      <c r="B2623" t="inlineStr">
        <is>
          <t>ENC121538</t>
        </is>
      </c>
      <c r="C2623" t="inlineStr">
        <is>
          <t>Medicare</t>
        </is>
      </c>
      <c r="D2623" t="inlineStr">
        <is>
          <t>Inpatient</t>
        </is>
      </c>
      <c r="E2623" s="29" t="n">
        <v>46016</v>
      </c>
      <c r="F2623" s="29" t="n">
        <v>46021</v>
      </c>
      <c r="G2623" s="31" t="n">
        <v>12027.07</v>
      </c>
      <c r="H2623" s="31" t="n">
        <v>0</v>
      </c>
      <c r="I2623" t="inlineStr">
        <is>
          <t>Pending</t>
        </is>
      </c>
      <c r="L2623" s="33" t="n"/>
    </row>
    <row r="2624">
      <c r="A2624" t="inlineStr">
        <is>
          <t>CLM521539</t>
        </is>
      </c>
      <c r="B2624" t="inlineStr">
        <is>
          <t>ENC121539</t>
        </is>
      </c>
      <c r="C2624" t="inlineStr">
        <is>
          <t>State Medicaid</t>
        </is>
      </c>
      <c r="D2624" t="inlineStr">
        <is>
          <t>Emergency</t>
        </is>
      </c>
      <c r="E2624" s="29" t="n">
        <v>46013</v>
      </c>
      <c r="F2624" s="29" t="n">
        <v>46019</v>
      </c>
      <c r="G2624" s="31" t="n">
        <v>915.12</v>
      </c>
      <c r="H2624" s="31" t="n">
        <v>0</v>
      </c>
      <c r="I2624" t="inlineStr">
        <is>
          <t>Pending</t>
        </is>
      </c>
      <c r="L2624" s="33" t="n"/>
    </row>
    <row r="2625">
      <c r="A2625" t="inlineStr">
        <is>
          <t>CLM521544</t>
        </is>
      </c>
      <c r="B2625" t="inlineStr">
        <is>
          <t>ENC121544</t>
        </is>
      </c>
      <c r="C2625" t="inlineStr">
        <is>
          <t>Summit Choice PPO</t>
        </is>
      </c>
      <c r="D2625" t="inlineStr">
        <is>
          <t>Outpatient</t>
        </is>
      </c>
      <c r="E2625" s="29" t="n">
        <v>46013</v>
      </c>
      <c r="F2625" s="29" t="n">
        <v>46018</v>
      </c>
      <c r="G2625" s="31" t="n">
        <v>376.38</v>
      </c>
      <c r="H2625" s="31" t="n">
        <v>0</v>
      </c>
      <c r="I2625" t="inlineStr">
        <is>
          <t>Pending</t>
        </is>
      </c>
      <c r="L2625" s="33" t="n"/>
    </row>
    <row r="2626">
      <c r="A2626" t="inlineStr">
        <is>
          <t>CLM521546</t>
        </is>
      </c>
      <c r="B2626" t="inlineStr">
        <is>
          <t>ENC121546</t>
        </is>
      </c>
      <c r="C2626" t="inlineStr">
        <is>
          <t>Keystone Health Partners</t>
        </is>
      </c>
      <c r="D2626" t="inlineStr">
        <is>
          <t>Outpatient</t>
        </is>
      </c>
      <c r="E2626" s="29" t="n">
        <v>46013</v>
      </c>
      <c r="F2626" s="29" t="n">
        <v>46017</v>
      </c>
      <c r="G2626" s="31" t="n">
        <v>108.9</v>
      </c>
      <c r="H2626" s="31" t="n">
        <v>0</v>
      </c>
      <c r="I2626" t="inlineStr">
        <is>
          <t>Pending</t>
        </is>
      </c>
      <c r="L2626" s="33" t="n"/>
    </row>
    <row r="2627">
      <c r="A2627" t="inlineStr">
        <is>
          <t>CLM521549</t>
        </is>
      </c>
      <c r="B2627" t="inlineStr">
        <is>
          <t>ENC121549</t>
        </is>
      </c>
      <c r="C2627" t="inlineStr">
        <is>
          <t>Summit Choice PPO</t>
        </is>
      </c>
      <c r="D2627" t="inlineStr">
        <is>
          <t>Inpatient</t>
        </is>
      </c>
      <c r="E2627" s="29" t="n">
        <v>46016</v>
      </c>
      <c r="F2627" s="29" t="n">
        <v>46021</v>
      </c>
      <c r="G2627" s="31" t="n">
        <v>38016.04</v>
      </c>
      <c r="H2627" s="31" t="n">
        <v>0</v>
      </c>
      <c r="I2627" t="inlineStr">
        <is>
          <t>Pending</t>
        </is>
      </c>
      <c r="L2627" s="33" t="n"/>
    </row>
    <row r="2628">
      <c r="A2628" t="inlineStr">
        <is>
          <t>CLM521553</t>
        </is>
      </c>
      <c r="B2628" t="inlineStr">
        <is>
          <t>ENC121553</t>
        </is>
      </c>
      <c r="C2628" t="inlineStr">
        <is>
          <t>Silverline Medicare Advantage</t>
        </is>
      </c>
      <c r="D2628" t="inlineStr">
        <is>
          <t>Emergency</t>
        </is>
      </c>
      <c r="E2628" s="29" t="n">
        <v>46013</v>
      </c>
      <c r="F2628" s="29" t="n">
        <v>46016</v>
      </c>
      <c r="G2628" s="31" t="n">
        <v>8593.17</v>
      </c>
      <c r="H2628" s="31" t="n">
        <v>0</v>
      </c>
      <c r="I2628" t="inlineStr">
        <is>
          <t>Pending</t>
        </is>
      </c>
      <c r="L2628" s="33" t="n"/>
    </row>
    <row r="2629">
      <c r="A2629" t="inlineStr">
        <is>
          <t>CLM521556</t>
        </is>
      </c>
      <c r="B2629" t="inlineStr">
        <is>
          <t>ENC121556</t>
        </is>
      </c>
      <c r="C2629" t="inlineStr">
        <is>
          <t>Keystone Health Partners</t>
        </is>
      </c>
      <c r="D2629" t="inlineStr">
        <is>
          <t>Inpatient</t>
        </is>
      </c>
      <c r="E2629" s="29" t="n">
        <v>46015</v>
      </c>
      <c r="F2629" s="29" t="n">
        <v>46019</v>
      </c>
      <c r="G2629" s="31" t="n">
        <v>18703.78</v>
      </c>
      <c r="H2629" s="31" t="n">
        <v>0</v>
      </c>
      <c r="I2629" t="inlineStr">
        <is>
          <t>Denied</t>
        </is>
      </c>
      <c r="J2629" t="inlineStr">
        <is>
          <t>Coding Error</t>
        </is>
      </c>
      <c r="L2629" s="33" t="n"/>
    </row>
    <row r="2630">
      <c r="A2630" t="inlineStr">
        <is>
          <t>CLM521558</t>
        </is>
      </c>
      <c r="B2630" t="inlineStr">
        <is>
          <t>ENC121558</t>
        </is>
      </c>
      <c r="C2630" t="inlineStr">
        <is>
          <t>Evergreen Mutual Insurance</t>
        </is>
      </c>
      <c r="D2630" t="inlineStr">
        <is>
          <t>Emergency</t>
        </is>
      </c>
      <c r="E2630" s="29" t="n">
        <v>46013</v>
      </c>
      <c r="F2630" s="29" t="n">
        <v>46015</v>
      </c>
      <c r="G2630" s="31" t="n">
        <v>5269.13</v>
      </c>
      <c r="H2630" s="31" t="n">
        <v>0</v>
      </c>
      <c r="I2630" t="inlineStr">
        <is>
          <t>Pending</t>
        </is>
      </c>
      <c r="L2630" s="33" t="n"/>
    </row>
    <row r="2631">
      <c r="A2631" t="inlineStr">
        <is>
          <t>CLM521559</t>
        </is>
      </c>
      <c r="B2631" t="inlineStr">
        <is>
          <t>ENC121559</t>
        </is>
      </c>
      <c r="C2631" t="inlineStr">
        <is>
          <t>Self-Pay</t>
        </is>
      </c>
      <c r="D2631" t="inlineStr">
        <is>
          <t>Observation</t>
        </is>
      </c>
      <c r="E2631" s="29" t="n">
        <v>46014</v>
      </c>
      <c r="F2631" s="29" t="n">
        <v>46018</v>
      </c>
      <c r="G2631" s="31" t="n">
        <v>6252.03</v>
      </c>
      <c r="H2631" s="31" t="n">
        <v>0</v>
      </c>
      <c r="I2631" t="inlineStr">
        <is>
          <t>Pending</t>
        </is>
      </c>
      <c r="L2631" s="33" t="n"/>
    </row>
    <row r="2632">
      <c r="A2632" t="inlineStr">
        <is>
          <t>CLM521564</t>
        </is>
      </c>
      <c r="B2632" t="inlineStr">
        <is>
          <t>ENC121564</t>
        </is>
      </c>
      <c r="C2632" t="inlineStr">
        <is>
          <t>Summit Choice PPO</t>
        </is>
      </c>
      <c r="D2632" t="inlineStr">
        <is>
          <t>Outpatient</t>
        </is>
      </c>
      <c r="E2632" s="29" t="n">
        <v>46014</v>
      </c>
      <c r="F2632" s="29" t="n">
        <v>46018</v>
      </c>
      <c r="G2632" s="31" t="n">
        <v>186.33</v>
      </c>
      <c r="H2632" s="31" t="n">
        <v>0</v>
      </c>
      <c r="I2632" t="inlineStr">
        <is>
          <t>Pending</t>
        </is>
      </c>
      <c r="L2632" s="33" t="n"/>
    </row>
    <row r="2633">
      <c r="A2633" t="inlineStr">
        <is>
          <t>CLM521565</t>
        </is>
      </c>
      <c r="B2633" t="inlineStr">
        <is>
          <t>ENC121565</t>
        </is>
      </c>
      <c r="C2633" t="inlineStr">
        <is>
          <t>Medicare</t>
        </is>
      </c>
      <c r="D2633" t="inlineStr">
        <is>
          <t>Outpatient</t>
        </is>
      </c>
      <c r="E2633" s="29" t="n">
        <v>46014</v>
      </c>
      <c r="F2633" s="29" t="n">
        <v>46017</v>
      </c>
      <c r="G2633" s="31" t="n">
        <v>148.35</v>
      </c>
      <c r="H2633" s="31" t="n">
        <v>0</v>
      </c>
      <c r="I2633" t="inlineStr">
        <is>
          <t>Denied</t>
        </is>
      </c>
      <c r="J2633" t="inlineStr">
        <is>
          <t>Missing Documentation</t>
        </is>
      </c>
      <c r="L2633" s="33" t="n"/>
    </row>
    <row r="2634">
      <c r="A2634" t="inlineStr">
        <is>
          <t>CLM521566</t>
        </is>
      </c>
      <c r="B2634" t="inlineStr">
        <is>
          <t>ENC121566</t>
        </is>
      </c>
      <c r="C2634" t="inlineStr">
        <is>
          <t>Self-Pay</t>
        </is>
      </c>
      <c r="D2634" t="inlineStr">
        <is>
          <t>Outpatient</t>
        </is>
      </c>
      <c r="E2634" s="29" t="n">
        <v>46014</v>
      </c>
      <c r="F2634" s="29" t="n">
        <v>46016</v>
      </c>
      <c r="G2634" s="31" t="n">
        <v>395.82</v>
      </c>
      <c r="H2634" s="31" t="n">
        <v>0</v>
      </c>
      <c r="I2634" t="inlineStr">
        <is>
          <t>Pending</t>
        </is>
      </c>
      <c r="L2634" s="33" t="n"/>
    </row>
    <row r="2635">
      <c r="A2635" t="inlineStr">
        <is>
          <t>CLM521569</t>
        </is>
      </c>
      <c r="B2635" t="inlineStr">
        <is>
          <t>ENC121569</t>
        </is>
      </c>
      <c r="C2635" t="inlineStr">
        <is>
          <t>State Medicaid</t>
        </is>
      </c>
      <c r="D2635" t="inlineStr">
        <is>
          <t>Emergency</t>
        </is>
      </c>
      <c r="E2635" s="29" t="n">
        <v>46014</v>
      </c>
      <c r="F2635" s="29" t="n">
        <v>46019</v>
      </c>
      <c r="G2635" s="31" t="n">
        <v>5399.32</v>
      </c>
      <c r="H2635" s="31" t="n">
        <v>0</v>
      </c>
      <c r="I2635" t="inlineStr">
        <is>
          <t>Pending</t>
        </is>
      </c>
      <c r="L2635" s="33" t="n"/>
    </row>
    <row r="2636">
      <c r="A2636" t="inlineStr">
        <is>
          <t>CLM521573</t>
        </is>
      </c>
      <c r="B2636" t="inlineStr">
        <is>
          <t>ENC121573</t>
        </is>
      </c>
      <c r="C2636" t="inlineStr">
        <is>
          <t>Evergreen Mutual Insurance</t>
        </is>
      </c>
      <c r="D2636" t="inlineStr">
        <is>
          <t>Outpatient</t>
        </is>
      </c>
      <c r="E2636" s="29" t="n">
        <v>46014</v>
      </c>
      <c r="F2636" s="29" t="n">
        <v>46021</v>
      </c>
      <c r="G2636" s="31" t="n">
        <v>434.56</v>
      </c>
      <c r="H2636" s="31" t="n">
        <v>0</v>
      </c>
      <c r="I2636" t="inlineStr">
        <is>
          <t>Pending</t>
        </is>
      </c>
      <c r="L2636" s="33" t="n"/>
    </row>
    <row r="2637">
      <c r="A2637" t="inlineStr">
        <is>
          <t>CLM521581</t>
        </is>
      </c>
      <c r="B2637" t="inlineStr">
        <is>
          <t>ENC121581</t>
        </is>
      </c>
      <c r="C2637" t="inlineStr">
        <is>
          <t>Self-Pay</t>
        </is>
      </c>
      <c r="D2637" t="inlineStr">
        <is>
          <t>Outpatient</t>
        </is>
      </c>
      <c r="E2637" s="29" t="n">
        <v>46014</v>
      </c>
      <c r="F2637" s="29" t="n">
        <v>46017</v>
      </c>
      <c r="G2637" s="31" t="n">
        <v>136.48</v>
      </c>
      <c r="H2637" s="31" t="n">
        <v>0</v>
      </c>
      <c r="I2637" t="inlineStr">
        <is>
          <t>Pending</t>
        </is>
      </c>
      <c r="L2637" s="33" t="n"/>
    </row>
    <row r="2638">
      <c r="A2638" t="inlineStr">
        <is>
          <t>CLM521583</t>
        </is>
      </c>
      <c r="B2638" t="inlineStr">
        <is>
          <t>ENC121583</t>
        </is>
      </c>
      <c r="C2638" t="inlineStr">
        <is>
          <t>State Medicaid</t>
        </is>
      </c>
      <c r="D2638" t="inlineStr">
        <is>
          <t>Outpatient</t>
        </is>
      </c>
      <c r="E2638" s="29" t="n">
        <v>46014</v>
      </c>
      <c r="F2638" s="29" t="n">
        <v>46018</v>
      </c>
      <c r="G2638" s="31" t="n">
        <v>432.01</v>
      </c>
      <c r="H2638" s="31" t="n">
        <v>0</v>
      </c>
      <c r="I2638" t="inlineStr">
        <is>
          <t>Pending</t>
        </is>
      </c>
      <c r="L2638" s="33" t="n"/>
    </row>
    <row r="2639">
      <c r="A2639" t="inlineStr">
        <is>
          <t>CLM521593</t>
        </is>
      </c>
      <c r="B2639" t="inlineStr">
        <is>
          <t>ENC121593</t>
        </is>
      </c>
      <c r="C2639" t="inlineStr">
        <is>
          <t>Keystone Health Partners</t>
        </is>
      </c>
      <c r="D2639" t="inlineStr">
        <is>
          <t>Outpatient</t>
        </is>
      </c>
      <c r="E2639" s="29" t="n">
        <v>46014</v>
      </c>
      <c r="F2639" s="29" t="n">
        <v>46016</v>
      </c>
      <c r="G2639" s="31" t="n">
        <v>219.37</v>
      </c>
      <c r="H2639" s="31" t="n">
        <v>0</v>
      </c>
      <c r="I2639" t="inlineStr">
        <is>
          <t>Pending</t>
        </is>
      </c>
      <c r="L2639" s="33" t="n"/>
    </row>
    <row r="2640">
      <c r="A2640" t="inlineStr">
        <is>
          <t>CLM521599</t>
        </is>
      </c>
      <c r="B2640" t="inlineStr">
        <is>
          <t>ENC121599</t>
        </is>
      </c>
      <c r="C2640" t="inlineStr">
        <is>
          <t>Medicare</t>
        </is>
      </c>
      <c r="D2640" t="inlineStr">
        <is>
          <t>Emergency</t>
        </is>
      </c>
      <c r="E2640" s="29" t="n">
        <v>46014</v>
      </c>
      <c r="F2640" s="29" t="n">
        <v>46018</v>
      </c>
      <c r="G2640" s="31" t="n">
        <v>2431.89</v>
      </c>
      <c r="H2640" s="31" t="n">
        <v>0</v>
      </c>
      <c r="I2640" t="inlineStr">
        <is>
          <t>Pending</t>
        </is>
      </c>
      <c r="L2640" s="33" t="n"/>
    </row>
    <row r="2641">
      <c r="A2641" t="inlineStr">
        <is>
          <t>CLM521605</t>
        </is>
      </c>
      <c r="B2641" t="inlineStr">
        <is>
          <t>ENC121605</t>
        </is>
      </c>
      <c r="C2641" t="inlineStr">
        <is>
          <t>Keystone Health Partners</t>
        </is>
      </c>
      <c r="D2641" t="inlineStr">
        <is>
          <t>Inpatient</t>
        </is>
      </c>
      <c r="E2641" s="29" t="n">
        <v>46018</v>
      </c>
      <c r="F2641" s="29" t="n">
        <v>46021</v>
      </c>
      <c r="G2641" s="31" t="n">
        <v>12600.12</v>
      </c>
      <c r="H2641" s="31" t="n">
        <v>0</v>
      </c>
      <c r="I2641" t="inlineStr">
        <is>
          <t>Pending</t>
        </is>
      </c>
      <c r="L2641" s="33" t="n"/>
    </row>
    <row r="2642">
      <c r="A2642" t="inlineStr">
        <is>
          <t>CLM521607</t>
        </is>
      </c>
      <c r="B2642" t="inlineStr">
        <is>
          <t>ENC121607</t>
        </is>
      </c>
      <c r="C2642" t="inlineStr">
        <is>
          <t>Medicare</t>
        </is>
      </c>
      <c r="D2642" t="inlineStr">
        <is>
          <t>Emergency</t>
        </is>
      </c>
      <c r="E2642" s="29" t="n">
        <v>46015</v>
      </c>
      <c r="F2642" s="29" t="n">
        <v>46021</v>
      </c>
      <c r="G2642" s="31" t="n">
        <v>1841.01</v>
      </c>
      <c r="H2642" s="31" t="n">
        <v>0</v>
      </c>
      <c r="I2642" t="inlineStr">
        <is>
          <t>Pending</t>
        </is>
      </c>
      <c r="L2642" s="33" t="n"/>
    </row>
    <row r="2643">
      <c r="A2643" t="inlineStr">
        <is>
          <t>CLM521617</t>
        </is>
      </c>
      <c r="B2643" t="inlineStr">
        <is>
          <t>ENC121617</t>
        </is>
      </c>
      <c r="C2643" t="inlineStr">
        <is>
          <t>State Medicaid</t>
        </is>
      </c>
      <c r="D2643" t="inlineStr">
        <is>
          <t>Emergency</t>
        </is>
      </c>
      <c r="E2643" s="29" t="n">
        <v>46015</v>
      </c>
      <c r="F2643" s="29" t="n">
        <v>46018</v>
      </c>
      <c r="G2643" s="31" t="n">
        <v>1976.31</v>
      </c>
      <c r="H2643" s="31" t="n">
        <v>0</v>
      </c>
      <c r="I2643" t="inlineStr">
        <is>
          <t>Denied</t>
        </is>
      </c>
      <c r="J2643" t="inlineStr">
        <is>
          <t>Medical Necessity</t>
        </is>
      </c>
      <c r="L2643" s="33" t="n"/>
    </row>
    <row r="2644">
      <c r="A2644" t="inlineStr">
        <is>
          <t>CLM521618</t>
        </is>
      </c>
      <c r="B2644" t="inlineStr">
        <is>
          <t>ENC121618</t>
        </is>
      </c>
      <c r="C2644" t="inlineStr">
        <is>
          <t>Silverline Medicare Advantage</t>
        </is>
      </c>
      <c r="D2644" t="inlineStr">
        <is>
          <t>Outpatient</t>
        </is>
      </c>
      <c r="E2644" s="29" t="n">
        <v>46015</v>
      </c>
      <c r="F2644" s="29" t="n">
        <v>46018</v>
      </c>
      <c r="G2644" s="31" t="n">
        <v>342.97</v>
      </c>
      <c r="H2644" s="31" t="n">
        <v>0</v>
      </c>
      <c r="I2644" t="inlineStr">
        <is>
          <t>Pending</t>
        </is>
      </c>
      <c r="L2644" s="33" t="n"/>
    </row>
    <row r="2645">
      <c r="A2645" t="inlineStr">
        <is>
          <t>CLM521622</t>
        </is>
      </c>
      <c r="B2645" t="inlineStr">
        <is>
          <t>ENC121622</t>
        </is>
      </c>
      <c r="C2645" t="inlineStr">
        <is>
          <t>Silverline Medicare Advantage</t>
        </is>
      </c>
      <c r="D2645" t="inlineStr">
        <is>
          <t>Outpatient</t>
        </is>
      </c>
      <c r="E2645" s="29" t="n">
        <v>46015</v>
      </c>
      <c r="F2645" s="29" t="n">
        <v>46021</v>
      </c>
      <c r="G2645" s="31" t="n">
        <v>504.97</v>
      </c>
      <c r="H2645" s="31" t="n">
        <v>0</v>
      </c>
      <c r="I2645" t="inlineStr">
        <is>
          <t>Pending</t>
        </is>
      </c>
      <c r="L2645" s="33" t="n"/>
    </row>
    <row r="2646">
      <c r="A2646" t="inlineStr">
        <is>
          <t>CLM521632</t>
        </is>
      </c>
      <c r="B2646" t="inlineStr">
        <is>
          <t>ENC121632</t>
        </is>
      </c>
      <c r="C2646" t="inlineStr">
        <is>
          <t>Silverline Medicare Advantage</t>
        </is>
      </c>
      <c r="D2646" t="inlineStr">
        <is>
          <t>Inpatient</t>
        </is>
      </c>
      <c r="E2646" s="29" t="n">
        <v>46017</v>
      </c>
      <c r="F2646" s="29" t="n">
        <v>46020</v>
      </c>
      <c r="G2646" s="31" t="n">
        <v>11553.51</v>
      </c>
      <c r="H2646" s="31" t="n">
        <v>0</v>
      </c>
      <c r="I2646" t="inlineStr">
        <is>
          <t>Denied</t>
        </is>
      </c>
      <c r="J2646" t="inlineStr">
        <is>
          <t>Duplicate Claim</t>
        </is>
      </c>
      <c r="L2646" s="33" t="n"/>
    </row>
    <row r="2647">
      <c r="A2647" t="inlineStr">
        <is>
          <t>CLM521640</t>
        </is>
      </c>
      <c r="B2647" t="inlineStr">
        <is>
          <t>ENC121640</t>
        </is>
      </c>
      <c r="C2647" t="inlineStr">
        <is>
          <t>State Medicaid</t>
        </is>
      </c>
      <c r="D2647" t="inlineStr">
        <is>
          <t>Emergency</t>
        </is>
      </c>
      <c r="E2647" s="29" t="n">
        <v>46015</v>
      </c>
      <c r="F2647" s="29" t="n">
        <v>46017</v>
      </c>
      <c r="G2647" s="31" t="n">
        <v>4366.92</v>
      </c>
      <c r="H2647" s="31" t="n">
        <v>0</v>
      </c>
      <c r="I2647" t="inlineStr">
        <is>
          <t>Denied</t>
        </is>
      </c>
      <c r="J2647" t="inlineStr">
        <is>
          <t>Medical Necessity</t>
        </is>
      </c>
      <c r="L2647" s="33" t="n"/>
    </row>
    <row r="2648">
      <c r="A2648" t="inlineStr">
        <is>
          <t>CLM521643</t>
        </is>
      </c>
      <c r="B2648" t="inlineStr">
        <is>
          <t>ENC121643</t>
        </is>
      </c>
      <c r="C2648" t="inlineStr">
        <is>
          <t>State Medicaid</t>
        </is>
      </c>
      <c r="D2648" t="inlineStr">
        <is>
          <t>Observation</t>
        </is>
      </c>
      <c r="E2648" s="29" t="n">
        <v>46017</v>
      </c>
      <c r="F2648" s="29" t="n">
        <v>46020</v>
      </c>
      <c r="G2648" s="31" t="n">
        <v>9991.26</v>
      </c>
      <c r="H2648" s="31" t="n">
        <v>0</v>
      </c>
      <c r="I2648" t="inlineStr">
        <is>
          <t>Pending</t>
        </is>
      </c>
      <c r="L2648" s="33" t="n"/>
    </row>
    <row r="2649">
      <c r="A2649" t="inlineStr">
        <is>
          <t>CLM521657</t>
        </is>
      </c>
      <c r="B2649" t="inlineStr">
        <is>
          <t>ENC121657</t>
        </is>
      </c>
      <c r="C2649" t="inlineStr">
        <is>
          <t>Medicare</t>
        </is>
      </c>
      <c r="D2649" t="inlineStr">
        <is>
          <t>Outpatient</t>
        </is>
      </c>
      <c r="E2649" s="29" t="n">
        <v>46016</v>
      </c>
      <c r="F2649" s="29" t="n">
        <v>46020</v>
      </c>
      <c r="G2649" s="31" t="n">
        <v>298.55</v>
      </c>
      <c r="H2649" s="31" t="n">
        <v>0</v>
      </c>
      <c r="I2649" t="inlineStr">
        <is>
          <t>Pending</t>
        </is>
      </c>
      <c r="L2649" s="33" t="n"/>
    </row>
    <row r="2650">
      <c r="A2650" t="inlineStr">
        <is>
          <t>CLM521658</t>
        </is>
      </c>
      <c r="B2650" t="inlineStr">
        <is>
          <t>ENC121658</t>
        </is>
      </c>
      <c r="C2650" t="inlineStr">
        <is>
          <t>Medicare</t>
        </is>
      </c>
      <c r="D2650" t="inlineStr">
        <is>
          <t>Outpatient</t>
        </is>
      </c>
      <c r="E2650" s="29" t="n">
        <v>46016</v>
      </c>
      <c r="F2650" s="29" t="n">
        <v>46020</v>
      </c>
      <c r="G2650" s="31" t="n">
        <v>108.28</v>
      </c>
      <c r="H2650" s="31" t="n">
        <v>0</v>
      </c>
      <c r="I2650" t="inlineStr">
        <is>
          <t>Pending</t>
        </is>
      </c>
      <c r="L2650" s="33" t="n"/>
    </row>
    <row r="2651">
      <c r="A2651" t="inlineStr">
        <is>
          <t>CLM521659</t>
        </is>
      </c>
      <c r="B2651" t="inlineStr">
        <is>
          <t>ENC121659</t>
        </is>
      </c>
      <c r="C2651" t="inlineStr">
        <is>
          <t>Evergreen Mutual Insurance</t>
        </is>
      </c>
      <c r="D2651" t="inlineStr">
        <is>
          <t>Outpatient</t>
        </is>
      </c>
      <c r="E2651" s="29" t="n">
        <v>46016</v>
      </c>
      <c r="F2651" s="29" t="n">
        <v>46021</v>
      </c>
      <c r="G2651" s="31" t="n">
        <v>9895.469999999999</v>
      </c>
      <c r="H2651" s="31" t="n">
        <v>0</v>
      </c>
      <c r="I2651" t="inlineStr">
        <is>
          <t>Pending</t>
        </is>
      </c>
      <c r="L2651" s="33" t="n"/>
    </row>
    <row r="2652">
      <c r="A2652" t="inlineStr">
        <is>
          <t>CLM521668</t>
        </is>
      </c>
      <c r="B2652" t="inlineStr">
        <is>
          <t>ENC121668</t>
        </is>
      </c>
      <c r="C2652" t="inlineStr">
        <is>
          <t>State Medicaid</t>
        </is>
      </c>
      <c r="D2652" t="inlineStr">
        <is>
          <t>Outpatient</t>
        </is>
      </c>
      <c r="E2652" s="29" t="n">
        <v>46016</v>
      </c>
      <c r="F2652" s="29" t="n">
        <v>46019</v>
      </c>
      <c r="G2652" s="31" t="n">
        <v>8788.08</v>
      </c>
      <c r="H2652" s="31" t="n">
        <v>0</v>
      </c>
      <c r="I2652" t="inlineStr">
        <is>
          <t>Pending</t>
        </is>
      </c>
      <c r="L2652" s="33" t="n"/>
    </row>
    <row r="2653">
      <c r="A2653" t="inlineStr">
        <is>
          <t>CLM521674</t>
        </is>
      </c>
      <c r="B2653" t="inlineStr">
        <is>
          <t>ENC121674</t>
        </is>
      </c>
      <c r="C2653" t="inlineStr">
        <is>
          <t>Medicare</t>
        </is>
      </c>
      <c r="D2653" t="inlineStr">
        <is>
          <t>Outpatient</t>
        </is>
      </c>
      <c r="E2653" s="29" t="n">
        <v>46016</v>
      </c>
      <c r="F2653" s="29" t="n">
        <v>46021</v>
      </c>
      <c r="G2653" s="31" t="n">
        <v>257.45</v>
      </c>
      <c r="H2653" s="31" t="n">
        <v>0</v>
      </c>
      <c r="I2653" t="inlineStr">
        <is>
          <t>Pending</t>
        </is>
      </c>
      <c r="L2653" s="33" t="n"/>
    </row>
    <row r="2654">
      <c r="A2654" t="inlineStr">
        <is>
          <t>CLM521675</t>
        </is>
      </c>
      <c r="B2654" t="inlineStr">
        <is>
          <t>ENC121675</t>
        </is>
      </c>
      <c r="C2654" t="inlineStr">
        <is>
          <t>Medicare</t>
        </is>
      </c>
      <c r="D2654" t="inlineStr">
        <is>
          <t>Outpatient</t>
        </is>
      </c>
      <c r="E2654" s="29" t="n">
        <v>46016</v>
      </c>
      <c r="F2654" s="29" t="n">
        <v>46017</v>
      </c>
      <c r="G2654" s="31" t="n">
        <v>434.76</v>
      </c>
      <c r="H2654" s="31" t="n">
        <v>0</v>
      </c>
      <c r="I2654" t="inlineStr">
        <is>
          <t>Pending</t>
        </is>
      </c>
      <c r="L2654" s="33" t="n"/>
    </row>
    <row r="2655">
      <c r="A2655" t="inlineStr">
        <is>
          <t>CLM521677</t>
        </is>
      </c>
      <c r="B2655" t="inlineStr">
        <is>
          <t>ENC121677</t>
        </is>
      </c>
      <c r="C2655" t="inlineStr">
        <is>
          <t>Keystone Health Partners</t>
        </is>
      </c>
      <c r="D2655" t="inlineStr">
        <is>
          <t>Emergency</t>
        </is>
      </c>
      <c r="E2655" s="29" t="n">
        <v>46016</v>
      </c>
      <c r="F2655" s="29" t="n">
        <v>46021</v>
      </c>
      <c r="G2655" s="31" t="n">
        <v>526.21</v>
      </c>
      <c r="H2655" s="31" t="n">
        <v>0</v>
      </c>
      <c r="I2655" t="inlineStr">
        <is>
          <t>Pending</t>
        </is>
      </c>
      <c r="L2655" s="33" t="n"/>
    </row>
    <row r="2656">
      <c r="A2656" t="inlineStr">
        <is>
          <t>CLM521678</t>
        </is>
      </c>
      <c r="B2656" t="inlineStr">
        <is>
          <t>ENC121678</t>
        </is>
      </c>
      <c r="C2656" t="inlineStr">
        <is>
          <t>Keystone Health Partners</t>
        </is>
      </c>
      <c r="D2656" t="inlineStr">
        <is>
          <t>Observation</t>
        </is>
      </c>
      <c r="E2656" s="29" t="n">
        <v>46018</v>
      </c>
      <c r="F2656" s="29" t="n">
        <v>46021</v>
      </c>
      <c r="G2656" s="31" t="n">
        <v>12493.71</v>
      </c>
      <c r="H2656" s="31" t="n">
        <v>0</v>
      </c>
      <c r="I2656" t="inlineStr">
        <is>
          <t>Pending</t>
        </is>
      </c>
      <c r="L2656" s="33" t="n"/>
    </row>
    <row r="2657">
      <c r="A2657" t="inlineStr">
        <is>
          <t>CLM521706</t>
        </is>
      </c>
      <c r="B2657" t="inlineStr">
        <is>
          <t>ENC121706</t>
        </is>
      </c>
      <c r="C2657" t="inlineStr">
        <is>
          <t>Silverline Medicare Advantage</t>
        </is>
      </c>
      <c r="D2657" t="inlineStr">
        <is>
          <t>Outpatient</t>
        </is>
      </c>
      <c r="E2657" s="29" t="n">
        <v>46017</v>
      </c>
      <c r="F2657" s="29" t="n">
        <v>46021</v>
      </c>
      <c r="G2657" s="31" t="n">
        <v>156.99</v>
      </c>
      <c r="H2657" s="31" t="n">
        <v>0</v>
      </c>
      <c r="I2657" t="inlineStr">
        <is>
          <t>Pending</t>
        </is>
      </c>
      <c r="L2657" s="33" t="n"/>
    </row>
    <row r="2658">
      <c r="A2658" t="inlineStr">
        <is>
          <t>CLM521714</t>
        </is>
      </c>
      <c r="B2658" t="inlineStr">
        <is>
          <t>ENC121714</t>
        </is>
      </c>
      <c r="C2658" t="inlineStr">
        <is>
          <t>Keystone Health Partners</t>
        </is>
      </c>
      <c r="D2658" t="inlineStr">
        <is>
          <t>Outpatient</t>
        </is>
      </c>
      <c r="E2658" s="29" t="n">
        <v>46017</v>
      </c>
      <c r="F2658" s="29" t="n">
        <v>46022</v>
      </c>
      <c r="G2658" s="31" t="n">
        <v>455.22</v>
      </c>
      <c r="H2658" s="31" t="n">
        <v>0</v>
      </c>
      <c r="I2658" t="inlineStr">
        <is>
          <t>Pending</t>
        </is>
      </c>
      <c r="L2658" s="33" t="n"/>
    </row>
    <row r="2659">
      <c r="A2659" t="inlineStr">
        <is>
          <t>CLM521716</t>
        </is>
      </c>
      <c r="B2659" t="inlineStr">
        <is>
          <t>ENC121716</t>
        </is>
      </c>
      <c r="C2659" t="inlineStr">
        <is>
          <t>State Medicaid</t>
        </is>
      </c>
      <c r="D2659" t="inlineStr">
        <is>
          <t>Outpatient</t>
        </is>
      </c>
      <c r="E2659" s="29" t="n">
        <v>46017</v>
      </c>
      <c r="F2659" s="29" t="n">
        <v>46020</v>
      </c>
      <c r="G2659" s="31" t="n">
        <v>428.62</v>
      </c>
      <c r="H2659" s="31" t="n">
        <v>0</v>
      </c>
      <c r="I2659" t="inlineStr">
        <is>
          <t>Pending</t>
        </is>
      </c>
      <c r="L2659" s="33" t="n"/>
    </row>
    <row r="2660">
      <c r="A2660" t="inlineStr">
        <is>
          <t>CLM521717</t>
        </is>
      </c>
      <c r="B2660" t="inlineStr">
        <is>
          <t>ENC121717</t>
        </is>
      </c>
      <c r="C2660" t="inlineStr">
        <is>
          <t>Medicare</t>
        </is>
      </c>
      <c r="D2660" t="inlineStr">
        <is>
          <t>Outpatient</t>
        </is>
      </c>
      <c r="E2660" s="29" t="n">
        <v>46017</v>
      </c>
      <c r="F2660" s="29" t="n">
        <v>46021</v>
      </c>
      <c r="G2660" s="31" t="n">
        <v>450.2</v>
      </c>
      <c r="H2660" s="31" t="n">
        <v>0</v>
      </c>
      <c r="I2660" t="inlineStr">
        <is>
          <t>Pending</t>
        </is>
      </c>
      <c r="L2660" s="33" t="n"/>
    </row>
    <row r="2661">
      <c r="A2661" t="inlineStr">
        <is>
          <t>CLM521718</t>
        </is>
      </c>
      <c r="B2661" t="inlineStr">
        <is>
          <t>ENC121718</t>
        </is>
      </c>
      <c r="C2661" t="inlineStr">
        <is>
          <t>Medicare</t>
        </is>
      </c>
      <c r="D2661" t="inlineStr">
        <is>
          <t>Outpatient</t>
        </is>
      </c>
      <c r="E2661" s="29" t="n">
        <v>46017</v>
      </c>
      <c r="F2661" s="29" t="n">
        <v>46020</v>
      </c>
      <c r="G2661" s="31" t="n">
        <v>362.69</v>
      </c>
      <c r="H2661" s="31" t="n">
        <v>0</v>
      </c>
      <c r="I2661" t="inlineStr">
        <is>
          <t>Pending</t>
        </is>
      </c>
      <c r="L2661" s="33" t="n"/>
    </row>
    <row r="2662">
      <c r="A2662" t="inlineStr">
        <is>
          <t>CLM521722</t>
        </is>
      </c>
      <c r="B2662" t="inlineStr">
        <is>
          <t>ENC121722</t>
        </is>
      </c>
      <c r="C2662" t="inlineStr">
        <is>
          <t>Medicare</t>
        </is>
      </c>
      <c r="D2662" t="inlineStr">
        <is>
          <t>Emergency</t>
        </is>
      </c>
      <c r="E2662" s="29" t="n">
        <v>46017</v>
      </c>
      <c r="F2662" s="29" t="n">
        <v>46021</v>
      </c>
      <c r="G2662" s="31" t="n">
        <v>1795.42</v>
      </c>
      <c r="H2662" s="31" t="n">
        <v>0</v>
      </c>
      <c r="I2662" t="inlineStr">
        <is>
          <t>Pending</t>
        </is>
      </c>
      <c r="L2662" s="33" t="n"/>
    </row>
    <row r="2663">
      <c r="A2663" t="inlineStr">
        <is>
          <t>CLM521730</t>
        </is>
      </c>
      <c r="B2663" t="inlineStr">
        <is>
          <t>ENC121730</t>
        </is>
      </c>
      <c r="C2663" t="inlineStr">
        <is>
          <t>Keystone Health Partners</t>
        </is>
      </c>
      <c r="D2663" t="inlineStr">
        <is>
          <t>Emergency</t>
        </is>
      </c>
      <c r="E2663" s="29" t="n">
        <v>46018</v>
      </c>
      <c r="F2663" s="29" t="n">
        <v>46020</v>
      </c>
      <c r="G2663" s="31" t="n">
        <v>3685.83</v>
      </c>
      <c r="H2663" s="31" t="n">
        <v>0</v>
      </c>
      <c r="I2663" t="inlineStr">
        <is>
          <t>Pending</t>
        </is>
      </c>
      <c r="L2663" s="33" t="n"/>
    </row>
    <row r="2664">
      <c r="A2664" t="inlineStr">
        <is>
          <t>CLM521731</t>
        </is>
      </c>
      <c r="B2664" t="inlineStr">
        <is>
          <t>ENC121731</t>
        </is>
      </c>
      <c r="C2664" t="inlineStr">
        <is>
          <t>Summit Choice PPO</t>
        </is>
      </c>
      <c r="D2664" t="inlineStr">
        <is>
          <t>Emergency</t>
        </is>
      </c>
      <c r="E2664" s="29" t="n">
        <v>46018</v>
      </c>
      <c r="F2664" s="29" t="n">
        <v>46022</v>
      </c>
      <c r="G2664" s="31" t="n">
        <v>573.41</v>
      </c>
      <c r="H2664" s="31" t="n">
        <v>0</v>
      </c>
      <c r="I2664" t="inlineStr">
        <is>
          <t>Pending</t>
        </is>
      </c>
      <c r="L2664" s="33" t="n"/>
    </row>
    <row r="2665">
      <c r="A2665" t="inlineStr">
        <is>
          <t>CLM521750</t>
        </is>
      </c>
      <c r="B2665" t="inlineStr">
        <is>
          <t>ENC121750</t>
        </is>
      </c>
      <c r="C2665" t="inlineStr">
        <is>
          <t>Medicare</t>
        </is>
      </c>
      <c r="D2665" t="inlineStr">
        <is>
          <t>Emergency</t>
        </is>
      </c>
      <c r="E2665" s="29" t="n">
        <v>46019</v>
      </c>
      <c r="F2665" s="29" t="n">
        <v>46020</v>
      </c>
      <c r="G2665" s="31" t="n">
        <v>1212.2</v>
      </c>
      <c r="H2665" s="31" t="n">
        <v>0</v>
      </c>
      <c r="I2665" t="inlineStr">
        <is>
          <t>Pending</t>
        </is>
      </c>
      <c r="L2665" s="33" t="n"/>
    </row>
    <row r="2666">
      <c r="A2666" t="inlineStr">
        <is>
          <t>CLM521774</t>
        </is>
      </c>
      <c r="B2666" t="inlineStr">
        <is>
          <t>ENC121774</t>
        </is>
      </c>
      <c r="C2666" t="inlineStr">
        <is>
          <t>State Medicaid</t>
        </is>
      </c>
      <c r="D2666" t="inlineStr">
        <is>
          <t>Outpatient</t>
        </is>
      </c>
      <c r="E2666" s="29" t="n">
        <v>46020</v>
      </c>
      <c r="F2666" s="29" t="n">
        <v>46021</v>
      </c>
      <c r="G2666" s="31" t="n">
        <v>8400.440000000001</v>
      </c>
      <c r="H2666" s="31" t="n">
        <v>0</v>
      </c>
      <c r="I2666" t="inlineStr">
        <is>
          <t>Pending</t>
        </is>
      </c>
      <c r="L2666" s="33" t="n"/>
    </row>
    <row r="2667">
      <c r="A2667" t="inlineStr">
        <is>
          <t>CLM521786</t>
        </is>
      </c>
      <c r="B2667" t="inlineStr">
        <is>
          <t>ENC121786</t>
        </is>
      </c>
      <c r="C2667" t="inlineStr">
        <is>
          <t>Silverline Medicare Advantage</t>
        </is>
      </c>
      <c r="D2667" t="inlineStr">
        <is>
          <t>Emergency</t>
        </is>
      </c>
      <c r="E2667" s="29" t="n">
        <v>46020</v>
      </c>
      <c r="F2667" s="29" t="n">
        <v>46022</v>
      </c>
      <c r="G2667" s="31" t="n">
        <v>4566.33</v>
      </c>
      <c r="H2667" s="31" t="n">
        <v>0</v>
      </c>
      <c r="I2667" t="inlineStr">
        <is>
          <t>Pending</t>
        </is>
      </c>
      <c r="L2667"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fitToPage="1"/>
  </sheetPr>
  <dimension ref="A1:G1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3" customWidth="1" min="2" max="2"/>
    <col width="13" customWidth="1" min="3" max="3"/>
    <col width="13" customWidth="1" min="4" max="4"/>
    <col width="13" customWidth="1" min="5" max="5"/>
    <col width="13" customWidth="1" min="6" max="6"/>
    <col width="13" customWidth="1" min="7" max="7"/>
  </cols>
  <sheetData>
    <row r="1">
      <c r="A1" s="34" t="inlineStr">
        <is>
          <t>Payer mix · 2025 encounters by payer and encounter type</t>
        </is>
      </c>
    </row>
    <row r="2" ht="46" customHeight="1">
      <c r="A2" s="35" t="inlineStr">
        <is>
          <t>Fill the yellow grid B5:E12 with ONE COUNTIFS formula typed in B5 (practice task 12), then copy it across and down. Each cell counts the Encounters rows whose PayerName matches column A and whose EncounterType matches row 4. Type the data ranges as cell addresses with $ signs, not as Table references.</t>
        </is>
      </c>
    </row>
    <row r="3" ht="32" customHeight="1">
      <c r="A3" s="35" t="inlineStr">
        <is>
          <t>Gray cells are already filled in. Column F totals your row, and column G counts the payer's encounters with COUNTIF, so F and G match when a row is right.</t>
        </is>
      </c>
    </row>
    <row r="4" ht="32" customHeight="1">
      <c r="A4" s="36" t="inlineStr">
        <is>
          <t>PayerName ↓   EncounterType →</t>
        </is>
      </c>
      <c r="B4" s="36" t="inlineStr">
        <is>
          <t>Emergency</t>
        </is>
      </c>
      <c r="C4" s="36" t="inlineStr">
        <is>
          <t>Inpatient</t>
        </is>
      </c>
      <c r="D4" s="36" t="inlineStr">
        <is>
          <t>Observation</t>
        </is>
      </c>
      <c r="E4" s="36" t="inlineStr">
        <is>
          <t>Outpatient</t>
        </is>
      </c>
      <c r="F4" s="36" t="inlineStr">
        <is>
          <t>Row total</t>
        </is>
      </c>
      <c r="G4" s="36" t="inlineStr">
        <is>
          <t>COUNTIF check</t>
        </is>
      </c>
    </row>
    <row r="5">
      <c r="A5" s="37" t="inlineStr">
        <is>
          <t>Medicare</t>
        </is>
      </c>
      <c r="B5" s="38" t="n"/>
      <c r="C5" s="38" t="n"/>
      <c r="D5" s="38" t="n"/>
      <c r="E5" s="38" t="n"/>
      <c r="F5" s="39">
        <f>SUM(B5:E5)</f>
        <v/>
      </c>
      <c r="G5" s="39">
        <f>COUNTIF(Encounters!$N$2:$N$2725,$A5)</f>
        <v/>
      </c>
    </row>
    <row r="6">
      <c r="A6" s="37" t="inlineStr">
        <is>
          <t>Silverline Medicare Advantage</t>
        </is>
      </c>
      <c r="B6" s="38" t="n"/>
      <c r="C6" s="38" t="n"/>
      <c r="D6" s="38" t="n"/>
      <c r="E6" s="38" t="n"/>
      <c r="F6" s="39">
        <f>SUM(B6:E6)</f>
        <v/>
      </c>
      <c r="G6" s="39">
        <f>COUNTIF(Encounters!$N$2:$N$2725,$A6)</f>
        <v/>
      </c>
    </row>
    <row r="7">
      <c r="A7" s="37" t="inlineStr">
        <is>
          <t>State Medicaid</t>
        </is>
      </c>
      <c r="B7" s="38" t="n"/>
      <c r="C7" s="38" t="n"/>
      <c r="D7" s="38" t="n"/>
      <c r="E7" s="38" t="n"/>
      <c r="F7" s="39">
        <f>SUM(B7:E7)</f>
        <v/>
      </c>
      <c r="G7" s="39">
        <f>COUNTIF(Encounters!$N$2:$N$2725,$A7)</f>
        <v/>
      </c>
    </row>
    <row r="8">
      <c r="A8" s="37" t="inlineStr">
        <is>
          <t>Keystone Health Partners</t>
        </is>
      </c>
      <c r="B8" s="38" t="n"/>
      <c r="C8" s="38" t="n"/>
      <c r="D8" s="38" t="n"/>
      <c r="E8" s="38" t="n"/>
      <c r="F8" s="39">
        <f>SUM(B8:E8)</f>
        <v/>
      </c>
      <c r="G8" s="39">
        <f>COUNTIF(Encounters!$N$2:$N$2725,$A8)</f>
        <v/>
      </c>
    </row>
    <row r="9">
      <c r="A9" s="37" t="inlineStr">
        <is>
          <t>Evergreen Mutual Insurance</t>
        </is>
      </c>
      <c r="B9" s="38" t="n"/>
      <c r="C9" s="38" t="n"/>
      <c r="D9" s="38" t="n"/>
      <c r="E9" s="38" t="n"/>
      <c r="F9" s="39">
        <f>SUM(B9:E9)</f>
        <v/>
      </c>
      <c r="G9" s="39">
        <f>COUNTIF(Encounters!$N$2:$N$2725,$A9)</f>
        <v/>
      </c>
    </row>
    <row r="10">
      <c r="A10" s="37" t="inlineStr">
        <is>
          <t>Summit Choice PPO</t>
        </is>
      </c>
      <c r="B10" s="38" t="n"/>
      <c r="C10" s="38" t="n"/>
      <c r="D10" s="38" t="n"/>
      <c r="E10" s="38" t="n"/>
      <c r="F10" s="39">
        <f>SUM(B10:E10)</f>
        <v/>
      </c>
      <c r="G10" s="39">
        <f>COUNTIF(Encounters!$N$2:$N$2725,$A10)</f>
        <v/>
      </c>
    </row>
    <row r="11">
      <c r="A11" s="37" t="inlineStr">
        <is>
          <t>Self-Pay</t>
        </is>
      </c>
      <c r="B11" s="38" t="n"/>
      <c r="C11" s="38" t="n"/>
      <c r="D11" s="38" t="n"/>
      <c r="E11" s="38" t="n"/>
      <c r="F11" s="39">
        <f>SUM(B11:E11)</f>
        <v/>
      </c>
      <c r="G11" s="39">
        <f>COUNTIF(Encounters!$N$2:$N$2725,$A11)</f>
        <v/>
      </c>
    </row>
    <row r="12">
      <c r="A12" s="37" t="inlineStr">
        <is>
          <t>Workers' Compensation</t>
        </is>
      </c>
      <c r="B12" s="38" t="n"/>
      <c r="C12" s="38" t="n"/>
      <c r="D12" s="38" t="n"/>
      <c r="E12" s="38" t="n"/>
      <c r="F12" s="39">
        <f>SUM(B12:E12)</f>
        <v/>
      </c>
      <c r="G12" s="39">
        <f>COUNTIF(Encounters!$N$2:$N$2725,$A12)</f>
        <v/>
      </c>
    </row>
    <row r="13">
      <c r="A13" s="40" t="inlineStr">
        <is>
          <t>Total</t>
        </is>
      </c>
      <c r="B13" s="39">
        <f>SUM(B5:B12)</f>
        <v/>
      </c>
      <c r="C13" s="39">
        <f>SUM(C5:C12)</f>
        <v/>
      </c>
      <c r="D13" s="39">
        <f>SUM(D5:D12)</f>
        <v/>
      </c>
      <c r="E13" s="39">
        <f>SUM(E5:E12)</f>
        <v/>
      </c>
      <c r="F13" s="39">
        <f>SUM(F5:F12)</f>
        <v/>
      </c>
      <c r="G13" s="39">
        <f>SUM(G5:G12)</f>
        <v/>
      </c>
    </row>
  </sheetData>
  <mergeCells count="2">
    <mergeCell ref="A3:G3"/>
    <mergeCell ref="A2:G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Bonus: Inpatient payer scorecard</t>
        </is>
      </c>
    </row>
    <row r="2" ht="64" customHeight="1">
      <c r="A2" s="14" t="inlineStr">
        <is>
          <t>Bluestone's revenue cycle director is preparing for contract talks and wants a 2025 scorecard of inpatient claims by payer. Use these definitions. An adjudicated claim is any claim whose ClaimStatus is not Pending (the payer has made a decision). A denied claim is one whose ClaimStatus is Denied or Appealed, because an appealed claim was denied first. Denial rate = denied ÷ adjudicated. Days to pay = PaidDate − SubmitDate for every claim that has a PaidDate. Build the scorecard on the Scorecard sheet, one row per payer, using only claims whose EncounterType is Inpatient.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96" customHeight="1">
      <c r="A6" s="18" t="inlineStr">
        <is>
          <t>B1</t>
        </is>
      </c>
      <c r="B6" s="19" t="inlineStr">
        <is>
          <t>On the Claims sheet, fill the yellow DaysToPay column (L2:L2667) with PaidDate − SubmitDate, or an empty text string ("") when PaidDate is blank. Type one formula in L2. Claims is a Table, so Excel fills it down the whole column for you. If you click cells instead of typing their addresses, Excel writes [@PaidDate], which means the PaidDate on the same row. The gray cell averages your column across all claim types.</t>
        </is>
      </c>
      <c r="C6" s="20" t="inlineStr">
        <is>
          <t>IF(PaidDate="", "", PaidDate − SubmitDate)</t>
        </is>
      </c>
      <c r="D6" cm="1" s="41">
        <f t="array" ref="D6">IF(COUNT(Claims!L2:L2667)=0,"",AVERAGE(Claims!L2:L2667))</f>
        <v/>
      </c>
      <c r="E6" s="22">
        <f>IF(IFERROR(D6="",FALSE),"",IF(IFERROR(AND(ISNUMBER(D6),OR(ABS(D6-'Bonus Key'!$C$5)&lt;=0.0051)),FALSE),"✔ Correct","✘ Not yet"))</f>
        <v/>
      </c>
    </row>
    <row r="7" ht="81" customHeight="1">
      <c r="A7" s="18" t="inlineStr">
        <is>
          <t>B2</t>
        </is>
      </c>
      <c r="B7"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7" s="20" t="inlineStr">
        <is>
          <t>Column B: "&lt;&gt;Pending". Column C: the OR pattern from guide section 4. Column D: test column B for 0 before you divide</t>
        </is>
      </c>
      <c r="D7" cm="1" s="42">
        <f t="array" ref="D7">IF(COUNTA(Scorecard!D5:D12)=0,"",MAX(Scorecard!D5:D12))</f>
        <v/>
      </c>
      <c r="E7" s="22">
        <f>IF(IFERROR(D7="",FALSE),"",IF(IFERROR(AND(ISNUMBER(D7),OR(ABS(D7-'Bonus Key'!$C$6)&lt;=0.00051,ABS(D7-'Bonus Key'!$C$6*100)&lt;=0.051000000000000004)),FALSE),"✔ Correct","✘ Not yet"))</f>
        <v/>
      </c>
    </row>
    <row r="8" ht="30" customHeight="1">
      <c r="A8" s="18" t="inlineStr">
        <is>
          <t>B3</t>
        </is>
      </c>
      <c r="B8" s="19" t="inlineStr">
        <is>
          <t>Which payer has the highest inpatient denial rate? Type its PayerName.</t>
        </is>
      </c>
      <c r="C8" s="20" t="inlineStr">
        <is>
          <t>Compare the rates in column D</t>
        </is>
      </c>
      <c r="D8" s="43" t="n"/>
      <c r="E8" s="22">
        <f>IF(IFERROR(D8="",FALSE),"",IF(IFERROR(OR(LOWER(TRIM(D8&amp;""))=LOWER(TRIM('Bonus Key'!$C$7&amp;"")),LOWER(TRIM(D8&amp;""))="silverline",LOWER(TRIM(D8&amp;""))="silverline ma"),FALSE),"✔ Correct","✘ Not yet"))</f>
        <v/>
      </c>
    </row>
    <row r="9" ht="36" customHeight="1">
      <c r="A9" s="18" t="inlineStr">
        <is>
          <t>B4</t>
        </is>
      </c>
      <c r="B9" s="19" t="inlineStr">
        <is>
          <t>Dollars at risk: for the payer you named in task B3, what is the total BilledAmount of its inpatient claims that are Denied or Appealed?</t>
        </is>
      </c>
      <c r="C9" s="20" t="inlineStr">
        <is>
          <t>The same OR trick works with SUMIFS</t>
        </is>
      </c>
      <c r="D9" s="23" t="n"/>
      <c r="E9" s="22">
        <f>IF(IFERROR(D9="",FALSE),"",IF(IFERROR(AND(ISNUMBER(D9),OR(ABS(D9-'Bonus Key'!$C$8)&lt;=0.0051)),FALSE),"✔ Correct","✘ Not yet"))</f>
        <v/>
      </c>
    </row>
    <row r="10" ht="96" customHeight="1">
      <c r="A10" s="18" t="inlineStr">
        <is>
          <t>B5</t>
        </is>
      </c>
      <c r="B10" s="19" t="inlineStr">
        <is>
          <t>Fill column E of the Scorecard with each payer's average DaysToPay for inpatient claims (show n/a when a payer has none). How many more days, on average, does the payer you named in task B3 take to pay an inpatient claim than Medicare does? Subtract the full-precision averages (point at the cells instead of retyping the 1-decimal values that column E displays), then round the difference to 1 decimal place.</t>
        </is>
      </c>
      <c r="C10" s="20" t="inlineStr">
        <is>
          <t>AVERAGEIFS on your DaysToPay column, wrapped in IFERROR for the payer with no claims</t>
        </is>
      </c>
      <c r="D10" s="24"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4" customWidth="1" min="2" max="2"/>
    <col width="14" customWidth="1" min="3" max="3"/>
    <col width="14" customWidth="1" min="4" max="4"/>
    <col width="14" customWidth="1" min="5" max="5"/>
  </cols>
  <sheetData>
    <row r="1">
      <c r="A1" s="34" t="inlineStr">
        <is>
          <t>Inpatient claims scorecard by payer · 2025 (bonus)</t>
        </is>
      </c>
    </row>
    <row r="2" ht="60" customHeight="1">
      <c r="A2" s="35" t="inlineStr">
        <is>
          <t>Count only Claims rows whose EncounterType is Inpatient. Adjudicated = ClaimStatus is not Pending. Denied = ClaimStatus is Denied or Appealed. Denial rate = Denied ÷ Adjudicated (n/a when there are no adjudicated claims). Avg days to pay = average of your DaysToPay helper column (n/a when there are no paid claims).</t>
        </is>
      </c>
    </row>
    <row r="3" ht="18" customHeight="1">
      <c r="A3" s="35" t="inlineStr">
        <is>
          <t>Fill each yellow column with ONE formula typed in row 5 and copied down to row 12.</t>
        </is>
      </c>
    </row>
    <row r="4" ht="32" customHeight="1">
      <c r="A4" s="36" t="inlineStr">
        <is>
          <t>Payer</t>
        </is>
      </c>
      <c r="B4" s="36" t="inlineStr">
        <is>
          <t>Adjudicated claims</t>
        </is>
      </c>
      <c r="C4" s="36" t="inlineStr">
        <is>
          <t>Denied or appealed</t>
        </is>
      </c>
      <c r="D4" s="36" t="inlineStr">
        <is>
          <t>Denial rate</t>
        </is>
      </c>
      <c r="E4" s="36" t="inlineStr">
        <is>
          <t>Avg days to pay</t>
        </is>
      </c>
    </row>
    <row r="5">
      <c r="A5" s="37" t="inlineStr">
        <is>
          <t>Medicare</t>
        </is>
      </c>
      <c r="B5" s="38" t="n"/>
      <c r="C5" s="38" t="n"/>
      <c r="D5" s="44" t="n"/>
      <c r="E5" s="45" t="n"/>
    </row>
    <row r="6">
      <c r="A6" s="37" t="inlineStr">
        <is>
          <t>Silverline Medicare Advantage</t>
        </is>
      </c>
      <c r="B6" s="38" t="n"/>
      <c r="C6" s="38" t="n"/>
      <c r="D6" s="44" t="n"/>
      <c r="E6" s="45" t="n"/>
    </row>
    <row r="7">
      <c r="A7" s="37" t="inlineStr">
        <is>
          <t>State Medicaid</t>
        </is>
      </c>
      <c r="B7" s="38" t="n"/>
      <c r="C7" s="38" t="n"/>
      <c r="D7" s="44" t="n"/>
      <c r="E7" s="45" t="n"/>
    </row>
    <row r="8">
      <c r="A8" s="37" t="inlineStr">
        <is>
          <t>Keystone Health Partners</t>
        </is>
      </c>
      <c r="B8" s="38" t="n"/>
      <c r="C8" s="38" t="n"/>
      <c r="D8" s="44" t="n"/>
      <c r="E8" s="45" t="n"/>
    </row>
    <row r="9">
      <c r="A9" s="37" t="inlineStr">
        <is>
          <t>Evergreen Mutual Insurance</t>
        </is>
      </c>
      <c r="B9" s="38" t="n"/>
      <c r="C9" s="38" t="n"/>
      <c r="D9" s="44" t="n"/>
      <c r="E9" s="45" t="n"/>
    </row>
    <row r="10">
      <c r="A10" s="37" t="inlineStr">
        <is>
          <t>Summit Choice PPO</t>
        </is>
      </c>
      <c r="B10" s="38" t="n"/>
      <c r="C10" s="38" t="n"/>
      <c r="D10" s="44" t="n"/>
      <c r="E10" s="45" t="n"/>
    </row>
    <row r="11">
      <c r="A11" s="37" t="inlineStr">
        <is>
          <t>Self-Pay</t>
        </is>
      </c>
      <c r="B11" s="38" t="n"/>
      <c r="C11" s="38" t="n"/>
      <c r="D11" s="44" t="n"/>
      <c r="E11" s="45" t="n"/>
    </row>
    <row r="12">
      <c r="A12" s="37" t="inlineStr">
        <is>
          <t>Workers' Compensation</t>
        </is>
      </c>
      <c r="B12" s="38" t="n"/>
      <c r="C12" s="38" t="n"/>
      <c r="D12" s="44" t="n"/>
      <c r="E12" s="45" t="n"/>
    </row>
  </sheetData>
  <mergeCells count="2">
    <mergeCell ref="A2:E2"/>
    <mergeCell ref="A3:E3"/>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Answer Key — Lesson 2.5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3"/>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1</t>
        </is>
      </c>
      <c r="B5" s="19" t="inlineStr">
        <is>
          <t>How many encounters were Emergency visits (EncounterType = Emergency)?</t>
        </is>
      </c>
      <c r="C5" s="49" t="n">
        <v>913</v>
      </c>
      <c r="D5" s="50" t="inlineStr">
        <is>
          <t>=COUNTIF(Encounters!C2:C2725,"Emergency")</t>
        </is>
      </c>
      <c r="E5" cm="1" s="19">
        <f t="array" ref="E5">COUNTIF(Encounters!C2:C2725,"Emergency")</f>
        <v/>
      </c>
      <c r="F5" s="19" t="inlineStr">
        <is>
          <t>COUNTIF checks every cell in the range against one criterion and counts the matches. A text criterion goes in double quotes and must match the whole cell, but upper and lower case don't matter, so "emergency" works too.</t>
        </is>
      </c>
    </row>
    <row r="6" ht="51" customHeight="1">
      <c r="A6" s="18" t="inlineStr">
        <is>
          <t>2</t>
        </is>
      </c>
      <c r="B6" s="19" t="inlineStr">
        <is>
          <t>How many Inpatient encounters were at Cedar Ridge Medical Center?</t>
        </is>
      </c>
      <c r="C6" s="49" t="n">
        <v>93</v>
      </c>
      <c r="D6" s="50" t="inlineStr">
        <is>
          <t>=COUNTIFS(Encounters!C2:C2725,"Inpatient",Encounters!D2:D2725,"Cedar Ridge Medical Center")</t>
        </is>
      </c>
      <c r="E6" cm="1" s="19">
        <f t="array" ref="E6">COUNTIFS(Encounters!C2:C2725,"Inpatient",Encounters!D2:D2725,"Cedar Ridge Medical Center")</f>
        <v/>
      </c>
      <c r="F6" s="19" t="inlineStr">
        <is>
          <t>COUNTIFS joins its conditions with AND: a row counts only when EncounterType is Inpatient and FacilityName is Cedar Ridge Medical Center. The order of the pairs doesn't matter.</t>
        </is>
      </c>
    </row>
    <row r="7" ht="81" customHeight="1">
      <c r="A7" s="18" t="inlineStr">
        <is>
          <t>3</t>
        </is>
      </c>
      <c r="B7" s="19" t="inlineStr">
        <is>
          <t>What were the total charges (TotalCharges) of encounters billed to Medicare? Use PayerName = Medicare exactly, because Silverline Medicare Advantage is a separate payer.</t>
        </is>
      </c>
      <c r="C7" s="51" t="n">
        <v>6830385.52</v>
      </c>
      <c r="D7" s="50" t="inlineStr">
        <is>
          <t>=SUMIF(Encounters!N2:N2725,"Medicare",Encounters!O2:O2725)</t>
        </is>
      </c>
      <c r="E7" cm="1" s="52">
        <f t="array" ref="E7">SUMIF(Encounters!N2:N2725,"Medicare",Encounters!O2:O2725)</f>
        <v/>
      </c>
      <c r="F7" s="19" t="inlineStr">
        <is>
          <t>SUMIF tests one column (PayerName) and adds the matching rows of another (TotalCharges). Without wildcards, "Medicare" matches only cells that say exactly Medicare. The criterion "Medicare" would also pick up Silverline Medicare Advantage and return 11,665,796.53.</t>
        </is>
      </c>
    </row>
    <row r="8" ht="81" customHeight="1">
      <c r="A8" s="18" t="inlineStr">
        <is>
          <t>4</t>
        </is>
      </c>
      <c r="B8" s="19" t="inlineStr">
        <is>
          <t>How much was billed (BilledAmount) on claims with ClaimStatus = Denied and DenialReason = Authorization Required? Use the Claims sheet.</t>
        </is>
      </c>
      <c r="C8" s="51" t="n">
        <v>824904.9399999999</v>
      </c>
      <c r="D8" s="50" t="inlineStr">
        <is>
          <t>=SUMIFS(Claims!G2:G2667,Claims!I2:I2667,"Denied",Claims!J2:J2667,"Authorization Required")</t>
        </is>
      </c>
      <c r="E8" cm="1" s="52">
        <f t="array" ref="E8">SUMIFS(Claims!G2:G2667,Claims!I2:I2667,"Denied",Claims!J2:J2667,"Authorization Required")</f>
        <v/>
      </c>
      <c r="F8" s="19" t="inlineStr">
        <is>
          <t>SUMIFS starts with the column to add, then lists range/criteria pairs. The status criterion matters: 88 claims carry the reason Authorization Required, but only 77 of them are still plain Denied. The other 11 are all under appeal (ClaimStatus = Appealed), so they don't belong in a Denied total.</t>
        </is>
      </c>
    </row>
    <row r="9" ht="81" customHeight="1">
      <c r="A9" s="18" t="inlineStr">
        <is>
          <t>5</t>
        </is>
      </c>
      <c r="B9" s="19" t="inlineStr">
        <is>
          <t>What was the average length of stay (LOSDays) of Inpatient encounters with PrimaryDxCode I50.9 (heart failure)? Round to 1 decimal place with ROUND.</t>
        </is>
      </c>
      <c r="C9" s="53" t="n">
        <v>5.2</v>
      </c>
      <c r="D9" s="50" t="inlineStr">
        <is>
          <t>=ROUND(AVERAGEIFS(Encounters!I2:I2725,Encounters!C2:C2725,"Inpatient",Encounters!J2:J2725,"I50.9"),1)</t>
        </is>
      </c>
      <c r="E9" cm="1" s="54">
        <f t="array" ref="E9">ROUND(AVERAGEIFS(Encounters!I2:I2725,Encounters!C2:C2725,"Inpatient",Encounters!J2:J2725,"I50.9"),1)</f>
        <v/>
      </c>
      <c r="F9" s="19" t="inlineStr">
        <is>
          <t>AVERAGEIFS averages only the rows that pass every condition. Leave out the Inpatient criterion and the heart failure Observation stays join the average, which drops to 4.9. Bluestone's benchmark (ExpectedLOS) for I50.9 is 4.1 days, so these stays run long.</t>
        </is>
      </c>
    </row>
    <row r="10" ht="96" customHeight="1">
      <c r="A10" s="18" t="inlineStr">
        <is>
          <t>6</t>
        </is>
      </c>
      <c r="B10" s="19" t="inlineStr">
        <is>
          <t>How many claims were submitted in Q3 2025 (SubmitDate from 07/01/2025 through 09/30/2025)? Build the dates with DATE.</t>
        </is>
      </c>
      <c r="C10" s="49" t="n">
        <v>652</v>
      </c>
      <c r="D10" s="50" t="inlineStr">
        <is>
          <t>=COUNTIFS(Claims!F2:F2667,"&gt;="&amp;DATE(2025,7,1),Claims!F2:F2667,"&lt;="&amp;DATE(2025,9,30))</t>
        </is>
      </c>
      <c r="E10" cm="1" s="19">
        <f t="array" ref="E10">COUNTIFS(Claims!F2:F2667,"&gt;="&amp;DATE(2025,7,1),Claims!F2:F2667,"&lt;="&amp;DATE(2025,9,30))</f>
        <v/>
      </c>
      <c r="F10" s="19" t="inlineStr">
        <is>
          <t>A date range needs two conditions on the same column. "&gt;="&amp;DATE(2025,7,1) joins the operator to the date's serial number, so the criterion works in any regional date setting. Because SubmitDate holds whole dates, "&lt;="&amp;DATE(2025,9,30) is safe here. "&lt;"&amp;DATE(2025,10,1) gives the same answer and also works on columns that include times.</t>
        </is>
      </c>
    </row>
    <row r="11" ht="81" customHeight="1">
      <c r="A11" s="18" t="inlineStr">
        <is>
          <t>7</t>
        </is>
      </c>
      <c r="B11" s="19" t="inlineStr">
        <is>
          <t>How many encounters had a primary diagnosis code in the circulatory chapter of ICD-10, meaning a PrimaryDxCode that starts with the letter I?</t>
        </is>
      </c>
      <c r="C11" s="49" t="n">
        <v>315</v>
      </c>
      <c r="D11" s="50" t="inlineStr">
        <is>
          <t>=COUNTIF(Encounters!J2:J2725,"I*")</t>
        </is>
      </c>
      <c r="E11" cm="1" s="19">
        <f t="array" ref="E11">COUNTIF(Encounters!J2:J2725,"I*")</f>
        <v/>
      </c>
      <c r="F11" s="19" t="inlineStr">
        <is>
          <t>The asterisk stands for "anything, or nothing," so "I*" matches I10, I21.4, I50.9, and every other code that starts with I. Wildcards only work on text, which is fine here because ICD-10 codes are text. Cross-check: COUNTIF on DxCategory = Circulatory also returns 315.</t>
        </is>
      </c>
    </row>
    <row r="12" ht="66" customHeight="1">
      <c r="A12" s="18" t="inlineStr">
        <is>
          <t>8</t>
        </is>
      </c>
      <c r="B12" s="19" t="inlineStr">
        <is>
          <t>How many Inpatient encounters had TotalCharges above the average TotalCharges of all Inpatient encounters? Calculate the average inside the formula rather than typing it.</t>
        </is>
      </c>
      <c r="C12" s="49" t="n">
        <v>233</v>
      </c>
      <c r="D12" s="50" t="inlineStr">
        <is>
          <t>=COUNTIFS(Encounters!C2:C2725,"Inpatient",Encounters!O2:O2725,"&gt;"&amp;AVERAGEIF(Encounters!C2:C2725,"Inpatient",Encounters!O2:O2725))</t>
        </is>
      </c>
      <c r="E12" cm="1" s="19">
        <f t="array" ref="E12">COUNTIFS(Encounters!C2:C2725,"Inpatient",Encounters!O2:O2725,"&gt;"&amp;AVERAGEIF(Encounters!C2:C2725,"Inpatient",Encounters!O2:O2725))</f>
        <v/>
      </c>
      <c r="F12" s="19" t="inlineStr">
        <is>
          <t>AVERAGEIF works out the average Inpatient charge (34,168.89), and "&gt;"&amp; turns it into the criterion text "&gt;34168.89…". Only 233 of 688 stays (34%) beat the average, because a few very expensive stays pull the mean up (Lesson 2.4).</t>
        </is>
      </c>
    </row>
    <row r="13" ht="111" customHeight="1">
      <c r="A13" s="18" t="inlineStr">
        <is>
          <t>9</t>
        </is>
      </c>
      <c r="B13" s="19" t="inlineStr">
        <is>
          <t>How many encounters at Bluestone Memorial Hospital were hospital stays, meaning EncounterType is Inpatient OR Observation?</t>
        </is>
      </c>
      <c r="C13" s="49" t="n">
        <v>624</v>
      </c>
      <c r="D13" s="50" t="inlineStr">
        <is>
          <t>=SUM(COUNTIFS(Encounters!D2:D2725,"Bluestone Memorial Hospital",Encounters!C2:C2725,{"Inpatient","Observation"}))</t>
        </is>
      </c>
      <c r="E13" cm="1" s="19">
        <f t="array" ref="E13">SUM(COUNTIFS(Encounters!D2:D2725,"Bluestone Memorial Hospital",Encounters!C2:C2725,{"Inpatient","Observation"}))</f>
        <v/>
      </c>
      <c r="F13" s="19" t="inlineStr">
        <is>
          <t>One COUNTIFS can't say OR, because every row would need to be Inpatient and Observation at once. Add two counts instead: =COUNTIFS(…,"Inpatient")+COUNTIFS(…,"Observation"). The SUM version does the same thing in one formula. The array constant {"Inpatient","Observation"} makes COUNTIFS return two counts, and SUM adds them. This is safe because no row can match both values.</t>
        </is>
      </c>
    </row>
    <row r="14" ht="81" customHeight="1">
      <c r="A14" s="18" t="inlineStr">
        <is>
          <t>10</t>
        </is>
      </c>
      <c r="B14" s="19" t="inlineStr">
        <is>
          <t>What was the highest TotalCharges for an encounter whose DxDescription contains the word sepsis?</t>
        </is>
      </c>
      <c r="C14" s="51" t="n">
        <v>165467.2</v>
      </c>
      <c r="D14" s="50" t="inlineStr">
        <is>
          <t>=MAXIFS(Encounters!O2:O2725,Encounters!K2:K2725,"*sepsis*")</t>
        </is>
      </c>
      <c r="E14" cm="1" s="52">
        <f t="array" ref="E14">_xlfn.MAXIFS(Encounters!O2:O2725,Encounters!K2:K2725,"*sepsis*")</f>
        <v/>
      </c>
      <c r="F14" s="19" t="inlineStr">
        <is>
          <t>MAXIFS returns the largest value among the rows that pass every condition. "sepsis" means "sepsis with anything before or after it," which is how you write contains in a criterion. "sepsis" alone would only match a cell holding exactly that one word.</t>
        </is>
      </c>
    </row>
    <row r="15" ht="81" customHeight="1">
      <c r="A15" s="18" t="inlineStr">
        <is>
          <t>11</t>
        </is>
      </c>
      <c r="B15" s="19" t="inlineStr">
        <is>
          <t>Collections wants the oldest claim still waiting on an insurance company. What is the earliest SubmitDate among claims with ClaimStatus = Pending and a PayerName other than Self-Pay? Enter it as a date.</t>
        </is>
      </c>
      <c r="C15" s="55" t="n">
        <v>45940</v>
      </c>
      <c r="D15" s="50" t="inlineStr">
        <is>
          <t>=MINIFS(Claims!F2:F2667,Claims!I2:I2667,"Pending",Claims!C2:C2667,"&lt;&gt;Self-Pay")</t>
        </is>
      </c>
      <c r="E15" cm="1" s="56">
        <f t="array" ref="E15">_xlfn.MINIFS(Claims!F2:F2667,Claims!I2:I2667,"Pending",Claims!C2:C2667,"&lt;&gt;Self-Pay")</f>
        <v/>
      </c>
      <c r="F15" s="19" t="inlineStr">
        <is>
          <t>Dates are numbers, so the smallest SubmitDate is the oldest. "&lt;&gt;Self-Pay" keeps every payer except Self-Pay. Without it, the answer would be 01/04/2025: a self-pay balance the patient still owes, which belongs to a different work queue. If the cell shows a number like 45940, format it as a date.</t>
        </is>
      </c>
    </row>
    <row r="16" ht="111" customHeight="1">
      <c r="A16" s="18" t="inlineStr">
        <is>
          <t>12</t>
        </is>
      </c>
      <c r="B16" s="19" t="inlineStr">
        <is>
          <t>On the Payer Mix sheet, fill the yellow grid B5:E12 with ONE COUNTIFS formula: the number of encounters for the payer in column A and the encounter type in row 4. Type it in B5, then copy it across and down. Type the data ranges as cell addresses with $ signs instead of selecting Table columns (guide section 11 explains why). The gray cell adds up your grid.</t>
        </is>
      </c>
      <c r="C16" s="49" t="n">
        <v>2724</v>
      </c>
      <c r="D16" s="50" t="inlineStr">
        <is>
          <t>=COUNTIFS(Encounters!$N$2:$N$2725,$A5,Encounters!$C$2:$C$2725,B$4)</t>
        </is>
      </c>
      <c r="E16" cm="1" s="19">
        <f t="array" ref="E16">COUNTA(Encounters!A2:A2725)</f>
        <v/>
      </c>
      <c r="F16" s="19" t="inlineStr">
        <is>
          <t>The data ranges never move, so they get full $ signs. $A5 lets the row change but always reads column A, and B$4 lets the column change but always reads row 4. Every encounter has exactly one payer and one type, so a correct grid adds up to the number of rows on the Encounters sheet. Each row also matches the gray COUNTIF check in column G.</t>
        </is>
      </c>
    </row>
    <row r="17" ht="126" customHeight="1">
      <c r="A17" s="18" t="inlineStr">
        <is>
          <t>13</t>
        </is>
      </c>
      <c r="B17" s="19" t="inlineStr">
        <is>
          <t>What was the 30-day readmission rate for the Cardiovascular service line? Divide the Cardiovascular Inpatient stays with Readmit30 = Y by all Cardiovascular Inpatient stays. Enter it as a percentage.</t>
        </is>
      </c>
      <c r="C17" s="57" t="n">
        <v>0.1948051948051948</v>
      </c>
      <c r="D17" s="50" t="inlineStr">
        <is>
          <t>=COUNTIFS(Encounters!F2:F2725,"Cardiovascular",Encounters!C2:C2725,"Inpatient",Encounters!P2:P2725,"Y")/COUNTIFS(Encounters!F2:F2725,"Cardiovascular",Encounters!C2:C2725,"Inpatient")</t>
        </is>
      </c>
      <c r="E17" cm="1" s="58">
        <f t="array" ref="E17">COUNTIFS(Encounters!F2:F2725,"Cardiovascular",Encounters!C2:C2725,"Inpatient",Encounters!P2:P2725,"Y")/COUNTIFS(Encounters!F2:F2725,"Cardiovascular",Encounters!C2:C2725,"Inpatient")</f>
        <v/>
      </c>
      <c r="F17" s="19" t="inlineStr">
        <is>
          <t>The numerator is the denominator plus one extra condition (Readmit30 = Y). That's the pattern for every rate. The Inpatient criterion matters in both: the Cardiovascular service line also includes Cardiology Clinic visits, so COUNTIF(ServiceLine,"Cardiovascular") alone returns 119 instead of 77. Formal CMS measures also leave out some stays, such as deaths, transfers, and planned readmissions. This is the simple internal version.</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Bonus Key — Lesson 2.5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3"/>
    <row r="4">
      <c r="A4" s="48" t="inlineStr">
        <is>
          <t>#</t>
        </is>
      </c>
      <c r="B4" s="48" t="inlineStr">
        <is>
          <t>Task</t>
        </is>
      </c>
      <c r="C4" s="48" t="inlineStr">
        <is>
          <t>Answer</t>
        </is>
      </c>
      <c r="D4" s="48" t="inlineStr">
        <is>
          <t>Sample solution</t>
        </is>
      </c>
      <c r="E4" s="48" t="inlineStr">
        <is>
          <t>Live result</t>
        </is>
      </c>
      <c r="F4" s="48" t="inlineStr">
        <is>
          <t>Explanation</t>
        </is>
      </c>
    </row>
    <row r="5" ht="156" customHeight="1">
      <c r="A5" s="18" t="inlineStr">
        <is>
          <t>B1</t>
        </is>
      </c>
      <c r="B5" s="19" t="inlineStr">
        <is>
          <t>On the Claims sheet, fill the yellow DaysToPay column (L2:L2667) with PaidDate − SubmitDate, or an empty text string ("") when PaidDate is blank. Type one formula in L2. Claims is a Table, so Excel fills it down the whole column for you. If you click cells instead of typing their addresses, Excel writes [@PaidDate], which means the PaidDate on the same row. The gray cell averages your column across all claim types.</t>
        </is>
      </c>
      <c r="C5" s="59" t="n">
        <v>26.97339667458432</v>
      </c>
      <c r="D5" s="50" t="inlineStr">
        <is>
          <t>=IF(K2="","",K2-F2)</t>
        </is>
      </c>
      <c r="E5" cm="1" s="60">
        <f t="array" ref="E5">(SUM(Claims!K2:K2667)-SUMIFS(Claims!F2:F2667,Claims!K2:K2667,"&lt;&gt;"))/COUNT(Claims!K2:K2667)</f>
        <v/>
      </c>
      <c r="F5" s="19" t="inlineStr">
        <is>
          <t>The -IFS functions can only test and average columns that already exist. None of them can subtract two columns row by row, so a helper column does the subtraction first, and then AVERAGEIFS can average it by payer. Without the IF, an unpaid claim computes 0 − SubmitDate, a large negative number of days that wrecks every average. The empty text "" is skipped by AVERAGE and AVERAGEIFS. The key's live formula shows a no-helper version: the average of the differences is (sum of PaidDates − sum of their SubmitDates) ÷ the number of paid claims.</t>
        </is>
      </c>
    </row>
    <row r="6" ht="171" customHeight="1">
      <c r="A6" s="18" t="inlineStr">
        <is>
          <t>B2</t>
        </is>
      </c>
      <c r="B6"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6" s="57" t="n">
        <v>0.3085106382978723</v>
      </c>
      <c r="D6" s="50" t="inlineStr">
        <is>
          <t>B5: =COUNTIFS(Claims!$C$2:$C$2667,$A5,Claims!$D$2:$D$2667,"Inpatient",Claims!$I$2:$I$2667,"&lt;&gt;Pending")
C5: =SUM(COUNTIFS(Claims!$C$2:$C$2667,$A5,Claims!$D$2:$D$2667,"Inpatient",Claims!$I$2:$I$2667,{"Denied","Appealed"}))
D5: =IF(B5=0,"n/a",C5/B5)
Copy each one down to row 12.</t>
        </is>
      </c>
      <c r="E6" cm="1" s="58">
        <f t="array" ref="E6">SUM(COUNTIFS(Claims!C2:C2667,"Silverline Medicare Advantage",Claims!D2:D2667,"Inpatient",Claims!I2:I2667,{"Denied","Appealed"}))/COUNTIFS(Claims!C2:C2667,"Silverline Medicare Advantage",Claims!D2:D2667,"Inpatient",Claims!I2:I2667,"&lt;&gt;Pending")</f>
        <v/>
      </c>
      <c r="F6" s="19" t="inlineStr">
        <is>
          <t>Column B uses "&lt;&gt;Pending" to count every decision. Column C needs OR logic (Denied or Appealed), so it wraps COUNTIFS with an array constant in SUM. $A5 keeps each formula reading its own payer as you copy down. Workers' Compensation had no inpatient claims, so its row divides 0 by 0. IF(B5=0,"n/a",…) tests for exactly that case. IFERROR(C5/B5,"n/a") also works, but it would hide any other mistake too. Counting only Denied (not Appealed) would understate the worst payer's rate at 19.1%.</t>
        </is>
      </c>
    </row>
    <row r="7" ht="81" customHeight="1">
      <c r="A7" s="18" t="inlineStr">
        <is>
          <t>B3</t>
        </is>
      </c>
      <c r="B7" s="19" t="inlineStr">
        <is>
          <t>Which payer has the highest inpatient denial rate? Type its PayerName.</t>
        </is>
      </c>
      <c r="C7" s="49" t="inlineStr">
        <is>
          <t>Silverline Medicare Advantage</t>
        </is>
      </c>
      <c r="D7" s="50" t="inlineStr">
        <is>
          <t>Read it from column D of your scorecard: the largest rate belongs to Silverline Medicare Advantage.</t>
        </is>
      </c>
      <c r="E7" s="18" t="inlineStr">
        <is>
          <t>—</t>
        </is>
      </c>
      <c r="F7" s="19" t="inlineStr">
        <is>
          <t>Silverline Medicare Advantage denied 30.9% of its adjudicated inpatient claims. Next is State Medicaid at 17.7%, and traditional Medicare is at 7.1%. A formula can find the name for you too: =INDEX(A5:A12,MATCH(MAX(D5:D12),D5:D12,0)) on the Scorecard sheet. Lesson 2.6 teaches INDEX and MATCH.</t>
        </is>
      </c>
    </row>
    <row r="8" ht="81" customHeight="1">
      <c r="A8" s="18" t="inlineStr">
        <is>
          <t>B4</t>
        </is>
      </c>
      <c r="B8" s="19" t="inlineStr">
        <is>
          <t>Dollars at risk: for the payer you named in task B3, what is the total BilledAmount of its inpatient claims that are Denied or Appealed?</t>
        </is>
      </c>
      <c r="C8" s="51" t="n">
        <v>1031768.03</v>
      </c>
      <c r="D8" s="50" t="inlineStr">
        <is>
          <t>=SUM(SUMIFS(Claims!G2:G2667,Claims!C2:C2667,"Silverline Medicare Advantage",Claims!D2:D2667,"Inpatient",Claims!I2:I2667,{"Denied","Appealed"}))</t>
        </is>
      </c>
      <c r="E8" cm="1" s="52">
        <f t="array" ref="E8">SUM(SUMIFS(Claims!G2:G2667,Claims!C2:C2667,"Silverline Medicare Advantage",Claims!D2:D2667,"Inpatient",Claims!I2:I2667,{"Denied","Appealed"}))</f>
        <v/>
      </c>
      <c r="F8" s="19" t="inlineStr">
        <is>
          <t>SUMIFS with the array constant returns two totals (Denied and Appealed), and SUM adds them. About 1.0 million dollars of inpatient charges are tied up in denials with this one payer, which is the number that gets a contract meeting's attention.</t>
        </is>
      </c>
    </row>
    <row r="9" ht="171" customHeight="1">
      <c r="A9" s="18" t="inlineStr">
        <is>
          <t>B5</t>
        </is>
      </c>
      <c r="B9" s="19" t="inlineStr">
        <is>
          <t>Fill column E of the Scorecard with each payer's average DaysToPay for inpatient claims (show n/a when a payer has none). How many more days, on average, does the payer you named in task B3 take to pay an inpatient claim than Medicare does? Subtract the full-precision averages (point at the cells instead of retyping the 1-decimal values that column E displays), then round the difference to 1 decimal place.</t>
        </is>
      </c>
      <c r="C9" s="53" t="n">
        <v>14.1</v>
      </c>
      <c r="D9" s="50" t="inlineStr">
        <is>
          <t>=ROUND(AVERAGEIFS(Claims!L2:L2667,Claims!C2:C2667,"Silverline Medicare Advantage",Claims!D2:D2667,"Inpatient")-AVERAGEIFS(Claims!L2:L2667,Claims!C2:C2667,"Medicare",Claims!D2:D2667,"Inpatient"),1)</t>
        </is>
      </c>
      <c r="E9" cm="1" s="54">
        <f t="array" ref="E9">ROUND((SUMIFS(Claims!K2:K2667,Claims!C2:C2667,"Silverline Medicare Advantage",Claims!D2:D2667,"Inpatient",Claims!K2:K2667,"&lt;&gt;")-SUMIFS(Claims!F2:F2667,Claims!C2:C2667,"Silverline Medicare Advantage",Claims!D2:D2667,"Inpatient",Claims!K2:K2667,"&lt;&gt;"))/COUNTIFS(Claims!C2:C2667,"Silverline Medicare Advantage",Claims!D2:D2667,"Inpatient",Claims!K2:K2667,"&lt;&gt;")-(SUMIFS(Claims!K2:K2667,Claims!C2:C2667,"Medicare",Claims!D2:D2667,"Inpatient",Claims!K2:K2667,"&lt;&gt;")-SUMIFS(Claims!F2:F2667,Claims!C2:C2667,"Medicare",Claims!D2:D2667,"Inpatient",Claims!K2:K2667,"&lt;&gt;"))/COUNTIFS(Claims!C2:C2667,"Medicare",Claims!D2:D2667,"Inpatient",Claims!K2:K2667,"&lt;&gt;"),1)</f>
        <v/>
      </c>
      <c r="F9" s="19" t="inlineStr">
        <is>
          <t>E5 is =IFERROR(AVERAGEIFS(Claims!$L$2:$L$2667,Claims!$C$2:$C$2667,$A5,Claims!$D$2:$D$2667,"Inpatient"),"n/a"), copied down. AVERAGEIFS skips the "" cells of unpaid claims, and IFERROR turns Workers' Compensation's #DIV/0! into n/a. Here IFERROR is the right guard, because AVERAGEIFS has no separate denominator you could test. Silverline Medicare Advantage averages 28.95 days and Medicare 14.82, so =ROUND(Scorecard!E6-Scorecard!E5,1) in the answer cell gives the same 14.1. Compared with traditional Medicare, Silverline Medicare Advantage denies about four times as often and takes about two weeks longer to pay.</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2.5 — Conditional Counting &amp; Summing</dc:title>
  <dcterms:created xsi:type="dcterms:W3CDTF">2026-10-02T18:49:52Z</dcterms:created>
  <dcterms:modified xsi:type="dcterms:W3CDTF">2026-10-02T18:49:53Z</dcterms:modified>
</cp:coreProperties>
</file>
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Encounters" sheetId="3" state="visible" r:id="rId3"/>
    <sheet name="Patients" sheetId="4" state="visible" r:id="rId4"/>
    <sheet name="Referrals" sheetId="5" state="visible" r:id="rId5"/>
    <sheet name="Providers" sheetId="6" state="visible" r:id="rId6"/>
    <sheet name="Diagnoses" sheetId="7" state="visible" r:id="rId7"/>
    <sheet name="Payers" sheetId="8" state="visible" r:id="rId8"/>
    <sheet name="Departments" sheetId="9" state="visible" r:id="rId9"/>
    <sheet name="Claims" sheetId="10" state="visible" r:id="rId10"/>
    <sheet name="Budget" sheetId="11" state="visible" r:id="rId11"/>
    <sheet name="BMITiers" sheetId="12" state="visible" r:id="rId12"/>
    <sheet name="AgeBands" sheetId="13" state="visible" r:id="rId13"/>
    <sheet name="Bonus" sheetId="14" state="visible" r:id="rId14"/>
    <sheet name="Card" sheetId="15" state="visible" r:id="rId15"/>
    <sheet name="Answer Key" sheetId="16" state="hidden" r:id="rId16"/>
    <sheet name="Bonus Key" sheetId="17" state="hidden" r:id="rId17"/>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yyyy-mm-dd"/>
    <numFmt numFmtId="165" formatCode="mm/dd/yyyy"/>
    <numFmt numFmtId="166" formatCode="0.0"/>
  </numFmts>
  <fonts count="18">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font>
  </fonts>
  <fills count="10">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
      <patternFill patternType="solid">
        <fgColor rgb="00DDEBF7"/>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1">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3" borderId="2" applyAlignment="1" pivotButton="0" quotePrefix="0" xfId="0">
      <alignment horizontal="left" vertical="top"/>
    </xf>
    <xf numFmtId="0" fontId="1" fillId="0" borderId="1" applyAlignment="1" pivotButton="0" quotePrefix="0" xfId="0">
      <alignment vertical="top"/>
    </xf>
    <xf numFmtId="0" fontId="11" fillId="6" borderId="1" applyAlignment="1" pivotButton="0" quotePrefix="0" xfId="0">
      <alignment horizontal="right" vertical="top"/>
    </xf>
    <xf numFmtId="3" fontId="0" fillId="3" borderId="2" applyAlignment="1" pivotButton="0" quotePrefix="0" xfId="0">
      <alignment horizontal="right" vertical="top"/>
    </xf>
    <xf numFmtId="165" fontId="0" fillId="3" borderId="2" applyAlignment="1" pivotButton="0" quotePrefix="0" xfId="0">
      <alignment horizontal="right" vertical="top"/>
    </xf>
    <xf numFmtId="0" fontId="1" fillId="0" borderId="0" pivotButton="0" quotePrefix="0" xfId="0"/>
    <xf numFmtId="0" fontId="2" fillId="2" borderId="0" pivotButton="0" quotePrefix="0" xfId="0"/>
    <xf numFmtId="165" fontId="0" fillId="0" borderId="0" pivotButton="0" quotePrefix="0" xfId="0"/>
    <xf numFmtId="4" fontId="0" fillId="0" borderId="0" pivotButton="0" quotePrefix="0" xfId="0"/>
    <xf numFmtId="0" fontId="0" fillId="3" borderId="0" pivotButton="0" quotePrefix="0" xfId="0"/>
    <xf numFmtId="166" fontId="0" fillId="0" borderId="0" pivotButton="0" quotePrefix="0" xfId="0"/>
    <xf numFmtId="9" fontId="0" fillId="0" borderId="0" pivotButton="0" quotePrefix="0" xfId="0"/>
    <xf numFmtId="3" fontId="0" fillId="0" borderId="0" pivotButton="0" quotePrefix="0" xfId="0"/>
    <xf numFmtId="0" fontId="11" fillId="6" borderId="1" applyAlignment="1" pivotButton="0" quotePrefix="0" xfId="0">
      <alignment horizontal="left" vertical="top"/>
    </xf>
    <xf numFmtId="0" fontId="11" fillId="0" borderId="0" applyAlignment="1" pivotButton="0" quotePrefix="0" xfId="0">
      <alignment vertical="top" wrapText="1"/>
    </xf>
    <xf numFmtId="0" fontId="5" fillId="5" borderId="1" pivotButton="0" quotePrefix="0" xfId="0"/>
    <xf numFmtId="0" fontId="17" fillId="9" borderId="1" pivotButton="0" quotePrefix="0" xfId="0"/>
    <xf numFmtId="0" fontId="0" fillId="0" borderId="1" pivotButton="0" quotePrefix="0" xfId="0"/>
    <xf numFmtId="0" fontId="0" fillId="3" borderId="2" applyAlignment="1" pivotButton="0" quotePrefix="0" xfId="0">
      <alignment horizontal="left"/>
    </xf>
    <xf numFmtId="0" fontId="10" fillId="0" borderId="1" pivotButton="0" quotePrefix="0" xfId="0"/>
    <xf numFmtId="1" fontId="0" fillId="3" borderId="2" applyAlignment="1" pivotButton="0" quotePrefix="0" xfId="0">
      <alignment horizontal="left"/>
    </xf>
    <xf numFmtId="0" fontId="3" fillId="0" borderId="0" pivotButton="0" quotePrefix="0" xfId="0"/>
    <xf numFmtId="0" fontId="4" fillId="0" borderId="0" applyAlignment="1" pivotButton="0" quotePrefix="0" xfId="0">
      <alignment vertical="top" wrapText="1"/>
    </xf>
    <xf numFmtId="0" fontId="5" fillId="4" borderId="1" pivotButton="0" quotePrefix="0" xfId="0"/>
    <xf numFmtId="0" fontId="1" fillId="0" borderId="1" applyAlignment="1" pivotButton="0" quotePrefix="0" xfId="0">
      <alignment vertical="top" wrapText="1"/>
    </xf>
    <xf numFmtId="0" fontId="6" fillId="0" borderId="1" applyAlignment="1" pivotButton="0" quotePrefix="1" xfId="0">
      <alignment vertical="top" wrapText="1"/>
    </xf>
    <xf numFmtId="3" fontId="1" fillId="0" borderId="1" applyAlignment="1" pivotButton="0" quotePrefix="0" xfId="0">
      <alignment vertical="top" wrapText="1"/>
    </xf>
    <xf numFmtId="3" fontId="0" fillId="0" borderId="1" applyAlignment="1" pivotButton="0" quotePrefix="0" xfId="0">
      <alignment vertical="top" wrapText="1"/>
    </xf>
    <xf numFmtId="165" fontId="1"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 Id="rIdXlcMeta" Type="http://schemas.openxmlformats.org/officeDocument/2006/relationships/sheetMetadata" Target="metadata.xml"/></Relationships>
</file>

<file path=xl/tables/table1.xml><?xml version="1.0" encoding="utf-8"?>
<table xmlns="http://schemas.openxmlformats.org/spreadsheetml/2006/main" id="1" name="tblEncounters" displayName="tblEncounters" ref="A1:K530" headerRowCount="1">
  <autoFilter ref="A1:K530"/>
  <tableColumns count="11">
    <tableColumn id="1" name="EncounterID"/>
    <tableColumn id="2" name="PatientID"/>
    <tableColumn id="3" name="EncounterType"/>
    <tableColumn id="4" name="AdmitDate"/>
    <tableColumn id="5" name="DischargeDate"/>
    <tableColumn id="6" name="DeptID"/>
    <tableColumn id="7" name="AttendingProviderID"/>
    <tableColumn id="8" name="PrimaryDxCode"/>
    <tableColumn id="9" name="PayerID"/>
    <tableColumn id="10" name="TotalCharges"/>
    <tableColumn id="11" name="PayerName"/>
  </tableColumns>
  <tableStyleInfo name="TableStyleMedium2" showRowStripes="1"/>
</table>
</file>

<file path=xl/tables/table2.xml><?xml version="1.0" encoding="utf-8"?>
<table xmlns="http://schemas.openxmlformats.org/spreadsheetml/2006/main" id="2" name="tblPatients" displayName="tblPatients" ref="A1:L186" headerRowCount="1">
  <autoFilter ref="A1:L186"/>
  <tableColumns count="12">
    <tableColumn id="1" name="PatientID"/>
    <tableColumn id="2" name="MRN"/>
    <tableColumn id="3" name="FirstName"/>
    <tableColumn id="4" name="LastName"/>
    <tableColumn id="5" name="Sex"/>
    <tableColumn id="6" name="DOB"/>
    <tableColumn id="7" name="Age"/>
    <tableColumn id="8" name="HeightIn"/>
    <tableColumn id="9" name="WeightLb"/>
    <tableColumn id="10" name="BMI"/>
    <tableColumn id="11" name="PrimaryPayerID"/>
    <tableColumn id="12" name="BMICategory"/>
  </tableColumns>
  <tableStyleInfo name="TableStyleMedium2" showRowStripes="1"/>
</table>
</file>

<file path=xl/tables/table3.xml><?xml version="1.0" encoding="utf-8"?>
<table xmlns="http://schemas.openxmlformats.org/spreadsheetml/2006/main" id="3" name="tblReferrals" displayName="tblReferrals" ref="A1:G25" headerRowCount="1">
  <autoFilter ref="A1:G25"/>
  <tableColumns count="7">
    <tableColumn id="1" name="ReferralID"/>
    <tableColumn id="2" name="ReceivedDate"/>
    <tableColumn id="3" name="MRN"/>
    <tableColumn id="4" name="PatientName"/>
    <tableColumn id="5" name="ReferredBy"/>
    <tableColumn id="6" name="Reason"/>
    <tableColumn id="7" name="PatientID"/>
  </tableColumns>
  <tableStyleInfo name="TableStyleMedium2" showRowStripes="1"/>
</table>
</file>

<file path=xl/tables/table4.xml><?xml version="1.0" encoding="utf-8"?>
<table xmlns="http://schemas.openxmlformats.org/spreadsheetml/2006/main" id="4" name="tblProviders" displayName="tblProviders" ref="A1:G148" headerRowCount="1">
  <autoFilter ref="A1:G148"/>
  <tableColumns count="7">
    <tableColumn id="1" name="ProviderID"/>
    <tableColumn id="2" name="FirstName"/>
    <tableColumn id="3" name="LastName"/>
    <tableColumn id="4" name="Credential"/>
    <tableColumn id="5" name="Specialty"/>
    <tableColumn id="6" name="PrimaryDeptID"/>
    <tableColumn id="7" name="FacilityID"/>
  </tableColumns>
  <tableStyleInfo name="TableStyleMedium2" showRowStripes="1"/>
</table>
</file>

<file path=xl/tables/table5.xml><?xml version="1.0" encoding="utf-8"?>
<table xmlns="http://schemas.openxmlformats.org/spreadsheetml/2006/main" id="5" name="tblDiagnoses" displayName="tblDiagnoses" ref="A1:E52" headerRowCount="1">
  <autoFilter ref="A1:E52"/>
  <tableColumns count="5">
    <tableColumn id="1" name="DxCode"/>
    <tableColumn id="2" name="DxDescription"/>
    <tableColumn id="3" name="DxCategory"/>
    <tableColumn id="4" name="ChronicCondition"/>
    <tableColumn id="5" name="ExpectedLOS"/>
  </tableColumns>
  <tableStyleInfo name="TableStyleMedium2" showRowStripes="1"/>
</table>
</file>

<file path=xl/tables/table6.xml><?xml version="1.0" encoding="utf-8"?>
<table xmlns="http://schemas.openxmlformats.org/spreadsheetml/2006/main" id="6" name="tblPayers" displayName="tblPayers" ref="A1:F9" headerRowCount="1">
  <autoFilter ref="A1:F9"/>
  <tableColumns count="6">
    <tableColumn id="1" name="PayerID"/>
    <tableColumn id="2" name="PayerName"/>
    <tableColumn id="3" name="PayerType"/>
    <tableColumn id="4" name="AvgAllowedPctOfCharges"/>
    <tableColumn id="5" name="AvgDaysToPay"/>
    <tableColumn id="6" name="TimelyFilingDays"/>
  </tableColumns>
  <tableStyleInfo name="TableStyleMedium2" showRowStripes="1"/>
</table>
</file>

<file path=xl/tables/table7.xml><?xml version="1.0" encoding="utf-8"?>
<table xmlns="http://schemas.openxmlformats.org/spreadsheetml/2006/main" id="7" name="tblDepartments" displayName="tblDepartments" ref="A1:G32" headerRowCount="1">
  <autoFilter ref="A1:G32"/>
  <tableColumns count="7">
    <tableColumn id="1" name="DeptID"/>
    <tableColumn id="2" name="DeptName"/>
    <tableColumn id="3" name="FacilityID"/>
    <tableColumn id="4" name="ServiceLine"/>
    <tableColumn id="5" name="UnitType"/>
    <tableColumn id="6" name="StaffedBeds"/>
    <tableColumn id="7" name="CostCenter"/>
  </tableColumns>
  <tableStyleInfo name="TableStyleMedium2" showRowStripes="1"/>
</table>
</file>

<file path=xl/tables/table8.xml><?xml version="1.0" encoding="utf-8"?>
<table xmlns="http://schemas.openxmlformats.org/spreadsheetml/2006/main" id="8" name="tblClaims" displayName="tblClaims" ref="A1:H530" headerRowCount="1">
  <autoFilter ref="A1:H530"/>
  <tableColumns count="8">
    <tableColumn id="1" name="ClaimID"/>
    <tableColumn id="2" name="EncounterID"/>
    <tableColumn id="3" name="PayerID"/>
    <tableColumn id="4" name="SubmitDate"/>
    <tableColumn id="5" name="BilledAmount"/>
    <tableColumn id="6" name="PaidAmount"/>
    <tableColumn id="7" name="ClaimStatus"/>
    <tableColumn id="8" name="DenialReason"/>
  </tableColumns>
  <tableStyleInfo name="TableStyleMedium2" showRowStripes="1"/>
</table>
</file>

<file path=xl/tables/table9.xml><?xml version="1.0" encoding="utf-8"?>
<table xmlns="http://schemas.openxmlformats.org/spreadsheetml/2006/main" id="9" name="tblBudget" displayName="tblBudget" ref="A1:J32" headerRowCount="1">
  <autoFilter ref="A1:J32"/>
  <tableColumns count="10">
    <tableColumn id="1" name="DeptID"/>
    <tableColumn id="2" name="DeptName"/>
    <tableColumn id="3" name="FacilityID"/>
    <tableColumn id="4" name="Salaries &amp; Wages"/>
    <tableColumn id="5" name="Employee Benefits"/>
    <tableColumn id="6" name="Medical Supplies"/>
    <tableColumn id="7" name="Pharmaceuticals"/>
    <tableColumn id="8" name="Purchased Services"/>
    <tableColumn id="9" name="Equipment &amp; Maintenance"/>
    <tableColumn id="10" name="Other Operating"/>
  </tableColumns>
  <tableStyleInfo name="TableStyleMedium2" showRowStripes="1"/>
</table>
</file>

<file path=xl/tables/table10.xml><?xml version="1.0" encoding="utf-8"?>
<table xmlns="http://schemas.openxmlformats.org/spreadsheetml/2006/main" id="10" name="tblBMITiers" displayName="tblBMITiers" ref="A1:C7" headerRowCount="1">
  <autoFilter ref="A1:C7"/>
  <tableColumns count="3">
    <tableColumn id="1" name="MinBMI"/>
    <tableColumn id="2" name="Category"/>
    <tableColumn id="3" name="BMIRange"/>
  </tableColumns>
  <tableStyleInfo name="TableStyleMedium2" showRowStripes="1"/>
</table>
</file>

<file path=xl/tables/table11.xml><?xml version="1.0" encoding="utf-8"?>
<table xmlns="http://schemas.openxmlformats.org/spreadsheetml/2006/main" id="11" name="tblAgeBands" displayName="tblAgeBands" ref="A1:B7" headerRowCount="1">
  <autoFilter ref="A1:B7"/>
  <tableColumns count="2">
    <tableColumn id="1" name="MinAge"/>
    <tableColumn id="2" name="AgeBan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3.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tabColor rgb="001F4E79"/>
    <outlinePr summaryBelow="1" summaryRight="1"/>
    <pageSetUpPr fitToPage="1"/>
  </sheetPr>
  <dimension ref="B2:C4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2.6</t>
        </is>
      </c>
    </row>
    <row r="3">
      <c r="B3" s="2" t="inlineStr">
        <is>
          <t>Lookups: VLOOKUP, INDEX/MATCH &amp; XLOOKUP</t>
        </is>
      </c>
    </row>
    <row r="4">
      <c r="B4" s="3" t="inlineStr">
        <is>
          <t>Beginner → Intermediate  ·  about 125 minutes  ·  Bluestone Health System (fictional)</t>
        </is>
      </c>
    </row>
    <row r="6">
      <c r="B6" s="4" t="inlineStr">
        <is>
          <t>What you'll learn</t>
        </is>
      </c>
      <c r="C6" s="5" t="n"/>
    </row>
    <row r="7" ht="18" customHeight="1">
      <c r="B7" s="6" t="inlineStr">
        <is>
          <t>•</t>
        </is>
      </c>
      <c r="C7" s="7" t="inlineStr">
        <is>
          <t>Look up exact matches with VLOOKUP and XLOOKUP</t>
        </is>
      </c>
    </row>
    <row r="8" ht="18" customHeight="1">
      <c r="B8" s="6" t="inlineStr">
        <is>
          <t>•</t>
        </is>
      </c>
      <c r="C8" s="7" t="inlineStr">
        <is>
          <t>Use approximate matches for tiers like age bands and BMI categories</t>
        </is>
      </c>
    </row>
    <row r="9" ht="18" customHeight="1">
      <c r="B9" s="6" t="inlineStr">
        <is>
          <t>•</t>
        </is>
      </c>
      <c r="C9" s="7" t="inlineStr">
        <is>
          <t>Combine INDEX and MATCH for flexible and two-way lookups</t>
        </is>
      </c>
    </row>
    <row r="10" ht="18" customHeight="1">
      <c r="B10" s="6" t="inlineStr">
        <is>
          <t>•</t>
        </is>
      </c>
      <c r="C10" s="7" t="inlineStr">
        <is>
          <t>Handle missing values with IFNA and XLOOKUP's if_not_found</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https://github.com/lmansf/learn-excel/tree/main/02-formulas-functions/06-lookup-functions</t>
        </is>
      </c>
    </row>
    <row r="14" ht="18" customHeight="1">
      <c r="B14" s="8" t="inlineStr">
        <is>
          <t>2. Practice</t>
        </is>
      </c>
      <c r="C14" s="7" t="inlineStr">
        <is>
          <t>Go to the 'Practice' sheet. Type a formula or value into each yellow cell.</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Encounters is sorted by AdmitDate, oldest first. Patients holds only Dr. Nguyen's panel (185 patients), so a patient who isn't on the panel won't be found there. That's intentional (task 13).</t>
        </is>
      </c>
    </row>
    <row r="19" ht="33" customHeight="1">
      <c r="B19" s="8" t="inlineStr">
        <is>
          <t>Note</t>
        </is>
      </c>
      <c r="C19" s="7" t="inlineStr">
        <is>
          <t>MRN is stored as 8-character TEXT on purpose (leading zeros matter). The green triangles in that column are Excel's 'number stored as text' warning. Leave them as they are.</t>
        </is>
      </c>
    </row>
    <row r="20" ht="48" customHeight="1">
      <c r="B20" s="8" t="inlineStr">
        <is>
          <t>Note</t>
        </is>
      </c>
      <c r="C20" s="7" t="inlineStr">
        <is>
          <t>Every data sheet is an Excel Table. When you drag over a data sheet's column while typing a formula, Excel may write a Table reference such as tblPatients[LastName] instead of Patients!D2:D186. Both give the same result (Lesson 3.1 covers Tables).</t>
        </is>
      </c>
    </row>
    <row r="21" ht="33" customHeight="1">
      <c r="B21" s="8" t="inlineStr">
        <is>
          <t>Note</t>
        </is>
      </c>
      <c r="C21" s="7" t="inlineStr">
        <is>
          <t>BMI = 703 × WeightLb ÷ HeightIn², rounded to 1 decimal place. Age is the patient's age in completed years on 12/31/2025.</t>
        </is>
      </c>
    </row>
    <row r="22" ht="18" customHeight="1">
      <c r="B22" s="8" t="inlineStr">
        <is>
          <t>Note</t>
        </is>
      </c>
      <c r="C22" s="7" t="inlineStr">
        <is>
          <t>The Card sheet is for the bonus challenge.</t>
        </is>
      </c>
    </row>
    <row r="24">
      <c r="B24" s="4" t="inlineStr">
        <is>
          <t>Color legend</t>
        </is>
      </c>
      <c r="C24" s="5" t="n"/>
    </row>
    <row r="25" ht="18" customHeight="1">
      <c r="B25" s="9" t="inlineStr">
        <is>
          <t>Yellow cell</t>
        </is>
      </c>
      <c r="C25" s="7" t="inlineStr">
        <is>
          <t>Your answer goes here.</t>
        </is>
      </c>
    </row>
    <row r="26" ht="18" customHeight="1">
      <c r="B26" s="10" t="inlineStr">
        <is>
          <t>Gray cell</t>
        </is>
      </c>
      <c r="C26" s="7" t="inlineStr">
        <is>
          <t>Pre-filled summary formula. It reads the work you did on another sheet, so don't type over it.</t>
        </is>
      </c>
    </row>
    <row r="27" ht="18" customHeight="1">
      <c r="B27" s="11" t="inlineStr">
        <is>
          <t>✔ Correct</t>
        </is>
      </c>
      <c r="C27" s="7" t="inlineStr">
        <is>
          <t>Your answer matches the key.</t>
        </is>
      </c>
    </row>
    <row r="28" ht="18" customHeight="1">
      <c r="B28" s="12" t="inlineStr">
        <is>
          <t>✘ Not yet</t>
        </is>
      </c>
      <c r="C28" s="7" t="inlineStr">
        <is>
          <t>Not matching yet. Check the hint and try again.</t>
        </is>
      </c>
    </row>
    <row r="30">
      <c r="B30" s="4" t="inlineStr">
        <is>
          <t>Sheets in this workbook</t>
        </is>
      </c>
      <c r="C30" s="5" t="n"/>
    </row>
    <row r="31" ht="18" customHeight="1">
      <c r="B31" s="8" t="inlineStr">
        <is>
          <t>Practice</t>
        </is>
      </c>
      <c r="C31" s="7" t="inlineStr">
        <is>
          <t>13 practice tasks, each with a Check cell.</t>
        </is>
      </c>
    </row>
    <row r="32" ht="18" customHeight="1">
      <c r="B32" s="8" t="inlineStr">
        <is>
          <t>Encounters</t>
        </is>
      </c>
      <c r="C32" s="7" t="inlineStr">
        <is>
          <t>Data: 529 rows, in the Excel Table 'tblEncounters'</t>
        </is>
      </c>
    </row>
    <row r="33" ht="18" customHeight="1">
      <c r="B33" s="8" t="inlineStr">
        <is>
          <t>Patients</t>
        </is>
      </c>
      <c r="C33" s="7" t="inlineStr">
        <is>
          <t>Data: 185 rows, in the Excel Table 'tblPatients'</t>
        </is>
      </c>
    </row>
    <row r="34" ht="18" customHeight="1">
      <c r="B34" s="8" t="inlineStr">
        <is>
          <t>Referrals</t>
        </is>
      </c>
      <c r="C34" s="7" t="inlineStr">
        <is>
          <t>Data: 24 rows, in the Excel Table 'tblReferrals'</t>
        </is>
      </c>
    </row>
    <row r="35" ht="18" customHeight="1">
      <c r="B35" s="8" t="inlineStr">
        <is>
          <t>Providers</t>
        </is>
      </c>
      <c r="C35" s="7" t="inlineStr">
        <is>
          <t>Data: 147 rows, in the Excel Table 'tblProviders'</t>
        </is>
      </c>
    </row>
    <row r="36" ht="18" customHeight="1">
      <c r="B36" s="8" t="inlineStr">
        <is>
          <t>Diagnoses</t>
        </is>
      </c>
      <c r="C36" s="7" t="inlineStr">
        <is>
          <t>Data: 51 rows, in the Excel Table 'tblDiagnoses'</t>
        </is>
      </c>
    </row>
    <row r="37" ht="18" customHeight="1">
      <c r="B37" s="8" t="inlineStr">
        <is>
          <t>Payers</t>
        </is>
      </c>
      <c r="C37" s="7" t="inlineStr">
        <is>
          <t>Data: 8 rows, in the Excel Table 'tblPayers'</t>
        </is>
      </c>
    </row>
    <row r="38" ht="18" customHeight="1">
      <c r="B38" s="8" t="inlineStr">
        <is>
          <t>Departments</t>
        </is>
      </c>
      <c r="C38" s="7" t="inlineStr">
        <is>
          <t>Data: 31 rows, in the Excel Table 'tblDepartments'</t>
        </is>
      </c>
    </row>
    <row r="39" ht="18" customHeight="1">
      <c r="B39" s="8" t="inlineStr">
        <is>
          <t>Claims</t>
        </is>
      </c>
      <c r="C39" s="7" t="inlineStr">
        <is>
          <t>Data: 529 rows, in the Excel Table 'tblClaims'</t>
        </is>
      </c>
    </row>
    <row r="40" ht="18" customHeight="1">
      <c r="B40" s="8" t="inlineStr">
        <is>
          <t>Budget</t>
        </is>
      </c>
      <c r="C40" s="7" t="inlineStr">
        <is>
          <t>Data: 31 rows, in the Excel Table 'tblBudget'</t>
        </is>
      </c>
    </row>
    <row r="41" ht="18" customHeight="1">
      <c r="B41" s="8" t="inlineStr">
        <is>
          <t>BMITiers</t>
        </is>
      </c>
      <c r="C41" s="7" t="inlineStr">
        <is>
          <t>Data: 6 rows, in the Excel Table 'tblBMITiers'</t>
        </is>
      </c>
    </row>
    <row r="42" ht="18" customHeight="1">
      <c r="B42" s="8" t="inlineStr">
        <is>
          <t>AgeBands</t>
        </is>
      </c>
      <c r="C42" s="7" t="inlineStr">
        <is>
          <t>Data: 6 rows, in the Excel Table 'tblAgeBands'</t>
        </is>
      </c>
    </row>
    <row r="43" ht="18" customHeight="1">
      <c r="B43" s="8" t="inlineStr">
        <is>
          <t>Bonus</t>
        </is>
      </c>
      <c r="C43" s="7" t="inlineStr">
        <is>
          <t>The bonus challenge (5 parts).</t>
        </is>
      </c>
    </row>
    <row r="44" ht="63" customHeight="1">
      <c r="B44" s="8" t="inlineStr">
        <is>
          <t>About the data</t>
        </is>
      </c>
      <c r="C44" s="7" t="inlineStr">
        <is>
          <t>Every 2025 encounter (529) for the 185 patients on Dr. Isabella Nguyen's internal medicine panel, stored as IDs only, plus the lookup tables that turn those IDs into names: the panel roster, providers, ICD-10 diagnoses, payers, departments, and claims. Also a 2025 department budget grid, BMI and age-band tier tables, and the practice's December 2025 referral list.</t>
        </is>
      </c>
    </row>
    <row r="45" ht="18" customHeight="1">
      <c r="B45" s="8" t="inlineStr">
        <is>
          <t>Disclaimer</t>
        </is>
      </c>
      <c r="C4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2.6 · Practice</t>
        </is>
      </c>
    </row>
    <row r="2" ht="79" customHeight="1">
      <c r="A2" s="14" t="inlineStr">
        <is>
          <t>The Encounters sheet stores IDs only, so every answer comes from looking an ID up in another sheet. Write each answer as a formula. Your answers sit on this Practice sheet, so a reference to a data cell needs its sheet name, such as Encounters!B9. Click the cell on the data sheet and Excel writes the sheet name for you. Tasks 5, 7, and 13 are different: you type the formula on a data sheet and copy it down the column, and the gray cell here reads your column. Lock the lookup table's ranges with $ (F4, Mac: ⌘ + T) so they don't slide when you copy. If Excel writes a Table reference such as tblPayers[PayerName] instead, keep it, because a Table reference never slides when you copy it down.</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Encounter ENC110900 is on row 9 of the Encounters sheet. Use VLOOKUP with its PatientID (cell Encounters!B9) to return the patient's last name from the Patients sheet.</t>
        </is>
      </c>
      <c r="C6" s="20" t="inlineStr">
        <is>
          <t>VLOOKUP(lookup_value, table_array, col_index_num, FALSE). Count columns from PatientID (column 1) to LastName</t>
        </is>
      </c>
      <c r="D6" s="21" t="n"/>
      <c r="E6" s="22">
        <f>IF(IFERROR(D6="",FALSE),"",IF(IFERROR(OR(LOWER(TRIM(D6&amp;""))=LOWER(TRIM('Answer Key'!$C$5&amp;""))),FALSE),"✔ Correct","✘ Not yet"))</f>
        <v/>
      </c>
    </row>
    <row r="7" ht="36" customHeight="1">
      <c r="A7" s="18" t="inlineStr">
        <is>
          <t>2</t>
        </is>
      </c>
      <c r="B7" s="19" t="inlineStr">
        <is>
          <t>Encounter ENC111256 (Encounters row 20) was billed to payer PY02. Use VLOOKUP on the Payers sheet to return the payer's PayerType.</t>
        </is>
      </c>
      <c r="C7" s="20" t="inlineStr">
        <is>
          <t>Count the columns of the Payers table to find PayerType's column number</t>
        </is>
      </c>
      <c r="D7" s="21" t="n"/>
      <c r="E7" s="22">
        <f>IF(IFERROR(D7="",FALSE),"",IF(IFERROR(OR(LOWER(TRIM(D7&amp;""))=LOWER(TRIM('Answer Key'!$C$6&amp;""))),FALSE),"✔ Correct","✘ Not yet"))</f>
        <v/>
      </c>
    </row>
    <row r="8" ht="36" customHeight="1">
      <c r="A8" s="18" t="inlineStr">
        <is>
          <t>3</t>
        </is>
      </c>
      <c r="B8" s="19" t="inlineStr">
        <is>
          <t>Encounter ENC113996 (Encounters row 150) has primary diagnosis code E11.65. Use XLOOKUP to return its description from the Diagnoses sheet.</t>
        </is>
      </c>
      <c r="C8" s="20" t="inlineStr">
        <is>
          <t>XLOOKUP(lookup_value, lookup_array, return_array)</t>
        </is>
      </c>
      <c r="D8" s="21" t="n"/>
      <c r="E8" s="22">
        <f>IF(IFERROR(D8="",FALSE),"",IF(IFERROR(OR(LOWER(TRIM(D8&amp;""))=LOWER(TRIM('Answer Key'!$C$7&amp;""))),FALSE),"✔ Correct","✘ Not yet"))</f>
        <v/>
      </c>
    </row>
    <row r="9" ht="51" customHeight="1">
      <c r="A9" s="18" t="inlineStr">
        <is>
          <t>4</t>
        </is>
      </c>
      <c r="B9" s="19" t="inlineStr">
        <is>
          <t>Who attended encounter ENC112339 (Encounters row 73)? Use INDEX and MATCH with its AttendingProviderID to return the provider's Specialty from the Providers sheet.</t>
        </is>
      </c>
      <c r="C9" s="20" t="inlineStr">
        <is>
          <t>INDEX(Specialty column, MATCH(id, ProviderID column, 0))</t>
        </is>
      </c>
      <c r="D9" s="21" t="n"/>
      <c r="E9" s="22">
        <f>IF(IFERROR(D9="",FALSE),"",IF(IFERROR(OR(LOWER(TRIM(D9&amp;""))=LOWER(TRIM('Answer Key'!$C$8&amp;""))),FALSE),"✔ Correct","✘ Not yet"))</f>
        <v/>
      </c>
    </row>
    <row r="10" ht="51" customHeight="1">
      <c r="A10" s="18" t="inlineStr">
        <is>
          <t>5</t>
        </is>
      </c>
      <c r="B10" s="19" t="inlineStr">
        <is>
          <t>Fill the yellow PayerName column on the Encounters sheet with a lookup that returns each encounter's payer name (start in K2 and copy down to row 530). The gray cell counts how many encounters your column shows as exactly "Medicare".</t>
        </is>
      </c>
      <c r="C10" s="20" t="inlineStr">
        <is>
          <t>Lock the Payers ranges with $ before you copy the formula down</t>
        </is>
      </c>
      <c r="D10" cm="1" s="23">
        <f t="array" ref="D10">IF(COUNTA(Encounters!K2:K530)=0,"",COUNTIF(Encounters!K2:K530,"Medicare"))</f>
        <v/>
      </c>
      <c r="E10" s="22">
        <f>IF(IFERROR(D10="",FALSE),"",IF(IFERROR(AND(ISNUMBER(D10),OR(ABS(D10-'Answer Key'!$C$9)&lt;=0.0001)),FALSE),"✔ Correct","✘ Not yet"))</f>
        <v/>
      </c>
    </row>
    <row r="11" ht="51" customHeight="1">
      <c r="A11" s="18" t="inlineStr">
        <is>
          <t>6</t>
        </is>
      </c>
      <c r="B11" s="19" t="inlineStr">
        <is>
          <t>Patient PT10395 is on Patients row 21, and the Age column shows 75. Use VLOOKUP with an approximate match (TRUE) on the AgeBands sheet to return the patient's age band.</t>
        </is>
      </c>
      <c r="C11" s="20" t="inlineStr">
        <is>
          <t>An approximate match returns the band whose MinAge is the largest one that is ≤ the age</t>
        </is>
      </c>
      <c r="D11" s="21" t="n"/>
      <c r="E11" s="22">
        <f>IF(IFERROR(D11="",FALSE),"",IF(IFERROR(OR(LOWER(TRIM(D11&amp;""))=LOWER(TRIM('Answer Key'!$C$10&amp;""))),FALSE),"✔ Correct","✘ Not yet"))</f>
        <v/>
      </c>
    </row>
    <row r="12" ht="66" customHeight="1">
      <c r="A12" s="18" t="inlineStr">
        <is>
          <t>7</t>
        </is>
      </c>
      <c r="B12" s="19" t="inlineStr">
        <is>
          <t>Fill the yellow BMICategory column on the Patients sheet: look up each patient's BMI in the BMITiers table with an approximate match (start in L2 and copy down to row 186). The gray cell counts patients in any obesity class (BMI 30 or higher).</t>
        </is>
      </c>
      <c r="C12" s="20" t="inlineStr">
        <is>
          <t>VLOOKUP(…, TRUE) or XLOOKUP with match_mode -1 (exact match or next smaller item)</t>
        </is>
      </c>
      <c r="D12" cm="1" s="23">
        <f t="array" ref="D12">IF(COUNTA(Patients!L2:L186)=0,"",COUNTIF(Patients!L2:L186,"Obesity*"))</f>
        <v/>
      </c>
      <c r="E12" s="22">
        <f>IF(IFERROR(D12="",FALSE),"",IF(IFERROR(AND(ISNUMBER(D12),OR(ABS(D12-'Answer Key'!$C$11)&lt;=0.0001)),FALSE),"✔ Correct","✘ Not yet"))</f>
        <v/>
      </c>
    </row>
    <row r="13" ht="66" customHeight="1">
      <c r="A13" s="18" t="inlineStr">
        <is>
          <t>8</t>
        </is>
      </c>
      <c r="B13" s="19" t="inlineStr">
        <is>
          <t>The lab's interface file sent a result for MRN 50339. It arrived as a number, so its leading zeros were dropped, but the Patients sheet stores MRNs as 8-character text. Return the PatientID for this MRN. (PatientID is to the left of MRN, so VLOOKUP can't do it.)</t>
        </is>
      </c>
      <c r="C13" s="20" t="inlineStr">
        <is>
          <t>Rebuild the text MRN with TEXT(number,"00000000"), then use INDEX/MATCH or XLOOKUP</t>
        </is>
      </c>
      <c r="D13" s="21" t="n"/>
      <c r="E13" s="22">
        <f>IF(IFERROR(D13="",FALSE),"",IF(IFERROR(OR(LOWER(TRIM(D13&amp;""))=LOWER(TRIM('Answer Key'!$C$12&amp;""))),FALSE),"✔ Correct","✘ Not yet"))</f>
        <v/>
      </c>
    </row>
    <row r="14" ht="51" customHeight="1">
      <c r="A14" s="18" t="inlineStr">
        <is>
          <t>9</t>
        </is>
      </c>
      <c r="B14" s="19" t="inlineStr">
        <is>
          <t>A clinic note mentions "osteoarthritis of the right knee." Use a wildcard lookup to return the DxCode whose DxDescription contains the word knee.</t>
        </is>
      </c>
      <c r="C14" s="20" t="inlineStr">
        <is>
          <t>An asterisk wildcard stands for any characters, so put one on each side of the word. XLOOKUP needs match_mode 2</t>
        </is>
      </c>
      <c r="D14" s="21" t="n"/>
      <c r="E14" s="22">
        <f>IF(IFERROR(D14="",FALSE),"",IF(IFERROR(OR(LOWER(TRIM(D14&amp;""))=LOWER(TRIM('Answer Key'!$C$13&amp;""))),FALSE),"✔ Correct","✘ Not yet"))</f>
        <v/>
      </c>
    </row>
    <row r="15" ht="51" customHeight="1">
      <c r="A15" s="18" t="inlineStr">
        <is>
          <t>10</t>
        </is>
      </c>
      <c r="B15" s="19" t="inlineStr">
        <is>
          <t>Two-way lookup: on the Budget sheet, what is the 2025 Pharmaceuticals budget for department D130 (Intensive Care Unit at Bluestone Memorial Hospital)? Find the row by DeptID and the column by category name.</t>
        </is>
      </c>
      <c r="C15" s="20" t="inlineStr">
        <is>
          <t>INDEX(grid, MATCH(row label…), MATCH(column header…))</t>
        </is>
      </c>
      <c r="D15" s="24" t="n"/>
      <c r="E15" s="22">
        <f>IF(IFERROR(D15="",FALSE),"",IF(IFERROR(AND(ISNUMBER(D15),OR(ABS(D15-'Answer Key'!$C$14)&lt;=0.0001)),FALSE),"✔ Correct","✘ Not yet"))</f>
        <v/>
      </c>
    </row>
    <row r="16" ht="51" customHeight="1">
      <c r="A16" s="18" t="inlineStr">
        <is>
          <t>11</t>
        </is>
      </c>
      <c r="B16" s="19" t="inlineStr">
        <is>
          <t>What is the TOTAL 2025 expense budget (all seven categories) for department D400, Primary Care Clinic, where Dr. Nguyen practices? Use one lookup that returns the department's whole row of the grid, wrapped in SUM.</t>
        </is>
      </c>
      <c r="C16" s="20" t="inlineStr">
        <is>
          <t>XLOOKUP's return_array can be several columns wide</t>
        </is>
      </c>
      <c r="D16" s="24" t="n"/>
      <c r="E16" s="22">
        <f>IF(IFERROR(D16="",FALSE),"",IF(IFERROR(AND(ISNUMBER(D16),OR(ABS(D16-'Answer Key'!$C$15)&lt;=0.0001)),FALSE),"✔ Correct","✘ Not yet"))</f>
        <v/>
      </c>
    </row>
    <row r="17" ht="66" customHeight="1">
      <c r="A17" s="18" t="inlineStr">
        <is>
          <t>12</t>
        </is>
      </c>
      <c r="B17" s="19" t="inlineStr">
        <is>
          <t>Patient PT13163 visited more often than anyone else on the panel (11 encounters in 2025). The Encounters sheet is sorted oldest to newest. Use XLOOKUP searching from the bottom up to return the AdmitDate of this patient's most recent encounter.</t>
        </is>
      </c>
      <c r="C17" s="20" t="inlineStr">
        <is>
          <t>search_mode is XLOOKUP's 6th argument, and -1 searches last-to-first</t>
        </is>
      </c>
      <c r="D17" s="25" t="n"/>
      <c r="E17" s="22">
        <f>IF(IFERROR(D17="",FALSE),"",IF(IFERROR(AND(ISNUMBER(D17),INT(D17)=INT('Answer Key'!$C$16)),FALSE),"✔ Correct","✘ Not yet"))</f>
        <v/>
      </c>
    </row>
    <row r="18" ht="66" customHeight="1">
      <c r="A18" s="18" t="inlineStr">
        <is>
          <t>13</t>
        </is>
      </c>
      <c r="B18" s="19" t="inlineStr">
        <is>
          <t>The Referrals sheet lists 24 referrals received in December. Fill its yellow PatientID column by looking up each MRN in the Patients sheet (start in G2 and copy down to row 25). Patients who aren't on the panel yet must show the text Not found instead of #N/A. The gray cell counts the Not found rows.</t>
        </is>
      </c>
      <c r="C18" s="20" t="inlineStr">
        <is>
          <t>XLOOKUP's 4th argument (if_not_found), or wrap the lookup in IFNA(…, "Not found")</t>
        </is>
      </c>
      <c r="D18" cm="1" s="23">
        <f t="array" ref="D18">IF(COUNTA(Referrals!G2:G25)=0,"",COUNTIF(Referrals!G2:G25,"Not found"))</f>
        <v/>
      </c>
      <c r="E18" s="22">
        <f>IF(IFERROR(D18="",FALSE),"",IF(IFERROR(AND(ISNUMBER(D18),OR(ABS(D18-'Answer Key'!$C$17)&lt;=0.0001)),FALSE),"✔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K530"/>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5" customWidth="1" min="3" max="3"/>
    <col width="12" customWidth="1" min="4" max="4"/>
    <col width="15" customWidth="1" min="5" max="5"/>
    <col width="9" customWidth="1" min="6" max="6"/>
    <col width="20" customWidth="1" min="7" max="7"/>
    <col width="15" customWidth="1" min="8" max="8"/>
    <col width="9" customWidth="1" min="9" max="9"/>
    <col width="14" customWidth="1" min="10" max="10"/>
    <col width="30" customWidth="1" min="11" max="11"/>
  </cols>
  <sheetData>
    <row r="1">
      <c r="A1" s="26" t="inlineStr">
        <is>
          <t>EncounterID</t>
        </is>
      </c>
      <c r="B1" s="26" t="inlineStr">
        <is>
          <t>PatientID</t>
        </is>
      </c>
      <c r="C1" s="26" t="inlineStr">
        <is>
          <t>EncounterType</t>
        </is>
      </c>
      <c r="D1" s="26" t="inlineStr">
        <is>
          <t>AdmitDate</t>
        </is>
      </c>
      <c r="E1" s="26" t="inlineStr">
        <is>
          <t>DischargeDate</t>
        </is>
      </c>
      <c r="F1" s="26" t="inlineStr">
        <is>
          <t>DeptID</t>
        </is>
      </c>
      <c r="G1" s="26" t="inlineStr">
        <is>
          <t>AttendingProviderID</t>
        </is>
      </c>
      <c r="H1" s="26" t="inlineStr">
        <is>
          <t>PrimaryDxCode</t>
        </is>
      </c>
      <c r="I1" s="26" t="inlineStr">
        <is>
          <t>PayerID</t>
        </is>
      </c>
      <c r="J1" s="26" t="inlineStr">
        <is>
          <t>TotalCharges</t>
        </is>
      </c>
      <c r="K1" s="27" t="inlineStr">
        <is>
          <t>PayerName</t>
        </is>
      </c>
    </row>
    <row r="2">
      <c r="A2" t="inlineStr">
        <is>
          <t>ENC110744</t>
        </is>
      </c>
      <c r="B2" t="inlineStr">
        <is>
          <t>PT10444</t>
        </is>
      </c>
      <c r="C2" t="inlineStr">
        <is>
          <t>Inpatient</t>
        </is>
      </c>
      <c r="D2" s="28" t="n">
        <v>45658</v>
      </c>
      <c r="E2" s="28" t="n">
        <v>45660</v>
      </c>
      <c r="F2" t="inlineStr">
        <is>
          <t>D111</t>
        </is>
      </c>
      <c r="G2" t="inlineStr">
        <is>
          <t>PRV1087</t>
        </is>
      </c>
      <c r="H2" t="inlineStr">
        <is>
          <t>K35.80</t>
        </is>
      </c>
      <c r="I2" t="inlineStr">
        <is>
          <t>PY01</t>
        </is>
      </c>
      <c r="J2" s="29" t="n">
        <v>48442.42</v>
      </c>
      <c r="K2" s="30" t="n"/>
    </row>
    <row r="3">
      <c r="A3" t="inlineStr">
        <is>
          <t>ENC110776</t>
        </is>
      </c>
      <c r="B3" t="inlineStr">
        <is>
          <t>PT12169</t>
        </is>
      </c>
      <c r="C3" t="inlineStr">
        <is>
          <t>Outpatient</t>
        </is>
      </c>
      <c r="D3" s="28" t="n">
        <v>45659</v>
      </c>
      <c r="E3" s="28" t="n">
        <v>45659</v>
      </c>
      <c r="F3" t="inlineStr">
        <is>
          <t>D400</t>
        </is>
      </c>
      <c r="G3" t="inlineStr">
        <is>
          <t>PRV1137</t>
        </is>
      </c>
      <c r="H3" t="inlineStr">
        <is>
          <t>J06.9</t>
        </is>
      </c>
      <c r="I3" t="inlineStr">
        <is>
          <t>PY05</t>
        </is>
      </c>
      <c r="J3" s="29" t="n">
        <v>304.68</v>
      </c>
      <c r="K3" s="30" t="n"/>
    </row>
    <row r="4">
      <c r="A4" t="inlineStr">
        <is>
          <t>ENC110790</t>
        </is>
      </c>
      <c r="B4" t="inlineStr">
        <is>
          <t>PT10695</t>
        </is>
      </c>
      <c r="C4" t="inlineStr">
        <is>
          <t>Emergency</t>
        </is>
      </c>
      <c r="D4" s="28" t="n">
        <v>45659</v>
      </c>
      <c r="E4" s="28" t="n">
        <v>45659</v>
      </c>
      <c r="F4" t="inlineStr">
        <is>
          <t>D300</t>
        </is>
      </c>
      <c r="G4" t="inlineStr">
        <is>
          <t>PRV1025</t>
        </is>
      </c>
      <c r="H4" t="inlineStr">
        <is>
          <t>A08.4</t>
        </is>
      </c>
      <c r="I4" t="inlineStr">
        <is>
          <t>PY03</t>
        </is>
      </c>
      <c r="J4" s="29" t="n">
        <v>1281.12</v>
      </c>
      <c r="K4" s="30" t="n"/>
    </row>
    <row r="5">
      <c r="A5" t="inlineStr">
        <is>
          <t>ENC110816</t>
        </is>
      </c>
      <c r="B5" t="inlineStr">
        <is>
          <t>PT11138</t>
        </is>
      </c>
      <c r="C5" t="inlineStr">
        <is>
          <t>Outpatient</t>
        </is>
      </c>
      <c r="D5" s="28" t="n">
        <v>45660</v>
      </c>
      <c r="E5" s="28" t="n">
        <v>45660</v>
      </c>
      <c r="F5" t="inlineStr">
        <is>
          <t>D430</t>
        </is>
      </c>
      <c r="G5" t="inlineStr">
        <is>
          <t>PRV1114</t>
        </is>
      </c>
      <c r="H5" t="inlineStr">
        <is>
          <t>C50.911</t>
        </is>
      </c>
      <c r="I5" t="inlineStr">
        <is>
          <t>PY06</t>
        </is>
      </c>
      <c r="J5" s="29" t="n">
        <v>413.97</v>
      </c>
      <c r="K5" s="30" t="n"/>
    </row>
    <row r="6">
      <c r="A6" t="inlineStr">
        <is>
          <t>ENC110831</t>
        </is>
      </c>
      <c r="B6" t="inlineStr">
        <is>
          <t>PT13484</t>
        </is>
      </c>
      <c r="C6" t="inlineStr">
        <is>
          <t>Observation</t>
        </is>
      </c>
      <c r="D6" s="28" t="n">
        <v>45660</v>
      </c>
      <c r="E6" s="28" t="n">
        <v>45661</v>
      </c>
      <c r="F6" t="inlineStr">
        <is>
          <t>D195</t>
        </is>
      </c>
      <c r="G6" t="inlineStr">
        <is>
          <t>PRV1042</t>
        </is>
      </c>
      <c r="H6" t="inlineStr">
        <is>
          <t>R55</t>
        </is>
      </c>
      <c r="I6" t="inlineStr">
        <is>
          <t>PY02</t>
        </is>
      </c>
      <c r="J6" s="29" t="n">
        <v>4715.78</v>
      </c>
      <c r="K6" s="30" t="n"/>
    </row>
    <row r="7">
      <c r="A7" t="inlineStr">
        <is>
          <t>ENC110868</t>
        </is>
      </c>
      <c r="B7" t="inlineStr">
        <is>
          <t>PT10065</t>
        </is>
      </c>
      <c r="C7" t="inlineStr">
        <is>
          <t>Emergency</t>
        </is>
      </c>
      <c r="D7" s="28" t="n">
        <v>45662</v>
      </c>
      <c r="E7" s="28" t="n">
        <v>45662</v>
      </c>
      <c r="F7" t="inlineStr">
        <is>
          <t>D100</t>
        </is>
      </c>
      <c r="G7" t="inlineStr">
        <is>
          <t>PRV1009</t>
        </is>
      </c>
      <c r="H7" t="inlineStr">
        <is>
          <t>F41.9</t>
        </is>
      </c>
      <c r="I7" t="inlineStr">
        <is>
          <t>PY01</t>
        </is>
      </c>
      <c r="J7" s="29" t="n">
        <v>1451.71</v>
      </c>
      <c r="K7" s="30" t="n"/>
    </row>
    <row r="8">
      <c r="A8" t="inlineStr">
        <is>
          <t>ENC110893</t>
        </is>
      </c>
      <c r="B8" t="inlineStr">
        <is>
          <t>PT10085</t>
        </is>
      </c>
      <c r="C8" t="inlineStr">
        <is>
          <t>Outpatient</t>
        </is>
      </c>
      <c r="D8" s="28" t="n">
        <v>45663</v>
      </c>
      <c r="E8" s="28" t="n">
        <v>45663</v>
      </c>
      <c r="F8" t="inlineStr">
        <is>
          <t>D400</t>
        </is>
      </c>
      <c r="G8" t="inlineStr">
        <is>
          <t>PRV1127</t>
        </is>
      </c>
      <c r="H8" t="inlineStr">
        <is>
          <t>Z00.00</t>
        </is>
      </c>
      <c r="I8" t="inlineStr">
        <is>
          <t>PY04</t>
        </is>
      </c>
      <c r="J8" s="29" t="n">
        <v>276.25</v>
      </c>
      <c r="K8" s="30" t="n"/>
    </row>
    <row r="9">
      <c r="A9" t="inlineStr">
        <is>
          <t>ENC110900</t>
        </is>
      </c>
      <c r="B9" t="inlineStr">
        <is>
          <t>PT10264</t>
        </is>
      </c>
      <c r="C9" t="inlineStr">
        <is>
          <t>Inpatient</t>
        </is>
      </c>
      <c r="D9" s="28" t="n">
        <v>45663</v>
      </c>
      <c r="E9" s="28" t="n">
        <v>45666</v>
      </c>
      <c r="F9" t="inlineStr">
        <is>
          <t>D170</t>
        </is>
      </c>
      <c r="G9" t="inlineStr">
        <is>
          <t>PRV1092</t>
        </is>
      </c>
      <c r="H9" t="inlineStr">
        <is>
          <t>O80</t>
        </is>
      </c>
      <c r="I9" t="inlineStr">
        <is>
          <t>PY04</t>
        </is>
      </c>
      <c r="J9" s="29" t="n">
        <v>13917.66</v>
      </c>
      <c r="K9" s="30" t="n"/>
    </row>
    <row r="10">
      <c r="A10" t="inlineStr">
        <is>
          <t>ENC110954</t>
        </is>
      </c>
      <c r="B10" t="inlineStr">
        <is>
          <t>PT13517</t>
        </is>
      </c>
      <c r="C10" t="inlineStr">
        <is>
          <t>Inpatient</t>
        </is>
      </c>
      <c r="D10" s="28" t="n">
        <v>45664</v>
      </c>
      <c r="E10" s="28" t="n">
        <v>45668</v>
      </c>
      <c r="F10" t="inlineStr">
        <is>
          <t>D111</t>
        </is>
      </c>
      <c r="G10" t="inlineStr">
        <is>
          <t>PRV1029</t>
        </is>
      </c>
      <c r="H10" t="inlineStr">
        <is>
          <t>E11.65</t>
        </is>
      </c>
      <c r="I10" t="inlineStr">
        <is>
          <t>PY03</t>
        </is>
      </c>
      <c r="J10" s="29" t="n">
        <v>22267.85</v>
      </c>
      <c r="K10" s="30" t="n"/>
    </row>
    <row r="11">
      <c r="A11" t="inlineStr">
        <is>
          <t>ENC110975</t>
        </is>
      </c>
      <c r="B11" t="inlineStr">
        <is>
          <t>PT11701</t>
        </is>
      </c>
      <c r="C11" t="inlineStr">
        <is>
          <t>Inpatient</t>
        </is>
      </c>
      <c r="D11" s="28" t="n">
        <v>45665</v>
      </c>
      <c r="E11" s="28" t="n">
        <v>45666</v>
      </c>
      <c r="F11" t="inlineStr">
        <is>
          <t>D110</t>
        </is>
      </c>
      <c r="G11" t="inlineStr">
        <is>
          <t>PRV1084</t>
        </is>
      </c>
      <c r="H11" t="inlineStr">
        <is>
          <t>K80.20</t>
        </is>
      </c>
      <c r="I11" t="inlineStr">
        <is>
          <t>PY01</t>
        </is>
      </c>
      <c r="J11" s="29" t="n">
        <v>29564.23</v>
      </c>
      <c r="K11" s="30" t="n"/>
    </row>
    <row r="12">
      <c r="A12" t="inlineStr">
        <is>
          <t>ENC110967</t>
        </is>
      </c>
      <c r="B12" t="inlineStr">
        <is>
          <t>PT11138</t>
        </is>
      </c>
      <c r="C12" t="inlineStr">
        <is>
          <t>Inpatient</t>
        </is>
      </c>
      <c r="D12" s="28" t="n">
        <v>45665</v>
      </c>
      <c r="E12" s="28" t="n">
        <v>45668</v>
      </c>
      <c r="F12" t="inlineStr">
        <is>
          <t>D310</t>
        </is>
      </c>
      <c r="G12" t="inlineStr">
        <is>
          <t>PRV1051</t>
        </is>
      </c>
      <c r="H12" t="inlineStr">
        <is>
          <t>N39.0</t>
        </is>
      </c>
      <c r="I12" t="inlineStr">
        <is>
          <t>PY06</t>
        </is>
      </c>
      <c r="J12" s="29" t="n">
        <v>27045.66</v>
      </c>
      <c r="K12" s="30" t="n"/>
    </row>
    <row r="13">
      <c r="A13" t="inlineStr">
        <is>
          <t>ENC110989</t>
        </is>
      </c>
      <c r="B13" t="inlineStr">
        <is>
          <t>PT10444</t>
        </is>
      </c>
      <c r="C13" t="inlineStr">
        <is>
          <t>Emergency</t>
        </is>
      </c>
      <c r="D13" s="28" t="n">
        <v>45665</v>
      </c>
      <c r="E13" s="28" t="n">
        <v>45665</v>
      </c>
      <c r="F13" t="inlineStr">
        <is>
          <t>D100</t>
        </is>
      </c>
      <c r="G13" t="inlineStr">
        <is>
          <t>PRV1002</t>
        </is>
      </c>
      <c r="H13" t="inlineStr">
        <is>
          <t>J44.1</t>
        </is>
      </c>
      <c r="I13" t="inlineStr">
        <is>
          <t>PY01</t>
        </is>
      </c>
      <c r="J13" s="29" t="n">
        <v>3793.84</v>
      </c>
      <c r="K13" s="30" t="n"/>
    </row>
    <row r="14">
      <c r="A14" t="inlineStr">
        <is>
          <t>ENC111004</t>
        </is>
      </c>
      <c r="B14" t="inlineStr">
        <is>
          <t>PT11919</t>
        </is>
      </c>
      <c r="C14" t="inlineStr">
        <is>
          <t>Observation</t>
        </is>
      </c>
      <c r="D14" s="28" t="n">
        <v>45666</v>
      </c>
      <c r="E14" s="28" t="n">
        <v>45668</v>
      </c>
      <c r="F14" t="inlineStr">
        <is>
          <t>D195</t>
        </is>
      </c>
      <c r="G14" t="inlineStr">
        <is>
          <t>PRV1031</t>
        </is>
      </c>
      <c r="H14" t="inlineStr">
        <is>
          <t>L03.115</t>
        </is>
      </c>
      <c r="I14" t="inlineStr">
        <is>
          <t>PY02</t>
        </is>
      </c>
      <c r="J14" s="29" t="n">
        <v>9111.799999999999</v>
      </c>
      <c r="K14" s="30" t="n"/>
    </row>
    <row r="15">
      <c r="A15" t="inlineStr">
        <is>
          <t>ENC111021</t>
        </is>
      </c>
      <c r="B15" t="inlineStr">
        <is>
          <t>PT10513</t>
        </is>
      </c>
      <c r="C15" t="inlineStr">
        <is>
          <t>Emergency</t>
        </is>
      </c>
      <c r="D15" s="28" t="n">
        <v>45666</v>
      </c>
      <c r="E15" s="28" t="n">
        <v>45666</v>
      </c>
      <c r="F15" t="inlineStr">
        <is>
          <t>D100</t>
        </is>
      </c>
      <c r="G15" t="inlineStr">
        <is>
          <t>PRV1001</t>
        </is>
      </c>
      <c r="H15" t="inlineStr">
        <is>
          <t>G43.909</t>
        </is>
      </c>
      <c r="I15" t="inlineStr">
        <is>
          <t>PY04</t>
        </is>
      </c>
      <c r="J15" s="29" t="n">
        <v>1433.77</v>
      </c>
      <c r="K15" s="30" t="n"/>
    </row>
    <row r="16">
      <c r="A16" t="inlineStr">
        <is>
          <t>ENC111012</t>
        </is>
      </c>
      <c r="B16" t="inlineStr">
        <is>
          <t>PT10511</t>
        </is>
      </c>
      <c r="C16" t="inlineStr">
        <is>
          <t>Inpatient</t>
        </is>
      </c>
      <c r="D16" s="28" t="n">
        <v>45666</v>
      </c>
      <c r="E16" s="28" t="n">
        <v>45671</v>
      </c>
      <c r="F16" t="inlineStr">
        <is>
          <t>D110</t>
        </is>
      </c>
      <c r="G16" t="inlineStr">
        <is>
          <t>PRV1039</t>
        </is>
      </c>
      <c r="H16" t="inlineStr">
        <is>
          <t>J18.9</t>
        </is>
      </c>
      <c r="I16" t="inlineStr">
        <is>
          <t>PY06</t>
        </is>
      </c>
      <c r="J16" s="29" t="n">
        <v>19563.2</v>
      </c>
      <c r="K16" s="30" t="n"/>
    </row>
    <row r="17">
      <c r="A17" t="inlineStr">
        <is>
          <t>ENC111059</t>
        </is>
      </c>
      <c r="B17" t="inlineStr">
        <is>
          <t>PT13785</t>
        </is>
      </c>
      <c r="C17" t="inlineStr">
        <is>
          <t>Emergency</t>
        </is>
      </c>
      <c r="D17" s="28" t="n">
        <v>45667</v>
      </c>
      <c r="E17" s="28" t="n">
        <v>45667</v>
      </c>
      <c r="F17" t="inlineStr">
        <is>
          <t>D200</t>
        </is>
      </c>
      <c r="G17" t="inlineStr">
        <is>
          <t>PRV1016</t>
        </is>
      </c>
      <c r="H17" t="inlineStr">
        <is>
          <t>J06.9</t>
        </is>
      </c>
      <c r="I17" t="inlineStr">
        <is>
          <t>PY02</t>
        </is>
      </c>
      <c r="J17" s="29" t="n">
        <v>1491.72</v>
      </c>
      <c r="K17" s="30" t="n"/>
    </row>
    <row r="18">
      <c r="A18" t="inlineStr">
        <is>
          <t>ENC111076</t>
        </is>
      </c>
      <c r="B18" t="inlineStr">
        <is>
          <t>PT10073</t>
        </is>
      </c>
      <c r="C18" t="inlineStr">
        <is>
          <t>Emergency</t>
        </is>
      </c>
      <c r="D18" s="28" t="n">
        <v>45667</v>
      </c>
      <c r="E18" s="28" t="n">
        <v>45667</v>
      </c>
      <c r="F18" t="inlineStr">
        <is>
          <t>D100</t>
        </is>
      </c>
      <c r="G18" t="inlineStr">
        <is>
          <t>PRV1001</t>
        </is>
      </c>
      <c r="H18" t="inlineStr">
        <is>
          <t>J06.9</t>
        </is>
      </c>
      <c r="I18" t="inlineStr">
        <is>
          <t>PY01</t>
        </is>
      </c>
      <c r="J18" s="29" t="n">
        <v>1231.96</v>
      </c>
      <c r="K18" s="30" t="n"/>
    </row>
    <row r="19">
      <c r="A19" t="inlineStr">
        <is>
          <t>ENC111248</t>
        </is>
      </c>
      <c r="B19" t="inlineStr">
        <is>
          <t>PT12256</t>
        </is>
      </c>
      <c r="C19" t="inlineStr">
        <is>
          <t>Emergency</t>
        </is>
      </c>
      <c r="D19" s="28" t="n">
        <v>45672</v>
      </c>
      <c r="E19" s="28" t="n">
        <v>45672</v>
      </c>
      <c r="F19" t="inlineStr">
        <is>
          <t>D100</t>
        </is>
      </c>
      <c r="G19" t="inlineStr">
        <is>
          <t>PRV1004</t>
        </is>
      </c>
      <c r="H19" t="inlineStr">
        <is>
          <t>M54.50</t>
        </is>
      </c>
      <c r="I19" t="inlineStr">
        <is>
          <t>PY05</t>
        </is>
      </c>
      <c r="J19" s="29" t="n">
        <v>1582.78</v>
      </c>
      <c r="K19" s="30" t="n"/>
    </row>
    <row r="20">
      <c r="A20" t="inlineStr">
        <is>
          <t>ENC111256</t>
        </is>
      </c>
      <c r="B20" t="inlineStr">
        <is>
          <t>PT12958</t>
        </is>
      </c>
      <c r="C20" t="inlineStr">
        <is>
          <t>Emergency</t>
        </is>
      </c>
      <c r="D20" s="28" t="n">
        <v>45672</v>
      </c>
      <c r="E20" s="28" t="n">
        <v>45673</v>
      </c>
      <c r="F20" t="inlineStr">
        <is>
          <t>D100</t>
        </is>
      </c>
      <c r="G20" t="inlineStr">
        <is>
          <t>PRV1004</t>
        </is>
      </c>
      <c r="H20" t="inlineStr">
        <is>
          <t>R07.9</t>
        </is>
      </c>
      <c r="I20" t="inlineStr">
        <is>
          <t>PY02</t>
        </is>
      </c>
      <c r="J20" s="29" t="n">
        <v>5112.95</v>
      </c>
      <c r="K20" s="30" t="n"/>
    </row>
    <row r="21">
      <c r="A21" t="inlineStr">
        <is>
          <t>ENC111322</t>
        </is>
      </c>
      <c r="B21" t="inlineStr">
        <is>
          <t>PT12996</t>
        </is>
      </c>
      <c r="C21" t="inlineStr">
        <is>
          <t>Outpatient</t>
        </is>
      </c>
      <c r="D21" s="28" t="n">
        <v>45674</v>
      </c>
      <c r="E21" s="28" t="n">
        <v>45674</v>
      </c>
      <c r="F21" t="inlineStr">
        <is>
          <t>D400</t>
        </is>
      </c>
      <c r="G21" t="inlineStr">
        <is>
          <t>PRV1137</t>
        </is>
      </c>
      <c r="H21" t="inlineStr">
        <is>
          <t>Z00.00</t>
        </is>
      </c>
      <c r="I21" t="inlineStr">
        <is>
          <t>PY01</t>
        </is>
      </c>
      <c r="J21" s="29" t="n">
        <v>301.2</v>
      </c>
      <c r="K21" s="30" t="n"/>
    </row>
    <row r="22">
      <c r="A22" t="inlineStr">
        <is>
          <t>ENC111363</t>
        </is>
      </c>
      <c r="B22" t="inlineStr">
        <is>
          <t>PT13163</t>
        </is>
      </c>
      <c r="C22" t="inlineStr">
        <is>
          <t>Emergency</t>
        </is>
      </c>
      <c r="D22" s="28" t="n">
        <v>45676</v>
      </c>
      <c r="E22" s="28" t="n">
        <v>45676</v>
      </c>
      <c r="F22" t="inlineStr">
        <is>
          <t>D100</t>
        </is>
      </c>
      <c r="G22" t="inlineStr">
        <is>
          <t>PRV1003</t>
        </is>
      </c>
      <c r="H22" t="inlineStr">
        <is>
          <t>N39.0</t>
        </is>
      </c>
      <c r="I22" t="inlineStr">
        <is>
          <t>PY07</t>
        </is>
      </c>
      <c r="J22" s="29" t="n">
        <v>1251.14</v>
      </c>
      <c r="K22" s="30" t="n"/>
    </row>
    <row r="23">
      <c r="A23" t="inlineStr">
        <is>
          <t>ENC111365</t>
        </is>
      </c>
      <c r="B23" t="inlineStr">
        <is>
          <t>PT11851</t>
        </is>
      </c>
      <c r="C23" t="inlineStr">
        <is>
          <t>Emergency</t>
        </is>
      </c>
      <c r="D23" s="28" t="n">
        <v>45676</v>
      </c>
      <c r="E23" s="28" t="n">
        <v>45676</v>
      </c>
      <c r="F23" t="inlineStr">
        <is>
          <t>D100</t>
        </is>
      </c>
      <c r="G23" t="inlineStr">
        <is>
          <t>PRV1005</t>
        </is>
      </c>
      <c r="H23" t="inlineStr">
        <is>
          <t>A08.4</t>
        </is>
      </c>
      <c r="I23" t="inlineStr">
        <is>
          <t>PY01</t>
        </is>
      </c>
      <c r="J23" s="29" t="n">
        <v>832.97</v>
      </c>
      <c r="K23" s="30" t="n"/>
    </row>
    <row r="24">
      <c r="A24" t="inlineStr">
        <is>
          <t>ENC111373</t>
        </is>
      </c>
      <c r="B24" t="inlineStr">
        <is>
          <t>PT11791</t>
        </is>
      </c>
      <c r="C24" t="inlineStr">
        <is>
          <t>Emergency</t>
        </is>
      </c>
      <c r="D24" s="28" t="n">
        <v>45677</v>
      </c>
      <c r="E24" s="28" t="n">
        <v>45677</v>
      </c>
      <c r="F24" t="inlineStr">
        <is>
          <t>D100</t>
        </is>
      </c>
      <c r="G24" t="inlineStr">
        <is>
          <t>PRV1001</t>
        </is>
      </c>
      <c r="H24" t="inlineStr">
        <is>
          <t>R10.9</t>
        </is>
      </c>
      <c r="I24" t="inlineStr">
        <is>
          <t>PY01</t>
        </is>
      </c>
      <c r="J24" s="29" t="n">
        <v>3103</v>
      </c>
      <c r="K24" s="30" t="n"/>
    </row>
    <row r="25">
      <c r="A25" t="inlineStr">
        <is>
          <t>ENC111390</t>
        </is>
      </c>
      <c r="B25" t="inlineStr">
        <is>
          <t>PT13832</t>
        </is>
      </c>
      <c r="C25" t="inlineStr">
        <is>
          <t>Outpatient</t>
        </is>
      </c>
      <c r="D25" s="28" t="n">
        <v>45677</v>
      </c>
      <c r="E25" s="28" t="n">
        <v>45677</v>
      </c>
      <c r="F25" t="inlineStr">
        <is>
          <t>D430</t>
        </is>
      </c>
      <c r="G25" t="inlineStr">
        <is>
          <t>PRV1114</t>
        </is>
      </c>
      <c r="H25" t="inlineStr">
        <is>
          <t>Z51.11</t>
        </is>
      </c>
      <c r="I25" t="inlineStr">
        <is>
          <t>PY01</t>
        </is>
      </c>
      <c r="J25" s="29" t="n">
        <v>14358.29</v>
      </c>
      <c r="K25" s="30" t="n"/>
    </row>
    <row r="26">
      <c r="A26" t="inlineStr">
        <is>
          <t>ENC111404</t>
        </is>
      </c>
      <c r="B26" t="inlineStr">
        <is>
          <t>PT10463</t>
        </is>
      </c>
      <c r="C26" t="inlineStr">
        <is>
          <t>Outpatient</t>
        </is>
      </c>
      <c r="D26" s="28" t="n">
        <v>45677</v>
      </c>
      <c r="E26" s="28" t="n">
        <v>45677</v>
      </c>
      <c r="F26" t="inlineStr">
        <is>
          <t>D430</t>
        </is>
      </c>
      <c r="G26" t="inlineStr">
        <is>
          <t>PRV1113</t>
        </is>
      </c>
      <c r="H26" t="inlineStr">
        <is>
          <t>C50.911</t>
        </is>
      </c>
      <c r="I26" t="inlineStr">
        <is>
          <t>PY02</t>
        </is>
      </c>
      <c r="J26" s="29" t="n">
        <v>814.6</v>
      </c>
      <c r="K26" s="30" t="n"/>
    </row>
    <row r="27">
      <c r="A27" t="inlineStr">
        <is>
          <t>ENC111406</t>
        </is>
      </c>
      <c r="B27" t="inlineStr">
        <is>
          <t>PT13103</t>
        </is>
      </c>
      <c r="C27" t="inlineStr">
        <is>
          <t>Outpatient</t>
        </is>
      </c>
      <c r="D27" s="28" t="n">
        <v>45677</v>
      </c>
      <c r="E27" s="28" t="n">
        <v>45677</v>
      </c>
      <c r="F27" t="inlineStr">
        <is>
          <t>D400</t>
        </is>
      </c>
      <c r="G27" t="inlineStr">
        <is>
          <t>PRV1137</t>
        </is>
      </c>
      <c r="H27" t="inlineStr">
        <is>
          <t>J44.1</t>
        </is>
      </c>
      <c r="I27" t="inlineStr">
        <is>
          <t>PY06</t>
        </is>
      </c>
      <c r="J27" s="29" t="n">
        <v>419.56</v>
      </c>
      <c r="K27" s="30" t="n"/>
    </row>
    <row r="28">
      <c r="A28" t="inlineStr">
        <is>
          <t>ENC111429</t>
        </is>
      </c>
      <c r="B28" t="inlineStr">
        <is>
          <t>PT13524</t>
        </is>
      </c>
      <c r="C28" t="inlineStr">
        <is>
          <t>Outpatient</t>
        </is>
      </c>
      <c r="D28" s="28" t="n">
        <v>45678</v>
      </c>
      <c r="E28" s="28" t="n">
        <v>45678</v>
      </c>
      <c r="F28" t="inlineStr">
        <is>
          <t>D400</t>
        </is>
      </c>
      <c r="G28" t="inlineStr">
        <is>
          <t>PRV1124</t>
        </is>
      </c>
      <c r="H28" t="inlineStr">
        <is>
          <t>F32.9</t>
        </is>
      </c>
      <c r="I28" t="inlineStr">
        <is>
          <t>PY05</t>
        </is>
      </c>
      <c r="J28" s="29" t="n">
        <v>183.73</v>
      </c>
      <c r="K28" s="30" t="n"/>
    </row>
    <row r="29">
      <c r="A29" t="inlineStr">
        <is>
          <t>ENC111464</t>
        </is>
      </c>
      <c r="B29" t="inlineStr">
        <is>
          <t>PT13412</t>
        </is>
      </c>
      <c r="C29" t="inlineStr">
        <is>
          <t>Outpatient</t>
        </is>
      </c>
      <c r="D29" s="28" t="n">
        <v>45679</v>
      </c>
      <c r="E29" s="28" t="n">
        <v>45679</v>
      </c>
      <c r="F29" t="inlineStr">
        <is>
          <t>D440</t>
        </is>
      </c>
      <c r="G29" t="inlineStr">
        <is>
          <t>PRV1142</t>
        </is>
      </c>
      <c r="H29" t="inlineStr">
        <is>
          <t>E11.65</t>
        </is>
      </c>
      <c r="I29" t="inlineStr">
        <is>
          <t>PY01</t>
        </is>
      </c>
      <c r="J29" s="29" t="n">
        <v>314.83</v>
      </c>
      <c r="K29" s="30" t="n"/>
    </row>
    <row r="30">
      <c r="A30" t="inlineStr">
        <is>
          <t>ENC111502</t>
        </is>
      </c>
      <c r="B30" t="inlineStr">
        <is>
          <t>PT13163</t>
        </is>
      </c>
      <c r="C30" t="inlineStr">
        <is>
          <t>Outpatient</t>
        </is>
      </c>
      <c r="D30" s="28" t="n">
        <v>45680</v>
      </c>
      <c r="E30" s="28" t="n">
        <v>45680</v>
      </c>
      <c r="F30" t="inlineStr">
        <is>
          <t>D440</t>
        </is>
      </c>
      <c r="G30" t="inlineStr">
        <is>
          <t>PRV1141</t>
        </is>
      </c>
      <c r="H30" t="inlineStr">
        <is>
          <t>E11.9</t>
        </is>
      </c>
      <c r="I30" t="inlineStr">
        <is>
          <t>PY07</t>
        </is>
      </c>
      <c r="J30" s="29" t="n">
        <v>333.74</v>
      </c>
      <c r="K30" s="30" t="n"/>
    </row>
    <row r="31">
      <c r="A31" t="inlineStr">
        <is>
          <t>ENC111516</t>
        </is>
      </c>
      <c r="B31" t="inlineStr">
        <is>
          <t>PT12256</t>
        </is>
      </c>
      <c r="C31" t="inlineStr">
        <is>
          <t>Outpatient</t>
        </is>
      </c>
      <c r="D31" s="28" t="n">
        <v>45680</v>
      </c>
      <c r="E31" s="28" t="n">
        <v>45680</v>
      </c>
      <c r="F31" t="inlineStr">
        <is>
          <t>D400</t>
        </is>
      </c>
      <c r="G31" t="inlineStr">
        <is>
          <t>PRV1137</t>
        </is>
      </c>
      <c r="H31" t="inlineStr">
        <is>
          <t>J45.909</t>
        </is>
      </c>
      <c r="I31" t="inlineStr">
        <is>
          <t>PY05</t>
        </is>
      </c>
      <c r="J31" s="29" t="n">
        <v>439.38</v>
      </c>
      <c r="K31" s="30" t="n"/>
    </row>
    <row r="32">
      <c r="A32" t="inlineStr">
        <is>
          <t>ENC111557</t>
        </is>
      </c>
      <c r="B32" t="inlineStr">
        <is>
          <t>PT13831</t>
        </is>
      </c>
      <c r="C32" t="inlineStr">
        <is>
          <t>Outpatient</t>
        </is>
      </c>
      <c r="D32" s="28" t="n">
        <v>45681</v>
      </c>
      <c r="E32" s="28" t="n">
        <v>45681</v>
      </c>
      <c r="F32" t="inlineStr">
        <is>
          <t>D400</t>
        </is>
      </c>
      <c r="G32" t="inlineStr">
        <is>
          <t>PRV1137</t>
        </is>
      </c>
      <c r="H32" t="inlineStr">
        <is>
          <t>Z23</t>
        </is>
      </c>
      <c r="I32" t="inlineStr">
        <is>
          <t>PY05</t>
        </is>
      </c>
      <c r="J32" s="29" t="n">
        <v>97.76000000000001</v>
      </c>
      <c r="K32" s="30" t="n"/>
    </row>
    <row r="33">
      <c r="A33" t="inlineStr">
        <is>
          <t>ENC111573</t>
        </is>
      </c>
      <c r="B33" t="inlineStr">
        <is>
          <t>PT10351</t>
        </is>
      </c>
      <c r="C33" t="inlineStr">
        <is>
          <t>Outpatient</t>
        </is>
      </c>
      <c r="D33" s="28" t="n">
        <v>45681</v>
      </c>
      <c r="E33" s="28" t="n">
        <v>45681</v>
      </c>
      <c r="F33" t="inlineStr">
        <is>
          <t>D400</t>
        </is>
      </c>
      <c r="G33" t="inlineStr">
        <is>
          <t>PRV1137</t>
        </is>
      </c>
      <c r="H33" t="inlineStr">
        <is>
          <t>I10</t>
        </is>
      </c>
      <c r="I33" t="inlineStr">
        <is>
          <t>PY01</t>
        </is>
      </c>
      <c r="J33" s="29" t="n">
        <v>287.64</v>
      </c>
      <c r="K33" s="30" t="n"/>
    </row>
    <row r="34">
      <c r="A34" t="inlineStr">
        <is>
          <t>ENC111622</t>
        </is>
      </c>
      <c r="B34" t="inlineStr">
        <is>
          <t>PT10843</t>
        </is>
      </c>
      <c r="C34" t="inlineStr">
        <is>
          <t>Emergency</t>
        </is>
      </c>
      <c r="D34" s="28" t="n">
        <v>45683</v>
      </c>
      <c r="E34" s="28" t="n">
        <v>45683</v>
      </c>
      <c r="F34" t="inlineStr">
        <is>
          <t>D100</t>
        </is>
      </c>
      <c r="G34" t="inlineStr">
        <is>
          <t>PRV1009</t>
        </is>
      </c>
      <c r="H34" t="inlineStr">
        <is>
          <t>J45.909</t>
        </is>
      </c>
      <c r="I34" t="inlineStr">
        <is>
          <t>PY07</t>
        </is>
      </c>
      <c r="J34" s="29" t="n">
        <v>1638.03</v>
      </c>
      <c r="K34" s="30" t="n"/>
    </row>
    <row r="35">
      <c r="A35" t="inlineStr">
        <is>
          <t>ENC111635</t>
        </is>
      </c>
      <c r="B35" t="inlineStr">
        <is>
          <t>PT12070</t>
        </is>
      </c>
      <c r="C35" t="inlineStr">
        <is>
          <t>Emergency</t>
        </is>
      </c>
      <c r="D35" s="28" t="n">
        <v>45683</v>
      </c>
      <c r="E35" s="28" t="n">
        <v>45683</v>
      </c>
      <c r="F35" t="inlineStr">
        <is>
          <t>D100</t>
        </is>
      </c>
      <c r="G35" t="inlineStr">
        <is>
          <t>PRV1001</t>
        </is>
      </c>
      <c r="H35" t="inlineStr">
        <is>
          <t>F32.9</t>
        </is>
      </c>
      <c r="I35" t="inlineStr">
        <is>
          <t>PY04</t>
        </is>
      </c>
      <c r="J35" s="29" t="n">
        <v>3205.92</v>
      </c>
      <c r="K35" s="30" t="n"/>
    </row>
    <row r="36">
      <c r="A36" t="inlineStr">
        <is>
          <t>ENC111630</t>
        </is>
      </c>
      <c r="B36" t="inlineStr">
        <is>
          <t>PT10050</t>
        </is>
      </c>
      <c r="C36" t="inlineStr">
        <is>
          <t>Inpatient</t>
        </is>
      </c>
      <c r="D36" s="28" t="n">
        <v>45683</v>
      </c>
      <c r="E36" s="28" t="n">
        <v>45687</v>
      </c>
      <c r="F36" t="inlineStr">
        <is>
          <t>D310</t>
        </is>
      </c>
      <c r="G36" t="inlineStr">
        <is>
          <t>PRV1053</t>
        </is>
      </c>
      <c r="H36" t="inlineStr">
        <is>
          <t>E87.1</t>
        </is>
      </c>
      <c r="I36" t="inlineStr">
        <is>
          <t>PY04</t>
        </is>
      </c>
      <c r="J36" s="29" t="n">
        <v>23953.88</v>
      </c>
      <c r="K36" s="30" t="n"/>
    </row>
    <row r="37">
      <c r="A37" t="inlineStr">
        <is>
          <t>ENC111645</t>
        </is>
      </c>
      <c r="B37" t="inlineStr">
        <is>
          <t>PT10876</t>
        </is>
      </c>
      <c r="C37" t="inlineStr">
        <is>
          <t>Outpatient</t>
        </is>
      </c>
      <c r="D37" s="28" t="n">
        <v>45684</v>
      </c>
      <c r="E37" s="28" t="n">
        <v>45684</v>
      </c>
      <c r="F37" t="inlineStr">
        <is>
          <t>D430</t>
        </is>
      </c>
      <c r="G37" t="inlineStr">
        <is>
          <t>PRV1112</t>
        </is>
      </c>
      <c r="H37" t="inlineStr">
        <is>
          <t>C50.911</t>
        </is>
      </c>
      <c r="I37" t="inlineStr">
        <is>
          <t>PY03</t>
        </is>
      </c>
      <c r="J37" s="29" t="n">
        <v>464.35</v>
      </c>
      <c r="K37" s="30" t="n"/>
    </row>
    <row r="38">
      <c r="A38" t="inlineStr">
        <is>
          <t>ENC111653</t>
        </is>
      </c>
      <c r="B38" t="inlineStr">
        <is>
          <t>PT10413</t>
        </is>
      </c>
      <c r="C38" t="inlineStr">
        <is>
          <t>Outpatient</t>
        </is>
      </c>
      <c r="D38" s="28" t="n">
        <v>45684</v>
      </c>
      <c r="E38" s="28" t="n">
        <v>45684</v>
      </c>
      <c r="F38" t="inlineStr">
        <is>
          <t>D400</t>
        </is>
      </c>
      <c r="G38" t="inlineStr">
        <is>
          <t>PRV1138</t>
        </is>
      </c>
      <c r="H38" t="inlineStr">
        <is>
          <t>J06.9</t>
        </is>
      </c>
      <c r="I38" t="inlineStr">
        <is>
          <t>PY07</t>
        </is>
      </c>
      <c r="J38" s="29" t="n">
        <v>246.09</v>
      </c>
      <c r="K38" s="30" t="n"/>
    </row>
    <row r="39">
      <c r="A39" t="inlineStr">
        <is>
          <t>ENC111655</t>
        </is>
      </c>
      <c r="B39" t="inlineStr">
        <is>
          <t>PT10808</t>
        </is>
      </c>
      <c r="C39" t="inlineStr">
        <is>
          <t>Outpatient</t>
        </is>
      </c>
      <c r="D39" s="28" t="n">
        <v>45684</v>
      </c>
      <c r="E39" s="28" t="n">
        <v>45684</v>
      </c>
      <c r="F39" t="inlineStr">
        <is>
          <t>D410</t>
        </is>
      </c>
      <c r="G39" t="inlineStr">
        <is>
          <t>PRV1062</t>
        </is>
      </c>
      <c r="H39" t="inlineStr">
        <is>
          <t>I48.91</t>
        </is>
      </c>
      <c r="I39" t="inlineStr">
        <is>
          <t>PY01</t>
        </is>
      </c>
      <c r="J39" s="29" t="n">
        <v>409.24</v>
      </c>
      <c r="K39" s="30" t="n"/>
    </row>
    <row r="40">
      <c r="A40" t="inlineStr">
        <is>
          <t>ENC111690</t>
        </is>
      </c>
      <c r="B40" t="inlineStr">
        <is>
          <t>PT13688</t>
        </is>
      </c>
      <c r="C40" t="inlineStr">
        <is>
          <t>Outpatient</t>
        </is>
      </c>
      <c r="D40" s="28" t="n">
        <v>45685</v>
      </c>
      <c r="E40" s="28" t="n">
        <v>45685</v>
      </c>
      <c r="F40" t="inlineStr">
        <is>
          <t>D410</t>
        </is>
      </c>
      <c r="G40" t="inlineStr">
        <is>
          <t>PRV1062</t>
        </is>
      </c>
      <c r="H40" t="inlineStr">
        <is>
          <t>I48.91</t>
        </is>
      </c>
      <c r="I40" t="inlineStr">
        <is>
          <t>PY01</t>
        </is>
      </c>
      <c r="J40" s="29" t="n">
        <v>380.08</v>
      </c>
      <c r="K40" s="30" t="n"/>
    </row>
    <row r="41">
      <c r="A41" t="inlineStr">
        <is>
          <t>ENC111703</t>
        </is>
      </c>
      <c r="B41" t="inlineStr">
        <is>
          <t>PT10974</t>
        </is>
      </c>
      <c r="C41" t="inlineStr">
        <is>
          <t>Outpatient</t>
        </is>
      </c>
      <c r="D41" s="28" t="n">
        <v>45685</v>
      </c>
      <c r="E41" s="28" t="n">
        <v>45685</v>
      </c>
      <c r="F41" t="inlineStr">
        <is>
          <t>D400</t>
        </is>
      </c>
      <c r="G41" t="inlineStr">
        <is>
          <t>PRV1137</t>
        </is>
      </c>
      <c r="H41" t="inlineStr">
        <is>
          <t>Z23</t>
        </is>
      </c>
      <c r="I41" t="inlineStr">
        <is>
          <t>PY01</t>
        </is>
      </c>
      <c r="J41" s="29" t="n">
        <v>127.86</v>
      </c>
      <c r="K41" s="30" t="n"/>
    </row>
    <row r="42">
      <c r="A42" t="inlineStr">
        <is>
          <t>ENC111708</t>
        </is>
      </c>
      <c r="B42" t="inlineStr">
        <is>
          <t>PT11657</t>
        </is>
      </c>
      <c r="C42" t="inlineStr">
        <is>
          <t>Outpatient</t>
        </is>
      </c>
      <c r="D42" s="28" t="n">
        <v>45685</v>
      </c>
      <c r="E42" s="28" t="n">
        <v>45685</v>
      </c>
      <c r="F42" t="inlineStr">
        <is>
          <t>D400</t>
        </is>
      </c>
      <c r="G42" t="inlineStr">
        <is>
          <t>PRV1130</t>
        </is>
      </c>
      <c r="H42" t="inlineStr">
        <is>
          <t>M54.50</t>
        </is>
      </c>
      <c r="I42" t="inlineStr">
        <is>
          <t>PY08</t>
        </is>
      </c>
      <c r="J42" s="29" t="n">
        <v>215.19</v>
      </c>
      <c r="K42" s="30" t="n"/>
    </row>
    <row r="43">
      <c r="A43" t="inlineStr">
        <is>
          <t>ENC111747</t>
        </is>
      </c>
      <c r="B43" t="inlineStr">
        <is>
          <t>PT11335</t>
        </is>
      </c>
      <c r="C43" t="inlineStr">
        <is>
          <t>Outpatient</t>
        </is>
      </c>
      <c r="D43" s="28" t="n">
        <v>45686</v>
      </c>
      <c r="E43" s="28" t="n">
        <v>45686</v>
      </c>
      <c r="F43" t="inlineStr">
        <is>
          <t>D400</t>
        </is>
      </c>
      <c r="G43" t="inlineStr">
        <is>
          <t>PRV1137</t>
        </is>
      </c>
      <c r="H43" t="inlineStr">
        <is>
          <t>I10</t>
        </is>
      </c>
      <c r="I43" t="inlineStr">
        <is>
          <t>PY03</t>
        </is>
      </c>
      <c r="J43" s="29" t="n">
        <v>227.45</v>
      </c>
      <c r="K43" s="30" t="n"/>
    </row>
    <row r="44">
      <c r="A44" t="inlineStr">
        <is>
          <t>ENC111766</t>
        </is>
      </c>
      <c r="B44" t="inlineStr">
        <is>
          <t>PT10084</t>
        </is>
      </c>
      <c r="C44" t="inlineStr">
        <is>
          <t>Inpatient</t>
        </is>
      </c>
      <c r="D44" s="28" t="n">
        <v>45686</v>
      </c>
      <c r="E44" s="28" t="n">
        <v>45690</v>
      </c>
      <c r="F44" t="inlineStr">
        <is>
          <t>D160</t>
        </is>
      </c>
      <c r="G44" t="inlineStr">
        <is>
          <t>PRV1117</t>
        </is>
      </c>
      <c r="H44" t="inlineStr">
        <is>
          <t>I63.9</t>
        </is>
      </c>
      <c r="I44" t="inlineStr">
        <is>
          <t>PY02</t>
        </is>
      </c>
      <c r="J44" s="29" t="n">
        <v>18554.49</v>
      </c>
      <c r="K44" s="30" t="n"/>
    </row>
    <row r="45">
      <c r="A45" t="inlineStr">
        <is>
          <t>ENC111800</t>
        </is>
      </c>
      <c r="B45" t="inlineStr">
        <is>
          <t>PT12735</t>
        </is>
      </c>
      <c r="C45" t="inlineStr">
        <is>
          <t>Outpatient</t>
        </is>
      </c>
      <c r="D45" s="28" t="n">
        <v>45687</v>
      </c>
      <c r="E45" s="28" t="n">
        <v>45687</v>
      </c>
      <c r="F45" t="inlineStr">
        <is>
          <t>D400</t>
        </is>
      </c>
      <c r="G45" t="inlineStr">
        <is>
          <t>PRV1133</t>
        </is>
      </c>
      <c r="H45" t="inlineStr">
        <is>
          <t>Z23</t>
        </is>
      </c>
      <c r="I45" t="inlineStr">
        <is>
          <t>PY03</t>
        </is>
      </c>
      <c r="J45" s="29" t="n">
        <v>144.72</v>
      </c>
      <c r="K45" s="30" t="n"/>
    </row>
    <row r="46">
      <c r="A46" t="inlineStr">
        <is>
          <t>ENC111807</t>
        </is>
      </c>
      <c r="B46" t="inlineStr">
        <is>
          <t>PT11957</t>
        </is>
      </c>
      <c r="C46" t="inlineStr">
        <is>
          <t>Outpatient</t>
        </is>
      </c>
      <c r="D46" s="28" t="n">
        <v>45687</v>
      </c>
      <c r="E46" s="28" t="n">
        <v>45687</v>
      </c>
      <c r="F46" t="inlineStr">
        <is>
          <t>D400</t>
        </is>
      </c>
      <c r="G46" t="inlineStr">
        <is>
          <t>PRV1137</t>
        </is>
      </c>
      <c r="H46" t="inlineStr">
        <is>
          <t>J06.9</t>
        </is>
      </c>
      <c r="I46" t="inlineStr">
        <is>
          <t>PY06</t>
        </is>
      </c>
      <c r="J46" s="29" t="n">
        <v>481.8</v>
      </c>
      <c r="K46" s="30" t="n"/>
    </row>
    <row r="47">
      <c r="A47" t="inlineStr">
        <is>
          <t>ENC111831</t>
        </is>
      </c>
      <c r="B47" t="inlineStr">
        <is>
          <t>PT12850</t>
        </is>
      </c>
      <c r="C47" t="inlineStr">
        <is>
          <t>Outpatient</t>
        </is>
      </c>
      <c r="D47" s="28" t="n">
        <v>45688</v>
      </c>
      <c r="E47" s="28" t="n">
        <v>45688</v>
      </c>
      <c r="F47" t="inlineStr">
        <is>
          <t>D430</t>
        </is>
      </c>
      <c r="G47" t="inlineStr">
        <is>
          <t>PRV1114</t>
        </is>
      </c>
      <c r="H47" t="inlineStr">
        <is>
          <t>Z51.11</t>
        </is>
      </c>
      <c r="I47" t="inlineStr">
        <is>
          <t>PY06</t>
        </is>
      </c>
      <c r="J47" s="29" t="n">
        <v>6655.98</v>
      </c>
      <c r="K47" s="30" t="n"/>
    </row>
    <row r="48">
      <c r="A48" t="inlineStr">
        <is>
          <t>ENC111870</t>
        </is>
      </c>
      <c r="B48" t="inlineStr">
        <is>
          <t>PT11919</t>
        </is>
      </c>
      <c r="C48" t="inlineStr">
        <is>
          <t>Inpatient</t>
        </is>
      </c>
      <c r="D48" s="28" t="n">
        <v>45689</v>
      </c>
      <c r="E48" s="28" t="n">
        <v>45698</v>
      </c>
      <c r="F48" t="inlineStr">
        <is>
          <t>D120</t>
        </is>
      </c>
      <c r="G48" t="inlineStr">
        <is>
          <t>PRV1054</t>
        </is>
      </c>
      <c r="H48" t="inlineStr">
        <is>
          <t>I50.9</t>
        </is>
      </c>
      <c r="I48" t="inlineStr">
        <is>
          <t>PY02</t>
        </is>
      </c>
      <c r="J48" s="29" t="n">
        <v>41069.82</v>
      </c>
      <c r="K48" s="30" t="n"/>
    </row>
    <row r="49">
      <c r="A49" t="inlineStr">
        <is>
          <t>ENC111908</t>
        </is>
      </c>
      <c r="B49" t="inlineStr">
        <is>
          <t>PT10423</t>
        </is>
      </c>
      <c r="C49" t="inlineStr">
        <is>
          <t>Outpatient</t>
        </is>
      </c>
      <c r="D49" s="28" t="n">
        <v>45691</v>
      </c>
      <c r="E49" s="28" t="n">
        <v>45691</v>
      </c>
      <c r="F49" t="inlineStr">
        <is>
          <t>D400</t>
        </is>
      </c>
      <c r="G49" t="inlineStr">
        <is>
          <t>PRV1137</t>
        </is>
      </c>
      <c r="H49" t="inlineStr">
        <is>
          <t>F32.9</t>
        </is>
      </c>
      <c r="I49" t="inlineStr">
        <is>
          <t>PY02</t>
        </is>
      </c>
      <c r="J49" s="29" t="n">
        <v>400.73</v>
      </c>
      <c r="K49" s="30" t="n"/>
    </row>
    <row r="50">
      <c r="A50" t="inlineStr">
        <is>
          <t>ENC111915</t>
        </is>
      </c>
      <c r="B50" t="inlineStr">
        <is>
          <t>PT10511</t>
        </is>
      </c>
      <c r="C50" t="inlineStr">
        <is>
          <t>Outpatient</t>
        </is>
      </c>
      <c r="D50" s="28" t="n">
        <v>45691</v>
      </c>
      <c r="E50" s="28" t="n">
        <v>45691</v>
      </c>
      <c r="F50" t="inlineStr">
        <is>
          <t>D430</t>
        </is>
      </c>
      <c r="G50" t="inlineStr">
        <is>
          <t>PRV1112</t>
        </is>
      </c>
      <c r="H50" t="inlineStr">
        <is>
          <t>Z51.11</t>
        </is>
      </c>
      <c r="I50" t="inlineStr">
        <is>
          <t>PY06</t>
        </is>
      </c>
      <c r="J50" s="29" t="n">
        <v>11943.22</v>
      </c>
      <c r="K50" s="30" t="n"/>
    </row>
    <row r="51">
      <c r="A51" t="inlineStr">
        <is>
          <t>ENC111940</t>
        </is>
      </c>
      <c r="B51" t="inlineStr">
        <is>
          <t>PT12748</t>
        </is>
      </c>
      <c r="C51" t="inlineStr">
        <is>
          <t>Inpatient</t>
        </is>
      </c>
      <c r="D51" s="28" t="n">
        <v>45692</v>
      </c>
      <c r="E51" s="28" t="n">
        <v>45694</v>
      </c>
      <c r="F51" t="inlineStr">
        <is>
          <t>D170</t>
        </is>
      </c>
      <c r="G51" t="inlineStr">
        <is>
          <t>PRV1095</t>
        </is>
      </c>
      <c r="H51" t="inlineStr">
        <is>
          <t>O80</t>
        </is>
      </c>
      <c r="I51" t="inlineStr">
        <is>
          <t>PY06</t>
        </is>
      </c>
      <c r="J51" s="29" t="n">
        <v>15797.68</v>
      </c>
      <c r="K51" s="30" t="n"/>
    </row>
    <row r="52">
      <c r="A52" t="inlineStr">
        <is>
          <t>ENC111948</t>
        </is>
      </c>
      <c r="B52" t="inlineStr">
        <is>
          <t>PT12248</t>
        </is>
      </c>
      <c r="C52" t="inlineStr">
        <is>
          <t>Outpatient</t>
        </is>
      </c>
      <c r="D52" s="28" t="n">
        <v>45692</v>
      </c>
      <c r="E52" s="28" t="n">
        <v>45692</v>
      </c>
      <c r="F52" t="inlineStr">
        <is>
          <t>D430</t>
        </is>
      </c>
      <c r="G52" t="inlineStr">
        <is>
          <t>PRV1113</t>
        </is>
      </c>
      <c r="H52" t="inlineStr">
        <is>
          <t>Z51.11</t>
        </is>
      </c>
      <c r="I52" t="inlineStr">
        <is>
          <t>PY04</t>
        </is>
      </c>
      <c r="J52" s="29" t="n">
        <v>8783.5</v>
      </c>
      <c r="K52" s="30" t="n"/>
    </row>
    <row r="53">
      <c r="A53" t="inlineStr">
        <is>
          <t>ENC111971</t>
        </is>
      </c>
      <c r="B53" t="inlineStr">
        <is>
          <t>PT11194</t>
        </is>
      </c>
      <c r="C53" t="inlineStr">
        <is>
          <t>Observation</t>
        </is>
      </c>
      <c r="D53" s="28" t="n">
        <v>45692</v>
      </c>
      <c r="E53" s="28" t="n">
        <v>45693</v>
      </c>
      <c r="F53" t="inlineStr">
        <is>
          <t>D310</t>
        </is>
      </c>
      <c r="G53" t="inlineStr">
        <is>
          <t>PRV1052</t>
        </is>
      </c>
      <c r="H53" t="inlineStr">
        <is>
          <t>R07.9</t>
        </is>
      </c>
      <c r="I53" t="inlineStr">
        <is>
          <t>PY01</t>
        </is>
      </c>
      <c r="J53" s="29" t="n">
        <v>10434.15</v>
      </c>
      <c r="K53" s="30" t="n"/>
    </row>
    <row r="54">
      <c r="A54" t="inlineStr">
        <is>
          <t>ENC112002</t>
        </is>
      </c>
      <c r="B54" t="inlineStr">
        <is>
          <t>PT13629</t>
        </is>
      </c>
      <c r="C54" t="inlineStr">
        <is>
          <t>Outpatient</t>
        </is>
      </c>
      <c r="D54" s="28" t="n">
        <v>45693</v>
      </c>
      <c r="E54" s="28" t="n">
        <v>45693</v>
      </c>
      <c r="F54" t="inlineStr">
        <is>
          <t>D430</t>
        </is>
      </c>
      <c r="G54" t="inlineStr">
        <is>
          <t>PRV1114</t>
        </is>
      </c>
      <c r="H54" t="inlineStr">
        <is>
          <t>C34.90</t>
        </is>
      </c>
      <c r="I54" t="inlineStr">
        <is>
          <t>PY05</t>
        </is>
      </c>
      <c r="J54" s="29" t="n">
        <v>822.11</v>
      </c>
      <c r="K54" s="30" t="n"/>
    </row>
    <row r="55">
      <c r="A55" t="inlineStr">
        <is>
          <t>ENC112018</t>
        </is>
      </c>
      <c r="B55" t="inlineStr">
        <is>
          <t>PT11138</t>
        </is>
      </c>
      <c r="C55" t="inlineStr">
        <is>
          <t>Outpatient</t>
        </is>
      </c>
      <c r="D55" s="28" t="n">
        <v>45693</v>
      </c>
      <c r="E55" s="28" t="n">
        <v>45693</v>
      </c>
      <c r="F55" t="inlineStr">
        <is>
          <t>D430</t>
        </is>
      </c>
      <c r="G55" t="inlineStr">
        <is>
          <t>PRV1113</t>
        </is>
      </c>
      <c r="H55" t="inlineStr">
        <is>
          <t>Z51.11</t>
        </is>
      </c>
      <c r="I55" t="inlineStr">
        <is>
          <t>PY06</t>
        </is>
      </c>
      <c r="J55" s="29" t="n">
        <v>10682.86</v>
      </c>
      <c r="K55" s="30" t="n"/>
    </row>
    <row r="56">
      <c r="A56" t="inlineStr">
        <is>
          <t>ENC112054</t>
        </is>
      </c>
      <c r="B56" t="inlineStr">
        <is>
          <t>PT10843</t>
        </is>
      </c>
      <c r="C56" t="inlineStr">
        <is>
          <t>Emergency</t>
        </is>
      </c>
      <c r="D56" s="28" t="n">
        <v>45694</v>
      </c>
      <c r="E56" s="28" t="n">
        <v>45694</v>
      </c>
      <c r="F56" t="inlineStr">
        <is>
          <t>D100</t>
        </is>
      </c>
      <c r="G56" t="inlineStr">
        <is>
          <t>PRV1006</t>
        </is>
      </c>
      <c r="H56" t="inlineStr">
        <is>
          <t>J06.9</t>
        </is>
      </c>
      <c r="I56" t="inlineStr">
        <is>
          <t>PY07</t>
        </is>
      </c>
      <c r="J56" s="29" t="n">
        <v>1377.56</v>
      </c>
      <c r="K56" s="30" t="n"/>
    </row>
    <row r="57">
      <c r="A57" t="inlineStr">
        <is>
          <t>ENC112071</t>
        </is>
      </c>
      <c r="B57" t="inlineStr">
        <is>
          <t>PT10084</t>
        </is>
      </c>
      <c r="C57" t="inlineStr">
        <is>
          <t>Outpatient</t>
        </is>
      </c>
      <c r="D57" s="28" t="n">
        <v>45694</v>
      </c>
      <c r="E57" s="28" t="n">
        <v>45694</v>
      </c>
      <c r="F57" t="inlineStr">
        <is>
          <t>D410</t>
        </is>
      </c>
      <c r="G57" t="inlineStr">
        <is>
          <t>PRV1061</t>
        </is>
      </c>
      <c r="H57" t="inlineStr">
        <is>
          <t>I48.91</t>
        </is>
      </c>
      <c r="I57" t="inlineStr">
        <is>
          <t>PY02</t>
        </is>
      </c>
      <c r="J57" s="29" t="n">
        <v>167.4</v>
      </c>
      <c r="K57" s="30" t="n"/>
    </row>
    <row r="58">
      <c r="A58" t="inlineStr">
        <is>
          <t>ENC112121</t>
        </is>
      </c>
      <c r="B58" t="inlineStr">
        <is>
          <t>PT10981</t>
        </is>
      </c>
      <c r="C58" t="inlineStr">
        <is>
          <t>Emergency</t>
        </is>
      </c>
      <c r="D58" s="28" t="n">
        <v>45696</v>
      </c>
      <c r="E58" s="28" t="n">
        <v>45696</v>
      </c>
      <c r="F58" t="inlineStr">
        <is>
          <t>D300</t>
        </is>
      </c>
      <c r="G58" t="inlineStr">
        <is>
          <t>PRV1023</t>
        </is>
      </c>
      <c r="H58" t="inlineStr">
        <is>
          <t>K80.20</t>
        </is>
      </c>
      <c r="I58" t="inlineStr">
        <is>
          <t>PY01</t>
        </is>
      </c>
      <c r="J58" s="29" t="n">
        <v>1384.47</v>
      </c>
      <c r="K58" s="30" t="n"/>
    </row>
    <row r="59">
      <c r="A59" t="inlineStr">
        <is>
          <t>ENC112123</t>
        </is>
      </c>
      <c r="B59" t="inlineStr">
        <is>
          <t>PT10463</t>
        </is>
      </c>
      <c r="C59" t="inlineStr">
        <is>
          <t>Emergency</t>
        </is>
      </c>
      <c r="D59" s="28" t="n">
        <v>45696</v>
      </c>
      <c r="E59" s="28" t="n">
        <v>45696</v>
      </c>
      <c r="F59" t="inlineStr">
        <is>
          <t>D300</t>
        </is>
      </c>
      <c r="G59" t="inlineStr">
        <is>
          <t>PRV1023</t>
        </is>
      </c>
      <c r="H59" t="inlineStr">
        <is>
          <t>R07.9</t>
        </is>
      </c>
      <c r="I59" t="inlineStr">
        <is>
          <t>PY02</t>
        </is>
      </c>
      <c r="J59" s="29" t="n">
        <v>2433.62</v>
      </c>
      <c r="K59" s="30" t="n"/>
    </row>
    <row r="60">
      <c r="A60" t="inlineStr">
        <is>
          <t>ENC112125</t>
        </is>
      </c>
      <c r="B60" t="inlineStr">
        <is>
          <t>PT13770</t>
        </is>
      </c>
      <c r="C60" t="inlineStr">
        <is>
          <t>Emergency</t>
        </is>
      </c>
      <c r="D60" s="28" t="n">
        <v>45696</v>
      </c>
      <c r="E60" s="28" t="n">
        <v>45696</v>
      </c>
      <c r="F60" t="inlineStr">
        <is>
          <t>D100</t>
        </is>
      </c>
      <c r="G60" t="inlineStr">
        <is>
          <t>PRV1014</t>
        </is>
      </c>
      <c r="H60" t="inlineStr">
        <is>
          <t>N39.0</t>
        </is>
      </c>
      <c r="I60" t="inlineStr">
        <is>
          <t>PY03</t>
        </is>
      </c>
      <c r="J60" s="29" t="n">
        <v>2841.48</v>
      </c>
      <c r="K60" s="30" t="n"/>
    </row>
    <row r="61">
      <c r="A61" t="inlineStr">
        <is>
          <t>ENC112134</t>
        </is>
      </c>
      <c r="B61" t="inlineStr">
        <is>
          <t>PT10981</t>
        </is>
      </c>
      <c r="C61" t="inlineStr">
        <is>
          <t>Emergency</t>
        </is>
      </c>
      <c r="D61" s="28" t="n">
        <v>45696</v>
      </c>
      <c r="E61" s="28" t="n">
        <v>45697</v>
      </c>
      <c r="F61" t="inlineStr">
        <is>
          <t>D300</t>
        </is>
      </c>
      <c r="G61" t="inlineStr">
        <is>
          <t>PRV1022</t>
        </is>
      </c>
      <c r="H61" t="inlineStr">
        <is>
          <t>U07.1</t>
        </is>
      </c>
      <c r="I61" t="inlineStr">
        <is>
          <t>PY01</t>
        </is>
      </c>
      <c r="J61" s="29" t="n">
        <v>2421.07</v>
      </c>
      <c r="K61" s="30" t="n"/>
    </row>
    <row r="62">
      <c r="A62" t="inlineStr">
        <is>
          <t>ENC112140</t>
        </is>
      </c>
      <c r="B62" t="inlineStr">
        <is>
          <t>PT12092</t>
        </is>
      </c>
      <c r="C62" t="inlineStr">
        <is>
          <t>Emergency</t>
        </is>
      </c>
      <c r="D62" s="28" t="n">
        <v>45697</v>
      </c>
      <c r="E62" s="28" t="n">
        <v>45697</v>
      </c>
      <c r="F62" t="inlineStr">
        <is>
          <t>D200</t>
        </is>
      </c>
      <c r="G62" t="inlineStr">
        <is>
          <t>PRV1017</t>
        </is>
      </c>
      <c r="H62" t="inlineStr">
        <is>
          <t>J06.9</t>
        </is>
      </c>
      <c r="I62" t="inlineStr">
        <is>
          <t>PY03</t>
        </is>
      </c>
      <c r="J62" s="29" t="n">
        <v>667.09</v>
      </c>
      <c r="K62" s="30" t="n"/>
    </row>
    <row r="63">
      <c r="A63" t="inlineStr">
        <is>
          <t>ENC112190</t>
        </is>
      </c>
      <c r="B63" t="inlineStr">
        <is>
          <t>PT10444</t>
        </is>
      </c>
      <c r="C63" t="inlineStr">
        <is>
          <t>Inpatient</t>
        </is>
      </c>
      <c r="D63" s="28" t="n">
        <v>45698</v>
      </c>
      <c r="E63" s="28" t="n">
        <v>45700</v>
      </c>
      <c r="F63" t="inlineStr">
        <is>
          <t>D110</t>
        </is>
      </c>
      <c r="G63" t="inlineStr">
        <is>
          <t>PRV1036</t>
        </is>
      </c>
      <c r="H63" t="inlineStr">
        <is>
          <t>J44.1</t>
        </is>
      </c>
      <c r="I63" t="inlineStr">
        <is>
          <t>PY01</t>
        </is>
      </c>
      <c r="J63" s="29" t="n">
        <v>11960.67</v>
      </c>
      <c r="K63" s="30" t="n"/>
    </row>
    <row r="64">
      <c r="A64" t="inlineStr">
        <is>
          <t>ENC112214</t>
        </is>
      </c>
      <c r="B64" t="inlineStr">
        <is>
          <t>PT13966</t>
        </is>
      </c>
      <c r="C64" t="inlineStr">
        <is>
          <t>Outpatient</t>
        </is>
      </c>
      <c r="D64" s="28" t="n">
        <v>45699</v>
      </c>
      <c r="E64" s="28" t="n">
        <v>45699</v>
      </c>
      <c r="F64" t="inlineStr">
        <is>
          <t>D400</t>
        </is>
      </c>
      <c r="G64" t="inlineStr">
        <is>
          <t>PRV1137</t>
        </is>
      </c>
      <c r="H64" t="inlineStr">
        <is>
          <t>Z23</t>
        </is>
      </c>
      <c r="I64" t="inlineStr">
        <is>
          <t>PY02</t>
        </is>
      </c>
      <c r="J64" s="29" t="n">
        <v>120.55</v>
      </c>
      <c r="K64" s="30" t="n"/>
    </row>
    <row r="65">
      <c r="A65" t="inlineStr">
        <is>
          <t>ENC112216</t>
        </is>
      </c>
      <c r="B65" t="inlineStr">
        <is>
          <t>PT11266</t>
        </is>
      </c>
      <c r="C65" t="inlineStr">
        <is>
          <t>Outpatient</t>
        </is>
      </c>
      <c r="D65" s="28" t="n">
        <v>45699</v>
      </c>
      <c r="E65" s="28" t="n">
        <v>45699</v>
      </c>
      <c r="F65" t="inlineStr">
        <is>
          <t>D400</t>
        </is>
      </c>
      <c r="G65" t="inlineStr">
        <is>
          <t>PRV1137</t>
        </is>
      </c>
      <c r="H65" t="inlineStr">
        <is>
          <t>J06.9</t>
        </is>
      </c>
      <c r="I65" t="inlineStr">
        <is>
          <t>PY03</t>
        </is>
      </c>
      <c r="J65" s="29" t="n">
        <v>312.53</v>
      </c>
      <c r="K65" s="30" t="n"/>
    </row>
    <row r="66">
      <c r="A66" t="inlineStr">
        <is>
          <t>ENC112229</t>
        </is>
      </c>
      <c r="B66" t="inlineStr">
        <is>
          <t>PT11797</t>
        </is>
      </c>
      <c r="C66" t="inlineStr">
        <is>
          <t>Outpatient</t>
        </is>
      </c>
      <c r="D66" s="28" t="n">
        <v>45699</v>
      </c>
      <c r="E66" s="28" t="n">
        <v>45699</v>
      </c>
      <c r="F66" t="inlineStr">
        <is>
          <t>D400</t>
        </is>
      </c>
      <c r="G66" t="inlineStr">
        <is>
          <t>PRV1137</t>
        </is>
      </c>
      <c r="H66" t="inlineStr">
        <is>
          <t>J06.9</t>
        </is>
      </c>
      <c r="I66" t="inlineStr">
        <is>
          <t>PY06</t>
        </is>
      </c>
      <c r="J66" s="29" t="n">
        <v>310.35</v>
      </c>
      <c r="K66" s="30" t="n"/>
    </row>
    <row r="67">
      <c r="A67" t="inlineStr">
        <is>
          <t>ENC112238</t>
        </is>
      </c>
      <c r="B67" t="inlineStr">
        <is>
          <t>PT10772</t>
        </is>
      </c>
      <c r="C67" t="inlineStr">
        <is>
          <t>Outpatient</t>
        </is>
      </c>
      <c r="D67" s="28" t="n">
        <v>45699</v>
      </c>
      <c r="E67" s="28" t="n">
        <v>45699</v>
      </c>
      <c r="F67" t="inlineStr">
        <is>
          <t>D410</t>
        </is>
      </c>
      <c r="G67" t="inlineStr">
        <is>
          <t>PRV1062</t>
        </is>
      </c>
      <c r="H67" t="inlineStr">
        <is>
          <t>I48.91</t>
        </is>
      </c>
      <c r="I67" t="inlineStr">
        <is>
          <t>PY02</t>
        </is>
      </c>
      <c r="J67" s="29" t="n">
        <v>371.65</v>
      </c>
      <c r="K67" s="30" t="n"/>
    </row>
    <row r="68">
      <c r="A68" t="inlineStr">
        <is>
          <t>ENC112242</t>
        </is>
      </c>
      <c r="B68" t="inlineStr">
        <is>
          <t>PT10264</t>
        </is>
      </c>
      <c r="C68" t="inlineStr">
        <is>
          <t>Emergency</t>
        </is>
      </c>
      <c r="D68" s="28" t="n">
        <v>45699</v>
      </c>
      <c r="E68" s="28" t="n">
        <v>45699</v>
      </c>
      <c r="F68" t="inlineStr">
        <is>
          <t>D100</t>
        </is>
      </c>
      <c r="G68" t="inlineStr">
        <is>
          <t>PRV1003</t>
        </is>
      </c>
      <c r="H68" t="inlineStr">
        <is>
          <t>J45.909</t>
        </is>
      </c>
      <c r="I68" t="inlineStr">
        <is>
          <t>PY04</t>
        </is>
      </c>
      <c r="J68" s="29" t="n">
        <v>4132.17</v>
      </c>
      <c r="K68" s="30" t="n"/>
    </row>
    <row r="69">
      <c r="A69" t="inlineStr">
        <is>
          <t>ENC112248</t>
        </is>
      </c>
      <c r="B69" t="inlineStr">
        <is>
          <t>PT11657</t>
        </is>
      </c>
      <c r="C69" t="inlineStr">
        <is>
          <t>Emergency</t>
        </is>
      </c>
      <c r="D69" s="28" t="n">
        <v>45699</v>
      </c>
      <c r="E69" s="28" t="n">
        <v>45700</v>
      </c>
      <c r="F69" t="inlineStr">
        <is>
          <t>D100</t>
        </is>
      </c>
      <c r="G69" t="inlineStr">
        <is>
          <t>PRV1005</t>
        </is>
      </c>
      <c r="H69" t="inlineStr">
        <is>
          <t>I10</t>
        </is>
      </c>
      <c r="I69" t="inlineStr">
        <is>
          <t>PY06</t>
        </is>
      </c>
      <c r="J69" s="29" t="n">
        <v>1556.37</v>
      </c>
      <c r="K69" s="30" t="n"/>
    </row>
    <row r="70">
      <c r="A70" t="inlineStr">
        <is>
          <t>ENC112276</t>
        </is>
      </c>
      <c r="B70" t="inlineStr">
        <is>
          <t>PT13517</t>
        </is>
      </c>
      <c r="C70" t="inlineStr">
        <is>
          <t>Observation</t>
        </is>
      </c>
      <c r="D70" s="28" t="n">
        <v>45700</v>
      </c>
      <c r="E70" s="28" t="n">
        <v>45701</v>
      </c>
      <c r="F70" t="inlineStr">
        <is>
          <t>D195</t>
        </is>
      </c>
      <c r="G70" t="inlineStr">
        <is>
          <t>PRV1032</t>
        </is>
      </c>
      <c r="H70" t="inlineStr">
        <is>
          <t>K92.2</t>
        </is>
      </c>
      <c r="I70" t="inlineStr">
        <is>
          <t>PY03</t>
        </is>
      </c>
      <c r="J70" s="29" t="n">
        <v>7176.34</v>
      </c>
      <c r="K70" s="30" t="n"/>
    </row>
    <row r="71">
      <c r="A71" t="inlineStr">
        <is>
          <t>ENC112293</t>
        </is>
      </c>
      <c r="B71" t="inlineStr">
        <is>
          <t>PT13163</t>
        </is>
      </c>
      <c r="C71" t="inlineStr">
        <is>
          <t>Outpatient</t>
        </is>
      </c>
      <c r="D71" s="28" t="n">
        <v>45701</v>
      </c>
      <c r="E71" s="28" t="n">
        <v>45701</v>
      </c>
      <c r="F71" t="inlineStr">
        <is>
          <t>D420</t>
        </is>
      </c>
      <c r="G71" t="inlineStr">
        <is>
          <t>PRV1081</t>
        </is>
      </c>
      <c r="H71" t="inlineStr">
        <is>
          <t>M16.11</t>
        </is>
      </c>
      <c r="I71" t="inlineStr">
        <is>
          <t>PY07</t>
        </is>
      </c>
      <c r="J71" s="29" t="n">
        <v>219.14</v>
      </c>
      <c r="K71" s="30" t="n"/>
    </row>
    <row r="72">
      <c r="A72" t="inlineStr">
        <is>
          <t>ENC112304</t>
        </is>
      </c>
      <c r="B72" t="inlineStr">
        <is>
          <t>PT10882</t>
        </is>
      </c>
      <c r="C72" t="inlineStr">
        <is>
          <t>Outpatient</t>
        </is>
      </c>
      <c r="D72" s="28" t="n">
        <v>45701</v>
      </c>
      <c r="E72" s="28" t="n">
        <v>45701</v>
      </c>
      <c r="F72" t="inlineStr">
        <is>
          <t>D400</t>
        </is>
      </c>
      <c r="G72" t="inlineStr">
        <is>
          <t>PRV1139</t>
        </is>
      </c>
      <c r="H72" t="inlineStr">
        <is>
          <t>Z00.00</t>
        </is>
      </c>
      <c r="I72" t="inlineStr">
        <is>
          <t>PY04</t>
        </is>
      </c>
      <c r="J72" s="29" t="n">
        <v>455.73</v>
      </c>
      <c r="K72" s="30" t="n"/>
    </row>
    <row r="73">
      <c r="A73" t="inlineStr">
        <is>
          <t>ENC112339</t>
        </is>
      </c>
      <c r="B73" t="inlineStr">
        <is>
          <t>PT11659</t>
        </is>
      </c>
      <c r="C73" t="inlineStr">
        <is>
          <t>Inpatient</t>
        </is>
      </c>
      <c r="D73" s="28" t="n">
        <v>45702</v>
      </c>
      <c r="E73" s="28" t="n">
        <v>45706</v>
      </c>
      <c r="F73" t="inlineStr">
        <is>
          <t>D330</t>
        </is>
      </c>
      <c r="G73" t="inlineStr">
        <is>
          <t>PRV1072</t>
        </is>
      </c>
      <c r="H73" t="inlineStr">
        <is>
          <t>A41.9</t>
        </is>
      </c>
      <c r="I73" t="inlineStr">
        <is>
          <t>PY03</t>
        </is>
      </c>
      <c r="J73" s="29" t="n">
        <v>41912.67</v>
      </c>
      <c r="K73" s="30" t="n"/>
    </row>
    <row r="74">
      <c r="A74" t="inlineStr">
        <is>
          <t>ENC112353</t>
        </is>
      </c>
      <c r="B74" t="inlineStr">
        <is>
          <t>PT12671</t>
        </is>
      </c>
      <c r="C74" t="inlineStr">
        <is>
          <t>Outpatient</t>
        </is>
      </c>
      <c r="D74" s="28" t="n">
        <v>45702</v>
      </c>
      <c r="E74" s="28" t="n">
        <v>45702</v>
      </c>
      <c r="F74" t="inlineStr">
        <is>
          <t>D400</t>
        </is>
      </c>
      <c r="G74" t="inlineStr">
        <is>
          <t>PRV1137</t>
        </is>
      </c>
      <c r="H74" t="inlineStr">
        <is>
          <t>L03.115</t>
        </is>
      </c>
      <c r="I74" t="inlineStr">
        <is>
          <t>PY06</t>
        </is>
      </c>
      <c r="J74" s="29" t="n">
        <v>274.78</v>
      </c>
      <c r="K74" s="30" t="n"/>
    </row>
    <row r="75">
      <c r="A75" t="inlineStr">
        <is>
          <t>ENC112387</t>
        </is>
      </c>
      <c r="B75" t="inlineStr">
        <is>
          <t>PT13517</t>
        </is>
      </c>
      <c r="C75" t="inlineStr">
        <is>
          <t>Inpatient</t>
        </is>
      </c>
      <c r="D75" s="28" t="n">
        <v>45704</v>
      </c>
      <c r="E75" s="28" t="n">
        <v>45711</v>
      </c>
      <c r="F75" t="inlineStr">
        <is>
          <t>D150</t>
        </is>
      </c>
      <c r="G75" t="inlineStr">
        <is>
          <t>PRV1110</t>
        </is>
      </c>
      <c r="H75" t="inlineStr">
        <is>
          <t>D70.1</t>
        </is>
      </c>
      <c r="I75" t="inlineStr">
        <is>
          <t>PY03</t>
        </is>
      </c>
      <c r="J75" s="29" t="n">
        <v>46669.36</v>
      </c>
      <c r="K75" s="30" t="n"/>
    </row>
    <row r="76">
      <c r="A76" t="inlineStr">
        <is>
          <t>ENC112390</t>
        </is>
      </c>
      <c r="B76" t="inlineStr">
        <is>
          <t>PT10992</t>
        </is>
      </c>
      <c r="C76" t="inlineStr">
        <is>
          <t>Emergency</t>
        </is>
      </c>
      <c r="D76" s="28" t="n">
        <v>45704</v>
      </c>
      <c r="E76" s="28" t="n">
        <v>45704</v>
      </c>
      <c r="F76" t="inlineStr">
        <is>
          <t>D300</t>
        </is>
      </c>
      <c r="G76" t="inlineStr">
        <is>
          <t>PRV1022</t>
        </is>
      </c>
      <c r="H76" t="inlineStr">
        <is>
          <t>U07.1</t>
        </is>
      </c>
      <c r="I76" t="inlineStr">
        <is>
          <t>PY03</t>
        </is>
      </c>
      <c r="J76" s="29" t="n">
        <v>3249.09</v>
      </c>
      <c r="K76" s="30" t="n"/>
    </row>
    <row r="77">
      <c r="A77" t="inlineStr">
        <is>
          <t>ENC112425</t>
        </is>
      </c>
      <c r="B77" t="inlineStr">
        <is>
          <t>PT12787</t>
        </is>
      </c>
      <c r="C77" t="inlineStr">
        <is>
          <t>Inpatient</t>
        </is>
      </c>
      <c r="D77" s="28" t="n">
        <v>45705</v>
      </c>
      <c r="E77" s="28" t="n">
        <v>45708</v>
      </c>
      <c r="F77" t="inlineStr">
        <is>
          <t>D310</t>
        </is>
      </c>
      <c r="G77" t="inlineStr">
        <is>
          <t>PRV1050</t>
        </is>
      </c>
      <c r="H77" t="inlineStr">
        <is>
          <t>J44.1</t>
        </is>
      </c>
      <c r="I77" t="inlineStr">
        <is>
          <t>PY03</t>
        </is>
      </c>
      <c r="J77" s="29" t="n">
        <v>13882.72</v>
      </c>
      <c r="K77" s="30" t="n"/>
    </row>
    <row r="78">
      <c r="A78" t="inlineStr">
        <is>
          <t>ENC112456</t>
        </is>
      </c>
      <c r="B78" t="inlineStr">
        <is>
          <t>PT12850</t>
        </is>
      </c>
      <c r="C78" t="inlineStr">
        <is>
          <t>Outpatient</t>
        </is>
      </c>
      <c r="D78" s="28" t="n">
        <v>45706</v>
      </c>
      <c r="E78" s="28" t="n">
        <v>45706</v>
      </c>
      <c r="F78" t="inlineStr">
        <is>
          <t>D400</t>
        </is>
      </c>
      <c r="G78" t="inlineStr">
        <is>
          <t>PRV1138</t>
        </is>
      </c>
      <c r="H78" t="inlineStr">
        <is>
          <t>J06.9</t>
        </is>
      </c>
      <c r="I78" t="inlineStr">
        <is>
          <t>PY06</t>
        </is>
      </c>
      <c r="J78" s="29" t="n">
        <v>180.08</v>
      </c>
      <c r="K78" s="30" t="n"/>
    </row>
    <row r="79">
      <c r="A79" t="inlineStr">
        <is>
          <t>ENC112474</t>
        </is>
      </c>
      <c r="B79" t="inlineStr">
        <is>
          <t>PT12735</t>
        </is>
      </c>
      <c r="C79" t="inlineStr">
        <is>
          <t>Inpatient</t>
        </is>
      </c>
      <c r="D79" s="28" t="n">
        <v>45706</v>
      </c>
      <c r="E79" s="28" t="n">
        <v>45715</v>
      </c>
      <c r="F79" t="inlineStr">
        <is>
          <t>D110</t>
        </is>
      </c>
      <c r="G79" t="inlineStr">
        <is>
          <t>PRV1029</t>
        </is>
      </c>
      <c r="H79" t="inlineStr">
        <is>
          <t>J96.01</t>
        </is>
      </c>
      <c r="I79" t="inlineStr">
        <is>
          <t>PY03</t>
        </is>
      </c>
      <c r="J79" s="29" t="n">
        <v>75194</v>
      </c>
      <c r="K79" s="30" t="n"/>
    </row>
    <row r="80">
      <c r="A80" t="inlineStr">
        <is>
          <t>ENC112491</t>
        </is>
      </c>
      <c r="B80" t="inlineStr">
        <is>
          <t>PT11957</t>
        </is>
      </c>
      <c r="C80" t="inlineStr">
        <is>
          <t>Inpatient</t>
        </is>
      </c>
      <c r="D80" s="28" t="n">
        <v>45707</v>
      </c>
      <c r="E80" s="28" t="n">
        <v>45714</v>
      </c>
      <c r="F80" t="inlineStr">
        <is>
          <t>D210</t>
        </is>
      </c>
      <c r="G80" t="inlineStr">
        <is>
          <t>PRV1045</t>
        </is>
      </c>
      <c r="H80" t="inlineStr">
        <is>
          <t>I50.9</t>
        </is>
      </c>
      <c r="I80" t="inlineStr">
        <is>
          <t>PY06</t>
        </is>
      </c>
      <c r="J80" s="29" t="n">
        <v>32312.46</v>
      </c>
      <c r="K80" s="30" t="n"/>
    </row>
    <row r="81">
      <c r="A81" t="inlineStr">
        <is>
          <t>ENC112498</t>
        </is>
      </c>
      <c r="B81" t="inlineStr">
        <is>
          <t>PT10891</t>
        </is>
      </c>
      <c r="C81" t="inlineStr">
        <is>
          <t>Outpatient</t>
        </is>
      </c>
      <c r="D81" s="28" t="n">
        <v>45707</v>
      </c>
      <c r="E81" s="28" t="n">
        <v>45707</v>
      </c>
      <c r="F81" t="inlineStr">
        <is>
          <t>D400</t>
        </is>
      </c>
      <c r="G81" t="inlineStr">
        <is>
          <t>PRV1125</t>
        </is>
      </c>
      <c r="H81" t="inlineStr">
        <is>
          <t>J45.909</t>
        </is>
      </c>
      <c r="I81" t="inlineStr">
        <is>
          <t>PY01</t>
        </is>
      </c>
      <c r="J81" s="29" t="n">
        <v>320.34</v>
      </c>
      <c r="K81" s="30" t="n"/>
    </row>
    <row r="82">
      <c r="A82" t="inlineStr">
        <is>
          <t>ENC112518</t>
        </is>
      </c>
      <c r="B82" t="inlineStr">
        <is>
          <t>PT11790</t>
        </is>
      </c>
      <c r="C82" t="inlineStr">
        <is>
          <t>Emergency</t>
        </is>
      </c>
      <c r="D82" s="28" t="n">
        <v>45707</v>
      </c>
      <c r="E82" s="28" t="n">
        <v>45707</v>
      </c>
      <c r="F82" t="inlineStr">
        <is>
          <t>D100</t>
        </is>
      </c>
      <c r="G82" t="inlineStr">
        <is>
          <t>PRV1012</t>
        </is>
      </c>
      <c r="H82" t="inlineStr">
        <is>
          <t>R55</t>
        </is>
      </c>
      <c r="I82" t="inlineStr">
        <is>
          <t>PY01</t>
        </is>
      </c>
      <c r="J82" s="29" t="n">
        <v>3760.62</v>
      </c>
      <c r="K82" s="30" t="n"/>
    </row>
    <row r="83">
      <c r="A83" t="inlineStr">
        <is>
          <t>ENC112519</t>
        </is>
      </c>
      <c r="B83" t="inlineStr">
        <is>
          <t>PT12671</t>
        </is>
      </c>
      <c r="C83" t="inlineStr">
        <is>
          <t>Emergency</t>
        </is>
      </c>
      <c r="D83" s="28" t="n">
        <v>45707</v>
      </c>
      <c r="E83" s="28" t="n">
        <v>45707</v>
      </c>
      <c r="F83" t="inlineStr">
        <is>
          <t>D200</t>
        </is>
      </c>
      <c r="G83" t="inlineStr">
        <is>
          <t>PRV1019</t>
        </is>
      </c>
      <c r="H83" t="inlineStr">
        <is>
          <t>R07.9</t>
        </is>
      </c>
      <c r="I83" t="inlineStr">
        <is>
          <t>PY06</t>
        </is>
      </c>
      <c r="J83" s="29" t="n">
        <v>2374.12</v>
      </c>
      <c r="K83" s="30" t="n"/>
    </row>
    <row r="84">
      <c r="A84" t="inlineStr">
        <is>
          <t>ENC112530</t>
        </is>
      </c>
      <c r="B84" t="inlineStr">
        <is>
          <t>PT10264</t>
        </is>
      </c>
      <c r="C84" t="inlineStr">
        <is>
          <t>Emergency</t>
        </is>
      </c>
      <c r="D84" s="28" t="n">
        <v>45707</v>
      </c>
      <c r="E84" s="28" t="n">
        <v>45708</v>
      </c>
      <c r="F84" t="inlineStr">
        <is>
          <t>D100</t>
        </is>
      </c>
      <c r="G84" t="inlineStr">
        <is>
          <t>PRV1004</t>
        </is>
      </c>
      <c r="H84" t="inlineStr">
        <is>
          <t>J45.909</t>
        </is>
      </c>
      <c r="I84" t="inlineStr">
        <is>
          <t>PY04</t>
        </is>
      </c>
      <c r="J84" s="29" t="n">
        <v>2632.22</v>
      </c>
      <c r="K84" s="30" t="n"/>
    </row>
    <row r="85">
      <c r="A85" t="inlineStr">
        <is>
          <t>ENC112551</t>
        </is>
      </c>
      <c r="B85" t="inlineStr">
        <is>
          <t>PT10974</t>
        </is>
      </c>
      <c r="C85" t="inlineStr">
        <is>
          <t>Outpatient</t>
        </is>
      </c>
      <c r="D85" s="28" t="n">
        <v>45708</v>
      </c>
      <c r="E85" s="28" t="n">
        <v>45708</v>
      </c>
      <c r="F85" t="inlineStr">
        <is>
          <t>D430</t>
        </is>
      </c>
      <c r="G85" t="inlineStr">
        <is>
          <t>PRV1113</t>
        </is>
      </c>
      <c r="H85" t="inlineStr">
        <is>
          <t>C50.911</t>
        </is>
      </c>
      <c r="I85" t="inlineStr">
        <is>
          <t>PY01</t>
        </is>
      </c>
      <c r="J85" s="29" t="n">
        <v>432.07</v>
      </c>
      <c r="K85" s="30" t="n"/>
    </row>
    <row r="86">
      <c r="A86" t="inlineStr">
        <is>
          <t>ENC112635</t>
        </is>
      </c>
      <c r="B86" t="inlineStr">
        <is>
          <t>PT12366</t>
        </is>
      </c>
      <c r="C86" t="inlineStr">
        <is>
          <t>Emergency</t>
        </is>
      </c>
      <c r="D86" s="28" t="n">
        <v>45710</v>
      </c>
      <c r="E86" s="28" t="n">
        <v>45710</v>
      </c>
      <c r="F86" t="inlineStr">
        <is>
          <t>D100</t>
        </is>
      </c>
      <c r="G86" t="inlineStr">
        <is>
          <t>PRV1014</t>
        </is>
      </c>
      <c r="H86" t="inlineStr">
        <is>
          <t>J06.9</t>
        </is>
      </c>
      <c r="I86" t="inlineStr">
        <is>
          <t>PY06</t>
        </is>
      </c>
      <c r="J86" s="29" t="n">
        <v>759.35</v>
      </c>
      <c r="K86" s="30" t="n"/>
    </row>
    <row r="87">
      <c r="A87" t="inlineStr">
        <is>
          <t>ENC112653</t>
        </is>
      </c>
      <c r="B87" t="inlineStr">
        <is>
          <t>PT11614</t>
        </is>
      </c>
      <c r="C87" t="inlineStr">
        <is>
          <t>Inpatient</t>
        </is>
      </c>
      <c r="D87" s="28" t="n">
        <v>45711</v>
      </c>
      <c r="E87" s="28" t="n">
        <v>45713</v>
      </c>
      <c r="F87" t="inlineStr">
        <is>
          <t>D170</t>
        </is>
      </c>
      <c r="G87" t="inlineStr">
        <is>
          <t>PRV1095</t>
        </is>
      </c>
      <c r="H87" t="inlineStr">
        <is>
          <t>O82</t>
        </is>
      </c>
      <c r="I87" t="inlineStr">
        <is>
          <t>PY07</t>
        </is>
      </c>
      <c r="J87" s="29" t="n">
        <v>13180.64</v>
      </c>
      <c r="K87" s="30" t="n"/>
    </row>
    <row r="88">
      <c r="A88" t="inlineStr">
        <is>
          <t>ENC112669</t>
        </is>
      </c>
      <c r="B88" t="inlineStr">
        <is>
          <t>PT11844</t>
        </is>
      </c>
      <c r="C88" t="inlineStr">
        <is>
          <t>Outpatient</t>
        </is>
      </c>
      <c r="D88" s="28" t="n">
        <v>45712</v>
      </c>
      <c r="E88" s="28" t="n">
        <v>45712</v>
      </c>
      <c r="F88" t="inlineStr">
        <is>
          <t>D440</t>
        </is>
      </c>
      <c r="G88" t="inlineStr">
        <is>
          <t>PRV1143</t>
        </is>
      </c>
      <c r="H88" t="inlineStr">
        <is>
          <t>E11.9</t>
        </is>
      </c>
      <c r="I88" t="inlineStr">
        <is>
          <t>PY03</t>
        </is>
      </c>
      <c r="J88" s="29" t="n">
        <v>156.78</v>
      </c>
      <c r="K88" s="30" t="n"/>
    </row>
    <row r="89">
      <c r="A89" t="inlineStr">
        <is>
          <t>ENC112678</t>
        </is>
      </c>
      <c r="B89" t="inlineStr">
        <is>
          <t>PT12874</t>
        </is>
      </c>
      <c r="C89" t="inlineStr">
        <is>
          <t>Inpatient</t>
        </is>
      </c>
      <c r="D89" s="28" t="n">
        <v>45712</v>
      </c>
      <c r="E89" s="28" t="n">
        <v>45713</v>
      </c>
      <c r="F89" t="inlineStr">
        <is>
          <t>D170</t>
        </is>
      </c>
      <c r="G89" t="inlineStr">
        <is>
          <t>PRV1095</t>
        </is>
      </c>
      <c r="H89" t="inlineStr">
        <is>
          <t>O80</t>
        </is>
      </c>
      <c r="I89" t="inlineStr">
        <is>
          <t>PY04</t>
        </is>
      </c>
      <c r="J89" s="29" t="n">
        <v>13568.87</v>
      </c>
      <c r="K89" s="30" t="n"/>
    </row>
    <row r="90">
      <c r="A90" t="inlineStr">
        <is>
          <t>ENC112711</t>
        </is>
      </c>
      <c r="B90" t="inlineStr">
        <is>
          <t>PT12787</t>
        </is>
      </c>
      <c r="C90" t="inlineStr">
        <is>
          <t>Emergency</t>
        </is>
      </c>
      <c r="D90" s="28" t="n">
        <v>45713</v>
      </c>
      <c r="E90" s="28" t="n">
        <v>45713</v>
      </c>
      <c r="F90" t="inlineStr">
        <is>
          <t>D300</t>
        </is>
      </c>
      <c r="G90" t="inlineStr">
        <is>
          <t>PRV1024</t>
        </is>
      </c>
      <c r="H90" t="inlineStr">
        <is>
          <t>J06.9</t>
        </is>
      </c>
      <c r="I90" t="inlineStr">
        <is>
          <t>PY03</t>
        </is>
      </c>
      <c r="J90" s="29" t="n">
        <v>928.3099999999999</v>
      </c>
      <c r="K90" s="30" t="n"/>
    </row>
    <row r="91">
      <c r="A91" t="inlineStr">
        <is>
          <t>ENC112736</t>
        </is>
      </c>
      <c r="B91" t="inlineStr">
        <is>
          <t>PT11659</t>
        </is>
      </c>
      <c r="C91" t="inlineStr">
        <is>
          <t>Outpatient</t>
        </is>
      </c>
      <c r="D91" s="28" t="n">
        <v>45713</v>
      </c>
      <c r="E91" s="28" t="n">
        <v>45713</v>
      </c>
      <c r="F91" t="inlineStr">
        <is>
          <t>D430</t>
        </is>
      </c>
      <c r="G91" t="inlineStr">
        <is>
          <t>PRV1114</t>
        </is>
      </c>
      <c r="H91" t="inlineStr">
        <is>
          <t>Z51.11</t>
        </is>
      </c>
      <c r="I91" t="inlineStr">
        <is>
          <t>PY03</t>
        </is>
      </c>
      <c r="J91" s="29" t="n">
        <v>11010.74</v>
      </c>
      <c r="K91" s="30" t="n"/>
    </row>
    <row r="92">
      <c r="A92" t="inlineStr">
        <is>
          <t>ENC112747</t>
        </is>
      </c>
      <c r="B92" t="inlineStr">
        <is>
          <t>PT11804</t>
        </is>
      </c>
      <c r="C92" t="inlineStr">
        <is>
          <t>Emergency</t>
        </is>
      </c>
      <c r="D92" s="28" t="n">
        <v>45713</v>
      </c>
      <c r="E92" s="28" t="n">
        <v>45713</v>
      </c>
      <c r="F92" t="inlineStr">
        <is>
          <t>D100</t>
        </is>
      </c>
      <c r="G92" t="inlineStr">
        <is>
          <t>PRV1006</t>
        </is>
      </c>
      <c r="H92" t="inlineStr">
        <is>
          <t>N39.0</t>
        </is>
      </c>
      <c r="I92" t="inlineStr">
        <is>
          <t>PY06</t>
        </is>
      </c>
      <c r="J92" s="29" t="n">
        <v>2863.66</v>
      </c>
      <c r="K92" s="30" t="n"/>
    </row>
    <row r="93">
      <c r="A93" t="inlineStr">
        <is>
          <t>ENC112788</t>
        </is>
      </c>
      <c r="B93" t="inlineStr">
        <is>
          <t>PT13630</t>
        </is>
      </c>
      <c r="C93" t="inlineStr">
        <is>
          <t>Emergency</t>
        </is>
      </c>
      <c r="D93" s="28" t="n">
        <v>45714</v>
      </c>
      <c r="E93" s="28" t="n">
        <v>45714</v>
      </c>
      <c r="F93" t="inlineStr">
        <is>
          <t>D200</t>
        </is>
      </c>
      <c r="G93" t="inlineStr">
        <is>
          <t>PRV1019</t>
        </is>
      </c>
      <c r="H93" t="inlineStr">
        <is>
          <t>J44.1</t>
        </is>
      </c>
      <c r="I93" t="inlineStr">
        <is>
          <t>PY06</t>
        </is>
      </c>
      <c r="J93" s="29" t="n">
        <v>4800.9</v>
      </c>
      <c r="K93" s="30" t="n"/>
    </row>
    <row r="94">
      <c r="A94" t="inlineStr">
        <is>
          <t>ENC112802</t>
        </is>
      </c>
      <c r="B94" t="inlineStr">
        <is>
          <t>PT10413</t>
        </is>
      </c>
      <c r="C94" t="inlineStr">
        <is>
          <t>Outpatient</t>
        </is>
      </c>
      <c r="D94" s="28" t="n">
        <v>45715</v>
      </c>
      <c r="E94" s="28" t="n">
        <v>45715</v>
      </c>
      <c r="F94" t="inlineStr">
        <is>
          <t>D420</t>
        </is>
      </c>
      <c r="G94" t="inlineStr">
        <is>
          <t>PRV1080</t>
        </is>
      </c>
      <c r="H94" t="inlineStr">
        <is>
          <t>M17.11</t>
        </is>
      </c>
      <c r="I94" t="inlineStr">
        <is>
          <t>PY07</t>
        </is>
      </c>
      <c r="J94" s="29" t="n">
        <v>412.22</v>
      </c>
      <c r="K94" s="30" t="n"/>
    </row>
    <row r="95">
      <c r="A95" t="inlineStr">
        <is>
          <t>ENC112839</t>
        </is>
      </c>
      <c r="B95" t="inlineStr">
        <is>
          <t>PT12660</t>
        </is>
      </c>
      <c r="C95" t="inlineStr">
        <is>
          <t>Outpatient</t>
        </is>
      </c>
      <c r="D95" s="28" t="n">
        <v>45716</v>
      </c>
      <c r="E95" s="28" t="n">
        <v>45716</v>
      </c>
      <c r="F95" t="inlineStr">
        <is>
          <t>D420</t>
        </is>
      </c>
      <c r="G95" t="inlineStr">
        <is>
          <t>PRV1079</t>
        </is>
      </c>
      <c r="H95" t="inlineStr">
        <is>
          <t>M16.11</t>
        </is>
      </c>
      <c r="I95" t="inlineStr">
        <is>
          <t>PY06</t>
        </is>
      </c>
      <c r="J95" s="29" t="n">
        <v>261.43</v>
      </c>
      <c r="K95" s="30" t="n"/>
    </row>
    <row r="96">
      <c r="A96" t="inlineStr">
        <is>
          <t>ENC112929</t>
        </is>
      </c>
      <c r="B96" t="inlineStr">
        <is>
          <t>PT10808</t>
        </is>
      </c>
      <c r="C96" t="inlineStr">
        <is>
          <t>Inpatient</t>
        </is>
      </c>
      <c r="D96" s="28" t="n">
        <v>45720</v>
      </c>
      <c r="E96" s="28" t="n">
        <v>45735</v>
      </c>
      <c r="F96" t="inlineStr">
        <is>
          <t>D230</t>
        </is>
      </c>
      <c r="G96" t="inlineStr">
        <is>
          <t>PRV1069</t>
        </is>
      </c>
      <c r="H96" t="inlineStr">
        <is>
          <t>A41.9</t>
        </is>
      </c>
      <c r="I96" t="inlineStr">
        <is>
          <t>PY01</t>
        </is>
      </c>
      <c r="J96" s="29" t="n">
        <v>123069.88</v>
      </c>
      <c r="K96" s="30" t="n"/>
    </row>
    <row r="97">
      <c r="A97" t="inlineStr">
        <is>
          <t>ENC112936</t>
        </is>
      </c>
      <c r="B97" t="inlineStr">
        <is>
          <t>PT10695</t>
        </is>
      </c>
      <c r="C97" t="inlineStr">
        <is>
          <t>Outpatient</t>
        </is>
      </c>
      <c r="D97" s="28" t="n">
        <v>45720</v>
      </c>
      <c r="E97" s="28" t="n">
        <v>45720</v>
      </c>
      <c r="F97" t="inlineStr">
        <is>
          <t>D400</t>
        </is>
      </c>
      <c r="G97" t="inlineStr">
        <is>
          <t>PRV1137</t>
        </is>
      </c>
      <c r="H97" t="inlineStr">
        <is>
          <t>J45.909</t>
        </is>
      </c>
      <c r="I97" t="inlineStr">
        <is>
          <t>PY03</t>
        </is>
      </c>
      <c r="J97" s="29" t="n">
        <v>249.66</v>
      </c>
      <c r="K97" s="30" t="n"/>
    </row>
    <row r="98">
      <c r="A98" t="inlineStr">
        <is>
          <t>ENC112967</t>
        </is>
      </c>
      <c r="B98" t="inlineStr">
        <is>
          <t>PT12579</t>
        </is>
      </c>
      <c r="C98" t="inlineStr">
        <is>
          <t>Outpatient</t>
        </is>
      </c>
      <c r="D98" s="28" t="n">
        <v>45721</v>
      </c>
      <c r="E98" s="28" t="n">
        <v>45721</v>
      </c>
      <c r="F98" t="inlineStr">
        <is>
          <t>D440</t>
        </is>
      </c>
      <c r="G98" t="inlineStr">
        <is>
          <t>PRV1143</t>
        </is>
      </c>
      <c r="H98" t="inlineStr">
        <is>
          <t>E11.9</t>
        </is>
      </c>
      <c r="I98" t="inlineStr">
        <is>
          <t>PY02</t>
        </is>
      </c>
      <c r="J98" s="29" t="n">
        <v>210.86</v>
      </c>
      <c r="K98" s="30" t="n"/>
    </row>
    <row r="99">
      <c r="A99" t="inlineStr">
        <is>
          <t>ENC112972</t>
        </is>
      </c>
      <c r="B99" t="inlineStr">
        <is>
          <t>PT10511</t>
        </is>
      </c>
      <c r="C99" t="inlineStr">
        <is>
          <t>Outpatient</t>
        </is>
      </c>
      <c r="D99" s="28" t="n">
        <v>45721</v>
      </c>
      <c r="E99" s="28" t="n">
        <v>45721</v>
      </c>
      <c r="F99" t="inlineStr">
        <is>
          <t>D400</t>
        </is>
      </c>
      <c r="G99" t="inlineStr">
        <is>
          <t>PRV1137</t>
        </is>
      </c>
      <c r="H99" t="inlineStr">
        <is>
          <t>J06.9</t>
        </is>
      </c>
      <c r="I99" t="inlineStr">
        <is>
          <t>PY06</t>
        </is>
      </c>
      <c r="J99" s="29" t="n">
        <v>649.95</v>
      </c>
      <c r="K99" s="30" t="n"/>
    </row>
    <row r="100">
      <c r="A100" t="inlineStr">
        <is>
          <t>ENC112978</t>
        </is>
      </c>
      <c r="B100" t="inlineStr">
        <is>
          <t>PT10395</t>
        </is>
      </c>
      <c r="C100" t="inlineStr">
        <is>
          <t>Outpatient</t>
        </is>
      </c>
      <c r="D100" s="28" t="n">
        <v>45721</v>
      </c>
      <c r="E100" s="28" t="n">
        <v>45721</v>
      </c>
      <c r="F100" t="inlineStr">
        <is>
          <t>D400</t>
        </is>
      </c>
      <c r="G100" t="inlineStr">
        <is>
          <t>PRV1137</t>
        </is>
      </c>
      <c r="H100" t="inlineStr">
        <is>
          <t>E78.5</t>
        </is>
      </c>
      <c r="I100" t="inlineStr">
        <is>
          <t>PY02</t>
        </is>
      </c>
      <c r="J100" s="29" t="n">
        <v>120.91</v>
      </c>
      <c r="K100" s="30" t="n"/>
    </row>
    <row r="101">
      <c r="A101" t="inlineStr">
        <is>
          <t>ENC112980</t>
        </is>
      </c>
      <c r="B101" t="inlineStr">
        <is>
          <t>PT11844</t>
        </is>
      </c>
      <c r="C101" t="inlineStr">
        <is>
          <t>Emergency</t>
        </is>
      </c>
      <c r="D101" s="28" t="n">
        <v>45721</v>
      </c>
      <c r="E101" s="28" t="n">
        <v>45721</v>
      </c>
      <c r="F101" t="inlineStr">
        <is>
          <t>D100</t>
        </is>
      </c>
      <c r="G101" t="inlineStr">
        <is>
          <t>PRV1011</t>
        </is>
      </c>
      <c r="H101" t="inlineStr">
        <is>
          <t>J06.9</t>
        </is>
      </c>
      <c r="I101" t="inlineStr">
        <is>
          <t>PY03</t>
        </is>
      </c>
      <c r="J101" s="29" t="n">
        <v>838.7</v>
      </c>
      <c r="K101" s="30" t="n"/>
    </row>
    <row r="102">
      <c r="A102" t="inlineStr">
        <is>
          <t>ENC112981</t>
        </is>
      </c>
      <c r="B102" t="inlineStr">
        <is>
          <t>PT10891</t>
        </is>
      </c>
      <c r="C102" t="inlineStr">
        <is>
          <t>Outpatient</t>
        </is>
      </c>
      <c r="D102" s="28" t="n">
        <v>45721</v>
      </c>
      <c r="E102" s="28" t="n">
        <v>45721</v>
      </c>
      <c r="F102" t="inlineStr">
        <is>
          <t>D400</t>
        </is>
      </c>
      <c r="G102" t="inlineStr">
        <is>
          <t>PRV1137</t>
        </is>
      </c>
      <c r="H102" t="inlineStr">
        <is>
          <t>J06.9</t>
        </is>
      </c>
      <c r="I102" t="inlineStr">
        <is>
          <t>PY01</t>
        </is>
      </c>
      <c r="J102" s="29" t="n">
        <v>398.52</v>
      </c>
      <c r="K102" s="30" t="n"/>
    </row>
    <row r="103">
      <c r="A103" t="inlineStr">
        <is>
          <t>ENC113024</t>
        </is>
      </c>
      <c r="B103" t="inlineStr">
        <is>
          <t>PT12452</t>
        </is>
      </c>
      <c r="C103" t="inlineStr">
        <is>
          <t>Emergency</t>
        </is>
      </c>
      <c r="D103" s="28" t="n">
        <v>45722</v>
      </c>
      <c r="E103" s="28" t="n">
        <v>45723</v>
      </c>
      <c r="F103" t="inlineStr">
        <is>
          <t>D100</t>
        </is>
      </c>
      <c r="G103" t="inlineStr">
        <is>
          <t>PRV1001</t>
        </is>
      </c>
      <c r="H103" t="inlineStr">
        <is>
          <t>R10.9</t>
        </is>
      </c>
      <c r="I103" t="inlineStr">
        <is>
          <t>PY03</t>
        </is>
      </c>
      <c r="J103" s="29" t="n">
        <v>3344.31</v>
      </c>
      <c r="K103" s="30" t="n"/>
    </row>
    <row r="104">
      <c r="A104" t="inlineStr">
        <is>
          <t>ENC113030</t>
        </is>
      </c>
      <c r="B104" t="inlineStr">
        <is>
          <t>PT10465</t>
        </is>
      </c>
      <c r="C104" t="inlineStr">
        <is>
          <t>Outpatient</t>
        </is>
      </c>
      <c r="D104" s="28" t="n">
        <v>45723</v>
      </c>
      <c r="E104" s="28" t="n">
        <v>45723</v>
      </c>
      <c r="F104" t="inlineStr">
        <is>
          <t>D400</t>
        </is>
      </c>
      <c r="G104" t="inlineStr">
        <is>
          <t>PRV1137</t>
        </is>
      </c>
      <c r="H104" t="inlineStr">
        <is>
          <t>J06.9</t>
        </is>
      </c>
      <c r="I104" t="inlineStr">
        <is>
          <t>PY01</t>
        </is>
      </c>
      <c r="J104" s="29" t="n">
        <v>247.53</v>
      </c>
      <c r="K104" s="30" t="n"/>
    </row>
    <row r="105">
      <c r="A105" t="inlineStr">
        <is>
          <t>ENC113051</t>
        </is>
      </c>
      <c r="B105" t="inlineStr">
        <is>
          <t>PT12735</t>
        </is>
      </c>
      <c r="C105" t="inlineStr">
        <is>
          <t>Inpatient</t>
        </is>
      </c>
      <c r="D105" s="28" t="n">
        <v>45723</v>
      </c>
      <c r="E105" s="28" t="n">
        <v>45734</v>
      </c>
      <c r="F105" t="inlineStr">
        <is>
          <t>D190</t>
        </is>
      </c>
      <c r="G105" t="inlineStr">
        <is>
          <t>PRV1120</t>
        </is>
      </c>
      <c r="H105" t="inlineStr">
        <is>
          <t>F20.9</t>
        </is>
      </c>
      <c r="I105" t="inlineStr">
        <is>
          <t>PY03</t>
        </is>
      </c>
      <c r="J105" s="29" t="n">
        <v>37300.08</v>
      </c>
      <c r="K105" s="30" t="n"/>
    </row>
    <row r="106">
      <c r="A106" t="inlineStr">
        <is>
          <t>ENC113085</t>
        </is>
      </c>
      <c r="B106" t="inlineStr">
        <is>
          <t>PT12658</t>
        </is>
      </c>
      <c r="C106" t="inlineStr">
        <is>
          <t>Emergency</t>
        </is>
      </c>
      <c r="D106" s="28" t="n">
        <v>45725</v>
      </c>
      <c r="E106" s="28" t="n">
        <v>45725</v>
      </c>
      <c r="F106" t="inlineStr">
        <is>
          <t>D200</t>
        </is>
      </c>
      <c r="G106" t="inlineStr">
        <is>
          <t>PRV1019</t>
        </is>
      </c>
      <c r="H106" t="inlineStr">
        <is>
          <t>J06.9</t>
        </is>
      </c>
      <c r="I106" t="inlineStr">
        <is>
          <t>PY04</t>
        </is>
      </c>
      <c r="J106" s="29" t="n">
        <v>2175.4</v>
      </c>
      <c r="K106" s="30" t="n"/>
    </row>
    <row r="107">
      <c r="A107" t="inlineStr">
        <is>
          <t>ENC113084</t>
        </is>
      </c>
      <c r="B107" t="inlineStr">
        <is>
          <t>PT12169</t>
        </is>
      </c>
      <c r="C107" t="inlineStr">
        <is>
          <t>Inpatient</t>
        </is>
      </c>
      <c r="D107" s="28" t="n">
        <v>45725</v>
      </c>
      <c r="E107" s="28" t="n">
        <v>45729</v>
      </c>
      <c r="F107" t="inlineStr">
        <is>
          <t>D110</t>
        </is>
      </c>
      <c r="G107" t="inlineStr">
        <is>
          <t>PRV1031</t>
        </is>
      </c>
      <c r="H107" t="inlineStr">
        <is>
          <t>J18.9</t>
        </is>
      </c>
      <c r="I107" t="inlineStr">
        <is>
          <t>PY05</t>
        </is>
      </c>
      <c r="J107" s="29" t="n">
        <v>16758.74</v>
      </c>
      <c r="K107" s="30" t="n"/>
    </row>
    <row r="108">
      <c r="A108" t="inlineStr">
        <is>
          <t>ENC113092</t>
        </is>
      </c>
      <c r="B108" t="inlineStr">
        <is>
          <t>PT10103</t>
        </is>
      </c>
      <c r="C108" t="inlineStr">
        <is>
          <t>Emergency</t>
        </is>
      </c>
      <c r="D108" s="28" t="n">
        <v>45725</v>
      </c>
      <c r="E108" s="28" t="n">
        <v>45725</v>
      </c>
      <c r="F108" t="inlineStr">
        <is>
          <t>D100</t>
        </is>
      </c>
      <c r="G108" t="inlineStr">
        <is>
          <t>PRV1003</t>
        </is>
      </c>
      <c r="H108" t="inlineStr">
        <is>
          <t>R10.9</t>
        </is>
      </c>
      <c r="I108" t="inlineStr">
        <is>
          <t>PY01</t>
        </is>
      </c>
      <c r="J108" s="29" t="n">
        <v>3656.85</v>
      </c>
      <c r="K108" s="30" t="n"/>
    </row>
    <row r="109">
      <c r="A109" t="inlineStr">
        <is>
          <t>ENC113113</t>
        </is>
      </c>
      <c r="B109" t="inlineStr">
        <is>
          <t>PT11138</t>
        </is>
      </c>
      <c r="C109" t="inlineStr">
        <is>
          <t>Outpatient</t>
        </is>
      </c>
      <c r="D109" s="28" t="n">
        <v>45726</v>
      </c>
      <c r="E109" s="28" t="n">
        <v>45726</v>
      </c>
      <c r="F109" t="inlineStr">
        <is>
          <t>D400</t>
        </is>
      </c>
      <c r="G109" t="inlineStr">
        <is>
          <t>PRV1138</t>
        </is>
      </c>
      <c r="H109" t="inlineStr">
        <is>
          <t>Z23</t>
        </is>
      </c>
      <c r="I109" t="inlineStr">
        <is>
          <t>PY06</t>
        </is>
      </c>
      <c r="J109" s="29" t="n">
        <v>127.51</v>
      </c>
      <c r="K109" s="30" t="n"/>
    </row>
    <row r="110">
      <c r="A110" t="inlineStr">
        <is>
          <t>ENC113122</t>
        </is>
      </c>
      <c r="B110" t="inlineStr">
        <is>
          <t>PT10517</t>
        </is>
      </c>
      <c r="C110" t="inlineStr">
        <is>
          <t>Emergency</t>
        </is>
      </c>
      <c r="D110" s="28" t="n">
        <v>45726</v>
      </c>
      <c r="E110" s="28" t="n">
        <v>45726</v>
      </c>
      <c r="F110" t="inlineStr">
        <is>
          <t>D100</t>
        </is>
      </c>
      <c r="G110" t="inlineStr">
        <is>
          <t>PRV1013</t>
        </is>
      </c>
      <c r="H110" t="inlineStr">
        <is>
          <t>J44.1</t>
        </is>
      </c>
      <c r="I110" t="inlineStr">
        <is>
          <t>PY04</t>
        </is>
      </c>
      <c r="J110" s="29" t="n">
        <v>6910.45</v>
      </c>
      <c r="K110" s="30" t="n"/>
    </row>
    <row r="111">
      <c r="A111" t="inlineStr">
        <is>
          <t>ENC113124</t>
        </is>
      </c>
      <c r="B111" t="inlineStr">
        <is>
          <t>PT11019</t>
        </is>
      </c>
      <c r="C111" t="inlineStr">
        <is>
          <t>Outpatient</t>
        </is>
      </c>
      <c r="D111" s="28" t="n">
        <v>45726</v>
      </c>
      <c r="E111" s="28" t="n">
        <v>45726</v>
      </c>
      <c r="F111" t="inlineStr">
        <is>
          <t>D400</t>
        </is>
      </c>
      <c r="G111" t="inlineStr">
        <is>
          <t>PRV1137</t>
        </is>
      </c>
      <c r="H111" t="inlineStr">
        <is>
          <t>Z23</t>
        </is>
      </c>
      <c r="I111" t="inlineStr">
        <is>
          <t>PY05</t>
        </is>
      </c>
      <c r="J111" s="29" t="n">
        <v>106.12</v>
      </c>
      <c r="K111" s="30" t="n"/>
    </row>
    <row r="112">
      <c r="A112" t="inlineStr">
        <is>
          <t>ENC113142</t>
        </is>
      </c>
      <c r="B112" t="inlineStr">
        <is>
          <t>PT12744</t>
        </is>
      </c>
      <c r="C112" t="inlineStr">
        <is>
          <t>Inpatient</t>
        </is>
      </c>
      <c r="D112" s="28" t="n">
        <v>45727</v>
      </c>
      <c r="E112" s="28" t="n">
        <v>45735</v>
      </c>
      <c r="F112" t="inlineStr">
        <is>
          <t>D111</t>
        </is>
      </c>
      <c r="G112" t="inlineStr">
        <is>
          <t>PRV1031</t>
        </is>
      </c>
      <c r="H112" t="inlineStr">
        <is>
          <t>J44.1</t>
        </is>
      </c>
      <c r="I112" t="inlineStr">
        <is>
          <t>PY03</t>
        </is>
      </c>
      <c r="J112" s="29" t="n">
        <v>46268.08</v>
      </c>
      <c r="K112" s="30" t="n"/>
    </row>
    <row r="113">
      <c r="A113" t="inlineStr">
        <is>
          <t>ENC113153</t>
        </is>
      </c>
      <c r="B113" t="inlineStr">
        <is>
          <t>PT13804</t>
        </is>
      </c>
      <c r="C113" t="inlineStr">
        <is>
          <t>Inpatient</t>
        </is>
      </c>
      <c r="D113" s="28" t="n">
        <v>45727</v>
      </c>
      <c r="E113" s="28" t="n">
        <v>45733</v>
      </c>
      <c r="F113" t="inlineStr">
        <is>
          <t>D140</t>
        </is>
      </c>
      <c r="G113" t="inlineStr">
        <is>
          <t>PRV1075</t>
        </is>
      </c>
      <c r="H113" t="inlineStr">
        <is>
          <t>S72.001A</t>
        </is>
      </c>
      <c r="I113" t="inlineStr">
        <is>
          <t>PY07</t>
        </is>
      </c>
      <c r="J113" s="29" t="n">
        <v>57834.68</v>
      </c>
      <c r="K113" s="30" t="n"/>
    </row>
    <row r="114">
      <c r="A114" t="inlineStr">
        <is>
          <t>ENC113158</t>
        </is>
      </c>
      <c r="B114" t="inlineStr">
        <is>
          <t>PT11442</t>
        </is>
      </c>
      <c r="C114" t="inlineStr">
        <is>
          <t>Outpatient</t>
        </is>
      </c>
      <c r="D114" s="28" t="n">
        <v>45727</v>
      </c>
      <c r="E114" s="28" t="n">
        <v>45727</v>
      </c>
      <c r="F114" t="inlineStr">
        <is>
          <t>D400</t>
        </is>
      </c>
      <c r="G114" t="inlineStr">
        <is>
          <t>PRV1137</t>
        </is>
      </c>
      <c r="H114" t="inlineStr">
        <is>
          <t>N39.0</t>
        </is>
      </c>
      <c r="I114" t="inlineStr">
        <is>
          <t>PY04</t>
        </is>
      </c>
      <c r="J114" s="29" t="n">
        <v>317.17</v>
      </c>
      <c r="K114" s="30" t="n"/>
    </row>
    <row r="115">
      <c r="A115" t="inlineStr">
        <is>
          <t>ENC113174</t>
        </is>
      </c>
      <c r="B115" t="inlineStr">
        <is>
          <t>PT11335</t>
        </is>
      </c>
      <c r="C115" t="inlineStr">
        <is>
          <t>Emergency</t>
        </is>
      </c>
      <c r="D115" s="28" t="n">
        <v>45727</v>
      </c>
      <c r="E115" s="28" t="n">
        <v>45727</v>
      </c>
      <c r="F115" t="inlineStr">
        <is>
          <t>D100</t>
        </is>
      </c>
      <c r="G115" t="inlineStr">
        <is>
          <t>PRV1001</t>
        </is>
      </c>
      <c r="H115" t="inlineStr">
        <is>
          <t>K80.20</t>
        </is>
      </c>
      <c r="I115" t="inlineStr">
        <is>
          <t>PY03</t>
        </is>
      </c>
      <c r="J115" s="29" t="n">
        <v>2195.68</v>
      </c>
      <c r="K115" s="30" t="n"/>
    </row>
    <row r="116">
      <c r="A116" t="inlineStr">
        <is>
          <t>ENC113173</t>
        </is>
      </c>
      <c r="B116" t="inlineStr">
        <is>
          <t>PT12916</t>
        </is>
      </c>
      <c r="C116" t="inlineStr">
        <is>
          <t>Inpatient</t>
        </is>
      </c>
      <c r="D116" s="28" t="n">
        <v>45727</v>
      </c>
      <c r="E116" s="28" t="n">
        <v>45741</v>
      </c>
      <c r="F116" t="inlineStr">
        <is>
          <t>D190</t>
        </is>
      </c>
      <c r="G116" t="inlineStr">
        <is>
          <t>PRV1123</t>
        </is>
      </c>
      <c r="H116" t="inlineStr">
        <is>
          <t>F20.9</t>
        </is>
      </c>
      <c r="I116" t="inlineStr">
        <is>
          <t>PY03</t>
        </is>
      </c>
      <c r="J116" s="29" t="n">
        <v>33859.02</v>
      </c>
      <c r="K116" s="30" t="n"/>
    </row>
    <row r="117">
      <c r="A117" t="inlineStr">
        <is>
          <t>ENC113257</t>
        </is>
      </c>
      <c r="B117" t="inlineStr">
        <is>
          <t>PT10876</t>
        </is>
      </c>
      <c r="C117" t="inlineStr">
        <is>
          <t>Inpatient</t>
        </is>
      </c>
      <c r="D117" s="28" t="n">
        <v>45730</v>
      </c>
      <c r="E117" s="28" t="n">
        <v>45732</v>
      </c>
      <c r="F117" t="inlineStr">
        <is>
          <t>D140</t>
        </is>
      </c>
      <c r="G117" t="inlineStr">
        <is>
          <t>PRV1073</t>
        </is>
      </c>
      <c r="H117" t="inlineStr">
        <is>
          <t>M17.11</t>
        </is>
      </c>
      <c r="I117" t="inlineStr">
        <is>
          <t>PY03</t>
        </is>
      </c>
      <c r="J117" s="29" t="n">
        <v>50931.23</v>
      </c>
      <c r="K117" s="30" t="n"/>
    </row>
    <row r="118">
      <c r="A118" t="inlineStr">
        <is>
          <t>ENC113269</t>
        </is>
      </c>
      <c r="B118" t="inlineStr">
        <is>
          <t>PT10413</t>
        </is>
      </c>
      <c r="C118" t="inlineStr">
        <is>
          <t>Inpatient</t>
        </is>
      </c>
      <c r="D118" s="28" t="n">
        <v>45730</v>
      </c>
      <c r="E118" s="28" t="n">
        <v>45732</v>
      </c>
      <c r="F118" t="inlineStr">
        <is>
          <t>D120</t>
        </is>
      </c>
      <c r="G118" t="inlineStr">
        <is>
          <t>PRV1055</t>
        </is>
      </c>
      <c r="H118" t="inlineStr">
        <is>
          <t>I21.4</t>
        </is>
      </c>
      <c r="I118" t="inlineStr">
        <is>
          <t>PY07</t>
        </is>
      </c>
      <c r="J118" s="29" t="n">
        <v>71064.94</v>
      </c>
      <c r="K118" s="30" t="n"/>
    </row>
    <row r="119">
      <c r="A119" t="inlineStr">
        <is>
          <t>ENC113285</t>
        </is>
      </c>
      <c r="B119" t="inlineStr">
        <is>
          <t>PT12579</t>
        </is>
      </c>
      <c r="C119" t="inlineStr">
        <is>
          <t>Inpatient</t>
        </is>
      </c>
      <c r="D119" s="28" t="n">
        <v>45731</v>
      </c>
      <c r="E119" s="28" t="n">
        <v>45733</v>
      </c>
      <c r="F119" t="inlineStr">
        <is>
          <t>D230</t>
        </is>
      </c>
      <c r="G119" t="inlineStr">
        <is>
          <t>PRV1069</t>
        </is>
      </c>
      <c r="H119" t="inlineStr">
        <is>
          <t>K92.2</t>
        </is>
      </c>
      <c r="I119" t="inlineStr">
        <is>
          <t>PY02</t>
        </is>
      </c>
      <c r="J119" s="29" t="n">
        <v>29769.32</v>
      </c>
      <c r="K119" s="30" t="n"/>
    </row>
    <row r="120">
      <c r="A120" t="inlineStr">
        <is>
          <t>ENC113304</t>
        </is>
      </c>
      <c r="B120" t="inlineStr">
        <is>
          <t>PT12169</t>
        </is>
      </c>
      <c r="C120" t="inlineStr">
        <is>
          <t>Inpatient</t>
        </is>
      </c>
      <c r="D120" s="28" t="n">
        <v>45731</v>
      </c>
      <c r="E120" s="28" t="n">
        <v>45736</v>
      </c>
      <c r="F120" t="inlineStr">
        <is>
          <t>D111</t>
        </is>
      </c>
      <c r="G120" t="inlineStr">
        <is>
          <t>PRV1042</t>
        </is>
      </c>
      <c r="H120" t="inlineStr">
        <is>
          <t>J18.9</t>
        </is>
      </c>
      <c r="I120" t="inlineStr">
        <is>
          <t>PY05</t>
        </is>
      </c>
      <c r="J120" s="29" t="n">
        <v>19476.33</v>
      </c>
      <c r="K120" s="30" t="n"/>
    </row>
    <row r="121">
      <c r="A121" t="inlineStr">
        <is>
          <t>ENC113334</t>
        </is>
      </c>
      <c r="B121" t="inlineStr">
        <is>
          <t>PT10606</t>
        </is>
      </c>
      <c r="C121" t="inlineStr">
        <is>
          <t>Emergency</t>
        </is>
      </c>
      <c r="D121" s="28" t="n">
        <v>45733</v>
      </c>
      <c r="E121" s="28" t="n">
        <v>45733</v>
      </c>
      <c r="F121" t="inlineStr">
        <is>
          <t>D200</t>
        </is>
      </c>
      <c r="G121" t="inlineStr">
        <is>
          <t>PRV1018</t>
        </is>
      </c>
      <c r="H121" t="inlineStr">
        <is>
          <t>M54.50</t>
        </is>
      </c>
      <c r="I121" t="inlineStr">
        <is>
          <t>PY01</t>
        </is>
      </c>
      <c r="J121" s="29" t="n">
        <v>1511.83</v>
      </c>
      <c r="K121" s="30" t="n"/>
    </row>
    <row r="122">
      <c r="A122" t="inlineStr">
        <is>
          <t>ENC113366</t>
        </is>
      </c>
      <c r="B122" t="inlineStr">
        <is>
          <t>PT13746</t>
        </is>
      </c>
      <c r="C122" t="inlineStr">
        <is>
          <t>Emergency</t>
        </is>
      </c>
      <c r="D122" s="28" t="n">
        <v>45733</v>
      </c>
      <c r="E122" s="28" t="n">
        <v>45733</v>
      </c>
      <c r="F122" t="inlineStr">
        <is>
          <t>D100</t>
        </is>
      </c>
      <c r="G122" t="inlineStr">
        <is>
          <t>PRV1014</t>
        </is>
      </c>
      <c r="H122" t="inlineStr">
        <is>
          <t>N39.0</t>
        </is>
      </c>
      <c r="I122" t="inlineStr">
        <is>
          <t>PY01</t>
        </is>
      </c>
      <c r="J122" s="29" t="n">
        <v>1370.25</v>
      </c>
      <c r="K122" s="30" t="n"/>
    </row>
    <row r="123">
      <c r="A123" t="inlineStr">
        <is>
          <t>ENC113408</t>
        </is>
      </c>
      <c r="B123" t="inlineStr">
        <is>
          <t>PT12748</t>
        </is>
      </c>
      <c r="C123" t="inlineStr">
        <is>
          <t>Emergency</t>
        </is>
      </c>
      <c r="D123" s="28" t="n">
        <v>45735</v>
      </c>
      <c r="E123" s="28" t="n">
        <v>45735</v>
      </c>
      <c r="F123" t="inlineStr">
        <is>
          <t>D300</t>
        </is>
      </c>
      <c r="G123" t="inlineStr">
        <is>
          <t>PRV1024</t>
        </is>
      </c>
      <c r="H123" t="inlineStr">
        <is>
          <t>J06.9</t>
        </is>
      </c>
      <c r="I123" t="inlineStr">
        <is>
          <t>PY06</t>
        </is>
      </c>
      <c r="J123" s="29" t="n">
        <v>626.54</v>
      </c>
      <c r="K123" s="30" t="n"/>
    </row>
    <row r="124">
      <c r="A124" t="inlineStr">
        <is>
          <t>ENC113431</t>
        </is>
      </c>
      <c r="B124" t="inlineStr">
        <is>
          <t>PT12702</t>
        </is>
      </c>
      <c r="C124" t="inlineStr">
        <is>
          <t>Emergency</t>
        </is>
      </c>
      <c r="D124" s="28" t="n">
        <v>45735</v>
      </c>
      <c r="E124" s="28" t="n">
        <v>45735</v>
      </c>
      <c r="F124" t="inlineStr">
        <is>
          <t>D200</t>
        </is>
      </c>
      <c r="G124" t="inlineStr">
        <is>
          <t>PRV1017</t>
        </is>
      </c>
      <c r="H124" t="inlineStr">
        <is>
          <t>S06.0X0A</t>
        </is>
      </c>
      <c r="I124" t="inlineStr">
        <is>
          <t>PY06</t>
        </is>
      </c>
      <c r="J124" s="29" t="n">
        <v>3306.51</v>
      </c>
      <c r="K124" s="30" t="n"/>
    </row>
    <row r="125">
      <c r="A125" t="inlineStr">
        <is>
          <t>ENC113442</t>
        </is>
      </c>
      <c r="B125" t="inlineStr">
        <is>
          <t>PT12722</t>
        </is>
      </c>
      <c r="C125" t="inlineStr">
        <is>
          <t>Emergency</t>
        </is>
      </c>
      <c r="D125" s="28" t="n">
        <v>45735</v>
      </c>
      <c r="E125" s="28" t="n">
        <v>45735</v>
      </c>
      <c r="F125" t="inlineStr">
        <is>
          <t>D100</t>
        </is>
      </c>
      <c r="G125" t="inlineStr">
        <is>
          <t>PRV1008</t>
        </is>
      </c>
      <c r="H125" t="inlineStr">
        <is>
          <t>E86.0</t>
        </is>
      </c>
      <c r="I125" t="inlineStr">
        <is>
          <t>PY01</t>
        </is>
      </c>
      <c r="J125" s="29" t="n">
        <v>1861.53</v>
      </c>
      <c r="K125" s="30" t="n"/>
    </row>
    <row r="126">
      <c r="A126" t="inlineStr">
        <is>
          <t>ENC113477</t>
        </is>
      </c>
      <c r="B126" t="inlineStr">
        <is>
          <t>PT10974</t>
        </is>
      </c>
      <c r="C126" t="inlineStr">
        <is>
          <t>Inpatient</t>
        </is>
      </c>
      <c r="D126" s="28" t="n">
        <v>45736</v>
      </c>
      <c r="E126" s="28" t="n">
        <v>45740</v>
      </c>
      <c r="F126" t="inlineStr">
        <is>
          <t>D110</t>
        </is>
      </c>
      <c r="G126" t="inlineStr">
        <is>
          <t>PRV1034</t>
        </is>
      </c>
      <c r="H126" t="inlineStr">
        <is>
          <t>N17.9</t>
        </is>
      </c>
      <c r="I126" t="inlineStr">
        <is>
          <t>PY01</t>
        </is>
      </c>
      <c r="J126" s="29" t="n">
        <v>19114.37</v>
      </c>
      <c r="K126" s="30" t="n"/>
    </row>
    <row r="127">
      <c r="A127" t="inlineStr">
        <is>
          <t>ENC113531</t>
        </is>
      </c>
      <c r="B127" t="inlineStr">
        <is>
          <t>PT11916</t>
        </is>
      </c>
      <c r="C127" t="inlineStr">
        <is>
          <t>Emergency</t>
        </is>
      </c>
      <c r="D127" s="28" t="n">
        <v>45738</v>
      </c>
      <c r="E127" s="28" t="n">
        <v>45738</v>
      </c>
      <c r="F127" t="inlineStr">
        <is>
          <t>D100</t>
        </is>
      </c>
      <c r="G127" t="inlineStr">
        <is>
          <t>PRV1005</t>
        </is>
      </c>
      <c r="H127" t="inlineStr">
        <is>
          <t>A08.4</t>
        </is>
      </c>
      <c r="I127" t="inlineStr">
        <is>
          <t>PY04</t>
        </is>
      </c>
      <c r="J127" s="29" t="n">
        <v>4629.8</v>
      </c>
      <c r="K127" s="30" t="n"/>
    </row>
    <row r="128">
      <c r="A128" t="inlineStr">
        <is>
          <t>ENC113538</t>
        </is>
      </c>
      <c r="B128" t="inlineStr">
        <is>
          <t>PT13163</t>
        </is>
      </c>
      <c r="C128" t="inlineStr">
        <is>
          <t>Emergency</t>
        </is>
      </c>
      <c r="D128" s="28" t="n">
        <v>45738</v>
      </c>
      <c r="E128" s="28" t="n">
        <v>45739</v>
      </c>
      <c r="F128" t="inlineStr">
        <is>
          <t>D100</t>
        </is>
      </c>
      <c r="G128" t="inlineStr">
        <is>
          <t>PRV1009</t>
        </is>
      </c>
      <c r="H128" t="inlineStr">
        <is>
          <t>J06.9</t>
        </is>
      </c>
      <c r="I128" t="inlineStr">
        <is>
          <t>PY07</t>
        </is>
      </c>
      <c r="J128" s="29" t="n">
        <v>1450.06</v>
      </c>
      <c r="K128" s="30" t="n"/>
    </row>
    <row r="129">
      <c r="A129" t="inlineStr">
        <is>
          <t>ENC113557</t>
        </is>
      </c>
      <c r="B129" t="inlineStr">
        <is>
          <t>PT10513</t>
        </is>
      </c>
      <c r="C129" t="inlineStr">
        <is>
          <t>Inpatient</t>
        </is>
      </c>
      <c r="D129" s="28" t="n">
        <v>45740</v>
      </c>
      <c r="E129" s="28" t="n">
        <v>45744</v>
      </c>
      <c r="F129" t="inlineStr">
        <is>
          <t>D111</t>
        </is>
      </c>
      <c r="G129" t="inlineStr">
        <is>
          <t>PRV1084</t>
        </is>
      </c>
      <c r="H129" t="inlineStr">
        <is>
          <t>K56.609</t>
        </is>
      </c>
      <c r="I129" t="inlineStr">
        <is>
          <t>PY04</t>
        </is>
      </c>
      <c r="J129" s="29" t="n">
        <v>16858.19</v>
      </c>
      <c r="K129" s="30" t="n"/>
    </row>
    <row r="130">
      <c r="A130" t="inlineStr">
        <is>
          <t>ENC113575</t>
        </is>
      </c>
      <c r="B130" t="inlineStr">
        <is>
          <t>PT13711</t>
        </is>
      </c>
      <c r="C130" t="inlineStr">
        <is>
          <t>Inpatient</t>
        </is>
      </c>
      <c r="D130" s="28" t="n">
        <v>45740</v>
      </c>
      <c r="E130" s="28" t="n">
        <v>45743</v>
      </c>
      <c r="F130" t="inlineStr">
        <is>
          <t>D170</t>
        </is>
      </c>
      <c r="G130" t="inlineStr">
        <is>
          <t>PRV1091</t>
        </is>
      </c>
      <c r="H130" t="inlineStr">
        <is>
          <t>O82</t>
        </is>
      </c>
      <c r="I130" t="inlineStr">
        <is>
          <t>PY05</t>
        </is>
      </c>
      <c r="J130" s="29" t="n">
        <v>26541.27</v>
      </c>
      <c r="K130" s="30" t="n"/>
    </row>
    <row r="131">
      <c r="A131" t="inlineStr">
        <is>
          <t>ENC113561</t>
        </is>
      </c>
      <c r="B131" t="inlineStr">
        <is>
          <t>PT12735</t>
        </is>
      </c>
      <c r="C131" t="inlineStr">
        <is>
          <t>Inpatient</t>
        </is>
      </c>
      <c r="D131" s="28" t="n">
        <v>45740</v>
      </c>
      <c r="E131" s="28" t="n">
        <v>45743</v>
      </c>
      <c r="F131" t="inlineStr">
        <is>
          <t>D160</t>
        </is>
      </c>
      <c r="G131" t="inlineStr">
        <is>
          <t>PRV1117</t>
        </is>
      </c>
      <c r="H131" t="inlineStr">
        <is>
          <t>I63.9</t>
        </is>
      </c>
      <c r="I131" t="inlineStr">
        <is>
          <t>PY03</t>
        </is>
      </c>
      <c r="J131" s="29" t="n">
        <v>25110.39</v>
      </c>
      <c r="K131" s="30" t="n"/>
    </row>
    <row r="132">
      <c r="A132" t="inlineStr">
        <is>
          <t>ENC113602</t>
        </is>
      </c>
      <c r="B132" t="inlineStr">
        <is>
          <t>PT12554</t>
        </is>
      </c>
      <c r="C132" t="inlineStr">
        <is>
          <t>Inpatient</t>
        </is>
      </c>
      <c r="D132" s="28" t="n">
        <v>45741</v>
      </c>
      <c r="E132" s="28" t="n">
        <v>45744</v>
      </c>
      <c r="F132" t="inlineStr">
        <is>
          <t>D320</t>
        </is>
      </c>
      <c r="G132" t="inlineStr">
        <is>
          <t>PRV1049</t>
        </is>
      </c>
      <c r="H132" t="inlineStr">
        <is>
          <t>I48.91</t>
        </is>
      </c>
      <c r="I132" t="inlineStr">
        <is>
          <t>PY01</t>
        </is>
      </c>
      <c r="J132" s="29" t="n">
        <v>21960.4</v>
      </c>
      <c r="K132" s="30" t="n"/>
    </row>
    <row r="133">
      <c r="A133" t="inlineStr">
        <is>
          <t>ENC113605</t>
        </is>
      </c>
      <c r="B133" t="inlineStr">
        <is>
          <t>PT13630</t>
        </is>
      </c>
      <c r="C133" t="inlineStr">
        <is>
          <t>Outpatient</t>
        </is>
      </c>
      <c r="D133" s="28" t="n">
        <v>45741</v>
      </c>
      <c r="E133" s="28" t="n">
        <v>45741</v>
      </c>
      <c r="F133" t="inlineStr">
        <is>
          <t>D420</t>
        </is>
      </c>
      <c r="G133" t="inlineStr">
        <is>
          <t>PRV1082</t>
        </is>
      </c>
      <c r="H133" t="inlineStr">
        <is>
          <t>S93.401A</t>
        </is>
      </c>
      <c r="I133" t="inlineStr">
        <is>
          <t>PY06</t>
        </is>
      </c>
      <c r="J133" s="29" t="n">
        <v>202.63</v>
      </c>
      <c r="K133" s="30" t="n"/>
    </row>
    <row r="134">
      <c r="A134" t="inlineStr">
        <is>
          <t>ENC113619</t>
        </is>
      </c>
      <c r="B134" t="inlineStr">
        <is>
          <t>PT13412</t>
        </is>
      </c>
      <c r="C134" t="inlineStr">
        <is>
          <t>Inpatient</t>
        </is>
      </c>
      <c r="D134" s="28" t="n">
        <v>45741</v>
      </c>
      <c r="E134" s="28" t="n">
        <v>45753</v>
      </c>
      <c r="F134" t="inlineStr">
        <is>
          <t>D140</t>
        </is>
      </c>
      <c r="G134" t="inlineStr">
        <is>
          <t>PRV1074</t>
        </is>
      </c>
      <c r="H134" t="inlineStr">
        <is>
          <t>S72.001A</t>
        </is>
      </c>
      <c r="I134" t="inlineStr">
        <is>
          <t>PY01</t>
        </is>
      </c>
      <c r="J134" s="29" t="n">
        <v>75967.13</v>
      </c>
      <c r="K134" s="30" t="n"/>
    </row>
    <row r="135">
      <c r="A135" t="inlineStr">
        <is>
          <t>ENC113633</t>
        </is>
      </c>
      <c r="B135" t="inlineStr">
        <is>
          <t>PT12682</t>
        </is>
      </c>
      <c r="C135" t="inlineStr">
        <is>
          <t>Inpatient</t>
        </is>
      </c>
      <c r="D135" s="28" t="n">
        <v>45742</v>
      </c>
      <c r="E135" s="28" t="n">
        <v>45745</v>
      </c>
      <c r="F135" t="inlineStr">
        <is>
          <t>D110</t>
        </is>
      </c>
      <c r="G135" t="inlineStr">
        <is>
          <t>PRV1085</t>
        </is>
      </c>
      <c r="H135" t="inlineStr">
        <is>
          <t>K35.80</t>
        </is>
      </c>
      <c r="I135" t="inlineStr">
        <is>
          <t>PY05</t>
        </is>
      </c>
      <c r="J135" s="29" t="n">
        <v>39502.32</v>
      </c>
      <c r="K135" s="30" t="n"/>
    </row>
    <row r="136">
      <c r="A136" t="inlineStr">
        <is>
          <t>ENC113639</t>
        </is>
      </c>
      <c r="B136" t="inlineStr">
        <is>
          <t>PT13517</t>
        </is>
      </c>
      <c r="C136" t="inlineStr">
        <is>
          <t>Outpatient</t>
        </is>
      </c>
      <c r="D136" s="28" t="n">
        <v>45742</v>
      </c>
      <c r="E136" s="28" t="n">
        <v>45742</v>
      </c>
      <c r="F136" t="inlineStr">
        <is>
          <t>D440</t>
        </is>
      </c>
      <c r="G136" t="inlineStr">
        <is>
          <t>PRV1142</t>
        </is>
      </c>
      <c r="H136" t="inlineStr">
        <is>
          <t>E11.9</t>
        </is>
      </c>
      <c r="I136" t="inlineStr">
        <is>
          <t>PY03</t>
        </is>
      </c>
      <c r="J136" s="29" t="n">
        <v>383.43</v>
      </c>
      <c r="K136" s="30" t="n"/>
    </row>
    <row r="137">
      <c r="A137" t="inlineStr">
        <is>
          <t>ENC113675</t>
        </is>
      </c>
      <c r="B137" t="inlineStr">
        <is>
          <t>PT13966</t>
        </is>
      </c>
      <c r="C137" t="inlineStr">
        <is>
          <t>Outpatient</t>
        </is>
      </c>
      <c r="D137" s="28" t="n">
        <v>45743</v>
      </c>
      <c r="E137" s="28" t="n">
        <v>45743</v>
      </c>
      <c r="F137" t="inlineStr">
        <is>
          <t>D430</t>
        </is>
      </c>
      <c r="G137" t="inlineStr">
        <is>
          <t>PRV1115</t>
        </is>
      </c>
      <c r="H137" t="inlineStr">
        <is>
          <t>Z51.11</t>
        </is>
      </c>
      <c r="I137" t="inlineStr">
        <is>
          <t>PY02</t>
        </is>
      </c>
      <c r="J137" s="29" t="n">
        <v>14298.42</v>
      </c>
      <c r="K137" s="30" t="n"/>
    </row>
    <row r="138">
      <c r="A138" t="inlineStr">
        <is>
          <t>ENC113694</t>
        </is>
      </c>
      <c r="B138" t="inlineStr">
        <is>
          <t>PT12169</t>
        </is>
      </c>
      <c r="C138" t="inlineStr">
        <is>
          <t>Outpatient</t>
        </is>
      </c>
      <c r="D138" s="28" t="n">
        <v>45743</v>
      </c>
      <c r="E138" s="28" t="n">
        <v>45743</v>
      </c>
      <c r="F138" t="inlineStr">
        <is>
          <t>D420</t>
        </is>
      </c>
      <c r="G138" t="inlineStr">
        <is>
          <t>PRV1079</t>
        </is>
      </c>
      <c r="H138" t="inlineStr">
        <is>
          <t>M16.11</t>
        </is>
      </c>
      <c r="I138" t="inlineStr">
        <is>
          <t>PY05</t>
        </is>
      </c>
      <c r="J138" s="29" t="n">
        <v>331.4</v>
      </c>
      <c r="K138" s="30" t="n"/>
    </row>
    <row r="139">
      <c r="A139" t="inlineStr">
        <is>
          <t>ENC113743</t>
        </is>
      </c>
      <c r="B139" t="inlineStr">
        <is>
          <t>PT12111</t>
        </is>
      </c>
      <c r="C139" t="inlineStr">
        <is>
          <t>Observation</t>
        </is>
      </c>
      <c r="D139" s="28" t="n">
        <v>45744</v>
      </c>
      <c r="E139" s="28" t="n">
        <v>45745</v>
      </c>
      <c r="F139" t="inlineStr">
        <is>
          <t>D195</t>
        </is>
      </c>
      <c r="G139" t="inlineStr">
        <is>
          <t>PRV1032</t>
        </is>
      </c>
      <c r="H139" t="inlineStr">
        <is>
          <t>R55</t>
        </is>
      </c>
      <c r="I139" t="inlineStr">
        <is>
          <t>PY05</t>
        </is>
      </c>
      <c r="J139" s="29" t="n">
        <v>8384.190000000001</v>
      </c>
      <c r="K139" s="30" t="n"/>
    </row>
    <row r="140">
      <c r="A140" t="inlineStr">
        <is>
          <t>ENC113748</t>
        </is>
      </c>
      <c r="B140" t="inlineStr">
        <is>
          <t>PT12489</t>
        </is>
      </c>
      <c r="C140" t="inlineStr">
        <is>
          <t>Inpatient</t>
        </is>
      </c>
      <c r="D140" s="28" t="n">
        <v>45744</v>
      </c>
      <c r="E140" s="28" t="n">
        <v>45750</v>
      </c>
      <c r="F140" t="inlineStr">
        <is>
          <t>D111</t>
        </is>
      </c>
      <c r="G140" t="inlineStr">
        <is>
          <t>PRV1042</t>
        </is>
      </c>
      <c r="H140" t="inlineStr">
        <is>
          <t>A41.9</t>
        </is>
      </c>
      <c r="I140" t="inlineStr">
        <is>
          <t>PY03</t>
        </is>
      </c>
      <c r="J140" s="29" t="n">
        <v>71074.92999999999</v>
      </c>
      <c r="K140" s="30" t="n"/>
    </row>
    <row r="141">
      <c r="A141" t="inlineStr">
        <is>
          <t>ENC113750</t>
        </is>
      </c>
      <c r="B141" t="inlineStr">
        <is>
          <t>PT10925</t>
        </is>
      </c>
      <c r="C141" t="inlineStr">
        <is>
          <t>Inpatient</t>
        </is>
      </c>
      <c r="D141" s="28" t="n">
        <v>45745</v>
      </c>
      <c r="E141" s="28" t="n">
        <v>45748</v>
      </c>
      <c r="F141" t="inlineStr">
        <is>
          <t>D210</t>
        </is>
      </c>
      <c r="G141" t="inlineStr">
        <is>
          <t>PRV1045</t>
        </is>
      </c>
      <c r="H141" t="inlineStr">
        <is>
          <t>L03.115</t>
        </is>
      </c>
      <c r="I141" t="inlineStr">
        <is>
          <t>PY03</t>
        </is>
      </c>
      <c r="J141" s="29" t="n">
        <v>21870.46</v>
      </c>
      <c r="K141" s="30" t="n"/>
    </row>
    <row r="142">
      <c r="A142" t="inlineStr">
        <is>
          <t>ENC113753</t>
        </is>
      </c>
      <c r="B142" t="inlineStr">
        <is>
          <t>PT13844</t>
        </is>
      </c>
      <c r="C142" t="inlineStr">
        <is>
          <t>Observation</t>
        </is>
      </c>
      <c r="D142" s="28" t="n">
        <v>45745</v>
      </c>
      <c r="E142" s="28" t="n">
        <v>45746</v>
      </c>
      <c r="F142" t="inlineStr">
        <is>
          <t>D195</t>
        </is>
      </c>
      <c r="G142" t="inlineStr">
        <is>
          <t>PRV1037</t>
        </is>
      </c>
      <c r="H142" t="inlineStr">
        <is>
          <t>J18.9</t>
        </is>
      </c>
      <c r="I142" t="inlineStr">
        <is>
          <t>PY03</t>
        </is>
      </c>
      <c r="J142" s="29" t="n">
        <v>7592.67</v>
      </c>
      <c r="K142" s="30" t="n"/>
    </row>
    <row r="143">
      <c r="A143" t="inlineStr">
        <is>
          <t>ENC113800</t>
        </is>
      </c>
      <c r="B143" t="inlineStr">
        <is>
          <t>PT13853</t>
        </is>
      </c>
      <c r="C143" t="inlineStr">
        <is>
          <t>Outpatient</t>
        </is>
      </c>
      <c r="D143" s="28" t="n">
        <v>45747</v>
      </c>
      <c r="E143" s="28" t="n">
        <v>45747</v>
      </c>
      <c r="F143" t="inlineStr">
        <is>
          <t>D430</t>
        </is>
      </c>
      <c r="G143" t="inlineStr">
        <is>
          <t>PRV1112</t>
        </is>
      </c>
      <c r="H143" t="inlineStr">
        <is>
          <t>Z51.11</t>
        </is>
      </c>
      <c r="I143" t="inlineStr">
        <is>
          <t>PY02</t>
        </is>
      </c>
      <c r="J143" s="29" t="n">
        <v>12854.34</v>
      </c>
      <c r="K143" s="30" t="n"/>
    </row>
    <row r="144">
      <c r="A144" t="inlineStr">
        <is>
          <t>ENC113849</t>
        </is>
      </c>
      <c r="B144" t="inlineStr">
        <is>
          <t>PT10925</t>
        </is>
      </c>
      <c r="C144" t="inlineStr">
        <is>
          <t>Outpatient</t>
        </is>
      </c>
      <c r="D144" s="28" t="n">
        <v>45749</v>
      </c>
      <c r="E144" s="28" t="n">
        <v>45749</v>
      </c>
      <c r="F144" t="inlineStr">
        <is>
          <t>D400</t>
        </is>
      </c>
      <c r="G144" t="inlineStr">
        <is>
          <t>PRV1137</t>
        </is>
      </c>
      <c r="H144" t="inlineStr">
        <is>
          <t>M54.50</t>
        </is>
      </c>
      <c r="I144" t="inlineStr">
        <is>
          <t>PY08</t>
        </is>
      </c>
      <c r="J144" s="29" t="n">
        <v>720.26</v>
      </c>
      <c r="K144" s="30" t="n"/>
    </row>
    <row r="145">
      <c r="A145" t="inlineStr">
        <is>
          <t>ENC113855</t>
        </is>
      </c>
      <c r="B145" t="inlineStr">
        <is>
          <t>PT12671</t>
        </is>
      </c>
      <c r="C145" t="inlineStr">
        <is>
          <t>Inpatient</t>
        </is>
      </c>
      <c r="D145" s="28" t="n">
        <v>45749</v>
      </c>
      <c r="E145" s="28" t="n">
        <v>45754</v>
      </c>
      <c r="F145" t="inlineStr">
        <is>
          <t>D210</t>
        </is>
      </c>
      <c r="G145" t="inlineStr">
        <is>
          <t>PRV1047</t>
        </is>
      </c>
      <c r="H145" t="inlineStr">
        <is>
          <t>J18.9</t>
        </is>
      </c>
      <c r="I145" t="inlineStr">
        <is>
          <t>PY06</t>
        </is>
      </c>
      <c r="J145" s="29" t="n">
        <v>17362.89</v>
      </c>
      <c r="K145" s="30" t="n"/>
    </row>
    <row r="146">
      <c r="A146" t="inlineStr">
        <is>
          <t>ENC113893</t>
        </is>
      </c>
      <c r="B146" t="inlineStr">
        <is>
          <t>PT12169</t>
        </is>
      </c>
      <c r="C146" t="inlineStr">
        <is>
          <t>Outpatient</t>
        </is>
      </c>
      <c r="D146" s="28" t="n">
        <v>45750</v>
      </c>
      <c r="E146" s="28" t="n">
        <v>45750</v>
      </c>
      <c r="F146" t="inlineStr">
        <is>
          <t>D400</t>
        </is>
      </c>
      <c r="G146" t="inlineStr">
        <is>
          <t>PRV1137</t>
        </is>
      </c>
      <c r="H146" t="inlineStr">
        <is>
          <t>I10</t>
        </is>
      </c>
      <c r="I146" t="inlineStr">
        <is>
          <t>PY05</t>
        </is>
      </c>
      <c r="J146" s="29" t="n">
        <v>197.14</v>
      </c>
      <c r="K146" s="30" t="n"/>
    </row>
    <row r="147">
      <c r="A147" t="inlineStr">
        <is>
          <t>ENC113912</t>
        </is>
      </c>
      <c r="B147" t="inlineStr">
        <is>
          <t>PT10130</t>
        </is>
      </c>
      <c r="C147" t="inlineStr">
        <is>
          <t>Inpatient</t>
        </is>
      </c>
      <c r="D147" s="28" t="n">
        <v>45751</v>
      </c>
      <c r="E147" s="28" t="n">
        <v>45754</v>
      </c>
      <c r="F147" t="inlineStr">
        <is>
          <t>D120</t>
        </is>
      </c>
      <c r="G147" t="inlineStr">
        <is>
          <t>PRV1054</t>
        </is>
      </c>
      <c r="H147" t="inlineStr">
        <is>
          <t>I21.4</t>
        </is>
      </c>
      <c r="I147" t="inlineStr">
        <is>
          <t>PY02</t>
        </is>
      </c>
      <c r="J147" s="29" t="n">
        <v>80648.23</v>
      </c>
      <c r="K147" s="30" t="n"/>
    </row>
    <row r="148">
      <c r="A148" t="inlineStr">
        <is>
          <t>ENC113940</t>
        </is>
      </c>
      <c r="B148" t="inlineStr">
        <is>
          <t>PT10808</t>
        </is>
      </c>
      <c r="C148" t="inlineStr">
        <is>
          <t>Emergency</t>
        </is>
      </c>
      <c r="D148" s="28" t="n">
        <v>45751</v>
      </c>
      <c r="E148" s="28" t="n">
        <v>45751</v>
      </c>
      <c r="F148" t="inlineStr">
        <is>
          <t>D100</t>
        </is>
      </c>
      <c r="G148" t="inlineStr">
        <is>
          <t>PRV1007</t>
        </is>
      </c>
      <c r="H148" t="inlineStr">
        <is>
          <t>R10.9</t>
        </is>
      </c>
      <c r="I148" t="inlineStr">
        <is>
          <t>PY01</t>
        </is>
      </c>
      <c r="J148" s="29" t="n">
        <v>3629.32</v>
      </c>
      <c r="K148" s="30" t="n"/>
    </row>
    <row r="149">
      <c r="A149" t="inlineStr">
        <is>
          <t>ENC113950</t>
        </is>
      </c>
      <c r="B149" t="inlineStr">
        <is>
          <t>PT10262</t>
        </is>
      </c>
      <c r="C149" t="inlineStr">
        <is>
          <t>Inpatient</t>
        </is>
      </c>
      <c r="D149" s="28" t="n">
        <v>45752</v>
      </c>
      <c r="E149" s="28" t="n">
        <v>45759</v>
      </c>
      <c r="F149" t="inlineStr">
        <is>
          <t>D110</t>
        </is>
      </c>
      <c r="G149" t="inlineStr">
        <is>
          <t>PRV1038</t>
        </is>
      </c>
      <c r="H149" t="inlineStr">
        <is>
          <t>J18.9</t>
        </is>
      </c>
      <c r="I149" t="inlineStr">
        <is>
          <t>PY02</t>
        </is>
      </c>
      <c r="J149" s="29" t="n">
        <v>29620.9</v>
      </c>
      <c r="K149" s="30" t="n"/>
    </row>
    <row r="150">
      <c r="A150" t="inlineStr">
        <is>
          <t>ENC113996</t>
        </is>
      </c>
      <c r="B150" t="inlineStr">
        <is>
          <t>PT13494</t>
        </is>
      </c>
      <c r="C150" t="inlineStr">
        <is>
          <t>Outpatient</t>
        </is>
      </c>
      <c r="D150" s="28" t="n">
        <v>45754</v>
      </c>
      <c r="E150" s="28" t="n">
        <v>45754</v>
      </c>
      <c r="F150" t="inlineStr">
        <is>
          <t>D440</t>
        </is>
      </c>
      <c r="G150" t="inlineStr">
        <is>
          <t>PRV1141</t>
        </is>
      </c>
      <c r="H150" t="inlineStr">
        <is>
          <t>E11.65</t>
        </is>
      </c>
      <c r="I150" t="inlineStr">
        <is>
          <t>PY02</t>
        </is>
      </c>
      <c r="J150" s="29" t="n">
        <v>179.52</v>
      </c>
      <c r="K150" s="30" t="n"/>
    </row>
    <row r="151">
      <c r="A151" t="inlineStr">
        <is>
          <t>ENC114005</t>
        </is>
      </c>
      <c r="B151" t="inlineStr">
        <is>
          <t>PT10579</t>
        </is>
      </c>
      <c r="C151" t="inlineStr">
        <is>
          <t>Inpatient</t>
        </is>
      </c>
      <c r="D151" s="28" t="n">
        <v>45754</v>
      </c>
      <c r="E151" s="28" t="n">
        <v>45758</v>
      </c>
      <c r="F151" t="inlineStr">
        <is>
          <t>D111</t>
        </is>
      </c>
      <c r="G151" t="inlineStr">
        <is>
          <t>PRV1035</t>
        </is>
      </c>
      <c r="H151" t="inlineStr">
        <is>
          <t>K92.2</t>
        </is>
      </c>
      <c r="I151" t="inlineStr">
        <is>
          <t>PY04</t>
        </is>
      </c>
      <c r="J151" s="29" t="n">
        <v>24138.29</v>
      </c>
      <c r="K151" s="30" t="n"/>
    </row>
    <row r="152">
      <c r="A152" t="inlineStr">
        <is>
          <t>ENC114027</t>
        </is>
      </c>
      <c r="B152" t="inlineStr">
        <is>
          <t>PT10925</t>
        </is>
      </c>
      <c r="C152" t="inlineStr">
        <is>
          <t>Outpatient</t>
        </is>
      </c>
      <c r="D152" s="28" t="n">
        <v>45755</v>
      </c>
      <c r="E152" s="28" t="n">
        <v>45755</v>
      </c>
      <c r="F152" t="inlineStr">
        <is>
          <t>D430</t>
        </is>
      </c>
      <c r="G152" t="inlineStr">
        <is>
          <t>PRV1114</t>
        </is>
      </c>
      <c r="H152" t="inlineStr">
        <is>
          <t>Z51.11</t>
        </is>
      </c>
      <c r="I152" t="inlineStr">
        <is>
          <t>PY03</t>
        </is>
      </c>
      <c r="J152" s="29" t="n">
        <v>18541.8</v>
      </c>
      <c r="K152" s="30" t="n"/>
    </row>
    <row r="153">
      <c r="A153" t="inlineStr">
        <is>
          <t>ENC114038</t>
        </is>
      </c>
      <c r="B153" t="inlineStr">
        <is>
          <t>PT13746</t>
        </is>
      </c>
      <c r="C153" t="inlineStr">
        <is>
          <t>Emergency</t>
        </is>
      </c>
      <c r="D153" s="28" t="n">
        <v>45755</v>
      </c>
      <c r="E153" s="28" t="n">
        <v>45755</v>
      </c>
      <c r="F153" t="inlineStr">
        <is>
          <t>D100</t>
        </is>
      </c>
      <c r="G153" t="inlineStr">
        <is>
          <t>PRV1006</t>
        </is>
      </c>
      <c r="H153" t="inlineStr">
        <is>
          <t>J06.9</t>
        </is>
      </c>
      <c r="I153" t="inlineStr">
        <is>
          <t>PY01</t>
        </is>
      </c>
      <c r="J153" s="29" t="n">
        <v>1790.03</v>
      </c>
      <c r="K153" s="30" t="n"/>
    </row>
    <row r="154">
      <c r="A154" t="inlineStr">
        <is>
          <t>ENC114043</t>
        </is>
      </c>
      <c r="B154" t="inlineStr">
        <is>
          <t>PT11172</t>
        </is>
      </c>
      <c r="C154" t="inlineStr">
        <is>
          <t>Outpatient</t>
        </is>
      </c>
      <c r="D154" s="28" t="n">
        <v>45756</v>
      </c>
      <c r="E154" s="28" t="n">
        <v>45756</v>
      </c>
      <c r="F154" t="inlineStr">
        <is>
          <t>D400</t>
        </is>
      </c>
      <c r="G154" t="inlineStr">
        <is>
          <t>PRV1137</t>
        </is>
      </c>
      <c r="H154" t="inlineStr">
        <is>
          <t>N39.0</t>
        </is>
      </c>
      <c r="I154" t="inlineStr">
        <is>
          <t>PY04</t>
        </is>
      </c>
      <c r="J154" s="29" t="n">
        <v>187.19</v>
      </c>
      <c r="K154" s="30" t="n"/>
    </row>
    <row r="155">
      <c r="A155" t="inlineStr">
        <is>
          <t>ENC114049</t>
        </is>
      </c>
      <c r="B155" t="inlineStr">
        <is>
          <t>PT12787</t>
        </is>
      </c>
      <c r="C155" t="inlineStr">
        <is>
          <t>Outpatient</t>
        </is>
      </c>
      <c r="D155" s="28" t="n">
        <v>45756</v>
      </c>
      <c r="E155" s="28" t="n">
        <v>45756</v>
      </c>
      <c r="F155" t="inlineStr">
        <is>
          <t>D440</t>
        </is>
      </c>
      <c r="G155" t="inlineStr">
        <is>
          <t>PRV1143</t>
        </is>
      </c>
      <c r="H155" t="inlineStr">
        <is>
          <t>E11.9</t>
        </is>
      </c>
      <c r="I155" t="inlineStr">
        <is>
          <t>PY03</t>
        </is>
      </c>
      <c r="J155" s="29" t="n">
        <v>423.54</v>
      </c>
      <c r="K155" s="30" t="n"/>
    </row>
    <row r="156">
      <c r="A156" t="inlineStr">
        <is>
          <t>ENC114057</t>
        </is>
      </c>
      <c r="B156" t="inlineStr">
        <is>
          <t>PT12070</t>
        </is>
      </c>
      <c r="C156" t="inlineStr">
        <is>
          <t>Inpatient</t>
        </is>
      </c>
      <c r="D156" s="28" t="n">
        <v>45756</v>
      </c>
      <c r="E156" s="28" t="n">
        <v>45763</v>
      </c>
      <c r="F156" t="inlineStr">
        <is>
          <t>D330</t>
        </is>
      </c>
      <c r="G156" t="inlineStr">
        <is>
          <t>PRV1071</t>
        </is>
      </c>
      <c r="H156" t="inlineStr">
        <is>
          <t>J96.01</t>
        </is>
      </c>
      <c r="I156" t="inlineStr">
        <is>
          <t>PY04</t>
        </is>
      </c>
      <c r="J156" s="29" t="n">
        <v>108791.28</v>
      </c>
      <c r="K156" s="30" t="n"/>
    </row>
    <row r="157">
      <c r="A157" t="inlineStr">
        <is>
          <t>ENC114067</t>
        </is>
      </c>
      <c r="B157" t="inlineStr">
        <is>
          <t>PT13103</t>
        </is>
      </c>
      <c r="C157" t="inlineStr">
        <is>
          <t>Emergency</t>
        </is>
      </c>
      <c r="D157" s="28" t="n">
        <v>45757</v>
      </c>
      <c r="E157" s="28" t="n">
        <v>45757</v>
      </c>
      <c r="F157" t="inlineStr">
        <is>
          <t>D200</t>
        </is>
      </c>
      <c r="G157" t="inlineStr">
        <is>
          <t>PRV1018</t>
        </is>
      </c>
      <c r="H157" t="inlineStr">
        <is>
          <t>N39.0</t>
        </is>
      </c>
      <c r="I157" t="inlineStr">
        <is>
          <t>PY06</t>
        </is>
      </c>
      <c r="J157" s="29" t="n">
        <v>2766.16</v>
      </c>
      <c r="K157" s="30" t="n"/>
    </row>
    <row r="158">
      <c r="A158" t="inlineStr">
        <is>
          <t>ENC114070</t>
        </is>
      </c>
      <c r="B158" t="inlineStr">
        <is>
          <t>PT13163</t>
        </is>
      </c>
      <c r="C158" t="inlineStr">
        <is>
          <t>Outpatient</t>
        </is>
      </c>
      <c r="D158" s="28" t="n">
        <v>45757</v>
      </c>
      <c r="E158" s="28" t="n">
        <v>45757</v>
      </c>
      <c r="F158" t="inlineStr">
        <is>
          <t>D400</t>
        </is>
      </c>
      <c r="G158" t="inlineStr">
        <is>
          <t>PRV1137</t>
        </is>
      </c>
      <c r="H158" t="inlineStr">
        <is>
          <t>J06.9</t>
        </is>
      </c>
      <c r="I158" t="inlineStr">
        <is>
          <t>PY07</t>
        </is>
      </c>
      <c r="J158" s="29" t="n">
        <v>254.05</v>
      </c>
      <c r="K158" s="30" t="n"/>
    </row>
    <row r="159">
      <c r="A159" t="inlineStr">
        <is>
          <t>ENC114110</t>
        </is>
      </c>
      <c r="B159" t="inlineStr">
        <is>
          <t>PT10395</t>
        </is>
      </c>
      <c r="C159" t="inlineStr">
        <is>
          <t>Outpatient</t>
        </is>
      </c>
      <c r="D159" s="28" t="n">
        <v>45758</v>
      </c>
      <c r="E159" s="28" t="n">
        <v>45758</v>
      </c>
      <c r="F159" t="inlineStr">
        <is>
          <t>D400</t>
        </is>
      </c>
      <c r="G159" t="inlineStr">
        <is>
          <t>PRV1128</t>
        </is>
      </c>
      <c r="H159" t="inlineStr">
        <is>
          <t>I10</t>
        </is>
      </c>
      <c r="I159" t="inlineStr">
        <is>
          <t>PY02</t>
        </is>
      </c>
      <c r="J159" s="29" t="n">
        <v>431.51</v>
      </c>
      <c r="K159" s="30" t="n"/>
    </row>
    <row r="160">
      <c r="A160" t="inlineStr">
        <is>
          <t>ENC114128</t>
        </is>
      </c>
      <c r="B160" t="inlineStr">
        <is>
          <t>PT11337</t>
        </is>
      </c>
      <c r="C160" t="inlineStr">
        <is>
          <t>Outpatient</t>
        </is>
      </c>
      <c r="D160" s="28" t="n">
        <v>45758</v>
      </c>
      <c r="E160" s="28" t="n">
        <v>45758</v>
      </c>
      <c r="F160" t="inlineStr">
        <is>
          <t>D440</t>
        </is>
      </c>
      <c r="G160" t="inlineStr">
        <is>
          <t>PRV1141</t>
        </is>
      </c>
      <c r="H160" t="inlineStr">
        <is>
          <t>E11.9</t>
        </is>
      </c>
      <c r="I160" t="inlineStr">
        <is>
          <t>PY03</t>
        </is>
      </c>
      <c r="J160" s="29" t="n">
        <v>759.11</v>
      </c>
      <c r="K160" s="30" t="n"/>
    </row>
    <row r="161">
      <c r="A161" t="inlineStr">
        <is>
          <t>ENC114129</t>
        </is>
      </c>
      <c r="B161" t="inlineStr">
        <is>
          <t>PT10974</t>
        </is>
      </c>
      <c r="C161" t="inlineStr">
        <is>
          <t>Outpatient</t>
        </is>
      </c>
      <c r="D161" s="28" t="n">
        <v>45758</v>
      </c>
      <c r="E161" s="28" t="n">
        <v>45758</v>
      </c>
      <c r="F161" t="inlineStr">
        <is>
          <t>D430</t>
        </is>
      </c>
      <c r="G161" t="inlineStr">
        <is>
          <t>PRV1114</t>
        </is>
      </c>
      <c r="H161" t="inlineStr">
        <is>
          <t>C50.911</t>
        </is>
      </c>
      <c r="I161" t="inlineStr">
        <is>
          <t>PY01</t>
        </is>
      </c>
      <c r="J161" s="29" t="n">
        <v>375.95</v>
      </c>
      <c r="K161" s="30" t="n"/>
    </row>
    <row r="162">
      <c r="A162" t="inlineStr">
        <is>
          <t>ENC114148</t>
        </is>
      </c>
      <c r="B162" t="inlineStr">
        <is>
          <t>PT12874</t>
        </is>
      </c>
      <c r="C162" t="inlineStr">
        <is>
          <t>Inpatient</t>
        </is>
      </c>
      <c r="D162" s="28" t="n">
        <v>45760</v>
      </c>
      <c r="E162" s="28" t="n">
        <v>45764</v>
      </c>
      <c r="F162" t="inlineStr">
        <is>
          <t>D230</t>
        </is>
      </c>
      <c r="G162" t="inlineStr">
        <is>
          <t>PRV1068</t>
        </is>
      </c>
      <c r="H162" t="inlineStr">
        <is>
          <t>A41.9</t>
        </is>
      </c>
      <c r="I162" t="inlineStr">
        <is>
          <t>PY04</t>
        </is>
      </c>
      <c r="J162" s="29" t="n">
        <v>42336.11</v>
      </c>
      <c r="K162" s="30" t="n"/>
    </row>
    <row r="163">
      <c r="A163" t="inlineStr">
        <is>
          <t>ENC114150</t>
        </is>
      </c>
      <c r="B163" t="inlineStr">
        <is>
          <t>PT10876</t>
        </is>
      </c>
      <c r="C163" t="inlineStr">
        <is>
          <t>Inpatient</t>
        </is>
      </c>
      <c r="D163" s="28" t="n">
        <v>45760</v>
      </c>
      <c r="E163" s="28" t="n">
        <v>45763</v>
      </c>
      <c r="F163" t="inlineStr">
        <is>
          <t>D210</t>
        </is>
      </c>
      <c r="G163" t="inlineStr">
        <is>
          <t>PRV1046</t>
        </is>
      </c>
      <c r="H163" t="inlineStr">
        <is>
          <t>N39.0</t>
        </is>
      </c>
      <c r="I163" t="inlineStr">
        <is>
          <t>PY03</t>
        </is>
      </c>
      <c r="J163" s="29" t="n">
        <v>17107.79</v>
      </c>
      <c r="K163" s="30" t="n"/>
    </row>
    <row r="164">
      <c r="A164" t="inlineStr">
        <is>
          <t>ENC114182</t>
        </is>
      </c>
      <c r="B164" t="inlineStr">
        <is>
          <t>PT12092</t>
        </is>
      </c>
      <c r="C164" t="inlineStr">
        <is>
          <t>Outpatient</t>
        </is>
      </c>
      <c r="D164" s="28" t="n">
        <v>45761</v>
      </c>
      <c r="E164" s="28" t="n">
        <v>45761</v>
      </c>
      <c r="F164" t="inlineStr">
        <is>
          <t>D400</t>
        </is>
      </c>
      <c r="G164" t="inlineStr">
        <is>
          <t>PRV1137</t>
        </is>
      </c>
      <c r="H164" t="inlineStr">
        <is>
          <t>M54.50</t>
        </is>
      </c>
      <c r="I164" t="inlineStr">
        <is>
          <t>PY03</t>
        </is>
      </c>
      <c r="J164" s="29" t="n">
        <v>368.87</v>
      </c>
      <c r="K164" s="30" t="n"/>
    </row>
    <row r="165">
      <c r="A165" t="inlineStr">
        <is>
          <t>ENC114199</t>
        </is>
      </c>
      <c r="B165" t="inlineStr">
        <is>
          <t>PT10513</t>
        </is>
      </c>
      <c r="C165" t="inlineStr">
        <is>
          <t>Inpatient</t>
        </is>
      </c>
      <c r="D165" s="28" t="n">
        <v>45761</v>
      </c>
      <c r="E165" s="28" t="n">
        <v>45764</v>
      </c>
      <c r="F165" t="inlineStr">
        <is>
          <t>D310</t>
        </is>
      </c>
      <c r="G165" t="inlineStr">
        <is>
          <t>PRV1090</t>
        </is>
      </c>
      <c r="H165" t="inlineStr">
        <is>
          <t>K56.609</t>
        </is>
      </c>
      <c r="I165" t="inlineStr">
        <is>
          <t>PY04</t>
        </is>
      </c>
      <c r="J165" s="29" t="n">
        <v>23441.65</v>
      </c>
      <c r="K165" s="30" t="n"/>
    </row>
    <row r="166">
      <c r="A166" t="inlineStr">
        <is>
          <t>ENC114216</t>
        </is>
      </c>
      <c r="B166" t="inlineStr">
        <is>
          <t>PT10423</t>
        </is>
      </c>
      <c r="C166" t="inlineStr">
        <is>
          <t>Outpatient</t>
        </is>
      </c>
      <c r="D166" s="28" t="n">
        <v>45762</v>
      </c>
      <c r="E166" s="28" t="n">
        <v>45762</v>
      </c>
      <c r="F166" t="inlineStr">
        <is>
          <t>D400</t>
        </is>
      </c>
      <c r="G166" t="inlineStr">
        <is>
          <t>PRV1137</t>
        </is>
      </c>
      <c r="H166" t="inlineStr">
        <is>
          <t>J06.9</t>
        </is>
      </c>
      <c r="I166" t="inlineStr">
        <is>
          <t>PY02</t>
        </is>
      </c>
      <c r="J166" s="29" t="n">
        <v>362.83</v>
      </c>
      <c r="K166" s="30" t="n"/>
    </row>
    <row r="167">
      <c r="A167" t="inlineStr">
        <is>
          <t>ENC114221</t>
        </is>
      </c>
      <c r="B167" t="inlineStr">
        <is>
          <t>PT10395</t>
        </is>
      </c>
      <c r="C167" t="inlineStr">
        <is>
          <t>Outpatient</t>
        </is>
      </c>
      <c r="D167" s="28" t="n">
        <v>45762</v>
      </c>
      <c r="E167" s="28" t="n">
        <v>45762</v>
      </c>
      <c r="F167" t="inlineStr">
        <is>
          <t>D420</t>
        </is>
      </c>
      <c r="G167" t="inlineStr">
        <is>
          <t>PRV1080</t>
        </is>
      </c>
      <c r="H167" t="inlineStr">
        <is>
          <t>M17.11</t>
        </is>
      </c>
      <c r="I167" t="inlineStr">
        <is>
          <t>PY02</t>
        </is>
      </c>
      <c r="J167" s="29" t="n">
        <v>700.48</v>
      </c>
      <c r="K167" s="30" t="n"/>
    </row>
    <row r="168">
      <c r="A168" t="inlineStr">
        <is>
          <t>ENC114232</t>
        </is>
      </c>
      <c r="B168" t="inlineStr">
        <is>
          <t>PT13746</t>
        </is>
      </c>
      <c r="C168" t="inlineStr">
        <is>
          <t>Outpatient</t>
        </is>
      </c>
      <c r="D168" s="28" t="n">
        <v>45763</v>
      </c>
      <c r="E168" s="28" t="n">
        <v>45763</v>
      </c>
      <c r="F168" t="inlineStr">
        <is>
          <t>D400</t>
        </is>
      </c>
      <c r="G168" t="inlineStr">
        <is>
          <t>PRV1137</t>
        </is>
      </c>
      <c r="H168" t="inlineStr">
        <is>
          <t>E78.5</t>
        </is>
      </c>
      <c r="I168" t="inlineStr">
        <is>
          <t>PY01</t>
        </is>
      </c>
      <c r="J168" s="29" t="n">
        <v>244.43</v>
      </c>
      <c r="K168" s="30" t="n"/>
    </row>
    <row r="169">
      <c r="A169" t="inlineStr">
        <is>
          <t>ENC114264</t>
        </is>
      </c>
      <c r="B169" t="inlineStr">
        <is>
          <t>PT12702</t>
        </is>
      </c>
      <c r="C169" t="inlineStr">
        <is>
          <t>Inpatient</t>
        </is>
      </c>
      <c r="D169" s="28" t="n">
        <v>45763</v>
      </c>
      <c r="E169" s="28" t="n">
        <v>45766</v>
      </c>
      <c r="F169" t="inlineStr">
        <is>
          <t>D190</t>
        </is>
      </c>
      <c r="G169" t="inlineStr">
        <is>
          <t>PRV1122</t>
        </is>
      </c>
      <c r="H169" t="inlineStr">
        <is>
          <t>F32.9</t>
        </is>
      </c>
      <c r="I169" t="inlineStr">
        <is>
          <t>PY06</t>
        </is>
      </c>
      <c r="J169" s="29" t="n">
        <v>9788.879999999999</v>
      </c>
      <c r="K169" s="30" t="n"/>
    </row>
    <row r="170">
      <c r="A170" t="inlineStr">
        <is>
          <t>ENC114280</t>
        </is>
      </c>
      <c r="B170" t="inlineStr">
        <is>
          <t>PT10413</t>
        </is>
      </c>
      <c r="C170" t="inlineStr">
        <is>
          <t>Outpatient</t>
        </is>
      </c>
      <c r="D170" s="28" t="n">
        <v>45764</v>
      </c>
      <c r="E170" s="28" t="n">
        <v>45764</v>
      </c>
      <c r="F170" t="inlineStr">
        <is>
          <t>D400</t>
        </is>
      </c>
      <c r="G170" t="inlineStr">
        <is>
          <t>PRV1131</t>
        </is>
      </c>
      <c r="H170" t="inlineStr">
        <is>
          <t>J44.1</t>
        </is>
      </c>
      <c r="I170" t="inlineStr">
        <is>
          <t>PY07</t>
        </is>
      </c>
      <c r="J170" s="29" t="n">
        <v>380.29</v>
      </c>
      <c r="K170" s="30" t="n"/>
    </row>
    <row r="171">
      <c r="A171" t="inlineStr">
        <is>
          <t>ENC114286</t>
        </is>
      </c>
      <c r="B171" t="inlineStr">
        <is>
          <t>PT12958</t>
        </is>
      </c>
      <c r="C171" t="inlineStr">
        <is>
          <t>Outpatient</t>
        </is>
      </c>
      <c r="D171" s="28" t="n">
        <v>45764</v>
      </c>
      <c r="E171" s="28" t="n">
        <v>45764</v>
      </c>
      <c r="F171" t="inlineStr">
        <is>
          <t>D400</t>
        </is>
      </c>
      <c r="G171" t="inlineStr">
        <is>
          <t>PRV1137</t>
        </is>
      </c>
      <c r="H171" t="inlineStr">
        <is>
          <t>M54.50</t>
        </is>
      </c>
      <c r="I171" t="inlineStr">
        <is>
          <t>PY02</t>
        </is>
      </c>
      <c r="J171" s="29" t="n">
        <v>236.56</v>
      </c>
      <c r="K171" s="30" t="n"/>
    </row>
    <row r="172">
      <c r="A172" t="inlineStr">
        <is>
          <t>ENC114309</t>
        </is>
      </c>
      <c r="B172" t="inlineStr">
        <is>
          <t>PT10395</t>
        </is>
      </c>
      <c r="C172" t="inlineStr">
        <is>
          <t>Outpatient</t>
        </is>
      </c>
      <c r="D172" s="28" t="n">
        <v>45765</v>
      </c>
      <c r="E172" s="28" t="n">
        <v>45765</v>
      </c>
      <c r="F172" t="inlineStr">
        <is>
          <t>D400</t>
        </is>
      </c>
      <c r="G172" t="inlineStr">
        <is>
          <t>PRV1137</t>
        </is>
      </c>
      <c r="H172" t="inlineStr">
        <is>
          <t>Z00.00</t>
        </is>
      </c>
      <c r="I172" t="inlineStr">
        <is>
          <t>PY02</t>
        </is>
      </c>
      <c r="J172" s="29" t="n">
        <v>469.18</v>
      </c>
      <c r="K172" s="30" t="n"/>
    </row>
    <row r="173">
      <c r="A173" t="inlineStr">
        <is>
          <t>ENC114319</t>
        </is>
      </c>
      <c r="B173" t="inlineStr">
        <is>
          <t>PT10262</t>
        </is>
      </c>
      <c r="C173" t="inlineStr">
        <is>
          <t>Inpatient</t>
        </is>
      </c>
      <c r="D173" s="28" t="n">
        <v>45765</v>
      </c>
      <c r="E173" s="28" t="n">
        <v>45770</v>
      </c>
      <c r="F173" t="inlineStr">
        <is>
          <t>D111</t>
        </is>
      </c>
      <c r="G173" t="inlineStr">
        <is>
          <t>PRV1037</t>
        </is>
      </c>
      <c r="H173" t="inlineStr">
        <is>
          <t>E87.1</t>
        </is>
      </c>
      <c r="I173" t="inlineStr">
        <is>
          <t>PY02</t>
        </is>
      </c>
      <c r="J173" s="29" t="n">
        <v>17416.52</v>
      </c>
      <c r="K173" s="30" t="n"/>
    </row>
    <row r="174">
      <c r="A174" t="inlineStr">
        <is>
          <t>ENC114337</t>
        </is>
      </c>
      <c r="B174" t="inlineStr">
        <is>
          <t>PT12070</t>
        </is>
      </c>
      <c r="C174" t="inlineStr">
        <is>
          <t>Emergency</t>
        </is>
      </c>
      <c r="D174" s="28" t="n">
        <v>45766</v>
      </c>
      <c r="E174" s="28" t="n">
        <v>45766</v>
      </c>
      <c r="F174" t="inlineStr">
        <is>
          <t>D100</t>
        </is>
      </c>
      <c r="G174" t="inlineStr">
        <is>
          <t>PRV1005</t>
        </is>
      </c>
      <c r="H174" t="inlineStr">
        <is>
          <t>R10.9</t>
        </is>
      </c>
      <c r="I174" t="inlineStr">
        <is>
          <t>PY04</t>
        </is>
      </c>
      <c r="J174" s="29" t="n">
        <v>2339.62</v>
      </c>
      <c r="K174" s="30" t="n"/>
    </row>
    <row r="175">
      <c r="A175" t="inlineStr">
        <is>
          <t>ENC114374</t>
        </is>
      </c>
      <c r="B175" t="inlineStr">
        <is>
          <t>PT10424</t>
        </is>
      </c>
      <c r="C175" t="inlineStr">
        <is>
          <t>Emergency</t>
        </is>
      </c>
      <c r="D175" s="28" t="n">
        <v>45768</v>
      </c>
      <c r="E175" s="28" t="n">
        <v>45768</v>
      </c>
      <c r="F175" t="inlineStr">
        <is>
          <t>D100</t>
        </is>
      </c>
      <c r="G175" t="inlineStr">
        <is>
          <t>PRV1008</t>
        </is>
      </c>
      <c r="H175" t="inlineStr">
        <is>
          <t>J18.9</t>
        </is>
      </c>
      <c r="I175" t="inlineStr">
        <is>
          <t>PY07</t>
        </is>
      </c>
      <c r="J175" s="29" t="n">
        <v>5213.48</v>
      </c>
      <c r="K175" s="30" t="n"/>
    </row>
    <row r="176">
      <c r="A176" t="inlineStr">
        <is>
          <t>ENC114377</t>
        </is>
      </c>
      <c r="B176" t="inlineStr">
        <is>
          <t>PT10103</t>
        </is>
      </c>
      <c r="C176" t="inlineStr">
        <is>
          <t>Outpatient</t>
        </is>
      </c>
      <c r="D176" s="28" t="n">
        <v>45768</v>
      </c>
      <c r="E176" s="28" t="n">
        <v>45768</v>
      </c>
      <c r="F176" t="inlineStr">
        <is>
          <t>D400</t>
        </is>
      </c>
      <c r="G176" t="inlineStr">
        <is>
          <t>PRV1131</t>
        </is>
      </c>
      <c r="H176" t="inlineStr">
        <is>
          <t>K80.20</t>
        </is>
      </c>
      <c r="I176" t="inlineStr">
        <is>
          <t>PY01</t>
        </is>
      </c>
      <c r="J176" s="29" t="n">
        <v>418.64</v>
      </c>
      <c r="K176" s="30" t="n"/>
    </row>
    <row r="177">
      <c r="A177" t="inlineStr">
        <is>
          <t>ENC114408</t>
        </is>
      </c>
      <c r="B177" t="inlineStr">
        <is>
          <t>PT12173</t>
        </is>
      </c>
      <c r="C177" t="inlineStr">
        <is>
          <t>Emergency</t>
        </is>
      </c>
      <c r="D177" s="28" t="n">
        <v>45769</v>
      </c>
      <c r="E177" s="28" t="n">
        <v>45769</v>
      </c>
      <c r="F177" t="inlineStr">
        <is>
          <t>D100</t>
        </is>
      </c>
      <c r="G177" t="inlineStr">
        <is>
          <t>PRV1009</t>
        </is>
      </c>
      <c r="H177" t="inlineStr">
        <is>
          <t>J45.909</t>
        </is>
      </c>
      <c r="I177" t="inlineStr">
        <is>
          <t>PY01</t>
        </is>
      </c>
      <c r="J177" s="29" t="n">
        <v>2575.57</v>
      </c>
      <c r="K177" s="30" t="n"/>
    </row>
    <row r="178">
      <c r="A178" t="inlineStr">
        <is>
          <t>ENC114419</t>
        </is>
      </c>
      <c r="B178" t="inlineStr">
        <is>
          <t>PT10444</t>
        </is>
      </c>
      <c r="C178" t="inlineStr">
        <is>
          <t>Outpatient</t>
        </is>
      </c>
      <c r="D178" s="28" t="n">
        <v>45769</v>
      </c>
      <c r="E178" s="28" t="n">
        <v>45769</v>
      </c>
      <c r="F178" t="inlineStr">
        <is>
          <t>D400</t>
        </is>
      </c>
      <c r="G178" t="inlineStr">
        <is>
          <t>PRV1137</t>
        </is>
      </c>
      <c r="H178" t="inlineStr">
        <is>
          <t>I10</t>
        </is>
      </c>
      <c r="I178" t="inlineStr">
        <is>
          <t>PY01</t>
        </is>
      </c>
      <c r="J178" s="29" t="n">
        <v>383.19</v>
      </c>
      <c r="K178" s="30" t="n"/>
    </row>
    <row r="179">
      <c r="A179" t="inlineStr">
        <is>
          <t>ENC114446</t>
        </is>
      </c>
      <c r="B179" t="inlineStr">
        <is>
          <t>PT11172</t>
        </is>
      </c>
      <c r="C179" t="inlineStr">
        <is>
          <t>Inpatient</t>
        </is>
      </c>
      <c r="D179" s="28" t="n">
        <v>45770</v>
      </c>
      <c r="E179" s="28" t="n">
        <v>45773</v>
      </c>
      <c r="F179" t="inlineStr">
        <is>
          <t>D170</t>
        </is>
      </c>
      <c r="G179" t="inlineStr">
        <is>
          <t>PRV1094</t>
        </is>
      </c>
      <c r="H179" t="inlineStr">
        <is>
          <t>O82</t>
        </is>
      </c>
      <c r="I179" t="inlineStr">
        <is>
          <t>PY04</t>
        </is>
      </c>
      <c r="J179" s="29" t="n">
        <v>39023.56</v>
      </c>
      <c r="K179" s="30" t="n"/>
    </row>
    <row r="180">
      <c r="A180" t="inlineStr">
        <is>
          <t>ENC114464</t>
        </is>
      </c>
      <c r="B180" t="inlineStr">
        <is>
          <t>PT12671</t>
        </is>
      </c>
      <c r="C180" t="inlineStr">
        <is>
          <t>Outpatient</t>
        </is>
      </c>
      <c r="D180" s="28" t="n">
        <v>45770</v>
      </c>
      <c r="E180" s="28" t="n">
        <v>45770</v>
      </c>
      <c r="F180" t="inlineStr">
        <is>
          <t>D400</t>
        </is>
      </c>
      <c r="G180" t="inlineStr">
        <is>
          <t>PRV1137</t>
        </is>
      </c>
      <c r="H180" t="inlineStr">
        <is>
          <t>I10</t>
        </is>
      </c>
      <c r="I180" t="inlineStr">
        <is>
          <t>PY06</t>
        </is>
      </c>
      <c r="J180" s="29" t="n">
        <v>293.26</v>
      </c>
      <c r="K180" s="30" t="n"/>
    </row>
    <row r="181">
      <c r="A181" t="inlineStr">
        <is>
          <t>ENC114473</t>
        </is>
      </c>
      <c r="B181" t="inlineStr">
        <is>
          <t>PT11931</t>
        </is>
      </c>
      <c r="C181" t="inlineStr">
        <is>
          <t>Inpatient</t>
        </is>
      </c>
      <c r="D181" s="28" t="n">
        <v>45771</v>
      </c>
      <c r="E181" s="28" t="n">
        <v>45775</v>
      </c>
      <c r="F181" t="inlineStr">
        <is>
          <t>D120</t>
        </is>
      </c>
      <c r="G181" t="inlineStr">
        <is>
          <t>PRV1054</t>
        </is>
      </c>
      <c r="H181" t="inlineStr">
        <is>
          <t>I21.4</t>
        </is>
      </c>
      <c r="I181" t="inlineStr">
        <is>
          <t>PY01</t>
        </is>
      </c>
      <c r="J181" s="29" t="n">
        <v>64009.8</v>
      </c>
      <c r="K181" s="30" t="n"/>
    </row>
    <row r="182">
      <c r="A182" t="inlineStr">
        <is>
          <t>ENC114475</t>
        </is>
      </c>
      <c r="B182" t="inlineStr">
        <is>
          <t>PT10184</t>
        </is>
      </c>
      <c r="C182" t="inlineStr">
        <is>
          <t>Inpatient</t>
        </is>
      </c>
      <c r="D182" s="28" t="n">
        <v>45771</v>
      </c>
      <c r="E182" s="28" t="n">
        <v>45772</v>
      </c>
      <c r="F182" t="inlineStr">
        <is>
          <t>D170</t>
        </is>
      </c>
      <c r="G182" t="inlineStr">
        <is>
          <t>PRV1094</t>
        </is>
      </c>
      <c r="H182" t="inlineStr">
        <is>
          <t>O80</t>
        </is>
      </c>
      <c r="I182" t="inlineStr">
        <is>
          <t>PY04</t>
        </is>
      </c>
      <c r="J182" s="29" t="n">
        <v>8164.25</v>
      </c>
      <c r="K182" s="30" t="n"/>
    </row>
    <row r="183">
      <c r="A183" t="inlineStr">
        <is>
          <t>ENC114508</t>
        </is>
      </c>
      <c r="B183" t="inlineStr">
        <is>
          <t>PT13270</t>
        </is>
      </c>
      <c r="C183" t="inlineStr">
        <is>
          <t>Emergency</t>
        </is>
      </c>
      <c r="D183" s="28" t="n">
        <v>45772</v>
      </c>
      <c r="E183" s="28" t="n">
        <v>45772</v>
      </c>
      <c r="F183" t="inlineStr">
        <is>
          <t>D100</t>
        </is>
      </c>
      <c r="G183" t="inlineStr">
        <is>
          <t>PRV1004</t>
        </is>
      </c>
      <c r="H183" t="inlineStr">
        <is>
          <t>F41.9</t>
        </is>
      </c>
      <c r="I183" t="inlineStr">
        <is>
          <t>PY04</t>
        </is>
      </c>
      <c r="J183" s="29" t="n">
        <v>1070.02</v>
      </c>
      <c r="K183" s="30" t="n"/>
    </row>
    <row r="184">
      <c r="A184" t="inlineStr">
        <is>
          <t>ENC114527</t>
        </is>
      </c>
      <c r="B184" t="inlineStr">
        <is>
          <t>PT11498</t>
        </is>
      </c>
      <c r="C184" t="inlineStr">
        <is>
          <t>Inpatient</t>
        </is>
      </c>
      <c r="D184" s="28" t="n">
        <v>45772</v>
      </c>
      <c r="E184" s="28" t="n">
        <v>45777</v>
      </c>
      <c r="F184" t="inlineStr">
        <is>
          <t>D210</t>
        </is>
      </c>
      <c r="G184" t="inlineStr">
        <is>
          <t>PRV1044</t>
        </is>
      </c>
      <c r="H184" t="inlineStr">
        <is>
          <t>F10.239</t>
        </is>
      </c>
      <c r="I184" t="inlineStr">
        <is>
          <t>PY05</t>
        </is>
      </c>
      <c r="J184" s="29" t="n">
        <v>18730.21</v>
      </c>
      <c r="K184" s="30" t="n"/>
    </row>
    <row r="185">
      <c r="A185" t="inlineStr">
        <is>
          <t>ENC114530</t>
        </is>
      </c>
      <c r="B185" t="inlineStr">
        <is>
          <t>PT13163</t>
        </is>
      </c>
      <c r="C185" t="inlineStr">
        <is>
          <t>Emergency</t>
        </is>
      </c>
      <c r="D185" s="28" t="n">
        <v>45772</v>
      </c>
      <c r="E185" s="28" t="n">
        <v>45772</v>
      </c>
      <c r="F185" t="inlineStr">
        <is>
          <t>D100</t>
        </is>
      </c>
      <c r="G185" t="inlineStr">
        <is>
          <t>PRV1009</t>
        </is>
      </c>
      <c r="H185" t="inlineStr">
        <is>
          <t>U07.1</t>
        </is>
      </c>
      <c r="I185" t="inlineStr">
        <is>
          <t>PY07</t>
        </is>
      </c>
      <c r="J185" s="29" t="n">
        <v>2875.24</v>
      </c>
      <c r="K185" s="30" t="n"/>
    </row>
    <row r="186">
      <c r="A186" t="inlineStr">
        <is>
          <t>ENC114546</t>
        </is>
      </c>
      <c r="B186" t="inlineStr">
        <is>
          <t>PT11442</t>
        </is>
      </c>
      <c r="C186" t="inlineStr">
        <is>
          <t>Inpatient</t>
        </is>
      </c>
      <c r="D186" s="28" t="n">
        <v>45773</v>
      </c>
      <c r="E186" s="28" t="n">
        <v>45779</v>
      </c>
      <c r="F186" t="inlineStr">
        <is>
          <t>D150</t>
        </is>
      </c>
      <c r="G186" t="inlineStr">
        <is>
          <t>PRV1109</t>
        </is>
      </c>
      <c r="H186" t="inlineStr">
        <is>
          <t>D70.1</t>
        </is>
      </c>
      <c r="I186" t="inlineStr">
        <is>
          <t>PY04</t>
        </is>
      </c>
      <c r="J186" s="29" t="n">
        <v>27467.29</v>
      </c>
      <c r="K186" s="30" t="n"/>
    </row>
    <row r="187">
      <c r="A187" t="inlineStr">
        <is>
          <t>ENC114570</t>
        </is>
      </c>
      <c r="B187" t="inlineStr">
        <is>
          <t>PT11851</t>
        </is>
      </c>
      <c r="C187" t="inlineStr">
        <is>
          <t>Outpatient</t>
        </is>
      </c>
      <c r="D187" s="28" t="n">
        <v>45775</v>
      </c>
      <c r="E187" s="28" t="n">
        <v>45775</v>
      </c>
      <c r="F187" t="inlineStr">
        <is>
          <t>D400</t>
        </is>
      </c>
      <c r="G187" t="inlineStr">
        <is>
          <t>PRV1137</t>
        </is>
      </c>
      <c r="H187" t="inlineStr">
        <is>
          <t>F32.9</t>
        </is>
      </c>
      <c r="I187" t="inlineStr">
        <is>
          <t>PY01</t>
        </is>
      </c>
      <c r="J187" s="29" t="n">
        <v>354.19</v>
      </c>
      <c r="K187" s="30" t="n"/>
    </row>
    <row r="188">
      <c r="A188" t="inlineStr">
        <is>
          <t>ENC114591</t>
        </is>
      </c>
      <c r="B188" t="inlineStr">
        <is>
          <t>PT10882</t>
        </is>
      </c>
      <c r="C188" t="inlineStr">
        <is>
          <t>Emergency</t>
        </is>
      </c>
      <c r="D188" s="28" t="n">
        <v>45775</v>
      </c>
      <c r="E188" s="28" t="n">
        <v>45775</v>
      </c>
      <c r="F188" t="inlineStr">
        <is>
          <t>D100</t>
        </is>
      </c>
      <c r="G188" t="inlineStr">
        <is>
          <t>PRV1005</t>
        </is>
      </c>
      <c r="H188" t="inlineStr">
        <is>
          <t>U07.1</t>
        </is>
      </c>
      <c r="I188" t="inlineStr">
        <is>
          <t>PY04</t>
        </is>
      </c>
      <c r="J188" s="29" t="n">
        <v>2698.86</v>
      </c>
      <c r="K188" s="30" t="n"/>
    </row>
    <row r="189">
      <c r="A189" t="inlineStr">
        <is>
          <t>ENC114597</t>
        </is>
      </c>
      <c r="B189" t="inlineStr">
        <is>
          <t>PT11844</t>
        </is>
      </c>
      <c r="C189" t="inlineStr">
        <is>
          <t>Emergency</t>
        </is>
      </c>
      <c r="D189" s="28" t="n">
        <v>45776</v>
      </c>
      <c r="E189" s="28" t="n">
        <v>45776</v>
      </c>
      <c r="F189" t="inlineStr">
        <is>
          <t>D100</t>
        </is>
      </c>
      <c r="G189" t="inlineStr">
        <is>
          <t>PRV1007</t>
        </is>
      </c>
      <c r="H189" t="inlineStr">
        <is>
          <t>J06.9</t>
        </is>
      </c>
      <c r="I189" t="inlineStr">
        <is>
          <t>PY03</t>
        </is>
      </c>
      <c r="J189" s="29" t="n">
        <v>1281.05</v>
      </c>
      <c r="K189" s="30" t="n"/>
    </row>
    <row r="190">
      <c r="A190" t="inlineStr">
        <is>
          <t>ENC114625</t>
        </is>
      </c>
      <c r="B190" t="inlineStr">
        <is>
          <t>PT13258</t>
        </is>
      </c>
      <c r="C190" t="inlineStr">
        <is>
          <t>Outpatient</t>
        </is>
      </c>
      <c r="D190" s="28" t="n">
        <v>45777</v>
      </c>
      <c r="E190" s="28" t="n">
        <v>45777</v>
      </c>
      <c r="F190" t="inlineStr">
        <is>
          <t>D400</t>
        </is>
      </c>
      <c r="G190" t="inlineStr">
        <is>
          <t>PRV1140</t>
        </is>
      </c>
      <c r="H190" t="inlineStr">
        <is>
          <t>I10</t>
        </is>
      </c>
      <c r="I190" t="inlineStr">
        <is>
          <t>PY02</t>
        </is>
      </c>
      <c r="J190" s="29" t="n">
        <v>388.38</v>
      </c>
      <c r="K190" s="30" t="n"/>
    </row>
    <row r="191">
      <c r="A191" t="inlineStr">
        <is>
          <t>ENC114647</t>
        </is>
      </c>
      <c r="B191" t="inlineStr">
        <is>
          <t>PT11409</t>
        </is>
      </c>
      <c r="C191" t="inlineStr">
        <is>
          <t>Emergency</t>
        </is>
      </c>
      <c r="D191" s="28" t="n">
        <v>45778</v>
      </c>
      <c r="E191" s="28" t="n">
        <v>45778</v>
      </c>
      <c r="F191" t="inlineStr">
        <is>
          <t>D300</t>
        </is>
      </c>
      <c r="G191" t="inlineStr">
        <is>
          <t>PRV1026</t>
        </is>
      </c>
      <c r="H191" t="inlineStr">
        <is>
          <t>N39.0</t>
        </is>
      </c>
      <c r="I191" t="inlineStr">
        <is>
          <t>PY03</t>
        </is>
      </c>
      <c r="J191" s="29" t="n">
        <v>4607.53</v>
      </c>
      <c r="K191" s="30" t="n"/>
    </row>
    <row r="192">
      <c r="A192" t="inlineStr">
        <is>
          <t>ENC114652</t>
        </is>
      </c>
      <c r="B192" t="inlineStr">
        <is>
          <t>PT10118</t>
        </is>
      </c>
      <c r="C192" t="inlineStr">
        <is>
          <t>Inpatient</t>
        </is>
      </c>
      <c r="D192" s="28" t="n">
        <v>45778</v>
      </c>
      <c r="E192" s="28" t="n">
        <v>45780</v>
      </c>
      <c r="F192" t="inlineStr">
        <is>
          <t>D310</t>
        </is>
      </c>
      <c r="G192" t="inlineStr">
        <is>
          <t>PRV1053</t>
        </is>
      </c>
      <c r="H192" t="inlineStr">
        <is>
          <t>N39.0</t>
        </is>
      </c>
      <c r="I192" t="inlineStr">
        <is>
          <t>PY04</t>
        </is>
      </c>
      <c r="J192" s="29" t="n">
        <v>7431.79</v>
      </c>
      <c r="K192" s="30" t="n"/>
    </row>
    <row r="193">
      <c r="A193" t="inlineStr">
        <is>
          <t>ENC114664</t>
        </is>
      </c>
      <c r="B193" t="inlineStr">
        <is>
          <t>PT12930</t>
        </is>
      </c>
      <c r="C193" t="inlineStr">
        <is>
          <t>Emergency</t>
        </is>
      </c>
      <c r="D193" s="28" t="n">
        <v>45778</v>
      </c>
      <c r="E193" s="28" t="n">
        <v>45778</v>
      </c>
      <c r="F193" t="inlineStr">
        <is>
          <t>D200</t>
        </is>
      </c>
      <c r="G193" t="inlineStr">
        <is>
          <t>PRV1018</t>
        </is>
      </c>
      <c r="H193" t="inlineStr">
        <is>
          <t>F10.239</t>
        </is>
      </c>
      <c r="I193" t="inlineStr">
        <is>
          <t>PY06</t>
        </is>
      </c>
      <c r="J193" s="29" t="n">
        <v>3874.19</v>
      </c>
      <c r="K193" s="30" t="n"/>
    </row>
    <row r="194">
      <c r="A194" t="inlineStr">
        <is>
          <t>ENC114694</t>
        </is>
      </c>
      <c r="B194" t="inlineStr">
        <is>
          <t>PT10843</t>
        </is>
      </c>
      <c r="C194" t="inlineStr">
        <is>
          <t>Outpatient</t>
        </is>
      </c>
      <c r="D194" s="28" t="n">
        <v>45779</v>
      </c>
      <c r="E194" s="28" t="n">
        <v>45779</v>
      </c>
      <c r="F194" t="inlineStr">
        <is>
          <t>D440</t>
        </is>
      </c>
      <c r="G194" t="inlineStr">
        <is>
          <t>PRV1141</t>
        </is>
      </c>
      <c r="H194" t="inlineStr">
        <is>
          <t>E11.9</t>
        </is>
      </c>
      <c r="I194" t="inlineStr">
        <is>
          <t>PY07</t>
        </is>
      </c>
      <c r="J194" s="29" t="n">
        <v>308.96</v>
      </c>
      <c r="K194" s="30" t="n"/>
    </row>
    <row r="195">
      <c r="A195" t="inlineStr">
        <is>
          <t>ENC114717</t>
        </is>
      </c>
      <c r="B195" t="inlineStr">
        <is>
          <t>PT12660</t>
        </is>
      </c>
      <c r="C195" t="inlineStr">
        <is>
          <t>Observation</t>
        </is>
      </c>
      <c r="D195" s="28" t="n">
        <v>45780</v>
      </c>
      <c r="E195" s="28" t="n">
        <v>45781</v>
      </c>
      <c r="F195" t="inlineStr">
        <is>
          <t>D195</t>
        </is>
      </c>
      <c r="G195" t="inlineStr">
        <is>
          <t>PRV1043</t>
        </is>
      </c>
      <c r="H195" t="inlineStr">
        <is>
          <t>R55</t>
        </is>
      </c>
      <c r="I195" t="inlineStr">
        <is>
          <t>PY06</t>
        </is>
      </c>
      <c r="J195" s="29" t="n">
        <v>16127.55</v>
      </c>
      <c r="K195" s="30" t="n"/>
    </row>
    <row r="196">
      <c r="A196" t="inlineStr">
        <is>
          <t>ENC114739</t>
        </is>
      </c>
      <c r="B196" t="inlineStr">
        <is>
          <t>PT11498</t>
        </is>
      </c>
      <c r="C196" t="inlineStr">
        <is>
          <t>Inpatient</t>
        </is>
      </c>
      <c r="D196" s="28" t="n">
        <v>45781</v>
      </c>
      <c r="E196" s="28" t="n">
        <v>45787</v>
      </c>
      <c r="F196" t="inlineStr">
        <is>
          <t>D210</t>
        </is>
      </c>
      <c r="G196" t="inlineStr">
        <is>
          <t>PRV1044</t>
        </is>
      </c>
      <c r="H196" t="inlineStr">
        <is>
          <t>J18.9</t>
        </is>
      </c>
      <c r="I196" t="inlineStr">
        <is>
          <t>PY05</t>
        </is>
      </c>
      <c r="J196" s="29" t="n">
        <v>20737.93</v>
      </c>
      <c r="K196" s="30" t="n"/>
    </row>
    <row r="197">
      <c r="A197" t="inlineStr">
        <is>
          <t>ENC114771</t>
        </is>
      </c>
      <c r="B197" t="inlineStr">
        <is>
          <t>PT12482</t>
        </is>
      </c>
      <c r="C197" t="inlineStr">
        <is>
          <t>Outpatient</t>
        </is>
      </c>
      <c r="D197" s="28" t="n">
        <v>45782</v>
      </c>
      <c r="E197" s="28" t="n">
        <v>45782</v>
      </c>
      <c r="F197" t="inlineStr">
        <is>
          <t>D420</t>
        </is>
      </c>
      <c r="G197" t="inlineStr">
        <is>
          <t>PRV1080</t>
        </is>
      </c>
      <c r="H197" t="inlineStr">
        <is>
          <t>M16.11</t>
        </is>
      </c>
      <c r="I197" t="inlineStr">
        <is>
          <t>PY04</t>
        </is>
      </c>
      <c r="J197" s="29" t="n">
        <v>296.73</v>
      </c>
      <c r="K197" s="30" t="n"/>
    </row>
    <row r="198">
      <c r="A198" t="inlineStr">
        <is>
          <t>ENC114777</t>
        </is>
      </c>
      <c r="B198" t="inlineStr">
        <is>
          <t>PT12671</t>
        </is>
      </c>
      <c r="C198" t="inlineStr">
        <is>
          <t>Outpatient</t>
        </is>
      </c>
      <c r="D198" s="28" t="n">
        <v>45782</v>
      </c>
      <c r="E198" s="28" t="n">
        <v>45782</v>
      </c>
      <c r="F198" t="inlineStr">
        <is>
          <t>D400</t>
        </is>
      </c>
      <c r="G198" t="inlineStr">
        <is>
          <t>PRV1137</t>
        </is>
      </c>
      <c r="H198" t="inlineStr">
        <is>
          <t>F41.9</t>
        </is>
      </c>
      <c r="I198" t="inlineStr">
        <is>
          <t>PY06</t>
        </is>
      </c>
      <c r="J198" s="29" t="n">
        <v>403.28</v>
      </c>
      <c r="K198" s="30" t="n"/>
    </row>
    <row r="199">
      <c r="A199" t="inlineStr">
        <is>
          <t>ENC114831</t>
        </is>
      </c>
      <c r="B199" t="inlineStr">
        <is>
          <t>PT11711</t>
        </is>
      </c>
      <c r="C199" t="inlineStr">
        <is>
          <t>Inpatient</t>
        </is>
      </c>
      <c r="D199" s="28" t="n">
        <v>45783</v>
      </c>
      <c r="E199" s="28" t="n">
        <v>45790</v>
      </c>
      <c r="F199" t="inlineStr">
        <is>
          <t>D111</t>
        </is>
      </c>
      <c r="G199" t="inlineStr">
        <is>
          <t>PRV1029</t>
        </is>
      </c>
      <c r="H199" t="inlineStr">
        <is>
          <t>F10.239</t>
        </is>
      </c>
      <c r="I199" t="inlineStr">
        <is>
          <t>PY07</t>
        </is>
      </c>
      <c r="J199" s="29" t="n">
        <v>24953.75</v>
      </c>
      <c r="K199" s="30" t="n"/>
    </row>
    <row r="200">
      <c r="A200" t="inlineStr">
        <is>
          <t>ENC114838</t>
        </is>
      </c>
      <c r="B200" t="inlineStr">
        <is>
          <t>PT10517</t>
        </is>
      </c>
      <c r="C200" t="inlineStr">
        <is>
          <t>Inpatient</t>
        </is>
      </c>
      <c r="D200" s="28" t="n">
        <v>45783</v>
      </c>
      <c r="E200" s="28" t="n">
        <v>45787</v>
      </c>
      <c r="F200" t="inlineStr">
        <is>
          <t>D120</t>
        </is>
      </c>
      <c r="G200" t="inlineStr">
        <is>
          <t>PRV1054</t>
        </is>
      </c>
      <c r="H200" t="inlineStr">
        <is>
          <t>I50.9</t>
        </is>
      </c>
      <c r="I200" t="inlineStr">
        <is>
          <t>PY04</t>
        </is>
      </c>
      <c r="J200" s="29" t="n">
        <v>26811.47</v>
      </c>
      <c r="K200" s="30" t="n"/>
    </row>
    <row r="201">
      <c r="A201" t="inlineStr">
        <is>
          <t>ENC114860</t>
        </is>
      </c>
      <c r="B201" t="inlineStr">
        <is>
          <t>PT10843</t>
        </is>
      </c>
      <c r="C201" t="inlineStr">
        <is>
          <t>Observation</t>
        </is>
      </c>
      <c r="D201" s="28" t="n">
        <v>45784</v>
      </c>
      <c r="E201" s="28" t="n">
        <v>45785</v>
      </c>
      <c r="F201" t="inlineStr">
        <is>
          <t>D195</t>
        </is>
      </c>
      <c r="G201" t="inlineStr">
        <is>
          <t>PRV1029</t>
        </is>
      </c>
      <c r="H201" t="inlineStr">
        <is>
          <t>R55</t>
        </is>
      </c>
      <c r="I201" t="inlineStr">
        <is>
          <t>PY07</t>
        </is>
      </c>
      <c r="J201" s="29" t="n">
        <v>8442.219999999999</v>
      </c>
      <c r="K201" s="30" t="n"/>
    </row>
    <row r="202">
      <c r="A202" t="inlineStr">
        <is>
          <t>ENC114872</t>
        </is>
      </c>
      <c r="B202" t="inlineStr">
        <is>
          <t>PT12480</t>
        </is>
      </c>
      <c r="C202" t="inlineStr">
        <is>
          <t>Inpatient</t>
        </is>
      </c>
      <c r="D202" s="28" t="n">
        <v>45785</v>
      </c>
      <c r="E202" s="28" t="n">
        <v>45787</v>
      </c>
      <c r="F202" t="inlineStr">
        <is>
          <t>D170</t>
        </is>
      </c>
      <c r="G202" t="inlineStr">
        <is>
          <t>PRV1095</t>
        </is>
      </c>
      <c r="H202" t="inlineStr">
        <is>
          <t>O80</t>
        </is>
      </c>
      <c r="I202" t="inlineStr">
        <is>
          <t>PY03</t>
        </is>
      </c>
      <c r="J202" s="29" t="n">
        <v>21054.18</v>
      </c>
      <c r="K202" s="30" t="n"/>
    </row>
    <row r="203">
      <c r="A203" t="inlineStr">
        <is>
          <t>ENC114890</t>
        </is>
      </c>
      <c r="B203" t="inlineStr">
        <is>
          <t>PT11399</t>
        </is>
      </c>
      <c r="C203" t="inlineStr">
        <is>
          <t>Outpatient</t>
        </is>
      </c>
      <c r="D203" s="28" t="n">
        <v>45785</v>
      </c>
      <c r="E203" s="28" t="n">
        <v>45785</v>
      </c>
      <c r="F203" t="inlineStr">
        <is>
          <t>D410</t>
        </is>
      </c>
      <c r="G203" t="inlineStr">
        <is>
          <t>PRV1060</t>
        </is>
      </c>
      <c r="H203" t="inlineStr">
        <is>
          <t>I48.91</t>
        </is>
      </c>
      <c r="I203" t="inlineStr">
        <is>
          <t>PY01</t>
        </is>
      </c>
      <c r="J203" s="29" t="n">
        <v>244.29</v>
      </c>
      <c r="K203" s="30" t="n"/>
    </row>
    <row r="204">
      <c r="A204" t="inlineStr">
        <is>
          <t>ENC114917</t>
        </is>
      </c>
      <c r="B204" t="inlineStr">
        <is>
          <t>PT10465</t>
        </is>
      </c>
      <c r="C204" t="inlineStr">
        <is>
          <t>Outpatient</t>
        </is>
      </c>
      <c r="D204" s="28" t="n">
        <v>45786</v>
      </c>
      <c r="E204" s="28" t="n">
        <v>45786</v>
      </c>
      <c r="F204" t="inlineStr">
        <is>
          <t>D400</t>
        </is>
      </c>
      <c r="G204" t="inlineStr">
        <is>
          <t>PRV1137</t>
        </is>
      </c>
      <c r="H204" t="inlineStr">
        <is>
          <t>I10</t>
        </is>
      </c>
      <c r="I204" t="inlineStr">
        <is>
          <t>PY01</t>
        </is>
      </c>
      <c r="J204" s="29" t="n">
        <v>497.64</v>
      </c>
      <c r="K204" s="30" t="n"/>
    </row>
    <row r="205">
      <c r="A205" t="inlineStr">
        <is>
          <t>ENC114933</t>
        </is>
      </c>
      <c r="B205" t="inlineStr">
        <is>
          <t>PT10888</t>
        </is>
      </c>
      <c r="C205" t="inlineStr">
        <is>
          <t>Emergency</t>
        </is>
      </c>
      <c r="D205" s="28" t="n">
        <v>45786</v>
      </c>
      <c r="E205" s="28" t="n">
        <v>45787</v>
      </c>
      <c r="F205" t="inlineStr">
        <is>
          <t>D200</t>
        </is>
      </c>
      <c r="G205" t="inlineStr">
        <is>
          <t>PRV1016</t>
        </is>
      </c>
      <c r="H205" t="inlineStr">
        <is>
          <t>J06.9</t>
        </is>
      </c>
      <c r="I205" t="inlineStr">
        <is>
          <t>PY04</t>
        </is>
      </c>
      <c r="J205" s="29" t="n">
        <v>853.71</v>
      </c>
      <c r="K205" s="30" t="n"/>
    </row>
    <row r="206">
      <c r="A206" t="inlineStr">
        <is>
          <t>ENC114947</t>
        </is>
      </c>
      <c r="B206" t="inlineStr">
        <is>
          <t>PT12874</t>
        </is>
      </c>
      <c r="C206" t="inlineStr">
        <is>
          <t>Inpatient</t>
        </is>
      </c>
      <c r="D206" s="28" t="n">
        <v>45788</v>
      </c>
      <c r="E206" s="28" t="n">
        <v>45790</v>
      </c>
      <c r="F206" t="inlineStr">
        <is>
          <t>D270</t>
        </is>
      </c>
      <c r="G206" t="inlineStr">
        <is>
          <t>PRV1099</t>
        </is>
      </c>
      <c r="H206" t="inlineStr">
        <is>
          <t>O80</t>
        </is>
      </c>
      <c r="I206" t="inlineStr">
        <is>
          <t>PY04</t>
        </is>
      </c>
      <c r="J206" s="29" t="n">
        <v>15969.9</v>
      </c>
      <c r="K206" s="30" t="n"/>
    </row>
    <row r="207">
      <c r="A207" t="inlineStr">
        <is>
          <t>ENC114950</t>
        </is>
      </c>
      <c r="B207" t="inlineStr">
        <is>
          <t>PT13711</t>
        </is>
      </c>
      <c r="C207" t="inlineStr">
        <is>
          <t>Emergency</t>
        </is>
      </c>
      <c r="D207" s="28" t="n">
        <v>45788</v>
      </c>
      <c r="E207" s="28" t="n">
        <v>45788</v>
      </c>
      <c r="F207" t="inlineStr">
        <is>
          <t>D100</t>
        </is>
      </c>
      <c r="G207" t="inlineStr">
        <is>
          <t>PRV1009</t>
        </is>
      </c>
      <c r="H207" t="inlineStr">
        <is>
          <t>R10.9</t>
        </is>
      </c>
      <c r="I207" t="inlineStr">
        <is>
          <t>PY05</t>
        </is>
      </c>
      <c r="J207" s="29" t="n">
        <v>2989.45</v>
      </c>
      <c r="K207" s="30" t="n"/>
    </row>
    <row r="208">
      <c r="A208" t="inlineStr">
        <is>
          <t>ENC114955</t>
        </is>
      </c>
      <c r="B208" t="inlineStr">
        <is>
          <t>PT13785</t>
        </is>
      </c>
      <c r="C208" t="inlineStr">
        <is>
          <t>Emergency</t>
        </is>
      </c>
      <c r="D208" s="28" t="n">
        <v>45788</v>
      </c>
      <c r="E208" s="28" t="n">
        <v>45788</v>
      </c>
      <c r="F208" t="inlineStr">
        <is>
          <t>D100</t>
        </is>
      </c>
      <c r="G208" t="inlineStr">
        <is>
          <t>PRV1001</t>
        </is>
      </c>
      <c r="H208" t="inlineStr">
        <is>
          <t>S93.401A</t>
        </is>
      </c>
      <c r="I208" t="inlineStr">
        <is>
          <t>PY02</t>
        </is>
      </c>
      <c r="J208" s="29" t="n">
        <v>840.14</v>
      </c>
      <c r="K208" s="30" t="n"/>
    </row>
    <row r="209">
      <c r="A209" t="inlineStr">
        <is>
          <t>ENC114957</t>
        </is>
      </c>
      <c r="B209" t="inlineStr">
        <is>
          <t>PT11498</t>
        </is>
      </c>
      <c r="C209" t="inlineStr">
        <is>
          <t>Inpatient</t>
        </is>
      </c>
      <c r="D209" s="28" t="n">
        <v>45788</v>
      </c>
      <c r="E209" s="28" t="n">
        <v>45790</v>
      </c>
      <c r="F209" t="inlineStr">
        <is>
          <t>D110</t>
        </is>
      </c>
      <c r="G209" t="inlineStr">
        <is>
          <t>PRV1083</t>
        </is>
      </c>
      <c r="H209" t="inlineStr">
        <is>
          <t>K80.20</t>
        </is>
      </c>
      <c r="I209" t="inlineStr">
        <is>
          <t>PY05</t>
        </is>
      </c>
      <c r="J209" s="29" t="n">
        <v>36426.83</v>
      </c>
      <c r="K209" s="30" t="n"/>
    </row>
    <row r="210">
      <c r="A210" t="inlineStr">
        <is>
          <t>ENC115005</t>
        </is>
      </c>
      <c r="B210" t="inlineStr">
        <is>
          <t>PT11231</t>
        </is>
      </c>
      <c r="C210" t="inlineStr">
        <is>
          <t>Outpatient</t>
        </is>
      </c>
      <c r="D210" s="28" t="n">
        <v>45790</v>
      </c>
      <c r="E210" s="28" t="n">
        <v>45790</v>
      </c>
      <c r="F210" t="inlineStr">
        <is>
          <t>D400</t>
        </is>
      </c>
      <c r="G210" t="inlineStr">
        <is>
          <t>PRV1137</t>
        </is>
      </c>
      <c r="H210" t="inlineStr">
        <is>
          <t>J06.9</t>
        </is>
      </c>
      <c r="I210" t="inlineStr">
        <is>
          <t>PY04</t>
        </is>
      </c>
      <c r="J210" s="29" t="n">
        <v>357.06</v>
      </c>
      <c r="K210" s="30" t="n"/>
    </row>
    <row r="211">
      <c r="A211" t="inlineStr">
        <is>
          <t>ENC115017</t>
        </is>
      </c>
      <c r="B211" t="inlineStr">
        <is>
          <t>PT13630</t>
        </is>
      </c>
      <c r="C211" t="inlineStr">
        <is>
          <t>Inpatient</t>
        </is>
      </c>
      <c r="D211" s="28" t="n">
        <v>45790</v>
      </c>
      <c r="E211" s="28" t="n">
        <v>45792</v>
      </c>
      <c r="F211" t="inlineStr">
        <is>
          <t>D210</t>
        </is>
      </c>
      <c r="G211" t="inlineStr">
        <is>
          <t>PRV1046</t>
        </is>
      </c>
      <c r="H211" t="inlineStr">
        <is>
          <t>I21.4</t>
        </is>
      </c>
      <c r="I211" t="inlineStr">
        <is>
          <t>PY06</t>
        </is>
      </c>
      <c r="J211" s="29" t="n">
        <v>67696.03</v>
      </c>
      <c r="K211" s="30" t="n"/>
    </row>
    <row r="212">
      <c r="A212" t="inlineStr">
        <is>
          <t>ENC115033</t>
        </is>
      </c>
      <c r="B212" t="inlineStr">
        <is>
          <t>PT12735</t>
        </is>
      </c>
      <c r="C212" t="inlineStr">
        <is>
          <t>Observation</t>
        </is>
      </c>
      <c r="D212" s="28" t="n">
        <v>45790</v>
      </c>
      <c r="E212" s="28" t="n">
        <v>45791</v>
      </c>
      <c r="F212" t="inlineStr">
        <is>
          <t>D195</t>
        </is>
      </c>
      <c r="G212" t="inlineStr">
        <is>
          <t>PRV1032</t>
        </is>
      </c>
      <c r="H212" t="inlineStr">
        <is>
          <t>N39.0</t>
        </is>
      </c>
      <c r="I212" t="inlineStr">
        <is>
          <t>PY03</t>
        </is>
      </c>
      <c r="J212" s="29" t="n">
        <v>8674.75</v>
      </c>
      <c r="K212" s="30" t="n"/>
    </row>
    <row r="213">
      <c r="A213" t="inlineStr">
        <is>
          <t>ENC115044</t>
        </is>
      </c>
      <c r="B213" t="inlineStr">
        <is>
          <t>PT11498</t>
        </is>
      </c>
      <c r="C213" t="inlineStr">
        <is>
          <t>Inpatient</t>
        </is>
      </c>
      <c r="D213" s="28" t="n">
        <v>45791</v>
      </c>
      <c r="E213" s="28" t="n">
        <v>45792</v>
      </c>
      <c r="F213" t="inlineStr">
        <is>
          <t>D210</t>
        </is>
      </c>
      <c r="G213" t="inlineStr">
        <is>
          <t>PRV1044</t>
        </is>
      </c>
      <c r="H213" t="inlineStr">
        <is>
          <t>J18.9</t>
        </is>
      </c>
      <c r="I213" t="inlineStr">
        <is>
          <t>PY05</t>
        </is>
      </c>
      <c r="J213" s="29" t="n">
        <v>5893.07</v>
      </c>
      <c r="K213" s="30" t="n"/>
    </row>
    <row r="214">
      <c r="A214" t="inlineStr">
        <is>
          <t>ENC115109</t>
        </is>
      </c>
      <c r="B214" t="inlineStr">
        <is>
          <t>PT12850</t>
        </is>
      </c>
      <c r="C214" t="inlineStr">
        <is>
          <t>Outpatient</t>
        </is>
      </c>
      <c r="D214" s="28" t="n">
        <v>45793</v>
      </c>
      <c r="E214" s="28" t="n">
        <v>45793</v>
      </c>
      <c r="F214" t="inlineStr">
        <is>
          <t>D400</t>
        </is>
      </c>
      <c r="G214" t="inlineStr">
        <is>
          <t>PRV1129</t>
        </is>
      </c>
      <c r="H214" t="inlineStr">
        <is>
          <t>Z00.00</t>
        </is>
      </c>
      <c r="I214" t="inlineStr">
        <is>
          <t>PY06</t>
        </is>
      </c>
      <c r="J214" s="29" t="n">
        <v>405.96</v>
      </c>
      <c r="K214" s="30" t="n"/>
    </row>
    <row r="215">
      <c r="A215" t="inlineStr">
        <is>
          <t>ENC115160</t>
        </is>
      </c>
      <c r="B215" t="inlineStr">
        <is>
          <t>PT11269</t>
        </is>
      </c>
      <c r="C215" t="inlineStr">
        <is>
          <t>Inpatient</t>
        </is>
      </c>
      <c r="D215" s="28" t="n">
        <v>45795</v>
      </c>
      <c r="E215" s="28" t="n">
        <v>45803</v>
      </c>
      <c r="F215" t="inlineStr">
        <is>
          <t>D130</t>
        </is>
      </c>
      <c r="G215" t="inlineStr">
        <is>
          <t>PRV1066</t>
        </is>
      </c>
      <c r="H215" t="inlineStr">
        <is>
          <t>J96.01</t>
        </is>
      </c>
      <c r="I215" t="inlineStr">
        <is>
          <t>PY06</t>
        </is>
      </c>
      <c r="J215" s="29" t="n">
        <v>102184.65</v>
      </c>
      <c r="K215" s="30" t="n"/>
    </row>
    <row r="216">
      <c r="A216" t="inlineStr">
        <is>
          <t>ENC115167</t>
        </is>
      </c>
      <c r="B216" t="inlineStr">
        <is>
          <t>PT10528</t>
        </is>
      </c>
      <c r="C216" t="inlineStr">
        <is>
          <t>Observation</t>
        </is>
      </c>
      <c r="D216" s="28" t="n">
        <v>45795</v>
      </c>
      <c r="E216" s="28" t="n">
        <v>45797</v>
      </c>
      <c r="F216" t="inlineStr">
        <is>
          <t>D195</t>
        </is>
      </c>
      <c r="G216" t="inlineStr">
        <is>
          <t>PRV1029</t>
        </is>
      </c>
      <c r="H216" t="inlineStr">
        <is>
          <t>N39.0</t>
        </is>
      </c>
      <c r="I216" t="inlineStr">
        <is>
          <t>PY01</t>
        </is>
      </c>
      <c r="J216" s="29" t="n">
        <v>5579.19</v>
      </c>
      <c r="K216" s="30" t="n"/>
    </row>
    <row r="217">
      <c r="A217" t="inlineStr">
        <is>
          <t>ENC115170</t>
        </is>
      </c>
      <c r="B217" t="inlineStr">
        <is>
          <t>PT13926</t>
        </is>
      </c>
      <c r="C217" t="inlineStr">
        <is>
          <t>Emergency</t>
        </is>
      </c>
      <c r="D217" s="28" t="n">
        <v>45795</v>
      </c>
      <c r="E217" s="28" t="n">
        <v>45796</v>
      </c>
      <c r="F217" t="inlineStr">
        <is>
          <t>D100</t>
        </is>
      </c>
      <c r="G217" t="inlineStr">
        <is>
          <t>PRV1002</t>
        </is>
      </c>
      <c r="H217" t="inlineStr">
        <is>
          <t>E86.0</t>
        </is>
      </c>
      <c r="I217" t="inlineStr">
        <is>
          <t>PY06</t>
        </is>
      </c>
      <c r="J217" s="29" t="n">
        <v>1355.33</v>
      </c>
      <c r="K217" s="30" t="n"/>
    </row>
    <row r="218">
      <c r="A218" t="inlineStr">
        <is>
          <t>ENC115206</t>
        </is>
      </c>
      <c r="B218" t="inlineStr">
        <is>
          <t>PT11780</t>
        </is>
      </c>
      <c r="C218" t="inlineStr">
        <is>
          <t>Emergency</t>
        </is>
      </c>
      <c r="D218" s="28" t="n">
        <v>45796</v>
      </c>
      <c r="E218" s="28" t="n">
        <v>45796</v>
      </c>
      <c r="F218" t="inlineStr">
        <is>
          <t>D300</t>
        </is>
      </c>
      <c r="G218" t="inlineStr">
        <is>
          <t>PRV1027</t>
        </is>
      </c>
      <c r="H218" t="inlineStr">
        <is>
          <t>M54.50</t>
        </is>
      </c>
      <c r="I218" t="inlineStr">
        <is>
          <t>PY06</t>
        </is>
      </c>
      <c r="J218" s="29" t="n">
        <v>1233.33</v>
      </c>
      <c r="K218" s="30" t="n"/>
    </row>
    <row r="219">
      <c r="A219" t="inlineStr">
        <is>
          <t>ENC115234</t>
        </is>
      </c>
      <c r="B219" t="inlineStr">
        <is>
          <t>PT10772</t>
        </is>
      </c>
      <c r="C219" t="inlineStr">
        <is>
          <t>Emergency</t>
        </is>
      </c>
      <c r="D219" s="28" t="n">
        <v>45797</v>
      </c>
      <c r="E219" s="28" t="n">
        <v>45797</v>
      </c>
      <c r="F219" t="inlineStr">
        <is>
          <t>D100</t>
        </is>
      </c>
      <c r="G219" t="inlineStr">
        <is>
          <t>PRV1003</t>
        </is>
      </c>
      <c r="H219" t="inlineStr">
        <is>
          <t>E86.0</t>
        </is>
      </c>
      <c r="I219" t="inlineStr">
        <is>
          <t>PY02</t>
        </is>
      </c>
      <c r="J219" s="29" t="n">
        <v>1806.6</v>
      </c>
      <c r="K219" s="30" t="n"/>
    </row>
    <row r="220">
      <c r="A220" t="inlineStr">
        <is>
          <t>ENC115236</t>
        </is>
      </c>
      <c r="B220" t="inlineStr">
        <is>
          <t>PT10463</t>
        </is>
      </c>
      <c r="C220" t="inlineStr">
        <is>
          <t>Outpatient</t>
        </is>
      </c>
      <c r="D220" s="28" t="n">
        <v>45797</v>
      </c>
      <c r="E220" s="28" t="n">
        <v>45797</v>
      </c>
      <c r="F220" t="inlineStr">
        <is>
          <t>D400</t>
        </is>
      </c>
      <c r="G220" t="inlineStr">
        <is>
          <t>PRV1137</t>
        </is>
      </c>
      <c r="H220" t="inlineStr">
        <is>
          <t>I10</t>
        </is>
      </c>
      <c r="I220" t="inlineStr">
        <is>
          <t>PY02</t>
        </is>
      </c>
      <c r="J220" s="29" t="n">
        <v>187.8</v>
      </c>
      <c r="K220" s="30" t="n"/>
    </row>
    <row r="221">
      <c r="A221" t="inlineStr">
        <is>
          <t>ENC115242</t>
        </is>
      </c>
      <c r="B221" t="inlineStr">
        <is>
          <t>PT10528</t>
        </is>
      </c>
      <c r="C221" t="inlineStr">
        <is>
          <t>Outpatient</t>
        </is>
      </c>
      <c r="D221" s="28" t="n">
        <v>45797</v>
      </c>
      <c r="E221" s="28" t="n">
        <v>45797</v>
      </c>
      <c r="F221" t="inlineStr">
        <is>
          <t>D440</t>
        </is>
      </c>
      <c r="G221" t="inlineStr">
        <is>
          <t>PRV1143</t>
        </is>
      </c>
      <c r="H221" t="inlineStr">
        <is>
          <t>E11.9</t>
        </is>
      </c>
      <c r="I221" t="inlineStr">
        <is>
          <t>PY01</t>
        </is>
      </c>
      <c r="J221" s="29" t="n">
        <v>200.12</v>
      </c>
      <c r="K221" s="30" t="n"/>
    </row>
    <row r="222">
      <c r="A222" t="inlineStr">
        <is>
          <t>ENC115270</t>
        </is>
      </c>
      <c r="B222" t="inlineStr">
        <is>
          <t>PT11931</t>
        </is>
      </c>
      <c r="C222" t="inlineStr">
        <is>
          <t>Inpatient</t>
        </is>
      </c>
      <c r="D222" s="28" t="n">
        <v>45798</v>
      </c>
      <c r="E222" s="28" t="n">
        <v>45801</v>
      </c>
      <c r="F222" t="inlineStr">
        <is>
          <t>D111</t>
        </is>
      </c>
      <c r="G222" t="inlineStr">
        <is>
          <t>PRV1031</t>
        </is>
      </c>
      <c r="H222" t="inlineStr">
        <is>
          <t>J44.1</t>
        </is>
      </c>
      <c r="I222" t="inlineStr">
        <is>
          <t>PY01</t>
        </is>
      </c>
      <c r="J222" s="29" t="n">
        <v>18647.77</v>
      </c>
      <c r="K222" s="30" t="n"/>
    </row>
    <row r="223">
      <c r="A223" t="inlineStr">
        <is>
          <t>ENC115278</t>
        </is>
      </c>
      <c r="B223" t="inlineStr">
        <is>
          <t>PT13279</t>
        </is>
      </c>
      <c r="C223" t="inlineStr">
        <is>
          <t>Emergency</t>
        </is>
      </c>
      <c r="D223" s="28" t="n">
        <v>45799</v>
      </c>
      <c r="E223" s="28" t="n">
        <v>45799</v>
      </c>
      <c r="F223" t="inlineStr">
        <is>
          <t>D100</t>
        </is>
      </c>
      <c r="G223" t="inlineStr">
        <is>
          <t>PRV1006</t>
        </is>
      </c>
      <c r="H223" t="inlineStr">
        <is>
          <t>R10.9</t>
        </is>
      </c>
      <c r="I223" t="inlineStr">
        <is>
          <t>PY03</t>
        </is>
      </c>
      <c r="J223" s="29" t="n">
        <v>2547.11</v>
      </c>
      <c r="K223" s="30" t="n"/>
    </row>
    <row r="224">
      <c r="A224" t="inlineStr">
        <is>
          <t>ENC115288</t>
        </is>
      </c>
      <c r="B224" t="inlineStr">
        <is>
          <t>PT12965</t>
        </is>
      </c>
      <c r="C224" t="inlineStr">
        <is>
          <t>Outpatient</t>
        </is>
      </c>
      <c r="D224" s="28" t="n">
        <v>45799</v>
      </c>
      <c r="E224" s="28" t="n">
        <v>45799</v>
      </c>
      <c r="F224" t="inlineStr">
        <is>
          <t>D400</t>
        </is>
      </c>
      <c r="G224" t="inlineStr">
        <is>
          <t>PRV1137</t>
        </is>
      </c>
      <c r="H224" t="inlineStr">
        <is>
          <t>I10</t>
        </is>
      </c>
      <c r="I224" t="inlineStr">
        <is>
          <t>PY02</t>
        </is>
      </c>
      <c r="J224" s="29" t="n">
        <v>257.64</v>
      </c>
      <c r="K224" s="30" t="n"/>
    </row>
    <row r="225">
      <c r="A225" t="inlineStr">
        <is>
          <t>ENC115285</t>
        </is>
      </c>
      <c r="B225" t="inlineStr">
        <is>
          <t>PT10118</t>
        </is>
      </c>
      <c r="C225" t="inlineStr">
        <is>
          <t>Inpatient</t>
        </is>
      </c>
      <c r="D225" s="28" t="n">
        <v>45799</v>
      </c>
      <c r="E225" s="28" t="n">
        <v>45806</v>
      </c>
      <c r="F225" t="inlineStr">
        <is>
          <t>D310</t>
        </is>
      </c>
      <c r="G225" t="inlineStr">
        <is>
          <t>PRV1052</t>
        </is>
      </c>
      <c r="H225" t="inlineStr">
        <is>
          <t>N39.0</t>
        </is>
      </c>
      <c r="I225" t="inlineStr">
        <is>
          <t>PY04</t>
        </is>
      </c>
      <c r="J225" s="29" t="n">
        <v>30618.7</v>
      </c>
      <c r="K225" s="30" t="n"/>
    </row>
    <row r="226">
      <c r="A226" t="inlineStr">
        <is>
          <t>ENC115352</t>
        </is>
      </c>
      <c r="B226" t="inlineStr">
        <is>
          <t>PT10103</t>
        </is>
      </c>
      <c r="C226" t="inlineStr">
        <is>
          <t>Emergency</t>
        </is>
      </c>
      <c r="D226" s="28" t="n">
        <v>45801</v>
      </c>
      <c r="E226" s="28" t="n">
        <v>45801</v>
      </c>
      <c r="F226" t="inlineStr">
        <is>
          <t>D100</t>
        </is>
      </c>
      <c r="G226" t="inlineStr">
        <is>
          <t>PRV1010</t>
        </is>
      </c>
      <c r="H226" t="inlineStr">
        <is>
          <t>G43.909</t>
        </is>
      </c>
      <c r="I226" t="inlineStr">
        <is>
          <t>PY01</t>
        </is>
      </c>
      <c r="J226" s="29" t="n">
        <v>1822.26</v>
      </c>
      <c r="K226" s="30" t="n"/>
    </row>
    <row r="227">
      <c r="A227" t="inlineStr">
        <is>
          <t>ENC115380</t>
        </is>
      </c>
      <c r="B227" t="inlineStr">
        <is>
          <t>PT10606</t>
        </is>
      </c>
      <c r="C227" t="inlineStr">
        <is>
          <t>Emergency</t>
        </is>
      </c>
      <c r="D227" s="28" t="n">
        <v>45803</v>
      </c>
      <c r="E227" s="28" t="n">
        <v>45803</v>
      </c>
      <c r="F227" t="inlineStr">
        <is>
          <t>D300</t>
        </is>
      </c>
      <c r="G227" t="inlineStr">
        <is>
          <t>PRV1021</t>
        </is>
      </c>
      <c r="H227" t="inlineStr">
        <is>
          <t>M54.50</t>
        </is>
      </c>
      <c r="I227" t="inlineStr">
        <is>
          <t>PY01</t>
        </is>
      </c>
      <c r="J227" s="29" t="n">
        <v>1446.42</v>
      </c>
      <c r="K227" s="30" t="n"/>
    </row>
    <row r="228">
      <c r="A228" t="inlineStr">
        <is>
          <t>ENC115390</t>
        </is>
      </c>
      <c r="B228" t="inlineStr">
        <is>
          <t>PT10413</t>
        </is>
      </c>
      <c r="C228" t="inlineStr">
        <is>
          <t>Outpatient</t>
        </is>
      </c>
      <c r="D228" s="28" t="n">
        <v>45803</v>
      </c>
      <c r="E228" s="28" t="n">
        <v>45803</v>
      </c>
      <c r="F228" t="inlineStr">
        <is>
          <t>D440</t>
        </is>
      </c>
      <c r="G228" t="inlineStr">
        <is>
          <t>PRV1143</t>
        </is>
      </c>
      <c r="H228" t="inlineStr">
        <is>
          <t>E11.9</t>
        </is>
      </c>
      <c r="I228" t="inlineStr">
        <is>
          <t>PY07</t>
        </is>
      </c>
      <c r="J228" s="29" t="n">
        <v>367.85</v>
      </c>
      <c r="K228" s="30" t="n"/>
    </row>
    <row r="229">
      <c r="A229" t="inlineStr">
        <is>
          <t>ENC115395</t>
        </is>
      </c>
      <c r="B229" t="inlineStr">
        <is>
          <t>PT12139</t>
        </is>
      </c>
      <c r="C229" t="inlineStr">
        <is>
          <t>Outpatient</t>
        </is>
      </c>
      <c r="D229" s="28" t="n">
        <v>45803</v>
      </c>
      <c r="E229" s="28" t="n">
        <v>45803</v>
      </c>
      <c r="F229" t="inlineStr">
        <is>
          <t>D400</t>
        </is>
      </c>
      <c r="G229" t="inlineStr">
        <is>
          <t>PRV1137</t>
        </is>
      </c>
      <c r="H229" t="inlineStr">
        <is>
          <t>F41.9</t>
        </is>
      </c>
      <c r="I229" t="inlineStr">
        <is>
          <t>PY03</t>
        </is>
      </c>
      <c r="J229" s="29" t="n">
        <v>203.69</v>
      </c>
      <c r="K229" s="30" t="n"/>
    </row>
    <row r="230">
      <c r="A230" t="inlineStr">
        <is>
          <t>ENC115424</t>
        </is>
      </c>
      <c r="B230" t="inlineStr">
        <is>
          <t>PT12722</t>
        </is>
      </c>
      <c r="C230" t="inlineStr">
        <is>
          <t>Inpatient</t>
        </is>
      </c>
      <c r="D230" s="28" t="n">
        <v>45804</v>
      </c>
      <c r="E230" s="28" t="n">
        <v>45809</v>
      </c>
      <c r="F230" t="inlineStr">
        <is>
          <t>D111</t>
        </is>
      </c>
      <c r="G230" t="inlineStr">
        <is>
          <t>PRV1041</t>
        </is>
      </c>
      <c r="H230" t="inlineStr">
        <is>
          <t>J44.1</t>
        </is>
      </c>
      <c r="I230" t="inlineStr">
        <is>
          <t>PY01</t>
        </is>
      </c>
      <c r="J230" s="29" t="n">
        <v>27209.91</v>
      </c>
      <c r="K230" s="30" t="n"/>
    </row>
    <row r="231">
      <c r="A231" t="inlineStr">
        <is>
          <t>ENC115503</t>
        </is>
      </c>
      <c r="B231" t="inlineStr">
        <is>
          <t>PT11350</t>
        </is>
      </c>
      <c r="C231" t="inlineStr">
        <is>
          <t>Outpatient</t>
        </is>
      </c>
      <c r="D231" s="28" t="n">
        <v>45807</v>
      </c>
      <c r="E231" s="28" t="n">
        <v>45807</v>
      </c>
      <c r="F231" t="inlineStr">
        <is>
          <t>D400</t>
        </is>
      </c>
      <c r="G231" t="inlineStr">
        <is>
          <t>PRV1137</t>
        </is>
      </c>
      <c r="H231" t="inlineStr">
        <is>
          <t>E78.5</t>
        </is>
      </c>
      <c r="I231" t="inlineStr">
        <is>
          <t>PY03</t>
        </is>
      </c>
      <c r="J231" s="29" t="n">
        <v>277.43</v>
      </c>
      <c r="K231" s="30" t="n"/>
    </row>
    <row r="232">
      <c r="A232" t="inlineStr">
        <is>
          <t>ENC115522</t>
        </is>
      </c>
      <c r="B232" t="inlineStr">
        <is>
          <t>PT13770</t>
        </is>
      </c>
      <c r="C232" t="inlineStr">
        <is>
          <t>Outpatient</t>
        </is>
      </c>
      <c r="D232" s="28" t="n">
        <v>45807</v>
      </c>
      <c r="E232" s="28" t="n">
        <v>45807</v>
      </c>
      <c r="F232" t="inlineStr">
        <is>
          <t>D410</t>
        </is>
      </c>
      <c r="G232" t="inlineStr">
        <is>
          <t>PRV1060</t>
        </is>
      </c>
      <c r="H232" t="inlineStr">
        <is>
          <t>I48.91</t>
        </is>
      </c>
      <c r="I232" t="inlineStr">
        <is>
          <t>PY03</t>
        </is>
      </c>
      <c r="J232" s="29" t="n">
        <v>277.21</v>
      </c>
      <c r="K232" s="30" t="n"/>
    </row>
    <row r="233">
      <c r="A233" t="inlineStr">
        <is>
          <t>ENC115561</t>
        </is>
      </c>
      <c r="B233" t="inlineStr">
        <is>
          <t>PT12916</t>
        </is>
      </c>
      <c r="C233" t="inlineStr">
        <is>
          <t>Emergency</t>
        </is>
      </c>
      <c r="D233" s="28" t="n">
        <v>45809</v>
      </c>
      <c r="E233" s="28" t="n">
        <v>45810</v>
      </c>
      <c r="F233" t="inlineStr">
        <is>
          <t>D100</t>
        </is>
      </c>
      <c r="G233" t="inlineStr">
        <is>
          <t>PRV1009</t>
        </is>
      </c>
      <c r="H233" t="inlineStr">
        <is>
          <t>E11.65</t>
        </is>
      </c>
      <c r="I233" t="inlineStr">
        <is>
          <t>PY03</t>
        </is>
      </c>
      <c r="J233" s="29" t="n">
        <v>2607.61</v>
      </c>
      <c r="K233" s="30" t="n"/>
    </row>
    <row r="234">
      <c r="A234" t="inlineStr">
        <is>
          <t>ENC115568</t>
        </is>
      </c>
      <c r="B234" t="inlineStr">
        <is>
          <t>PT11561</t>
        </is>
      </c>
      <c r="C234" t="inlineStr">
        <is>
          <t>Outpatient</t>
        </is>
      </c>
      <c r="D234" s="28" t="n">
        <v>45810</v>
      </c>
      <c r="E234" s="28" t="n">
        <v>45810</v>
      </c>
      <c r="F234" t="inlineStr">
        <is>
          <t>D400</t>
        </is>
      </c>
      <c r="G234" t="inlineStr">
        <is>
          <t>PRV1137</t>
        </is>
      </c>
      <c r="H234" t="inlineStr">
        <is>
          <t>G40.909</t>
        </is>
      </c>
      <c r="I234" t="inlineStr">
        <is>
          <t>PY02</t>
        </is>
      </c>
      <c r="J234" s="29" t="n">
        <v>431.49</v>
      </c>
      <c r="K234" s="30" t="n"/>
    </row>
    <row r="235">
      <c r="A235" t="inlineStr">
        <is>
          <t>ENC115582</t>
        </is>
      </c>
      <c r="B235" t="inlineStr">
        <is>
          <t>PT12917</t>
        </is>
      </c>
      <c r="C235" t="inlineStr">
        <is>
          <t>Inpatient</t>
        </is>
      </c>
      <c r="D235" s="28" t="n">
        <v>45811</v>
      </c>
      <c r="E235" s="28" t="n">
        <v>45814</v>
      </c>
      <c r="F235" t="inlineStr">
        <is>
          <t>D310</t>
        </is>
      </c>
      <c r="G235" t="inlineStr">
        <is>
          <t>PRV1053</t>
        </is>
      </c>
      <c r="H235" t="inlineStr">
        <is>
          <t>J44.1</t>
        </is>
      </c>
      <c r="I235" t="inlineStr">
        <is>
          <t>PY01</t>
        </is>
      </c>
      <c r="J235" s="29" t="n">
        <v>14712.69</v>
      </c>
      <c r="K235" s="30" t="n"/>
    </row>
    <row r="236">
      <c r="A236" t="inlineStr">
        <is>
          <t>ENC115606</t>
        </is>
      </c>
      <c r="B236" t="inlineStr">
        <is>
          <t>PT11269</t>
        </is>
      </c>
      <c r="C236" t="inlineStr">
        <is>
          <t>Outpatient</t>
        </is>
      </c>
      <c r="D236" s="28" t="n">
        <v>45811</v>
      </c>
      <c r="E236" s="28" t="n">
        <v>45811</v>
      </c>
      <c r="F236" t="inlineStr">
        <is>
          <t>D400</t>
        </is>
      </c>
      <c r="G236" t="inlineStr">
        <is>
          <t>PRV1137</t>
        </is>
      </c>
      <c r="H236" t="inlineStr">
        <is>
          <t>Z00.00</t>
        </is>
      </c>
      <c r="I236" t="inlineStr">
        <is>
          <t>PY06</t>
        </is>
      </c>
      <c r="J236" s="29" t="n">
        <v>293.93</v>
      </c>
      <c r="K236" s="30" t="n"/>
    </row>
    <row r="237">
      <c r="A237" t="inlineStr">
        <is>
          <t>ENC115638</t>
        </is>
      </c>
      <c r="B237" t="inlineStr">
        <is>
          <t>PT12744</t>
        </is>
      </c>
      <c r="C237" t="inlineStr">
        <is>
          <t>Outpatient</t>
        </is>
      </c>
      <c r="D237" s="28" t="n">
        <v>45812</v>
      </c>
      <c r="E237" s="28" t="n">
        <v>45812</v>
      </c>
      <c r="F237" t="inlineStr">
        <is>
          <t>D400</t>
        </is>
      </c>
      <c r="G237" t="inlineStr">
        <is>
          <t>PRV1137</t>
        </is>
      </c>
      <c r="H237" t="inlineStr">
        <is>
          <t>M54.50</t>
        </is>
      </c>
      <c r="I237" t="inlineStr">
        <is>
          <t>PY03</t>
        </is>
      </c>
      <c r="J237" s="29" t="n">
        <v>200.05</v>
      </c>
      <c r="K237" s="30" t="n"/>
    </row>
    <row r="238">
      <c r="A238" t="inlineStr">
        <is>
          <t>ENC115651</t>
        </is>
      </c>
      <c r="B238" t="inlineStr">
        <is>
          <t>PT10882</t>
        </is>
      </c>
      <c r="C238" t="inlineStr">
        <is>
          <t>Inpatient</t>
        </is>
      </c>
      <c r="D238" s="28" t="n">
        <v>45812</v>
      </c>
      <c r="E238" s="28" t="n">
        <v>45817</v>
      </c>
      <c r="F238" t="inlineStr">
        <is>
          <t>D110</t>
        </is>
      </c>
      <c r="G238" t="inlineStr">
        <is>
          <t>PRV1039</t>
        </is>
      </c>
      <c r="H238" t="inlineStr">
        <is>
          <t>N39.0</t>
        </is>
      </c>
      <c r="I238" t="inlineStr">
        <is>
          <t>PY04</t>
        </is>
      </c>
      <c r="J238" s="29" t="n">
        <v>17236.13</v>
      </c>
      <c r="K238" s="30" t="n"/>
    </row>
    <row r="239">
      <c r="A239" t="inlineStr">
        <is>
          <t>ENC115669</t>
        </is>
      </c>
      <c r="B239" t="inlineStr">
        <is>
          <t>PT10772</t>
        </is>
      </c>
      <c r="C239" t="inlineStr">
        <is>
          <t>Observation</t>
        </is>
      </c>
      <c r="D239" s="28" t="n">
        <v>45813</v>
      </c>
      <c r="E239" s="28" t="n">
        <v>45813</v>
      </c>
      <c r="F239" t="inlineStr">
        <is>
          <t>D210</t>
        </is>
      </c>
      <c r="G239" t="inlineStr">
        <is>
          <t>PRV1046</t>
        </is>
      </c>
      <c r="H239" t="inlineStr">
        <is>
          <t>N17.9</t>
        </is>
      </c>
      <c r="I239" t="inlineStr">
        <is>
          <t>PY02</t>
        </is>
      </c>
      <c r="J239" s="29" t="n">
        <v>7294.64</v>
      </c>
      <c r="K239" s="30" t="n"/>
    </row>
    <row r="240">
      <c r="A240" t="inlineStr">
        <is>
          <t>ENC115703</t>
        </is>
      </c>
      <c r="B240" t="inlineStr">
        <is>
          <t>PT11657</t>
        </is>
      </c>
      <c r="C240" t="inlineStr">
        <is>
          <t>Emergency</t>
        </is>
      </c>
      <c r="D240" s="28" t="n">
        <v>45814</v>
      </c>
      <c r="E240" s="28" t="n">
        <v>45814</v>
      </c>
      <c r="F240" t="inlineStr">
        <is>
          <t>D200</t>
        </is>
      </c>
      <c r="G240" t="inlineStr">
        <is>
          <t>PRV1015</t>
        </is>
      </c>
      <c r="H240" t="inlineStr">
        <is>
          <t>R55</t>
        </is>
      </c>
      <c r="I240" t="inlineStr">
        <is>
          <t>PY06</t>
        </is>
      </c>
      <c r="J240" s="29" t="n">
        <v>3612.9</v>
      </c>
      <c r="K240" s="30" t="n"/>
    </row>
    <row r="241">
      <c r="A241" t="inlineStr">
        <is>
          <t>ENC115709</t>
        </is>
      </c>
      <c r="B241" t="inlineStr">
        <is>
          <t>PT13785</t>
        </is>
      </c>
      <c r="C241" t="inlineStr">
        <is>
          <t>Outpatient</t>
        </is>
      </c>
      <c r="D241" s="28" t="n">
        <v>45814</v>
      </c>
      <c r="E241" s="28" t="n">
        <v>45814</v>
      </c>
      <c r="F241" t="inlineStr">
        <is>
          <t>D400</t>
        </is>
      </c>
      <c r="G241" t="inlineStr">
        <is>
          <t>PRV1137</t>
        </is>
      </c>
      <c r="H241" t="inlineStr">
        <is>
          <t>Z00.00</t>
        </is>
      </c>
      <c r="I241" t="inlineStr">
        <is>
          <t>PY02</t>
        </is>
      </c>
      <c r="J241" s="29" t="n">
        <v>321.26</v>
      </c>
      <c r="K241" s="30" t="n"/>
    </row>
    <row r="242">
      <c r="A242" t="inlineStr">
        <is>
          <t>ENC115738</t>
        </is>
      </c>
      <c r="B242" t="inlineStr">
        <is>
          <t>PT10050</t>
        </is>
      </c>
      <c r="C242" t="inlineStr">
        <is>
          <t>Emergency</t>
        </is>
      </c>
      <c r="D242" s="28" t="n">
        <v>45816</v>
      </c>
      <c r="E242" s="28" t="n">
        <v>45816</v>
      </c>
      <c r="F242" t="inlineStr">
        <is>
          <t>D100</t>
        </is>
      </c>
      <c r="G242" t="inlineStr">
        <is>
          <t>PRV1001</t>
        </is>
      </c>
      <c r="H242" t="inlineStr">
        <is>
          <t>S93.401A</t>
        </is>
      </c>
      <c r="I242" t="inlineStr">
        <is>
          <t>PY04</t>
        </is>
      </c>
      <c r="J242" s="29" t="n">
        <v>691.76</v>
      </c>
      <c r="K242" s="30" t="n"/>
    </row>
    <row r="243">
      <c r="A243" t="inlineStr">
        <is>
          <t>ENC115770</t>
        </is>
      </c>
      <c r="B243" t="inlineStr">
        <is>
          <t>PT12748</t>
        </is>
      </c>
      <c r="C243" t="inlineStr">
        <is>
          <t>Inpatient</t>
        </is>
      </c>
      <c r="D243" s="28" t="n">
        <v>45817</v>
      </c>
      <c r="E243" s="28" t="n">
        <v>45820</v>
      </c>
      <c r="F243" t="inlineStr">
        <is>
          <t>D170</t>
        </is>
      </c>
      <c r="G243" t="inlineStr">
        <is>
          <t>PRV1091</t>
        </is>
      </c>
      <c r="H243" t="inlineStr">
        <is>
          <t>O82</t>
        </is>
      </c>
      <c r="I243" t="inlineStr">
        <is>
          <t>PY06</t>
        </is>
      </c>
      <c r="J243" s="29" t="n">
        <v>17896.71</v>
      </c>
      <c r="K243" s="30" t="n"/>
    </row>
    <row r="244">
      <c r="A244" t="inlineStr">
        <is>
          <t>ENC115784</t>
        </is>
      </c>
      <c r="B244" t="inlineStr">
        <is>
          <t>PT11791</t>
        </is>
      </c>
      <c r="C244" t="inlineStr">
        <is>
          <t>Inpatient</t>
        </is>
      </c>
      <c r="D244" s="28" t="n">
        <v>45817</v>
      </c>
      <c r="E244" s="28" t="n">
        <v>45821</v>
      </c>
      <c r="F244" t="inlineStr">
        <is>
          <t>D120</t>
        </is>
      </c>
      <c r="G244" t="inlineStr">
        <is>
          <t>PRV1057</t>
        </is>
      </c>
      <c r="H244" t="inlineStr">
        <is>
          <t>I21.4</t>
        </is>
      </c>
      <c r="I244" t="inlineStr">
        <is>
          <t>PY01</t>
        </is>
      </c>
      <c r="J244" s="29" t="n">
        <v>99933.64</v>
      </c>
      <c r="K244" s="30" t="n"/>
    </row>
    <row r="245">
      <c r="A245" t="inlineStr">
        <is>
          <t>ENC115850</t>
        </is>
      </c>
      <c r="B245" t="inlineStr">
        <is>
          <t>PT13844</t>
        </is>
      </c>
      <c r="C245" t="inlineStr">
        <is>
          <t>Emergency</t>
        </is>
      </c>
      <c r="D245" s="28" t="n">
        <v>45819</v>
      </c>
      <c r="E245" s="28" t="n">
        <v>45820</v>
      </c>
      <c r="F245" t="inlineStr">
        <is>
          <t>D100</t>
        </is>
      </c>
      <c r="G245" t="inlineStr">
        <is>
          <t>PRV1004</t>
        </is>
      </c>
      <c r="H245" t="inlineStr">
        <is>
          <t>E86.0</t>
        </is>
      </c>
      <c r="I245" t="inlineStr">
        <is>
          <t>PY03</t>
        </is>
      </c>
      <c r="J245" s="29" t="n">
        <v>3133.08</v>
      </c>
      <c r="K245" s="30" t="n"/>
    </row>
    <row r="246">
      <c r="A246" t="inlineStr">
        <is>
          <t>ENC115846</t>
        </is>
      </c>
      <c r="B246" t="inlineStr">
        <is>
          <t>PT12870</t>
        </is>
      </c>
      <c r="C246" t="inlineStr">
        <is>
          <t>Inpatient</t>
        </is>
      </c>
      <c r="D246" s="28" t="n">
        <v>45819</v>
      </c>
      <c r="E246" s="28" t="n">
        <v>45825</v>
      </c>
      <c r="F246" t="inlineStr">
        <is>
          <t>D320</t>
        </is>
      </c>
      <c r="G246" t="inlineStr">
        <is>
          <t>PRV1058</t>
        </is>
      </c>
      <c r="H246" t="inlineStr">
        <is>
          <t>I48.91</t>
        </is>
      </c>
      <c r="I246" t="inlineStr">
        <is>
          <t>PY01</t>
        </is>
      </c>
      <c r="J246" s="29" t="n">
        <v>39410.95</v>
      </c>
      <c r="K246" s="30" t="n"/>
    </row>
    <row r="247">
      <c r="A247" t="inlineStr">
        <is>
          <t>ENC115875</t>
        </is>
      </c>
      <c r="B247" t="inlineStr">
        <is>
          <t>PT13517</t>
        </is>
      </c>
      <c r="C247" t="inlineStr">
        <is>
          <t>Outpatient</t>
        </is>
      </c>
      <c r="D247" s="28" t="n">
        <v>45820</v>
      </c>
      <c r="E247" s="28" t="n">
        <v>45820</v>
      </c>
      <c r="F247" t="inlineStr">
        <is>
          <t>D400</t>
        </is>
      </c>
      <c r="G247" t="inlineStr">
        <is>
          <t>PRV1137</t>
        </is>
      </c>
      <c r="H247" t="inlineStr">
        <is>
          <t>J45.909</t>
        </is>
      </c>
      <c r="I247" t="inlineStr">
        <is>
          <t>PY03</t>
        </is>
      </c>
      <c r="J247" s="29" t="n">
        <v>490.44</v>
      </c>
      <c r="K247" s="30" t="n"/>
    </row>
    <row r="248">
      <c r="A248" t="inlineStr">
        <is>
          <t>ENC115878</t>
        </is>
      </c>
      <c r="B248" t="inlineStr">
        <is>
          <t>PT11614</t>
        </is>
      </c>
      <c r="C248" t="inlineStr">
        <is>
          <t>Outpatient</t>
        </is>
      </c>
      <c r="D248" s="28" t="n">
        <v>45820</v>
      </c>
      <c r="E248" s="28" t="n">
        <v>45820</v>
      </c>
      <c r="F248" t="inlineStr">
        <is>
          <t>D400</t>
        </is>
      </c>
      <c r="G248" t="inlineStr">
        <is>
          <t>PRV1128</t>
        </is>
      </c>
      <c r="H248" t="inlineStr">
        <is>
          <t>E78.5</t>
        </is>
      </c>
      <c r="I248" t="inlineStr">
        <is>
          <t>PY07</t>
        </is>
      </c>
      <c r="J248" s="29" t="n">
        <v>348.68</v>
      </c>
      <c r="K248" s="30" t="n"/>
    </row>
    <row r="249">
      <c r="A249" t="inlineStr">
        <is>
          <t>ENC115884</t>
        </is>
      </c>
      <c r="B249" t="inlineStr">
        <is>
          <t>PT10532</t>
        </is>
      </c>
      <c r="C249" t="inlineStr">
        <is>
          <t>Emergency</t>
        </is>
      </c>
      <c r="D249" s="28" t="n">
        <v>45820</v>
      </c>
      <c r="E249" s="28" t="n">
        <v>45820</v>
      </c>
      <c r="F249" t="inlineStr">
        <is>
          <t>D300</t>
        </is>
      </c>
      <c r="G249" t="inlineStr">
        <is>
          <t>PRV1026</t>
        </is>
      </c>
      <c r="H249" t="inlineStr">
        <is>
          <t>M54.50</t>
        </is>
      </c>
      <c r="I249" t="inlineStr">
        <is>
          <t>PY04</t>
        </is>
      </c>
      <c r="J249" s="29" t="n">
        <v>1402.12</v>
      </c>
      <c r="K249" s="30" t="n"/>
    </row>
    <row r="250">
      <c r="A250" t="inlineStr">
        <is>
          <t>ENC115891</t>
        </is>
      </c>
      <c r="B250" t="inlineStr">
        <is>
          <t>PT12996</t>
        </is>
      </c>
      <c r="C250" t="inlineStr">
        <is>
          <t>Emergency</t>
        </is>
      </c>
      <c r="D250" s="28" t="n">
        <v>45821</v>
      </c>
      <c r="E250" s="28" t="n">
        <v>45821</v>
      </c>
      <c r="F250" t="inlineStr">
        <is>
          <t>D100</t>
        </is>
      </c>
      <c r="G250" t="inlineStr">
        <is>
          <t>PRV1009</t>
        </is>
      </c>
      <c r="H250" t="inlineStr">
        <is>
          <t>J06.9</t>
        </is>
      </c>
      <c r="I250" t="inlineStr">
        <is>
          <t>PY01</t>
        </is>
      </c>
      <c r="J250" s="29" t="n">
        <v>621.25</v>
      </c>
      <c r="K250" s="30" t="n"/>
    </row>
    <row r="251">
      <c r="A251" t="inlineStr">
        <is>
          <t>ENC115923</t>
        </is>
      </c>
      <c r="B251" t="inlineStr">
        <is>
          <t>PT12604</t>
        </is>
      </c>
      <c r="C251" t="inlineStr">
        <is>
          <t>Emergency</t>
        </is>
      </c>
      <c r="D251" s="28" t="n">
        <v>45822</v>
      </c>
      <c r="E251" s="28" t="n">
        <v>45822</v>
      </c>
      <c r="F251" t="inlineStr">
        <is>
          <t>D100</t>
        </is>
      </c>
      <c r="G251" t="inlineStr">
        <is>
          <t>PRV1010</t>
        </is>
      </c>
      <c r="H251" t="inlineStr">
        <is>
          <t>J06.9</t>
        </is>
      </c>
      <c r="I251" t="inlineStr">
        <is>
          <t>PY04</t>
        </is>
      </c>
      <c r="J251" s="29" t="n">
        <v>566.72</v>
      </c>
      <c r="K251" s="30" t="n"/>
    </row>
    <row r="252">
      <c r="A252" t="inlineStr">
        <is>
          <t>ENC115997</t>
        </is>
      </c>
      <c r="B252" t="inlineStr">
        <is>
          <t>PT10423</t>
        </is>
      </c>
      <c r="C252" t="inlineStr">
        <is>
          <t>Outpatient</t>
        </is>
      </c>
      <c r="D252" s="28" t="n">
        <v>45825</v>
      </c>
      <c r="E252" s="28" t="n">
        <v>45825</v>
      </c>
      <c r="F252" t="inlineStr">
        <is>
          <t>D440</t>
        </is>
      </c>
      <c r="G252" t="inlineStr">
        <is>
          <t>PRV1141</t>
        </is>
      </c>
      <c r="H252" t="inlineStr">
        <is>
          <t>E11.65</t>
        </is>
      </c>
      <c r="I252" t="inlineStr">
        <is>
          <t>PY02</t>
        </is>
      </c>
      <c r="J252" s="29" t="n">
        <v>241.95</v>
      </c>
      <c r="K252" s="30" t="n"/>
    </row>
    <row r="253">
      <c r="A253" t="inlineStr">
        <is>
          <t>ENC116025</t>
        </is>
      </c>
      <c r="B253" t="inlineStr">
        <is>
          <t>PT13926</t>
        </is>
      </c>
      <c r="C253" t="inlineStr">
        <is>
          <t>Inpatient</t>
        </is>
      </c>
      <c r="D253" s="28" t="n">
        <v>45826</v>
      </c>
      <c r="E253" s="28" t="n">
        <v>45830</v>
      </c>
      <c r="F253" t="inlineStr">
        <is>
          <t>D110</t>
        </is>
      </c>
      <c r="G253" t="inlineStr">
        <is>
          <t>PRV1083</t>
        </is>
      </c>
      <c r="H253" t="inlineStr">
        <is>
          <t>K56.609</t>
        </is>
      </c>
      <c r="I253" t="inlineStr">
        <is>
          <t>PY06</t>
        </is>
      </c>
      <c r="J253" s="29" t="n">
        <v>25651.15</v>
      </c>
      <c r="K253" s="30" t="n"/>
    </row>
    <row r="254">
      <c r="A254" t="inlineStr">
        <is>
          <t>ENC116026</t>
        </is>
      </c>
      <c r="B254" t="inlineStr">
        <is>
          <t>PT10413</t>
        </is>
      </c>
      <c r="C254" t="inlineStr">
        <is>
          <t>Inpatient</t>
        </is>
      </c>
      <c r="D254" s="28" t="n">
        <v>45826</v>
      </c>
      <c r="E254" s="28" t="n">
        <v>45833</v>
      </c>
      <c r="F254" t="inlineStr">
        <is>
          <t>D130</t>
        </is>
      </c>
      <c r="G254" t="inlineStr">
        <is>
          <t>PRV1064</t>
        </is>
      </c>
      <c r="H254" t="inlineStr">
        <is>
          <t>A41.9</t>
        </is>
      </c>
      <c r="I254" t="inlineStr">
        <is>
          <t>PY07</t>
        </is>
      </c>
      <c r="J254" s="29" t="n">
        <v>42221.95</v>
      </c>
      <c r="K254" s="30" t="n"/>
    </row>
    <row r="255">
      <c r="A255" t="inlineStr">
        <is>
          <t>ENC116046</t>
        </is>
      </c>
      <c r="B255" t="inlineStr">
        <is>
          <t>PT11442</t>
        </is>
      </c>
      <c r="C255" t="inlineStr">
        <is>
          <t>Outpatient</t>
        </is>
      </c>
      <c r="D255" s="28" t="n">
        <v>45826</v>
      </c>
      <c r="E255" s="28" t="n">
        <v>45826</v>
      </c>
      <c r="F255" t="inlineStr">
        <is>
          <t>D430</t>
        </is>
      </c>
      <c r="G255" t="inlineStr">
        <is>
          <t>PRV1115</t>
        </is>
      </c>
      <c r="H255" t="inlineStr">
        <is>
          <t>Z51.11</t>
        </is>
      </c>
      <c r="I255" t="inlineStr">
        <is>
          <t>PY04</t>
        </is>
      </c>
      <c r="J255" s="29" t="n">
        <v>8810.99</v>
      </c>
      <c r="K255" s="30" t="n"/>
    </row>
    <row r="256">
      <c r="A256" t="inlineStr">
        <is>
          <t>ENC116064</t>
        </is>
      </c>
      <c r="B256" t="inlineStr">
        <is>
          <t>PT12996</t>
        </is>
      </c>
      <c r="C256" t="inlineStr">
        <is>
          <t>Emergency</t>
        </is>
      </c>
      <c r="D256" s="28" t="n">
        <v>45827</v>
      </c>
      <c r="E256" s="28" t="n">
        <v>45827</v>
      </c>
      <c r="F256" t="inlineStr">
        <is>
          <t>D100</t>
        </is>
      </c>
      <c r="G256" t="inlineStr">
        <is>
          <t>PRV1002</t>
        </is>
      </c>
      <c r="H256" t="inlineStr">
        <is>
          <t>R10.9</t>
        </is>
      </c>
      <c r="I256" t="inlineStr">
        <is>
          <t>PY01</t>
        </is>
      </c>
      <c r="J256" s="29" t="n">
        <v>1867.86</v>
      </c>
      <c r="K256" s="30" t="n"/>
    </row>
    <row r="257">
      <c r="A257" t="inlineStr">
        <is>
          <t>ENC116067</t>
        </is>
      </c>
      <c r="B257" t="inlineStr">
        <is>
          <t>PT10463</t>
        </is>
      </c>
      <c r="C257" t="inlineStr">
        <is>
          <t>Emergency</t>
        </is>
      </c>
      <c r="D257" s="28" t="n">
        <v>45827</v>
      </c>
      <c r="E257" s="28" t="n">
        <v>45827</v>
      </c>
      <c r="F257" t="inlineStr">
        <is>
          <t>D300</t>
        </is>
      </c>
      <c r="G257" t="inlineStr">
        <is>
          <t>PRV1026</t>
        </is>
      </c>
      <c r="H257" t="inlineStr">
        <is>
          <t>J06.9</t>
        </is>
      </c>
      <c r="I257" t="inlineStr">
        <is>
          <t>PY02</t>
        </is>
      </c>
      <c r="J257" s="29" t="n">
        <v>642.78</v>
      </c>
      <c r="K257" s="30" t="n"/>
    </row>
    <row r="258">
      <c r="A258" t="inlineStr">
        <is>
          <t>ENC116085</t>
        </is>
      </c>
      <c r="B258" t="inlineStr">
        <is>
          <t>PT12916</t>
        </is>
      </c>
      <c r="C258" t="inlineStr">
        <is>
          <t>Observation</t>
        </is>
      </c>
      <c r="D258" s="28" t="n">
        <v>45827</v>
      </c>
      <c r="E258" s="28" t="n">
        <v>45828</v>
      </c>
      <c r="F258" t="inlineStr">
        <is>
          <t>D210</t>
        </is>
      </c>
      <c r="G258" t="inlineStr">
        <is>
          <t>PRV1044</t>
        </is>
      </c>
      <c r="H258" t="inlineStr">
        <is>
          <t>F41.9</t>
        </is>
      </c>
      <c r="I258" t="inlineStr">
        <is>
          <t>PY03</t>
        </is>
      </c>
      <c r="J258" s="29" t="n">
        <v>8968.9</v>
      </c>
      <c r="K258" s="30" t="n"/>
    </row>
    <row r="259">
      <c r="A259" t="inlineStr">
        <is>
          <t>ENC116097</t>
        </is>
      </c>
      <c r="B259" t="inlineStr">
        <is>
          <t>PT10308</t>
        </is>
      </c>
      <c r="C259" t="inlineStr">
        <is>
          <t>Emergency</t>
        </is>
      </c>
      <c r="D259" s="28" t="n">
        <v>45828</v>
      </c>
      <c r="E259" s="28" t="n">
        <v>45828</v>
      </c>
      <c r="F259" t="inlineStr">
        <is>
          <t>D100</t>
        </is>
      </c>
      <c r="G259" t="inlineStr">
        <is>
          <t>PRV1009</t>
        </is>
      </c>
      <c r="H259" t="inlineStr">
        <is>
          <t>F41.9</t>
        </is>
      </c>
      <c r="I259" t="inlineStr">
        <is>
          <t>PY03</t>
        </is>
      </c>
      <c r="J259" s="29" t="n">
        <v>3945.28</v>
      </c>
      <c r="K259" s="30" t="n"/>
    </row>
    <row r="260">
      <c r="A260" t="inlineStr">
        <is>
          <t>ENC116091</t>
        </is>
      </c>
      <c r="B260" t="inlineStr">
        <is>
          <t>PT13481</t>
        </is>
      </c>
      <c r="C260" t="inlineStr">
        <is>
          <t>Observation</t>
        </is>
      </c>
      <c r="D260" s="28" t="n">
        <v>45828</v>
      </c>
      <c r="E260" s="28" t="n">
        <v>45828</v>
      </c>
      <c r="F260" t="inlineStr">
        <is>
          <t>D195</t>
        </is>
      </c>
      <c r="G260" t="inlineStr">
        <is>
          <t>PRV1041</t>
        </is>
      </c>
      <c r="H260" t="inlineStr">
        <is>
          <t>E86.0</t>
        </is>
      </c>
      <c r="I260" t="inlineStr">
        <is>
          <t>PY03</t>
        </is>
      </c>
      <c r="J260" s="29" t="n">
        <v>11832.67</v>
      </c>
      <c r="K260" s="30" t="n"/>
    </row>
    <row r="261">
      <c r="A261" t="inlineStr">
        <is>
          <t>ENC116109</t>
        </is>
      </c>
      <c r="B261" t="inlineStr">
        <is>
          <t>PT12579</t>
        </is>
      </c>
      <c r="C261" t="inlineStr">
        <is>
          <t>Outpatient</t>
        </is>
      </c>
      <c r="D261" s="28" t="n">
        <v>45828</v>
      </c>
      <c r="E261" s="28" t="n">
        <v>45828</v>
      </c>
      <c r="F261" t="inlineStr">
        <is>
          <t>D400</t>
        </is>
      </c>
      <c r="G261" t="inlineStr">
        <is>
          <t>PRV1137</t>
        </is>
      </c>
      <c r="H261" t="inlineStr">
        <is>
          <t>I10</t>
        </is>
      </c>
      <c r="I261" t="inlineStr">
        <is>
          <t>PY02</t>
        </is>
      </c>
      <c r="J261" s="29" t="n">
        <v>272.66</v>
      </c>
      <c r="K261" s="30" t="n"/>
    </row>
    <row r="262">
      <c r="A262" t="inlineStr">
        <is>
          <t>ENC116112</t>
        </is>
      </c>
      <c r="B262" t="inlineStr">
        <is>
          <t>PT10891</t>
        </is>
      </c>
      <c r="C262" t="inlineStr">
        <is>
          <t>Outpatient</t>
        </is>
      </c>
      <c r="D262" s="28" t="n">
        <v>45828</v>
      </c>
      <c r="E262" s="28" t="n">
        <v>45828</v>
      </c>
      <c r="F262" t="inlineStr">
        <is>
          <t>D400</t>
        </is>
      </c>
      <c r="G262" t="inlineStr">
        <is>
          <t>PRV1137</t>
        </is>
      </c>
      <c r="H262" t="inlineStr">
        <is>
          <t>F41.9</t>
        </is>
      </c>
      <c r="I262" t="inlineStr">
        <is>
          <t>PY01</t>
        </is>
      </c>
      <c r="J262" s="29" t="n">
        <v>299.7</v>
      </c>
      <c r="K262" s="30" t="n"/>
    </row>
    <row r="263">
      <c r="A263" t="inlineStr">
        <is>
          <t>ENC116142</t>
        </is>
      </c>
      <c r="B263" t="inlineStr">
        <is>
          <t>PT13616</t>
        </is>
      </c>
      <c r="C263" t="inlineStr">
        <is>
          <t>Emergency</t>
        </is>
      </c>
      <c r="D263" s="28" t="n">
        <v>45829</v>
      </c>
      <c r="E263" s="28" t="n">
        <v>45830</v>
      </c>
      <c r="F263" t="inlineStr">
        <is>
          <t>D100</t>
        </is>
      </c>
      <c r="G263" t="inlineStr">
        <is>
          <t>PRV1007</t>
        </is>
      </c>
      <c r="H263" t="inlineStr">
        <is>
          <t>E86.0</t>
        </is>
      </c>
      <c r="I263" t="inlineStr">
        <is>
          <t>PY03</t>
        </is>
      </c>
      <c r="J263" s="29" t="n">
        <v>1580.47</v>
      </c>
      <c r="K263" s="30" t="n"/>
    </row>
    <row r="264">
      <c r="A264" t="inlineStr">
        <is>
          <t>ENC116156</t>
        </is>
      </c>
      <c r="B264" t="inlineStr">
        <is>
          <t>PT10395</t>
        </is>
      </c>
      <c r="C264" t="inlineStr">
        <is>
          <t>Inpatient</t>
        </is>
      </c>
      <c r="D264" s="28" t="n">
        <v>45830</v>
      </c>
      <c r="E264" s="28" t="n">
        <v>45833</v>
      </c>
      <c r="F264" t="inlineStr">
        <is>
          <t>D210</t>
        </is>
      </c>
      <c r="G264" t="inlineStr">
        <is>
          <t>PRV1045</t>
        </is>
      </c>
      <c r="H264" t="inlineStr">
        <is>
          <t>E11.65</t>
        </is>
      </c>
      <c r="I264" t="inlineStr">
        <is>
          <t>PY02</t>
        </is>
      </c>
      <c r="J264" s="29" t="n">
        <v>20906.02</v>
      </c>
      <c r="K264" s="30" t="n"/>
    </row>
    <row r="265">
      <c r="A265" t="inlineStr">
        <is>
          <t>ENC116235</t>
        </is>
      </c>
      <c r="B265" t="inlineStr">
        <is>
          <t>PT13163</t>
        </is>
      </c>
      <c r="C265" t="inlineStr">
        <is>
          <t>Outpatient</t>
        </is>
      </c>
      <c r="D265" s="28" t="n">
        <v>45833</v>
      </c>
      <c r="E265" s="28" t="n">
        <v>45833</v>
      </c>
      <c r="F265" t="inlineStr">
        <is>
          <t>D400</t>
        </is>
      </c>
      <c r="G265" t="inlineStr">
        <is>
          <t>PRV1139</t>
        </is>
      </c>
      <c r="H265" t="inlineStr">
        <is>
          <t>Z00.00</t>
        </is>
      </c>
      <c r="I265" t="inlineStr">
        <is>
          <t>PY07</t>
        </is>
      </c>
      <c r="J265" s="29" t="n">
        <v>445.32</v>
      </c>
      <c r="K265" s="30" t="n"/>
    </row>
    <row r="266">
      <c r="A266" t="inlineStr">
        <is>
          <t>ENC116269</t>
        </is>
      </c>
      <c r="B266" t="inlineStr">
        <is>
          <t>PT13524</t>
        </is>
      </c>
      <c r="C266" t="inlineStr">
        <is>
          <t>Outpatient</t>
        </is>
      </c>
      <c r="D266" s="28" t="n">
        <v>45834</v>
      </c>
      <c r="E266" s="28" t="n">
        <v>45834</v>
      </c>
      <c r="F266" t="inlineStr">
        <is>
          <t>D400</t>
        </is>
      </c>
      <c r="G266" t="inlineStr">
        <is>
          <t>PRV1137</t>
        </is>
      </c>
      <c r="H266" t="inlineStr">
        <is>
          <t>J06.9</t>
        </is>
      </c>
      <c r="I266" t="inlineStr">
        <is>
          <t>PY05</t>
        </is>
      </c>
      <c r="J266" s="29" t="n">
        <v>548.4</v>
      </c>
      <c r="K266" s="30" t="n"/>
    </row>
    <row r="267">
      <c r="A267" t="inlineStr">
        <is>
          <t>ENC116277</t>
        </is>
      </c>
      <c r="B267" t="inlineStr">
        <is>
          <t>PT10262</t>
        </is>
      </c>
      <c r="C267" t="inlineStr">
        <is>
          <t>Outpatient</t>
        </is>
      </c>
      <c r="D267" s="28" t="n">
        <v>45834</v>
      </c>
      <c r="E267" s="28" t="n">
        <v>45834</v>
      </c>
      <c r="F267" t="inlineStr">
        <is>
          <t>D400</t>
        </is>
      </c>
      <c r="G267" t="inlineStr">
        <is>
          <t>PRV1137</t>
        </is>
      </c>
      <c r="H267" t="inlineStr">
        <is>
          <t>Z00.00</t>
        </is>
      </c>
      <c r="I267" t="inlineStr">
        <is>
          <t>PY02</t>
        </is>
      </c>
      <c r="J267" s="29" t="n">
        <v>294.44</v>
      </c>
      <c r="K267" s="30" t="n"/>
    </row>
    <row r="268">
      <c r="A268" t="inlineStr">
        <is>
          <t>ENC116278</t>
        </is>
      </c>
      <c r="B268" t="inlineStr">
        <is>
          <t>PT13832</t>
        </is>
      </c>
      <c r="C268" t="inlineStr">
        <is>
          <t>Emergency</t>
        </is>
      </c>
      <c r="D268" s="28" t="n">
        <v>45834</v>
      </c>
      <c r="E268" s="28" t="n">
        <v>45834</v>
      </c>
      <c r="F268" t="inlineStr">
        <is>
          <t>D100</t>
        </is>
      </c>
      <c r="G268" t="inlineStr">
        <is>
          <t>PRV1009</t>
        </is>
      </c>
      <c r="H268" t="inlineStr">
        <is>
          <t>R10.9</t>
        </is>
      </c>
      <c r="I268" t="inlineStr">
        <is>
          <t>PY01</t>
        </is>
      </c>
      <c r="J268" s="29" t="n">
        <v>4252.72</v>
      </c>
      <c r="K268" s="30" t="n"/>
    </row>
    <row r="269">
      <c r="A269" t="inlineStr">
        <is>
          <t>ENC116280</t>
        </is>
      </c>
      <c r="B269" t="inlineStr">
        <is>
          <t>PT12604</t>
        </is>
      </c>
      <c r="C269" t="inlineStr">
        <is>
          <t>Outpatient</t>
        </is>
      </c>
      <c r="D269" s="28" t="n">
        <v>45834</v>
      </c>
      <c r="E269" s="28" t="n">
        <v>45834</v>
      </c>
      <c r="F269" t="inlineStr">
        <is>
          <t>D400</t>
        </is>
      </c>
      <c r="G269" t="inlineStr">
        <is>
          <t>PRV1137</t>
        </is>
      </c>
      <c r="H269" t="inlineStr">
        <is>
          <t>I10</t>
        </is>
      </c>
      <c r="I269" t="inlineStr">
        <is>
          <t>PY04</t>
        </is>
      </c>
      <c r="J269" s="29" t="n">
        <v>208.47</v>
      </c>
      <c r="K269" s="30" t="n"/>
    </row>
    <row r="270">
      <c r="A270" t="inlineStr">
        <is>
          <t>ENC116320</t>
        </is>
      </c>
      <c r="B270" t="inlineStr">
        <is>
          <t>PT12018</t>
        </is>
      </c>
      <c r="C270" t="inlineStr">
        <is>
          <t>Outpatient</t>
        </is>
      </c>
      <c r="D270" s="28" t="n">
        <v>45835</v>
      </c>
      <c r="E270" s="28" t="n">
        <v>45835</v>
      </c>
      <c r="F270" t="inlineStr">
        <is>
          <t>D440</t>
        </is>
      </c>
      <c r="G270" t="inlineStr">
        <is>
          <t>PRV1142</t>
        </is>
      </c>
      <c r="H270" t="inlineStr">
        <is>
          <t>E11.65</t>
        </is>
      </c>
      <c r="I270" t="inlineStr">
        <is>
          <t>PY03</t>
        </is>
      </c>
      <c r="J270" s="29" t="n">
        <v>169.31</v>
      </c>
      <c r="K270" s="30" t="n"/>
    </row>
    <row r="271">
      <c r="A271" t="inlineStr">
        <is>
          <t>ENC116346</t>
        </is>
      </c>
      <c r="B271" t="inlineStr">
        <is>
          <t>PT11614</t>
        </is>
      </c>
      <c r="C271" t="inlineStr">
        <is>
          <t>Emergency</t>
        </is>
      </c>
      <c r="D271" s="28" t="n">
        <v>45836</v>
      </c>
      <c r="E271" s="28" t="n">
        <v>45836</v>
      </c>
      <c r="F271" t="inlineStr">
        <is>
          <t>D200</t>
        </is>
      </c>
      <c r="G271" t="inlineStr">
        <is>
          <t>PRV1019</t>
        </is>
      </c>
      <c r="H271" t="inlineStr">
        <is>
          <t>M54.50</t>
        </is>
      </c>
      <c r="I271" t="inlineStr">
        <is>
          <t>PY07</t>
        </is>
      </c>
      <c r="J271" s="29" t="n">
        <v>2804.33</v>
      </c>
      <c r="K271" s="30" t="n"/>
    </row>
    <row r="272">
      <c r="A272" t="inlineStr">
        <is>
          <t>ENC116353</t>
        </is>
      </c>
      <c r="B272" t="inlineStr">
        <is>
          <t>PT12054</t>
        </is>
      </c>
      <c r="C272" t="inlineStr">
        <is>
          <t>Emergency</t>
        </is>
      </c>
      <c r="D272" s="28" t="n">
        <v>45836</v>
      </c>
      <c r="E272" s="28" t="n">
        <v>45836</v>
      </c>
      <c r="F272" t="inlineStr">
        <is>
          <t>D300</t>
        </is>
      </c>
      <c r="G272" t="inlineStr">
        <is>
          <t>PRV1028</t>
        </is>
      </c>
      <c r="H272" t="inlineStr">
        <is>
          <t>J45.909</t>
        </is>
      </c>
      <c r="I272" t="inlineStr">
        <is>
          <t>PY04</t>
        </is>
      </c>
      <c r="J272" s="29" t="n">
        <v>1688.43</v>
      </c>
      <c r="K272" s="30" t="n"/>
    </row>
    <row r="273">
      <c r="A273" t="inlineStr">
        <is>
          <t>ENC116366</t>
        </is>
      </c>
      <c r="B273" t="inlineStr">
        <is>
          <t>PT11409</t>
        </is>
      </c>
      <c r="C273" t="inlineStr">
        <is>
          <t>Emergency</t>
        </is>
      </c>
      <c r="D273" s="28" t="n">
        <v>45837</v>
      </c>
      <c r="E273" s="28" t="n">
        <v>45837</v>
      </c>
      <c r="F273" t="inlineStr">
        <is>
          <t>D300</t>
        </is>
      </c>
      <c r="G273" t="inlineStr">
        <is>
          <t>PRV1022</t>
        </is>
      </c>
      <c r="H273" t="inlineStr">
        <is>
          <t>S06.0X0A</t>
        </is>
      </c>
      <c r="I273" t="inlineStr">
        <is>
          <t>PY03</t>
        </is>
      </c>
      <c r="J273" s="29" t="n">
        <v>970.08</v>
      </c>
      <c r="K273" s="30" t="n"/>
    </row>
    <row r="274">
      <c r="A274" t="inlineStr">
        <is>
          <t>ENC116365</t>
        </is>
      </c>
      <c r="B274" t="inlineStr">
        <is>
          <t>PT12320</t>
        </is>
      </c>
      <c r="C274" t="inlineStr">
        <is>
          <t>Observation</t>
        </is>
      </c>
      <c r="D274" s="28" t="n">
        <v>45837</v>
      </c>
      <c r="E274" s="28" t="n">
        <v>45838</v>
      </c>
      <c r="F274" t="inlineStr">
        <is>
          <t>D195</t>
        </is>
      </c>
      <c r="G274" t="inlineStr">
        <is>
          <t>PRV1034</t>
        </is>
      </c>
      <c r="H274" t="inlineStr">
        <is>
          <t>A08.4</t>
        </is>
      </c>
      <c r="I274" t="inlineStr">
        <is>
          <t>PY01</t>
        </is>
      </c>
      <c r="J274" s="29" t="n">
        <v>3763.43</v>
      </c>
      <c r="K274" s="30" t="n"/>
    </row>
    <row r="275">
      <c r="A275" t="inlineStr">
        <is>
          <t>ENC116394</t>
        </is>
      </c>
      <c r="B275" t="inlineStr">
        <is>
          <t>PT10891</t>
        </is>
      </c>
      <c r="C275" t="inlineStr">
        <is>
          <t>Emergency</t>
        </is>
      </c>
      <c r="D275" s="28" t="n">
        <v>45838</v>
      </c>
      <c r="E275" s="28" t="n">
        <v>45838</v>
      </c>
      <c r="F275" t="inlineStr">
        <is>
          <t>D300</t>
        </is>
      </c>
      <c r="G275" t="inlineStr">
        <is>
          <t>PRV1024</t>
        </is>
      </c>
      <c r="H275" t="inlineStr">
        <is>
          <t>M54.50</t>
        </is>
      </c>
      <c r="I275" t="inlineStr">
        <is>
          <t>PY01</t>
        </is>
      </c>
      <c r="J275" s="29" t="n">
        <v>1757.02</v>
      </c>
      <c r="K275" s="30" t="n"/>
    </row>
    <row r="276">
      <c r="A276" t="inlineStr">
        <is>
          <t>ENC116416</t>
        </is>
      </c>
      <c r="B276" t="inlineStr">
        <is>
          <t>PT11019</t>
        </is>
      </c>
      <c r="C276" t="inlineStr">
        <is>
          <t>Emergency</t>
        </is>
      </c>
      <c r="D276" s="28" t="n">
        <v>45839</v>
      </c>
      <c r="E276" s="28" t="n">
        <v>45839</v>
      </c>
      <c r="F276" t="inlineStr">
        <is>
          <t>D100</t>
        </is>
      </c>
      <c r="G276" t="inlineStr">
        <is>
          <t>PRV1001</t>
        </is>
      </c>
      <c r="H276" t="inlineStr">
        <is>
          <t>R10.9</t>
        </is>
      </c>
      <c r="I276" t="inlineStr">
        <is>
          <t>PY05</t>
        </is>
      </c>
      <c r="J276" s="29" t="n">
        <v>3855.93</v>
      </c>
      <c r="K276" s="30" t="n"/>
    </row>
    <row r="277">
      <c r="A277" t="inlineStr">
        <is>
          <t>ENC116421</t>
        </is>
      </c>
      <c r="B277" t="inlineStr">
        <is>
          <t>PT10103</t>
        </is>
      </c>
      <c r="C277" t="inlineStr">
        <is>
          <t>Outpatient</t>
        </is>
      </c>
      <c r="D277" s="28" t="n">
        <v>45839</v>
      </c>
      <c r="E277" s="28" t="n">
        <v>45839</v>
      </c>
      <c r="F277" t="inlineStr">
        <is>
          <t>D400</t>
        </is>
      </c>
      <c r="G277" t="inlineStr">
        <is>
          <t>PRV1137</t>
        </is>
      </c>
      <c r="H277" t="inlineStr">
        <is>
          <t>I10</t>
        </is>
      </c>
      <c r="I277" t="inlineStr">
        <is>
          <t>PY01</t>
        </is>
      </c>
      <c r="J277" s="29" t="n">
        <v>382.53</v>
      </c>
      <c r="K277" s="30" t="n"/>
    </row>
    <row r="278">
      <c r="A278" t="inlineStr">
        <is>
          <t>ENC116485</t>
        </is>
      </c>
      <c r="B278" t="inlineStr">
        <is>
          <t>PT12744</t>
        </is>
      </c>
      <c r="C278" t="inlineStr">
        <is>
          <t>Outpatient</t>
        </is>
      </c>
      <c r="D278" s="28" t="n">
        <v>45841</v>
      </c>
      <c r="E278" s="28" t="n">
        <v>45841</v>
      </c>
      <c r="F278" t="inlineStr">
        <is>
          <t>D400</t>
        </is>
      </c>
      <c r="G278" t="inlineStr">
        <is>
          <t>PRV1137</t>
        </is>
      </c>
      <c r="H278" t="inlineStr">
        <is>
          <t>E78.5</t>
        </is>
      </c>
      <c r="I278" t="inlineStr">
        <is>
          <t>PY03</t>
        </is>
      </c>
      <c r="J278" s="29" t="n">
        <v>148.47</v>
      </c>
      <c r="K278" s="30" t="n"/>
    </row>
    <row r="279">
      <c r="A279" t="inlineStr">
        <is>
          <t>ENC116497</t>
        </is>
      </c>
      <c r="B279" t="inlineStr">
        <is>
          <t>PT13163</t>
        </is>
      </c>
      <c r="C279" t="inlineStr">
        <is>
          <t>Emergency</t>
        </is>
      </c>
      <c r="D279" s="28" t="n">
        <v>45841</v>
      </c>
      <c r="E279" s="28" t="n">
        <v>45841</v>
      </c>
      <c r="F279" t="inlineStr">
        <is>
          <t>D100</t>
        </is>
      </c>
      <c r="G279" t="inlineStr">
        <is>
          <t>PRV1012</t>
        </is>
      </c>
      <c r="H279" t="inlineStr">
        <is>
          <t>N39.0</t>
        </is>
      </c>
      <c r="I279" t="inlineStr">
        <is>
          <t>PY07</t>
        </is>
      </c>
      <c r="J279" s="29" t="n">
        <v>3388.09</v>
      </c>
      <c r="K279" s="30" t="n"/>
    </row>
    <row r="280">
      <c r="A280" t="inlineStr">
        <is>
          <t>ENC116512</t>
        </is>
      </c>
      <c r="B280" t="inlineStr">
        <is>
          <t>PT11780</t>
        </is>
      </c>
      <c r="C280" t="inlineStr">
        <is>
          <t>Emergency</t>
        </is>
      </c>
      <c r="D280" s="28" t="n">
        <v>45842</v>
      </c>
      <c r="E280" s="28" t="n">
        <v>45842</v>
      </c>
      <c r="F280" t="inlineStr">
        <is>
          <t>D100</t>
        </is>
      </c>
      <c r="G280" t="inlineStr">
        <is>
          <t>PRV1008</t>
        </is>
      </c>
      <c r="H280" t="inlineStr">
        <is>
          <t>R10.9</t>
        </is>
      </c>
      <c r="I280" t="inlineStr">
        <is>
          <t>PY06</t>
        </is>
      </c>
      <c r="J280" s="29" t="n">
        <v>6071.76</v>
      </c>
      <c r="K280" s="30" t="n"/>
    </row>
    <row r="281">
      <c r="A281" t="inlineStr">
        <is>
          <t>ENC116514</t>
        </is>
      </c>
      <c r="B281" t="inlineStr">
        <is>
          <t>PT11851</t>
        </is>
      </c>
      <c r="C281" t="inlineStr">
        <is>
          <t>Outpatient</t>
        </is>
      </c>
      <c r="D281" s="28" t="n">
        <v>45842</v>
      </c>
      <c r="E281" s="28" t="n">
        <v>45842</v>
      </c>
      <c r="F281" t="inlineStr">
        <is>
          <t>D400</t>
        </is>
      </c>
      <c r="G281" t="inlineStr">
        <is>
          <t>PRV1137</t>
        </is>
      </c>
      <c r="H281" t="inlineStr">
        <is>
          <t>Z00.00</t>
        </is>
      </c>
      <c r="I281" t="inlineStr">
        <is>
          <t>PY01</t>
        </is>
      </c>
      <c r="J281" s="29" t="n">
        <v>314.38</v>
      </c>
      <c r="K281" s="30" t="n"/>
    </row>
    <row r="282">
      <c r="A282" t="inlineStr">
        <is>
          <t>ENC116582</t>
        </is>
      </c>
      <c r="B282" t="inlineStr">
        <is>
          <t>PT11397</t>
        </is>
      </c>
      <c r="C282" t="inlineStr">
        <is>
          <t>Outpatient</t>
        </is>
      </c>
      <c r="D282" s="28" t="n">
        <v>45845</v>
      </c>
      <c r="E282" s="28" t="n">
        <v>45845</v>
      </c>
      <c r="F282" t="inlineStr">
        <is>
          <t>D440</t>
        </is>
      </c>
      <c r="G282" t="inlineStr">
        <is>
          <t>PRV1143</t>
        </is>
      </c>
      <c r="H282" t="inlineStr">
        <is>
          <t>E11.9</t>
        </is>
      </c>
      <c r="I282" t="inlineStr">
        <is>
          <t>PY03</t>
        </is>
      </c>
      <c r="J282" s="29" t="n">
        <v>300.15</v>
      </c>
      <c r="K282" s="30" t="n"/>
    </row>
    <row r="283">
      <c r="A283" t="inlineStr">
        <is>
          <t>ENC116589</t>
        </is>
      </c>
      <c r="B283" t="inlineStr">
        <is>
          <t>PT11138</t>
        </is>
      </c>
      <c r="C283" t="inlineStr">
        <is>
          <t>Emergency</t>
        </is>
      </c>
      <c r="D283" s="28" t="n">
        <v>45845</v>
      </c>
      <c r="E283" s="28" t="n">
        <v>45845</v>
      </c>
      <c r="F283" t="inlineStr">
        <is>
          <t>D300</t>
        </is>
      </c>
      <c r="G283" t="inlineStr">
        <is>
          <t>PRV1023</t>
        </is>
      </c>
      <c r="H283" t="inlineStr">
        <is>
          <t>S06.0X0A</t>
        </is>
      </c>
      <c r="I283" t="inlineStr">
        <is>
          <t>PY06</t>
        </is>
      </c>
      <c r="J283" s="29" t="n">
        <v>1837.54</v>
      </c>
      <c r="K283" s="30" t="n"/>
    </row>
    <row r="284">
      <c r="A284" t="inlineStr">
        <is>
          <t>ENC116607</t>
        </is>
      </c>
      <c r="B284" t="inlineStr">
        <is>
          <t>PT10772</t>
        </is>
      </c>
      <c r="C284" t="inlineStr">
        <is>
          <t>Outpatient</t>
        </is>
      </c>
      <c r="D284" s="28" t="n">
        <v>45846</v>
      </c>
      <c r="E284" s="28" t="n">
        <v>45846</v>
      </c>
      <c r="F284" t="inlineStr">
        <is>
          <t>D440</t>
        </is>
      </c>
      <c r="G284" t="inlineStr">
        <is>
          <t>PRV1142</t>
        </is>
      </c>
      <c r="H284" t="inlineStr">
        <is>
          <t>E11.9</t>
        </is>
      </c>
      <c r="I284" t="inlineStr">
        <is>
          <t>PY02</t>
        </is>
      </c>
      <c r="J284" s="29" t="n">
        <v>311.32</v>
      </c>
      <c r="K284" s="30" t="n"/>
    </row>
    <row r="285">
      <c r="A285" t="inlineStr">
        <is>
          <t>ENC116728</t>
        </is>
      </c>
      <c r="B285" t="inlineStr">
        <is>
          <t>PT10579</t>
        </is>
      </c>
      <c r="C285" t="inlineStr">
        <is>
          <t>Outpatient</t>
        </is>
      </c>
      <c r="D285" s="28" t="n">
        <v>45849</v>
      </c>
      <c r="E285" s="28" t="n">
        <v>45849</v>
      </c>
      <c r="F285" t="inlineStr">
        <is>
          <t>D430</t>
        </is>
      </c>
      <c r="G285" t="inlineStr">
        <is>
          <t>PRV1113</t>
        </is>
      </c>
      <c r="H285" t="inlineStr">
        <is>
          <t>Z51.11</t>
        </is>
      </c>
      <c r="I285" t="inlineStr">
        <is>
          <t>PY04</t>
        </is>
      </c>
      <c r="J285" s="29" t="n">
        <v>8873.4</v>
      </c>
      <c r="K285" s="30" t="n"/>
    </row>
    <row r="286">
      <c r="A286" t="inlineStr">
        <is>
          <t>ENC116757</t>
        </is>
      </c>
      <c r="B286" t="inlineStr">
        <is>
          <t>PT10065</t>
        </is>
      </c>
      <c r="C286" t="inlineStr">
        <is>
          <t>Emergency</t>
        </is>
      </c>
      <c r="D286" s="28" t="n">
        <v>45851</v>
      </c>
      <c r="E286" s="28" t="n">
        <v>45851</v>
      </c>
      <c r="F286" t="inlineStr">
        <is>
          <t>D100</t>
        </is>
      </c>
      <c r="G286" t="inlineStr">
        <is>
          <t>PRV1011</t>
        </is>
      </c>
      <c r="H286" t="inlineStr">
        <is>
          <t>R10.9</t>
        </is>
      </c>
      <c r="I286" t="inlineStr">
        <is>
          <t>PY01</t>
        </is>
      </c>
      <c r="J286" s="29" t="n">
        <v>2492.91</v>
      </c>
      <c r="K286" s="30" t="n"/>
    </row>
    <row r="287">
      <c r="A287" t="inlineStr">
        <is>
          <t>ENC116781</t>
        </is>
      </c>
      <c r="B287" t="inlineStr">
        <is>
          <t>PT12682</t>
        </is>
      </c>
      <c r="C287" t="inlineStr">
        <is>
          <t>Outpatient</t>
        </is>
      </c>
      <c r="D287" s="28" t="n">
        <v>45852</v>
      </c>
      <c r="E287" s="28" t="n">
        <v>45852</v>
      </c>
      <c r="F287" t="inlineStr">
        <is>
          <t>D400</t>
        </is>
      </c>
      <c r="G287" t="inlineStr">
        <is>
          <t>PRV1137</t>
        </is>
      </c>
      <c r="H287" t="inlineStr">
        <is>
          <t>E78.5</t>
        </is>
      </c>
      <c r="I287" t="inlineStr">
        <is>
          <t>PY05</t>
        </is>
      </c>
      <c r="J287" s="29" t="n">
        <v>321.17</v>
      </c>
      <c r="K287" s="30" t="n"/>
    </row>
    <row r="288">
      <c r="A288" t="inlineStr">
        <is>
          <t>ENC116803</t>
        </is>
      </c>
      <c r="B288" t="inlineStr">
        <is>
          <t>PT11851</t>
        </is>
      </c>
      <c r="C288" t="inlineStr">
        <is>
          <t>Emergency</t>
        </is>
      </c>
      <c r="D288" s="28" t="n">
        <v>45852</v>
      </c>
      <c r="E288" s="28" t="n">
        <v>45853</v>
      </c>
      <c r="F288" t="inlineStr">
        <is>
          <t>D100</t>
        </is>
      </c>
      <c r="G288" t="inlineStr">
        <is>
          <t>PRV1008</t>
        </is>
      </c>
      <c r="H288" t="inlineStr">
        <is>
          <t>R07.9</t>
        </is>
      </c>
      <c r="I288" t="inlineStr">
        <is>
          <t>PY01</t>
        </is>
      </c>
      <c r="J288" s="29" t="n">
        <v>1485.63</v>
      </c>
      <c r="K288" s="30" t="n"/>
    </row>
    <row r="289">
      <c r="A289" t="inlineStr">
        <is>
          <t>ENC116807</t>
        </is>
      </c>
      <c r="B289" t="inlineStr">
        <is>
          <t>PT10925</t>
        </is>
      </c>
      <c r="C289" t="inlineStr">
        <is>
          <t>Outpatient</t>
        </is>
      </c>
      <c r="D289" s="28" t="n">
        <v>45853</v>
      </c>
      <c r="E289" s="28" t="n">
        <v>45853</v>
      </c>
      <c r="F289" t="inlineStr">
        <is>
          <t>D400</t>
        </is>
      </c>
      <c r="G289" t="inlineStr">
        <is>
          <t>PRV1137</t>
        </is>
      </c>
      <c r="H289" t="inlineStr">
        <is>
          <t>G43.909</t>
        </is>
      </c>
      <c r="I289" t="inlineStr">
        <is>
          <t>PY03</t>
        </is>
      </c>
      <c r="J289" s="29" t="n">
        <v>311.61</v>
      </c>
      <c r="K289" s="30" t="n"/>
    </row>
    <row r="290">
      <c r="A290" t="inlineStr">
        <is>
          <t>ENC116810</t>
        </is>
      </c>
      <c r="B290" t="inlineStr">
        <is>
          <t>PT11337</t>
        </is>
      </c>
      <c r="C290" t="inlineStr">
        <is>
          <t>Outpatient</t>
        </is>
      </c>
      <c r="D290" s="28" t="n">
        <v>45853</v>
      </c>
      <c r="E290" s="28" t="n">
        <v>45853</v>
      </c>
      <c r="F290" t="inlineStr">
        <is>
          <t>D400</t>
        </is>
      </c>
      <c r="G290" t="inlineStr">
        <is>
          <t>PRV1129</t>
        </is>
      </c>
      <c r="H290" t="inlineStr">
        <is>
          <t>J45.909</t>
        </is>
      </c>
      <c r="I290" t="inlineStr">
        <is>
          <t>PY03</t>
        </is>
      </c>
      <c r="J290" s="29" t="n">
        <v>274.43</v>
      </c>
      <c r="K290" s="30" t="n"/>
    </row>
    <row r="291">
      <c r="A291" t="inlineStr">
        <is>
          <t>ENC116817</t>
        </is>
      </c>
      <c r="B291" t="inlineStr">
        <is>
          <t>PT10065</t>
        </is>
      </c>
      <c r="C291" t="inlineStr">
        <is>
          <t>Outpatient</t>
        </is>
      </c>
      <c r="D291" s="28" t="n">
        <v>45853</v>
      </c>
      <c r="E291" s="28" t="n">
        <v>45853</v>
      </c>
      <c r="F291" t="inlineStr">
        <is>
          <t>D400</t>
        </is>
      </c>
      <c r="G291" t="inlineStr">
        <is>
          <t>PRV1135</t>
        </is>
      </c>
      <c r="H291" t="inlineStr">
        <is>
          <t>J06.9</t>
        </is>
      </c>
      <c r="I291" t="inlineStr">
        <is>
          <t>PY01</t>
        </is>
      </c>
      <c r="J291" s="29" t="n">
        <v>419.06</v>
      </c>
      <c r="K291" s="30" t="n"/>
    </row>
    <row r="292">
      <c r="A292" t="inlineStr">
        <is>
          <t>ENC116881</t>
        </is>
      </c>
      <c r="B292" t="inlineStr">
        <is>
          <t>PT10777</t>
        </is>
      </c>
      <c r="C292" t="inlineStr">
        <is>
          <t>Outpatient</t>
        </is>
      </c>
      <c r="D292" s="28" t="n">
        <v>45855</v>
      </c>
      <c r="E292" s="28" t="n">
        <v>45855</v>
      </c>
      <c r="F292" t="inlineStr">
        <is>
          <t>D430</t>
        </is>
      </c>
      <c r="G292" t="inlineStr">
        <is>
          <t>PRV1112</t>
        </is>
      </c>
      <c r="H292" t="inlineStr">
        <is>
          <t>Z51.11</t>
        </is>
      </c>
      <c r="I292" t="inlineStr">
        <is>
          <t>PY01</t>
        </is>
      </c>
      <c r="J292" s="29" t="n">
        <v>8986.07</v>
      </c>
      <c r="K292" s="30" t="n"/>
    </row>
    <row r="293">
      <c r="A293" t="inlineStr">
        <is>
          <t>ENC116893</t>
        </is>
      </c>
      <c r="B293" t="inlineStr">
        <is>
          <t>PT12579</t>
        </is>
      </c>
      <c r="C293" t="inlineStr">
        <is>
          <t>Emergency</t>
        </is>
      </c>
      <c r="D293" s="28" t="n">
        <v>45856</v>
      </c>
      <c r="E293" s="28" t="n">
        <v>45856</v>
      </c>
      <c r="F293" t="inlineStr">
        <is>
          <t>D100</t>
        </is>
      </c>
      <c r="G293" t="inlineStr">
        <is>
          <t>PRV1005</t>
        </is>
      </c>
      <c r="H293" t="inlineStr">
        <is>
          <t>L03.115</t>
        </is>
      </c>
      <c r="I293" t="inlineStr">
        <is>
          <t>PY02</t>
        </is>
      </c>
      <c r="J293" s="29" t="n">
        <v>3365.27</v>
      </c>
      <c r="K293" s="30" t="n"/>
    </row>
    <row r="294">
      <c r="A294" t="inlineStr">
        <is>
          <t>ENC116898</t>
        </is>
      </c>
      <c r="B294" t="inlineStr">
        <is>
          <t>PT11265</t>
        </is>
      </c>
      <c r="C294" t="inlineStr">
        <is>
          <t>Inpatient</t>
        </is>
      </c>
      <c r="D294" s="28" t="n">
        <v>45856</v>
      </c>
      <c r="E294" s="28" t="n">
        <v>45862</v>
      </c>
      <c r="F294" t="inlineStr">
        <is>
          <t>D310</t>
        </is>
      </c>
      <c r="G294" t="inlineStr">
        <is>
          <t>PRV1053</t>
        </is>
      </c>
      <c r="H294" t="inlineStr">
        <is>
          <t>N39.0</t>
        </is>
      </c>
      <c r="I294" t="inlineStr">
        <is>
          <t>PY06</t>
        </is>
      </c>
      <c r="J294" s="29" t="n">
        <v>30722.69</v>
      </c>
      <c r="K294" s="30" t="n"/>
    </row>
    <row r="295">
      <c r="A295" t="inlineStr">
        <is>
          <t>ENC116933</t>
        </is>
      </c>
      <c r="B295" t="inlineStr">
        <is>
          <t>PT10876</t>
        </is>
      </c>
      <c r="C295" t="inlineStr">
        <is>
          <t>Emergency</t>
        </is>
      </c>
      <c r="D295" s="28" t="n">
        <v>45857</v>
      </c>
      <c r="E295" s="28" t="n">
        <v>45857</v>
      </c>
      <c r="F295" t="inlineStr">
        <is>
          <t>D200</t>
        </is>
      </c>
      <c r="G295" t="inlineStr">
        <is>
          <t>PRV1017</t>
        </is>
      </c>
      <c r="H295" t="inlineStr">
        <is>
          <t>I50.9</t>
        </is>
      </c>
      <c r="I295" t="inlineStr">
        <is>
          <t>PY03</t>
        </is>
      </c>
      <c r="J295" s="29" t="n">
        <v>4993.64</v>
      </c>
      <c r="K295" s="30" t="n"/>
    </row>
    <row r="296">
      <c r="A296" t="inlineStr">
        <is>
          <t>ENC116929</t>
        </is>
      </c>
      <c r="B296" t="inlineStr">
        <is>
          <t>PT12930</t>
        </is>
      </c>
      <c r="C296" t="inlineStr">
        <is>
          <t>Inpatient</t>
        </is>
      </c>
      <c r="D296" s="28" t="n">
        <v>45857</v>
      </c>
      <c r="E296" s="28" t="n">
        <v>45863</v>
      </c>
      <c r="F296" t="inlineStr">
        <is>
          <t>D210</t>
        </is>
      </c>
      <c r="G296" t="inlineStr">
        <is>
          <t>PRV1044</t>
        </is>
      </c>
      <c r="H296" t="inlineStr">
        <is>
          <t>A41.9</t>
        </is>
      </c>
      <c r="I296" t="inlineStr">
        <is>
          <t>PY06</t>
        </is>
      </c>
      <c r="J296" s="29" t="n">
        <v>56008.75</v>
      </c>
      <c r="K296" s="30" t="n"/>
    </row>
    <row r="297">
      <c r="A297" t="inlineStr">
        <is>
          <t>ENC116942</t>
        </is>
      </c>
      <c r="B297" t="inlineStr">
        <is>
          <t>PT10444</t>
        </is>
      </c>
      <c r="C297" t="inlineStr">
        <is>
          <t>Emergency</t>
        </is>
      </c>
      <c r="D297" s="28" t="n">
        <v>45857</v>
      </c>
      <c r="E297" s="28" t="n">
        <v>45858</v>
      </c>
      <c r="F297" t="inlineStr">
        <is>
          <t>D100</t>
        </is>
      </c>
      <c r="G297" t="inlineStr">
        <is>
          <t>PRV1003</t>
        </is>
      </c>
      <c r="H297" t="inlineStr">
        <is>
          <t>R10.9</t>
        </is>
      </c>
      <c r="I297" t="inlineStr">
        <is>
          <t>PY01</t>
        </is>
      </c>
      <c r="J297" s="29" t="n">
        <v>1760.45</v>
      </c>
      <c r="K297" s="30" t="n"/>
    </row>
    <row r="298">
      <c r="A298" t="inlineStr">
        <is>
          <t>ENC116985</t>
        </is>
      </c>
      <c r="B298" t="inlineStr">
        <is>
          <t>PT12366</t>
        </is>
      </c>
      <c r="C298" t="inlineStr">
        <is>
          <t>Inpatient</t>
        </is>
      </c>
      <c r="D298" s="28" t="n">
        <v>45860</v>
      </c>
      <c r="E298" s="28" t="n">
        <v>45861</v>
      </c>
      <c r="F298" t="inlineStr">
        <is>
          <t>D111</t>
        </is>
      </c>
      <c r="G298" t="inlineStr">
        <is>
          <t>PRV1036</t>
        </is>
      </c>
      <c r="H298" t="inlineStr">
        <is>
          <t>L03.115</t>
        </is>
      </c>
      <c r="I298" t="inlineStr">
        <is>
          <t>PY06</t>
        </is>
      </c>
      <c r="J298" s="29" t="n">
        <v>14677.9</v>
      </c>
      <c r="K298" s="30" t="n"/>
    </row>
    <row r="299">
      <c r="A299" t="inlineStr">
        <is>
          <t>ENC117017</t>
        </is>
      </c>
      <c r="B299" t="inlineStr">
        <is>
          <t>PT10465</t>
        </is>
      </c>
      <c r="C299" t="inlineStr">
        <is>
          <t>Outpatient</t>
        </is>
      </c>
      <c r="D299" s="28" t="n">
        <v>45860</v>
      </c>
      <c r="E299" s="28" t="n">
        <v>45860</v>
      </c>
      <c r="F299" t="inlineStr">
        <is>
          <t>D440</t>
        </is>
      </c>
      <c r="G299" t="inlineStr">
        <is>
          <t>PRV1141</t>
        </is>
      </c>
      <c r="H299" t="inlineStr">
        <is>
          <t>E11.9</t>
        </is>
      </c>
      <c r="I299" t="inlineStr">
        <is>
          <t>PY01</t>
        </is>
      </c>
      <c r="J299" s="29" t="n">
        <v>325.13</v>
      </c>
      <c r="K299" s="30" t="n"/>
    </row>
    <row r="300">
      <c r="A300" t="inlineStr">
        <is>
          <t>ENC117027</t>
        </is>
      </c>
      <c r="B300" t="inlineStr">
        <is>
          <t>PT11780</t>
        </is>
      </c>
      <c r="C300" t="inlineStr">
        <is>
          <t>Inpatient</t>
        </is>
      </c>
      <c r="D300" s="28" t="n">
        <v>45860</v>
      </c>
      <c r="E300" s="28" t="n">
        <v>45862</v>
      </c>
      <c r="F300" t="inlineStr">
        <is>
          <t>D270</t>
        </is>
      </c>
      <c r="G300" t="inlineStr">
        <is>
          <t>PRV1098</t>
        </is>
      </c>
      <c r="H300" t="inlineStr">
        <is>
          <t>O82</t>
        </is>
      </c>
      <c r="I300" t="inlineStr">
        <is>
          <t>PY06</t>
        </is>
      </c>
      <c r="J300" s="29" t="n">
        <v>19018.18</v>
      </c>
      <c r="K300" s="30" t="n"/>
    </row>
    <row r="301">
      <c r="A301" t="inlineStr">
        <is>
          <t>ENC117037</t>
        </is>
      </c>
      <c r="B301" t="inlineStr">
        <is>
          <t>PT12604</t>
        </is>
      </c>
      <c r="C301" t="inlineStr">
        <is>
          <t>Outpatient</t>
        </is>
      </c>
      <c r="D301" s="28" t="n">
        <v>45861</v>
      </c>
      <c r="E301" s="28" t="n">
        <v>45861</v>
      </c>
      <c r="F301" t="inlineStr">
        <is>
          <t>D400</t>
        </is>
      </c>
      <c r="G301" t="inlineStr">
        <is>
          <t>PRV1137</t>
        </is>
      </c>
      <c r="H301" t="inlineStr">
        <is>
          <t>J06.9</t>
        </is>
      </c>
      <c r="I301" t="inlineStr">
        <is>
          <t>PY04</t>
        </is>
      </c>
      <c r="J301" s="29" t="n">
        <v>431.16</v>
      </c>
      <c r="K301" s="30" t="n"/>
    </row>
    <row r="302">
      <c r="A302" t="inlineStr">
        <is>
          <t>ENC117047</t>
        </is>
      </c>
      <c r="B302" t="inlineStr">
        <is>
          <t>PT13484</t>
        </is>
      </c>
      <c r="C302" t="inlineStr">
        <is>
          <t>Outpatient</t>
        </is>
      </c>
      <c r="D302" s="28" t="n">
        <v>45861</v>
      </c>
      <c r="E302" s="28" t="n">
        <v>45861</v>
      </c>
      <c r="F302" t="inlineStr">
        <is>
          <t>D440</t>
        </is>
      </c>
      <c r="G302" t="inlineStr">
        <is>
          <t>PRV1142</t>
        </is>
      </c>
      <c r="H302" t="inlineStr">
        <is>
          <t>E11.9</t>
        </is>
      </c>
      <c r="I302" t="inlineStr">
        <is>
          <t>PY02</t>
        </is>
      </c>
      <c r="J302" s="29" t="n">
        <v>324.63</v>
      </c>
      <c r="K302" s="30" t="n"/>
    </row>
    <row r="303">
      <c r="A303" t="inlineStr">
        <is>
          <t>ENC117082</t>
        </is>
      </c>
      <c r="B303" t="inlineStr">
        <is>
          <t>PT11791</t>
        </is>
      </c>
      <c r="C303" t="inlineStr">
        <is>
          <t>Outpatient</t>
        </is>
      </c>
      <c r="D303" s="28" t="n">
        <v>45862</v>
      </c>
      <c r="E303" s="28" t="n">
        <v>45862</v>
      </c>
      <c r="F303" t="inlineStr">
        <is>
          <t>D400</t>
        </is>
      </c>
      <c r="G303" t="inlineStr">
        <is>
          <t>PRV1140</t>
        </is>
      </c>
      <c r="H303" t="inlineStr">
        <is>
          <t>J44.1</t>
        </is>
      </c>
      <c r="I303" t="inlineStr">
        <is>
          <t>PY01</t>
        </is>
      </c>
      <c r="J303" s="29" t="n">
        <v>168.99</v>
      </c>
      <c r="K303" s="30" t="n"/>
    </row>
    <row r="304">
      <c r="A304" t="inlineStr">
        <is>
          <t>ENC117096</t>
        </is>
      </c>
      <c r="B304" t="inlineStr">
        <is>
          <t>PT13412</t>
        </is>
      </c>
      <c r="C304" t="inlineStr">
        <is>
          <t>Inpatient</t>
        </is>
      </c>
      <c r="D304" s="28" t="n">
        <v>45862</v>
      </c>
      <c r="E304" s="28" t="n">
        <v>45874</v>
      </c>
      <c r="F304" t="inlineStr">
        <is>
          <t>D130</t>
        </is>
      </c>
      <c r="G304" t="inlineStr">
        <is>
          <t>PRV1063</t>
        </is>
      </c>
      <c r="H304" t="inlineStr">
        <is>
          <t>A41.9</t>
        </is>
      </c>
      <c r="I304" t="inlineStr">
        <is>
          <t>PY01</t>
        </is>
      </c>
      <c r="J304" s="29" t="n">
        <v>147040.01</v>
      </c>
      <c r="K304" s="30" t="n"/>
    </row>
    <row r="305">
      <c r="A305" t="inlineStr">
        <is>
          <t>ENC117100</t>
        </is>
      </c>
      <c r="B305" t="inlineStr">
        <is>
          <t>PT12256</t>
        </is>
      </c>
      <c r="C305" t="inlineStr">
        <is>
          <t>Emergency</t>
        </is>
      </c>
      <c r="D305" s="28" t="n">
        <v>45862</v>
      </c>
      <c r="E305" s="28" t="n">
        <v>45863</v>
      </c>
      <c r="F305" t="inlineStr">
        <is>
          <t>D100</t>
        </is>
      </c>
      <c r="G305" t="inlineStr">
        <is>
          <t>PRV1003</t>
        </is>
      </c>
      <c r="H305" t="inlineStr">
        <is>
          <t>R07.9</t>
        </is>
      </c>
      <c r="I305" t="inlineStr">
        <is>
          <t>PY05</t>
        </is>
      </c>
      <c r="J305" s="29" t="n">
        <v>6436.92</v>
      </c>
      <c r="K305" s="30" t="n"/>
    </row>
    <row r="306">
      <c r="A306" t="inlineStr">
        <is>
          <t>ENC117098</t>
        </is>
      </c>
      <c r="B306" t="inlineStr">
        <is>
          <t>PT12554</t>
        </is>
      </c>
      <c r="C306" t="inlineStr">
        <is>
          <t>Inpatient</t>
        </is>
      </c>
      <c r="D306" s="28" t="n">
        <v>45862</v>
      </c>
      <c r="E306" s="28" t="n">
        <v>45869</v>
      </c>
      <c r="F306" t="inlineStr">
        <is>
          <t>D330</t>
        </is>
      </c>
      <c r="G306" t="inlineStr">
        <is>
          <t>PRV1071</t>
        </is>
      </c>
      <c r="H306" t="inlineStr">
        <is>
          <t>J96.01</t>
        </is>
      </c>
      <c r="I306" t="inlineStr">
        <is>
          <t>PY01</t>
        </is>
      </c>
      <c r="J306" s="29" t="n">
        <v>77752.89999999999</v>
      </c>
      <c r="K306" s="30" t="n"/>
    </row>
    <row r="307">
      <c r="A307" t="inlineStr">
        <is>
          <t>ENC117097</t>
        </is>
      </c>
      <c r="B307" t="inlineStr">
        <is>
          <t>PT13454</t>
        </is>
      </c>
      <c r="C307" t="inlineStr">
        <is>
          <t>Observation</t>
        </is>
      </c>
      <c r="D307" s="28" t="n">
        <v>45862</v>
      </c>
      <c r="E307" s="28" t="n">
        <v>45863</v>
      </c>
      <c r="F307" t="inlineStr">
        <is>
          <t>D195</t>
        </is>
      </c>
      <c r="G307" t="inlineStr">
        <is>
          <t>PRV1038</t>
        </is>
      </c>
      <c r="H307" t="inlineStr">
        <is>
          <t>S06.0X0A</t>
        </is>
      </c>
      <c r="I307" t="inlineStr">
        <is>
          <t>PY04</t>
        </is>
      </c>
      <c r="J307" s="29" t="n">
        <v>7737.4</v>
      </c>
      <c r="K307" s="30" t="n"/>
    </row>
    <row r="308">
      <c r="A308" t="inlineStr">
        <is>
          <t>ENC117108</t>
        </is>
      </c>
      <c r="B308" t="inlineStr">
        <is>
          <t>PT10517</t>
        </is>
      </c>
      <c r="C308" t="inlineStr">
        <is>
          <t>Outpatient</t>
        </is>
      </c>
      <c r="D308" s="28" t="n">
        <v>45863</v>
      </c>
      <c r="E308" s="28" t="n">
        <v>45863</v>
      </c>
      <c r="F308" t="inlineStr">
        <is>
          <t>D400</t>
        </is>
      </c>
      <c r="G308" t="inlineStr">
        <is>
          <t>PRV1137</t>
        </is>
      </c>
      <c r="H308" t="inlineStr">
        <is>
          <t>E78.5</t>
        </is>
      </c>
      <c r="I308" t="inlineStr">
        <is>
          <t>PY04</t>
        </is>
      </c>
      <c r="J308" s="29" t="n">
        <v>350.37</v>
      </c>
      <c r="K308" s="30" t="n"/>
    </row>
    <row r="309">
      <c r="A309" t="inlineStr">
        <is>
          <t>ENC117116</t>
        </is>
      </c>
      <c r="B309" t="inlineStr">
        <is>
          <t>PT11239</t>
        </is>
      </c>
      <c r="C309" t="inlineStr">
        <is>
          <t>Outpatient</t>
        </is>
      </c>
      <c r="D309" s="28" t="n">
        <v>45863</v>
      </c>
      <c r="E309" s="28" t="n">
        <v>45863</v>
      </c>
      <c r="F309" t="inlineStr">
        <is>
          <t>D400</t>
        </is>
      </c>
      <c r="G309" t="inlineStr">
        <is>
          <t>PRV1135</t>
        </is>
      </c>
      <c r="H309" t="inlineStr">
        <is>
          <t>I10</t>
        </is>
      </c>
      <c r="I309" t="inlineStr">
        <is>
          <t>PY03</t>
        </is>
      </c>
      <c r="J309" s="29" t="n">
        <v>227.2</v>
      </c>
      <c r="K309" s="30" t="n"/>
    </row>
    <row r="310">
      <c r="A310" t="inlineStr">
        <is>
          <t>ENC117125</t>
        </is>
      </c>
      <c r="B310" t="inlineStr">
        <is>
          <t>PT10444</t>
        </is>
      </c>
      <c r="C310" t="inlineStr">
        <is>
          <t>Outpatient</t>
        </is>
      </c>
      <c r="D310" s="28" t="n">
        <v>45863</v>
      </c>
      <c r="E310" s="28" t="n">
        <v>45863</v>
      </c>
      <c r="F310" t="inlineStr">
        <is>
          <t>D400</t>
        </is>
      </c>
      <c r="G310" t="inlineStr">
        <is>
          <t>PRV1136</t>
        </is>
      </c>
      <c r="H310" t="inlineStr">
        <is>
          <t>E78.5</t>
        </is>
      </c>
      <c r="I310" t="inlineStr">
        <is>
          <t>PY01</t>
        </is>
      </c>
      <c r="J310" s="29" t="n">
        <v>239.73</v>
      </c>
      <c r="K310" s="30" t="n"/>
    </row>
    <row r="311">
      <c r="A311" t="inlineStr">
        <is>
          <t>ENC117149</t>
        </is>
      </c>
      <c r="B311" t="inlineStr">
        <is>
          <t>PT10724</t>
        </is>
      </c>
      <c r="C311" t="inlineStr">
        <is>
          <t>Emergency</t>
        </is>
      </c>
      <c r="D311" s="28" t="n">
        <v>45865</v>
      </c>
      <c r="E311" s="28" t="n">
        <v>45865</v>
      </c>
      <c r="F311" t="inlineStr">
        <is>
          <t>D100</t>
        </is>
      </c>
      <c r="G311" t="inlineStr">
        <is>
          <t>PRV1005</t>
        </is>
      </c>
      <c r="H311" t="inlineStr">
        <is>
          <t>J44.1</t>
        </is>
      </c>
      <c r="I311" t="inlineStr">
        <is>
          <t>PY05</t>
        </is>
      </c>
      <c r="J311" s="29" t="n">
        <v>3119.31</v>
      </c>
      <c r="K311" s="30" t="n"/>
    </row>
    <row r="312">
      <c r="A312" t="inlineStr">
        <is>
          <t>ENC117157</t>
        </is>
      </c>
      <c r="B312" t="inlineStr">
        <is>
          <t>PT12671</t>
        </is>
      </c>
      <c r="C312" t="inlineStr">
        <is>
          <t>Emergency</t>
        </is>
      </c>
      <c r="D312" s="28" t="n">
        <v>45865</v>
      </c>
      <c r="E312" s="28" t="n">
        <v>45865</v>
      </c>
      <c r="F312" t="inlineStr">
        <is>
          <t>D200</t>
        </is>
      </c>
      <c r="G312" t="inlineStr">
        <is>
          <t>PRV1018</t>
        </is>
      </c>
      <c r="H312" t="inlineStr">
        <is>
          <t>R55</t>
        </is>
      </c>
      <c r="I312" t="inlineStr">
        <is>
          <t>PY06</t>
        </is>
      </c>
      <c r="J312" s="29" t="n">
        <v>2973.91</v>
      </c>
      <c r="K312" s="30" t="n"/>
    </row>
    <row r="313">
      <c r="A313" t="inlineStr">
        <is>
          <t>ENC117158</t>
        </is>
      </c>
      <c r="B313" t="inlineStr">
        <is>
          <t>PT12018</t>
        </is>
      </c>
      <c r="C313" t="inlineStr">
        <is>
          <t>Emergency</t>
        </is>
      </c>
      <c r="D313" s="28" t="n">
        <v>45865</v>
      </c>
      <c r="E313" s="28" t="n">
        <v>45865</v>
      </c>
      <c r="F313" t="inlineStr">
        <is>
          <t>D100</t>
        </is>
      </c>
      <c r="G313" t="inlineStr">
        <is>
          <t>PRV1008</t>
        </is>
      </c>
      <c r="H313" t="inlineStr">
        <is>
          <t>U07.1</t>
        </is>
      </c>
      <c r="I313" t="inlineStr">
        <is>
          <t>PY03</t>
        </is>
      </c>
      <c r="J313" s="29" t="n">
        <v>1802.66</v>
      </c>
      <c r="K313" s="30" t="n"/>
    </row>
    <row r="314">
      <c r="A314" t="inlineStr">
        <is>
          <t>ENC117164</t>
        </is>
      </c>
      <c r="B314" t="inlineStr">
        <is>
          <t>PT13871</t>
        </is>
      </c>
      <c r="C314" t="inlineStr">
        <is>
          <t>Emergency</t>
        </is>
      </c>
      <c r="D314" s="28" t="n">
        <v>45866</v>
      </c>
      <c r="E314" s="28" t="n">
        <v>45866</v>
      </c>
      <c r="F314" t="inlineStr">
        <is>
          <t>D200</t>
        </is>
      </c>
      <c r="G314" t="inlineStr">
        <is>
          <t>PRV1016</t>
        </is>
      </c>
      <c r="H314" t="inlineStr">
        <is>
          <t>J45.909</t>
        </is>
      </c>
      <c r="I314" t="inlineStr">
        <is>
          <t>PY07</t>
        </is>
      </c>
      <c r="J314" s="29" t="n">
        <v>3711.74</v>
      </c>
      <c r="K314" s="30" t="n"/>
    </row>
    <row r="315">
      <c r="A315" t="inlineStr">
        <is>
          <t>ENC117169</t>
        </is>
      </c>
      <c r="B315" t="inlineStr">
        <is>
          <t>PT10465</t>
        </is>
      </c>
      <c r="C315" t="inlineStr">
        <is>
          <t>Inpatient</t>
        </is>
      </c>
      <c r="D315" s="28" t="n">
        <v>45866</v>
      </c>
      <c r="E315" s="28" t="n">
        <v>45872</v>
      </c>
      <c r="F315" t="inlineStr">
        <is>
          <t>D130</t>
        </is>
      </c>
      <c r="G315" t="inlineStr">
        <is>
          <t>PRV1066</t>
        </is>
      </c>
      <c r="H315" t="inlineStr">
        <is>
          <t>A41.9</t>
        </is>
      </c>
      <c r="I315" t="inlineStr">
        <is>
          <t>PY01</t>
        </is>
      </c>
      <c r="J315" s="29" t="n">
        <v>49955.05</v>
      </c>
      <c r="K315" s="30" t="n"/>
    </row>
    <row r="316">
      <c r="A316" t="inlineStr">
        <is>
          <t>ENC117178</t>
        </is>
      </c>
      <c r="B316" t="inlineStr">
        <is>
          <t>PT11239</t>
        </is>
      </c>
      <c r="C316" t="inlineStr">
        <is>
          <t>Outpatient</t>
        </is>
      </c>
      <c r="D316" s="28" t="n">
        <v>45866</v>
      </c>
      <c r="E316" s="28" t="n">
        <v>45866</v>
      </c>
      <c r="F316" t="inlineStr">
        <is>
          <t>D400</t>
        </is>
      </c>
      <c r="G316" t="inlineStr">
        <is>
          <t>PRV1137</t>
        </is>
      </c>
      <c r="H316" t="inlineStr">
        <is>
          <t>Z00.00</t>
        </is>
      </c>
      <c r="I316" t="inlineStr">
        <is>
          <t>PY03</t>
        </is>
      </c>
      <c r="J316" s="29" t="n">
        <v>277.85</v>
      </c>
      <c r="K316" s="30" t="n"/>
    </row>
    <row r="317">
      <c r="A317" t="inlineStr">
        <is>
          <t>ENC117213</t>
        </is>
      </c>
      <c r="B317" t="inlineStr">
        <is>
          <t>PT12173</t>
        </is>
      </c>
      <c r="C317" t="inlineStr">
        <is>
          <t>Outpatient</t>
        </is>
      </c>
      <c r="D317" s="28" t="n">
        <v>45867</v>
      </c>
      <c r="E317" s="28" t="n">
        <v>45867</v>
      </c>
      <c r="F317" t="inlineStr">
        <is>
          <t>D400</t>
        </is>
      </c>
      <c r="G317" t="inlineStr">
        <is>
          <t>PRV1137</t>
        </is>
      </c>
      <c r="H317" t="inlineStr">
        <is>
          <t>M54.50</t>
        </is>
      </c>
      <c r="I317" t="inlineStr">
        <is>
          <t>PY01</t>
        </is>
      </c>
      <c r="J317" s="29" t="n">
        <v>240.15</v>
      </c>
      <c r="K317" s="30" t="n"/>
    </row>
    <row r="318">
      <c r="A318" t="inlineStr">
        <is>
          <t>ENC117244</t>
        </is>
      </c>
      <c r="B318" t="inlineStr">
        <is>
          <t>PT13832</t>
        </is>
      </c>
      <c r="C318" t="inlineStr">
        <is>
          <t>Outpatient</t>
        </is>
      </c>
      <c r="D318" s="28" t="n">
        <v>45868</v>
      </c>
      <c r="E318" s="28" t="n">
        <v>45868</v>
      </c>
      <c r="F318" t="inlineStr">
        <is>
          <t>D400</t>
        </is>
      </c>
      <c r="G318" t="inlineStr">
        <is>
          <t>PRV1137</t>
        </is>
      </c>
      <c r="H318" t="inlineStr">
        <is>
          <t>M54.50</t>
        </is>
      </c>
      <c r="I318" t="inlineStr">
        <is>
          <t>PY01</t>
        </is>
      </c>
      <c r="J318" s="29" t="n">
        <v>236.33</v>
      </c>
      <c r="K318" s="30" t="n"/>
    </row>
    <row r="319">
      <c r="A319" t="inlineStr">
        <is>
          <t>ENC117263</t>
        </is>
      </c>
      <c r="B319" t="inlineStr">
        <is>
          <t>PT13853</t>
        </is>
      </c>
      <c r="C319" t="inlineStr">
        <is>
          <t>Emergency</t>
        </is>
      </c>
      <c r="D319" s="28" t="n">
        <v>45869</v>
      </c>
      <c r="E319" s="28" t="n">
        <v>45869</v>
      </c>
      <c r="F319" t="inlineStr">
        <is>
          <t>D300</t>
        </is>
      </c>
      <c r="G319" t="inlineStr">
        <is>
          <t>PRV1026</t>
        </is>
      </c>
      <c r="H319" t="inlineStr">
        <is>
          <t>R07.9</t>
        </is>
      </c>
      <c r="I319" t="inlineStr">
        <is>
          <t>PY02</t>
        </is>
      </c>
      <c r="J319" s="29" t="n">
        <v>4877.96</v>
      </c>
      <c r="K319" s="30" t="n"/>
    </row>
    <row r="320">
      <c r="A320" t="inlineStr">
        <is>
          <t>ENC117275</t>
        </is>
      </c>
      <c r="B320" t="inlineStr">
        <is>
          <t>PT12735</t>
        </is>
      </c>
      <c r="C320" t="inlineStr">
        <is>
          <t>Outpatient</t>
        </is>
      </c>
      <c r="D320" s="28" t="n">
        <v>45869</v>
      </c>
      <c r="E320" s="28" t="n">
        <v>45869</v>
      </c>
      <c r="F320" t="inlineStr">
        <is>
          <t>D400</t>
        </is>
      </c>
      <c r="G320" t="inlineStr">
        <is>
          <t>PRV1137</t>
        </is>
      </c>
      <c r="H320" t="inlineStr">
        <is>
          <t>J44.1</t>
        </is>
      </c>
      <c r="I320" t="inlineStr">
        <is>
          <t>PY03</t>
        </is>
      </c>
      <c r="J320" s="29" t="n">
        <v>307.99</v>
      </c>
      <c r="K320" s="30" t="n"/>
    </row>
    <row r="321">
      <c r="A321" t="inlineStr">
        <is>
          <t>ENC117289</t>
        </is>
      </c>
      <c r="B321" t="inlineStr">
        <is>
          <t>PT13524</t>
        </is>
      </c>
      <c r="C321" t="inlineStr">
        <is>
          <t>Emergency</t>
        </is>
      </c>
      <c r="D321" s="28" t="n">
        <v>45869</v>
      </c>
      <c r="E321" s="28" t="n">
        <v>45869</v>
      </c>
      <c r="F321" t="inlineStr">
        <is>
          <t>D200</t>
        </is>
      </c>
      <c r="G321" t="inlineStr">
        <is>
          <t>PRV1019</t>
        </is>
      </c>
      <c r="H321" t="inlineStr">
        <is>
          <t>L03.115</t>
        </is>
      </c>
      <c r="I321" t="inlineStr">
        <is>
          <t>PY05</t>
        </is>
      </c>
      <c r="J321" s="29" t="n">
        <v>1638.88</v>
      </c>
      <c r="K321" s="30" t="n"/>
    </row>
    <row r="322">
      <c r="A322" t="inlineStr">
        <is>
          <t>ENC117295</t>
        </is>
      </c>
      <c r="B322" t="inlineStr">
        <is>
          <t>PT12752</t>
        </is>
      </c>
      <c r="C322" t="inlineStr">
        <is>
          <t>Inpatient</t>
        </is>
      </c>
      <c r="D322" s="28" t="n">
        <v>45870</v>
      </c>
      <c r="E322" s="28" t="n">
        <v>45872</v>
      </c>
      <c r="F322" t="inlineStr">
        <is>
          <t>D110</t>
        </is>
      </c>
      <c r="G322" t="inlineStr">
        <is>
          <t>PRV1030</t>
        </is>
      </c>
      <c r="H322" t="inlineStr">
        <is>
          <t>J44.1</t>
        </is>
      </c>
      <c r="I322" t="inlineStr">
        <is>
          <t>PY02</t>
        </is>
      </c>
      <c r="J322" s="29" t="n">
        <v>12808.42</v>
      </c>
      <c r="K322" s="30" t="n"/>
    </row>
    <row r="323">
      <c r="A323" t="inlineStr">
        <is>
          <t>ENC117297</t>
        </is>
      </c>
      <c r="B323" t="inlineStr">
        <is>
          <t>PT10617</t>
        </is>
      </c>
      <c r="C323" t="inlineStr">
        <is>
          <t>Emergency</t>
        </is>
      </c>
      <c r="D323" s="28" t="n">
        <v>45870</v>
      </c>
      <c r="E323" s="28" t="n">
        <v>45870</v>
      </c>
      <c r="F323" t="inlineStr">
        <is>
          <t>D200</t>
        </is>
      </c>
      <c r="G323" t="inlineStr">
        <is>
          <t>PRV1015</t>
        </is>
      </c>
      <c r="H323" t="inlineStr">
        <is>
          <t>S93.401A</t>
        </is>
      </c>
      <c r="I323" t="inlineStr">
        <is>
          <t>PY03</t>
        </is>
      </c>
      <c r="J323" s="29" t="n">
        <v>541.45</v>
      </c>
      <c r="K323" s="30" t="n"/>
    </row>
    <row r="324">
      <c r="A324" t="inlineStr">
        <is>
          <t>ENC117300</t>
        </is>
      </c>
      <c r="B324" t="inlineStr">
        <is>
          <t>PT10606</t>
        </is>
      </c>
      <c r="C324" t="inlineStr">
        <is>
          <t>Observation</t>
        </is>
      </c>
      <c r="D324" s="28" t="n">
        <v>45870</v>
      </c>
      <c r="E324" s="28" t="n">
        <v>45871</v>
      </c>
      <c r="F324" t="inlineStr">
        <is>
          <t>D195</t>
        </is>
      </c>
      <c r="G324" t="inlineStr">
        <is>
          <t>PRV1029</t>
        </is>
      </c>
      <c r="H324" t="inlineStr">
        <is>
          <t>M54.50</t>
        </is>
      </c>
      <c r="I324" t="inlineStr">
        <is>
          <t>PY01</t>
        </is>
      </c>
      <c r="J324" s="29" t="n">
        <v>8515.09</v>
      </c>
      <c r="K324" s="30" t="n"/>
    </row>
    <row r="325">
      <c r="A325" t="inlineStr">
        <is>
          <t>ENC117326</t>
        </is>
      </c>
      <c r="B325" t="inlineStr">
        <is>
          <t>PT12554</t>
        </is>
      </c>
      <c r="C325" t="inlineStr">
        <is>
          <t>Inpatient</t>
        </is>
      </c>
      <c r="D325" s="28" t="n">
        <v>45871</v>
      </c>
      <c r="E325" s="28" t="n">
        <v>45877</v>
      </c>
      <c r="F325" t="inlineStr">
        <is>
          <t>D310</t>
        </is>
      </c>
      <c r="G325" t="inlineStr">
        <is>
          <t>PRV1048</t>
        </is>
      </c>
      <c r="H325" t="inlineStr">
        <is>
          <t>E87.1</t>
        </is>
      </c>
      <c r="I325" t="inlineStr">
        <is>
          <t>PY01</t>
        </is>
      </c>
      <c r="J325" s="29" t="n">
        <v>24781.9</v>
      </c>
      <c r="K325" s="30" t="n"/>
    </row>
    <row r="326">
      <c r="A326" t="inlineStr">
        <is>
          <t>ENC117355</t>
        </is>
      </c>
      <c r="B326" t="inlineStr">
        <is>
          <t>PT11790</t>
        </is>
      </c>
      <c r="C326" t="inlineStr">
        <is>
          <t>Inpatient</t>
        </is>
      </c>
      <c r="D326" s="28" t="n">
        <v>45873</v>
      </c>
      <c r="E326" s="28" t="n">
        <v>45876</v>
      </c>
      <c r="F326" t="inlineStr">
        <is>
          <t>D110</t>
        </is>
      </c>
      <c r="G326" t="inlineStr">
        <is>
          <t>PRV1036</t>
        </is>
      </c>
      <c r="H326" t="inlineStr">
        <is>
          <t>N39.0</t>
        </is>
      </c>
      <c r="I326" t="inlineStr">
        <is>
          <t>PY01</t>
        </is>
      </c>
      <c r="J326" s="29" t="n">
        <v>18432.01</v>
      </c>
      <c r="K326" s="30" t="n"/>
    </row>
    <row r="327">
      <c r="A327" t="inlineStr">
        <is>
          <t>ENC117369</t>
        </is>
      </c>
      <c r="B327" t="inlineStr">
        <is>
          <t>PT13103</t>
        </is>
      </c>
      <c r="C327" t="inlineStr">
        <is>
          <t>Inpatient</t>
        </is>
      </c>
      <c r="D327" s="28" t="n">
        <v>45873</v>
      </c>
      <c r="E327" s="28" t="n">
        <v>45881</v>
      </c>
      <c r="F327" t="inlineStr">
        <is>
          <t>D190</t>
        </is>
      </c>
      <c r="G327" t="inlineStr">
        <is>
          <t>PRV1123</t>
        </is>
      </c>
      <c r="H327" t="inlineStr">
        <is>
          <t>F32.9</t>
        </is>
      </c>
      <c r="I327" t="inlineStr">
        <is>
          <t>PY06</t>
        </is>
      </c>
      <c r="J327" s="29" t="n">
        <v>38302.32</v>
      </c>
      <c r="K327" s="30" t="n"/>
    </row>
    <row r="328">
      <c r="A328" t="inlineStr">
        <is>
          <t>ENC117414</t>
        </is>
      </c>
      <c r="B328" t="inlineStr">
        <is>
          <t>PT11231</t>
        </is>
      </c>
      <c r="C328" t="inlineStr">
        <is>
          <t>Emergency</t>
        </is>
      </c>
      <c r="D328" s="28" t="n">
        <v>45874</v>
      </c>
      <c r="E328" s="28" t="n">
        <v>45875</v>
      </c>
      <c r="F328" t="inlineStr">
        <is>
          <t>D300</t>
        </is>
      </c>
      <c r="G328" t="inlineStr">
        <is>
          <t>PRV1021</t>
        </is>
      </c>
      <c r="H328" t="inlineStr">
        <is>
          <t>G43.909</t>
        </is>
      </c>
      <c r="I328" t="inlineStr">
        <is>
          <t>PY04</t>
        </is>
      </c>
      <c r="J328" s="29" t="n">
        <v>1722.15</v>
      </c>
      <c r="K328" s="30" t="n"/>
    </row>
    <row r="329">
      <c r="A329" t="inlineStr">
        <is>
          <t>ENC117468</t>
        </is>
      </c>
      <c r="B329" t="inlineStr">
        <is>
          <t>PT11138</t>
        </is>
      </c>
      <c r="C329" t="inlineStr">
        <is>
          <t>Inpatient</t>
        </is>
      </c>
      <c r="D329" s="28" t="n">
        <v>45877</v>
      </c>
      <c r="E329" s="28" t="n">
        <v>45881</v>
      </c>
      <c r="F329" t="inlineStr">
        <is>
          <t>D340</t>
        </is>
      </c>
      <c r="G329" t="inlineStr">
        <is>
          <t>PRV1078</t>
        </is>
      </c>
      <c r="H329" t="inlineStr">
        <is>
          <t>S72.001A</t>
        </is>
      </c>
      <c r="I329" t="inlineStr">
        <is>
          <t>PY06</t>
        </is>
      </c>
      <c r="J329" s="29" t="n">
        <v>62121.76</v>
      </c>
      <c r="K329" s="30" t="n"/>
    </row>
    <row r="330">
      <c r="A330" t="inlineStr">
        <is>
          <t>ENC117478</t>
        </is>
      </c>
      <c r="B330" t="inlineStr">
        <is>
          <t>PT10777</t>
        </is>
      </c>
      <c r="C330" t="inlineStr">
        <is>
          <t>Emergency</t>
        </is>
      </c>
      <c r="D330" s="28" t="n">
        <v>45877</v>
      </c>
      <c r="E330" s="28" t="n">
        <v>45877</v>
      </c>
      <c r="F330" t="inlineStr">
        <is>
          <t>D100</t>
        </is>
      </c>
      <c r="G330" t="inlineStr">
        <is>
          <t>PRV1003</t>
        </is>
      </c>
      <c r="H330" t="inlineStr">
        <is>
          <t>J45.909</t>
        </is>
      </c>
      <c r="I330" t="inlineStr">
        <is>
          <t>PY01</t>
        </is>
      </c>
      <c r="J330" s="29" t="n">
        <v>3800.48</v>
      </c>
      <c r="K330" s="30" t="n"/>
    </row>
    <row r="331">
      <c r="A331" t="inlineStr">
        <is>
          <t>ENC117485</t>
        </is>
      </c>
      <c r="B331" t="inlineStr">
        <is>
          <t>PT12088</t>
        </is>
      </c>
      <c r="C331" t="inlineStr">
        <is>
          <t>Inpatient</t>
        </is>
      </c>
      <c r="D331" s="28" t="n">
        <v>45877</v>
      </c>
      <c r="E331" s="28" t="n">
        <v>45880</v>
      </c>
      <c r="F331" t="inlineStr">
        <is>
          <t>D110</t>
        </is>
      </c>
      <c r="G331" t="inlineStr">
        <is>
          <t>PRV1085</t>
        </is>
      </c>
      <c r="H331" t="inlineStr">
        <is>
          <t>K56.609</t>
        </is>
      </c>
      <c r="I331" t="inlineStr">
        <is>
          <t>PY05</t>
        </is>
      </c>
      <c r="J331" s="29" t="n">
        <v>39304.68</v>
      </c>
      <c r="K331" s="30" t="n"/>
    </row>
    <row r="332">
      <c r="A332" t="inlineStr">
        <is>
          <t>ENC117486</t>
        </is>
      </c>
      <c r="B332" t="inlineStr">
        <is>
          <t>PT13853</t>
        </is>
      </c>
      <c r="C332" t="inlineStr">
        <is>
          <t>Emergency</t>
        </is>
      </c>
      <c r="D332" s="28" t="n">
        <v>45877</v>
      </c>
      <c r="E332" s="28" t="n">
        <v>45877</v>
      </c>
      <c r="F332" t="inlineStr">
        <is>
          <t>D300</t>
        </is>
      </c>
      <c r="G332" t="inlineStr">
        <is>
          <t>PRV1023</t>
        </is>
      </c>
      <c r="H332" t="inlineStr">
        <is>
          <t>L03.115</t>
        </is>
      </c>
      <c r="I332" t="inlineStr">
        <is>
          <t>PY02</t>
        </is>
      </c>
      <c r="J332" s="29" t="n">
        <v>1021.04</v>
      </c>
      <c r="K332" s="30" t="n"/>
    </row>
    <row r="333">
      <c r="A333" t="inlineStr">
        <is>
          <t>ENC117520</t>
        </is>
      </c>
      <c r="B333" t="inlineStr">
        <is>
          <t>PT13766</t>
        </is>
      </c>
      <c r="C333" t="inlineStr">
        <is>
          <t>Emergency</t>
        </is>
      </c>
      <c r="D333" s="28" t="n">
        <v>45879</v>
      </c>
      <c r="E333" s="28" t="n">
        <v>45879</v>
      </c>
      <c r="F333" t="inlineStr">
        <is>
          <t>D100</t>
        </is>
      </c>
      <c r="G333" t="inlineStr">
        <is>
          <t>PRV1007</t>
        </is>
      </c>
      <c r="H333" t="inlineStr">
        <is>
          <t>R10.9</t>
        </is>
      </c>
      <c r="I333" t="inlineStr">
        <is>
          <t>PY05</t>
        </is>
      </c>
      <c r="J333" s="29" t="n">
        <v>1519.02</v>
      </c>
      <c r="K333" s="30" t="n"/>
    </row>
    <row r="334">
      <c r="A334" t="inlineStr">
        <is>
          <t>ENC117543</t>
        </is>
      </c>
      <c r="B334" t="inlineStr">
        <is>
          <t>PT13494</t>
        </is>
      </c>
      <c r="C334" t="inlineStr">
        <is>
          <t>Outpatient</t>
        </is>
      </c>
      <c r="D334" s="28" t="n">
        <v>45880</v>
      </c>
      <c r="E334" s="28" t="n">
        <v>45880</v>
      </c>
      <c r="F334" t="inlineStr">
        <is>
          <t>D440</t>
        </is>
      </c>
      <c r="G334" t="inlineStr">
        <is>
          <t>PRV1143</t>
        </is>
      </c>
      <c r="H334" t="inlineStr">
        <is>
          <t>E11.9</t>
        </is>
      </c>
      <c r="I334" t="inlineStr">
        <is>
          <t>PY02</t>
        </is>
      </c>
      <c r="J334" s="29" t="n">
        <v>257.15</v>
      </c>
      <c r="K334" s="30" t="n"/>
    </row>
    <row r="335">
      <c r="A335" t="inlineStr">
        <is>
          <t>ENC117548</t>
        </is>
      </c>
      <c r="B335" t="inlineStr">
        <is>
          <t>PT11701</t>
        </is>
      </c>
      <c r="C335" t="inlineStr">
        <is>
          <t>Outpatient</t>
        </is>
      </c>
      <c r="D335" s="28" t="n">
        <v>45880</v>
      </c>
      <c r="E335" s="28" t="n">
        <v>45880</v>
      </c>
      <c r="F335" t="inlineStr">
        <is>
          <t>D400</t>
        </is>
      </c>
      <c r="G335" t="inlineStr">
        <is>
          <t>PRV1137</t>
        </is>
      </c>
      <c r="H335" t="inlineStr">
        <is>
          <t>I10</t>
        </is>
      </c>
      <c r="I335" t="inlineStr">
        <is>
          <t>PY01</t>
        </is>
      </c>
      <c r="J335" s="29" t="n">
        <v>818.47</v>
      </c>
      <c r="K335" s="30" t="n"/>
    </row>
    <row r="336">
      <c r="A336" t="inlineStr">
        <is>
          <t>ENC117582</t>
        </is>
      </c>
      <c r="B336" t="inlineStr">
        <is>
          <t>PT10606</t>
        </is>
      </c>
      <c r="C336" t="inlineStr">
        <is>
          <t>Outpatient</t>
        </is>
      </c>
      <c r="D336" s="28" t="n">
        <v>45881</v>
      </c>
      <c r="E336" s="28" t="n">
        <v>45881</v>
      </c>
      <c r="F336" t="inlineStr">
        <is>
          <t>D400</t>
        </is>
      </c>
      <c r="G336" t="inlineStr">
        <is>
          <t>PRV1137</t>
        </is>
      </c>
      <c r="H336" t="inlineStr">
        <is>
          <t>I10</t>
        </is>
      </c>
      <c r="I336" t="inlineStr">
        <is>
          <t>PY01</t>
        </is>
      </c>
      <c r="J336" s="29" t="n">
        <v>443.53</v>
      </c>
      <c r="K336" s="30" t="n"/>
    </row>
    <row r="337">
      <c r="A337" t="inlineStr">
        <is>
          <t>ENC117591</t>
        </is>
      </c>
      <c r="B337" t="inlineStr">
        <is>
          <t>PT12111</t>
        </is>
      </c>
      <c r="C337" t="inlineStr">
        <is>
          <t>Outpatient</t>
        </is>
      </c>
      <c r="D337" s="28" t="n">
        <v>45881</v>
      </c>
      <c r="E337" s="28" t="n">
        <v>45881</v>
      </c>
      <c r="F337" t="inlineStr">
        <is>
          <t>D430</t>
        </is>
      </c>
      <c r="G337" t="inlineStr">
        <is>
          <t>PRV1114</t>
        </is>
      </c>
      <c r="H337" t="inlineStr">
        <is>
          <t>Z51.11</t>
        </is>
      </c>
      <c r="I337" t="inlineStr">
        <is>
          <t>PY05</t>
        </is>
      </c>
      <c r="J337" s="29" t="n">
        <v>8319.73</v>
      </c>
      <c r="K337" s="30" t="n"/>
    </row>
    <row r="338">
      <c r="A338" t="inlineStr">
        <is>
          <t>ENC117601</t>
        </is>
      </c>
      <c r="B338" t="inlineStr">
        <is>
          <t>PT12735</t>
        </is>
      </c>
      <c r="C338" t="inlineStr">
        <is>
          <t>Outpatient</t>
        </is>
      </c>
      <c r="D338" s="28" t="n">
        <v>45882</v>
      </c>
      <c r="E338" s="28" t="n">
        <v>45882</v>
      </c>
      <c r="F338" t="inlineStr">
        <is>
          <t>D440</t>
        </is>
      </c>
      <c r="G338" t="inlineStr">
        <is>
          <t>PRV1142</t>
        </is>
      </c>
      <c r="H338" t="inlineStr">
        <is>
          <t>E11.9</t>
        </is>
      </c>
      <c r="I338" t="inlineStr">
        <is>
          <t>PY03</t>
        </is>
      </c>
      <c r="J338" s="29" t="n">
        <v>364.88</v>
      </c>
      <c r="K338" s="30" t="n"/>
    </row>
    <row r="339">
      <c r="A339" t="inlineStr">
        <is>
          <t>ENC117654</t>
        </is>
      </c>
      <c r="B339" t="inlineStr">
        <is>
          <t>PT11138</t>
        </is>
      </c>
      <c r="C339" t="inlineStr">
        <is>
          <t>Inpatient</t>
        </is>
      </c>
      <c r="D339" s="28" t="n">
        <v>45883</v>
      </c>
      <c r="E339" s="28" t="n">
        <v>45888</v>
      </c>
      <c r="F339" t="inlineStr">
        <is>
          <t>D340</t>
        </is>
      </c>
      <c r="G339" t="inlineStr">
        <is>
          <t>PRV1077</t>
        </is>
      </c>
      <c r="H339" t="inlineStr">
        <is>
          <t>S72.001A</t>
        </is>
      </c>
      <c r="I339" t="inlineStr">
        <is>
          <t>PY06</t>
        </is>
      </c>
      <c r="J339" s="29" t="n">
        <v>68789.14999999999</v>
      </c>
      <c r="K339" s="30" t="n"/>
    </row>
    <row r="340">
      <c r="A340" t="inlineStr">
        <is>
          <t>ENC117673</t>
        </is>
      </c>
      <c r="B340" t="inlineStr">
        <is>
          <t>PT13844</t>
        </is>
      </c>
      <c r="C340" t="inlineStr">
        <is>
          <t>Outpatient</t>
        </is>
      </c>
      <c r="D340" s="28" t="n">
        <v>45884</v>
      </c>
      <c r="E340" s="28" t="n">
        <v>45884</v>
      </c>
      <c r="F340" t="inlineStr">
        <is>
          <t>D440</t>
        </is>
      </c>
      <c r="G340" t="inlineStr">
        <is>
          <t>PRV1142</t>
        </is>
      </c>
      <c r="H340" t="inlineStr">
        <is>
          <t>E11.9</t>
        </is>
      </c>
      <c r="I340" t="inlineStr">
        <is>
          <t>PY03</t>
        </is>
      </c>
      <c r="J340" s="29" t="n">
        <v>232.23</v>
      </c>
      <c r="K340" s="30" t="n"/>
    </row>
    <row r="341">
      <c r="A341" t="inlineStr">
        <is>
          <t>ENC117729</t>
        </is>
      </c>
      <c r="B341" t="inlineStr">
        <is>
          <t>PT11957</t>
        </is>
      </c>
      <c r="C341" t="inlineStr">
        <is>
          <t>Outpatient</t>
        </is>
      </c>
      <c r="D341" s="28" t="n">
        <v>45887</v>
      </c>
      <c r="E341" s="28" t="n">
        <v>45887</v>
      </c>
      <c r="F341" t="inlineStr">
        <is>
          <t>D400</t>
        </is>
      </c>
      <c r="G341" t="inlineStr">
        <is>
          <t>PRV1138</t>
        </is>
      </c>
      <c r="H341" t="inlineStr">
        <is>
          <t>L03.115</t>
        </is>
      </c>
      <c r="I341" t="inlineStr">
        <is>
          <t>PY06</t>
        </is>
      </c>
      <c r="J341" s="29" t="n">
        <v>344.31</v>
      </c>
      <c r="K341" s="30" t="n"/>
    </row>
    <row r="342">
      <c r="A342" t="inlineStr">
        <is>
          <t>ENC117768</t>
        </is>
      </c>
      <c r="B342" t="inlineStr">
        <is>
          <t>PT13163</t>
        </is>
      </c>
      <c r="C342" t="inlineStr">
        <is>
          <t>Outpatient</t>
        </is>
      </c>
      <c r="D342" s="28" t="n">
        <v>45888</v>
      </c>
      <c r="E342" s="28" t="n">
        <v>45888</v>
      </c>
      <c r="F342" t="inlineStr">
        <is>
          <t>D420</t>
        </is>
      </c>
      <c r="G342" t="inlineStr">
        <is>
          <t>PRV1080</t>
        </is>
      </c>
      <c r="H342" t="inlineStr">
        <is>
          <t>M16.11</t>
        </is>
      </c>
      <c r="I342" t="inlineStr">
        <is>
          <t>PY07</t>
        </is>
      </c>
      <c r="J342" s="29" t="n">
        <v>361.53</v>
      </c>
      <c r="K342" s="30" t="n"/>
    </row>
    <row r="343">
      <c r="A343" t="inlineStr">
        <is>
          <t>ENC117778</t>
        </is>
      </c>
      <c r="B343" t="inlineStr">
        <is>
          <t>PT12722</t>
        </is>
      </c>
      <c r="C343" t="inlineStr">
        <is>
          <t>Emergency</t>
        </is>
      </c>
      <c r="D343" s="28" t="n">
        <v>45888</v>
      </c>
      <c r="E343" s="28" t="n">
        <v>45889</v>
      </c>
      <c r="F343" t="inlineStr">
        <is>
          <t>D100</t>
        </is>
      </c>
      <c r="G343" t="inlineStr">
        <is>
          <t>PRV1002</t>
        </is>
      </c>
      <c r="H343" t="inlineStr">
        <is>
          <t>M54.50</t>
        </is>
      </c>
      <c r="I343" t="inlineStr">
        <is>
          <t>PY01</t>
        </is>
      </c>
      <c r="J343" s="29" t="n">
        <v>823.04</v>
      </c>
      <c r="K343" s="30" t="n"/>
    </row>
    <row r="344">
      <c r="A344" t="inlineStr">
        <is>
          <t>ENC117824</t>
        </is>
      </c>
      <c r="B344" t="inlineStr">
        <is>
          <t>PT12480</t>
        </is>
      </c>
      <c r="C344" t="inlineStr">
        <is>
          <t>Emergency</t>
        </is>
      </c>
      <c r="D344" s="28" t="n">
        <v>45890</v>
      </c>
      <c r="E344" s="28" t="n">
        <v>45890</v>
      </c>
      <c r="F344" t="inlineStr">
        <is>
          <t>D100</t>
        </is>
      </c>
      <c r="G344" t="inlineStr">
        <is>
          <t>PRV1008</t>
        </is>
      </c>
      <c r="H344" t="inlineStr">
        <is>
          <t>L03.115</t>
        </is>
      </c>
      <c r="I344" t="inlineStr">
        <is>
          <t>PY03</t>
        </is>
      </c>
      <c r="J344" s="29" t="n">
        <v>2939.61</v>
      </c>
      <c r="K344" s="30" t="n"/>
    </row>
    <row r="345">
      <c r="A345" t="inlineStr">
        <is>
          <t>ENC117879</t>
        </is>
      </c>
      <c r="B345" t="inlineStr">
        <is>
          <t>PT11194</t>
        </is>
      </c>
      <c r="C345" t="inlineStr">
        <is>
          <t>Emergency</t>
        </is>
      </c>
      <c r="D345" s="28" t="n">
        <v>45891</v>
      </c>
      <c r="E345" s="28" t="n">
        <v>45892</v>
      </c>
      <c r="F345" t="inlineStr">
        <is>
          <t>D300</t>
        </is>
      </c>
      <c r="G345" t="inlineStr">
        <is>
          <t>PRV1024</t>
        </is>
      </c>
      <c r="H345" t="inlineStr">
        <is>
          <t>R10.9</t>
        </is>
      </c>
      <c r="I345" t="inlineStr">
        <is>
          <t>PY01</t>
        </is>
      </c>
      <c r="J345" s="29" t="n">
        <v>3417.1</v>
      </c>
      <c r="K345" s="30" t="n"/>
    </row>
    <row r="346">
      <c r="A346" t="inlineStr">
        <is>
          <t>ENC117883</t>
        </is>
      </c>
      <c r="B346" t="inlineStr">
        <is>
          <t>PT12139</t>
        </is>
      </c>
      <c r="C346" t="inlineStr">
        <is>
          <t>Observation</t>
        </is>
      </c>
      <c r="D346" s="28" t="n">
        <v>45892</v>
      </c>
      <c r="E346" s="28" t="n">
        <v>45893</v>
      </c>
      <c r="F346" t="inlineStr">
        <is>
          <t>D195</t>
        </is>
      </c>
      <c r="G346" t="inlineStr">
        <is>
          <t>PRV1035</t>
        </is>
      </c>
      <c r="H346" t="inlineStr">
        <is>
          <t>R55</t>
        </is>
      </c>
      <c r="I346" t="inlineStr">
        <is>
          <t>PY03</t>
        </is>
      </c>
      <c r="J346" s="29" t="n">
        <v>11036.53</v>
      </c>
      <c r="K346" s="30" t="n"/>
    </row>
    <row r="347">
      <c r="A347" t="inlineStr">
        <is>
          <t>ENC117889</t>
        </is>
      </c>
      <c r="B347" t="inlineStr">
        <is>
          <t>PT10888</t>
        </is>
      </c>
      <c r="C347" t="inlineStr">
        <is>
          <t>Emergency</t>
        </is>
      </c>
      <c r="D347" s="28" t="n">
        <v>45892</v>
      </c>
      <c r="E347" s="28" t="n">
        <v>45892</v>
      </c>
      <c r="F347" t="inlineStr">
        <is>
          <t>D200</t>
        </is>
      </c>
      <c r="G347" t="inlineStr">
        <is>
          <t>PRV1019</t>
        </is>
      </c>
      <c r="H347" t="inlineStr">
        <is>
          <t>R55</t>
        </is>
      </c>
      <c r="I347" t="inlineStr">
        <is>
          <t>PY04</t>
        </is>
      </c>
      <c r="J347" s="29" t="n">
        <v>3676.9</v>
      </c>
      <c r="K347" s="30" t="n"/>
    </row>
    <row r="348">
      <c r="A348" t="inlineStr">
        <is>
          <t>ENC117898</t>
        </is>
      </c>
      <c r="B348" t="inlineStr">
        <is>
          <t>PT13494</t>
        </is>
      </c>
      <c r="C348" t="inlineStr">
        <is>
          <t>Emergency</t>
        </is>
      </c>
      <c r="D348" s="28" t="n">
        <v>45893</v>
      </c>
      <c r="E348" s="28" t="n">
        <v>45893</v>
      </c>
      <c r="F348" t="inlineStr">
        <is>
          <t>D100</t>
        </is>
      </c>
      <c r="G348" t="inlineStr">
        <is>
          <t>PRV1001</t>
        </is>
      </c>
      <c r="H348" t="inlineStr">
        <is>
          <t>E86.0</t>
        </is>
      </c>
      <c r="I348" t="inlineStr">
        <is>
          <t>PY02</t>
        </is>
      </c>
      <c r="J348" s="29" t="n">
        <v>1346.78</v>
      </c>
      <c r="K348" s="30" t="n"/>
    </row>
    <row r="349">
      <c r="A349" t="inlineStr">
        <is>
          <t>ENC117931</t>
        </is>
      </c>
      <c r="B349" t="inlineStr">
        <is>
          <t>PT12554</t>
        </is>
      </c>
      <c r="C349" t="inlineStr">
        <is>
          <t>Outpatient</t>
        </is>
      </c>
      <c r="D349" s="28" t="n">
        <v>45894</v>
      </c>
      <c r="E349" s="28" t="n">
        <v>45894</v>
      </c>
      <c r="F349" t="inlineStr">
        <is>
          <t>D440</t>
        </is>
      </c>
      <c r="G349" t="inlineStr">
        <is>
          <t>PRV1141</t>
        </is>
      </c>
      <c r="H349" t="inlineStr">
        <is>
          <t>E11.9</t>
        </is>
      </c>
      <c r="I349" t="inlineStr">
        <is>
          <t>PY01</t>
        </is>
      </c>
      <c r="J349" s="29" t="n">
        <v>310.78</v>
      </c>
      <c r="K349" s="30" t="n"/>
    </row>
    <row r="350">
      <c r="A350" t="inlineStr">
        <is>
          <t>ENC117923</t>
        </is>
      </c>
      <c r="B350" t="inlineStr">
        <is>
          <t>PT10262</t>
        </is>
      </c>
      <c r="C350" t="inlineStr">
        <is>
          <t>Inpatient</t>
        </is>
      </c>
      <c r="D350" s="28" t="n">
        <v>45894</v>
      </c>
      <c r="E350" s="28" t="n">
        <v>45899</v>
      </c>
      <c r="F350" t="inlineStr">
        <is>
          <t>D111</t>
        </is>
      </c>
      <c r="G350" t="inlineStr">
        <is>
          <t>PRV1035</t>
        </is>
      </c>
      <c r="H350" t="inlineStr">
        <is>
          <t>L03.115</t>
        </is>
      </c>
      <c r="I350" t="inlineStr">
        <is>
          <t>PY02</t>
        </is>
      </c>
      <c r="J350" s="29" t="n">
        <v>19542.69</v>
      </c>
      <c r="K350" s="30" t="n"/>
    </row>
    <row r="351">
      <c r="A351" t="inlineStr">
        <is>
          <t>ENC117942</t>
        </is>
      </c>
      <c r="B351" t="inlineStr">
        <is>
          <t>PT13258</t>
        </is>
      </c>
      <c r="C351" t="inlineStr">
        <is>
          <t>Emergency</t>
        </is>
      </c>
      <c r="D351" s="28" t="n">
        <v>45894</v>
      </c>
      <c r="E351" s="28" t="n">
        <v>45894</v>
      </c>
      <c r="F351" t="inlineStr">
        <is>
          <t>D200</t>
        </is>
      </c>
      <c r="G351" t="inlineStr">
        <is>
          <t>PRV1017</t>
        </is>
      </c>
      <c r="H351" t="inlineStr">
        <is>
          <t>N39.0</t>
        </is>
      </c>
      <c r="I351" t="inlineStr">
        <is>
          <t>PY02</t>
        </is>
      </c>
      <c r="J351" s="29" t="n">
        <v>1566.55</v>
      </c>
      <c r="K351" s="30" t="n"/>
    </row>
    <row r="352">
      <c r="A352" t="inlineStr">
        <is>
          <t>ENC117962</t>
        </is>
      </c>
      <c r="B352" t="inlineStr">
        <is>
          <t>PT13926</t>
        </is>
      </c>
      <c r="C352" t="inlineStr">
        <is>
          <t>Inpatient</t>
        </is>
      </c>
      <c r="D352" s="28" t="n">
        <v>45895</v>
      </c>
      <c r="E352" s="28" t="n">
        <v>45900</v>
      </c>
      <c r="F352" t="inlineStr">
        <is>
          <t>D160</t>
        </is>
      </c>
      <c r="G352" t="inlineStr">
        <is>
          <t>PRV1117</t>
        </is>
      </c>
      <c r="H352" t="inlineStr">
        <is>
          <t>G40.909</t>
        </is>
      </c>
      <c r="I352" t="inlineStr">
        <is>
          <t>PY06</t>
        </is>
      </c>
      <c r="J352" s="29" t="n">
        <v>36249.8</v>
      </c>
      <c r="K352" s="30" t="n"/>
    </row>
    <row r="353">
      <c r="A353" t="inlineStr">
        <is>
          <t>ENC117995</t>
        </is>
      </c>
      <c r="B353" t="inlineStr">
        <is>
          <t>PT12787</t>
        </is>
      </c>
      <c r="C353" t="inlineStr">
        <is>
          <t>Emergency</t>
        </is>
      </c>
      <c r="D353" s="28" t="n">
        <v>45897</v>
      </c>
      <c r="E353" s="28" t="n">
        <v>45897</v>
      </c>
      <c r="F353" t="inlineStr">
        <is>
          <t>D300</t>
        </is>
      </c>
      <c r="G353" t="inlineStr">
        <is>
          <t>PRV1021</t>
        </is>
      </c>
      <c r="H353" t="inlineStr">
        <is>
          <t>F41.9</t>
        </is>
      </c>
      <c r="I353" t="inlineStr">
        <is>
          <t>PY03</t>
        </is>
      </c>
      <c r="J353" s="29" t="n">
        <v>3577.76</v>
      </c>
      <c r="K353" s="30" t="n"/>
    </row>
    <row r="354">
      <c r="A354" t="inlineStr">
        <is>
          <t>ENC118011</t>
        </is>
      </c>
      <c r="B354" t="inlineStr">
        <is>
          <t>PT11335</t>
        </is>
      </c>
      <c r="C354" t="inlineStr">
        <is>
          <t>Outpatient</t>
        </is>
      </c>
      <c r="D354" s="28" t="n">
        <v>45897</v>
      </c>
      <c r="E354" s="28" t="n">
        <v>45897</v>
      </c>
      <c r="F354" t="inlineStr">
        <is>
          <t>D400</t>
        </is>
      </c>
      <c r="G354" t="inlineStr">
        <is>
          <t>PRV1137</t>
        </is>
      </c>
      <c r="H354" t="inlineStr">
        <is>
          <t>I10</t>
        </is>
      </c>
      <c r="I354" t="inlineStr">
        <is>
          <t>PY03</t>
        </is>
      </c>
      <c r="J354" s="29" t="n">
        <v>439.44</v>
      </c>
      <c r="K354" s="30" t="n"/>
    </row>
    <row r="355">
      <c r="A355" t="inlineStr">
        <is>
          <t>ENC118020</t>
        </is>
      </c>
      <c r="B355" t="inlineStr">
        <is>
          <t>PT13798</t>
        </is>
      </c>
      <c r="C355" t="inlineStr">
        <is>
          <t>Inpatient</t>
        </is>
      </c>
      <c r="D355" s="28" t="n">
        <v>45897</v>
      </c>
      <c r="E355" s="28" t="n">
        <v>45906</v>
      </c>
      <c r="F355" t="inlineStr">
        <is>
          <t>D190</t>
        </is>
      </c>
      <c r="G355" t="inlineStr">
        <is>
          <t>PRV1121</t>
        </is>
      </c>
      <c r="H355" t="inlineStr">
        <is>
          <t>F20.9</t>
        </is>
      </c>
      <c r="I355" t="inlineStr">
        <is>
          <t>PY05</t>
        </is>
      </c>
      <c r="J355" s="29" t="n">
        <v>23017.76</v>
      </c>
      <c r="K355" s="30" t="n"/>
    </row>
    <row r="356">
      <c r="A356" t="inlineStr">
        <is>
          <t>ENC118051</t>
        </is>
      </c>
      <c r="B356" t="inlineStr">
        <is>
          <t>PT11844</t>
        </is>
      </c>
      <c r="C356" t="inlineStr">
        <is>
          <t>Emergency</t>
        </is>
      </c>
      <c r="D356" s="28" t="n">
        <v>45898</v>
      </c>
      <c r="E356" s="28" t="n">
        <v>45898</v>
      </c>
      <c r="F356" t="inlineStr">
        <is>
          <t>D100</t>
        </is>
      </c>
      <c r="G356" t="inlineStr">
        <is>
          <t>PRV1013</t>
        </is>
      </c>
      <c r="H356" t="inlineStr">
        <is>
          <t>I10</t>
        </is>
      </c>
      <c r="I356" t="inlineStr">
        <is>
          <t>PY03</t>
        </is>
      </c>
      <c r="J356" s="29" t="n">
        <v>1584.69</v>
      </c>
      <c r="K356" s="30" t="n"/>
    </row>
    <row r="357">
      <c r="A357" t="inlineStr">
        <is>
          <t>ENC118092</t>
        </is>
      </c>
      <c r="B357" t="inlineStr">
        <is>
          <t>PT11350</t>
        </is>
      </c>
      <c r="C357" t="inlineStr">
        <is>
          <t>Emergency</t>
        </is>
      </c>
      <c r="D357" s="28" t="n">
        <v>45901</v>
      </c>
      <c r="E357" s="28" t="n">
        <v>45901</v>
      </c>
      <c r="F357" t="inlineStr">
        <is>
          <t>D100</t>
        </is>
      </c>
      <c r="G357" t="inlineStr">
        <is>
          <t>PRV1005</t>
        </is>
      </c>
      <c r="H357" t="inlineStr">
        <is>
          <t>U07.1</t>
        </is>
      </c>
      <c r="I357" t="inlineStr">
        <is>
          <t>PY03</t>
        </is>
      </c>
      <c r="J357" s="29" t="n">
        <v>3453.67</v>
      </c>
      <c r="K357" s="30" t="n"/>
    </row>
    <row r="358">
      <c r="A358" t="inlineStr">
        <is>
          <t>ENC118099</t>
        </is>
      </c>
      <c r="B358" t="inlineStr">
        <is>
          <t>PT11614</t>
        </is>
      </c>
      <c r="C358" t="inlineStr">
        <is>
          <t>Outpatient</t>
        </is>
      </c>
      <c r="D358" s="28" t="n">
        <v>45901</v>
      </c>
      <c r="E358" s="28" t="n">
        <v>45901</v>
      </c>
      <c r="F358" t="inlineStr">
        <is>
          <t>D440</t>
        </is>
      </c>
      <c r="G358" t="inlineStr">
        <is>
          <t>PRV1141</t>
        </is>
      </c>
      <c r="H358" t="inlineStr">
        <is>
          <t>E11.9</t>
        </is>
      </c>
      <c r="I358" t="inlineStr">
        <is>
          <t>PY07</t>
        </is>
      </c>
      <c r="J358" s="29" t="n">
        <v>208.82</v>
      </c>
      <c r="K358" s="30" t="n"/>
    </row>
    <row r="359">
      <c r="A359" t="inlineStr">
        <is>
          <t>ENC118103</t>
        </is>
      </c>
      <c r="B359" t="inlineStr">
        <is>
          <t>PT10103</t>
        </is>
      </c>
      <c r="C359" t="inlineStr">
        <is>
          <t>Outpatient</t>
        </is>
      </c>
      <c r="D359" s="28" t="n">
        <v>45901</v>
      </c>
      <c r="E359" s="28" t="n">
        <v>45901</v>
      </c>
      <c r="F359" t="inlineStr">
        <is>
          <t>D420</t>
        </is>
      </c>
      <c r="G359" t="inlineStr">
        <is>
          <t>PRV1081</t>
        </is>
      </c>
      <c r="H359" t="inlineStr">
        <is>
          <t>M17.11</t>
        </is>
      </c>
      <c r="I359" t="inlineStr">
        <is>
          <t>PY01</t>
        </is>
      </c>
      <c r="J359" s="29" t="n">
        <v>348.69</v>
      </c>
      <c r="K359" s="30" t="n"/>
    </row>
    <row r="360">
      <c r="A360" t="inlineStr">
        <is>
          <t>ENC118093</t>
        </is>
      </c>
      <c r="B360" t="inlineStr">
        <is>
          <t>PT12958</t>
        </is>
      </c>
      <c r="C360" t="inlineStr">
        <is>
          <t>Inpatient</t>
        </is>
      </c>
      <c r="D360" s="28" t="n">
        <v>45901</v>
      </c>
      <c r="E360" s="28" t="n">
        <v>45904</v>
      </c>
      <c r="F360" t="inlineStr">
        <is>
          <t>D120</t>
        </is>
      </c>
      <c r="G360" t="inlineStr">
        <is>
          <t>PRV1040</t>
        </is>
      </c>
      <c r="H360" t="inlineStr">
        <is>
          <t>I48.91</t>
        </is>
      </c>
      <c r="I360" t="inlineStr">
        <is>
          <t>PY02</t>
        </is>
      </c>
      <c r="J360" s="29" t="n">
        <v>19004.38</v>
      </c>
      <c r="K360" s="30" t="n"/>
    </row>
    <row r="361">
      <c r="A361" t="inlineStr">
        <is>
          <t>ENC118116</t>
        </is>
      </c>
      <c r="B361" t="inlineStr">
        <is>
          <t>PT12169</t>
        </is>
      </c>
      <c r="C361" t="inlineStr">
        <is>
          <t>Observation</t>
        </is>
      </c>
      <c r="D361" s="28" t="n">
        <v>45901</v>
      </c>
      <c r="E361" s="28" t="n">
        <v>45902</v>
      </c>
      <c r="F361" t="inlineStr">
        <is>
          <t>D195</t>
        </is>
      </c>
      <c r="G361" t="inlineStr">
        <is>
          <t>PRV1030</t>
        </is>
      </c>
      <c r="H361" t="inlineStr">
        <is>
          <t>S06.0X0A</t>
        </is>
      </c>
      <c r="I361" t="inlineStr">
        <is>
          <t>PY08</t>
        </is>
      </c>
      <c r="J361" s="29" t="n">
        <v>8367.219999999999</v>
      </c>
      <c r="K361" s="30" t="n"/>
    </row>
    <row r="362">
      <c r="A362" t="inlineStr">
        <is>
          <t>ENC118128</t>
        </is>
      </c>
      <c r="B362" t="inlineStr">
        <is>
          <t>PT11335</t>
        </is>
      </c>
      <c r="C362" t="inlineStr">
        <is>
          <t>Emergency</t>
        </is>
      </c>
      <c r="D362" s="28" t="n">
        <v>45902</v>
      </c>
      <c r="E362" s="28" t="n">
        <v>45902</v>
      </c>
      <c r="F362" t="inlineStr">
        <is>
          <t>D100</t>
        </is>
      </c>
      <c r="G362" t="inlineStr">
        <is>
          <t>PRV1011</t>
        </is>
      </c>
      <c r="H362" t="inlineStr">
        <is>
          <t>G43.909</t>
        </is>
      </c>
      <c r="I362" t="inlineStr">
        <is>
          <t>PY03</t>
        </is>
      </c>
      <c r="J362" s="29" t="n">
        <v>941.04</v>
      </c>
      <c r="K362" s="30" t="n"/>
    </row>
    <row r="363">
      <c r="A363" t="inlineStr">
        <is>
          <t>ENC118136</t>
        </is>
      </c>
      <c r="B363" t="inlineStr">
        <is>
          <t>PT11588</t>
        </is>
      </c>
      <c r="C363" t="inlineStr">
        <is>
          <t>Outpatient</t>
        </is>
      </c>
      <c r="D363" s="28" t="n">
        <v>45902</v>
      </c>
      <c r="E363" s="28" t="n">
        <v>45902</v>
      </c>
      <c r="F363" t="inlineStr">
        <is>
          <t>D400</t>
        </is>
      </c>
      <c r="G363" t="inlineStr">
        <is>
          <t>PRV1137</t>
        </is>
      </c>
      <c r="H363" t="inlineStr">
        <is>
          <t>J44.1</t>
        </is>
      </c>
      <c r="I363" t="inlineStr">
        <is>
          <t>PY05</t>
        </is>
      </c>
      <c r="J363" s="29" t="n">
        <v>183.7</v>
      </c>
      <c r="K363" s="30" t="n"/>
    </row>
    <row r="364">
      <c r="A364" t="inlineStr">
        <is>
          <t>ENC118138</t>
        </is>
      </c>
      <c r="B364" t="inlineStr">
        <is>
          <t>PT13355</t>
        </is>
      </c>
      <c r="C364" t="inlineStr">
        <is>
          <t>Outpatient</t>
        </is>
      </c>
      <c r="D364" s="28" t="n">
        <v>45902</v>
      </c>
      <c r="E364" s="28" t="n">
        <v>45902</v>
      </c>
      <c r="F364" t="inlineStr">
        <is>
          <t>D400</t>
        </is>
      </c>
      <c r="G364" t="inlineStr">
        <is>
          <t>PRV1137</t>
        </is>
      </c>
      <c r="H364" t="inlineStr">
        <is>
          <t>I10</t>
        </is>
      </c>
      <c r="I364" t="inlineStr">
        <is>
          <t>PY03</t>
        </is>
      </c>
      <c r="J364" s="29" t="n">
        <v>152.63</v>
      </c>
      <c r="K364" s="30" t="n"/>
    </row>
    <row r="365">
      <c r="A365" t="inlineStr">
        <is>
          <t>ENC118207</t>
        </is>
      </c>
      <c r="B365" t="inlineStr">
        <is>
          <t>PT13785</t>
        </is>
      </c>
      <c r="C365" t="inlineStr">
        <is>
          <t>Inpatient</t>
        </is>
      </c>
      <c r="D365" s="28" t="n">
        <v>45904</v>
      </c>
      <c r="E365" s="28" t="n">
        <v>45908</v>
      </c>
      <c r="F365" t="inlineStr">
        <is>
          <t>D320</t>
        </is>
      </c>
      <c r="G365" t="inlineStr">
        <is>
          <t>PRV1049</t>
        </is>
      </c>
      <c r="H365" t="inlineStr">
        <is>
          <t>I50.9</t>
        </is>
      </c>
      <c r="I365" t="inlineStr">
        <is>
          <t>PY02</t>
        </is>
      </c>
      <c r="J365" s="29" t="n">
        <v>32680.68</v>
      </c>
      <c r="K365" s="30" t="n"/>
    </row>
    <row r="366">
      <c r="A366" t="inlineStr">
        <is>
          <t>ENC118246</t>
        </is>
      </c>
      <c r="B366" t="inlineStr">
        <is>
          <t>PT11916</t>
        </is>
      </c>
      <c r="C366" t="inlineStr">
        <is>
          <t>Emergency</t>
        </is>
      </c>
      <c r="D366" s="28" t="n">
        <v>45905</v>
      </c>
      <c r="E366" s="28" t="n">
        <v>45905</v>
      </c>
      <c r="F366" t="inlineStr">
        <is>
          <t>D100</t>
        </is>
      </c>
      <c r="G366" t="inlineStr">
        <is>
          <t>PRV1011</t>
        </is>
      </c>
      <c r="H366" t="inlineStr">
        <is>
          <t>N39.0</t>
        </is>
      </c>
      <c r="I366" t="inlineStr">
        <is>
          <t>PY04</t>
        </is>
      </c>
      <c r="J366" s="29" t="n">
        <v>3538.33</v>
      </c>
      <c r="K366" s="30" t="n"/>
    </row>
    <row r="367">
      <c r="A367" t="inlineStr">
        <is>
          <t>ENC118271</t>
        </is>
      </c>
      <c r="B367" t="inlineStr">
        <is>
          <t>PT10465</t>
        </is>
      </c>
      <c r="C367" t="inlineStr">
        <is>
          <t>Emergency</t>
        </is>
      </c>
      <c r="D367" s="28" t="n">
        <v>45907</v>
      </c>
      <c r="E367" s="28" t="n">
        <v>45907</v>
      </c>
      <c r="F367" t="inlineStr">
        <is>
          <t>D100</t>
        </is>
      </c>
      <c r="G367" t="inlineStr">
        <is>
          <t>PRV1007</t>
        </is>
      </c>
      <c r="H367" t="inlineStr">
        <is>
          <t>S93.401A</t>
        </is>
      </c>
      <c r="I367" t="inlineStr">
        <is>
          <t>PY01</t>
        </is>
      </c>
      <c r="J367" s="29" t="n">
        <v>1189.1</v>
      </c>
      <c r="K367" s="30" t="n"/>
    </row>
    <row r="368">
      <c r="A368" t="inlineStr">
        <is>
          <t>ENC118276</t>
        </is>
      </c>
      <c r="B368" t="inlineStr">
        <is>
          <t>PT13853</t>
        </is>
      </c>
      <c r="C368" t="inlineStr">
        <is>
          <t>Emergency</t>
        </is>
      </c>
      <c r="D368" s="28" t="n">
        <v>45907</v>
      </c>
      <c r="E368" s="28" t="n">
        <v>45907</v>
      </c>
      <c r="F368" t="inlineStr">
        <is>
          <t>D100</t>
        </is>
      </c>
      <c r="G368" t="inlineStr">
        <is>
          <t>PRV1007</t>
        </is>
      </c>
      <c r="H368" t="inlineStr">
        <is>
          <t>R10.9</t>
        </is>
      </c>
      <c r="I368" t="inlineStr">
        <is>
          <t>PY02</t>
        </is>
      </c>
      <c r="J368" s="29" t="n">
        <v>3386.66</v>
      </c>
      <c r="K368" s="30" t="n"/>
    </row>
    <row r="369">
      <c r="A369" t="inlineStr">
        <is>
          <t>ENC118324</t>
        </is>
      </c>
      <c r="B369" t="inlineStr">
        <is>
          <t>PT10709</t>
        </is>
      </c>
      <c r="C369" t="inlineStr">
        <is>
          <t>Inpatient</t>
        </is>
      </c>
      <c r="D369" s="28" t="n">
        <v>45909</v>
      </c>
      <c r="E369" s="28" t="n">
        <v>45914</v>
      </c>
      <c r="F369" t="inlineStr">
        <is>
          <t>D210</t>
        </is>
      </c>
      <c r="G369" t="inlineStr">
        <is>
          <t>PRV1045</t>
        </is>
      </c>
      <c r="H369" t="inlineStr">
        <is>
          <t>J44.1</t>
        </is>
      </c>
      <c r="I369" t="inlineStr">
        <is>
          <t>PY04</t>
        </is>
      </c>
      <c r="J369" s="29" t="n">
        <v>16864.34</v>
      </c>
      <c r="K369" s="30" t="n"/>
    </row>
    <row r="370">
      <c r="A370" t="inlineStr">
        <is>
          <t>ENC118367</t>
        </is>
      </c>
      <c r="B370" t="inlineStr">
        <is>
          <t>PT13966</t>
        </is>
      </c>
      <c r="C370" t="inlineStr">
        <is>
          <t>Emergency</t>
        </is>
      </c>
      <c r="D370" s="28" t="n">
        <v>45910</v>
      </c>
      <c r="E370" s="28" t="n">
        <v>45910</v>
      </c>
      <c r="F370" t="inlineStr">
        <is>
          <t>D100</t>
        </is>
      </c>
      <c r="G370" t="inlineStr">
        <is>
          <t>PRV1005</t>
        </is>
      </c>
      <c r="H370" t="inlineStr">
        <is>
          <t>F32.9</t>
        </is>
      </c>
      <c r="I370" t="inlineStr">
        <is>
          <t>PY02</t>
        </is>
      </c>
      <c r="J370" s="29" t="n">
        <v>3431.34</v>
      </c>
      <c r="K370" s="30" t="n"/>
    </row>
    <row r="371">
      <c r="A371" t="inlineStr">
        <is>
          <t>ENC118392</t>
        </is>
      </c>
      <c r="B371" t="inlineStr">
        <is>
          <t>PT13844</t>
        </is>
      </c>
      <c r="C371" t="inlineStr">
        <is>
          <t>Emergency</t>
        </is>
      </c>
      <c r="D371" s="28" t="n">
        <v>45911</v>
      </c>
      <c r="E371" s="28" t="n">
        <v>45911</v>
      </c>
      <c r="F371" t="inlineStr">
        <is>
          <t>D100</t>
        </is>
      </c>
      <c r="G371" t="inlineStr">
        <is>
          <t>PRV1002</t>
        </is>
      </c>
      <c r="H371" t="inlineStr">
        <is>
          <t>R10.9</t>
        </is>
      </c>
      <c r="I371" t="inlineStr">
        <is>
          <t>PY03</t>
        </is>
      </c>
      <c r="J371" s="29" t="n">
        <v>3660.66</v>
      </c>
      <c r="K371" s="30" t="n"/>
    </row>
    <row r="372">
      <c r="A372" t="inlineStr">
        <is>
          <t>ENC118402</t>
        </is>
      </c>
      <c r="B372" t="inlineStr">
        <is>
          <t>PT10834</t>
        </is>
      </c>
      <c r="C372" t="inlineStr">
        <is>
          <t>Outpatient</t>
        </is>
      </c>
      <c r="D372" s="28" t="n">
        <v>45911</v>
      </c>
      <c r="E372" s="28" t="n">
        <v>45911</v>
      </c>
      <c r="F372" t="inlineStr">
        <is>
          <t>D400</t>
        </is>
      </c>
      <c r="G372" t="inlineStr">
        <is>
          <t>PRV1129</t>
        </is>
      </c>
      <c r="H372" t="inlineStr">
        <is>
          <t>I10</t>
        </is>
      </c>
      <c r="I372" t="inlineStr">
        <is>
          <t>PY06</t>
        </is>
      </c>
      <c r="J372" s="29" t="n">
        <v>265.57</v>
      </c>
      <c r="K372" s="30" t="n"/>
    </row>
    <row r="373">
      <c r="A373" t="inlineStr">
        <is>
          <t>ENC118429</t>
        </is>
      </c>
      <c r="B373" t="inlineStr">
        <is>
          <t>PT12958</t>
        </is>
      </c>
      <c r="C373" t="inlineStr">
        <is>
          <t>Observation</t>
        </is>
      </c>
      <c r="D373" s="28" t="n">
        <v>45912</v>
      </c>
      <c r="E373" s="28" t="n">
        <v>45913</v>
      </c>
      <c r="F373" t="inlineStr">
        <is>
          <t>D195</t>
        </is>
      </c>
      <c r="G373" t="inlineStr">
        <is>
          <t>PRV1031</t>
        </is>
      </c>
      <c r="H373" t="inlineStr">
        <is>
          <t>R10.9</t>
        </is>
      </c>
      <c r="I373" t="inlineStr">
        <is>
          <t>PY02</t>
        </is>
      </c>
      <c r="J373" s="29" t="n">
        <v>5979.27</v>
      </c>
      <c r="K373" s="30" t="n"/>
    </row>
    <row r="374">
      <c r="A374" t="inlineStr">
        <is>
          <t>ENC118439</t>
        </is>
      </c>
      <c r="B374" t="inlineStr">
        <is>
          <t>PT13798</t>
        </is>
      </c>
      <c r="C374" t="inlineStr">
        <is>
          <t>Inpatient</t>
        </is>
      </c>
      <c r="D374" s="28" t="n">
        <v>45913</v>
      </c>
      <c r="E374" s="28" t="n">
        <v>45919</v>
      </c>
      <c r="F374" t="inlineStr">
        <is>
          <t>D190</t>
        </is>
      </c>
      <c r="G374" t="inlineStr">
        <is>
          <t>PRV1121</t>
        </is>
      </c>
      <c r="H374" t="inlineStr">
        <is>
          <t>F20.9</t>
        </is>
      </c>
      <c r="I374" t="inlineStr">
        <is>
          <t>PY05</t>
        </is>
      </c>
      <c r="J374" s="29" t="n">
        <v>21172.19</v>
      </c>
      <c r="K374" s="30" t="n"/>
    </row>
    <row r="375">
      <c r="A375" t="inlineStr">
        <is>
          <t>ENC118483</t>
        </is>
      </c>
      <c r="B375" t="inlineStr">
        <is>
          <t>PT11657</t>
        </is>
      </c>
      <c r="C375" t="inlineStr">
        <is>
          <t>Inpatient</t>
        </is>
      </c>
      <c r="D375" s="28" t="n">
        <v>45915</v>
      </c>
      <c r="E375" s="28" t="n">
        <v>45920</v>
      </c>
      <c r="F375" t="inlineStr">
        <is>
          <t>D210</t>
        </is>
      </c>
      <c r="G375" t="inlineStr">
        <is>
          <t>PRV1045</t>
        </is>
      </c>
      <c r="H375" t="inlineStr">
        <is>
          <t>E86.0</t>
        </is>
      </c>
      <c r="I375" t="inlineStr">
        <is>
          <t>PY06</t>
        </is>
      </c>
      <c r="J375" s="29" t="n">
        <v>15564.64</v>
      </c>
      <c r="K375" s="30" t="n"/>
    </row>
    <row r="376">
      <c r="A376" t="inlineStr">
        <is>
          <t>ENC118489</t>
        </is>
      </c>
      <c r="B376" t="inlineStr">
        <is>
          <t>PT10606</t>
        </is>
      </c>
      <c r="C376" t="inlineStr">
        <is>
          <t>Emergency</t>
        </is>
      </c>
      <c r="D376" s="28" t="n">
        <v>45915</v>
      </c>
      <c r="E376" s="28" t="n">
        <v>45915</v>
      </c>
      <c r="F376" t="inlineStr">
        <is>
          <t>D300</t>
        </is>
      </c>
      <c r="G376" t="inlineStr">
        <is>
          <t>PRV1022</t>
        </is>
      </c>
      <c r="H376" t="inlineStr">
        <is>
          <t>E86.0</t>
        </is>
      </c>
      <c r="I376" t="inlineStr">
        <is>
          <t>PY01</t>
        </is>
      </c>
      <c r="J376" s="29" t="n">
        <v>1205.7</v>
      </c>
      <c r="K376" s="30" t="n"/>
    </row>
    <row r="377">
      <c r="A377" t="inlineStr">
        <is>
          <t>ENC118509</t>
        </is>
      </c>
      <c r="B377" t="inlineStr">
        <is>
          <t>PT13766</t>
        </is>
      </c>
      <c r="C377" t="inlineStr">
        <is>
          <t>Outpatient</t>
        </is>
      </c>
      <c r="D377" s="28" t="n">
        <v>45916</v>
      </c>
      <c r="E377" s="28" t="n">
        <v>45916</v>
      </c>
      <c r="F377" t="inlineStr">
        <is>
          <t>D400</t>
        </is>
      </c>
      <c r="G377" t="inlineStr">
        <is>
          <t>PRV1137</t>
        </is>
      </c>
      <c r="H377" t="inlineStr">
        <is>
          <t>I10</t>
        </is>
      </c>
      <c r="I377" t="inlineStr">
        <is>
          <t>PY05</t>
        </is>
      </c>
      <c r="J377" s="29" t="n">
        <v>450.21</v>
      </c>
      <c r="K377" s="30" t="n"/>
    </row>
    <row r="378">
      <c r="A378" t="inlineStr">
        <is>
          <t>ENC118510</t>
        </is>
      </c>
      <c r="B378" t="inlineStr">
        <is>
          <t>PT13175</t>
        </is>
      </c>
      <c r="C378" t="inlineStr">
        <is>
          <t>Observation</t>
        </is>
      </c>
      <c r="D378" s="28" t="n">
        <v>45916</v>
      </c>
      <c r="E378" s="28" t="n">
        <v>45917</v>
      </c>
      <c r="F378" t="inlineStr">
        <is>
          <t>D195</t>
        </is>
      </c>
      <c r="G378" t="inlineStr">
        <is>
          <t>PRV1039</t>
        </is>
      </c>
      <c r="H378" t="inlineStr">
        <is>
          <t>R10.9</t>
        </is>
      </c>
      <c r="I378" t="inlineStr">
        <is>
          <t>PY04</t>
        </is>
      </c>
      <c r="J378" s="29" t="n">
        <v>5144.61</v>
      </c>
      <c r="K378" s="30" t="n"/>
    </row>
    <row r="379">
      <c r="A379" t="inlineStr">
        <is>
          <t>ENC118534</t>
        </is>
      </c>
      <c r="B379" t="inlineStr">
        <is>
          <t>PT11804</t>
        </is>
      </c>
      <c r="C379" t="inlineStr">
        <is>
          <t>Outpatient</t>
        </is>
      </c>
      <c r="D379" s="28" t="n">
        <v>45917</v>
      </c>
      <c r="E379" s="28" t="n">
        <v>45917</v>
      </c>
      <c r="F379" t="inlineStr">
        <is>
          <t>D430</t>
        </is>
      </c>
      <c r="G379" t="inlineStr">
        <is>
          <t>PRV1115</t>
        </is>
      </c>
      <c r="H379" t="inlineStr">
        <is>
          <t>Z51.11</t>
        </is>
      </c>
      <c r="I379" t="inlineStr">
        <is>
          <t>PY06</t>
        </is>
      </c>
      <c r="J379" s="29" t="n">
        <v>8579.049999999999</v>
      </c>
      <c r="K379" s="30" t="n"/>
    </row>
    <row r="380">
      <c r="A380" t="inlineStr">
        <is>
          <t>ENC118564</t>
        </is>
      </c>
      <c r="B380" t="inlineStr">
        <is>
          <t>PT10925</t>
        </is>
      </c>
      <c r="C380" t="inlineStr">
        <is>
          <t>Observation</t>
        </is>
      </c>
      <c r="D380" s="28" t="n">
        <v>45918</v>
      </c>
      <c r="E380" s="28" t="n">
        <v>45919</v>
      </c>
      <c r="F380" t="inlineStr">
        <is>
          <t>D210</t>
        </is>
      </c>
      <c r="G380" t="inlineStr">
        <is>
          <t>PRV1044</t>
        </is>
      </c>
      <c r="H380" t="inlineStr">
        <is>
          <t>J45.909</t>
        </is>
      </c>
      <c r="I380" t="inlineStr">
        <is>
          <t>PY03</t>
        </is>
      </c>
      <c r="J380" s="29" t="n">
        <v>8187.66</v>
      </c>
      <c r="K380" s="30" t="n"/>
    </row>
    <row r="381">
      <c r="A381" t="inlineStr">
        <is>
          <t>ENC118606</t>
        </is>
      </c>
      <c r="B381" t="inlineStr">
        <is>
          <t>PT10606</t>
        </is>
      </c>
      <c r="C381" t="inlineStr">
        <is>
          <t>Emergency</t>
        </is>
      </c>
      <c r="D381" s="28" t="n">
        <v>45919</v>
      </c>
      <c r="E381" s="28" t="n">
        <v>45920</v>
      </c>
      <c r="F381" t="inlineStr">
        <is>
          <t>D300</t>
        </is>
      </c>
      <c r="G381" t="inlineStr">
        <is>
          <t>PRV1028</t>
        </is>
      </c>
      <c r="H381" t="inlineStr">
        <is>
          <t>N39.0</t>
        </is>
      </c>
      <c r="I381" t="inlineStr">
        <is>
          <t>PY01</t>
        </is>
      </c>
      <c r="J381" s="29" t="n">
        <v>3997.01</v>
      </c>
      <c r="K381" s="30" t="n"/>
    </row>
    <row r="382">
      <c r="A382" t="inlineStr">
        <is>
          <t>ENC118624</t>
        </is>
      </c>
      <c r="B382" t="inlineStr">
        <is>
          <t>PT11172</t>
        </is>
      </c>
      <c r="C382" t="inlineStr">
        <is>
          <t>Emergency</t>
        </is>
      </c>
      <c r="D382" s="28" t="n">
        <v>45920</v>
      </c>
      <c r="E382" s="28" t="n">
        <v>45920</v>
      </c>
      <c r="F382" t="inlineStr">
        <is>
          <t>D100</t>
        </is>
      </c>
      <c r="G382" t="inlineStr">
        <is>
          <t>PRV1006</t>
        </is>
      </c>
      <c r="H382" t="inlineStr">
        <is>
          <t>U07.1</t>
        </is>
      </c>
      <c r="I382" t="inlineStr">
        <is>
          <t>PY04</t>
        </is>
      </c>
      <c r="J382" s="29" t="n">
        <v>2988.26</v>
      </c>
      <c r="K382" s="30" t="n"/>
    </row>
    <row r="383">
      <c r="A383" t="inlineStr">
        <is>
          <t>ENC118631</t>
        </is>
      </c>
      <c r="B383" t="inlineStr">
        <is>
          <t>PT12139</t>
        </is>
      </c>
      <c r="C383" t="inlineStr">
        <is>
          <t>Inpatient</t>
        </is>
      </c>
      <c r="D383" s="28" t="n">
        <v>45921</v>
      </c>
      <c r="E383" s="28" t="n">
        <v>45925</v>
      </c>
      <c r="F383" t="inlineStr">
        <is>
          <t>D310</t>
        </is>
      </c>
      <c r="G383" t="inlineStr">
        <is>
          <t>PRV1053</t>
        </is>
      </c>
      <c r="H383" t="inlineStr">
        <is>
          <t>K92.2</t>
        </is>
      </c>
      <c r="I383" t="inlineStr">
        <is>
          <t>PY03</t>
        </is>
      </c>
      <c r="J383" s="29" t="n">
        <v>21975.22</v>
      </c>
      <c r="K383" s="30" t="n"/>
    </row>
    <row r="384">
      <c r="A384" t="inlineStr">
        <is>
          <t>ENC118668</t>
        </is>
      </c>
      <c r="B384" t="inlineStr">
        <is>
          <t>PT12320</t>
        </is>
      </c>
      <c r="C384" t="inlineStr">
        <is>
          <t>Inpatient</t>
        </is>
      </c>
      <c r="D384" s="28" t="n">
        <v>45922</v>
      </c>
      <c r="E384" s="28" t="n">
        <v>45925</v>
      </c>
      <c r="F384" t="inlineStr">
        <is>
          <t>D110</t>
        </is>
      </c>
      <c r="G384" t="inlineStr">
        <is>
          <t>PRV1042</t>
        </is>
      </c>
      <c r="H384" t="inlineStr">
        <is>
          <t>E87.1</t>
        </is>
      </c>
      <c r="I384" t="inlineStr">
        <is>
          <t>PY01</t>
        </is>
      </c>
      <c r="J384" s="29" t="n">
        <v>17974.6</v>
      </c>
      <c r="K384" s="30" t="n"/>
    </row>
    <row r="385">
      <c r="A385" t="inlineStr">
        <is>
          <t>ENC118689</t>
        </is>
      </c>
      <c r="B385" t="inlineStr">
        <is>
          <t>PT12874</t>
        </is>
      </c>
      <c r="C385" t="inlineStr">
        <is>
          <t>Outpatient</t>
        </is>
      </c>
      <c r="D385" s="28" t="n">
        <v>45923</v>
      </c>
      <c r="E385" s="28" t="n">
        <v>45923</v>
      </c>
      <c r="F385" t="inlineStr">
        <is>
          <t>D400</t>
        </is>
      </c>
      <c r="G385" t="inlineStr">
        <is>
          <t>PRV1138</t>
        </is>
      </c>
      <c r="H385" t="inlineStr">
        <is>
          <t>Z00.00</t>
        </is>
      </c>
      <c r="I385" t="inlineStr">
        <is>
          <t>PY04</t>
        </is>
      </c>
      <c r="J385" s="29" t="n">
        <v>391.53</v>
      </c>
      <c r="K385" s="30" t="n"/>
    </row>
    <row r="386">
      <c r="A386" t="inlineStr">
        <is>
          <t>ENC118708</t>
        </is>
      </c>
      <c r="B386" t="inlineStr">
        <is>
          <t>PT10513</t>
        </is>
      </c>
      <c r="C386" t="inlineStr">
        <is>
          <t>Inpatient</t>
        </is>
      </c>
      <c r="D386" s="28" t="n">
        <v>45923</v>
      </c>
      <c r="E386" s="28" t="n">
        <v>45927</v>
      </c>
      <c r="F386" t="inlineStr">
        <is>
          <t>D110</t>
        </is>
      </c>
      <c r="G386" t="inlineStr">
        <is>
          <t>PRV1039</t>
        </is>
      </c>
      <c r="H386" t="inlineStr">
        <is>
          <t>J44.1</t>
        </is>
      </c>
      <c r="I386" t="inlineStr">
        <is>
          <t>PY04</t>
        </is>
      </c>
      <c r="J386" s="29" t="n">
        <v>14350.56</v>
      </c>
      <c r="K386" s="30" t="n"/>
    </row>
    <row r="387">
      <c r="A387" t="inlineStr">
        <is>
          <t>ENC118743</t>
        </is>
      </c>
      <c r="B387" t="inlineStr">
        <is>
          <t>PT10287</t>
        </is>
      </c>
      <c r="C387" t="inlineStr">
        <is>
          <t>Emergency</t>
        </is>
      </c>
      <c r="D387" s="28" t="n">
        <v>45925</v>
      </c>
      <c r="E387" s="28" t="n">
        <v>45925</v>
      </c>
      <c r="F387" t="inlineStr">
        <is>
          <t>D200</t>
        </is>
      </c>
      <c r="G387" t="inlineStr">
        <is>
          <t>PRV1018</t>
        </is>
      </c>
      <c r="H387" t="inlineStr">
        <is>
          <t>A08.4</t>
        </is>
      </c>
      <c r="I387" t="inlineStr">
        <is>
          <t>PY05</t>
        </is>
      </c>
      <c r="J387" s="29" t="n">
        <v>800.26</v>
      </c>
      <c r="K387" s="30" t="n"/>
    </row>
    <row r="388">
      <c r="A388" t="inlineStr">
        <is>
          <t>ENC118754</t>
        </is>
      </c>
      <c r="B388" t="inlineStr">
        <is>
          <t>PT11989</t>
        </is>
      </c>
      <c r="C388" t="inlineStr">
        <is>
          <t>Inpatient</t>
        </is>
      </c>
      <c r="D388" s="28" t="n">
        <v>45925</v>
      </c>
      <c r="E388" s="28" t="n">
        <v>45930</v>
      </c>
      <c r="F388" t="inlineStr">
        <is>
          <t>D110</t>
        </is>
      </c>
      <c r="G388" t="inlineStr">
        <is>
          <t>PRV1034</t>
        </is>
      </c>
      <c r="H388" t="inlineStr">
        <is>
          <t>J44.1</t>
        </is>
      </c>
      <c r="I388" t="inlineStr">
        <is>
          <t>PY01</t>
        </is>
      </c>
      <c r="J388" s="29" t="n">
        <v>17621.73</v>
      </c>
      <c r="K388" s="30" t="n"/>
    </row>
    <row r="389">
      <c r="A389" t="inlineStr">
        <is>
          <t>ENC118784</t>
        </is>
      </c>
      <c r="B389" t="inlineStr">
        <is>
          <t>PT11510</t>
        </is>
      </c>
      <c r="C389" t="inlineStr">
        <is>
          <t>Emergency</t>
        </is>
      </c>
      <c r="D389" s="28" t="n">
        <v>45926</v>
      </c>
      <c r="E389" s="28" t="n">
        <v>45926</v>
      </c>
      <c r="F389" t="inlineStr">
        <is>
          <t>D100</t>
        </is>
      </c>
      <c r="G389" t="inlineStr">
        <is>
          <t>PRV1001</t>
        </is>
      </c>
      <c r="H389" t="inlineStr">
        <is>
          <t>J45.909</t>
        </is>
      </c>
      <c r="I389" t="inlineStr">
        <is>
          <t>PY03</t>
        </is>
      </c>
      <c r="J389" s="29" t="n">
        <v>3006.37</v>
      </c>
      <c r="K389" s="30" t="n"/>
    </row>
    <row r="390">
      <c r="A390" t="inlineStr">
        <is>
          <t>ENC118788</t>
        </is>
      </c>
      <c r="B390" t="inlineStr">
        <is>
          <t>PT12874</t>
        </is>
      </c>
      <c r="C390" t="inlineStr">
        <is>
          <t>Emergency</t>
        </is>
      </c>
      <c r="D390" s="28" t="n">
        <v>45926</v>
      </c>
      <c r="E390" s="28" t="n">
        <v>45926</v>
      </c>
      <c r="F390" t="inlineStr">
        <is>
          <t>D200</t>
        </is>
      </c>
      <c r="G390" t="inlineStr">
        <is>
          <t>PRV1017</t>
        </is>
      </c>
      <c r="H390" t="inlineStr">
        <is>
          <t>R10.9</t>
        </is>
      </c>
      <c r="I390" t="inlineStr">
        <is>
          <t>PY04</t>
        </is>
      </c>
      <c r="J390" s="29" t="n">
        <v>5434.67</v>
      </c>
      <c r="K390" s="30" t="n"/>
    </row>
    <row r="391">
      <c r="A391" t="inlineStr">
        <is>
          <t>ENC118789</t>
        </is>
      </c>
      <c r="B391" t="inlineStr">
        <is>
          <t>PT12916</t>
        </is>
      </c>
      <c r="C391" t="inlineStr">
        <is>
          <t>Inpatient</t>
        </is>
      </c>
      <c r="D391" s="28" t="n">
        <v>45926</v>
      </c>
      <c r="E391" s="28" t="n">
        <v>45930</v>
      </c>
      <c r="F391" t="inlineStr">
        <is>
          <t>D150</t>
        </is>
      </c>
      <c r="G391" t="inlineStr">
        <is>
          <t>PRV1111</t>
        </is>
      </c>
      <c r="H391" t="inlineStr">
        <is>
          <t>C34.90</t>
        </is>
      </c>
      <c r="I391" t="inlineStr">
        <is>
          <t>PY03</t>
        </is>
      </c>
      <c r="J391" s="29" t="n">
        <v>19954.37</v>
      </c>
      <c r="K391" s="30" t="n"/>
    </row>
    <row r="392">
      <c r="A392" t="inlineStr">
        <is>
          <t>ENC118796</t>
        </is>
      </c>
      <c r="B392" t="inlineStr">
        <is>
          <t>PT11614</t>
        </is>
      </c>
      <c r="C392" t="inlineStr">
        <is>
          <t>Inpatient</t>
        </is>
      </c>
      <c r="D392" s="28" t="n">
        <v>45927</v>
      </c>
      <c r="E392" s="28" t="n">
        <v>45929</v>
      </c>
      <c r="F392" t="inlineStr">
        <is>
          <t>D111</t>
        </is>
      </c>
      <c r="G392" t="inlineStr">
        <is>
          <t>PRV1041</t>
        </is>
      </c>
      <c r="H392" t="inlineStr">
        <is>
          <t>E11.65</t>
        </is>
      </c>
      <c r="I392" t="inlineStr">
        <is>
          <t>PY07</t>
        </is>
      </c>
      <c r="J392" s="29" t="n">
        <v>24492.49</v>
      </c>
      <c r="K392" s="30" t="n"/>
    </row>
    <row r="393">
      <c r="A393" t="inlineStr">
        <is>
          <t>ENC118807</t>
        </is>
      </c>
      <c r="B393" t="inlineStr">
        <is>
          <t>PT10050</t>
        </is>
      </c>
      <c r="C393" t="inlineStr">
        <is>
          <t>Inpatient</t>
        </is>
      </c>
      <c r="D393" s="28" t="n">
        <v>45928</v>
      </c>
      <c r="E393" s="28" t="n">
        <v>45931</v>
      </c>
      <c r="F393" t="inlineStr">
        <is>
          <t>D111</t>
        </is>
      </c>
      <c r="G393" t="inlineStr">
        <is>
          <t>PRV1037</t>
        </is>
      </c>
      <c r="H393" t="inlineStr">
        <is>
          <t>J18.9</t>
        </is>
      </c>
      <c r="I393" t="inlineStr">
        <is>
          <t>PY04</t>
        </is>
      </c>
      <c r="J393" s="29" t="n">
        <v>17390.75</v>
      </c>
      <c r="K393" s="30" t="n"/>
    </row>
    <row r="394">
      <c r="A394" t="inlineStr">
        <is>
          <t>ENC118853</t>
        </is>
      </c>
      <c r="B394" t="inlineStr">
        <is>
          <t>PT12917</t>
        </is>
      </c>
      <c r="C394" t="inlineStr">
        <is>
          <t>Inpatient</t>
        </is>
      </c>
      <c r="D394" s="28" t="n">
        <v>45930</v>
      </c>
      <c r="E394" s="28" t="n">
        <v>45938</v>
      </c>
      <c r="F394" t="inlineStr">
        <is>
          <t>D310</t>
        </is>
      </c>
      <c r="G394" t="inlineStr">
        <is>
          <t>PRV1052</t>
        </is>
      </c>
      <c r="H394" t="inlineStr">
        <is>
          <t>J18.9</t>
        </is>
      </c>
      <c r="I394" t="inlineStr">
        <is>
          <t>PY01</t>
        </is>
      </c>
      <c r="J394" s="29" t="n">
        <v>28547.9</v>
      </c>
      <c r="K394" s="30" t="n"/>
    </row>
    <row r="395">
      <c r="A395" t="inlineStr">
        <is>
          <t>ENC118896</t>
        </is>
      </c>
      <c r="B395" t="inlineStr">
        <is>
          <t>PT13517</t>
        </is>
      </c>
      <c r="C395" t="inlineStr">
        <is>
          <t>Outpatient</t>
        </is>
      </c>
      <c r="D395" s="28" t="n">
        <v>45931</v>
      </c>
      <c r="E395" s="28" t="n">
        <v>45931</v>
      </c>
      <c r="F395" t="inlineStr">
        <is>
          <t>D420</t>
        </is>
      </c>
      <c r="G395" t="inlineStr">
        <is>
          <t>PRV1082</t>
        </is>
      </c>
      <c r="H395" t="inlineStr">
        <is>
          <t>M17.11</t>
        </is>
      </c>
      <c r="I395" t="inlineStr">
        <is>
          <t>PY03</t>
        </is>
      </c>
      <c r="J395" s="29" t="n">
        <v>337.66</v>
      </c>
      <c r="K395" s="30" t="n"/>
    </row>
    <row r="396">
      <c r="A396" t="inlineStr">
        <is>
          <t>ENC118904</t>
        </is>
      </c>
      <c r="B396" t="inlineStr">
        <is>
          <t>PT12752</t>
        </is>
      </c>
      <c r="C396" t="inlineStr">
        <is>
          <t>Outpatient</t>
        </is>
      </c>
      <c r="D396" s="28" t="n">
        <v>45931</v>
      </c>
      <c r="E396" s="28" t="n">
        <v>45931</v>
      </c>
      <c r="F396" t="inlineStr">
        <is>
          <t>D400</t>
        </is>
      </c>
      <c r="G396" t="inlineStr">
        <is>
          <t>PRV1137</t>
        </is>
      </c>
      <c r="H396" t="inlineStr">
        <is>
          <t>I10</t>
        </is>
      </c>
      <c r="I396" t="inlineStr">
        <is>
          <t>PY02</t>
        </is>
      </c>
      <c r="J396" s="29" t="n">
        <v>527.61</v>
      </c>
      <c r="K396" s="30" t="n"/>
    </row>
    <row r="397">
      <c r="A397" t="inlineStr">
        <is>
          <t>ENC118919</t>
        </is>
      </c>
      <c r="B397" t="inlineStr">
        <is>
          <t>PT12916</t>
        </is>
      </c>
      <c r="C397" t="inlineStr">
        <is>
          <t>Inpatient</t>
        </is>
      </c>
      <c r="D397" s="28" t="n">
        <v>45932</v>
      </c>
      <c r="E397" s="28" t="n">
        <v>45934</v>
      </c>
      <c r="F397" t="inlineStr">
        <is>
          <t>D210</t>
        </is>
      </c>
      <c r="G397" t="inlineStr">
        <is>
          <t>PRV1045</t>
        </is>
      </c>
      <c r="H397" t="inlineStr">
        <is>
          <t>E86.0</t>
        </is>
      </c>
      <c r="I397" t="inlineStr">
        <is>
          <t>PY03</t>
        </is>
      </c>
      <c r="J397" s="29" t="n">
        <v>12132.05</v>
      </c>
      <c r="K397" s="30" t="n"/>
    </row>
    <row r="398">
      <c r="A398" t="inlineStr">
        <is>
          <t>ENC118979</t>
        </is>
      </c>
      <c r="B398" t="inlineStr">
        <is>
          <t>PT12579</t>
        </is>
      </c>
      <c r="C398" t="inlineStr">
        <is>
          <t>Emergency</t>
        </is>
      </c>
      <c r="D398" s="28" t="n">
        <v>45933</v>
      </c>
      <c r="E398" s="28" t="n">
        <v>45934</v>
      </c>
      <c r="F398" t="inlineStr">
        <is>
          <t>D100</t>
        </is>
      </c>
      <c r="G398" t="inlineStr">
        <is>
          <t>PRV1010</t>
        </is>
      </c>
      <c r="H398" t="inlineStr">
        <is>
          <t>M54.50</t>
        </is>
      </c>
      <c r="I398" t="inlineStr">
        <is>
          <t>PY02</t>
        </is>
      </c>
      <c r="J398" s="29" t="n">
        <v>1292.09</v>
      </c>
      <c r="K398" s="30" t="n"/>
    </row>
    <row r="399">
      <c r="A399" t="inlineStr">
        <is>
          <t>ENC118989</t>
        </is>
      </c>
      <c r="B399" t="inlineStr">
        <is>
          <t>PT10423</t>
        </is>
      </c>
      <c r="C399" t="inlineStr">
        <is>
          <t>Emergency</t>
        </is>
      </c>
      <c r="D399" s="28" t="n">
        <v>45934</v>
      </c>
      <c r="E399" s="28" t="n">
        <v>45934</v>
      </c>
      <c r="F399" t="inlineStr">
        <is>
          <t>D100</t>
        </is>
      </c>
      <c r="G399" t="inlineStr">
        <is>
          <t>PRV1007</t>
        </is>
      </c>
      <c r="H399" t="inlineStr">
        <is>
          <t>J06.9</t>
        </is>
      </c>
      <c r="I399" t="inlineStr">
        <is>
          <t>PY02</t>
        </is>
      </c>
      <c r="J399" s="29" t="n">
        <v>3541.86</v>
      </c>
      <c r="K399" s="30" t="n"/>
    </row>
    <row r="400">
      <c r="A400" t="inlineStr">
        <is>
          <t>ENC119000</t>
        </is>
      </c>
      <c r="B400" t="inlineStr">
        <is>
          <t>PT10511</t>
        </is>
      </c>
      <c r="C400" t="inlineStr">
        <is>
          <t>Emergency</t>
        </is>
      </c>
      <c r="D400" s="28" t="n">
        <v>45934</v>
      </c>
      <c r="E400" s="28" t="n">
        <v>45935</v>
      </c>
      <c r="F400" t="inlineStr">
        <is>
          <t>D100</t>
        </is>
      </c>
      <c r="G400" t="inlineStr">
        <is>
          <t>PRV1003</t>
        </is>
      </c>
      <c r="H400" t="inlineStr">
        <is>
          <t>F41.9</t>
        </is>
      </c>
      <c r="I400" t="inlineStr">
        <is>
          <t>PY06</t>
        </is>
      </c>
      <c r="J400" s="29" t="n">
        <v>455.56</v>
      </c>
      <c r="K400" s="30" t="n"/>
    </row>
    <row r="401">
      <c r="A401" t="inlineStr">
        <is>
          <t>ENC119008</t>
        </is>
      </c>
      <c r="B401" t="inlineStr">
        <is>
          <t>PT12996</t>
        </is>
      </c>
      <c r="C401" t="inlineStr">
        <is>
          <t>Emergency</t>
        </is>
      </c>
      <c r="D401" s="28" t="n">
        <v>45935</v>
      </c>
      <c r="E401" s="28" t="n">
        <v>45935</v>
      </c>
      <c r="F401" t="inlineStr">
        <is>
          <t>D100</t>
        </is>
      </c>
      <c r="G401" t="inlineStr">
        <is>
          <t>PRV1002</t>
        </is>
      </c>
      <c r="H401" t="inlineStr">
        <is>
          <t>N39.0</t>
        </is>
      </c>
      <c r="I401" t="inlineStr">
        <is>
          <t>PY01</t>
        </is>
      </c>
      <c r="J401" s="29" t="n">
        <v>1554.7</v>
      </c>
      <c r="K401" s="30" t="n"/>
    </row>
    <row r="402">
      <c r="A402" t="inlineStr">
        <is>
          <t>ENC119021</t>
        </is>
      </c>
      <c r="B402" t="inlineStr">
        <is>
          <t>PT10606</t>
        </is>
      </c>
      <c r="C402" t="inlineStr">
        <is>
          <t>Inpatient</t>
        </is>
      </c>
      <c r="D402" s="28" t="n">
        <v>45936</v>
      </c>
      <c r="E402" s="28" t="n">
        <v>45937</v>
      </c>
      <c r="F402" t="inlineStr">
        <is>
          <t>D310</t>
        </is>
      </c>
      <c r="G402" t="inlineStr">
        <is>
          <t>PRV1053</t>
        </is>
      </c>
      <c r="H402" t="inlineStr">
        <is>
          <t>J44.1</t>
        </is>
      </c>
      <c r="I402" t="inlineStr">
        <is>
          <t>PY01</t>
        </is>
      </c>
      <c r="J402" s="29" t="n">
        <v>7669.52</v>
      </c>
      <c r="K402" s="30" t="n"/>
    </row>
    <row r="403">
      <c r="A403" t="inlineStr">
        <is>
          <t>ENC119022</t>
        </is>
      </c>
      <c r="B403" t="inlineStr">
        <is>
          <t>PT10423</t>
        </is>
      </c>
      <c r="C403" t="inlineStr">
        <is>
          <t>Inpatient</t>
        </is>
      </c>
      <c r="D403" s="28" t="n">
        <v>45936</v>
      </c>
      <c r="E403" s="28" t="n">
        <v>45941</v>
      </c>
      <c r="F403" t="inlineStr">
        <is>
          <t>D160</t>
        </is>
      </c>
      <c r="G403" t="inlineStr">
        <is>
          <t>PRV1118</t>
        </is>
      </c>
      <c r="H403" t="inlineStr">
        <is>
          <t>I63.9</t>
        </is>
      </c>
      <c r="I403" t="inlineStr">
        <is>
          <t>PY02</t>
        </is>
      </c>
      <c r="J403" s="29" t="n">
        <v>36121.68</v>
      </c>
      <c r="K403" s="30" t="n"/>
    </row>
    <row r="404">
      <c r="A404" t="inlineStr">
        <is>
          <t>ENC119054</t>
        </is>
      </c>
      <c r="B404" t="inlineStr">
        <is>
          <t>PT12111</t>
        </is>
      </c>
      <c r="C404" t="inlineStr">
        <is>
          <t>Emergency</t>
        </is>
      </c>
      <c r="D404" s="28" t="n">
        <v>45936</v>
      </c>
      <c r="E404" s="28" t="n">
        <v>45937</v>
      </c>
      <c r="F404" t="inlineStr">
        <is>
          <t>D100</t>
        </is>
      </c>
      <c r="G404" t="inlineStr">
        <is>
          <t>PRV1003</t>
        </is>
      </c>
      <c r="H404" t="inlineStr">
        <is>
          <t>S93.401A</t>
        </is>
      </c>
      <c r="I404" t="inlineStr">
        <is>
          <t>PY05</t>
        </is>
      </c>
      <c r="J404" s="29" t="n">
        <v>1091.6</v>
      </c>
      <c r="K404" s="30" t="n"/>
    </row>
    <row r="405">
      <c r="A405" t="inlineStr">
        <is>
          <t>ENC119056</t>
        </is>
      </c>
      <c r="B405" t="inlineStr">
        <is>
          <t>PT11239</t>
        </is>
      </c>
      <c r="C405" t="inlineStr">
        <is>
          <t>Emergency</t>
        </is>
      </c>
      <c r="D405" s="28" t="n">
        <v>45937</v>
      </c>
      <c r="E405" s="28" t="n">
        <v>45937</v>
      </c>
      <c r="F405" t="inlineStr">
        <is>
          <t>D100</t>
        </is>
      </c>
      <c r="G405" t="inlineStr">
        <is>
          <t>PRV1002</t>
        </is>
      </c>
      <c r="H405" t="inlineStr">
        <is>
          <t>M54.50</t>
        </is>
      </c>
      <c r="I405" t="inlineStr">
        <is>
          <t>PY03</t>
        </is>
      </c>
      <c r="J405" s="29" t="n">
        <v>4142.19</v>
      </c>
      <c r="K405" s="30" t="n"/>
    </row>
    <row r="406">
      <c r="A406" t="inlineStr">
        <is>
          <t>ENC119086</t>
        </is>
      </c>
      <c r="B406" t="inlineStr">
        <is>
          <t>PT10517</t>
        </is>
      </c>
      <c r="C406" t="inlineStr">
        <is>
          <t>Inpatient</t>
        </is>
      </c>
      <c r="D406" s="28" t="n">
        <v>45938</v>
      </c>
      <c r="E406" s="28" t="n">
        <v>45940</v>
      </c>
      <c r="F406" t="inlineStr">
        <is>
          <t>D140</t>
        </is>
      </c>
      <c r="G406" t="inlineStr">
        <is>
          <t>PRV1073</t>
        </is>
      </c>
      <c r="H406" t="inlineStr">
        <is>
          <t>M17.11</t>
        </is>
      </c>
      <c r="I406" t="inlineStr">
        <is>
          <t>PY04</t>
        </is>
      </c>
      <c r="J406" s="29" t="n">
        <v>51588.84</v>
      </c>
      <c r="K406" s="30" t="n"/>
    </row>
    <row r="407">
      <c r="A407" t="inlineStr">
        <is>
          <t>ENC119088</t>
        </is>
      </c>
      <c r="B407" t="inlineStr">
        <is>
          <t>PT12173</t>
        </is>
      </c>
      <c r="C407" t="inlineStr">
        <is>
          <t>Inpatient</t>
        </is>
      </c>
      <c r="D407" s="28" t="n">
        <v>45938</v>
      </c>
      <c r="E407" s="28" t="n">
        <v>45941</v>
      </c>
      <c r="F407" t="inlineStr">
        <is>
          <t>D110</t>
        </is>
      </c>
      <c r="G407" t="inlineStr">
        <is>
          <t>PRV1040</t>
        </is>
      </c>
      <c r="H407" t="inlineStr">
        <is>
          <t>E86.0</t>
        </is>
      </c>
      <c r="I407" t="inlineStr">
        <is>
          <t>PY01</t>
        </is>
      </c>
      <c r="J407" s="29" t="n">
        <v>17514.94</v>
      </c>
      <c r="K407" s="30" t="n"/>
    </row>
    <row r="408">
      <c r="A408" t="inlineStr">
        <is>
          <t>ENC119097</t>
        </is>
      </c>
      <c r="B408" t="inlineStr">
        <is>
          <t>PT13246</t>
        </is>
      </c>
      <c r="C408" t="inlineStr">
        <is>
          <t>Outpatient</t>
        </is>
      </c>
      <c r="D408" s="28" t="n">
        <v>45938</v>
      </c>
      <c r="E408" s="28" t="n">
        <v>45938</v>
      </c>
      <c r="F408" t="inlineStr">
        <is>
          <t>D430</t>
        </is>
      </c>
      <c r="G408" t="inlineStr">
        <is>
          <t>PRV1114</t>
        </is>
      </c>
      <c r="H408" t="inlineStr">
        <is>
          <t>Z51.11</t>
        </is>
      </c>
      <c r="I408" t="inlineStr">
        <is>
          <t>PY07</t>
        </is>
      </c>
      <c r="J408" s="29" t="n">
        <v>6834.43</v>
      </c>
      <c r="K408" s="30" t="n"/>
    </row>
    <row r="409">
      <c r="A409" t="inlineStr">
        <is>
          <t>ENC119103</t>
        </is>
      </c>
      <c r="B409" t="inlineStr">
        <is>
          <t>PT13484</t>
        </is>
      </c>
      <c r="C409" t="inlineStr">
        <is>
          <t>Inpatient</t>
        </is>
      </c>
      <c r="D409" s="28" t="n">
        <v>45938</v>
      </c>
      <c r="E409" s="28" t="n">
        <v>45941</v>
      </c>
      <c r="F409" t="inlineStr">
        <is>
          <t>D111</t>
        </is>
      </c>
      <c r="G409" t="inlineStr">
        <is>
          <t>PRV1030</t>
        </is>
      </c>
      <c r="H409" t="inlineStr">
        <is>
          <t>E11.65</t>
        </is>
      </c>
      <c r="I409" t="inlineStr">
        <is>
          <t>PY02</t>
        </is>
      </c>
      <c r="J409" s="29" t="n">
        <v>12794.3</v>
      </c>
      <c r="K409" s="30" t="n"/>
    </row>
    <row r="410">
      <c r="A410" t="inlineStr">
        <is>
          <t>ENC119119</t>
        </is>
      </c>
      <c r="B410" t="inlineStr">
        <is>
          <t>PT10843</t>
        </is>
      </c>
      <c r="C410" t="inlineStr">
        <is>
          <t>Observation</t>
        </is>
      </c>
      <c r="D410" s="28" t="n">
        <v>45939</v>
      </c>
      <c r="E410" s="28" t="n">
        <v>45940</v>
      </c>
      <c r="F410" t="inlineStr">
        <is>
          <t>D195</t>
        </is>
      </c>
      <c r="G410" t="inlineStr">
        <is>
          <t>PRV1034</t>
        </is>
      </c>
      <c r="H410" t="inlineStr">
        <is>
          <t>J18.9</t>
        </is>
      </c>
      <c r="I410" t="inlineStr">
        <is>
          <t>PY07</t>
        </is>
      </c>
      <c r="J410" s="29" t="n">
        <v>9846.309999999999</v>
      </c>
      <c r="K410" s="30" t="n"/>
    </row>
    <row r="411">
      <c r="A411" t="inlineStr">
        <is>
          <t>ENC119144</t>
        </is>
      </c>
      <c r="B411" t="inlineStr">
        <is>
          <t>PT12480</t>
        </is>
      </c>
      <c r="C411" t="inlineStr">
        <is>
          <t>Outpatient</t>
        </is>
      </c>
      <c r="D411" s="28" t="n">
        <v>45939</v>
      </c>
      <c r="E411" s="28" t="n">
        <v>45939</v>
      </c>
      <c r="F411" t="inlineStr">
        <is>
          <t>D400</t>
        </is>
      </c>
      <c r="G411" t="inlineStr">
        <is>
          <t>PRV1137</t>
        </is>
      </c>
      <c r="H411" t="inlineStr">
        <is>
          <t>J06.9</t>
        </is>
      </c>
      <c r="I411" t="inlineStr">
        <is>
          <t>PY03</t>
        </is>
      </c>
      <c r="J411" s="29" t="n">
        <v>207.61</v>
      </c>
      <c r="K411" s="30" t="n"/>
    </row>
    <row r="412">
      <c r="A412" t="inlineStr">
        <is>
          <t>ENC119164</t>
        </is>
      </c>
      <c r="B412" t="inlineStr">
        <is>
          <t>PT12256</t>
        </is>
      </c>
      <c r="C412" t="inlineStr">
        <is>
          <t>Outpatient</t>
        </is>
      </c>
      <c r="D412" s="28" t="n">
        <v>45940</v>
      </c>
      <c r="E412" s="28" t="n">
        <v>45940</v>
      </c>
      <c r="F412" t="inlineStr">
        <is>
          <t>D400</t>
        </is>
      </c>
      <c r="G412" t="inlineStr">
        <is>
          <t>PRV1137</t>
        </is>
      </c>
      <c r="H412" t="inlineStr">
        <is>
          <t>J45.909</t>
        </is>
      </c>
      <c r="I412" t="inlineStr">
        <is>
          <t>PY05</t>
        </is>
      </c>
      <c r="J412" s="29" t="n">
        <v>231.44</v>
      </c>
      <c r="K412" s="30" t="n"/>
    </row>
    <row r="413">
      <c r="A413" t="inlineStr">
        <is>
          <t>ENC119189</t>
        </is>
      </c>
      <c r="B413" t="inlineStr">
        <is>
          <t>PT10834</t>
        </is>
      </c>
      <c r="C413" t="inlineStr">
        <is>
          <t>Emergency</t>
        </is>
      </c>
      <c r="D413" s="28" t="n">
        <v>45941</v>
      </c>
      <c r="E413" s="28" t="n">
        <v>45941</v>
      </c>
      <c r="F413" t="inlineStr">
        <is>
          <t>D100</t>
        </is>
      </c>
      <c r="G413" t="inlineStr">
        <is>
          <t>PRV1004</t>
        </is>
      </c>
      <c r="H413" t="inlineStr">
        <is>
          <t>R07.9</t>
        </is>
      </c>
      <c r="I413" t="inlineStr">
        <is>
          <t>PY06</t>
        </is>
      </c>
      <c r="J413" s="29" t="n">
        <v>3871.7</v>
      </c>
      <c r="K413" s="30" t="n"/>
    </row>
    <row r="414">
      <c r="A414" t="inlineStr">
        <is>
          <t>ENC119220</t>
        </is>
      </c>
      <c r="B414" t="inlineStr">
        <is>
          <t>PT10424</t>
        </is>
      </c>
      <c r="C414" t="inlineStr">
        <is>
          <t>Outpatient</t>
        </is>
      </c>
      <c r="D414" s="28" t="n">
        <v>45943</v>
      </c>
      <c r="E414" s="28" t="n">
        <v>45943</v>
      </c>
      <c r="F414" t="inlineStr">
        <is>
          <t>D400</t>
        </is>
      </c>
      <c r="G414" t="inlineStr">
        <is>
          <t>PRV1137</t>
        </is>
      </c>
      <c r="H414" t="inlineStr">
        <is>
          <t>M54.50</t>
        </is>
      </c>
      <c r="I414" t="inlineStr">
        <is>
          <t>PY07</t>
        </is>
      </c>
      <c r="J414" s="29" t="n">
        <v>280.92</v>
      </c>
      <c r="K414" s="30" t="n"/>
    </row>
    <row r="415">
      <c r="A415" t="inlineStr">
        <is>
          <t>ENC119266</t>
        </is>
      </c>
      <c r="B415" t="inlineStr">
        <is>
          <t>PT10444</t>
        </is>
      </c>
      <c r="C415" t="inlineStr">
        <is>
          <t>Outpatient</t>
        </is>
      </c>
      <c r="D415" s="28" t="n">
        <v>45944</v>
      </c>
      <c r="E415" s="28" t="n">
        <v>45944</v>
      </c>
      <c r="F415" t="inlineStr">
        <is>
          <t>D400</t>
        </is>
      </c>
      <c r="G415" t="inlineStr">
        <is>
          <t>PRV1137</t>
        </is>
      </c>
      <c r="H415" t="inlineStr">
        <is>
          <t>J06.9</t>
        </is>
      </c>
      <c r="I415" t="inlineStr">
        <is>
          <t>PY01</t>
        </is>
      </c>
      <c r="J415" s="29" t="n">
        <v>353.81</v>
      </c>
      <c r="K415" s="30" t="n"/>
    </row>
    <row r="416">
      <c r="A416" t="inlineStr">
        <is>
          <t>ENC119288</t>
        </is>
      </c>
      <c r="B416" t="inlineStr">
        <is>
          <t>PT11510</t>
        </is>
      </c>
      <c r="C416" t="inlineStr">
        <is>
          <t>Emergency</t>
        </is>
      </c>
      <c r="D416" s="28" t="n">
        <v>45944</v>
      </c>
      <c r="E416" s="28" t="n">
        <v>45945</v>
      </c>
      <c r="F416" t="inlineStr">
        <is>
          <t>D100</t>
        </is>
      </c>
      <c r="G416" t="inlineStr">
        <is>
          <t>PRV1009</t>
        </is>
      </c>
      <c r="H416" t="inlineStr">
        <is>
          <t>R07.9</t>
        </is>
      </c>
      <c r="I416" t="inlineStr">
        <is>
          <t>PY03</t>
        </is>
      </c>
      <c r="J416" s="29" t="n">
        <v>2937.69</v>
      </c>
      <c r="K416" s="30" t="n"/>
    </row>
    <row r="417">
      <c r="A417" t="inlineStr">
        <is>
          <t>ENC119287</t>
        </is>
      </c>
      <c r="B417" t="inlineStr">
        <is>
          <t>PT12070</t>
        </is>
      </c>
      <c r="C417" t="inlineStr">
        <is>
          <t>Inpatient</t>
        </is>
      </c>
      <c r="D417" s="28" t="n">
        <v>45945</v>
      </c>
      <c r="E417" s="28" t="n">
        <v>45947</v>
      </c>
      <c r="F417" t="inlineStr">
        <is>
          <t>D110</t>
        </is>
      </c>
      <c r="G417" t="inlineStr">
        <is>
          <t>PRV1035</t>
        </is>
      </c>
      <c r="H417" t="inlineStr">
        <is>
          <t>K92.2</t>
        </is>
      </c>
      <c r="I417" t="inlineStr">
        <is>
          <t>PY04</t>
        </is>
      </c>
      <c r="J417" s="29" t="n">
        <v>11908.97</v>
      </c>
      <c r="K417" s="30" t="n"/>
    </row>
    <row r="418">
      <c r="A418" t="inlineStr">
        <is>
          <t>ENC119337</t>
        </is>
      </c>
      <c r="B418" t="inlineStr">
        <is>
          <t>PT13832</t>
        </is>
      </c>
      <c r="C418" t="inlineStr">
        <is>
          <t>Inpatient</t>
        </is>
      </c>
      <c r="D418" s="28" t="n">
        <v>45946</v>
      </c>
      <c r="E418" s="28" t="n">
        <v>45955</v>
      </c>
      <c r="F418" t="inlineStr">
        <is>
          <t>D111</t>
        </is>
      </c>
      <c r="G418" t="inlineStr">
        <is>
          <t>PRV1030</t>
        </is>
      </c>
      <c r="H418" t="inlineStr">
        <is>
          <t>N17.9</t>
        </is>
      </c>
      <c r="I418" t="inlineStr">
        <is>
          <t>PY01</t>
        </is>
      </c>
      <c r="J418" s="29" t="n">
        <v>34455.09</v>
      </c>
      <c r="K418" s="30" t="n"/>
    </row>
    <row r="419">
      <c r="A419" t="inlineStr">
        <is>
          <t>ENC119354</t>
        </is>
      </c>
      <c r="B419" t="inlineStr">
        <is>
          <t>PT12374</t>
        </is>
      </c>
      <c r="C419" t="inlineStr">
        <is>
          <t>Emergency</t>
        </is>
      </c>
      <c r="D419" s="28" t="n">
        <v>45947</v>
      </c>
      <c r="E419" s="28" t="n">
        <v>45947</v>
      </c>
      <c r="F419" t="inlineStr">
        <is>
          <t>D100</t>
        </is>
      </c>
      <c r="G419" t="inlineStr">
        <is>
          <t>PRV1004</t>
        </is>
      </c>
      <c r="H419" t="inlineStr">
        <is>
          <t>J18.9</t>
        </is>
      </c>
      <c r="I419" t="inlineStr">
        <is>
          <t>PY05</t>
        </is>
      </c>
      <c r="J419" s="29" t="n">
        <v>3494.09</v>
      </c>
      <c r="K419" s="30" t="n"/>
    </row>
    <row r="420">
      <c r="A420" t="inlineStr">
        <is>
          <t>ENC119358</t>
        </is>
      </c>
      <c r="B420" t="inlineStr">
        <is>
          <t>PT10131</t>
        </is>
      </c>
      <c r="C420" t="inlineStr">
        <is>
          <t>Outpatient</t>
        </is>
      </c>
      <c r="D420" s="28" t="n">
        <v>45947</v>
      </c>
      <c r="E420" s="28" t="n">
        <v>45947</v>
      </c>
      <c r="F420" t="inlineStr">
        <is>
          <t>D440</t>
        </is>
      </c>
      <c r="G420" t="inlineStr">
        <is>
          <t>PRV1142</t>
        </is>
      </c>
      <c r="H420" t="inlineStr">
        <is>
          <t>E11.9</t>
        </is>
      </c>
      <c r="I420" t="inlineStr">
        <is>
          <t>PY05</t>
        </is>
      </c>
      <c r="J420" s="29" t="n">
        <v>288.94</v>
      </c>
      <c r="K420" s="30" t="n"/>
    </row>
    <row r="421">
      <c r="A421" t="inlineStr">
        <is>
          <t>ENC119380</t>
        </is>
      </c>
      <c r="B421" t="inlineStr">
        <is>
          <t>PT10891</t>
        </is>
      </c>
      <c r="C421" t="inlineStr">
        <is>
          <t>Inpatient</t>
        </is>
      </c>
      <c r="D421" s="28" t="n">
        <v>45947</v>
      </c>
      <c r="E421" s="28" t="n">
        <v>45957</v>
      </c>
      <c r="F421" t="inlineStr">
        <is>
          <t>D190</t>
        </is>
      </c>
      <c r="G421" t="inlineStr">
        <is>
          <t>PRV1119</t>
        </is>
      </c>
      <c r="H421" t="inlineStr">
        <is>
          <t>F20.9</t>
        </is>
      </c>
      <c r="I421" t="inlineStr">
        <is>
          <t>PY01</t>
        </is>
      </c>
      <c r="J421" s="29" t="n">
        <v>35744.88</v>
      </c>
      <c r="K421" s="30" t="n"/>
    </row>
    <row r="422">
      <c r="A422" t="inlineStr">
        <is>
          <t>ENC119417</t>
        </is>
      </c>
      <c r="B422" t="inlineStr">
        <is>
          <t>PT12671</t>
        </is>
      </c>
      <c r="C422" t="inlineStr">
        <is>
          <t>Emergency</t>
        </is>
      </c>
      <c r="D422" s="28" t="n">
        <v>45950</v>
      </c>
      <c r="E422" s="28" t="n">
        <v>45950</v>
      </c>
      <c r="F422" t="inlineStr">
        <is>
          <t>D100</t>
        </is>
      </c>
      <c r="G422" t="inlineStr">
        <is>
          <t>PRV1006</t>
        </is>
      </c>
      <c r="H422" t="inlineStr">
        <is>
          <t>J06.9</t>
        </is>
      </c>
      <c r="I422" t="inlineStr">
        <is>
          <t>PY06</t>
        </is>
      </c>
      <c r="J422" s="29" t="n">
        <v>718.23</v>
      </c>
      <c r="K422" s="30" t="n"/>
    </row>
    <row r="423">
      <c r="A423" t="inlineStr">
        <is>
          <t>ENC119457</t>
        </is>
      </c>
      <c r="B423" t="inlineStr">
        <is>
          <t>PT12958</t>
        </is>
      </c>
      <c r="C423" t="inlineStr">
        <is>
          <t>Outpatient</t>
        </is>
      </c>
      <c r="D423" s="28" t="n">
        <v>45951</v>
      </c>
      <c r="E423" s="28" t="n">
        <v>45951</v>
      </c>
      <c r="F423" t="inlineStr">
        <is>
          <t>D410</t>
        </is>
      </c>
      <c r="G423" t="inlineStr">
        <is>
          <t>PRV1062</t>
        </is>
      </c>
      <c r="H423" t="inlineStr">
        <is>
          <t>I48.91</t>
        </is>
      </c>
      <c r="I423" t="inlineStr">
        <is>
          <t>PY02</t>
        </is>
      </c>
      <c r="J423" s="29" t="n">
        <v>198.83</v>
      </c>
      <c r="K423" s="30" t="n"/>
    </row>
    <row r="424">
      <c r="A424" t="inlineStr">
        <is>
          <t>ENC119496</t>
        </is>
      </c>
      <c r="B424" t="inlineStr">
        <is>
          <t>PT12889</t>
        </is>
      </c>
      <c r="C424" t="inlineStr">
        <is>
          <t>Outpatient</t>
        </is>
      </c>
      <c r="D424" s="28" t="n">
        <v>45952</v>
      </c>
      <c r="E424" s="28" t="n">
        <v>45952</v>
      </c>
      <c r="F424" t="inlineStr">
        <is>
          <t>D400</t>
        </is>
      </c>
      <c r="G424" t="inlineStr">
        <is>
          <t>PRV1137</t>
        </is>
      </c>
      <c r="H424" t="inlineStr">
        <is>
          <t>G43.909</t>
        </is>
      </c>
      <c r="I424" t="inlineStr">
        <is>
          <t>PY01</t>
        </is>
      </c>
      <c r="J424" s="29" t="n">
        <v>321.07</v>
      </c>
      <c r="K424" s="30" t="n"/>
    </row>
    <row r="425">
      <c r="A425" t="inlineStr">
        <is>
          <t>ENC119515</t>
        </is>
      </c>
      <c r="B425" t="inlineStr">
        <is>
          <t>PT10834</t>
        </is>
      </c>
      <c r="C425" t="inlineStr">
        <is>
          <t>Emergency</t>
        </is>
      </c>
      <c r="D425" s="28" t="n">
        <v>45952</v>
      </c>
      <c r="E425" s="28" t="n">
        <v>45953</v>
      </c>
      <c r="F425" t="inlineStr">
        <is>
          <t>D100</t>
        </is>
      </c>
      <c r="G425" t="inlineStr">
        <is>
          <t>PRV1011</t>
        </is>
      </c>
      <c r="H425" t="inlineStr">
        <is>
          <t>J18.9</t>
        </is>
      </c>
      <c r="I425" t="inlineStr">
        <is>
          <t>PY06</t>
        </is>
      </c>
      <c r="J425" s="29" t="n">
        <v>3426.69</v>
      </c>
      <c r="K425" s="30" t="n"/>
    </row>
    <row r="426">
      <c r="A426" t="inlineStr">
        <is>
          <t>ENC119517</t>
        </is>
      </c>
      <c r="B426" t="inlineStr">
        <is>
          <t>PT11265</t>
        </is>
      </c>
      <c r="C426" t="inlineStr">
        <is>
          <t>Emergency</t>
        </is>
      </c>
      <c r="D426" s="28" t="n">
        <v>45953</v>
      </c>
      <c r="E426" s="28" t="n">
        <v>45953</v>
      </c>
      <c r="F426" t="inlineStr">
        <is>
          <t>D300</t>
        </is>
      </c>
      <c r="G426" t="inlineStr">
        <is>
          <t>PRV1024</t>
        </is>
      </c>
      <c r="H426" t="inlineStr">
        <is>
          <t>R07.9</t>
        </is>
      </c>
      <c r="I426" t="inlineStr">
        <is>
          <t>PY06</t>
        </is>
      </c>
      <c r="J426" s="29" t="n">
        <v>3491.35</v>
      </c>
      <c r="K426" s="30" t="n"/>
    </row>
    <row r="427">
      <c r="A427" t="inlineStr">
        <is>
          <t>ENC119539</t>
        </is>
      </c>
      <c r="B427" t="inlineStr">
        <is>
          <t>PT13629</t>
        </is>
      </c>
      <c r="C427" t="inlineStr">
        <is>
          <t>Inpatient</t>
        </is>
      </c>
      <c r="D427" s="28" t="n">
        <v>45953</v>
      </c>
      <c r="E427" s="28" t="n">
        <v>45955</v>
      </c>
      <c r="F427" t="inlineStr">
        <is>
          <t>D110</t>
        </is>
      </c>
      <c r="G427" t="inlineStr">
        <is>
          <t>PRV1034</t>
        </is>
      </c>
      <c r="H427" t="inlineStr">
        <is>
          <t>E86.0</t>
        </is>
      </c>
      <c r="I427" t="inlineStr">
        <is>
          <t>PY05</t>
        </is>
      </c>
      <c r="J427" s="29" t="n">
        <v>10890.91</v>
      </c>
      <c r="K427" s="30" t="n"/>
    </row>
    <row r="428">
      <c r="A428" t="inlineStr">
        <is>
          <t>ENC119563</t>
        </is>
      </c>
      <c r="B428" t="inlineStr">
        <is>
          <t>PT11442</t>
        </is>
      </c>
      <c r="C428" t="inlineStr">
        <is>
          <t>Outpatient</t>
        </is>
      </c>
      <c r="D428" s="28" t="n">
        <v>45954</v>
      </c>
      <c r="E428" s="28" t="n">
        <v>45954</v>
      </c>
      <c r="F428" t="inlineStr">
        <is>
          <t>D400</t>
        </is>
      </c>
      <c r="G428" t="inlineStr">
        <is>
          <t>PRV1134</t>
        </is>
      </c>
      <c r="H428" t="inlineStr">
        <is>
          <t>A08.4</t>
        </is>
      </c>
      <c r="I428" t="inlineStr">
        <is>
          <t>PY04</t>
        </is>
      </c>
      <c r="J428" s="29" t="n">
        <v>217.06</v>
      </c>
      <c r="K428" s="30" t="n"/>
    </row>
    <row r="429">
      <c r="A429" t="inlineStr">
        <is>
          <t>ENC119625</t>
        </is>
      </c>
      <c r="B429" t="inlineStr">
        <is>
          <t>PT11187</t>
        </is>
      </c>
      <c r="C429" t="inlineStr">
        <is>
          <t>Emergency</t>
        </is>
      </c>
      <c r="D429" s="28" t="n">
        <v>45957</v>
      </c>
      <c r="E429" s="28" t="n">
        <v>45957</v>
      </c>
      <c r="F429" t="inlineStr">
        <is>
          <t>D100</t>
        </is>
      </c>
      <c r="G429" t="inlineStr">
        <is>
          <t>PRV1004</t>
        </is>
      </c>
      <c r="H429" t="inlineStr">
        <is>
          <t>R10.9</t>
        </is>
      </c>
      <c r="I429" t="inlineStr">
        <is>
          <t>PY03</t>
        </is>
      </c>
      <c r="J429" s="29" t="n">
        <v>6325.16</v>
      </c>
      <c r="K429" s="30" t="n"/>
    </row>
    <row r="430">
      <c r="A430" t="inlineStr">
        <is>
          <t>ENC119628</t>
        </is>
      </c>
      <c r="B430" t="inlineStr">
        <is>
          <t>PT13481</t>
        </is>
      </c>
      <c r="C430" t="inlineStr">
        <is>
          <t>Inpatient</t>
        </is>
      </c>
      <c r="D430" s="28" t="n">
        <v>45957</v>
      </c>
      <c r="E430" s="28" t="n">
        <v>45964</v>
      </c>
      <c r="F430" t="inlineStr">
        <is>
          <t>D111</t>
        </is>
      </c>
      <c r="G430" t="inlineStr">
        <is>
          <t>PRV1037</t>
        </is>
      </c>
      <c r="H430" t="inlineStr">
        <is>
          <t>A41.9</t>
        </is>
      </c>
      <c r="I430" t="inlineStr">
        <is>
          <t>PY03</t>
        </is>
      </c>
      <c r="J430" s="29" t="n">
        <v>80936.42</v>
      </c>
      <c r="K430" s="30" t="n"/>
    </row>
    <row r="431">
      <c r="A431" t="inlineStr">
        <is>
          <t>ENC119638</t>
        </is>
      </c>
      <c r="B431" t="inlineStr">
        <is>
          <t>PT11399</t>
        </is>
      </c>
      <c r="C431" t="inlineStr">
        <is>
          <t>Outpatient</t>
        </is>
      </c>
      <c r="D431" s="28" t="n">
        <v>45957</v>
      </c>
      <c r="E431" s="28" t="n">
        <v>45957</v>
      </c>
      <c r="F431" t="inlineStr">
        <is>
          <t>D430</t>
        </is>
      </c>
      <c r="G431" t="inlineStr">
        <is>
          <t>PRV1114</t>
        </is>
      </c>
      <c r="H431" t="inlineStr">
        <is>
          <t>C34.90</t>
        </is>
      </c>
      <c r="I431" t="inlineStr">
        <is>
          <t>PY01</t>
        </is>
      </c>
      <c r="J431" s="29" t="n">
        <v>1125.5</v>
      </c>
      <c r="K431" s="30" t="n"/>
    </row>
    <row r="432">
      <c r="A432" t="inlineStr">
        <is>
          <t>ENC119639</t>
        </is>
      </c>
      <c r="B432" t="inlineStr">
        <is>
          <t>PT13163</t>
        </is>
      </c>
      <c r="C432" t="inlineStr">
        <is>
          <t>Outpatient</t>
        </is>
      </c>
      <c r="D432" s="28" t="n">
        <v>45957</v>
      </c>
      <c r="E432" s="28" t="n">
        <v>45957</v>
      </c>
      <c r="F432" t="inlineStr">
        <is>
          <t>D420</t>
        </is>
      </c>
      <c r="G432" t="inlineStr">
        <is>
          <t>PRV1081</t>
        </is>
      </c>
      <c r="H432" t="inlineStr">
        <is>
          <t>M16.11</t>
        </is>
      </c>
      <c r="I432" t="inlineStr">
        <is>
          <t>PY07</t>
        </is>
      </c>
      <c r="J432" s="29" t="n">
        <v>345.34</v>
      </c>
      <c r="K432" s="30" t="n"/>
    </row>
    <row r="433">
      <c r="A433" t="inlineStr">
        <is>
          <t>ENC119664</t>
        </is>
      </c>
      <c r="B433" t="inlineStr">
        <is>
          <t>PT12070</t>
        </is>
      </c>
      <c r="C433" t="inlineStr">
        <is>
          <t>Outpatient</t>
        </is>
      </c>
      <c r="D433" s="28" t="n">
        <v>45958</v>
      </c>
      <c r="E433" s="28" t="n">
        <v>45958</v>
      </c>
      <c r="F433" t="inlineStr">
        <is>
          <t>D400</t>
        </is>
      </c>
      <c r="G433" t="inlineStr">
        <is>
          <t>PRV1137</t>
        </is>
      </c>
      <c r="H433" t="inlineStr">
        <is>
          <t>I10</t>
        </is>
      </c>
      <c r="I433" t="inlineStr">
        <is>
          <t>PY04</t>
        </is>
      </c>
      <c r="J433" s="29" t="n">
        <v>216.18</v>
      </c>
      <c r="K433" s="30" t="n"/>
    </row>
    <row r="434">
      <c r="A434" t="inlineStr">
        <is>
          <t>ENC119670</t>
        </is>
      </c>
      <c r="B434" t="inlineStr">
        <is>
          <t>PT13746</t>
        </is>
      </c>
      <c r="C434" t="inlineStr">
        <is>
          <t>Outpatient</t>
        </is>
      </c>
      <c r="D434" s="28" t="n">
        <v>45958</v>
      </c>
      <c r="E434" s="28" t="n">
        <v>45958</v>
      </c>
      <c r="F434" t="inlineStr">
        <is>
          <t>D400</t>
        </is>
      </c>
      <c r="G434" t="inlineStr">
        <is>
          <t>PRV1137</t>
        </is>
      </c>
      <c r="H434" t="inlineStr">
        <is>
          <t>N39.0</t>
        </is>
      </c>
      <c r="I434" t="inlineStr">
        <is>
          <t>PY01</t>
        </is>
      </c>
      <c r="J434" s="29" t="n">
        <v>188.52</v>
      </c>
      <c r="K434" s="30" t="n"/>
    </row>
    <row r="435">
      <c r="A435" t="inlineStr">
        <is>
          <t>ENC119707</t>
        </is>
      </c>
      <c r="B435" t="inlineStr">
        <is>
          <t>PT13616</t>
        </is>
      </c>
      <c r="C435" t="inlineStr">
        <is>
          <t>Outpatient</t>
        </is>
      </c>
      <c r="D435" s="28" t="n">
        <v>45959</v>
      </c>
      <c r="E435" s="28" t="n">
        <v>45959</v>
      </c>
      <c r="F435" t="inlineStr">
        <is>
          <t>D400</t>
        </is>
      </c>
      <c r="G435" t="inlineStr">
        <is>
          <t>PRV1137</t>
        </is>
      </c>
      <c r="H435" t="inlineStr">
        <is>
          <t>Z00.00</t>
        </is>
      </c>
      <c r="I435" t="inlineStr">
        <is>
          <t>PY03</t>
        </is>
      </c>
      <c r="J435" s="29" t="n">
        <v>354.81</v>
      </c>
      <c r="K435" s="30" t="n"/>
    </row>
    <row r="436">
      <c r="A436" t="inlineStr">
        <is>
          <t>ENC119716</t>
        </is>
      </c>
      <c r="B436" t="inlineStr">
        <is>
          <t>PT12366</t>
        </is>
      </c>
      <c r="C436" t="inlineStr">
        <is>
          <t>Observation</t>
        </is>
      </c>
      <c r="D436" s="28" t="n">
        <v>45959</v>
      </c>
      <c r="E436" s="28" t="n">
        <v>45961</v>
      </c>
      <c r="F436" t="inlineStr">
        <is>
          <t>D195</t>
        </is>
      </c>
      <c r="G436" t="inlineStr">
        <is>
          <t>PRV1032</t>
        </is>
      </c>
      <c r="H436" t="inlineStr">
        <is>
          <t>J18.9</t>
        </is>
      </c>
      <c r="I436" t="inlineStr">
        <is>
          <t>PY06</t>
        </is>
      </c>
      <c r="J436" s="29" t="n">
        <v>8106.88</v>
      </c>
      <c r="K436" s="30" t="n"/>
    </row>
    <row r="437">
      <c r="A437" t="inlineStr">
        <is>
          <t>ENC119720</t>
        </is>
      </c>
      <c r="B437" t="inlineStr">
        <is>
          <t>PT12139</t>
        </is>
      </c>
      <c r="C437" t="inlineStr">
        <is>
          <t>Inpatient</t>
        </is>
      </c>
      <c r="D437" s="28" t="n">
        <v>45959</v>
      </c>
      <c r="E437" s="28" t="n">
        <v>45962</v>
      </c>
      <c r="F437" t="inlineStr">
        <is>
          <t>D310</t>
        </is>
      </c>
      <c r="G437" t="inlineStr">
        <is>
          <t>PRV1049</t>
        </is>
      </c>
      <c r="H437" t="inlineStr">
        <is>
          <t>J18.9</t>
        </is>
      </c>
      <c r="I437" t="inlineStr">
        <is>
          <t>PY03</t>
        </is>
      </c>
      <c r="J437" s="29" t="n">
        <v>10105.65</v>
      </c>
      <c r="K437" s="30" t="n"/>
    </row>
    <row r="438">
      <c r="A438" t="inlineStr">
        <is>
          <t>ENC119737</t>
        </is>
      </c>
      <c r="B438" t="inlineStr">
        <is>
          <t>PT12702</t>
        </is>
      </c>
      <c r="C438" t="inlineStr">
        <is>
          <t>Outpatient</t>
        </is>
      </c>
      <c r="D438" s="28" t="n">
        <v>45960</v>
      </c>
      <c r="E438" s="28" t="n">
        <v>45960</v>
      </c>
      <c r="F438" t="inlineStr">
        <is>
          <t>D400</t>
        </is>
      </c>
      <c r="G438" t="inlineStr">
        <is>
          <t>PRV1140</t>
        </is>
      </c>
      <c r="H438" t="inlineStr">
        <is>
          <t>Z00.00</t>
        </is>
      </c>
      <c r="I438" t="inlineStr">
        <is>
          <t>PY06</t>
        </is>
      </c>
      <c r="J438" s="29" t="n">
        <v>430.51</v>
      </c>
      <c r="K438" s="30" t="n"/>
    </row>
    <row r="439">
      <c r="A439" t="inlineStr">
        <is>
          <t>ENC119729</t>
        </is>
      </c>
      <c r="B439" t="inlineStr">
        <is>
          <t>PT13616</t>
        </is>
      </c>
      <c r="C439" t="inlineStr">
        <is>
          <t>Inpatient</t>
        </is>
      </c>
      <c r="D439" s="28" t="n">
        <v>45960</v>
      </c>
      <c r="E439" s="28" t="n">
        <v>45963</v>
      </c>
      <c r="F439" t="inlineStr">
        <is>
          <t>D111</t>
        </is>
      </c>
      <c r="G439" t="inlineStr">
        <is>
          <t>PRV1040</t>
        </is>
      </c>
      <c r="H439" t="inlineStr">
        <is>
          <t>F10.239</t>
        </is>
      </c>
      <c r="I439" t="inlineStr">
        <is>
          <t>PY03</t>
        </is>
      </c>
      <c r="J439" s="29" t="n">
        <v>16541.44</v>
      </c>
      <c r="K439" s="30" t="n"/>
    </row>
    <row r="440">
      <c r="A440" t="inlineStr">
        <is>
          <t>ENC119799</t>
        </is>
      </c>
      <c r="B440" t="inlineStr">
        <is>
          <t>PT11701</t>
        </is>
      </c>
      <c r="C440" t="inlineStr">
        <is>
          <t>Emergency</t>
        </is>
      </c>
      <c r="D440" s="28" t="n">
        <v>45961</v>
      </c>
      <c r="E440" s="28" t="n">
        <v>45961</v>
      </c>
      <c r="F440" t="inlineStr">
        <is>
          <t>D100</t>
        </is>
      </c>
      <c r="G440" t="inlineStr">
        <is>
          <t>PRV1005</t>
        </is>
      </c>
      <c r="H440" t="inlineStr">
        <is>
          <t>J45.909</t>
        </is>
      </c>
      <c r="I440" t="inlineStr">
        <is>
          <t>PY01</t>
        </is>
      </c>
      <c r="J440" s="29" t="n">
        <v>2913.35</v>
      </c>
      <c r="K440" s="30" t="n"/>
    </row>
    <row r="441">
      <c r="A441" t="inlineStr">
        <is>
          <t>ENC119809</t>
        </is>
      </c>
      <c r="B441" t="inlineStr">
        <is>
          <t>PT10517</t>
        </is>
      </c>
      <c r="C441" t="inlineStr">
        <is>
          <t>Inpatient</t>
        </is>
      </c>
      <c r="D441" s="28" t="n">
        <v>45962</v>
      </c>
      <c r="E441" s="28" t="n">
        <v>45963</v>
      </c>
      <c r="F441" t="inlineStr">
        <is>
          <t>D110</t>
        </is>
      </c>
      <c r="G441" t="inlineStr">
        <is>
          <t>PRV1036</t>
        </is>
      </c>
      <c r="H441" t="inlineStr">
        <is>
          <t>N17.9</t>
        </is>
      </c>
      <c r="I441" t="inlineStr">
        <is>
          <t>PY04</t>
        </is>
      </c>
      <c r="J441" s="29" t="n">
        <v>7066.93</v>
      </c>
      <c r="K441" s="30" t="n"/>
    </row>
    <row r="442">
      <c r="A442" t="inlineStr">
        <is>
          <t>ENC119816</t>
        </is>
      </c>
      <c r="B442" t="inlineStr">
        <is>
          <t>PT12173</t>
        </is>
      </c>
      <c r="C442" t="inlineStr">
        <is>
          <t>Emergency</t>
        </is>
      </c>
      <c r="D442" s="28" t="n">
        <v>45962</v>
      </c>
      <c r="E442" s="28" t="n">
        <v>45962</v>
      </c>
      <c r="F442" t="inlineStr">
        <is>
          <t>D100</t>
        </is>
      </c>
      <c r="G442" t="inlineStr">
        <is>
          <t>PRV1008</t>
        </is>
      </c>
      <c r="H442" t="inlineStr">
        <is>
          <t>E86.0</t>
        </is>
      </c>
      <c r="I442" t="inlineStr">
        <is>
          <t>PY01</t>
        </is>
      </c>
      <c r="J442" s="29" t="n">
        <v>1900.4</v>
      </c>
      <c r="K442" s="30" t="n"/>
    </row>
    <row r="443">
      <c r="A443" t="inlineStr">
        <is>
          <t>ENC119820</t>
        </is>
      </c>
      <c r="B443" t="inlineStr">
        <is>
          <t>PT11231</t>
        </is>
      </c>
      <c r="C443" t="inlineStr">
        <is>
          <t>Emergency</t>
        </is>
      </c>
      <c r="D443" s="28" t="n">
        <v>45963</v>
      </c>
      <c r="E443" s="28" t="n">
        <v>45963</v>
      </c>
      <c r="F443" t="inlineStr">
        <is>
          <t>D300</t>
        </is>
      </c>
      <c r="G443" t="inlineStr">
        <is>
          <t>PRV1021</t>
        </is>
      </c>
      <c r="H443" t="inlineStr">
        <is>
          <t>S93.401A</t>
        </is>
      </c>
      <c r="I443" t="inlineStr">
        <is>
          <t>PY04</t>
        </is>
      </c>
      <c r="J443" s="29" t="n">
        <v>940.8099999999999</v>
      </c>
      <c r="K443" s="30" t="n"/>
    </row>
    <row r="444">
      <c r="A444" t="inlineStr">
        <is>
          <t>ENC119832</t>
        </is>
      </c>
      <c r="B444" t="inlineStr">
        <is>
          <t>PT11350</t>
        </is>
      </c>
      <c r="C444" t="inlineStr">
        <is>
          <t>Emergency</t>
        </is>
      </c>
      <c r="D444" s="28" t="n">
        <v>45964</v>
      </c>
      <c r="E444" s="28" t="n">
        <v>45964</v>
      </c>
      <c r="F444" t="inlineStr">
        <is>
          <t>D100</t>
        </is>
      </c>
      <c r="G444" t="inlineStr">
        <is>
          <t>PRV1009</t>
        </is>
      </c>
      <c r="H444" t="inlineStr">
        <is>
          <t>I48.91</t>
        </is>
      </c>
      <c r="I444" t="inlineStr">
        <is>
          <t>PY03</t>
        </is>
      </c>
      <c r="J444" s="29" t="n">
        <v>6315.51</v>
      </c>
      <c r="K444" s="30" t="n"/>
    </row>
    <row r="445">
      <c r="A445" t="inlineStr">
        <is>
          <t>ENC119868</t>
        </is>
      </c>
      <c r="B445" t="inlineStr">
        <is>
          <t>PT12735</t>
        </is>
      </c>
      <c r="C445" t="inlineStr">
        <is>
          <t>Observation</t>
        </is>
      </c>
      <c r="D445" s="28" t="n">
        <v>45964</v>
      </c>
      <c r="E445" s="28" t="n">
        <v>45965</v>
      </c>
      <c r="F445" t="inlineStr">
        <is>
          <t>D310</t>
        </is>
      </c>
      <c r="G445" t="inlineStr">
        <is>
          <t>PRV1049</t>
        </is>
      </c>
      <c r="H445" t="inlineStr">
        <is>
          <t>J44.1</t>
        </is>
      </c>
      <c r="I445" t="inlineStr">
        <is>
          <t>PY03</t>
        </is>
      </c>
      <c r="J445" s="29" t="n">
        <v>5203.02</v>
      </c>
      <c r="K445" s="30" t="n"/>
    </row>
    <row r="446">
      <c r="A446" t="inlineStr">
        <is>
          <t>ENC119887</t>
        </is>
      </c>
      <c r="B446" t="inlineStr">
        <is>
          <t>PT11844</t>
        </is>
      </c>
      <c r="C446" t="inlineStr">
        <is>
          <t>Outpatient</t>
        </is>
      </c>
      <c r="D446" s="28" t="n">
        <v>45965</v>
      </c>
      <c r="E446" s="28" t="n">
        <v>45965</v>
      </c>
      <c r="F446" t="inlineStr">
        <is>
          <t>D400</t>
        </is>
      </c>
      <c r="G446" t="inlineStr">
        <is>
          <t>PRV1137</t>
        </is>
      </c>
      <c r="H446" t="inlineStr">
        <is>
          <t>I10</t>
        </is>
      </c>
      <c r="I446" t="inlineStr">
        <is>
          <t>PY03</t>
        </is>
      </c>
      <c r="J446" s="29" t="n">
        <v>276.06</v>
      </c>
      <c r="K446" s="30" t="n"/>
    </row>
    <row r="447">
      <c r="A447" t="inlineStr">
        <is>
          <t>ENC119888</t>
        </is>
      </c>
      <c r="B447" t="inlineStr">
        <is>
          <t>PT11266</t>
        </is>
      </c>
      <c r="C447" t="inlineStr">
        <is>
          <t>Outpatient</t>
        </is>
      </c>
      <c r="D447" s="28" t="n">
        <v>45965</v>
      </c>
      <c r="E447" s="28" t="n">
        <v>45965</v>
      </c>
      <c r="F447" t="inlineStr">
        <is>
          <t>D400</t>
        </is>
      </c>
      <c r="G447" t="inlineStr">
        <is>
          <t>PRV1137</t>
        </is>
      </c>
      <c r="H447" t="inlineStr">
        <is>
          <t>I10</t>
        </is>
      </c>
      <c r="I447" t="inlineStr">
        <is>
          <t>PY03</t>
        </is>
      </c>
      <c r="J447" s="29" t="n">
        <v>299.8</v>
      </c>
      <c r="K447" s="30" t="n"/>
    </row>
    <row r="448">
      <c r="A448" t="inlineStr">
        <is>
          <t>ENC119890</t>
        </is>
      </c>
      <c r="B448" t="inlineStr">
        <is>
          <t>PT10808</t>
        </is>
      </c>
      <c r="C448" t="inlineStr">
        <is>
          <t>Emergency</t>
        </is>
      </c>
      <c r="D448" s="28" t="n">
        <v>45965</v>
      </c>
      <c r="E448" s="28" t="n">
        <v>45965</v>
      </c>
      <c r="F448" t="inlineStr">
        <is>
          <t>D200</t>
        </is>
      </c>
      <c r="G448" t="inlineStr">
        <is>
          <t>PRV1018</t>
        </is>
      </c>
      <c r="H448" t="inlineStr">
        <is>
          <t>R55</t>
        </is>
      </c>
      <c r="I448" t="inlineStr">
        <is>
          <t>PY01</t>
        </is>
      </c>
      <c r="J448" s="29" t="n">
        <v>3992.48</v>
      </c>
      <c r="K448" s="30" t="n"/>
    </row>
    <row r="449">
      <c r="A449" t="inlineStr">
        <is>
          <t>ENC119935</t>
        </is>
      </c>
      <c r="B449" t="inlineStr">
        <is>
          <t>PT12199</t>
        </is>
      </c>
      <c r="C449" t="inlineStr">
        <is>
          <t>Inpatient</t>
        </is>
      </c>
      <c r="D449" s="28" t="n">
        <v>45966</v>
      </c>
      <c r="E449" s="28" t="n">
        <v>45969</v>
      </c>
      <c r="F449" t="inlineStr">
        <is>
          <t>D111</t>
        </is>
      </c>
      <c r="G449" t="inlineStr">
        <is>
          <t>PRV1035</t>
        </is>
      </c>
      <c r="H449" t="inlineStr">
        <is>
          <t>J44.1</t>
        </is>
      </c>
      <c r="I449" t="inlineStr">
        <is>
          <t>PY03</t>
        </is>
      </c>
      <c r="J449" s="29" t="n">
        <v>18401.93</v>
      </c>
      <c r="K449" s="30" t="n"/>
    </row>
    <row r="450">
      <c r="A450" t="inlineStr">
        <is>
          <t>ENC120015</t>
        </is>
      </c>
      <c r="B450" t="inlineStr">
        <is>
          <t>PT13770</t>
        </is>
      </c>
      <c r="C450" t="inlineStr">
        <is>
          <t>Inpatient</t>
        </is>
      </c>
      <c r="D450" s="28" t="n">
        <v>45969</v>
      </c>
      <c r="E450" s="28" t="n">
        <v>45971</v>
      </c>
      <c r="F450" t="inlineStr">
        <is>
          <t>D110</t>
        </is>
      </c>
      <c r="G450" t="inlineStr">
        <is>
          <t>PRV1036</t>
        </is>
      </c>
      <c r="H450" t="inlineStr">
        <is>
          <t>K92.2</t>
        </is>
      </c>
      <c r="I450" t="inlineStr">
        <is>
          <t>PY03</t>
        </is>
      </c>
      <c r="J450" s="29" t="n">
        <v>8966.530000000001</v>
      </c>
      <c r="K450" s="30" t="n"/>
    </row>
    <row r="451">
      <c r="A451" t="inlineStr">
        <is>
          <t>ENC120025</t>
        </is>
      </c>
      <c r="B451" t="inlineStr">
        <is>
          <t>PT10463</t>
        </is>
      </c>
      <c r="C451" t="inlineStr">
        <is>
          <t>Emergency</t>
        </is>
      </c>
      <c r="D451" s="28" t="n">
        <v>45969</v>
      </c>
      <c r="E451" s="28" t="n">
        <v>45969</v>
      </c>
      <c r="F451" t="inlineStr">
        <is>
          <t>D100</t>
        </is>
      </c>
      <c r="G451" t="inlineStr">
        <is>
          <t>PRV1002</t>
        </is>
      </c>
      <c r="H451" t="inlineStr">
        <is>
          <t>F32.9</t>
        </is>
      </c>
      <c r="I451" t="inlineStr">
        <is>
          <t>PY02</t>
        </is>
      </c>
      <c r="J451" s="29" t="n">
        <v>6592.55</v>
      </c>
      <c r="K451" s="30" t="n"/>
    </row>
    <row r="452">
      <c r="A452" t="inlineStr">
        <is>
          <t>ENC120028</t>
        </is>
      </c>
      <c r="B452" t="inlineStr">
        <is>
          <t>PT10517</t>
        </is>
      </c>
      <c r="C452" t="inlineStr">
        <is>
          <t>Inpatient</t>
        </is>
      </c>
      <c r="D452" s="28" t="n">
        <v>45969</v>
      </c>
      <c r="E452" s="28" t="n">
        <v>45973</v>
      </c>
      <c r="F452" t="inlineStr">
        <is>
          <t>D111</t>
        </is>
      </c>
      <c r="G452" t="inlineStr">
        <is>
          <t>PRV1041</t>
        </is>
      </c>
      <c r="H452" t="inlineStr">
        <is>
          <t>E86.0</t>
        </is>
      </c>
      <c r="I452" t="inlineStr">
        <is>
          <t>PY04</t>
        </is>
      </c>
      <c r="J452" s="29" t="n">
        <v>17604.41</v>
      </c>
      <c r="K452" s="30" t="n"/>
    </row>
    <row r="453">
      <c r="A453" t="inlineStr">
        <is>
          <t>ENC120034</t>
        </is>
      </c>
      <c r="B453" t="inlineStr">
        <is>
          <t>PT10891</t>
        </is>
      </c>
      <c r="C453" t="inlineStr">
        <is>
          <t>Inpatient</t>
        </is>
      </c>
      <c r="D453" s="28" t="n">
        <v>45970</v>
      </c>
      <c r="E453" s="28" t="n">
        <v>45972</v>
      </c>
      <c r="F453" t="inlineStr">
        <is>
          <t>D310</t>
        </is>
      </c>
      <c r="G453" t="inlineStr">
        <is>
          <t>PRV1052</t>
        </is>
      </c>
      <c r="H453" t="inlineStr">
        <is>
          <t>A41.9</t>
        </is>
      </c>
      <c r="I453" t="inlineStr">
        <is>
          <t>PY01</t>
        </is>
      </c>
      <c r="J453" s="29" t="n">
        <v>27643.14</v>
      </c>
      <c r="K453" s="30" t="n"/>
    </row>
    <row r="454">
      <c r="A454" t="inlineStr">
        <is>
          <t>ENC120093</t>
        </is>
      </c>
      <c r="B454" t="inlineStr">
        <is>
          <t>PT11399</t>
        </is>
      </c>
      <c r="C454" t="inlineStr">
        <is>
          <t>Emergency</t>
        </is>
      </c>
      <c r="D454" s="28" t="n">
        <v>45971</v>
      </c>
      <c r="E454" s="28" t="n">
        <v>45971</v>
      </c>
      <c r="F454" t="inlineStr">
        <is>
          <t>D100</t>
        </is>
      </c>
      <c r="G454" t="inlineStr">
        <is>
          <t>PRV1005</t>
        </is>
      </c>
      <c r="H454" t="inlineStr">
        <is>
          <t>L03.115</t>
        </is>
      </c>
      <c r="I454" t="inlineStr">
        <is>
          <t>PY01</t>
        </is>
      </c>
      <c r="J454" s="29" t="n">
        <v>2721.2</v>
      </c>
      <c r="K454" s="30" t="n"/>
    </row>
    <row r="455">
      <c r="A455" t="inlineStr">
        <is>
          <t>ENC120103</t>
        </is>
      </c>
      <c r="B455" t="inlineStr">
        <is>
          <t>PT10444</t>
        </is>
      </c>
      <c r="C455" t="inlineStr">
        <is>
          <t>Inpatient</t>
        </is>
      </c>
      <c r="D455" s="28" t="n">
        <v>45972</v>
      </c>
      <c r="E455" s="28" t="n">
        <v>45973</v>
      </c>
      <c r="F455" t="inlineStr">
        <is>
          <t>D140</t>
        </is>
      </c>
      <c r="G455" t="inlineStr">
        <is>
          <t>PRV1073</t>
        </is>
      </c>
      <c r="H455" t="inlineStr">
        <is>
          <t>M16.11</t>
        </is>
      </c>
      <c r="I455" t="inlineStr">
        <is>
          <t>PY01</t>
        </is>
      </c>
      <c r="J455" s="29" t="n">
        <v>49661.81</v>
      </c>
      <c r="K455" s="30" t="n"/>
    </row>
    <row r="456">
      <c r="A456" t="inlineStr">
        <is>
          <t>ENC120125</t>
        </is>
      </c>
      <c r="B456" t="inlineStr">
        <is>
          <t>PT10528</t>
        </is>
      </c>
      <c r="C456" t="inlineStr">
        <is>
          <t>Outpatient</t>
        </is>
      </c>
      <c r="D456" s="28" t="n">
        <v>45972</v>
      </c>
      <c r="E456" s="28" t="n">
        <v>45972</v>
      </c>
      <c r="F456" t="inlineStr">
        <is>
          <t>D400</t>
        </is>
      </c>
      <c r="G456" t="inlineStr">
        <is>
          <t>PRV1127</t>
        </is>
      </c>
      <c r="H456" t="inlineStr">
        <is>
          <t>J06.9</t>
        </is>
      </c>
      <c r="I456" t="inlineStr">
        <is>
          <t>PY01</t>
        </is>
      </c>
      <c r="J456" s="29" t="n">
        <v>313.42</v>
      </c>
      <c r="K456" s="30" t="n"/>
    </row>
    <row r="457">
      <c r="A457" t="inlineStr">
        <is>
          <t>ENC120157</t>
        </is>
      </c>
      <c r="B457" t="inlineStr">
        <is>
          <t>PT11561</t>
        </is>
      </c>
      <c r="C457" t="inlineStr">
        <is>
          <t>Emergency</t>
        </is>
      </c>
      <c r="D457" s="28" t="n">
        <v>45973</v>
      </c>
      <c r="E457" s="28" t="n">
        <v>45973</v>
      </c>
      <c r="F457" t="inlineStr">
        <is>
          <t>D100</t>
        </is>
      </c>
      <c r="G457" t="inlineStr">
        <is>
          <t>PRV1004</t>
        </is>
      </c>
      <c r="H457" t="inlineStr">
        <is>
          <t>M54.50</t>
        </is>
      </c>
      <c r="I457" t="inlineStr">
        <is>
          <t>PY02</t>
        </is>
      </c>
      <c r="J457" s="29" t="n">
        <v>3415.44</v>
      </c>
      <c r="K457" s="30" t="n"/>
    </row>
    <row r="458">
      <c r="A458" t="inlineStr">
        <is>
          <t>ENC120178</t>
        </is>
      </c>
      <c r="B458" t="inlineStr">
        <is>
          <t>PT13246</t>
        </is>
      </c>
      <c r="C458" t="inlineStr">
        <is>
          <t>Emergency</t>
        </is>
      </c>
      <c r="D458" s="28" t="n">
        <v>45974</v>
      </c>
      <c r="E458" s="28" t="n">
        <v>45974</v>
      </c>
      <c r="F458" t="inlineStr">
        <is>
          <t>D100</t>
        </is>
      </c>
      <c r="G458" t="inlineStr">
        <is>
          <t>PRV1002</t>
        </is>
      </c>
      <c r="H458" t="inlineStr">
        <is>
          <t>R10.9</t>
        </is>
      </c>
      <c r="I458" t="inlineStr">
        <is>
          <t>PY07</t>
        </is>
      </c>
      <c r="J458" s="29" t="n">
        <v>2927.26</v>
      </c>
      <c r="K458" s="30" t="n"/>
    </row>
    <row r="459">
      <c r="A459" t="inlineStr">
        <is>
          <t>ENC120199</t>
        </is>
      </c>
      <c r="B459" t="inlineStr">
        <is>
          <t>PT12889</t>
        </is>
      </c>
      <c r="C459" t="inlineStr">
        <is>
          <t>Outpatient</t>
        </is>
      </c>
      <c r="D459" s="28" t="n">
        <v>45974</v>
      </c>
      <c r="E459" s="28" t="n">
        <v>45974</v>
      </c>
      <c r="F459" t="inlineStr">
        <is>
          <t>D430</t>
        </is>
      </c>
      <c r="G459" t="inlineStr">
        <is>
          <t>PRV1115</t>
        </is>
      </c>
      <c r="H459" t="inlineStr">
        <is>
          <t>Z51.11</t>
        </is>
      </c>
      <c r="I459" t="inlineStr">
        <is>
          <t>PY01</t>
        </is>
      </c>
      <c r="J459" s="29" t="n">
        <v>14711.28</v>
      </c>
      <c r="K459" s="30" t="n"/>
    </row>
    <row r="460">
      <c r="A460" t="inlineStr">
        <is>
          <t>ENC120207</t>
        </is>
      </c>
      <c r="B460" t="inlineStr">
        <is>
          <t>PT13770</t>
        </is>
      </c>
      <c r="C460" t="inlineStr">
        <is>
          <t>Inpatient</t>
        </is>
      </c>
      <c r="D460" s="28" t="n">
        <v>45974</v>
      </c>
      <c r="E460" s="28" t="n">
        <v>45980</v>
      </c>
      <c r="F460" t="inlineStr">
        <is>
          <t>D110</t>
        </is>
      </c>
      <c r="G460" t="inlineStr">
        <is>
          <t>PRV1037</t>
        </is>
      </c>
      <c r="H460" t="inlineStr">
        <is>
          <t>K92.2</t>
        </is>
      </c>
      <c r="I460" t="inlineStr">
        <is>
          <t>PY03</t>
        </is>
      </c>
      <c r="J460" s="29" t="n">
        <v>20174.44</v>
      </c>
      <c r="K460" s="30" t="n"/>
    </row>
    <row r="461">
      <c r="A461" t="inlineStr">
        <is>
          <t>ENC120258</t>
        </is>
      </c>
      <c r="B461" t="inlineStr">
        <is>
          <t>PT12735</t>
        </is>
      </c>
      <c r="C461" t="inlineStr">
        <is>
          <t>Emergency</t>
        </is>
      </c>
      <c r="D461" s="28" t="n">
        <v>45977</v>
      </c>
      <c r="E461" s="28" t="n">
        <v>45977</v>
      </c>
      <c r="F461" t="inlineStr">
        <is>
          <t>D300</t>
        </is>
      </c>
      <c r="G461" t="inlineStr">
        <is>
          <t>PRV1025</t>
        </is>
      </c>
      <c r="H461" t="inlineStr">
        <is>
          <t>R07.9</t>
        </is>
      </c>
      <c r="I461" t="inlineStr">
        <is>
          <t>PY03</t>
        </is>
      </c>
      <c r="J461" s="29" t="n">
        <v>2556.57</v>
      </c>
      <c r="K461" s="30" t="n"/>
    </row>
    <row r="462">
      <c r="A462" t="inlineStr">
        <is>
          <t>ENC120269</t>
        </is>
      </c>
      <c r="B462" t="inlineStr">
        <is>
          <t>PT12374</t>
        </is>
      </c>
      <c r="C462" t="inlineStr">
        <is>
          <t>Emergency</t>
        </is>
      </c>
      <c r="D462" s="28" t="n">
        <v>45977</v>
      </c>
      <c r="E462" s="28" t="n">
        <v>45977</v>
      </c>
      <c r="F462" t="inlineStr">
        <is>
          <t>D100</t>
        </is>
      </c>
      <c r="G462" t="inlineStr">
        <is>
          <t>PRV1001</t>
        </is>
      </c>
      <c r="H462" t="inlineStr">
        <is>
          <t>E86.0</t>
        </is>
      </c>
      <c r="I462" t="inlineStr">
        <is>
          <t>PY05</t>
        </is>
      </c>
      <c r="J462" s="29" t="n">
        <v>2856.81</v>
      </c>
      <c r="K462" s="30" t="n"/>
    </row>
    <row r="463">
      <c r="A463" t="inlineStr">
        <is>
          <t>ENC120322</t>
        </is>
      </c>
      <c r="B463" t="inlineStr">
        <is>
          <t>PT12744</t>
        </is>
      </c>
      <c r="C463" t="inlineStr">
        <is>
          <t>Emergency</t>
        </is>
      </c>
      <c r="D463" s="28" t="n">
        <v>45979</v>
      </c>
      <c r="E463" s="28" t="n">
        <v>45979</v>
      </c>
      <c r="F463" t="inlineStr">
        <is>
          <t>D100</t>
        </is>
      </c>
      <c r="G463" t="inlineStr">
        <is>
          <t>PRV1009</t>
        </is>
      </c>
      <c r="H463" t="inlineStr">
        <is>
          <t>R55</t>
        </is>
      </c>
      <c r="I463" t="inlineStr">
        <is>
          <t>PY03</t>
        </is>
      </c>
      <c r="J463" s="29" t="n">
        <v>1196.22</v>
      </c>
      <c r="K463" s="30" t="n"/>
    </row>
    <row r="464">
      <c r="A464" t="inlineStr">
        <is>
          <t>ENC120384</t>
        </is>
      </c>
      <c r="B464" t="inlineStr">
        <is>
          <t>PT13101</t>
        </is>
      </c>
      <c r="C464" t="inlineStr">
        <is>
          <t>Outpatient</t>
        </is>
      </c>
      <c r="D464" s="28" t="n">
        <v>45980</v>
      </c>
      <c r="E464" s="28" t="n">
        <v>45980</v>
      </c>
      <c r="F464" t="inlineStr">
        <is>
          <t>D420</t>
        </is>
      </c>
      <c r="G464" t="inlineStr">
        <is>
          <t>PRV1082</t>
        </is>
      </c>
      <c r="H464" t="inlineStr">
        <is>
          <t>S93.401A</t>
        </is>
      </c>
      <c r="I464" t="inlineStr">
        <is>
          <t>PY01</t>
        </is>
      </c>
      <c r="J464" s="29" t="n">
        <v>164.14</v>
      </c>
      <c r="K464" s="30" t="n"/>
    </row>
    <row r="465">
      <c r="A465" t="inlineStr">
        <is>
          <t>ENC120404</t>
        </is>
      </c>
      <c r="B465" t="inlineStr">
        <is>
          <t>PT13629</t>
        </is>
      </c>
      <c r="C465" t="inlineStr">
        <is>
          <t>Emergency</t>
        </is>
      </c>
      <c r="D465" s="28" t="n">
        <v>45981</v>
      </c>
      <c r="E465" s="28" t="n">
        <v>45981</v>
      </c>
      <c r="F465" t="inlineStr">
        <is>
          <t>D100</t>
        </is>
      </c>
      <c r="G465" t="inlineStr">
        <is>
          <t>PRV1010</t>
        </is>
      </c>
      <c r="H465" t="inlineStr">
        <is>
          <t>J44.1</t>
        </is>
      </c>
      <c r="I465" t="inlineStr">
        <is>
          <t>PY05</t>
        </is>
      </c>
      <c r="J465" s="29" t="n">
        <v>3872.24</v>
      </c>
      <c r="K465" s="30" t="n"/>
    </row>
    <row r="466">
      <c r="A466" t="inlineStr">
        <is>
          <t>ENC120421</t>
        </is>
      </c>
      <c r="B466" t="inlineStr">
        <is>
          <t>PT11561</t>
        </is>
      </c>
      <c r="C466" t="inlineStr">
        <is>
          <t>Emergency</t>
        </is>
      </c>
      <c r="D466" s="28" t="n">
        <v>45981</v>
      </c>
      <c r="E466" s="28" t="n">
        <v>45981</v>
      </c>
      <c r="F466" t="inlineStr">
        <is>
          <t>D100</t>
        </is>
      </c>
      <c r="G466" t="inlineStr">
        <is>
          <t>PRV1004</t>
        </is>
      </c>
      <c r="H466" t="inlineStr">
        <is>
          <t>R07.9</t>
        </is>
      </c>
      <c r="I466" t="inlineStr">
        <is>
          <t>PY02</t>
        </is>
      </c>
      <c r="J466" s="29" t="n">
        <v>3456.74</v>
      </c>
      <c r="K466" s="30" t="n"/>
    </row>
    <row r="467">
      <c r="A467" t="inlineStr">
        <is>
          <t>ENC120418</t>
        </is>
      </c>
      <c r="B467" t="inlineStr">
        <is>
          <t>PT13804</t>
        </is>
      </c>
      <c r="C467" t="inlineStr">
        <is>
          <t>Inpatient</t>
        </is>
      </c>
      <c r="D467" s="28" t="n">
        <v>45981</v>
      </c>
      <c r="E467" s="28" t="n">
        <v>45989</v>
      </c>
      <c r="F467" t="inlineStr">
        <is>
          <t>D190</t>
        </is>
      </c>
      <c r="G467" t="inlineStr">
        <is>
          <t>PRV1120</t>
        </is>
      </c>
      <c r="H467" t="inlineStr">
        <is>
          <t>F32.9</t>
        </is>
      </c>
      <c r="I467" t="inlineStr">
        <is>
          <t>PY07</t>
        </is>
      </c>
      <c r="J467" s="29" t="n">
        <v>37597.45</v>
      </c>
      <c r="K467" s="30" t="n"/>
    </row>
    <row r="468">
      <c r="A468" t="inlineStr">
        <is>
          <t>ENC120444</t>
        </is>
      </c>
      <c r="B468" t="inlineStr">
        <is>
          <t>PT10463</t>
        </is>
      </c>
      <c r="C468" t="inlineStr">
        <is>
          <t>Emergency</t>
        </is>
      </c>
      <c r="D468" s="28" t="n">
        <v>45982</v>
      </c>
      <c r="E468" s="28" t="n">
        <v>45982</v>
      </c>
      <c r="F468" t="inlineStr">
        <is>
          <t>D300</t>
        </is>
      </c>
      <c r="G468" t="inlineStr">
        <is>
          <t>PRV1026</t>
        </is>
      </c>
      <c r="H468" t="inlineStr">
        <is>
          <t>J06.9</t>
        </is>
      </c>
      <c r="I468" t="inlineStr">
        <is>
          <t>PY02</t>
        </is>
      </c>
      <c r="J468" s="29" t="n">
        <v>2788.17</v>
      </c>
      <c r="K468" s="30" t="n"/>
    </row>
    <row r="469">
      <c r="A469" t="inlineStr">
        <is>
          <t>ENC120530</t>
        </is>
      </c>
      <c r="B469" t="inlineStr">
        <is>
          <t>PT11479</t>
        </is>
      </c>
      <c r="C469" t="inlineStr">
        <is>
          <t>Outpatient</t>
        </is>
      </c>
      <c r="D469" s="28" t="n">
        <v>45985</v>
      </c>
      <c r="E469" s="28" t="n">
        <v>45985</v>
      </c>
      <c r="F469" t="inlineStr">
        <is>
          <t>D400</t>
        </is>
      </c>
      <c r="G469" t="inlineStr">
        <is>
          <t>PRV1137</t>
        </is>
      </c>
      <c r="H469" t="inlineStr">
        <is>
          <t>I10</t>
        </is>
      </c>
      <c r="I469" t="inlineStr">
        <is>
          <t>PY02</t>
        </is>
      </c>
      <c r="J469" s="29" t="n">
        <v>255.57</v>
      </c>
      <c r="K469" s="30" t="n"/>
    </row>
    <row r="470">
      <c r="A470" t="inlineStr">
        <is>
          <t>ENC120549</t>
        </is>
      </c>
      <c r="B470" t="inlineStr">
        <is>
          <t>PT13517</t>
        </is>
      </c>
      <c r="C470" t="inlineStr">
        <is>
          <t>Emergency</t>
        </is>
      </c>
      <c r="D470" s="28" t="n">
        <v>45985</v>
      </c>
      <c r="E470" s="28" t="n">
        <v>45985</v>
      </c>
      <c r="F470" t="inlineStr">
        <is>
          <t>D200</t>
        </is>
      </c>
      <c r="G470" t="inlineStr">
        <is>
          <t>PRV1016</t>
        </is>
      </c>
      <c r="H470" t="inlineStr">
        <is>
          <t>U07.1</t>
        </is>
      </c>
      <c r="I470" t="inlineStr">
        <is>
          <t>PY03</t>
        </is>
      </c>
      <c r="J470" s="29" t="n">
        <v>4485.58</v>
      </c>
      <c r="K470" s="30" t="n"/>
    </row>
    <row r="471">
      <c r="A471" t="inlineStr">
        <is>
          <t>ENC120568</t>
        </is>
      </c>
      <c r="B471" t="inlineStr">
        <is>
          <t>PT13062</t>
        </is>
      </c>
      <c r="C471" t="inlineStr">
        <is>
          <t>Emergency</t>
        </is>
      </c>
      <c r="D471" s="28" t="n">
        <v>45986</v>
      </c>
      <c r="E471" s="28" t="n">
        <v>45986</v>
      </c>
      <c r="F471" t="inlineStr">
        <is>
          <t>D200</t>
        </is>
      </c>
      <c r="G471" t="inlineStr">
        <is>
          <t>PRV1016</t>
        </is>
      </c>
      <c r="H471" t="inlineStr">
        <is>
          <t>A08.4</t>
        </is>
      </c>
      <c r="I471" t="inlineStr">
        <is>
          <t>PY01</t>
        </is>
      </c>
      <c r="J471" s="29" t="n">
        <v>1774.35</v>
      </c>
      <c r="K471" s="30" t="n"/>
    </row>
    <row r="472">
      <c r="A472" t="inlineStr">
        <is>
          <t>ENC120572</t>
        </is>
      </c>
      <c r="B472" t="inlineStr">
        <is>
          <t>PT10065</t>
        </is>
      </c>
      <c r="C472" t="inlineStr">
        <is>
          <t>Emergency</t>
        </is>
      </c>
      <c r="D472" s="28" t="n">
        <v>45986</v>
      </c>
      <c r="E472" s="28" t="n">
        <v>45986</v>
      </c>
      <c r="F472" t="inlineStr">
        <is>
          <t>D100</t>
        </is>
      </c>
      <c r="G472" t="inlineStr">
        <is>
          <t>PRV1005</t>
        </is>
      </c>
      <c r="H472" t="inlineStr">
        <is>
          <t>F32.9</t>
        </is>
      </c>
      <c r="I472" t="inlineStr">
        <is>
          <t>PY01</t>
        </is>
      </c>
      <c r="J472" s="29" t="n">
        <v>3643.58</v>
      </c>
      <c r="K472" s="30" t="n"/>
    </row>
    <row r="473">
      <c r="A473" t="inlineStr">
        <is>
          <t>ENC120599</t>
        </is>
      </c>
      <c r="B473" t="inlineStr">
        <is>
          <t>PT13844</t>
        </is>
      </c>
      <c r="C473" t="inlineStr">
        <is>
          <t>Outpatient</t>
        </is>
      </c>
      <c r="D473" s="28" t="n">
        <v>45987</v>
      </c>
      <c r="E473" s="28" t="n">
        <v>45987</v>
      </c>
      <c r="F473" t="inlineStr">
        <is>
          <t>D420</t>
        </is>
      </c>
      <c r="G473" t="inlineStr">
        <is>
          <t>PRV1080</t>
        </is>
      </c>
      <c r="H473" t="inlineStr">
        <is>
          <t>M17.11</t>
        </is>
      </c>
      <c r="I473" t="inlineStr">
        <is>
          <t>PY03</t>
        </is>
      </c>
      <c r="J473" s="29" t="n">
        <v>194.08</v>
      </c>
      <c r="K473" s="30" t="n"/>
    </row>
    <row r="474">
      <c r="A474" t="inlineStr">
        <is>
          <t>ENC120618</t>
        </is>
      </c>
      <c r="B474" t="inlineStr">
        <is>
          <t>PT13853</t>
        </is>
      </c>
      <c r="C474" t="inlineStr">
        <is>
          <t>Outpatient</t>
        </is>
      </c>
      <c r="D474" s="28" t="n">
        <v>45988</v>
      </c>
      <c r="E474" s="28" t="n">
        <v>45988</v>
      </c>
      <c r="F474" t="inlineStr">
        <is>
          <t>D440</t>
        </is>
      </c>
      <c r="G474" t="inlineStr">
        <is>
          <t>PRV1142</t>
        </is>
      </c>
      <c r="H474" t="inlineStr">
        <is>
          <t>E11.9</t>
        </is>
      </c>
      <c r="I474" t="inlineStr">
        <is>
          <t>PY02</t>
        </is>
      </c>
      <c r="J474" s="29" t="n">
        <v>222.97</v>
      </c>
      <c r="K474" s="30" t="n"/>
    </row>
    <row r="475">
      <c r="A475" t="inlineStr">
        <is>
          <t>ENC120625</t>
        </is>
      </c>
      <c r="B475" t="inlineStr">
        <is>
          <t>PT12744</t>
        </is>
      </c>
      <c r="C475" t="inlineStr">
        <is>
          <t>Outpatient</t>
        </is>
      </c>
      <c r="D475" s="28" t="n">
        <v>45988</v>
      </c>
      <c r="E475" s="28" t="n">
        <v>45988</v>
      </c>
      <c r="F475" t="inlineStr">
        <is>
          <t>D430</t>
        </is>
      </c>
      <c r="G475" t="inlineStr">
        <is>
          <t>PRV1113</t>
        </is>
      </c>
      <c r="H475" t="inlineStr">
        <is>
          <t>C50.911</t>
        </is>
      </c>
      <c r="I475" t="inlineStr">
        <is>
          <t>PY03</t>
        </is>
      </c>
      <c r="J475" s="29" t="n">
        <v>573.12</v>
      </c>
      <c r="K475" s="30" t="n"/>
    </row>
    <row r="476">
      <c r="A476" t="inlineStr">
        <is>
          <t>ENC120650</t>
        </is>
      </c>
      <c r="B476" t="inlineStr">
        <is>
          <t>PT13270</t>
        </is>
      </c>
      <c r="C476" t="inlineStr">
        <is>
          <t>Emergency</t>
        </is>
      </c>
      <c r="D476" s="28" t="n">
        <v>45989</v>
      </c>
      <c r="E476" s="28" t="n">
        <v>45989</v>
      </c>
      <c r="F476" t="inlineStr">
        <is>
          <t>D100</t>
        </is>
      </c>
      <c r="G476" t="inlineStr">
        <is>
          <t>PRV1007</t>
        </is>
      </c>
      <c r="H476" t="inlineStr">
        <is>
          <t>F41.9</t>
        </is>
      </c>
      <c r="I476" t="inlineStr">
        <is>
          <t>PY04</t>
        </is>
      </c>
      <c r="J476" s="29" t="n">
        <v>652.64</v>
      </c>
      <c r="K476" s="30" t="n"/>
    </row>
    <row r="477">
      <c r="A477" t="inlineStr">
        <is>
          <t>ENC120710</t>
        </is>
      </c>
      <c r="B477" t="inlineStr">
        <is>
          <t>PT11844</t>
        </is>
      </c>
      <c r="C477" t="inlineStr">
        <is>
          <t>Emergency</t>
        </is>
      </c>
      <c r="D477" s="28" t="n">
        <v>45991</v>
      </c>
      <c r="E477" s="28" t="n">
        <v>45991</v>
      </c>
      <c r="F477" t="inlineStr">
        <is>
          <t>D100</t>
        </is>
      </c>
      <c r="G477" t="inlineStr">
        <is>
          <t>PRV1001</t>
        </is>
      </c>
      <c r="H477" t="inlineStr">
        <is>
          <t>R55</t>
        </is>
      </c>
      <c r="I477" t="inlineStr">
        <is>
          <t>PY03</t>
        </is>
      </c>
      <c r="J477" s="29" t="n">
        <v>1428.03</v>
      </c>
      <c r="K477" s="30" t="n"/>
    </row>
    <row r="478">
      <c r="A478" t="inlineStr">
        <is>
          <t>ENC120743</t>
        </is>
      </c>
      <c r="B478" t="inlineStr">
        <is>
          <t>PT13454</t>
        </is>
      </c>
      <c r="C478" t="inlineStr">
        <is>
          <t>Outpatient</t>
        </is>
      </c>
      <c r="D478" s="28" t="n">
        <v>45992</v>
      </c>
      <c r="E478" s="28" t="n">
        <v>45992</v>
      </c>
      <c r="F478" t="inlineStr">
        <is>
          <t>D400</t>
        </is>
      </c>
      <c r="G478" t="inlineStr">
        <is>
          <t>PRV1137</t>
        </is>
      </c>
      <c r="H478" t="inlineStr">
        <is>
          <t>J06.9</t>
        </is>
      </c>
      <c r="I478" t="inlineStr">
        <is>
          <t>PY04</t>
        </is>
      </c>
      <c r="J478" s="29" t="n">
        <v>234.34</v>
      </c>
      <c r="K478" s="30" t="n"/>
    </row>
    <row r="479">
      <c r="A479" t="inlineStr">
        <is>
          <t>ENC120810</t>
        </is>
      </c>
      <c r="B479" t="inlineStr">
        <is>
          <t>PT11957</t>
        </is>
      </c>
      <c r="C479" t="inlineStr">
        <is>
          <t>Outpatient</t>
        </is>
      </c>
      <c r="D479" s="28" t="n">
        <v>45993</v>
      </c>
      <c r="E479" s="28" t="n">
        <v>45993</v>
      </c>
      <c r="F479" t="inlineStr">
        <is>
          <t>D400</t>
        </is>
      </c>
      <c r="G479" t="inlineStr">
        <is>
          <t>PRV1137</t>
        </is>
      </c>
      <c r="H479" t="inlineStr">
        <is>
          <t>J06.9</t>
        </is>
      </c>
      <c r="I479" t="inlineStr">
        <is>
          <t>PY06</t>
        </is>
      </c>
      <c r="J479" s="29" t="n">
        <v>383.9</v>
      </c>
      <c r="K479" s="30" t="n"/>
    </row>
    <row r="480">
      <c r="A480" t="inlineStr">
        <is>
          <t>ENC120804</t>
        </is>
      </c>
      <c r="B480" t="inlineStr">
        <is>
          <t>PT12744</t>
        </is>
      </c>
      <c r="C480" t="inlineStr">
        <is>
          <t>Inpatient</t>
        </is>
      </c>
      <c r="D480" s="28" t="n">
        <v>45993</v>
      </c>
      <c r="E480" s="28" t="n">
        <v>45996</v>
      </c>
      <c r="F480" t="inlineStr">
        <is>
          <t>D110</t>
        </is>
      </c>
      <c r="G480" t="inlineStr">
        <is>
          <t>PRV1033</t>
        </is>
      </c>
      <c r="H480" t="inlineStr">
        <is>
          <t>J18.9</t>
        </is>
      </c>
      <c r="I480" t="inlineStr">
        <is>
          <t>PY03</t>
        </is>
      </c>
      <c r="J480" s="29" t="n">
        <v>19391.83</v>
      </c>
      <c r="K480" s="30" t="n"/>
    </row>
    <row r="481">
      <c r="A481" t="inlineStr">
        <is>
          <t>ENC120876</t>
        </is>
      </c>
      <c r="B481" t="inlineStr">
        <is>
          <t>PT10184</t>
        </is>
      </c>
      <c r="C481" t="inlineStr">
        <is>
          <t>Outpatient</t>
        </is>
      </c>
      <c r="D481" s="28" t="n">
        <v>45995</v>
      </c>
      <c r="E481" s="28" t="n">
        <v>45995</v>
      </c>
      <c r="F481" t="inlineStr">
        <is>
          <t>D400</t>
        </is>
      </c>
      <c r="G481" t="inlineStr">
        <is>
          <t>PRV1137</t>
        </is>
      </c>
      <c r="H481" t="inlineStr">
        <is>
          <t>J06.9</t>
        </is>
      </c>
      <c r="I481" t="inlineStr">
        <is>
          <t>PY04</t>
        </is>
      </c>
      <c r="J481" s="29" t="n">
        <v>266.22</v>
      </c>
      <c r="K481" s="30" t="n"/>
    </row>
    <row r="482">
      <c r="A482" t="inlineStr">
        <is>
          <t>ENC120895</t>
        </is>
      </c>
      <c r="B482" t="inlineStr">
        <is>
          <t>PT13853</t>
        </is>
      </c>
      <c r="C482" t="inlineStr">
        <is>
          <t>Observation</t>
        </is>
      </c>
      <c r="D482" s="28" t="n">
        <v>45995</v>
      </c>
      <c r="E482" s="28" t="n">
        <v>45997</v>
      </c>
      <c r="F482" t="inlineStr">
        <is>
          <t>D310</t>
        </is>
      </c>
      <c r="G482" t="inlineStr">
        <is>
          <t>PRV1051</t>
        </is>
      </c>
      <c r="H482" t="inlineStr">
        <is>
          <t>F41.9</t>
        </is>
      </c>
      <c r="I482" t="inlineStr">
        <is>
          <t>PY02</t>
        </is>
      </c>
      <c r="J482" s="29" t="n">
        <v>5595.17</v>
      </c>
      <c r="K482" s="30" t="n"/>
    </row>
    <row r="483">
      <c r="A483" t="inlineStr">
        <is>
          <t>ENC120894</t>
        </is>
      </c>
      <c r="B483" t="inlineStr">
        <is>
          <t>PT11337</t>
        </is>
      </c>
      <c r="C483" t="inlineStr">
        <is>
          <t>Observation</t>
        </is>
      </c>
      <c r="D483" s="28" t="n">
        <v>45995</v>
      </c>
      <c r="E483" s="28" t="n">
        <v>45996</v>
      </c>
      <c r="F483" t="inlineStr">
        <is>
          <t>D195</t>
        </is>
      </c>
      <c r="G483" t="inlineStr">
        <is>
          <t>PRV1086</t>
        </is>
      </c>
      <c r="H483" t="inlineStr">
        <is>
          <t>K80.20</t>
        </is>
      </c>
      <c r="I483" t="inlineStr">
        <is>
          <t>PY03</t>
        </is>
      </c>
      <c r="J483" s="29" t="n">
        <v>13764.34</v>
      </c>
      <c r="K483" s="30" t="n"/>
    </row>
    <row r="484">
      <c r="A484" t="inlineStr">
        <is>
          <t>ENC120917</t>
        </is>
      </c>
      <c r="B484" t="inlineStr">
        <is>
          <t>PT10413</t>
        </is>
      </c>
      <c r="C484" t="inlineStr">
        <is>
          <t>Outpatient</t>
        </is>
      </c>
      <c r="D484" s="28" t="n">
        <v>45996</v>
      </c>
      <c r="E484" s="28" t="n">
        <v>45996</v>
      </c>
      <c r="F484" t="inlineStr">
        <is>
          <t>D410</t>
        </is>
      </c>
      <c r="G484" t="inlineStr">
        <is>
          <t>PRV1061</t>
        </is>
      </c>
      <c r="H484" t="inlineStr">
        <is>
          <t>I48.91</t>
        </is>
      </c>
      <c r="I484" t="inlineStr">
        <is>
          <t>PY07</t>
        </is>
      </c>
      <c r="J484" s="29" t="n">
        <v>440.52</v>
      </c>
      <c r="K484" s="30" t="n"/>
    </row>
    <row r="485">
      <c r="A485" t="inlineStr">
        <is>
          <t>ENC120933</t>
        </is>
      </c>
      <c r="B485" t="inlineStr">
        <is>
          <t>PT13412</t>
        </is>
      </c>
      <c r="C485" t="inlineStr">
        <is>
          <t>Outpatient</t>
        </is>
      </c>
      <c r="D485" s="28" t="n">
        <v>45996</v>
      </c>
      <c r="E485" s="28" t="n">
        <v>45996</v>
      </c>
      <c r="F485" t="inlineStr">
        <is>
          <t>D440</t>
        </is>
      </c>
      <c r="G485" t="inlineStr">
        <is>
          <t>PRV1141</t>
        </is>
      </c>
      <c r="H485" t="inlineStr">
        <is>
          <t>E11.9</t>
        </is>
      </c>
      <c r="I485" t="inlineStr">
        <is>
          <t>PY01</t>
        </is>
      </c>
      <c r="J485" s="29" t="n">
        <v>311.35</v>
      </c>
      <c r="K485" s="30" t="n"/>
    </row>
    <row r="486">
      <c r="A486" t="inlineStr">
        <is>
          <t>ENC120988</t>
        </is>
      </c>
      <c r="B486" t="inlineStr">
        <is>
          <t>PT10532</t>
        </is>
      </c>
      <c r="C486" t="inlineStr">
        <is>
          <t>Observation</t>
        </is>
      </c>
      <c r="D486" s="28" t="n">
        <v>45998</v>
      </c>
      <c r="E486" s="28" t="n">
        <v>45999</v>
      </c>
      <c r="F486" t="inlineStr">
        <is>
          <t>D310</t>
        </is>
      </c>
      <c r="G486" t="inlineStr">
        <is>
          <t>PRV1053</t>
        </is>
      </c>
      <c r="H486" t="inlineStr">
        <is>
          <t>J45.909</t>
        </is>
      </c>
      <c r="I486" t="inlineStr">
        <is>
          <t>PY04</t>
        </is>
      </c>
      <c r="J486" s="29" t="n">
        <v>8042.91</v>
      </c>
      <c r="K486" s="30" t="n"/>
    </row>
    <row r="487">
      <c r="A487" t="inlineStr">
        <is>
          <t>ENC121043</t>
        </is>
      </c>
      <c r="B487" t="inlineStr">
        <is>
          <t>PT12199</t>
        </is>
      </c>
      <c r="C487" t="inlineStr">
        <is>
          <t>Inpatient</t>
        </is>
      </c>
      <c r="D487" s="28" t="n">
        <v>45999</v>
      </c>
      <c r="E487" s="28" t="n">
        <v>46009</v>
      </c>
      <c r="F487" t="inlineStr">
        <is>
          <t>D120</t>
        </is>
      </c>
      <c r="G487" t="inlineStr">
        <is>
          <t>PRV1035</t>
        </is>
      </c>
      <c r="H487" t="inlineStr">
        <is>
          <t>I50.9</t>
        </is>
      </c>
      <c r="I487" t="inlineStr">
        <is>
          <t>PY03</t>
        </is>
      </c>
      <c r="J487" s="29" t="n">
        <v>65869.37</v>
      </c>
      <c r="K487" s="30" t="n"/>
    </row>
    <row r="488">
      <c r="A488" t="inlineStr">
        <is>
          <t>ENC121054</t>
        </is>
      </c>
      <c r="B488" t="inlineStr">
        <is>
          <t>PT12480</t>
        </is>
      </c>
      <c r="C488" t="inlineStr">
        <is>
          <t>Outpatient</t>
        </is>
      </c>
      <c r="D488" s="28" t="n">
        <v>46000</v>
      </c>
      <c r="E488" s="28" t="n">
        <v>46000</v>
      </c>
      <c r="F488" t="inlineStr">
        <is>
          <t>D400</t>
        </is>
      </c>
      <c r="G488" t="inlineStr">
        <is>
          <t>PRV1137</t>
        </is>
      </c>
      <c r="H488" t="inlineStr">
        <is>
          <t>F32.9</t>
        </is>
      </c>
      <c r="I488" t="inlineStr">
        <is>
          <t>PY03</t>
        </is>
      </c>
      <c r="J488" s="29" t="n">
        <v>292.33</v>
      </c>
      <c r="K488" s="30" t="n"/>
    </row>
    <row r="489">
      <c r="A489" t="inlineStr">
        <is>
          <t>ENC121081</t>
        </is>
      </c>
      <c r="B489" t="inlineStr">
        <is>
          <t>PT10351</t>
        </is>
      </c>
      <c r="C489" t="inlineStr">
        <is>
          <t>Inpatient</t>
        </is>
      </c>
      <c r="D489" s="28" t="n">
        <v>46000</v>
      </c>
      <c r="E489" s="28" t="n">
        <v>46007</v>
      </c>
      <c r="F489" t="inlineStr">
        <is>
          <t>D110</t>
        </is>
      </c>
      <c r="G489" t="inlineStr">
        <is>
          <t>PRV1043</t>
        </is>
      </c>
      <c r="H489" t="inlineStr">
        <is>
          <t>A41.9</t>
        </is>
      </c>
      <c r="I489" t="inlineStr">
        <is>
          <t>PY01</t>
        </is>
      </c>
      <c r="J489" s="29" t="n">
        <v>75860.47</v>
      </c>
      <c r="K489" s="30" t="n"/>
    </row>
    <row r="490">
      <c r="A490" t="inlineStr">
        <is>
          <t>ENC121107</t>
        </is>
      </c>
      <c r="B490" t="inlineStr">
        <is>
          <t>PT13746</t>
        </is>
      </c>
      <c r="C490" t="inlineStr">
        <is>
          <t>Outpatient</t>
        </is>
      </c>
      <c r="D490" s="28" t="n">
        <v>46001</v>
      </c>
      <c r="E490" s="28" t="n">
        <v>46001</v>
      </c>
      <c r="F490" t="inlineStr">
        <is>
          <t>D400</t>
        </is>
      </c>
      <c r="G490" t="inlineStr">
        <is>
          <t>PRV1137</t>
        </is>
      </c>
      <c r="H490" t="inlineStr">
        <is>
          <t>J06.9</t>
        </is>
      </c>
      <c r="I490" t="inlineStr">
        <is>
          <t>PY01</t>
        </is>
      </c>
      <c r="J490" s="29" t="n">
        <v>254.08</v>
      </c>
      <c r="K490" s="30" t="n"/>
    </row>
    <row r="491">
      <c r="A491" t="inlineStr">
        <is>
          <t>ENC121156</t>
        </is>
      </c>
      <c r="B491" t="inlineStr">
        <is>
          <t>PT11187</t>
        </is>
      </c>
      <c r="C491" t="inlineStr">
        <is>
          <t>Outpatient</t>
        </is>
      </c>
      <c r="D491" s="28" t="n">
        <v>46002</v>
      </c>
      <c r="E491" s="28" t="n">
        <v>46002</v>
      </c>
      <c r="F491" t="inlineStr">
        <is>
          <t>D430</t>
        </is>
      </c>
      <c r="G491" t="inlineStr">
        <is>
          <t>PRV1114</t>
        </is>
      </c>
      <c r="H491" t="inlineStr">
        <is>
          <t>Z51.11</t>
        </is>
      </c>
      <c r="I491" t="inlineStr">
        <is>
          <t>PY03</t>
        </is>
      </c>
      <c r="J491" s="29" t="n">
        <v>9136.309999999999</v>
      </c>
      <c r="K491" s="30" t="n"/>
    </row>
    <row r="492">
      <c r="A492" t="inlineStr">
        <is>
          <t>ENC121173</t>
        </is>
      </c>
      <c r="B492" t="inlineStr">
        <is>
          <t>PT10184</t>
        </is>
      </c>
      <c r="C492" t="inlineStr">
        <is>
          <t>Emergency</t>
        </is>
      </c>
      <c r="D492" s="28" t="n">
        <v>46002</v>
      </c>
      <c r="E492" s="28" t="n">
        <v>46003</v>
      </c>
      <c r="F492" t="inlineStr">
        <is>
          <t>D100</t>
        </is>
      </c>
      <c r="G492" t="inlineStr">
        <is>
          <t>PRV1007</t>
        </is>
      </c>
      <c r="H492" t="inlineStr">
        <is>
          <t>J45.909</t>
        </is>
      </c>
      <c r="I492" t="inlineStr">
        <is>
          <t>PY04</t>
        </is>
      </c>
      <c r="J492" s="29" t="n">
        <v>4112.16</v>
      </c>
      <c r="K492" s="30" t="n"/>
    </row>
    <row r="493">
      <c r="A493" t="inlineStr">
        <is>
          <t>ENC121180</t>
        </is>
      </c>
      <c r="B493" t="inlineStr">
        <is>
          <t>PT10395</t>
        </is>
      </c>
      <c r="C493" t="inlineStr">
        <is>
          <t>Outpatient</t>
        </is>
      </c>
      <c r="D493" s="28" t="n">
        <v>46003</v>
      </c>
      <c r="E493" s="28" t="n">
        <v>46003</v>
      </c>
      <c r="F493" t="inlineStr">
        <is>
          <t>D400</t>
        </is>
      </c>
      <c r="G493" t="inlineStr">
        <is>
          <t>PRV1128</t>
        </is>
      </c>
      <c r="H493" t="inlineStr">
        <is>
          <t>J06.9</t>
        </is>
      </c>
      <c r="I493" t="inlineStr">
        <is>
          <t>PY02</t>
        </is>
      </c>
      <c r="J493" s="29" t="n">
        <v>350.78</v>
      </c>
      <c r="K493" s="30" t="n"/>
    </row>
    <row r="494">
      <c r="A494" t="inlineStr">
        <is>
          <t>ENC121190</t>
        </is>
      </c>
      <c r="B494" t="inlineStr">
        <is>
          <t>PT10606</t>
        </is>
      </c>
      <c r="C494" t="inlineStr">
        <is>
          <t>Inpatient</t>
        </is>
      </c>
      <c r="D494" s="28" t="n">
        <v>46003</v>
      </c>
      <c r="E494" s="28" t="n">
        <v>46005</v>
      </c>
      <c r="F494" t="inlineStr">
        <is>
          <t>D310</t>
        </is>
      </c>
      <c r="G494" t="inlineStr">
        <is>
          <t>PRV1051</t>
        </is>
      </c>
      <c r="H494" t="inlineStr">
        <is>
          <t>J44.1</t>
        </is>
      </c>
      <c r="I494" t="inlineStr">
        <is>
          <t>PY01</t>
        </is>
      </c>
      <c r="J494" s="29" t="n">
        <v>12983.44</v>
      </c>
      <c r="K494" s="30" t="n"/>
    </row>
    <row r="495">
      <c r="A495" t="inlineStr">
        <is>
          <t>ENC121195</t>
        </is>
      </c>
      <c r="B495" t="inlineStr">
        <is>
          <t>PT10882</t>
        </is>
      </c>
      <c r="C495" t="inlineStr">
        <is>
          <t>Inpatient</t>
        </is>
      </c>
      <c r="D495" s="28" t="n">
        <v>46003</v>
      </c>
      <c r="E495" s="28" t="n">
        <v>46010</v>
      </c>
      <c r="F495" t="inlineStr">
        <is>
          <t>D111</t>
        </is>
      </c>
      <c r="G495" t="inlineStr">
        <is>
          <t>PRV1036</t>
        </is>
      </c>
      <c r="H495" t="inlineStr">
        <is>
          <t>J18.9</t>
        </is>
      </c>
      <c r="I495" t="inlineStr">
        <is>
          <t>PY04</t>
        </is>
      </c>
      <c r="J495" s="29" t="n">
        <v>29653.25</v>
      </c>
      <c r="K495" s="30" t="n"/>
    </row>
    <row r="496">
      <c r="A496" t="inlineStr">
        <is>
          <t>ENC121223</t>
        </is>
      </c>
      <c r="B496" t="inlineStr">
        <is>
          <t>PT11919</t>
        </is>
      </c>
      <c r="C496" t="inlineStr">
        <is>
          <t>Inpatient</t>
        </is>
      </c>
      <c r="D496" s="28" t="n">
        <v>46004</v>
      </c>
      <c r="E496" s="28" t="n">
        <v>46012</v>
      </c>
      <c r="F496" t="inlineStr">
        <is>
          <t>D120</t>
        </is>
      </c>
      <c r="G496" t="inlineStr">
        <is>
          <t>PRV1057</t>
        </is>
      </c>
      <c r="H496" t="inlineStr">
        <is>
          <t>I50.9</t>
        </is>
      </c>
      <c r="I496" t="inlineStr">
        <is>
          <t>PY02</t>
        </is>
      </c>
      <c r="J496" s="29" t="n">
        <v>32247.86</v>
      </c>
      <c r="K496" s="30" t="n"/>
    </row>
    <row r="497">
      <c r="A497" t="inlineStr">
        <is>
          <t>ENC121262</t>
        </is>
      </c>
      <c r="B497" t="inlineStr">
        <is>
          <t>PT13832</t>
        </is>
      </c>
      <c r="C497" t="inlineStr">
        <is>
          <t>Outpatient</t>
        </is>
      </c>
      <c r="D497" s="28" t="n">
        <v>46006</v>
      </c>
      <c r="E497" s="28" t="n">
        <v>46006</v>
      </c>
      <c r="F497" t="inlineStr">
        <is>
          <t>D430</t>
        </is>
      </c>
      <c r="G497" t="inlineStr">
        <is>
          <t>PRV1113</t>
        </is>
      </c>
      <c r="H497" t="inlineStr">
        <is>
          <t>C50.911</t>
        </is>
      </c>
      <c r="I497" t="inlineStr">
        <is>
          <t>PY01</t>
        </is>
      </c>
      <c r="J497" s="29" t="n">
        <v>805.12</v>
      </c>
      <c r="K497" s="30" t="n"/>
    </row>
    <row r="498">
      <c r="A498" t="inlineStr">
        <is>
          <t>ENC121282</t>
        </is>
      </c>
      <c r="B498" t="inlineStr">
        <is>
          <t>PT13804</t>
        </is>
      </c>
      <c r="C498" t="inlineStr">
        <is>
          <t>Outpatient</t>
        </is>
      </c>
      <c r="D498" s="28" t="n">
        <v>46006</v>
      </c>
      <c r="E498" s="28" t="n">
        <v>46006</v>
      </c>
      <c r="F498" t="inlineStr">
        <is>
          <t>D400</t>
        </is>
      </c>
      <c r="G498" t="inlineStr">
        <is>
          <t>PRV1137</t>
        </is>
      </c>
      <c r="H498" t="inlineStr">
        <is>
          <t>Z00.00</t>
        </is>
      </c>
      <c r="I498" t="inlineStr">
        <is>
          <t>PY07</t>
        </is>
      </c>
      <c r="J498" s="29" t="n">
        <v>386.16</v>
      </c>
      <c r="K498" s="30" t="n"/>
    </row>
    <row r="499">
      <c r="A499" t="inlineStr">
        <is>
          <t>ENC121284</t>
        </is>
      </c>
      <c r="B499" t="inlineStr">
        <is>
          <t>PT11791</t>
        </is>
      </c>
      <c r="C499" t="inlineStr">
        <is>
          <t>Outpatient</t>
        </is>
      </c>
      <c r="D499" s="28" t="n">
        <v>46006</v>
      </c>
      <c r="E499" s="28" t="n">
        <v>46006</v>
      </c>
      <c r="F499" t="inlineStr">
        <is>
          <t>D400</t>
        </is>
      </c>
      <c r="G499" t="inlineStr">
        <is>
          <t>PRV1130</t>
        </is>
      </c>
      <c r="H499" t="inlineStr">
        <is>
          <t>I10</t>
        </is>
      </c>
      <c r="I499" t="inlineStr">
        <is>
          <t>PY01</t>
        </is>
      </c>
      <c r="J499" s="29" t="n">
        <v>331.76</v>
      </c>
      <c r="K499" s="30" t="n"/>
    </row>
    <row r="500">
      <c r="A500" t="inlineStr">
        <is>
          <t>ENC121291</t>
        </is>
      </c>
      <c r="B500" t="inlineStr">
        <is>
          <t>PT10444</t>
        </is>
      </c>
      <c r="C500" t="inlineStr">
        <is>
          <t>Emergency</t>
        </is>
      </c>
      <c r="D500" s="28" t="n">
        <v>46006</v>
      </c>
      <c r="E500" s="28" t="n">
        <v>46006</v>
      </c>
      <c r="F500" t="inlineStr">
        <is>
          <t>D100</t>
        </is>
      </c>
      <c r="G500" t="inlineStr">
        <is>
          <t>PRV1013</t>
        </is>
      </c>
      <c r="H500" t="inlineStr">
        <is>
          <t>J18.9</t>
        </is>
      </c>
      <c r="I500" t="inlineStr">
        <is>
          <t>PY01</t>
        </is>
      </c>
      <c r="J500" s="29" t="n">
        <v>1765.4</v>
      </c>
      <c r="K500" s="30" t="n"/>
    </row>
    <row r="501">
      <c r="A501" t="inlineStr">
        <is>
          <t>ENC121298</t>
        </is>
      </c>
      <c r="B501" t="inlineStr">
        <is>
          <t>PT10070</t>
        </is>
      </c>
      <c r="C501" t="inlineStr">
        <is>
          <t>Inpatient</t>
        </is>
      </c>
      <c r="D501" s="28" t="n">
        <v>46007</v>
      </c>
      <c r="E501" s="28" t="n">
        <v>46015</v>
      </c>
      <c r="F501" t="inlineStr">
        <is>
          <t>D110</t>
        </is>
      </c>
      <c r="G501" t="inlineStr">
        <is>
          <t>PRV1040</t>
        </is>
      </c>
      <c r="H501" t="inlineStr">
        <is>
          <t>F10.239</t>
        </is>
      </c>
      <c r="I501" t="inlineStr">
        <is>
          <t>PY02</t>
        </is>
      </c>
      <c r="J501" s="29" t="n">
        <v>48359.66</v>
      </c>
      <c r="K501" s="30" t="n"/>
    </row>
    <row r="502">
      <c r="A502" t="inlineStr">
        <is>
          <t>ENC121307</t>
        </is>
      </c>
      <c r="B502" t="inlineStr">
        <is>
          <t>PT10050</t>
        </is>
      </c>
      <c r="C502" t="inlineStr">
        <is>
          <t>Outpatient</t>
        </is>
      </c>
      <c r="D502" s="28" t="n">
        <v>46007</v>
      </c>
      <c r="E502" s="28" t="n">
        <v>46007</v>
      </c>
      <c r="F502" t="inlineStr">
        <is>
          <t>D420</t>
        </is>
      </c>
      <c r="G502" t="inlineStr">
        <is>
          <t>PRV1080</t>
        </is>
      </c>
      <c r="H502" t="inlineStr">
        <is>
          <t>M16.11</t>
        </is>
      </c>
      <c r="I502" t="inlineStr">
        <is>
          <t>PY04</t>
        </is>
      </c>
      <c r="J502" s="29" t="n">
        <v>387.11</v>
      </c>
      <c r="K502" s="30" t="n"/>
    </row>
    <row r="503">
      <c r="A503" t="inlineStr">
        <is>
          <t>ENC121316</t>
        </is>
      </c>
      <c r="B503" t="inlineStr">
        <is>
          <t>PT11047</t>
        </is>
      </c>
      <c r="C503" t="inlineStr">
        <is>
          <t>Inpatient</t>
        </is>
      </c>
      <c r="D503" s="28" t="n">
        <v>46007</v>
      </c>
      <c r="E503" s="28" t="n">
        <v>46009</v>
      </c>
      <c r="F503" t="inlineStr">
        <is>
          <t>D120</t>
        </is>
      </c>
      <c r="G503" t="inlineStr">
        <is>
          <t>PRV1057</t>
        </is>
      </c>
      <c r="H503" t="inlineStr">
        <is>
          <t>I48.91</t>
        </is>
      </c>
      <c r="I503" t="inlineStr">
        <is>
          <t>PY04</t>
        </is>
      </c>
      <c r="J503" s="29" t="n">
        <v>9986.35</v>
      </c>
      <c r="K503" s="30" t="n"/>
    </row>
    <row r="504">
      <c r="A504" t="inlineStr">
        <is>
          <t>ENC121340</t>
        </is>
      </c>
      <c r="B504" t="inlineStr">
        <is>
          <t>PT12752</t>
        </is>
      </c>
      <c r="C504" t="inlineStr">
        <is>
          <t>Emergency</t>
        </is>
      </c>
      <c r="D504" s="28" t="n">
        <v>46007</v>
      </c>
      <c r="E504" s="28" t="n">
        <v>46008</v>
      </c>
      <c r="F504" t="inlineStr">
        <is>
          <t>D100</t>
        </is>
      </c>
      <c r="G504" t="inlineStr">
        <is>
          <t>PRV1007</t>
        </is>
      </c>
      <c r="H504" t="inlineStr">
        <is>
          <t>R07.9</t>
        </is>
      </c>
      <c r="I504" t="inlineStr">
        <is>
          <t>PY02</t>
        </is>
      </c>
      <c r="J504" s="29" t="n">
        <v>3870.77</v>
      </c>
      <c r="K504" s="30" t="n"/>
    </row>
    <row r="505">
      <c r="A505" t="inlineStr">
        <is>
          <t>ENC121374</t>
        </is>
      </c>
      <c r="B505" t="inlineStr">
        <is>
          <t>PT13101</t>
        </is>
      </c>
      <c r="C505" t="inlineStr">
        <is>
          <t>Inpatient</t>
        </is>
      </c>
      <c r="D505" s="28" t="n">
        <v>46008</v>
      </c>
      <c r="E505" s="28" t="n">
        <v>46012</v>
      </c>
      <c r="F505" t="inlineStr">
        <is>
          <t>D110</t>
        </is>
      </c>
      <c r="G505" t="inlineStr">
        <is>
          <t>PRV1037</t>
        </is>
      </c>
      <c r="H505" t="inlineStr">
        <is>
          <t>J44.1</t>
        </is>
      </c>
      <c r="I505" t="inlineStr">
        <is>
          <t>PY01</t>
        </is>
      </c>
      <c r="J505" s="29" t="n">
        <v>13653.49</v>
      </c>
      <c r="K505" s="30" t="n"/>
    </row>
    <row r="506">
      <c r="A506" t="inlineStr">
        <is>
          <t>ENC121406</t>
        </is>
      </c>
      <c r="B506" t="inlineStr">
        <is>
          <t>PT13454</t>
        </is>
      </c>
      <c r="C506" t="inlineStr">
        <is>
          <t>Outpatient</t>
        </is>
      </c>
      <c r="D506" s="28" t="n">
        <v>46009</v>
      </c>
      <c r="E506" s="28" t="n">
        <v>46009</v>
      </c>
      <c r="F506" t="inlineStr">
        <is>
          <t>D400</t>
        </is>
      </c>
      <c r="G506" t="inlineStr">
        <is>
          <t>PRV1137</t>
        </is>
      </c>
      <c r="H506" t="inlineStr">
        <is>
          <t>Z00.00</t>
        </is>
      </c>
      <c r="I506" t="inlineStr">
        <is>
          <t>PY04</t>
        </is>
      </c>
      <c r="J506" s="29" t="n">
        <v>299.09</v>
      </c>
      <c r="K506" s="30" t="n"/>
    </row>
    <row r="507">
      <c r="A507" t="inlineStr">
        <is>
          <t>ENC121409</t>
        </is>
      </c>
      <c r="B507" t="inlineStr">
        <is>
          <t>PT13629</t>
        </is>
      </c>
      <c r="C507" t="inlineStr">
        <is>
          <t>Outpatient</t>
        </is>
      </c>
      <c r="D507" s="28" t="n">
        <v>46009</v>
      </c>
      <c r="E507" s="28" t="n">
        <v>46009</v>
      </c>
      <c r="F507" t="inlineStr">
        <is>
          <t>D410</t>
        </is>
      </c>
      <c r="G507" t="inlineStr">
        <is>
          <t>PRV1062</t>
        </is>
      </c>
      <c r="H507" t="inlineStr">
        <is>
          <t>I50.9</t>
        </is>
      </c>
      <c r="I507" t="inlineStr">
        <is>
          <t>PY05</t>
        </is>
      </c>
      <c r="J507" s="29" t="n">
        <v>342.56</v>
      </c>
      <c r="K507" s="30" t="n"/>
    </row>
    <row r="508">
      <c r="A508" t="inlineStr">
        <is>
          <t>ENC121481</t>
        </is>
      </c>
      <c r="B508" t="inlineStr">
        <is>
          <t>PT13770</t>
        </is>
      </c>
      <c r="C508" t="inlineStr">
        <is>
          <t>Observation</t>
        </is>
      </c>
      <c r="D508" s="28" t="n">
        <v>46011</v>
      </c>
      <c r="E508" s="28" t="n">
        <v>46012</v>
      </c>
      <c r="F508" t="inlineStr">
        <is>
          <t>D195</t>
        </is>
      </c>
      <c r="G508" t="inlineStr">
        <is>
          <t>PRV1083</t>
        </is>
      </c>
      <c r="H508" t="inlineStr">
        <is>
          <t>K80.20</t>
        </is>
      </c>
      <c r="I508" t="inlineStr">
        <is>
          <t>PY03</t>
        </is>
      </c>
      <c r="J508" s="29" t="n">
        <v>3728.14</v>
      </c>
      <c r="K508" s="30" t="n"/>
    </row>
    <row r="509">
      <c r="A509" t="inlineStr">
        <is>
          <t>ENC121494</t>
        </is>
      </c>
      <c r="B509" t="inlineStr">
        <is>
          <t>PT13388</t>
        </is>
      </c>
      <c r="C509" t="inlineStr">
        <is>
          <t>Inpatient</t>
        </is>
      </c>
      <c r="D509" s="28" t="n">
        <v>46012</v>
      </c>
      <c r="E509" s="28" t="n">
        <v>46017</v>
      </c>
      <c r="F509" t="inlineStr">
        <is>
          <t>D140</t>
        </is>
      </c>
      <c r="G509" t="inlineStr">
        <is>
          <t>PRV1074</t>
        </is>
      </c>
      <c r="H509" t="inlineStr">
        <is>
          <t>S72.001A</t>
        </is>
      </c>
      <c r="I509" t="inlineStr">
        <is>
          <t>PY01</t>
        </is>
      </c>
      <c r="J509" s="29" t="n">
        <v>62808.24</v>
      </c>
      <c r="K509" s="30" t="n"/>
    </row>
    <row r="510">
      <c r="A510" t="inlineStr">
        <is>
          <t>ENC121498</t>
        </is>
      </c>
      <c r="B510" t="inlineStr">
        <is>
          <t>PT10724</t>
        </is>
      </c>
      <c r="C510" t="inlineStr">
        <is>
          <t>Emergency</t>
        </is>
      </c>
      <c r="D510" s="28" t="n">
        <v>46012</v>
      </c>
      <c r="E510" s="28" t="n">
        <v>46012</v>
      </c>
      <c r="F510" t="inlineStr">
        <is>
          <t>D100</t>
        </is>
      </c>
      <c r="G510" t="inlineStr">
        <is>
          <t>PRV1010</t>
        </is>
      </c>
      <c r="H510" t="inlineStr">
        <is>
          <t>S06.0X0A</t>
        </is>
      </c>
      <c r="I510" t="inlineStr">
        <is>
          <t>PY05</t>
        </is>
      </c>
      <c r="J510" s="29" t="n">
        <v>3144.77</v>
      </c>
      <c r="K510" s="30" t="n"/>
    </row>
    <row r="511">
      <c r="A511" t="inlineStr">
        <is>
          <t>ENC121506</t>
        </is>
      </c>
      <c r="B511" t="inlineStr">
        <is>
          <t>PT13853</t>
        </is>
      </c>
      <c r="C511" t="inlineStr">
        <is>
          <t>Emergency</t>
        </is>
      </c>
      <c r="D511" s="28" t="n">
        <v>46012</v>
      </c>
      <c r="E511" s="28" t="n">
        <v>46013</v>
      </c>
      <c r="F511" t="inlineStr">
        <is>
          <t>D100</t>
        </is>
      </c>
      <c r="G511" t="inlineStr">
        <is>
          <t>PRV1010</t>
        </is>
      </c>
      <c r="H511" t="inlineStr">
        <is>
          <t>L03.115</t>
        </is>
      </c>
      <c r="I511" t="inlineStr">
        <is>
          <t>PY02</t>
        </is>
      </c>
      <c r="J511" s="29" t="n">
        <v>2473.85</v>
      </c>
      <c r="K511" s="30" t="n"/>
    </row>
    <row r="512">
      <c r="A512" t="inlineStr">
        <is>
          <t>ENC121513</t>
        </is>
      </c>
      <c r="B512" t="inlineStr">
        <is>
          <t>PT12452</t>
        </is>
      </c>
      <c r="C512" t="inlineStr">
        <is>
          <t>Outpatient</t>
        </is>
      </c>
      <c r="D512" s="28" t="n">
        <v>46013</v>
      </c>
      <c r="E512" s="28" t="n">
        <v>46013</v>
      </c>
      <c r="F512" t="inlineStr">
        <is>
          <t>D400</t>
        </is>
      </c>
      <c r="G512" t="inlineStr">
        <is>
          <t>PRV1137</t>
        </is>
      </c>
      <c r="H512" t="inlineStr">
        <is>
          <t>Z00.00</t>
        </is>
      </c>
      <c r="I512" t="inlineStr">
        <is>
          <t>PY03</t>
        </is>
      </c>
      <c r="J512" s="29" t="n">
        <v>235.66</v>
      </c>
      <c r="K512" s="30" t="n"/>
    </row>
    <row r="513">
      <c r="A513" t="inlineStr">
        <is>
          <t>ENC121524</t>
        </is>
      </c>
      <c r="B513" t="inlineStr">
        <is>
          <t>PT10118</t>
        </is>
      </c>
      <c r="C513" t="inlineStr">
        <is>
          <t>Outpatient</t>
        </is>
      </c>
      <c r="D513" s="28" t="n">
        <v>46013</v>
      </c>
      <c r="E513" s="28" t="n">
        <v>46013</v>
      </c>
      <c r="F513" t="inlineStr">
        <is>
          <t>D400</t>
        </is>
      </c>
      <c r="G513" t="inlineStr">
        <is>
          <t>PRV1137</t>
        </is>
      </c>
      <c r="H513" t="inlineStr">
        <is>
          <t>Z00.00</t>
        </is>
      </c>
      <c r="I513" t="inlineStr">
        <is>
          <t>PY04</t>
        </is>
      </c>
      <c r="J513" s="29" t="n">
        <v>364.85</v>
      </c>
      <c r="K513" s="30" t="n"/>
    </row>
    <row r="514">
      <c r="A514" t="inlineStr">
        <is>
          <t>ENC121534</t>
        </is>
      </c>
      <c r="B514" t="inlineStr">
        <is>
          <t>PT12604</t>
        </is>
      </c>
      <c r="C514" t="inlineStr">
        <is>
          <t>Inpatient</t>
        </is>
      </c>
      <c r="D514" s="28" t="n">
        <v>46013</v>
      </c>
      <c r="E514" s="28" t="n">
        <v>46014</v>
      </c>
      <c r="F514" t="inlineStr">
        <is>
          <t>D110</t>
        </is>
      </c>
      <c r="G514" t="inlineStr">
        <is>
          <t>PRV1085</t>
        </is>
      </c>
      <c r="H514" t="inlineStr">
        <is>
          <t>K80.20</t>
        </is>
      </c>
      <c r="I514" t="inlineStr">
        <is>
          <t>PY04</t>
        </is>
      </c>
      <c r="J514" s="29" t="n">
        <v>33420.44</v>
      </c>
      <c r="K514" s="30" t="n"/>
    </row>
    <row r="515">
      <c r="A515" t="inlineStr">
        <is>
          <t>ENC121545</t>
        </is>
      </c>
      <c r="B515" t="inlineStr">
        <is>
          <t>PT12635</t>
        </is>
      </c>
      <c r="C515" t="inlineStr">
        <is>
          <t>Outpatient</t>
        </is>
      </c>
      <c r="D515" s="28" t="n">
        <v>46013</v>
      </c>
      <c r="E515" s="28" t="n">
        <v>46013</v>
      </c>
      <c r="F515" t="inlineStr">
        <is>
          <t>D400</t>
        </is>
      </c>
      <c r="G515" t="inlineStr">
        <is>
          <t>PRV1137</t>
        </is>
      </c>
      <c r="H515" t="inlineStr">
        <is>
          <t>F32.9</t>
        </is>
      </c>
      <c r="I515" t="inlineStr">
        <is>
          <t>PY03</t>
        </is>
      </c>
      <c r="J515" s="29" t="n">
        <v>322.88</v>
      </c>
      <c r="K515" s="30" t="n"/>
    </row>
    <row r="516">
      <c r="A516" t="inlineStr">
        <is>
          <t>ENC121584</t>
        </is>
      </c>
      <c r="B516" t="inlineStr">
        <is>
          <t>PT12173</t>
        </is>
      </c>
      <c r="C516" t="inlineStr">
        <is>
          <t>Outpatient</t>
        </is>
      </c>
      <c r="D516" s="28" t="n">
        <v>46014</v>
      </c>
      <c r="E516" s="28" t="n">
        <v>46014</v>
      </c>
      <c r="F516" t="inlineStr">
        <is>
          <t>D400</t>
        </is>
      </c>
      <c r="G516" t="inlineStr">
        <is>
          <t>PRV1137</t>
        </is>
      </c>
      <c r="H516" t="inlineStr">
        <is>
          <t>J06.9</t>
        </is>
      </c>
      <c r="I516" t="inlineStr">
        <is>
          <t>PY01</t>
        </is>
      </c>
      <c r="J516" s="29" t="n">
        <v>261.44</v>
      </c>
      <c r="K516" s="30" t="n"/>
    </row>
    <row r="517">
      <c r="A517" t="inlineStr">
        <is>
          <t>ENC121597</t>
        </is>
      </c>
      <c r="B517" t="inlineStr">
        <is>
          <t>PT13630</t>
        </is>
      </c>
      <c r="C517" t="inlineStr">
        <is>
          <t>Emergency</t>
        </is>
      </c>
      <c r="D517" s="28" t="n">
        <v>46014</v>
      </c>
      <c r="E517" s="28" t="n">
        <v>46014</v>
      </c>
      <c r="F517" t="inlineStr">
        <is>
          <t>D200</t>
        </is>
      </c>
      <c r="G517" t="inlineStr">
        <is>
          <t>PRV1017</t>
        </is>
      </c>
      <c r="H517" t="inlineStr">
        <is>
          <t>S93.401A</t>
        </is>
      </c>
      <c r="I517" t="inlineStr">
        <is>
          <t>PY08</t>
        </is>
      </c>
      <c r="J517" s="29" t="n">
        <v>780.0599999999999</v>
      </c>
      <c r="K517" s="30" t="n"/>
    </row>
    <row r="518">
      <c r="A518" t="inlineStr">
        <is>
          <t>ENC121600</t>
        </is>
      </c>
      <c r="B518" t="inlineStr">
        <is>
          <t>PT11269</t>
        </is>
      </c>
      <c r="C518" t="inlineStr">
        <is>
          <t>Emergency</t>
        </is>
      </c>
      <c r="D518" s="28" t="n">
        <v>46014</v>
      </c>
      <c r="E518" s="28" t="n">
        <v>46014</v>
      </c>
      <c r="F518" t="inlineStr">
        <is>
          <t>D100</t>
        </is>
      </c>
      <c r="G518" t="inlineStr">
        <is>
          <t>PRV1006</t>
        </is>
      </c>
      <c r="H518" t="inlineStr">
        <is>
          <t>U07.1</t>
        </is>
      </c>
      <c r="I518" t="inlineStr">
        <is>
          <t>PY06</t>
        </is>
      </c>
      <c r="J518" s="29" t="n">
        <v>3024.2</v>
      </c>
      <c r="K518" s="30" t="n"/>
    </row>
    <row r="519">
      <c r="A519" t="inlineStr">
        <is>
          <t>ENC121603</t>
        </is>
      </c>
      <c r="B519" t="inlineStr">
        <is>
          <t>PT12635</t>
        </is>
      </c>
      <c r="C519" t="inlineStr">
        <is>
          <t>Emergency</t>
        </is>
      </c>
      <c r="D519" s="28" t="n">
        <v>46014</v>
      </c>
      <c r="E519" s="28" t="n">
        <v>46015</v>
      </c>
      <c r="F519" t="inlineStr">
        <is>
          <t>D300</t>
        </is>
      </c>
      <c r="G519" t="inlineStr">
        <is>
          <t>PRV1026</t>
        </is>
      </c>
      <c r="H519" t="inlineStr">
        <is>
          <t>G43.909</t>
        </is>
      </c>
      <c r="I519" t="inlineStr">
        <is>
          <t>PY03</t>
        </is>
      </c>
      <c r="J519" s="29" t="n">
        <v>1236.46</v>
      </c>
      <c r="K519" s="30" t="n"/>
    </row>
    <row r="520">
      <c r="A520" t="inlineStr">
        <is>
          <t>ENC121604</t>
        </is>
      </c>
      <c r="B520" t="inlineStr">
        <is>
          <t>PT13831</t>
        </is>
      </c>
      <c r="C520" t="inlineStr">
        <is>
          <t>Emergency</t>
        </is>
      </c>
      <c r="D520" s="28" t="n">
        <v>46014</v>
      </c>
      <c r="E520" s="28" t="n">
        <v>46015</v>
      </c>
      <c r="F520" t="inlineStr">
        <is>
          <t>D100</t>
        </is>
      </c>
      <c r="G520" t="inlineStr">
        <is>
          <t>PRV1010</t>
        </is>
      </c>
      <c r="H520" t="inlineStr">
        <is>
          <t>M54.50</t>
        </is>
      </c>
      <c r="I520" t="inlineStr">
        <is>
          <t>PY05</t>
        </is>
      </c>
      <c r="J520" s="29" t="n">
        <v>1719.51</v>
      </c>
      <c r="K520" s="30" t="n"/>
    </row>
    <row r="521">
      <c r="A521" t="inlineStr">
        <is>
          <t>ENC121611</t>
        </is>
      </c>
      <c r="B521" t="inlineStr">
        <is>
          <t>PT12850</t>
        </is>
      </c>
      <c r="C521" t="inlineStr">
        <is>
          <t>Inpatient</t>
        </is>
      </c>
      <c r="D521" s="28" t="n">
        <v>46015</v>
      </c>
      <c r="E521" s="28" t="n">
        <v>46018</v>
      </c>
      <c r="F521" t="inlineStr">
        <is>
          <t>D111</t>
        </is>
      </c>
      <c r="G521" t="inlineStr">
        <is>
          <t>PRV1035</t>
        </is>
      </c>
      <c r="H521" t="inlineStr">
        <is>
          <t>J44.1</t>
        </is>
      </c>
      <c r="I521" t="inlineStr">
        <is>
          <t>PY06</t>
        </is>
      </c>
      <c r="J521" s="29" t="n">
        <v>20087.84</v>
      </c>
      <c r="K521" s="30" t="n"/>
    </row>
    <row r="522">
      <c r="A522" t="inlineStr">
        <is>
          <t>ENC121649</t>
        </is>
      </c>
      <c r="B522" t="inlineStr">
        <is>
          <t>PT10981</t>
        </is>
      </c>
      <c r="C522" t="inlineStr">
        <is>
          <t>Outpatient</t>
        </is>
      </c>
      <c r="D522" s="28" t="n">
        <v>46016</v>
      </c>
      <c r="E522" s="28" t="n">
        <v>46016</v>
      </c>
      <c r="F522" t="inlineStr">
        <is>
          <t>D400</t>
        </is>
      </c>
      <c r="G522" t="inlineStr">
        <is>
          <t>PRV1137</t>
        </is>
      </c>
      <c r="H522" t="inlineStr">
        <is>
          <t>Z00.00</t>
        </is>
      </c>
      <c r="I522" t="inlineStr">
        <is>
          <t>PY01</t>
        </is>
      </c>
      <c r="J522" s="29" t="n">
        <v>289.94</v>
      </c>
      <c r="K522" s="30" t="n"/>
    </row>
    <row r="523">
      <c r="A523" t="inlineStr">
        <is>
          <t>ENC121685</t>
        </is>
      </c>
      <c r="B523" t="inlineStr">
        <is>
          <t>PT11479</t>
        </is>
      </c>
      <c r="C523" t="inlineStr">
        <is>
          <t>Emergency</t>
        </is>
      </c>
      <c r="D523" s="28" t="n">
        <v>46016</v>
      </c>
      <c r="E523" s="28" t="n">
        <v>46016</v>
      </c>
      <c r="F523" t="inlineStr">
        <is>
          <t>D100</t>
        </is>
      </c>
      <c r="G523" t="inlineStr">
        <is>
          <t>PRV1009</t>
        </is>
      </c>
      <c r="H523" t="inlineStr">
        <is>
          <t>J18.9</t>
        </is>
      </c>
      <c r="I523" t="inlineStr">
        <is>
          <t>PY02</t>
        </is>
      </c>
      <c r="J523" s="29" t="n">
        <v>5921.37</v>
      </c>
      <c r="K523" s="30" t="n"/>
    </row>
    <row r="524">
      <c r="A524" t="inlineStr">
        <is>
          <t>ENC121717</t>
        </is>
      </c>
      <c r="B524" t="inlineStr">
        <is>
          <t>PT13412</t>
        </is>
      </c>
      <c r="C524" t="inlineStr">
        <is>
          <t>Outpatient</t>
        </is>
      </c>
      <c r="D524" s="28" t="n">
        <v>46017</v>
      </c>
      <c r="E524" s="28" t="n">
        <v>46017</v>
      </c>
      <c r="F524" t="inlineStr">
        <is>
          <t>D440</t>
        </is>
      </c>
      <c r="G524" t="inlineStr">
        <is>
          <t>PRV1142</t>
        </is>
      </c>
      <c r="H524" t="inlineStr">
        <is>
          <t>E11.65</t>
        </is>
      </c>
      <c r="I524" t="inlineStr">
        <is>
          <t>PY01</t>
        </is>
      </c>
      <c r="J524" s="29" t="n">
        <v>450.2</v>
      </c>
      <c r="K524" s="30" t="n"/>
    </row>
    <row r="525">
      <c r="A525" t="inlineStr">
        <is>
          <t>ENC121766</t>
        </is>
      </c>
      <c r="B525" t="inlineStr">
        <is>
          <t>PT13163</t>
        </is>
      </c>
      <c r="C525" t="inlineStr">
        <is>
          <t>Outpatient</t>
        </is>
      </c>
      <c r="D525" s="28" t="n">
        <v>46020</v>
      </c>
      <c r="E525" s="28" t="n">
        <v>46020</v>
      </c>
      <c r="F525" t="inlineStr">
        <is>
          <t>D440</t>
        </is>
      </c>
      <c r="G525" t="inlineStr">
        <is>
          <t>PRV1141</t>
        </is>
      </c>
      <c r="H525" t="inlineStr">
        <is>
          <t>E11.65</t>
        </is>
      </c>
      <c r="I525" t="inlineStr">
        <is>
          <t>PY07</t>
        </is>
      </c>
      <c r="J525" s="29" t="n">
        <v>189.14</v>
      </c>
      <c r="K525" s="30" t="n"/>
    </row>
    <row r="526">
      <c r="A526" t="inlineStr">
        <is>
          <t>ENC121774</t>
        </is>
      </c>
      <c r="B526" t="inlineStr">
        <is>
          <t>PT12744</t>
        </is>
      </c>
      <c r="C526" t="inlineStr">
        <is>
          <t>Outpatient</t>
        </is>
      </c>
      <c r="D526" s="28" t="n">
        <v>46020</v>
      </c>
      <c r="E526" s="28" t="n">
        <v>46020</v>
      </c>
      <c r="F526" t="inlineStr">
        <is>
          <t>D430</t>
        </is>
      </c>
      <c r="G526" t="inlineStr">
        <is>
          <t>PRV1115</t>
        </is>
      </c>
      <c r="H526" t="inlineStr">
        <is>
          <t>Z51.11</t>
        </is>
      </c>
      <c r="I526" t="inlineStr">
        <is>
          <t>PY03</t>
        </is>
      </c>
      <c r="J526" s="29" t="n">
        <v>8400.440000000001</v>
      </c>
      <c r="K526" s="30" t="n"/>
    </row>
    <row r="527">
      <c r="A527" t="inlineStr">
        <is>
          <t>ENC121797</t>
        </is>
      </c>
      <c r="B527" t="inlineStr">
        <is>
          <t>PT13103</t>
        </is>
      </c>
      <c r="C527" t="inlineStr">
        <is>
          <t>Outpatient</t>
        </is>
      </c>
      <c r="D527" s="28" t="n">
        <v>46021</v>
      </c>
      <c r="E527" s="28" t="n">
        <v>46021</v>
      </c>
      <c r="F527" t="inlineStr">
        <is>
          <t>D400</t>
        </is>
      </c>
      <c r="G527" t="inlineStr">
        <is>
          <t>PRV1137</t>
        </is>
      </c>
      <c r="H527" t="inlineStr">
        <is>
          <t>J06.9</t>
        </is>
      </c>
      <c r="I527" t="inlineStr">
        <is>
          <t>PY06</t>
        </is>
      </c>
      <c r="J527" s="29" t="n">
        <v>260.3</v>
      </c>
      <c r="K527" s="30" t="n"/>
    </row>
    <row r="528">
      <c r="A528" t="inlineStr">
        <is>
          <t>ENC121813</t>
        </is>
      </c>
      <c r="B528" t="inlineStr">
        <is>
          <t>PT12054</t>
        </is>
      </c>
      <c r="C528" t="inlineStr">
        <is>
          <t>Emergency</t>
        </is>
      </c>
      <c r="D528" s="28" t="n">
        <v>46021</v>
      </c>
      <c r="E528" s="28" t="n">
        <v>46021</v>
      </c>
      <c r="F528" t="inlineStr">
        <is>
          <t>D300</t>
        </is>
      </c>
      <c r="G528" t="inlineStr">
        <is>
          <t>PRV1022</t>
        </is>
      </c>
      <c r="H528" t="inlineStr">
        <is>
          <t>J18.9</t>
        </is>
      </c>
      <c r="I528" t="inlineStr">
        <is>
          <t>PY04</t>
        </is>
      </c>
      <c r="J528" s="29" t="n">
        <v>2566.74</v>
      </c>
      <c r="K528" s="30" t="n"/>
    </row>
    <row r="529">
      <c r="A529" t="inlineStr">
        <is>
          <t>ENC121843</t>
        </is>
      </c>
      <c r="B529" t="inlineStr">
        <is>
          <t>PT13926</t>
        </is>
      </c>
      <c r="C529" t="inlineStr">
        <is>
          <t>Emergency</t>
        </is>
      </c>
      <c r="D529" s="28" t="n">
        <v>46022</v>
      </c>
      <c r="E529" s="28" t="n">
        <v>46022</v>
      </c>
      <c r="F529" t="inlineStr">
        <is>
          <t>D200</t>
        </is>
      </c>
      <c r="G529" t="inlineStr">
        <is>
          <t>PRV1019</t>
        </is>
      </c>
      <c r="H529" t="inlineStr">
        <is>
          <t>R07.9</t>
        </is>
      </c>
      <c r="I529" t="inlineStr">
        <is>
          <t>PY06</t>
        </is>
      </c>
      <c r="J529" s="29" t="n">
        <v>2817.88</v>
      </c>
      <c r="K529" s="30" t="n"/>
    </row>
    <row r="530">
      <c r="A530" t="inlineStr">
        <is>
          <t>ENC121856</t>
        </is>
      </c>
      <c r="B530" t="inlineStr">
        <is>
          <t>PT10423</t>
        </is>
      </c>
      <c r="C530" t="inlineStr">
        <is>
          <t>Outpatient</t>
        </is>
      </c>
      <c r="D530" s="28" t="n">
        <v>46022</v>
      </c>
      <c r="E530" s="28" t="n">
        <v>46022</v>
      </c>
      <c r="F530" t="inlineStr">
        <is>
          <t>D440</t>
        </is>
      </c>
      <c r="G530" t="inlineStr">
        <is>
          <t>PRV1142</t>
        </is>
      </c>
      <c r="H530" t="inlineStr">
        <is>
          <t>E11.9</t>
        </is>
      </c>
      <c r="I530" t="inlineStr">
        <is>
          <t>PY02</t>
        </is>
      </c>
      <c r="J530" s="29" t="n">
        <v>401.99</v>
      </c>
      <c r="K530" s="30"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86"/>
  <sheetViews>
    <sheetView tabSelected="0" workbookViewId="0">
      <pane ySplit="1" topLeftCell="A2" activePane="bottomLeft" state="frozen"/>
      <selection pane="bottomLeft" activeCell="A1" sqref="A1"/>
    </sheetView>
  </sheetViews>
  <sheetFormatPr baseColWidth="8" defaultRowHeight="15"/>
  <cols>
    <col width="11" customWidth="1" min="1" max="1"/>
    <col width="11" customWidth="1" min="2" max="2"/>
    <col width="13" customWidth="1" min="3" max="3"/>
    <col width="12" customWidth="1" min="4" max="4"/>
    <col width="9" customWidth="1" min="5" max="5"/>
    <col width="12" customWidth="1" min="6" max="6"/>
    <col width="9" customWidth="1" min="7" max="7"/>
    <col width="10" customWidth="1" min="8" max="8"/>
    <col width="10" customWidth="1" min="9" max="9"/>
    <col width="9" customWidth="1" min="10" max="10"/>
    <col width="16" customWidth="1" min="11" max="11"/>
    <col width="18" customWidth="1" min="12" max="12"/>
  </cols>
  <sheetData>
    <row r="1">
      <c r="A1" s="26" t="inlineStr">
        <is>
          <t>PatientID</t>
        </is>
      </c>
      <c r="B1" s="26" t="inlineStr">
        <is>
          <t>MRN</t>
        </is>
      </c>
      <c r="C1" s="26" t="inlineStr">
        <is>
          <t>FirstName</t>
        </is>
      </c>
      <c r="D1" s="26" t="inlineStr">
        <is>
          <t>LastName</t>
        </is>
      </c>
      <c r="E1" s="26" t="inlineStr">
        <is>
          <t>Sex</t>
        </is>
      </c>
      <c r="F1" s="26" t="inlineStr">
        <is>
          <t>DOB</t>
        </is>
      </c>
      <c r="G1" s="26" t="inlineStr">
        <is>
          <t>Age</t>
        </is>
      </c>
      <c r="H1" s="26" t="inlineStr">
        <is>
          <t>HeightIn</t>
        </is>
      </c>
      <c r="I1" s="26" t="inlineStr">
        <is>
          <t>WeightLb</t>
        </is>
      </c>
      <c r="J1" s="26" t="inlineStr">
        <is>
          <t>BMI</t>
        </is>
      </c>
      <c r="K1" s="26" t="inlineStr">
        <is>
          <t>PrimaryPayerID</t>
        </is>
      </c>
      <c r="L1" s="27" t="inlineStr">
        <is>
          <t>BMICategory</t>
        </is>
      </c>
    </row>
    <row r="2">
      <c r="A2" t="inlineStr">
        <is>
          <t>PT10050</t>
        </is>
      </c>
      <c r="B2" t="inlineStr">
        <is>
          <t>01987874</t>
        </is>
      </c>
      <c r="C2" t="inlineStr">
        <is>
          <t>Patrick</t>
        </is>
      </c>
      <c r="D2" t="inlineStr">
        <is>
          <t>Kim</t>
        </is>
      </c>
      <c r="E2" t="inlineStr">
        <is>
          <t>M</t>
        </is>
      </c>
      <c r="F2" s="28" t="n">
        <v>16878</v>
      </c>
      <c r="G2" t="n">
        <v>79</v>
      </c>
      <c r="H2" s="31" t="n">
        <v>72.3</v>
      </c>
      <c r="I2" s="31" t="n">
        <v>177.1</v>
      </c>
      <c r="J2" s="31" t="n">
        <v>23.8</v>
      </c>
      <c r="K2" t="inlineStr">
        <is>
          <t>PY04</t>
        </is>
      </c>
      <c r="L2" s="30" t="n"/>
    </row>
    <row r="3">
      <c r="A3" t="inlineStr">
        <is>
          <t>PT10065</t>
        </is>
      </c>
      <c r="B3" t="inlineStr">
        <is>
          <t>01729555</t>
        </is>
      </c>
      <c r="C3" t="inlineStr">
        <is>
          <t>James</t>
        </is>
      </c>
      <c r="D3" t="inlineStr">
        <is>
          <t>Henry</t>
        </is>
      </c>
      <c r="E3" t="inlineStr">
        <is>
          <t>M</t>
        </is>
      </c>
      <c r="F3" s="28" t="n">
        <v>19012</v>
      </c>
      <c r="G3" t="n">
        <v>73</v>
      </c>
      <c r="H3" s="31" t="n">
        <v>68.40000000000001</v>
      </c>
      <c r="I3" s="31" t="n">
        <v>229.9</v>
      </c>
      <c r="J3" s="31" t="n">
        <v>34.5</v>
      </c>
      <c r="K3" t="inlineStr">
        <is>
          <t>PY01</t>
        </is>
      </c>
      <c r="L3" s="30" t="n"/>
    </row>
    <row r="4">
      <c r="A4" t="inlineStr">
        <is>
          <t>PT10070</t>
        </is>
      </c>
      <c r="B4" t="inlineStr">
        <is>
          <t>00750668</t>
        </is>
      </c>
      <c r="C4" t="inlineStr">
        <is>
          <t>Carl</t>
        </is>
      </c>
      <c r="D4" t="inlineStr">
        <is>
          <t>Elliott</t>
        </is>
      </c>
      <c r="E4" t="inlineStr">
        <is>
          <t>M</t>
        </is>
      </c>
      <c r="F4" s="28" t="n">
        <v>19277</v>
      </c>
      <c r="G4" t="n">
        <v>73</v>
      </c>
      <c r="H4" s="31" t="n">
        <v>68.40000000000001</v>
      </c>
      <c r="I4" s="31" t="n">
        <v>180.5</v>
      </c>
      <c r="J4" s="31" t="n">
        <v>27.1</v>
      </c>
      <c r="K4" t="inlineStr">
        <is>
          <t>PY02</t>
        </is>
      </c>
      <c r="L4" s="30" t="n"/>
    </row>
    <row r="5">
      <c r="A5" t="inlineStr">
        <is>
          <t>PT10073</t>
        </is>
      </c>
      <c r="B5" t="inlineStr">
        <is>
          <t>03449108</t>
        </is>
      </c>
      <c r="C5" t="inlineStr">
        <is>
          <t>Isabella</t>
        </is>
      </c>
      <c r="D5" t="inlineStr">
        <is>
          <t>Cruz</t>
        </is>
      </c>
      <c r="E5" t="inlineStr">
        <is>
          <t>F</t>
        </is>
      </c>
      <c r="F5" s="28" t="n">
        <v>38279</v>
      </c>
      <c r="G5" t="n">
        <v>21</v>
      </c>
      <c r="H5" s="31" t="n">
        <v>67.5</v>
      </c>
      <c r="I5" s="31" t="n">
        <v>160.1</v>
      </c>
      <c r="J5" s="31" t="n">
        <v>24.7</v>
      </c>
      <c r="K5" t="inlineStr">
        <is>
          <t>PY01</t>
        </is>
      </c>
      <c r="L5" s="30" t="n"/>
    </row>
    <row r="6">
      <c r="A6" t="inlineStr">
        <is>
          <t>PT10084</t>
        </is>
      </c>
      <c r="B6" t="inlineStr">
        <is>
          <t>05752459</t>
        </is>
      </c>
      <c r="C6" t="inlineStr">
        <is>
          <t>Stephen</t>
        </is>
      </c>
      <c r="D6" t="inlineStr">
        <is>
          <t>Ramos</t>
        </is>
      </c>
      <c r="E6" t="inlineStr">
        <is>
          <t>M</t>
        </is>
      </c>
      <c r="F6" s="28" t="n">
        <v>10549</v>
      </c>
      <c r="G6" t="n">
        <v>97</v>
      </c>
      <c r="H6" s="31" t="n">
        <v>69.90000000000001</v>
      </c>
      <c r="I6" s="31" t="n">
        <v>176.9</v>
      </c>
      <c r="J6" s="31" t="n">
        <v>25.5</v>
      </c>
      <c r="K6" t="inlineStr">
        <is>
          <t>PY02</t>
        </is>
      </c>
      <c r="L6" s="30" t="n"/>
    </row>
    <row r="7">
      <c r="A7" t="inlineStr">
        <is>
          <t>PT10085</t>
        </is>
      </c>
      <c r="B7" t="inlineStr">
        <is>
          <t>06705511</t>
        </is>
      </c>
      <c r="C7" t="inlineStr">
        <is>
          <t>Andrew</t>
        </is>
      </c>
      <c r="D7" t="inlineStr">
        <is>
          <t>Hernandez</t>
        </is>
      </c>
      <c r="E7" t="inlineStr">
        <is>
          <t>M</t>
        </is>
      </c>
      <c r="F7" s="28" t="n">
        <v>37824</v>
      </c>
      <c r="G7" t="n">
        <v>22</v>
      </c>
      <c r="H7" s="31" t="n">
        <v>70.8</v>
      </c>
      <c r="I7" s="31" t="n">
        <v>239.3</v>
      </c>
      <c r="J7" s="31" t="n">
        <v>33.6</v>
      </c>
      <c r="K7" t="inlineStr">
        <is>
          <t>PY04</t>
        </is>
      </c>
      <c r="L7" s="30" t="n"/>
    </row>
    <row r="8">
      <c r="A8" t="inlineStr">
        <is>
          <t>PT10103</t>
        </is>
      </c>
      <c r="B8" t="inlineStr">
        <is>
          <t>01509591</t>
        </is>
      </c>
      <c r="C8" t="inlineStr">
        <is>
          <t>Minh</t>
        </is>
      </c>
      <c r="D8" t="inlineStr">
        <is>
          <t>Snyder</t>
        </is>
      </c>
      <c r="E8" t="inlineStr">
        <is>
          <t>M</t>
        </is>
      </c>
      <c r="F8" s="28" t="n">
        <v>21735</v>
      </c>
      <c r="G8" t="n">
        <v>66</v>
      </c>
      <c r="H8" s="31" t="n">
        <v>68.09999999999999</v>
      </c>
      <c r="I8" s="31" t="n">
        <v>171.8</v>
      </c>
      <c r="J8" s="31" t="n">
        <v>26</v>
      </c>
      <c r="K8" t="inlineStr">
        <is>
          <t>PY01</t>
        </is>
      </c>
      <c r="L8" s="30" t="n"/>
    </row>
    <row r="9">
      <c r="A9" t="inlineStr">
        <is>
          <t>PT10107</t>
        </is>
      </c>
      <c r="B9" t="inlineStr">
        <is>
          <t>02363916</t>
        </is>
      </c>
      <c r="C9" t="inlineStr">
        <is>
          <t>Mason</t>
        </is>
      </c>
      <c r="D9" t="inlineStr">
        <is>
          <t>Harrison</t>
        </is>
      </c>
      <c r="E9" t="inlineStr">
        <is>
          <t>M</t>
        </is>
      </c>
      <c r="F9" s="28" t="n">
        <v>36368</v>
      </c>
      <c r="G9" t="n">
        <v>26</v>
      </c>
      <c r="H9" s="31" t="n">
        <v>64</v>
      </c>
      <c r="I9" s="31" t="n">
        <v>157.4</v>
      </c>
      <c r="J9" s="31" t="n">
        <v>27</v>
      </c>
      <c r="K9" t="inlineStr">
        <is>
          <t>PY07</t>
        </is>
      </c>
      <c r="L9" s="30" t="n"/>
    </row>
    <row r="10">
      <c r="A10" t="inlineStr">
        <is>
          <t>PT10118</t>
        </is>
      </c>
      <c r="B10" t="inlineStr">
        <is>
          <t>00397290</t>
        </is>
      </c>
      <c r="C10" t="inlineStr">
        <is>
          <t>Eric</t>
        </is>
      </c>
      <c r="D10" t="inlineStr">
        <is>
          <t>Peterson</t>
        </is>
      </c>
      <c r="E10" t="inlineStr">
        <is>
          <t>M</t>
        </is>
      </c>
      <c r="F10" s="28" t="n">
        <v>17544</v>
      </c>
      <c r="G10" t="n">
        <v>77</v>
      </c>
      <c r="H10" s="31" t="n">
        <v>67.90000000000001</v>
      </c>
      <c r="I10" s="31" t="n">
        <v>136.3</v>
      </c>
      <c r="J10" s="31" t="n">
        <v>20.8</v>
      </c>
      <c r="K10" t="inlineStr">
        <is>
          <t>PY04</t>
        </is>
      </c>
      <c r="L10" s="30" t="n"/>
    </row>
    <row r="11">
      <c r="A11" t="inlineStr">
        <is>
          <t>PT10130</t>
        </is>
      </c>
      <c r="B11" t="inlineStr">
        <is>
          <t>08690991</t>
        </is>
      </c>
      <c r="C11" t="inlineStr">
        <is>
          <t>Maria</t>
        </is>
      </c>
      <c r="D11" t="inlineStr">
        <is>
          <t>Romero</t>
        </is>
      </c>
      <c r="E11" t="inlineStr">
        <is>
          <t>F</t>
        </is>
      </c>
      <c r="F11" s="28" t="n">
        <v>19237</v>
      </c>
      <c r="G11" t="n">
        <v>73</v>
      </c>
      <c r="H11" s="31" t="n">
        <v>63.7</v>
      </c>
      <c r="I11" s="31" t="n">
        <v>124.3</v>
      </c>
      <c r="J11" s="31" t="n">
        <v>21.5</v>
      </c>
      <c r="K11" t="inlineStr">
        <is>
          <t>PY02</t>
        </is>
      </c>
      <c r="L11" s="30" t="n"/>
    </row>
    <row r="12">
      <c r="A12" t="inlineStr">
        <is>
          <t>PT10131</t>
        </is>
      </c>
      <c r="B12" t="inlineStr">
        <is>
          <t>05272828</t>
        </is>
      </c>
      <c r="C12" t="inlineStr">
        <is>
          <t>Alexander</t>
        </is>
      </c>
      <c r="D12" t="inlineStr">
        <is>
          <t>Watson</t>
        </is>
      </c>
      <c r="E12" t="inlineStr">
        <is>
          <t>M</t>
        </is>
      </c>
      <c r="F12" s="28" t="n">
        <v>29322</v>
      </c>
      <c r="G12" t="n">
        <v>45</v>
      </c>
      <c r="H12" s="31" t="n">
        <v>64.3</v>
      </c>
      <c r="I12" s="31" t="n">
        <v>234.2</v>
      </c>
      <c r="J12" s="31" t="n">
        <v>39.8</v>
      </c>
      <c r="K12" t="inlineStr">
        <is>
          <t>PY05</t>
        </is>
      </c>
      <c r="L12" s="30" t="n"/>
    </row>
    <row r="13">
      <c r="A13" t="inlineStr">
        <is>
          <t>PT10167</t>
        </is>
      </c>
      <c r="B13" t="inlineStr">
        <is>
          <t>01444107</t>
        </is>
      </c>
      <c r="C13" t="inlineStr">
        <is>
          <t>Aaliyah</t>
        </is>
      </c>
      <c r="D13" t="inlineStr">
        <is>
          <t>Wood</t>
        </is>
      </c>
      <c r="E13" t="inlineStr">
        <is>
          <t>F</t>
        </is>
      </c>
      <c r="F13" s="28" t="n">
        <v>16950</v>
      </c>
      <c r="G13" t="n">
        <v>79</v>
      </c>
      <c r="H13" s="31" t="n">
        <v>66.7</v>
      </c>
      <c r="I13" s="31" t="n">
        <v>192.3</v>
      </c>
      <c r="J13" s="31" t="n">
        <v>30.4</v>
      </c>
      <c r="K13" t="inlineStr">
        <is>
          <t>PY01</t>
        </is>
      </c>
      <c r="L13" s="30" t="n"/>
    </row>
    <row r="14">
      <c r="A14" t="inlineStr">
        <is>
          <t>PT10184</t>
        </is>
      </c>
      <c r="B14" t="inlineStr">
        <is>
          <t>04439547</t>
        </is>
      </c>
      <c r="C14" t="inlineStr">
        <is>
          <t>Rebecca</t>
        </is>
      </c>
      <c r="D14" t="inlineStr">
        <is>
          <t>Meyer</t>
        </is>
      </c>
      <c r="E14" t="inlineStr">
        <is>
          <t>F</t>
        </is>
      </c>
      <c r="F14" s="28" t="n">
        <v>32953</v>
      </c>
      <c r="G14" t="n">
        <v>35</v>
      </c>
      <c r="H14" s="31" t="n">
        <v>65.09999999999999</v>
      </c>
      <c r="I14" s="31" t="n">
        <v>152</v>
      </c>
      <c r="J14" s="31" t="n">
        <v>25.2</v>
      </c>
      <c r="K14" t="inlineStr">
        <is>
          <t>PY04</t>
        </is>
      </c>
      <c r="L14" s="30" t="n"/>
    </row>
    <row r="15">
      <c r="A15" t="inlineStr">
        <is>
          <t>PT10262</t>
        </is>
      </c>
      <c r="B15" t="inlineStr">
        <is>
          <t>02048708</t>
        </is>
      </c>
      <c r="C15" t="inlineStr">
        <is>
          <t>Tyler</t>
        </is>
      </c>
      <c r="D15" t="inlineStr">
        <is>
          <t>Clark</t>
        </is>
      </c>
      <c r="E15" t="inlineStr">
        <is>
          <t>M</t>
        </is>
      </c>
      <c r="F15" s="28" t="n">
        <v>17252</v>
      </c>
      <c r="G15" t="n">
        <v>78</v>
      </c>
      <c r="H15" s="31" t="n">
        <v>70.7</v>
      </c>
      <c r="I15" s="31" t="n">
        <v>213.7</v>
      </c>
      <c r="J15" s="31" t="n">
        <v>30.1</v>
      </c>
      <c r="K15" t="inlineStr">
        <is>
          <t>PY02</t>
        </is>
      </c>
      <c r="L15" s="30" t="n"/>
    </row>
    <row r="16">
      <c r="A16" t="inlineStr">
        <is>
          <t>PT10264</t>
        </is>
      </c>
      <c r="B16" t="inlineStr">
        <is>
          <t>06291850</t>
        </is>
      </c>
      <c r="C16" t="inlineStr">
        <is>
          <t>Diana</t>
        </is>
      </c>
      <c r="D16" t="inlineStr">
        <is>
          <t>Robertson</t>
        </is>
      </c>
      <c r="E16" t="inlineStr">
        <is>
          <t>F</t>
        </is>
      </c>
      <c r="F16" s="28" t="n">
        <v>35680</v>
      </c>
      <c r="G16" t="n">
        <v>28</v>
      </c>
      <c r="H16" s="31" t="n">
        <v>65</v>
      </c>
      <c r="I16" s="31" t="n">
        <v>174.4</v>
      </c>
      <c r="J16" s="31" t="n">
        <v>29</v>
      </c>
      <c r="K16" t="inlineStr">
        <is>
          <t>PY04</t>
        </is>
      </c>
      <c r="L16" s="30" t="n"/>
    </row>
    <row r="17">
      <c r="A17" t="inlineStr">
        <is>
          <t>PT10274</t>
        </is>
      </c>
      <c r="B17" t="inlineStr">
        <is>
          <t>07280278</t>
        </is>
      </c>
      <c r="C17" t="inlineStr">
        <is>
          <t>Matthew</t>
        </is>
      </c>
      <c r="D17" t="inlineStr">
        <is>
          <t>Stewart</t>
        </is>
      </c>
      <c r="E17" t="inlineStr">
        <is>
          <t>M</t>
        </is>
      </c>
      <c r="F17" s="28" t="n">
        <v>9872</v>
      </c>
      <c r="G17" t="n">
        <v>98</v>
      </c>
      <c r="H17" s="31" t="n">
        <v>72.2</v>
      </c>
      <c r="I17" s="31" t="n">
        <v>169</v>
      </c>
      <c r="J17" s="31" t="n">
        <v>22.8</v>
      </c>
      <c r="K17" t="inlineStr">
        <is>
          <t>PY01</t>
        </is>
      </c>
      <c r="L17" s="30" t="n"/>
    </row>
    <row r="18">
      <c r="A18" t="inlineStr">
        <is>
          <t>PT10287</t>
        </is>
      </c>
      <c r="B18" t="inlineStr">
        <is>
          <t>01903151</t>
        </is>
      </c>
      <c r="C18" t="inlineStr">
        <is>
          <t>Jean</t>
        </is>
      </c>
      <c r="D18" t="inlineStr">
        <is>
          <t>Hansen</t>
        </is>
      </c>
      <c r="E18" t="inlineStr">
        <is>
          <t>F</t>
        </is>
      </c>
      <c r="F18" s="28" t="n">
        <v>29578</v>
      </c>
      <c r="G18" t="n">
        <v>45</v>
      </c>
      <c r="H18" s="31" t="n">
        <v>59.9</v>
      </c>
      <c r="I18" s="31" t="n">
        <v>207</v>
      </c>
      <c r="J18" s="31" t="n">
        <v>40.6</v>
      </c>
      <c r="K18" t="inlineStr">
        <is>
          <t>PY05</t>
        </is>
      </c>
      <c r="L18" s="30" t="n"/>
    </row>
    <row r="19">
      <c r="A19" t="inlineStr">
        <is>
          <t>PT10308</t>
        </is>
      </c>
      <c r="B19" t="inlineStr">
        <is>
          <t>02217215</t>
        </is>
      </c>
      <c r="C19" t="inlineStr">
        <is>
          <t>Grace</t>
        </is>
      </c>
      <c r="D19" t="inlineStr">
        <is>
          <t>Chavez</t>
        </is>
      </c>
      <c r="E19" t="inlineStr">
        <is>
          <t>F</t>
        </is>
      </c>
      <c r="F19" s="28" t="n">
        <v>23329</v>
      </c>
      <c r="G19" t="n">
        <v>62</v>
      </c>
      <c r="H19" s="31" t="n">
        <v>65.2</v>
      </c>
      <c r="I19" s="31" t="n">
        <v>182.5</v>
      </c>
      <c r="J19" s="31" t="n">
        <v>30.2</v>
      </c>
      <c r="K19" t="inlineStr">
        <is>
          <t>PY03</t>
        </is>
      </c>
      <c r="L19" s="30" t="n"/>
    </row>
    <row r="20">
      <c r="A20" t="inlineStr">
        <is>
          <t>PT10351</t>
        </is>
      </c>
      <c r="B20" t="inlineStr">
        <is>
          <t>09027798</t>
        </is>
      </c>
      <c r="C20" t="inlineStr">
        <is>
          <t>Bradley</t>
        </is>
      </c>
      <c r="D20" t="inlineStr">
        <is>
          <t>Pierce</t>
        </is>
      </c>
      <c r="E20" t="inlineStr">
        <is>
          <t>M</t>
        </is>
      </c>
      <c r="F20" s="28" t="n">
        <v>9737</v>
      </c>
      <c r="G20" t="n">
        <v>99</v>
      </c>
      <c r="H20" s="31" t="n">
        <v>68.2</v>
      </c>
      <c r="I20" s="31" t="n">
        <v>149.5</v>
      </c>
      <c r="J20" s="31" t="n">
        <v>22.6</v>
      </c>
      <c r="K20" t="inlineStr">
        <is>
          <t>PY01</t>
        </is>
      </c>
      <c r="L20" s="30" t="n"/>
    </row>
    <row r="21">
      <c r="A21" t="inlineStr">
        <is>
          <t>PT10395</t>
        </is>
      </c>
      <c r="B21" t="inlineStr">
        <is>
          <t>03470651</t>
        </is>
      </c>
      <c r="C21" t="inlineStr">
        <is>
          <t>Steven</t>
        </is>
      </c>
      <c r="D21" t="inlineStr">
        <is>
          <t>Petrov</t>
        </is>
      </c>
      <c r="E21" t="inlineStr">
        <is>
          <t>M</t>
        </is>
      </c>
      <c r="F21" s="28" t="n">
        <v>18414</v>
      </c>
      <c r="G21" t="n">
        <v>75</v>
      </c>
      <c r="H21" s="31" t="n">
        <v>68.8</v>
      </c>
      <c r="I21" s="31" t="n">
        <v>197</v>
      </c>
      <c r="J21" s="31" t="n">
        <v>29.3</v>
      </c>
      <c r="K21" t="inlineStr">
        <is>
          <t>PY02</t>
        </is>
      </c>
      <c r="L21" s="30" t="n"/>
    </row>
    <row r="22">
      <c r="A22" t="inlineStr">
        <is>
          <t>PT10413</t>
        </is>
      </c>
      <c r="B22" t="inlineStr">
        <is>
          <t>00254573</t>
        </is>
      </c>
      <c r="C22" t="inlineStr">
        <is>
          <t>Janice</t>
        </is>
      </c>
      <c r="D22" t="inlineStr">
        <is>
          <t>Miller</t>
        </is>
      </c>
      <c r="E22" t="inlineStr">
        <is>
          <t>F</t>
        </is>
      </c>
      <c r="F22" s="28" t="n">
        <v>28459</v>
      </c>
      <c r="G22" t="n">
        <v>48</v>
      </c>
      <c r="H22" s="31" t="n">
        <v>67.8</v>
      </c>
      <c r="I22" s="31" t="n">
        <v>134.6</v>
      </c>
      <c r="J22" s="31" t="n">
        <v>20.6</v>
      </c>
      <c r="K22" t="inlineStr">
        <is>
          <t>PY07</t>
        </is>
      </c>
      <c r="L22" s="30" t="n"/>
    </row>
    <row r="23">
      <c r="A23" t="inlineStr">
        <is>
          <t>PT10423</t>
        </is>
      </c>
      <c r="B23" t="inlineStr">
        <is>
          <t>08937253</t>
        </is>
      </c>
      <c r="C23" t="inlineStr">
        <is>
          <t>Ava</t>
        </is>
      </c>
      <c r="D23" t="inlineStr">
        <is>
          <t>Harrison</t>
        </is>
      </c>
      <c r="E23" t="inlineStr">
        <is>
          <t>F</t>
        </is>
      </c>
      <c r="F23" s="28" t="n">
        <v>19504</v>
      </c>
      <c r="G23" t="n">
        <v>72</v>
      </c>
      <c r="H23" s="31" t="n">
        <v>63.1</v>
      </c>
      <c r="I23" s="31" t="n">
        <v>101.4</v>
      </c>
      <c r="J23" s="31" t="n">
        <v>17.9</v>
      </c>
      <c r="K23" t="inlineStr">
        <is>
          <t>PY02</t>
        </is>
      </c>
      <c r="L23" s="30" t="n"/>
    </row>
    <row r="24">
      <c r="A24" t="inlineStr">
        <is>
          <t>PT10424</t>
        </is>
      </c>
      <c r="B24" t="inlineStr">
        <is>
          <t>08163756</t>
        </is>
      </c>
      <c r="C24" t="inlineStr">
        <is>
          <t>Olivia</t>
        </is>
      </c>
      <c r="D24" t="inlineStr">
        <is>
          <t>Mendez</t>
        </is>
      </c>
      <c r="E24" t="inlineStr">
        <is>
          <t>F</t>
        </is>
      </c>
      <c r="F24" s="28" t="n">
        <v>36362</v>
      </c>
      <c r="G24" t="n">
        <v>26</v>
      </c>
      <c r="H24" s="31" t="n">
        <v>65.3</v>
      </c>
      <c r="I24" s="31" t="n">
        <v>245.3</v>
      </c>
      <c r="J24" s="31" t="n">
        <v>40.4</v>
      </c>
      <c r="K24" t="inlineStr">
        <is>
          <t>PY07</t>
        </is>
      </c>
      <c r="L24" s="30" t="n"/>
    </row>
    <row r="25">
      <c r="A25" t="inlineStr">
        <is>
          <t>PT10441</t>
        </is>
      </c>
      <c r="B25" t="inlineStr">
        <is>
          <t>02708582</t>
        </is>
      </c>
      <c r="C25" t="inlineStr">
        <is>
          <t>Kenneth</t>
        </is>
      </c>
      <c r="D25" t="inlineStr">
        <is>
          <t>Hunt</t>
        </is>
      </c>
      <c r="E25" t="inlineStr">
        <is>
          <t>M</t>
        </is>
      </c>
      <c r="F25" s="28" t="n">
        <v>21255</v>
      </c>
      <c r="G25" t="n">
        <v>67</v>
      </c>
      <c r="H25" s="31" t="n">
        <v>66.2</v>
      </c>
      <c r="I25" s="31" t="n">
        <v>239.2</v>
      </c>
      <c r="J25" s="31" t="n">
        <v>38.4</v>
      </c>
      <c r="K25" t="inlineStr">
        <is>
          <t>PY02</t>
        </is>
      </c>
      <c r="L25" s="30" t="n"/>
    </row>
    <row r="26">
      <c r="A26" t="inlineStr">
        <is>
          <t>PT10444</t>
        </is>
      </c>
      <c r="B26" t="inlineStr">
        <is>
          <t>08425893</t>
        </is>
      </c>
      <c r="C26" t="inlineStr">
        <is>
          <t>Elizabeth</t>
        </is>
      </c>
      <c r="D26" t="inlineStr">
        <is>
          <t>Okafor</t>
        </is>
      </c>
      <c r="E26" t="inlineStr">
        <is>
          <t>F</t>
        </is>
      </c>
      <c r="F26" s="28" t="n">
        <v>19551</v>
      </c>
      <c r="G26" t="n">
        <v>72</v>
      </c>
      <c r="H26" s="31" t="n">
        <v>64.90000000000001</v>
      </c>
      <c r="I26" s="31" t="n">
        <v>155.9</v>
      </c>
      <c r="J26" s="31" t="n">
        <v>26</v>
      </c>
      <c r="K26" t="inlineStr">
        <is>
          <t>PY01</t>
        </is>
      </c>
      <c r="L26" s="30" t="n"/>
    </row>
    <row r="27">
      <c r="A27" t="inlineStr">
        <is>
          <t>PT10463</t>
        </is>
      </c>
      <c r="B27" t="inlineStr">
        <is>
          <t>09504842</t>
        </is>
      </c>
      <c r="C27" t="inlineStr">
        <is>
          <t>Donna</t>
        </is>
      </c>
      <c r="D27" t="inlineStr">
        <is>
          <t>Owens</t>
        </is>
      </c>
      <c r="E27" t="inlineStr">
        <is>
          <t>F</t>
        </is>
      </c>
      <c r="F27" s="28" t="n">
        <v>15000</v>
      </c>
      <c r="G27" t="n">
        <v>84</v>
      </c>
      <c r="H27" s="31" t="n">
        <v>67.59999999999999</v>
      </c>
      <c r="I27" s="31" t="n">
        <v>226.2</v>
      </c>
      <c r="J27" s="31" t="n">
        <v>34.8</v>
      </c>
      <c r="K27" t="inlineStr">
        <is>
          <t>PY02</t>
        </is>
      </c>
      <c r="L27" s="30" t="n"/>
    </row>
    <row r="28">
      <c r="A28" t="inlineStr">
        <is>
          <t>PT10465</t>
        </is>
      </c>
      <c r="B28" t="inlineStr">
        <is>
          <t>07295772</t>
        </is>
      </c>
      <c r="C28" t="inlineStr">
        <is>
          <t>Patrick</t>
        </is>
      </c>
      <c r="D28" t="inlineStr">
        <is>
          <t>Peterson</t>
        </is>
      </c>
      <c r="E28" t="inlineStr">
        <is>
          <t>M</t>
        </is>
      </c>
      <c r="F28" s="28" t="n">
        <v>17332</v>
      </c>
      <c r="G28" t="n">
        <v>78</v>
      </c>
      <c r="H28" s="31" t="n">
        <v>71</v>
      </c>
      <c r="I28" s="31" t="n">
        <v>295.6</v>
      </c>
      <c r="J28" s="31" t="n">
        <v>41.2</v>
      </c>
      <c r="K28" t="inlineStr">
        <is>
          <t>PY01</t>
        </is>
      </c>
      <c r="L28" s="30" t="n"/>
    </row>
    <row r="29">
      <c r="A29" t="inlineStr">
        <is>
          <t>PT10511</t>
        </is>
      </c>
      <c r="B29" t="inlineStr">
        <is>
          <t>09620447</t>
        </is>
      </c>
      <c r="C29" t="inlineStr">
        <is>
          <t>Shirley</t>
        </is>
      </c>
      <c r="D29" t="inlineStr">
        <is>
          <t>Hart</t>
        </is>
      </c>
      <c r="E29" t="inlineStr">
        <is>
          <t>F</t>
        </is>
      </c>
      <c r="F29" s="28" t="n">
        <v>22976</v>
      </c>
      <c r="G29" t="n">
        <v>63</v>
      </c>
      <c r="H29" s="31" t="n">
        <v>66.8</v>
      </c>
      <c r="I29" s="31" t="n">
        <v>124.9</v>
      </c>
      <c r="J29" s="31" t="n">
        <v>19.7</v>
      </c>
      <c r="K29" t="inlineStr">
        <is>
          <t>PY06</t>
        </is>
      </c>
      <c r="L29" s="30" t="n"/>
    </row>
    <row r="30">
      <c r="A30" t="inlineStr">
        <is>
          <t>PT10513</t>
        </is>
      </c>
      <c r="B30" t="inlineStr">
        <is>
          <t>06695347</t>
        </is>
      </c>
      <c r="C30" t="inlineStr">
        <is>
          <t>Ryan</t>
        </is>
      </c>
      <c r="D30" t="inlineStr">
        <is>
          <t>Cooper</t>
        </is>
      </c>
      <c r="E30" t="inlineStr">
        <is>
          <t>M</t>
        </is>
      </c>
      <c r="F30" s="28" t="n">
        <v>26471</v>
      </c>
      <c r="G30" t="n">
        <v>53</v>
      </c>
      <c r="H30" s="31" t="n">
        <v>67.59999999999999</v>
      </c>
      <c r="I30" s="31" t="n">
        <v>125.7</v>
      </c>
      <c r="J30" s="31" t="n">
        <v>19.3</v>
      </c>
      <c r="K30" t="inlineStr">
        <is>
          <t>PY04</t>
        </is>
      </c>
      <c r="L30" s="30" t="n"/>
    </row>
    <row r="31">
      <c r="A31" t="inlineStr">
        <is>
          <t>PT10517</t>
        </is>
      </c>
      <c r="B31" t="inlineStr">
        <is>
          <t>06540715</t>
        </is>
      </c>
      <c r="C31" t="inlineStr">
        <is>
          <t>Kelly</t>
        </is>
      </c>
      <c r="D31" t="inlineStr">
        <is>
          <t>Adams</t>
        </is>
      </c>
      <c r="E31" t="inlineStr">
        <is>
          <t>F</t>
        </is>
      </c>
      <c r="F31" s="28" t="n">
        <v>19111</v>
      </c>
      <c r="G31" t="n">
        <v>73</v>
      </c>
      <c r="H31" s="31" t="n">
        <v>60.4</v>
      </c>
      <c r="I31" s="31" t="n">
        <v>156.3</v>
      </c>
      <c r="J31" s="31" t="n">
        <v>30.1</v>
      </c>
      <c r="K31" t="inlineStr">
        <is>
          <t>PY04</t>
        </is>
      </c>
      <c r="L31" s="30" t="n"/>
    </row>
    <row r="32">
      <c r="A32" t="inlineStr">
        <is>
          <t>PT10528</t>
        </is>
      </c>
      <c r="B32" t="inlineStr">
        <is>
          <t>06828964</t>
        </is>
      </c>
      <c r="C32" t="inlineStr">
        <is>
          <t>Susan</t>
        </is>
      </c>
      <c r="D32" t="inlineStr">
        <is>
          <t>Murphy</t>
        </is>
      </c>
      <c r="E32" t="inlineStr">
        <is>
          <t>F</t>
        </is>
      </c>
      <c r="F32" s="28" t="n">
        <v>12636</v>
      </c>
      <c r="G32" t="n">
        <v>91</v>
      </c>
      <c r="H32" s="31" t="n">
        <v>61.5</v>
      </c>
      <c r="I32" s="31" t="n">
        <v>166.9</v>
      </c>
      <c r="J32" s="31" t="n">
        <v>31</v>
      </c>
      <c r="K32" t="inlineStr">
        <is>
          <t>PY01</t>
        </is>
      </c>
      <c r="L32" s="30" t="n"/>
    </row>
    <row r="33">
      <c r="A33" t="inlineStr">
        <is>
          <t>PT10532</t>
        </is>
      </c>
      <c r="B33" t="inlineStr">
        <is>
          <t>08582059</t>
        </is>
      </c>
      <c r="C33" t="inlineStr">
        <is>
          <t>Nancy</t>
        </is>
      </c>
      <c r="D33" t="inlineStr">
        <is>
          <t>Pierce</t>
        </is>
      </c>
      <c r="E33" t="inlineStr">
        <is>
          <t>F</t>
        </is>
      </c>
      <c r="F33" s="28" t="n">
        <v>37739</v>
      </c>
      <c r="G33" t="n">
        <v>22</v>
      </c>
      <c r="H33" s="31" t="n">
        <v>66.59999999999999</v>
      </c>
      <c r="I33" s="31" t="n">
        <v>240.4</v>
      </c>
      <c r="J33" s="31" t="n">
        <v>38.1</v>
      </c>
      <c r="K33" t="inlineStr">
        <is>
          <t>PY04</t>
        </is>
      </c>
      <c r="L33" s="30" t="n"/>
    </row>
    <row r="34">
      <c r="A34" t="inlineStr">
        <is>
          <t>PT10579</t>
        </is>
      </c>
      <c r="B34" t="inlineStr">
        <is>
          <t>02538816</t>
        </is>
      </c>
      <c r="C34" t="inlineStr">
        <is>
          <t>Megan</t>
        </is>
      </c>
      <c r="D34" t="inlineStr">
        <is>
          <t>Ramirez</t>
        </is>
      </c>
      <c r="E34" t="inlineStr">
        <is>
          <t>F</t>
        </is>
      </c>
      <c r="F34" s="28" t="n">
        <v>23028</v>
      </c>
      <c r="G34" t="n">
        <v>62</v>
      </c>
      <c r="H34" s="31" t="n">
        <v>63.6</v>
      </c>
      <c r="I34" s="31" t="n">
        <v>94.90000000000001</v>
      </c>
      <c r="J34" s="31" t="n">
        <v>16.5</v>
      </c>
      <c r="K34" t="inlineStr">
        <is>
          <t>PY04</t>
        </is>
      </c>
      <c r="L34" s="30" t="n"/>
    </row>
    <row r="35">
      <c r="A35" t="inlineStr">
        <is>
          <t>PT10606</t>
        </is>
      </c>
      <c r="B35" t="inlineStr">
        <is>
          <t>08854918</t>
        </is>
      </c>
      <c r="C35" t="inlineStr">
        <is>
          <t>Ruth</t>
        </is>
      </c>
      <c r="D35" t="inlineStr">
        <is>
          <t>Alvarez</t>
        </is>
      </c>
      <c r="E35" t="inlineStr">
        <is>
          <t>F</t>
        </is>
      </c>
      <c r="F35" s="28" t="n">
        <v>20640</v>
      </c>
      <c r="G35" t="n">
        <v>69</v>
      </c>
      <c r="H35" s="31" t="n">
        <v>63.4</v>
      </c>
      <c r="I35" s="31" t="n">
        <v>135.7</v>
      </c>
      <c r="J35" s="31" t="n">
        <v>23.7</v>
      </c>
      <c r="K35" t="inlineStr">
        <is>
          <t>PY01</t>
        </is>
      </c>
      <c r="L35" s="30" t="n"/>
    </row>
    <row r="36">
      <c r="A36" t="inlineStr">
        <is>
          <t>PT10617</t>
        </is>
      </c>
      <c r="B36" t="inlineStr">
        <is>
          <t>06768949</t>
        </is>
      </c>
      <c r="C36" t="inlineStr">
        <is>
          <t>Camila</t>
        </is>
      </c>
      <c r="D36" t="inlineStr">
        <is>
          <t>Soto</t>
        </is>
      </c>
      <c r="E36" t="inlineStr">
        <is>
          <t>F</t>
        </is>
      </c>
      <c r="F36" s="28" t="n">
        <v>26631</v>
      </c>
      <c r="G36" t="n">
        <v>53</v>
      </c>
      <c r="H36" s="31" t="n">
        <v>63.2</v>
      </c>
      <c r="I36" s="31" t="n">
        <v>164</v>
      </c>
      <c r="J36" s="31" t="n">
        <v>28.9</v>
      </c>
      <c r="K36" t="inlineStr">
        <is>
          <t>PY03</t>
        </is>
      </c>
      <c r="L36" s="30" t="n"/>
    </row>
    <row r="37">
      <c r="A37" t="inlineStr">
        <is>
          <t>PT10633</t>
        </is>
      </c>
      <c r="B37" t="inlineStr">
        <is>
          <t>06834275</t>
        </is>
      </c>
      <c r="C37" t="inlineStr">
        <is>
          <t>Nicole</t>
        </is>
      </c>
      <c r="D37" t="inlineStr">
        <is>
          <t>Cunningham</t>
        </is>
      </c>
      <c r="E37" t="inlineStr">
        <is>
          <t>F</t>
        </is>
      </c>
      <c r="F37" s="28" t="n">
        <v>11288</v>
      </c>
      <c r="G37" t="n">
        <v>95</v>
      </c>
      <c r="H37" s="31" t="n">
        <v>64.3</v>
      </c>
      <c r="I37" s="31" t="n">
        <v>160.9</v>
      </c>
      <c r="J37" s="31" t="n">
        <v>27.4</v>
      </c>
      <c r="K37" t="inlineStr">
        <is>
          <t>PY02</t>
        </is>
      </c>
      <c r="L37" s="30" t="n"/>
    </row>
    <row r="38">
      <c r="A38" t="inlineStr">
        <is>
          <t>PT10695</t>
        </is>
      </c>
      <c r="B38" t="inlineStr">
        <is>
          <t>00633088</t>
        </is>
      </c>
      <c r="C38" t="inlineStr">
        <is>
          <t>Nicholas</t>
        </is>
      </c>
      <c r="D38" t="inlineStr">
        <is>
          <t>Foster</t>
        </is>
      </c>
      <c r="E38" t="inlineStr">
        <is>
          <t>M</t>
        </is>
      </c>
      <c r="F38" s="28" t="n">
        <v>31812</v>
      </c>
      <c r="G38" t="n">
        <v>38</v>
      </c>
      <c r="H38" s="31" t="n">
        <v>67.09999999999999</v>
      </c>
      <c r="I38" s="31" t="n">
        <v>250.1</v>
      </c>
      <c r="J38" s="31" t="n">
        <v>39.1</v>
      </c>
      <c r="K38" t="inlineStr">
        <is>
          <t>PY03</t>
        </is>
      </c>
      <c r="L38" s="30" t="n"/>
    </row>
    <row r="39">
      <c r="A39" t="inlineStr">
        <is>
          <t>PT10709</t>
        </is>
      </c>
      <c r="B39" t="inlineStr">
        <is>
          <t>07260113</t>
        </is>
      </c>
      <c r="C39" t="inlineStr">
        <is>
          <t>Timothy</t>
        </is>
      </c>
      <c r="D39" t="inlineStr">
        <is>
          <t>Jimenez</t>
        </is>
      </c>
      <c r="E39" t="inlineStr">
        <is>
          <t>M</t>
        </is>
      </c>
      <c r="F39" s="28" t="n">
        <v>28879</v>
      </c>
      <c r="G39" t="n">
        <v>46</v>
      </c>
      <c r="H39" s="31" t="n">
        <v>72.09999999999999</v>
      </c>
      <c r="I39" s="31" t="n">
        <v>151.6</v>
      </c>
      <c r="J39" s="31" t="n">
        <v>20.5</v>
      </c>
      <c r="K39" t="inlineStr">
        <is>
          <t>PY04</t>
        </is>
      </c>
      <c r="L39" s="30" t="n"/>
    </row>
    <row r="40">
      <c r="A40" t="inlineStr">
        <is>
          <t>PT10724</t>
        </is>
      </c>
      <c r="B40" t="inlineStr">
        <is>
          <t>04938178</t>
        </is>
      </c>
      <c r="C40" t="inlineStr">
        <is>
          <t>Ethan</t>
        </is>
      </c>
      <c r="D40" t="inlineStr">
        <is>
          <t>Bailey</t>
        </is>
      </c>
      <c r="E40" t="inlineStr">
        <is>
          <t>M</t>
        </is>
      </c>
      <c r="F40" s="28" t="n">
        <v>24091</v>
      </c>
      <c r="G40" t="n">
        <v>60</v>
      </c>
      <c r="H40" s="31" t="n">
        <v>68.3</v>
      </c>
      <c r="I40" s="31" t="n">
        <v>198.9</v>
      </c>
      <c r="J40" s="31" t="n">
        <v>30</v>
      </c>
      <c r="K40" t="inlineStr">
        <is>
          <t>PY05</t>
        </is>
      </c>
      <c r="L40" s="30" t="n"/>
    </row>
    <row r="41">
      <c r="A41" t="inlineStr">
        <is>
          <t>PT10772</t>
        </is>
      </c>
      <c r="B41" t="inlineStr">
        <is>
          <t>03772618</t>
        </is>
      </c>
      <c r="C41" t="inlineStr">
        <is>
          <t>Billy</t>
        </is>
      </c>
      <c r="D41" t="inlineStr">
        <is>
          <t>Richards</t>
        </is>
      </c>
      <c r="E41" t="inlineStr">
        <is>
          <t>M</t>
        </is>
      </c>
      <c r="F41" s="28" t="n">
        <v>11921</v>
      </c>
      <c r="G41" t="n">
        <v>93</v>
      </c>
      <c r="H41" s="31" t="n">
        <v>68.59999999999999</v>
      </c>
      <c r="I41" s="31" t="n">
        <v>159.3</v>
      </c>
      <c r="J41" s="31" t="n">
        <v>23.8</v>
      </c>
      <c r="K41" t="inlineStr">
        <is>
          <t>PY02</t>
        </is>
      </c>
      <c r="L41" s="30" t="n"/>
    </row>
    <row r="42">
      <c r="A42" t="inlineStr">
        <is>
          <t>PT10777</t>
        </is>
      </c>
      <c r="B42" t="inlineStr">
        <is>
          <t>08247600</t>
        </is>
      </c>
      <c r="C42" t="inlineStr">
        <is>
          <t>Paul</t>
        </is>
      </c>
      <c r="D42" t="inlineStr">
        <is>
          <t>Cruz</t>
        </is>
      </c>
      <c r="E42" t="inlineStr">
        <is>
          <t>M</t>
        </is>
      </c>
      <c r="F42" s="28" t="n">
        <v>21286</v>
      </c>
      <c r="G42" t="n">
        <v>67</v>
      </c>
      <c r="H42" s="31" t="n">
        <v>68.5</v>
      </c>
      <c r="I42" s="31" t="n">
        <v>222.6</v>
      </c>
      <c r="J42" s="31" t="n">
        <v>33.4</v>
      </c>
      <c r="K42" t="inlineStr">
        <is>
          <t>PY01</t>
        </is>
      </c>
      <c r="L42" s="30" t="n"/>
    </row>
    <row r="43">
      <c r="A43" t="inlineStr">
        <is>
          <t>PT10808</t>
        </is>
      </c>
      <c r="B43" t="inlineStr">
        <is>
          <t>02110671</t>
        </is>
      </c>
      <c r="C43" t="inlineStr">
        <is>
          <t>Ethan</t>
        </is>
      </c>
      <c r="D43" t="inlineStr">
        <is>
          <t>Kim</t>
        </is>
      </c>
      <c r="E43" t="inlineStr">
        <is>
          <t>M</t>
        </is>
      </c>
      <c r="F43" s="28" t="n">
        <v>11466</v>
      </c>
      <c r="G43" t="n">
        <v>94</v>
      </c>
      <c r="H43" s="31" t="n">
        <v>66</v>
      </c>
      <c r="I43" s="31" t="n">
        <v>128.6</v>
      </c>
      <c r="J43" s="31" t="n">
        <v>20.8</v>
      </c>
      <c r="K43" t="inlineStr">
        <is>
          <t>PY01</t>
        </is>
      </c>
      <c r="L43" s="30" t="n"/>
    </row>
    <row r="44">
      <c r="A44" t="inlineStr">
        <is>
          <t>PT10834</t>
        </is>
      </c>
      <c r="B44" t="inlineStr">
        <is>
          <t>08959529</t>
        </is>
      </c>
      <c r="C44" t="inlineStr">
        <is>
          <t>Marie</t>
        </is>
      </c>
      <c r="D44" t="inlineStr">
        <is>
          <t>Pena</t>
        </is>
      </c>
      <c r="E44" t="inlineStr">
        <is>
          <t>F</t>
        </is>
      </c>
      <c r="F44" s="28" t="n">
        <v>22986</v>
      </c>
      <c r="G44" t="n">
        <v>63</v>
      </c>
      <c r="H44" s="31" t="n">
        <v>59.2</v>
      </c>
      <c r="I44" s="31" t="n">
        <v>183.6</v>
      </c>
      <c r="J44" s="31" t="n">
        <v>36.8</v>
      </c>
      <c r="K44" t="inlineStr">
        <is>
          <t>PY06</t>
        </is>
      </c>
      <c r="L44" s="30" t="n"/>
    </row>
    <row r="45">
      <c r="A45" t="inlineStr">
        <is>
          <t>PT10843</t>
        </is>
      </c>
      <c r="B45" t="inlineStr">
        <is>
          <t>03382992</t>
        </is>
      </c>
      <c r="C45" t="inlineStr">
        <is>
          <t>Cheryl</t>
        </is>
      </c>
      <c r="D45" t="inlineStr">
        <is>
          <t>Parker</t>
        </is>
      </c>
      <c r="E45" t="inlineStr">
        <is>
          <t>F</t>
        </is>
      </c>
      <c r="F45" s="28" t="n">
        <v>22293</v>
      </c>
      <c r="G45" t="n">
        <v>64</v>
      </c>
      <c r="H45" s="31" t="n">
        <v>68.8</v>
      </c>
      <c r="I45" s="31" t="n">
        <v>227.6</v>
      </c>
      <c r="J45" s="31" t="n">
        <v>33.8</v>
      </c>
      <c r="K45" t="inlineStr">
        <is>
          <t>PY07</t>
        </is>
      </c>
      <c r="L45" s="30" t="n"/>
    </row>
    <row r="46">
      <c r="A46" t="inlineStr">
        <is>
          <t>PT10876</t>
        </is>
      </c>
      <c r="B46" t="inlineStr">
        <is>
          <t>06533564</t>
        </is>
      </c>
      <c r="C46" t="inlineStr">
        <is>
          <t>Alexis</t>
        </is>
      </c>
      <c r="D46" t="inlineStr">
        <is>
          <t>Gordon</t>
        </is>
      </c>
      <c r="E46" t="inlineStr">
        <is>
          <t>F</t>
        </is>
      </c>
      <c r="F46" s="28" t="n">
        <v>26178</v>
      </c>
      <c r="G46" t="n">
        <v>54</v>
      </c>
      <c r="H46" s="31" t="n">
        <v>67.40000000000001</v>
      </c>
      <c r="I46" s="31" t="n">
        <v>260</v>
      </c>
      <c r="J46" s="31" t="n">
        <v>40.2</v>
      </c>
      <c r="K46" t="inlineStr">
        <is>
          <t>PY03</t>
        </is>
      </c>
      <c r="L46" s="30" t="n"/>
    </row>
    <row r="47">
      <c r="A47" t="inlineStr">
        <is>
          <t>PT10882</t>
        </is>
      </c>
      <c r="B47" t="inlineStr">
        <is>
          <t>03004786</t>
        </is>
      </c>
      <c r="C47" t="inlineStr">
        <is>
          <t>Albert</t>
        </is>
      </c>
      <c r="D47" t="inlineStr">
        <is>
          <t>Lane</t>
        </is>
      </c>
      <c r="E47" t="inlineStr">
        <is>
          <t>M</t>
        </is>
      </c>
      <c r="F47" s="28" t="n">
        <v>35216</v>
      </c>
      <c r="G47" t="n">
        <v>29</v>
      </c>
      <c r="H47" s="31" t="n">
        <v>73.90000000000001</v>
      </c>
      <c r="I47" s="31" t="n">
        <v>151.3</v>
      </c>
      <c r="J47" s="31" t="n">
        <v>19.5</v>
      </c>
      <c r="K47" t="inlineStr">
        <is>
          <t>PY04</t>
        </is>
      </c>
      <c r="L47" s="30" t="n"/>
    </row>
    <row r="48">
      <c r="A48" t="inlineStr">
        <is>
          <t>PT10888</t>
        </is>
      </c>
      <c r="B48" t="inlineStr">
        <is>
          <t>02241332</t>
        </is>
      </c>
      <c r="C48" t="inlineStr">
        <is>
          <t>Ava</t>
        </is>
      </c>
      <c r="D48" t="inlineStr">
        <is>
          <t>Freeman</t>
        </is>
      </c>
      <c r="E48" t="inlineStr">
        <is>
          <t>F</t>
        </is>
      </c>
      <c r="F48" s="28" t="n">
        <v>27133</v>
      </c>
      <c r="G48" t="n">
        <v>51</v>
      </c>
      <c r="H48" s="31" t="n">
        <v>61.9</v>
      </c>
      <c r="I48" s="31" t="n">
        <v>134.1</v>
      </c>
      <c r="J48" s="31" t="n">
        <v>24.6</v>
      </c>
      <c r="K48" t="inlineStr">
        <is>
          <t>PY04</t>
        </is>
      </c>
      <c r="L48" s="30" t="n"/>
    </row>
    <row r="49">
      <c r="A49" t="inlineStr">
        <is>
          <t>PT10891</t>
        </is>
      </c>
      <c r="B49" t="inlineStr">
        <is>
          <t>01591310</t>
        </is>
      </c>
      <c r="C49" t="inlineStr">
        <is>
          <t>Lauren</t>
        </is>
      </c>
      <c r="D49" t="inlineStr">
        <is>
          <t>Ellis</t>
        </is>
      </c>
      <c r="E49" t="inlineStr">
        <is>
          <t>F</t>
        </is>
      </c>
      <c r="F49" s="28" t="n">
        <v>20986</v>
      </c>
      <c r="G49" t="n">
        <v>68</v>
      </c>
      <c r="H49" s="31" t="n">
        <v>66.59999999999999</v>
      </c>
      <c r="I49" s="31" t="n">
        <v>220.2</v>
      </c>
      <c r="J49" s="31" t="n">
        <v>34.9</v>
      </c>
      <c r="K49" t="inlineStr">
        <is>
          <t>PY01</t>
        </is>
      </c>
      <c r="L49" s="30" t="n"/>
    </row>
    <row r="50">
      <c r="A50" t="inlineStr">
        <is>
          <t>PT10925</t>
        </is>
      </c>
      <c r="B50" t="inlineStr">
        <is>
          <t>01106302</t>
        </is>
      </c>
      <c r="C50" t="inlineStr">
        <is>
          <t>Diego</t>
        </is>
      </c>
      <c r="D50" t="inlineStr">
        <is>
          <t>Lindqvist</t>
        </is>
      </c>
      <c r="E50" t="inlineStr">
        <is>
          <t>M</t>
        </is>
      </c>
      <c r="F50" s="28" t="n">
        <v>32930</v>
      </c>
      <c r="G50" t="n">
        <v>35</v>
      </c>
      <c r="H50" s="31" t="n">
        <v>67.2</v>
      </c>
      <c r="I50" s="31" t="n">
        <v>191.5</v>
      </c>
      <c r="J50" s="31" t="n">
        <v>29.8</v>
      </c>
      <c r="K50" t="inlineStr">
        <is>
          <t>PY03</t>
        </is>
      </c>
      <c r="L50" s="30" t="n"/>
    </row>
    <row r="51">
      <c r="A51" t="inlineStr">
        <is>
          <t>PT10974</t>
        </is>
      </c>
      <c r="B51" t="inlineStr">
        <is>
          <t>03413145</t>
        </is>
      </c>
      <c r="C51" t="inlineStr">
        <is>
          <t>Sarah</t>
        </is>
      </c>
      <c r="D51" t="inlineStr">
        <is>
          <t>Edwards</t>
        </is>
      </c>
      <c r="E51" t="inlineStr">
        <is>
          <t>F</t>
        </is>
      </c>
      <c r="F51" s="28" t="n">
        <v>17420</v>
      </c>
      <c r="G51" t="n">
        <v>78</v>
      </c>
      <c r="H51" s="31" t="n">
        <v>66.09999999999999</v>
      </c>
      <c r="I51" s="31" t="n">
        <v>266.8</v>
      </c>
      <c r="J51" s="31" t="n">
        <v>42.9</v>
      </c>
      <c r="K51" t="inlineStr">
        <is>
          <t>PY01</t>
        </is>
      </c>
      <c r="L51" s="30" t="n"/>
    </row>
    <row r="52">
      <c r="A52" t="inlineStr">
        <is>
          <t>PT10981</t>
        </is>
      </c>
      <c r="B52" t="inlineStr">
        <is>
          <t>03022834</t>
        </is>
      </c>
      <c r="C52" t="inlineStr">
        <is>
          <t>Benjamin</t>
        </is>
      </c>
      <c r="D52" t="inlineStr">
        <is>
          <t>Miller</t>
        </is>
      </c>
      <c r="E52" t="inlineStr">
        <is>
          <t>M</t>
        </is>
      </c>
      <c r="F52" s="28" t="n">
        <v>15098</v>
      </c>
      <c r="G52" t="n">
        <v>84</v>
      </c>
      <c r="H52" s="31" t="n">
        <v>70.8</v>
      </c>
      <c r="I52" s="31" t="n">
        <v>171.5</v>
      </c>
      <c r="J52" s="31" t="n">
        <v>24.1</v>
      </c>
      <c r="K52" t="inlineStr">
        <is>
          <t>PY01</t>
        </is>
      </c>
      <c r="L52" s="30" t="n"/>
    </row>
    <row r="53">
      <c r="A53" t="inlineStr">
        <is>
          <t>PT10992</t>
        </is>
      </c>
      <c r="B53" t="inlineStr">
        <is>
          <t>02015185</t>
        </is>
      </c>
      <c r="C53" t="inlineStr">
        <is>
          <t>Brandon</t>
        </is>
      </c>
      <c r="D53" t="inlineStr">
        <is>
          <t>Santos</t>
        </is>
      </c>
      <c r="E53" t="inlineStr">
        <is>
          <t>M</t>
        </is>
      </c>
      <c r="F53" s="28" t="n">
        <v>32179</v>
      </c>
      <c r="G53" t="n">
        <v>37</v>
      </c>
      <c r="H53" s="31" t="n">
        <v>65.59999999999999</v>
      </c>
      <c r="I53" s="31" t="n">
        <v>171.2</v>
      </c>
      <c r="J53" s="31" t="n">
        <v>28</v>
      </c>
      <c r="K53" t="inlineStr">
        <is>
          <t>PY03</t>
        </is>
      </c>
      <c r="L53" s="30" t="n"/>
    </row>
    <row r="54">
      <c r="A54" t="inlineStr">
        <is>
          <t>PT11019</t>
        </is>
      </c>
      <c r="B54" t="inlineStr">
        <is>
          <t>05343884</t>
        </is>
      </c>
      <c r="C54" t="inlineStr">
        <is>
          <t>Kenneth</t>
        </is>
      </c>
      <c r="D54" t="inlineStr">
        <is>
          <t>Hunter</t>
        </is>
      </c>
      <c r="E54" t="inlineStr">
        <is>
          <t>M</t>
        </is>
      </c>
      <c r="F54" s="28" t="n">
        <v>22308</v>
      </c>
      <c r="G54" t="n">
        <v>64</v>
      </c>
      <c r="H54" s="31" t="n">
        <v>63</v>
      </c>
      <c r="I54" s="31" t="n">
        <v>140.4</v>
      </c>
      <c r="J54" s="31" t="n">
        <v>24.9</v>
      </c>
      <c r="K54" t="inlineStr">
        <is>
          <t>PY05</t>
        </is>
      </c>
      <c r="L54" s="30" t="n"/>
    </row>
    <row r="55">
      <c r="A55" t="inlineStr">
        <is>
          <t>PT11047</t>
        </is>
      </c>
      <c r="B55" t="inlineStr">
        <is>
          <t>00050339</t>
        </is>
      </c>
      <c r="C55" t="inlineStr">
        <is>
          <t>Rebecca</t>
        </is>
      </c>
      <c r="D55" t="inlineStr">
        <is>
          <t>Thomas</t>
        </is>
      </c>
      <c r="E55" t="inlineStr">
        <is>
          <t>F</t>
        </is>
      </c>
      <c r="F55" s="28" t="n">
        <v>25801</v>
      </c>
      <c r="G55" t="n">
        <v>55</v>
      </c>
      <c r="H55" s="31" t="n">
        <v>61.2</v>
      </c>
      <c r="I55" s="31" t="n">
        <v>164.6</v>
      </c>
      <c r="J55" s="31" t="n">
        <v>30.9</v>
      </c>
      <c r="K55" t="inlineStr">
        <is>
          <t>PY04</t>
        </is>
      </c>
      <c r="L55" s="30" t="n"/>
    </row>
    <row r="56">
      <c r="A56" t="inlineStr">
        <is>
          <t>PT11138</t>
        </is>
      </c>
      <c r="B56" t="inlineStr">
        <is>
          <t>05327848</t>
        </is>
      </c>
      <c r="C56" t="inlineStr">
        <is>
          <t>Natalie</t>
        </is>
      </c>
      <c r="D56" t="inlineStr">
        <is>
          <t>Fernandez</t>
        </is>
      </c>
      <c r="E56" t="inlineStr">
        <is>
          <t>F</t>
        </is>
      </c>
      <c r="F56" s="28" t="n">
        <v>22399</v>
      </c>
      <c r="G56" t="n">
        <v>64</v>
      </c>
      <c r="H56" s="31" t="n">
        <v>65.8</v>
      </c>
      <c r="I56" s="31" t="n">
        <v>162.2</v>
      </c>
      <c r="J56" s="31" t="n">
        <v>26.3</v>
      </c>
      <c r="K56" t="inlineStr">
        <is>
          <t>PY06</t>
        </is>
      </c>
      <c r="L56" s="30" t="n"/>
    </row>
    <row r="57">
      <c r="A57" t="inlineStr">
        <is>
          <t>PT11172</t>
        </is>
      </c>
      <c r="B57" t="inlineStr">
        <is>
          <t>00307528</t>
        </is>
      </c>
      <c r="C57" t="inlineStr">
        <is>
          <t>Brenda</t>
        </is>
      </c>
      <c r="D57" t="inlineStr">
        <is>
          <t>Dixon</t>
        </is>
      </c>
      <c r="E57" t="inlineStr">
        <is>
          <t>F</t>
        </is>
      </c>
      <c r="F57" s="28" t="n">
        <v>32217</v>
      </c>
      <c r="G57" t="n">
        <v>37</v>
      </c>
      <c r="H57" s="31" t="n">
        <v>64.5</v>
      </c>
      <c r="I57" s="31" t="n">
        <v>146.9</v>
      </c>
      <c r="J57" s="31" t="n">
        <v>24.8</v>
      </c>
      <c r="K57" t="inlineStr">
        <is>
          <t>PY04</t>
        </is>
      </c>
      <c r="L57" s="30" t="n"/>
    </row>
    <row r="58">
      <c r="A58" t="inlineStr">
        <is>
          <t>PT11187</t>
        </is>
      </c>
      <c r="B58" t="inlineStr">
        <is>
          <t>07229333</t>
        </is>
      </c>
      <c r="C58" t="inlineStr">
        <is>
          <t>Gloria</t>
        </is>
      </c>
      <c r="D58" t="inlineStr">
        <is>
          <t>Yilmaz</t>
        </is>
      </c>
      <c r="E58" t="inlineStr">
        <is>
          <t>F</t>
        </is>
      </c>
      <c r="F58" s="28" t="n">
        <v>24265</v>
      </c>
      <c r="G58" t="n">
        <v>59</v>
      </c>
      <c r="H58" s="31" t="n">
        <v>62</v>
      </c>
      <c r="I58" s="31" t="n">
        <v>149.8</v>
      </c>
      <c r="J58" s="31" t="n">
        <v>27.4</v>
      </c>
      <c r="K58" t="inlineStr">
        <is>
          <t>PY03</t>
        </is>
      </c>
      <c r="L58" s="30" t="n"/>
    </row>
    <row r="59">
      <c r="A59" t="inlineStr">
        <is>
          <t>PT11194</t>
        </is>
      </c>
      <c r="B59" t="inlineStr">
        <is>
          <t>02723009</t>
        </is>
      </c>
      <c r="C59" t="inlineStr">
        <is>
          <t>Sandra</t>
        </is>
      </c>
      <c r="D59" t="inlineStr">
        <is>
          <t>Kelly</t>
        </is>
      </c>
      <c r="E59" t="inlineStr">
        <is>
          <t>F</t>
        </is>
      </c>
      <c r="F59" s="28" t="n">
        <v>11719</v>
      </c>
      <c r="G59" t="n">
        <v>93</v>
      </c>
      <c r="H59" s="31" t="n">
        <v>67.90000000000001</v>
      </c>
      <c r="I59" s="31" t="n">
        <v>210.5</v>
      </c>
      <c r="J59" s="31" t="n">
        <v>32.1</v>
      </c>
      <c r="K59" t="inlineStr">
        <is>
          <t>PY01</t>
        </is>
      </c>
      <c r="L59" s="30" t="n"/>
    </row>
    <row r="60">
      <c r="A60" t="inlineStr">
        <is>
          <t>PT11225</t>
        </is>
      </c>
      <c r="B60" t="inlineStr">
        <is>
          <t>04635403</t>
        </is>
      </c>
      <c r="C60" t="inlineStr">
        <is>
          <t>Charlotte</t>
        </is>
      </c>
      <c r="D60" t="inlineStr">
        <is>
          <t>Thompson</t>
        </is>
      </c>
      <c r="E60" t="inlineStr">
        <is>
          <t>F</t>
        </is>
      </c>
      <c r="F60" s="28" t="n">
        <v>26380</v>
      </c>
      <c r="G60" t="n">
        <v>53</v>
      </c>
      <c r="H60" s="31" t="n">
        <v>64.2</v>
      </c>
      <c r="I60" s="31" t="n">
        <v>173.5</v>
      </c>
      <c r="J60" s="31" t="n">
        <v>29.6</v>
      </c>
      <c r="K60" t="inlineStr">
        <is>
          <t>PY06</t>
        </is>
      </c>
      <c r="L60" s="30" t="n"/>
    </row>
    <row r="61">
      <c r="A61" t="inlineStr">
        <is>
          <t>PT11231</t>
        </is>
      </c>
      <c r="B61" t="inlineStr">
        <is>
          <t>04637611</t>
        </is>
      </c>
      <c r="C61" t="inlineStr">
        <is>
          <t>Stephen</t>
        </is>
      </c>
      <c r="D61" t="inlineStr">
        <is>
          <t>Butler</t>
        </is>
      </c>
      <c r="E61" t="inlineStr">
        <is>
          <t>M</t>
        </is>
      </c>
      <c r="F61" s="28" t="n">
        <v>33030</v>
      </c>
      <c r="G61" t="n">
        <v>35</v>
      </c>
      <c r="H61" s="31" t="n">
        <v>65.3</v>
      </c>
      <c r="I61" s="31" t="n">
        <v>175.5</v>
      </c>
      <c r="J61" s="31" t="n">
        <v>28.9</v>
      </c>
      <c r="K61" t="inlineStr">
        <is>
          <t>PY04</t>
        </is>
      </c>
      <c r="L61" s="30" t="n"/>
    </row>
    <row r="62">
      <c r="A62" t="inlineStr">
        <is>
          <t>PT11239</t>
        </is>
      </c>
      <c r="B62" t="inlineStr">
        <is>
          <t>04778692</t>
        </is>
      </c>
      <c r="C62" t="inlineStr">
        <is>
          <t>Betty</t>
        </is>
      </c>
      <c r="D62" t="inlineStr">
        <is>
          <t>Ruiz</t>
        </is>
      </c>
      <c r="E62" t="inlineStr">
        <is>
          <t>F</t>
        </is>
      </c>
      <c r="F62" s="28" t="n">
        <v>25310</v>
      </c>
      <c r="G62" t="n">
        <v>56</v>
      </c>
      <c r="H62" s="31" t="n">
        <v>68.3</v>
      </c>
      <c r="I62" s="31" t="n">
        <v>238.4</v>
      </c>
      <c r="J62" s="31" t="n">
        <v>35.9</v>
      </c>
      <c r="K62" t="inlineStr">
        <is>
          <t>PY03</t>
        </is>
      </c>
      <c r="L62" s="30" t="n"/>
    </row>
    <row r="63">
      <c r="A63" t="inlineStr">
        <is>
          <t>PT11265</t>
        </is>
      </c>
      <c r="B63" t="inlineStr">
        <is>
          <t>08489808</t>
        </is>
      </c>
      <c r="C63" t="inlineStr">
        <is>
          <t>Tyler</t>
        </is>
      </c>
      <c r="D63" t="inlineStr">
        <is>
          <t>Davis</t>
        </is>
      </c>
      <c r="E63" t="inlineStr">
        <is>
          <t>M</t>
        </is>
      </c>
      <c r="F63" s="28" t="n">
        <v>22943</v>
      </c>
      <c r="G63" t="n">
        <v>63</v>
      </c>
      <c r="H63" s="31" t="n">
        <v>69</v>
      </c>
      <c r="I63" s="31" t="n">
        <v>198.7</v>
      </c>
      <c r="J63" s="31" t="n">
        <v>29.3</v>
      </c>
      <c r="K63" t="inlineStr">
        <is>
          <t>PY06</t>
        </is>
      </c>
      <c r="L63" s="30" t="n"/>
    </row>
    <row r="64">
      <c r="A64" t="inlineStr">
        <is>
          <t>PT11266</t>
        </is>
      </c>
      <c r="B64" t="inlineStr">
        <is>
          <t>04482920</t>
        </is>
      </c>
      <c r="C64" t="inlineStr">
        <is>
          <t>Charlotte</t>
        </is>
      </c>
      <c r="D64" t="inlineStr">
        <is>
          <t>Murray</t>
        </is>
      </c>
      <c r="E64" t="inlineStr">
        <is>
          <t>F</t>
        </is>
      </c>
      <c r="F64" s="28" t="n">
        <v>32446</v>
      </c>
      <c r="G64" t="n">
        <v>37</v>
      </c>
      <c r="H64" s="31" t="n">
        <v>61.7</v>
      </c>
      <c r="I64" s="31" t="n">
        <v>197</v>
      </c>
      <c r="J64" s="31" t="n">
        <v>36.4</v>
      </c>
      <c r="K64" t="inlineStr">
        <is>
          <t>PY03</t>
        </is>
      </c>
      <c r="L64" s="30" t="n"/>
    </row>
    <row r="65">
      <c r="A65" t="inlineStr">
        <is>
          <t>PT11269</t>
        </is>
      </c>
      <c r="B65" t="inlineStr">
        <is>
          <t>04914285</t>
        </is>
      </c>
      <c r="C65" t="inlineStr">
        <is>
          <t>Julie</t>
        </is>
      </c>
      <c r="D65" t="inlineStr">
        <is>
          <t>Cook</t>
        </is>
      </c>
      <c r="E65" t="inlineStr">
        <is>
          <t>F</t>
        </is>
      </c>
      <c r="F65" s="28" t="n">
        <v>28037</v>
      </c>
      <c r="G65" t="n">
        <v>49</v>
      </c>
      <c r="H65" s="31" t="n">
        <v>67.5</v>
      </c>
      <c r="I65" s="31" t="n">
        <v>162.2</v>
      </c>
      <c r="J65" s="31" t="n">
        <v>25</v>
      </c>
      <c r="K65" t="inlineStr">
        <is>
          <t>PY06</t>
        </is>
      </c>
      <c r="L65" s="30" t="n"/>
    </row>
    <row r="66">
      <c r="A66" t="inlineStr">
        <is>
          <t>PT11335</t>
        </is>
      </c>
      <c r="B66" t="inlineStr">
        <is>
          <t>03788695</t>
        </is>
      </c>
      <c r="C66" t="inlineStr">
        <is>
          <t>Larry</t>
        </is>
      </c>
      <c r="D66" t="inlineStr">
        <is>
          <t>Richardson</t>
        </is>
      </c>
      <c r="E66" t="inlineStr">
        <is>
          <t>M</t>
        </is>
      </c>
      <c r="F66" s="28" t="n">
        <v>23373</v>
      </c>
      <c r="G66" t="n">
        <v>62</v>
      </c>
      <c r="H66" s="31" t="n">
        <v>69.3</v>
      </c>
      <c r="I66" s="31" t="n">
        <v>204</v>
      </c>
      <c r="J66" s="31" t="n">
        <v>29.9</v>
      </c>
      <c r="K66" t="inlineStr">
        <is>
          <t>PY03</t>
        </is>
      </c>
      <c r="L66" s="30" t="n"/>
    </row>
    <row r="67">
      <c r="A67" t="inlineStr">
        <is>
          <t>PT11337</t>
        </is>
      </c>
      <c r="B67" t="inlineStr">
        <is>
          <t>04656745</t>
        </is>
      </c>
      <c r="C67" t="inlineStr">
        <is>
          <t>Matthew</t>
        </is>
      </c>
      <c r="D67" t="inlineStr">
        <is>
          <t>Daniels</t>
        </is>
      </c>
      <c r="E67" t="inlineStr">
        <is>
          <t>M</t>
        </is>
      </c>
      <c r="F67" s="28" t="n">
        <v>35036</v>
      </c>
      <c r="G67" t="n">
        <v>30</v>
      </c>
      <c r="H67" s="31" t="n">
        <v>71</v>
      </c>
      <c r="I67" s="31" t="n">
        <v>220.1</v>
      </c>
      <c r="J67" s="31" t="n">
        <v>30.7</v>
      </c>
      <c r="K67" t="inlineStr">
        <is>
          <t>PY03</t>
        </is>
      </c>
      <c r="L67" s="30" t="n"/>
    </row>
    <row r="68">
      <c r="A68" t="inlineStr">
        <is>
          <t>PT11350</t>
        </is>
      </c>
      <c r="B68" t="inlineStr">
        <is>
          <t>02495145</t>
        </is>
      </c>
      <c r="C68" t="inlineStr">
        <is>
          <t>Larry</t>
        </is>
      </c>
      <c r="D68" t="inlineStr">
        <is>
          <t>Berry</t>
        </is>
      </c>
      <c r="E68" t="inlineStr">
        <is>
          <t>M</t>
        </is>
      </c>
      <c r="F68" s="28" t="n">
        <v>24211</v>
      </c>
      <c r="G68" t="n">
        <v>59</v>
      </c>
      <c r="H68" s="31" t="n">
        <v>69.90000000000001</v>
      </c>
      <c r="I68" s="31" t="n">
        <v>268.7</v>
      </c>
      <c r="J68" s="31" t="n">
        <v>38.7</v>
      </c>
      <c r="K68" t="inlineStr">
        <is>
          <t>PY03</t>
        </is>
      </c>
      <c r="L68" s="30" t="n"/>
    </row>
    <row r="69">
      <c r="A69" t="inlineStr">
        <is>
          <t>PT11397</t>
        </is>
      </c>
      <c r="B69" t="inlineStr">
        <is>
          <t>02690345</t>
        </is>
      </c>
      <c r="C69" t="inlineStr">
        <is>
          <t>Shirley</t>
        </is>
      </c>
      <c r="D69" t="inlineStr">
        <is>
          <t>Willis</t>
        </is>
      </c>
      <c r="E69" t="inlineStr">
        <is>
          <t>F</t>
        </is>
      </c>
      <c r="F69" s="28" t="n">
        <v>29009</v>
      </c>
      <c r="G69" t="n">
        <v>46</v>
      </c>
      <c r="H69" s="31" t="n">
        <v>60.9</v>
      </c>
      <c r="I69" s="31" t="n">
        <v>100.3</v>
      </c>
      <c r="J69" s="31" t="n">
        <v>19</v>
      </c>
      <c r="K69" t="inlineStr">
        <is>
          <t>PY03</t>
        </is>
      </c>
      <c r="L69" s="30" t="n"/>
    </row>
    <row r="70">
      <c r="A70" t="inlineStr">
        <is>
          <t>PT11399</t>
        </is>
      </c>
      <c r="B70" t="inlineStr">
        <is>
          <t>07366697</t>
        </is>
      </c>
      <c r="C70" t="inlineStr">
        <is>
          <t>Eugene</t>
        </is>
      </c>
      <c r="D70" t="inlineStr">
        <is>
          <t>Simpson</t>
        </is>
      </c>
      <c r="E70" t="inlineStr">
        <is>
          <t>M</t>
        </is>
      </c>
      <c r="F70" s="28" t="n">
        <v>20329</v>
      </c>
      <c r="G70" t="n">
        <v>70</v>
      </c>
      <c r="H70" s="31" t="n">
        <v>72.90000000000001</v>
      </c>
      <c r="I70" s="31" t="n">
        <v>169</v>
      </c>
      <c r="J70" s="31" t="n">
        <v>22.4</v>
      </c>
      <c r="K70" t="inlineStr">
        <is>
          <t>PY01</t>
        </is>
      </c>
      <c r="L70" s="30" t="n"/>
    </row>
    <row r="71">
      <c r="A71" t="inlineStr">
        <is>
          <t>PT11409</t>
        </is>
      </c>
      <c r="B71" t="inlineStr">
        <is>
          <t>00746283</t>
        </is>
      </c>
      <c r="C71" t="inlineStr">
        <is>
          <t>Karen</t>
        </is>
      </c>
      <c r="D71" t="inlineStr">
        <is>
          <t>Andrews</t>
        </is>
      </c>
      <c r="E71" t="inlineStr">
        <is>
          <t>F</t>
        </is>
      </c>
      <c r="F71" s="28" t="n">
        <v>37138</v>
      </c>
      <c r="G71" t="n">
        <v>24</v>
      </c>
      <c r="H71" s="31" t="n">
        <v>65.3</v>
      </c>
      <c r="I71" s="31" t="n">
        <v>133.7</v>
      </c>
      <c r="J71" s="31" t="n">
        <v>22</v>
      </c>
      <c r="K71" t="inlineStr">
        <is>
          <t>PY03</t>
        </is>
      </c>
      <c r="L71" s="30" t="n"/>
    </row>
    <row r="72">
      <c r="A72" t="inlineStr">
        <is>
          <t>PT11442</t>
        </is>
      </c>
      <c r="B72" t="inlineStr">
        <is>
          <t>07623292</t>
        </is>
      </c>
      <c r="C72" t="inlineStr">
        <is>
          <t>Liam</t>
        </is>
      </c>
      <c r="D72" t="inlineStr">
        <is>
          <t>Vazquez</t>
        </is>
      </c>
      <c r="E72" t="inlineStr">
        <is>
          <t>M</t>
        </is>
      </c>
      <c r="F72" s="28" t="n">
        <v>26242</v>
      </c>
      <c r="G72" t="n">
        <v>54</v>
      </c>
      <c r="H72" s="31" t="n">
        <v>71.2</v>
      </c>
      <c r="I72" s="31" t="n">
        <v>209.2</v>
      </c>
      <c r="J72" s="31" t="n">
        <v>29</v>
      </c>
      <c r="K72" t="inlineStr">
        <is>
          <t>PY04</t>
        </is>
      </c>
      <c r="L72" s="30" t="n"/>
    </row>
    <row r="73">
      <c r="A73" t="inlineStr">
        <is>
          <t>PT11479</t>
        </is>
      </c>
      <c r="B73" t="inlineStr">
        <is>
          <t>03054607</t>
        </is>
      </c>
      <c r="C73" t="inlineStr">
        <is>
          <t>Thomas</t>
        </is>
      </c>
      <c r="D73" t="inlineStr">
        <is>
          <t>Rose</t>
        </is>
      </c>
      <c r="E73" t="inlineStr">
        <is>
          <t>M</t>
        </is>
      </c>
      <c r="F73" s="28" t="n">
        <v>10042</v>
      </c>
      <c r="G73" t="n">
        <v>98</v>
      </c>
      <c r="H73" s="31" t="n">
        <v>73.40000000000001</v>
      </c>
      <c r="I73" s="31" t="n">
        <v>226.9</v>
      </c>
      <c r="J73" s="31" t="n">
        <v>29.6</v>
      </c>
      <c r="K73" t="inlineStr">
        <is>
          <t>PY02</t>
        </is>
      </c>
      <c r="L73" s="30" t="n"/>
    </row>
    <row r="74">
      <c r="A74" t="inlineStr">
        <is>
          <t>PT11498</t>
        </is>
      </c>
      <c r="B74" t="inlineStr">
        <is>
          <t>01482606</t>
        </is>
      </c>
      <c r="C74" t="inlineStr">
        <is>
          <t>Luis</t>
        </is>
      </c>
      <c r="D74" t="inlineStr">
        <is>
          <t>Wilson</t>
        </is>
      </c>
      <c r="E74" t="inlineStr">
        <is>
          <t>M</t>
        </is>
      </c>
      <c r="F74" s="28" t="n">
        <v>32688</v>
      </c>
      <c r="G74" t="n">
        <v>36</v>
      </c>
      <c r="H74" s="31" t="n">
        <v>72.8</v>
      </c>
      <c r="I74" s="31" t="n">
        <v>191.9</v>
      </c>
      <c r="J74" s="31" t="n">
        <v>25.5</v>
      </c>
      <c r="K74" t="inlineStr">
        <is>
          <t>PY05</t>
        </is>
      </c>
      <c r="L74" s="30" t="n"/>
    </row>
    <row r="75">
      <c r="A75" t="inlineStr">
        <is>
          <t>PT11510</t>
        </is>
      </c>
      <c r="B75" t="inlineStr">
        <is>
          <t>03579515</t>
        </is>
      </c>
      <c r="C75" t="inlineStr">
        <is>
          <t>Joseph</t>
        </is>
      </c>
      <c r="D75" t="inlineStr">
        <is>
          <t>Reed</t>
        </is>
      </c>
      <c r="E75" t="inlineStr">
        <is>
          <t>M</t>
        </is>
      </c>
      <c r="F75" s="28" t="n">
        <v>30209</v>
      </c>
      <c r="G75" t="n">
        <v>43</v>
      </c>
      <c r="H75" s="31" t="n">
        <v>69.59999999999999</v>
      </c>
      <c r="I75" s="31" t="n">
        <v>216.8</v>
      </c>
      <c r="J75" s="31" t="n">
        <v>31.5</v>
      </c>
      <c r="K75" t="inlineStr">
        <is>
          <t>PY03</t>
        </is>
      </c>
      <c r="L75" s="30" t="n"/>
    </row>
    <row r="76">
      <c r="A76" t="inlineStr">
        <is>
          <t>PT11561</t>
        </is>
      </c>
      <c r="B76" t="inlineStr">
        <is>
          <t>05174774</t>
        </is>
      </c>
      <c r="C76" t="inlineStr">
        <is>
          <t>Lori</t>
        </is>
      </c>
      <c r="D76" t="inlineStr">
        <is>
          <t>Alvarado</t>
        </is>
      </c>
      <c r="E76" t="inlineStr">
        <is>
          <t>F</t>
        </is>
      </c>
      <c r="F76" s="28" t="n">
        <v>20377</v>
      </c>
      <c r="G76" t="n">
        <v>70</v>
      </c>
      <c r="H76" s="31" t="n">
        <v>70.3</v>
      </c>
      <c r="I76" s="31" t="n">
        <v>175.9</v>
      </c>
      <c r="J76" s="31" t="n">
        <v>25</v>
      </c>
      <c r="K76" t="inlineStr">
        <is>
          <t>PY02</t>
        </is>
      </c>
      <c r="L76" s="30" t="n"/>
    </row>
    <row r="77">
      <c r="A77" t="inlineStr">
        <is>
          <t>PT11588</t>
        </is>
      </c>
      <c r="B77" t="inlineStr">
        <is>
          <t>09104644</t>
        </is>
      </c>
      <c r="C77" t="inlineStr">
        <is>
          <t>Anthony</t>
        </is>
      </c>
      <c r="D77" t="inlineStr">
        <is>
          <t>Lewis</t>
        </is>
      </c>
      <c r="E77" t="inlineStr">
        <is>
          <t>M</t>
        </is>
      </c>
      <c r="F77" s="28" t="n">
        <v>24557</v>
      </c>
      <c r="G77" t="n">
        <v>58</v>
      </c>
      <c r="H77" s="31" t="n">
        <v>68.2</v>
      </c>
      <c r="I77" s="31" t="n">
        <v>197.2</v>
      </c>
      <c r="J77" s="31" t="n">
        <v>29.8</v>
      </c>
      <c r="K77" t="inlineStr">
        <is>
          <t>PY05</t>
        </is>
      </c>
      <c r="L77" s="30" t="n"/>
    </row>
    <row r="78">
      <c r="A78" t="inlineStr">
        <is>
          <t>PT11614</t>
        </is>
      </c>
      <c r="B78" t="inlineStr">
        <is>
          <t>04997166</t>
        </is>
      </c>
      <c r="C78" t="inlineStr">
        <is>
          <t>Julie</t>
        </is>
      </c>
      <c r="D78" t="inlineStr">
        <is>
          <t>Jenkins</t>
        </is>
      </c>
      <c r="E78" t="inlineStr">
        <is>
          <t>F</t>
        </is>
      </c>
      <c r="F78" s="28" t="n">
        <v>30021</v>
      </c>
      <c r="G78" t="n">
        <v>43</v>
      </c>
      <c r="H78" s="31" t="n">
        <v>67.3</v>
      </c>
      <c r="I78" s="31" t="n">
        <v>163</v>
      </c>
      <c r="J78" s="31" t="n">
        <v>25.3</v>
      </c>
      <c r="K78" t="inlineStr">
        <is>
          <t>PY07</t>
        </is>
      </c>
      <c r="L78" s="30" t="n"/>
    </row>
    <row r="79">
      <c r="A79" t="inlineStr">
        <is>
          <t>PT11657</t>
        </is>
      </c>
      <c r="B79" t="inlineStr">
        <is>
          <t>08181353</t>
        </is>
      </c>
      <c r="C79" t="inlineStr">
        <is>
          <t>Michael</t>
        </is>
      </c>
      <c r="D79" t="inlineStr">
        <is>
          <t>Ryan</t>
        </is>
      </c>
      <c r="E79" t="inlineStr">
        <is>
          <t>M</t>
        </is>
      </c>
      <c r="F79" s="28" t="n">
        <v>30893</v>
      </c>
      <c r="G79" t="n">
        <v>41</v>
      </c>
      <c r="H79" s="31" t="n">
        <v>69.8</v>
      </c>
      <c r="I79" s="31" t="n">
        <v>276.1</v>
      </c>
      <c r="J79" s="31" t="n">
        <v>39.8</v>
      </c>
      <c r="K79" t="inlineStr">
        <is>
          <t>PY06</t>
        </is>
      </c>
      <c r="L79" s="30" t="n"/>
    </row>
    <row r="80">
      <c r="A80" t="inlineStr">
        <is>
          <t>PT11659</t>
        </is>
      </c>
      <c r="B80" t="inlineStr">
        <is>
          <t>01189282</t>
        </is>
      </c>
      <c r="C80" t="inlineStr">
        <is>
          <t>Ann</t>
        </is>
      </c>
      <c r="D80" t="inlineStr">
        <is>
          <t>King</t>
        </is>
      </c>
      <c r="E80" t="inlineStr">
        <is>
          <t>F</t>
        </is>
      </c>
      <c r="F80" s="28" t="n">
        <v>24173</v>
      </c>
      <c r="G80" t="n">
        <v>59</v>
      </c>
      <c r="H80" s="31" t="n">
        <v>64.7</v>
      </c>
      <c r="I80" s="31" t="n">
        <v>143.1</v>
      </c>
      <c r="J80" s="31" t="n">
        <v>24</v>
      </c>
      <c r="K80" t="inlineStr">
        <is>
          <t>PY03</t>
        </is>
      </c>
      <c r="L80" s="30" t="n"/>
    </row>
    <row r="81">
      <c r="A81" t="inlineStr">
        <is>
          <t>PT11701</t>
        </is>
      </c>
      <c r="B81" t="inlineStr">
        <is>
          <t>08171206</t>
        </is>
      </c>
      <c r="C81" t="inlineStr">
        <is>
          <t>Bruce</t>
        </is>
      </c>
      <c r="D81" t="inlineStr">
        <is>
          <t>Kowalski</t>
        </is>
      </c>
      <c r="E81" t="inlineStr">
        <is>
          <t>M</t>
        </is>
      </c>
      <c r="F81" s="28" t="n">
        <v>20618</v>
      </c>
      <c r="G81" t="n">
        <v>69</v>
      </c>
      <c r="H81" s="31" t="n">
        <v>73.40000000000001</v>
      </c>
      <c r="I81" s="31" t="n">
        <v>235.2</v>
      </c>
      <c r="J81" s="31" t="n">
        <v>30.7</v>
      </c>
      <c r="K81" t="inlineStr">
        <is>
          <t>PY01</t>
        </is>
      </c>
      <c r="L81" s="30" t="n"/>
    </row>
    <row r="82">
      <c r="A82" t="inlineStr">
        <is>
          <t>PT11710</t>
        </is>
      </c>
      <c r="B82" t="inlineStr">
        <is>
          <t>07862874</t>
        </is>
      </c>
      <c r="C82" t="inlineStr">
        <is>
          <t>Marie</t>
        </is>
      </c>
      <c r="D82" t="inlineStr">
        <is>
          <t>Miller</t>
        </is>
      </c>
      <c r="E82" t="inlineStr">
        <is>
          <t>F</t>
        </is>
      </c>
      <c r="F82" s="28" t="n">
        <v>33410</v>
      </c>
      <c r="G82" t="n">
        <v>34</v>
      </c>
      <c r="H82" s="31" t="n">
        <v>65.3</v>
      </c>
      <c r="I82" s="31" t="n">
        <v>196.5</v>
      </c>
      <c r="J82" s="31" t="n">
        <v>32.4</v>
      </c>
      <c r="K82" t="inlineStr">
        <is>
          <t>PY07</t>
        </is>
      </c>
      <c r="L82" s="30" t="n"/>
    </row>
    <row r="83">
      <c r="A83" t="inlineStr">
        <is>
          <t>PT11711</t>
        </is>
      </c>
      <c r="B83" t="inlineStr">
        <is>
          <t>06475897</t>
        </is>
      </c>
      <c r="C83" t="inlineStr">
        <is>
          <t>Frances</t>
        </is>
      </c>
      <c r="D83" t="inlineStr">
        <is>
          <t>Jimenez</t>
        </is>
      </c>
      <c r="E83" t="inlineStr">
        <is>
          <t>F</t>
        </is>
      </c>
      <c r="F83" s="28" t="n">
        <v>32141</v>
      </c>
      <c r="G83" t="n">
        <v>38</v>
      </c>
      <c r="H83" s="31" t="n">
        <v>66.59999999999999</v>
      </c>
      <c r="I83" s="31" t="n">
        <v>175.5</v>
      </c>
      <c r="J83" s="31" t="n">
        <v>27.8</v>
      </c>
      <c r="K83" t="inlineStr">
        <is>
          <t>PY07</t>
        </is>
      </c>
      <c r="L83" s="30" t="n"/>
    </row>
    <row r="84">
      <c r="A84" t="inlineStr">
        <is>
          <t>PT11780</t>
        </is>
      </c>
      <c r="B84" t="inlineStr">
        <is>
          <t>04364254</t>
        </is>
      </c>
      <c r="C84" t="inlineStr">
        <is>
          <t>Jean</t>
        </is>
      </c>
      <c r="D84" t="inlineStr">
        <is>
          <t>Clark</t>
        </is>
      </c>
      <c r="E84" t="inlineStr">
        <is>
          <t>F</t>
        </is>
      </c>
      <c r="F84" s="28" t="n">
        <v>31179</v>
      </c>
      <c r="G84" t="n">
        <v>40</v>
      </c>
      <c r="H84" s="31" t="n">
        <v>60</v>
      </c>
      <c r="I84" s="31" t="n">
        <v>143.4</v>
      </c>
      <c r="J84" s="31" t="n">
        <v>28</v>
      </c>
      <c r="K84" t="inlineStr">
        <is>
          <t>PY06</t>
        </is>
      </c>
      <c r="L84" s="30" t="n"/>
    </row>
    <row r="85">
      <c r="A85" t="inlineStr">
        <is>
          <t>PT11790</t>
        </is>
      </c>
      <c r="B85" t="inlineStr">
        <is>
          <t>02243338</t>
        </is>
      </c>
      <c r="C85" t="inlineStr">
        <is>
          <t>Robert</t>
        </is>
      </c>
      <c r="D85" t="inlineStr">
        <is>
          <t>Ramos</t>
        </is>
      </c>
      <c r="E85" t="inlineStr">
        <is>
          <t>M</t>
        </is>
      </c>
      <c r="F85" s="28" t="n">
        <v>11035</v>
      </c>
      <c r="G85" t="n">
        <v>95</v>
      </c>
      <c r="H85" s="31" t="n">
        <v>68.3</v>
      </c>
      <c r="I85" s="31" t="n">
        <v>157.4</v>
      </c>
      <c r="J85" s="31" t="n">
        <v>23.7</v>
      </c>
      <c r="K85" t="inlineStr">
        <is>
          <t>PY01</t>
        </is>
      </c>
      <c r="L85" s="30" t="n"/>
    </row>
    <row r="86">
      <c r="A86" t="inlineStr">
        <is>
          <t>PT11791</t>
        </is>
      </c>
      <c r="B86" t="inlineStr">
        <is>
          <t>08915176</t>
        </is>
      </c>
      <c r="C86" t="inlineStr">
        <is>
          <t>Gerald</t>
        </is>
      </c>
      <c r="D86" t="inlineStr">
        <is>
          <t>O'Brien</t>
        </is>
      </c>
      <c r="E86" t="inlineStr">
        <is>
          <t>M</t>
        </is>
      </c>
      <c r="F86" s="28" t="n">
        <v>18721</v>
      </c>
      <c r="G86" t="n">
        <v>74</v>
      </c>
      <c r="H86" s="31" t="n">
        <v>69.5</v>
      </c>
      <c r="I86" s="31" t="n">
        <v>192.3</v>
      </c>
      <c r="J86" s="31" t="n">
        <v>28</v>
      </c>
      <c r="K86" t="inlineStr">
        <is>
          <t>PY01</t>
        </is>
      </c>
      <c r="L86" s="30" t="n"/>
    </row>
    <row r="87">
      <c r="A87" t="inlineStr">
        <is>
          <t>PT11797</t>
        </is>
      </c>
      <c r="B87" t="inlineStr">
        <is>
          <t>06183808</t>
        </is>
      </c>
      <c r="C87" t="inlineStr">
        <is>
          <t>Alice</t>
        </is>
      </c>
      <c r="D87" t="inlineStr">
        <is>
          <t>Martin</t>
        </is>
      </c>
      <c r="E87" t="inlineStr">
        <is>
          <t>F</t>
        </is>
      </c>
      <c r="F87" s="28" t="n">
        <v>30954</v>
      </c>
      <c r="G87" t="n">
        <v>41</v>
      </c>
      <c r="H87" s="31" t="n">
        <v>64.8</v>
      </c>
      <c r="I87" s="31" t="n">
        <v>181.9</v>
      </c>
      <c r="J87" s="31" t="n">
        <v>30.5</v>
      </c>
      <c r="K87" t="inlineStr">
        <is>
          <t>PY06</t>
        </is>
      </c>
      <c r="L87" s="30" t="n"/>
    </row>
    <row r="88">
      <c r="A88" t="inlineStr">
        <is>
          <t>PT11804</t>
        </is>
      </c>
      <c r="B88" t="inlineStr">
        <is>
          <t>03477917</t>
        </is>
      </c>
      <c r="C88" t="inlineStr">
        <is>
          <t>Leila</t>
        </is>
      </c>
      <c r="D88" t="inlineStr">
        <is>
          <t>Sanchez</t>
        </is>
      </c>
      <c r="E88" t="inlineStr">
        <is>
          <t>F</t>
        </is>
      </c>
      <c r="F88" s="28" t="n">
        <v>26378</v>
      </c>
      <c r="G88" t="n">
        <v>53</v>
      </c>
      <c r="H88" s="31" t="n">
        <v>65</v>
      </c>
      <c r="I88" s="31" t="n">
        <v>193.3</v>
      </c>
      <c r="J88" s="31" t="n">
        <v>32.2</v>
      </c>
      <c r="K88" t="inlineStr">
        <is>
          <t>PY06</t>
        </is>
      </c>
      <c r="L88" s="30" t="n"/>
    </row>
    <row r="89">
      <c r="A89" t="inlineStr">
        <is>
          <t>PT11844</t>
        </is>
      </c>
      <c r="B89" t="inlineStr">
        <is>
          <t>00741407</t>
        </is>
      </c>
      <c r="C89" t="inlineStr">
        <is>
          <t>Kevin</t>
        </is>
      </c>
      <c r="D89" t="inlineStr">
        <is>
          <t>Hernandez</t>
        </is>
      </c>
      <c r="E89" t="inlineStr">
        <is>
          <t>M</t>
        </is>
      </c>
      <c r="F89" s="28" t="n">
        <v>18534</v>
      </c>
      <c r="G89" t="n">
        <v>75</v>
      </c>
      <c r="H89" s="31" t="n">
        <v>65.5</v>
      </c>
      <c r="I89" s="31" t="n">
        <v>102.3</v>
      </c>
      <c r="J89" s="31" t="n">
        <v>16.8</v>
      </c>
      <c r="K89" t="inlineStr">
        <is>
          <t>PY03</t>
        </is>
      </c>
      <c r="L89" s="30" t="n"/>
    </row>
    <row r="90">
      <c r="A90" t="inlineStr">
        <is>
          <t>PT11851</t>
        </is>
      </c>
      <c r="B90" t="inlineStr">
        <is>
          <t>00880576</t>
        </is>
      </c>
      <c r="C90" t="inlineStr">
        <is>
          <t>Ahmed</t>
        </is>
      </c>
      <c r="D90" t="inlineStr">
        <is>
          <t>Henry</t>
        </is>
      </c>
      <c r="E90" t="inlineStr">
        <is>
          <t>M</t>
        </is>
      </c>
      <c r="F90" s="28" t="n">
        <v>20699</v>
      </c>
      <c r="G90" t="n">
        <v>69</v>
      </c>
      <c r="H90" s="31" t="n">
        <v>69.09999999999999</v>
      </c>
      <c r="I90" s="31" t="n">
        <v>260.3</v>
      </c>
      <c r="J90" s="31" t="n">
        <v>38.3</v>
      </c>
      <c r="K90" t="inlineStr">
        <is>
          <t>PY01</t>
        </is>
      </c>
      <c r="L90" s="30" t="n"/>
    </row>
    <row r="91">
      <c r="A91" t="inlineStr">
        <is>
          <t>PT11906</t>
        </is>
      </c>
      <c r="B91" t="inlineStr">
        <is>
          <t>09383783</t>
        </is>
      </c>
      <c r="C91" t="inlineStr">
        <is>
          <t>Frank</t>
        </is>
      </c>
      <c r="D91" t="inlineStr">
        <is>
          <t>Hall</t>
        </is>
      </c>
      <c r="E91" t="inlineStr">
        <is>
          <t>M</t>
        </is>
      </c>
      <c r="F91" s="28" t="n">
        <v>35147</v>
      </c>
      <c r="G91" t="n">
        <v>29</v>
      </c>
      <c r="H91" s="31" t="n">
        <v>69.5</v>
      </c>
      <c r="I91" s="31" t="n">
        <v>278</v>
      </c>
      <c r="J91" s="31" t="n">
        <v>40.5</v>
      </c>
      <c r="K91" t="inlineStr">
        <is>
          <t>PY06</t>
        </is>
      </c>
      <c r="L91" s="30" t="n"/>
    </row>
    <row r="92">
      <c r="A92" t="inlineStr">
        <is>
          <t>PT11916</t>
        </is>
      </c>
      <c r="B92" t="inlineStr">
        <is>
          <t>08884343</t>
        </is>
      </c>
      <c r="C92" t="inlineStr">
        <is>
          <t>Shirley</t>
        </is>
      </c>
      <c r="D92" t="inlineStr">
        <is>
          <t>Robinson</t>
        </is>
      </c>
      <c r="E92" t="inlineStr">
        <is>
          <t>F</t>
        </is>
      </c>
      <c r="F92" s="28" t="n">
        <v>34459</v>
      </c>
      <c r="G92" t="n">
        <v>31</v>
      </c>
      <c r="H92" s="31" t="n">
        <v>63.9</v>
      </c>
      <c r="I92" s="31" t="n">
        <v>151.9</v>
      </c>
      <c r="J92" s="31" t="n">
        <v>26.2</v>
      </c>
      <c r="K92" t="inlineStr">
        <is>
          <t>PY04</t>
        </is>
      </c>
      <c r="L92" s="30" t="n"/>
    </row>
    <row r="93">
      <c r="A93" t="inlineStr">
        <is>
          <t>PT11919</t>
        </is>
      </c>
      <c r="B93" t="inlineStr">
        <is>
          <t>06750184</t>
        </is>
      </c>
      <c r="C93" t="inlineStr">
        <is>
          <t>Vincent</t>
        </is>
      </c>
      <c r="D93" t="inlineStr">
        <is>
          <t>Howard</t>
        </is>
      </c>
      <c r="E93" t="inlineStr">
        <is>
          <t>M</t>
        </is>
      </c>
      <c r="F93" s="28" t="n">
        <v>21600</v>
      </c>
      <c r="G93" t="n">
        <v>66</v>
      </c>
      <c r="H93" s="31" t="n">
        <v>73.09999999999999</v>
      </c>
      <c r="I93" s="31" t="n">
        <v>180.7</v>
      </c>
      <c r="J93" s="31" t="n">
        <v>23.8</v>
      </c>
      <c r="K93" t="inlineStr">
        <is>
          <t>PY02</t>
        </is>
      </c>
      <c r="L93" s="30" t="n"/>
    </row>
    <row r="94">
      <c r="A94" t="inlineStr">
        <is>
          <t>PT11922</t>
        </is>
      </c>
      <c r="B94" t="inlineStr">
        <is>
          <t>07996003</t>
        </is>
      </c>
      <c r="C94" t="inlineStr">
        <is>
          <t>Kevin</t>
        </is>
      </c>
      <c r="D94" t="inlineStr">
        <is>
          <t>Rodriguez</t>
        </is>
      </c>
      <c r="E94" t="inlineStr">
        <is>
          <t>M</t>
        </is>
      </c>
      <c r="F94" s="28" t="n">
        <v>17227</v>
      </c>
      <c r="G94" t="n">
        <v>78</v>
      </c>
      <c r="H94" s="31" t="n">
        <v>72.09999999999999</v>
      </c>
      <c r="I94" s="31" t="n">
        <v>335.6</v>
      </c>
      <c r="J94" s="31" t="n">
        <v>45.4</v>
      </c>
      <c r="K94" t="inlineStr">
        <is>
          <t>PY01</t>
        </is>
      </c>
      <c r="L94" s="30" t="n"/>
    </row>
    <row r="95">
      <c r="A95" t="inlineStr">
        <is>
          <t>PT11931</t>
        </is>
      </c>
      <c r="B95" t="inlineStr">
        <is>
          <t>07903462</t>
        </is>
      </c>
      <c r="C95" t="inlineStr">
        <is>
          <t>Anthony</t>
        </is>
      </c>
      <c r="D95" t="inlineStr">
        <is>
          <t>Cox</t>
        </is>
      </c>
      <c r="E95" t="inlineStr">
        <is>
          <t>M</t>
        </is>
      </c>
      <c r="F95" s="28" t="n">
        <v>11742</v>
      </c>
      <c r="G95" t="n">
        <v>93</v>
      </c>
      <c r="H95" s="31" t="n">
        <v>74.3</v>
      </c>
      <c r="I95" s="31" t="n">
        <v>257.5</v>
      </c>
      <c r="J95" s="31" t="n">
        <v>32.8</v>
      </c>
      <c r="K95" t="inlineStr">
        <is>
          <t>PY01</t>
        </is>
      </c>
      <c r="L95" s="30" t="n"/>
    </row>
    <row r="96">
      <c r="A96" t="inlineStr">
        <is>
          <t>PT11957</t>
        </is>
      </c>
      <c r="B96" t="inlineStr">
        <is>
          <t>08919016</t>
        </is>
      </c>
      <c r="C96" t="inlineStr">
        <is>
          <t>Elizabeth</t>
        </is>
      </c>
      <c r="D96" t="inlineStr">
        <is>
          <t>Mendez</t>
        </is>
      </c>
      <c r="E96" t="inlineStr">
        <is>
          <t>F</t>
        </is>
      </c>
      <c r="F96" s="28" t="n">
        <v>24801</v>
      </c>
      <c r="G96" t="n">
        <v>58</v>
      </c>
      <c r="H96" s="31" t="n">
        <v>64.40000000000001</v>
      </c>
      <c r="I96" s="31" t="n">
        <v>119.9</v>
      </c>
      <c r="J96" s="31" t="n">
        <v>20.3</v>
      </c>
      <c r="K96" t="inlineStr">
        <is>
          <t>PY06</t>
        </is>
      </c>
      <c r="L96" s="30" t="n"/>
    </row>
    <row r="97">
      <c r="A97" t="inlineStr">
        <is>
          <t>PT11989</t>
        </is>
      </c>
      <c r="B97" t="inlineStr">
        <is>
          <t>04406596</t>
        </is>
      </c>
      <c r="C97" t="inlineStr">
        <is>
          <t>Liam</t>
        </is>
      </c>
      <c r="D97" t="inlineStr">
        <is>
          <t>Romero</t>
        </is>
      </c>
      <c r="E97" t="inlineStr">
        <is>
          <t>M</t>
        </is>
      </c>
      <c r="F97" s="28" t="n">
        <v>11922</v>
      </c>
      <c r="G97" t="n">
        <v>93</v>
      </c>
      <c r="H97" s="31" t="n">
        <v>61.6</v>
      </c>
      <c r="I97" s="31" t="n">
        <v>138.5</v>
      </c>
      <c r="J97" s="31" t="n">
        <v>25.7</v>
      </c>
      <c r="K97" t="inlineStr">
        <is>
          <t>PY01</t>
        </is>
      </c>
      <c r="L97" s="30" t="n"/>
    </row>
    <row r="98">
      <c r="A98" t="inlineStr">
        <is>
          <t>PT12018</t>
        </is>
      </c>
      <c r="B98" t="inlineStr">
        <is>
          <t>03764199</t>
        </is>
      </c>
      <c r="C98" t="inlineStr">
        <is>
          <t>Christopher</t>
        </is>
      </c>
      <c r="D98" t="inlineStr">
        <is>
          <t>Warren</t>
        </is>
      </c>
      <c r="E98" t="inlineStr">
        <is>
          <t>M</t>
        </is>
      </c>
      <c r="F98" s="28" t="n">
        <v>30499</v>
      </c>
      <c r="G98" t="n">
        <v>42</v>
      </c>
      <c r="H98" s="31" t="n">
        <v>76.5</v>
      </c>
      <c r="I98" s="31" t="n">
        <v>259.2</v>
      </c>
      <c r="J98" s="31" t="n">
        <v>31.1</v>
      </c>
      <c r="K98" t="inlineStr">
        <is>
          <t>PY03</t>
        </is>
      </c>
      <c r="L98" s="30" t="n"/>
    </row>
    <row r="99">
      <c r="A99" t="inlineStr">
        <is>
          <t>PT12054</t>
        </is>
      </c>
      <c r="B99" t="inlineStr">
        <is>
          <t>04347325</t>
        </is>
      </c>
      <c r="C99" t="inlineStr">
        <is>
          <t>Betty</t>
        </is>
      </c>
      <c r="D99" t="inlineStr">
        <is>
          <t>Richards</t>
        </is>
      </c>
      <c r="E99" t="inlineStr">
        <is>
          <t>F</t>
        </is>
      </c>
      <c r="F99" s="28" t="n">
        <v>36579</v>
      </c>
      <c r="G99" t="n">
        <v>25</v>
      </c>
      <c r="H99" s="31" t="n">
        <v>65.7</v>
      </c>
      <c r="I99" s="31" t="n">
        <v>161.6</v>
      </c>
      <c r="J99" s="31" t="n">
        <v>26.3</v>
      </c>
      <c r="K99" t="inlineStr">
        <is>
          <t>PY04</t>
        </is>
      </c>
      <c r="L99" s="30" t="n"/>
    </row>
    <row r="100">
      <c r="A100" t="inlineStr">
        <is>
          <t>PT12070</t>
        </is>
      </c>
      <c r="B100" t="inlineStr">
        <is>
          <t>01895000</t>
        </is>
      </c>
      <c r="C100" t="inlineStr">
        <is>
          <t>Matthew</t>
        </is>
      </c>
      <c r="D100" t="inlineStr">
        <is>
          <t>Rodriguez</t>
        </is>
      </c>
      <c r="E100" t="inlineStr">
        <is>
          <t>M</t>
        </is>
      </c>
      <c r="F100" s="28" t="n">
        <v>29257</v>
      </c>
      <c r="G100" t="n">
        <v>45</v>
      </c>
      <c r="H100" s="31" t="n">
        <v>67.7</v>
      </c>
      <c r="I100" s="31" t="n">
        <v>201.1</v>
      </c>
      <c r="J100" s="31" t="n">
        <v>30.8</v>
      </c>
      <c r="K100" t="inlineStr">
        <is>
          <t>PY04</t>
        </is>
      </c>
      <c r="L100" s="30" t="n"/>
    </row>
    <row r="101">
      <c r="A101" t="inlineStr">
        <is>
          <t>PT12088</t>
        </is>
      </c>
      <c r="B101" t="inlineStr">
        <is>
          <t>04580637</t>
        </is>
      </c>
      <c r="C101" t="inlineStr">
        <is>
          <t>Larry</t>
        </is>
      </c>
      <c r="D101" t="inlineStr">
        <is>
          <t>Cox</t>
        </is>
      </c>
      <c r="E101" t="inlineStr">
        <is>
          <t>M</t>
        </is>
      </c>
      <c r="F101" s="28" t="n">
        <v>25763</v>
      </c>
      <c r="G101" t="n">
        <v>55</v>
      </c>
      <c r="H101" s="31" t="n">
        <v>71.2</v>
      </c>
      <c r="I101" s="31" t="n">
        <v>136.5</v>
      </c>
      <c r="J101" s="31" t="n">
        <v>18.9</v>
      </c>
      <c r="K101" t="inlineStr">
        <is>
          <t>PY05</t>
        </is>
      </c>
      <c r="L101" s="30" t="n"/>
    </row>
    <row r="102">
      <c r="A102" t="inlineStr">
        <is>
          <t>PT12092</t>
        </is>
      </c>
      <c r="B102" t="inlineStr">
        <is>
          <t>01184563</t>
        </is>
      </c>
      <c r="C102" t="inlineStr">
        <is>
          <t>Barbara</t>
        </is>
      </c>
      <c r="D102" t="inlineStr">
        <is>
          <t>Perez</t>
        </is>
      </c>
      <c r="E102" t="inlineStr">
        <is>
          <t>F</t>
        </is>
      </c>
      <c r="F102" s="28" t="n">
        <v>20271</v>
      </c>
      <c r="G102" t="n">
        <v>70</v>
      </c>
      <c r="H102" s="31" t="n">
        <v>67.8</v>
      </c>
      <c r="I102" s="31" t="n">
        <v>107.8</v>
      </c>
      <c r="J102" s="31" t="n">
        <v>16.5</v>
      </c>
      <c r="K102" t="inlineStr">
        <is>
          <t>PY03</t>
        </is>
      </c>
      <c r="L102" s="30" t="n"/>
    </row>
    <row r="103">
      <c r="A103" t="inlineStr">
        <is>
          <t>PT12111</t>
        </is>
      </c>
      <c r="B103" t="inlineStr">
        <is>
          <t>08925362</t>
        </is>
      </c>
      <c r="C103" t="inlineStr">
        <is>
          <t>Deborah</t>
        </is>
      </c>
      <c r="D103" t="inlineStr">
        <is>
          <t>Pena</t>
        </is>
      </c>
      <c r="E103" t="inlineStr">
        <is>
          <t>F</t>
        </is>
      </c>
      <c r="F103" s="28" t="n">
        <v>29255</v>
      </c>
      <c r="G103" t="n">
        <v>45</v>
      </c>
      <c r="H103" s="31" t="n">
        <v>66.09999999999999</v>
      </c>
      <c r="I103" s="31" t="n">
        <v>206.2</v>
      </c>
      <c r="J103" s="31" t="n">
        <v>33.2</v>
      </c>
      <c r="K103" t="inlineStr">
        <is>
          <t>PY05</t>
        </is>
      </c>
      <c r="L103" s="30" t="n"/>
    </row>
    <row r="104">
      <c r="A104" t="inlineStr">
        <is>
          <t>PT12139</t>
        </is>
      </c>
      <c r="B104" t="inlineStr">
        <is>
          <t>00206017</t>
        </is>
      </c>
      <c r="C104" t="inlineStr">
        <is>
          <t>Diana</t>
        </is>
      </c>
      <c r="D104" t="inlineStr">
        <is>
          <t>Patterson</t>
        </is>
      </c>
      <c r="E104" t="inlineStr">
        <is>
          <t>F</t>
        </is>
      </c>
      <c r="F104" s="28" t="n">
        <v>17753</v>
      </c>
      <c r="G104" t="n">
        <v>77</v>
      </c>
      <c r="H104" s="31" t="n">
        <v>64.2</v>
      </c>
      <c r="I104" s="31" t="n">
        <v>200.8</v>
      </c>
      <c r="J104" s="31" t="n">
        <v>34.2</v>
      </c>
      <c r="K104" t="inlineStr">
        <is>
          <t>PY03</t>
        </is>
      </c>
      <c r="L104" s="30" t="n"/>
    </row>
    <row r="105">
      <c r="A105" t="inlineStr">
        <is>
          <t>PT12169</t>
        </is>
      </c>
      <c r="B105" t="inlineStr">
        <is>
          <t>02692318</t>
        </is>
      </c>
      <c r="C105" t="inlineStr">
        <is>
          <t>Christine</t>
        </is>
      </c>
      <c r="D105" t="inlineStr">
        <is>
          <t>Miller</t>
        </is>
      </c>
      <c r="E105" t="inlineStr">
        <is>
          <t>F</t>
        </is>
      </c>
      <c r="F105" s="28" t="n">
        <v>24986</v>
      </c>
      <c r="G105" t="n">
        <v>57</v>
      </c>
      <c r="H105" s="31" t="n">
        <v>61.6</v>
      </c>
      <c r="I105" s="31" t="n">
        <v>141.7</v>
      </c>
      <c r="J105" s="31" t="n">
        <v>26.3</v>
      </c>
      <c r="K105" t="inlineStr">
        <is>
          <t>PY05</t>
        </is>
      </c>
      <c r="L105" s="30" t="n"/>
    </row>
    <row r="106">
      <c r="A106" t="inlineStr">
        <is>
          <t>PT12173</t>
        </is>
      </c>
      <c r="B106" t="inlineStr">
        <is>
          <t>02920333</t>
        </is>
      </c>
      <c r="C106" t="inlineStr">
        <is>
          <t>Elijah</t>
        </is>
      </c>
      <c r="D106" t="inlineStr">
        <is>
          <t>Haddad</t>
        </is>
      </c>
      <c r="E106" t="inlineStr">
        <is>
          <t>M</t>
        </is>
      </c>
      <c r="F106" s="28" t="n">
        <v>20408</v>
      </c>
      <c r="G106" t="n">
        <v>70</v>
      </c>
      <c r="H106" s="31" t="n">
        <v>64.7</v>
      </c>
      <c r="I106" s="31" t="n">
        <v>194.7</v>
      </c>
      <c r="J106" s="31" t="n">
        <v>32.7</v>
      </c>
      <c r="K106" t="inlineStr">
        <is>
          <t>PY01</t>
        </is>
      </c>
      <c r="L106" s="30" t="n"/>
    </row>
    <row r="107">
      <c r="A107" t="inlineStr">
        <is>
          <t>PT12199</t>
        </is>
      </c>
      <c r="B107" t="inlineStr">
        <is>
          <t>08516876</t>
        </is>
      </c>
      <c r="C107" t="inlineStr">
        <is>
          <t>Minh</t>
        </is>
      </c>
      <c r="D107" t="inlineStr">
        <is>
          <t>Bennett</t>
        </is>
      </c>
      <c r="E107" t="inlineStr">
        <is>
          <t>M</t>
        </is>
      </c>
      <c r="F107" s="28" t="n">
        <v>26655</v>
      </c>
      <c r="G107" t="n">
        <v>53</v>
      </c>
      <c r="H107" s="31" t="n">
        <v>69.5</v>
      </c>
      <c r="I107" s="31" t="n">
        <v>178.3</v>
      </c>
      <c r="J107" s="31" t="n">
        <v>25.9</v>
      </c>
      <c r="K107" t="inlineStr">
        <is>
          <t>PY03</t>
        </is>
      </c>
      <c r="L107" s="30" t="n"/>
    </row>
    <row r="108">
      <c r="A108" t="inlineStr">
        <is>
          <t>PT12248</t>
        </is>
      </c>
      <c r="B108" t="inlineStr">
        <is>
          <t>00492611</t>
        </is>
      </c>
      <c r="C108" t="inlineStr">
        <is>
          <t>Zachary</t>
        </is>
      </c>
      <c r="D108" t="inlineStr">
        <is>
          <t>Bell</t>
        </is>
      </c>
      <c r="E108" t="inlineStr">
        <is>
          <t>M</t>
        </is>
      </c>
      <c r="F108" s="28" t="n">
        <v>25502</v>
      </c>
      <c r="G108" t="n">
        <v>56</v>
      </c>
      <c r="H108" s="31" t="n">
        <v>74.2</v>
      </c>
      <c r="I108" s="31" t="n">
        <v>267.6</v>
      </c>
      <c r="J108" s="31" t="n">
        <v>34.2</v>
      </c>
      <c r="K108" t="inlineStr">
        <is>
          <t>PY04</t>
        </is>
      </c>
      <c r="L108" s="30" t="n"/>
    </row>
    <row r="109">
      <c r="A109" t="inlineStr">
        <is>
          <t>PT12251</t>
        </is>
      </c>
      <c r="B109" t="inlineStr">
        <is>
          <t>05939910</t>
        </is>
      </c>
      <c r="C109" t="inlineStr">
        <is>
          <t>Ashley</t>
        </is>
      </c>
      <c r="D109" t="inlineStr">
        <is>
          <t>Mitchell</t>
        </is>
      </c>
      <c r="E109" t="inlineStr">
        <is>
          <t>F</t>
        </is>
      </c>
      <c r="F109" s="28" t="n">
        <v>32098</v>
      </c>
      <c r="G109" t="n">
        <v>38</v>
      </c>
      <c r="H109" s="31" t="n">
        <v>66.8</v>
      </c>
      <c r="I109" s="31" t="n">
        <v>180.8</v>
      </c>
      <c r="J109" s="31" t="n">
        <v>28.5</v>
      </c>
      <c r="K109" t="inlineStr">
        <is>
          <t>PY03</t>
        </is>
      </c>
      <c r="L109" s="30" t="n"/>
    </row>
    <row r="110">
      <c r="A110" t="inlineStr">
        <is>
          <t>PT12256</t>
        </is>
      </c>
      <c r="B110" t="inlineStr">
        <is>
          <t>03717632</t>
        </is>
      </c>
      <c r="C110" t="inlineStr">
        <is>
          <t>Kyle</t>
        </is>
      </c>
      <c r="D110" t="inlineStr">
        <is>
          <t>Howard</t>
        </is>
      </c>
      <c r="E110" t="inlineStr">
        <is>
          <t>M</t>
        </is>
      </c>
      <c r="F110" s="28" t="n">
        <v>28541</v>
      </c>
      <c r="G110" t="n">
        <v>47</v>
      </c>
      <c r="H110" s="31" t="n">
        <v>64.90000000000001</v>
      </c>
      <c r="I110" s="31" t="n">
        <v>182.8</v>
      </c>
      <c r="J110" s="31" t="n">
        <v>30.5</v>
      </c>
      <c r="K110" t="inlineStr">
        <is>
          <t>PY05</t>
        </is>
      </c>
      <c r="L110" s="30" t="n"/>
    </row>
    <row r="111">
      <c r="A111" t="inlineStr">
        <is>
          <t>PT12287</t>
        </is>
      </c>
      <c r="B111" t="inlineStr">
        <is>
          <t>08809908</t>
        </is>
      </c>
      <c r="C111" t="inlineStr">
        <is>
          <t>Robert</t>
        </is>
      </c>
      <c r="D111" t="inlineStr">
        <is>
          <t>Sanders</t>
        </is>
      </c>
      <c r="E111" t="inlineStr">
        <is>
          <t>M</t>
        </is>
      </c>
      <c r="F111" s="28" t="n">
        <v>37852</v>
      </c>
      <c r="G111" t="n">
        <v>22</v>
      </c>
      <c r="H111" s="31" t="n">
        <v>72.8</v>
      </c>
      <c r="I111" s="31" t="n">
        <v>266.9</v>
      </c>
      <c r="J111" s="31" t="n">
        <v>35.4</v>
      </c>
      <c r="K111" t="inlineStr">
        <is>
          <t>PY03</t>
        </is>
      </c>
      <c r="L111" s="30" t="n"/>
    </row>
    <row r="112">
      <c r="A112" t="inlineStr">
        <is>
          <t>PT12320</t>
        </is>
      </c>
      <c r="B112" t="inlineStr">
        <is>
          <t>04034039</t>
        </is>
      </c>
      <c r="C112" t="inlineStr">
        <is>
          <t>Christina</t>
        </is>
      </c>
      <c r="D112" t="inlineStr">
        <is>
          <t>Tucker</t>
        </is>
      </c>
      <c r="E112" t="inlineStr">
        <is>
          <t>F</t>
        </is>
      </c>
      <c r="F112" s="28" t="n">
        <v>21146</v>
      </c>
      <c r="G112" t="n">
        <v>68</v>
      </c>
      <c r="H112" s="31" t="n">
        <v>69.3</v>
      </c>
      <c r="I112" s="31" t="n">
        <v>265</v>
      </c>
      <c r="J112" s="31" t="n">
        <v>38.8</v>
      </c>
      <c r="K112" t="inlineStr">
        <is>
          <t>PY01</t>
        </is>
      </c>
      <c r="L112" s="30" t="n"/>
    </row>
    <row r="113">
      <c r="A113" t="inlineStr">
        <is>
          <t>PT12366</t>
        </is>
      </c>
      <c r="B113" t="inlineStr">
        <is>
          <t>09726625</t>
        </is>
      </c>
      <c r="C113" t="inlineStr">
        <is>
          <t>Theresa</t>
        </is>
      </c>
      <c r="D113" t="inlineStr">
        <is>
          <t>Ward</t>
        </is>
      </c>
      <c r="E113" t="inlineStr">
        <is>
          <t>F</t>
        </is>
      </c>
      <c r="F113" s="28" t="n">
        <v>35363</v>
      </c>
      <c r="G113" t="n">
        <v>29</v>
      </c>
      <c r="H113" s="31" t="n">
        <v>64.7</v>
      </c>
      <c r="I113" s="31" t="n">
        <v>215.5</v>
      </c>
      <c r="J113" s="31" t="n">
        <v>36.2</v>
      </c>
      <c r="K113" t="inlineStr">
        <is>
          <t>PY06</t>
        </is>
      </c>
      <c r="L113" s="30" t="n"/>
    </row>
    <row r="114">
      <c r="A114" t="inlineStr">
        <is>
          <t>PT12374</t>
        </is>
      </c>
      <c r="B114" t="inlineStr">
        <is>
          <t>00751898</t>
        </is>
      </c>
      <c r="C114" t="inlineStr">
        <is>
          <t>Elijah</t>
        </is>
      </c>
      <c r="D114" t="inlineStr">
        <is>
          <t>Elliott</t>
        </is>
      </c>
      <c r="E114" t="inlineStr">
        <is>
          <t>M</t>
        </is>
      </c>
      <c r="F114" s="28" t="n">
        <v>22989</v>
      </c>
      <c r="G114" t="n">
        <v>63</v>
      </c>
      <c r="H114" s="31" t="n">
        <v>66</v>
      </c>
      <c r="I114" s="31" t="n">
        <v>144.4</v>
      </c>
      <c r="J114" s="31" t="n">
        <v>23.3</v>
      </c>
      <c r="K114" t="inlineStr">
        <is>
          <t>PY05</t>
        </is>
      </c>
      <c r="L114" s="30" t="n"/>
    </row>
    <row r="115">
      <c r="A115" t="inlineStr">
        <is>
          <t>PT12448</t>
        </is>
      </c>
      <c r="B115" t="inlineStr">
        <is>
          <t>00346034</t>
        </is>
      </c>
      <c r="C115" t="inlineStr">
        <is>
          <t>Karen</t>
        </is>
      </c>
      <c r="D115" t="inlineStr">
        <is>
          <t>Kim</t>
        </is>
      </c>
      <c r="E115" t="inlineStr">
        <is>
          <t>F</t>
        </is>
      </c>
      <c r="F115" s="28" t="n">
        <v>18674</v>
      </c>
      <c r="G115" t="n">
        <v>74</v>
      </c>
      <c r="H115" s="31" t="n">
        <v>62.4</v>
      </c>
      <c r="I115" s="31" t="n">
        <v>152.6</v>
      </c>
      <c r="J115" s="31" t="n">
        <v>27.6</v>
      </c>
      <c r="K115" t="inlineStr">
        <is>
          <t>PY01</t>
        </is>
      </c>
      <c r="L115" s="30" t="n"/>
    </row>
    <row r="116">
      <c r="A116" t="inlineStr">
        <is>
          <t>PT12452</t>
        </is>
      </c>
      <c r="B116" t="inlineStr">
        <is>
          <t>01990600</t>
        </is>
      </c>
      <c r="C116" t="inlineStr">
        <is>
          <t>Kathleen</t>
        </is>
      </c>
      <c r="D116" t="inlineStr">
        <is>
          <t>Foster</t>
        </is>
      </c>
      <c r="E116" t="inlineStr">
        <is>
          <t>F</t>
        </is>
      </c>
      <c r="F116" s="28" t="n">
        <v>37418</v>
      </c>
      <c r="G116" t="n">
        <v>23</v>
      </c>
      <c r="H116" s="31" t="n">
        <v>63.7</v>
      </c>
      <c r="I116" s="31" t="n">
        <v>203.2</v>
      </c>
      <c r="J116" s="31" t="n">
        <v>35.2</v>
      </c>
      <c r="K116" t="inlineStr">
        <is>
          <t>PY03</t>
        </is>
      </c>
      <c r="L116" s="30" t="n"/>
    </row>
    <row r="117">
      <c r="A117" t="inlineStr">
        <is>
          <t>PT12480</t>
        </is>
      </c>
      <c r="B117" t="inlineStr">
        <is>
          <t>05611027</t>
        </is>
      </c>
      <c r="C117" t="inlineStr">
        <is>
          <t>Nicole</t>
        </is>
      </c>
      <c r="D117" t="inlineStr">
        <is>
          <t>Fernandez</t>
        </is>
      </c>
      <c r="E117" t="inlineStr">
        <is>
          <t>F</t>
        </is>
      </c>
      <c r="F117" s="28" t="n">
        <v>37070</v>
      </c>
      <c r="G117" t="n">
        <v>24</v>
      </c>
      <c r="H117" s="31" t="n">
        <v>68</v>
      </c>
      <c r="I117" s="31" t="n">
        <v>215.5</v>
      </c>
      <c r="J117" s="31" t="n">
        <v>32.8</v>
      </c>
      <c r="K117" t="inlineStr">
        <is>
          <t>PY03</t>
        </is>
      </c>
      <c r="L117" s="30" t="n"/>
    </row>
    <row r="118">
      <c r="A118" t="inlineStr">
        <is>
          <t>PT12482</t>
        </is>
      </c>
      <c r="B118" t="inlineStr">
        <is>
          <t>02778644</t>
        </is>
      </c>
      <c r="C118" t="inlineStr">
        <is>
          <t>James</t>
        </is>
      </c>
      <c r="D118" t="inlineStr">
        <is>
          <t>White</t>
        </is>
      </c>
      <c r="E118" t="inlineStr">
        <is>
          <t>M</t>
        </is>
      </c>
      <c r="F118" s="28" t="n">
        <v>27012</v>
      </c>
      <c r="G118" t="n">
        <v>52</v>
      </c>
      <c r="H118" s="31" t="n">
        <v>72.09999999999999</v>
      </c>
      <c r="I118" s="31" t="n">
        <v>280.2</v>
      </c>
      <c r="J118" s="31" t="n">
        <v>37.9</v>
      </c>
      <c r="K118" t="inlineStr">
        <is>
          <t>PY04</t>
        </is>
      </c>
      <c r="L118" s="30" t="n"/>
    </row>
    <row r="119">
      <c r="A119" t="inlineStr">
        <is>
          <t>PT12489</t>
        </is>
      </c>
      <c r="B119" t="inlineStr">
        <is>
          <t>06758149</t>
        </is>
      </c>
      <c r="C119" t="inlineStr">
        <is>
          <t>Edward</t>
        </is>
      </c>
      <c r="D119" t="inlineStr">
        <is>
          <t>Owens</t>
        </is>
      </c>
      <c r="E119" t="inlineStr">
        <is>
          <t>M</t>
        </is>
      </c>
      <c r="F119" s="28" t="n">
        <v>35916</v>
      </c>
      <c r="G119" t="n">
        <v>27</v>
      </c>
      <c r="H119" s="31" t="n">
        <v>72.09999999999999</v>
      </c>
      <c r="I119" s="31" t="n">
        <v>227.9</v>
      </c>
      <c r="J119" s="31" t="n">
        <v>30.8</v>
      </c>
      <c r="K119" t="inlineStr">
        <is>
          <t>PY03</t>
        </is>
      </c>
      <c r="L119" s="30" t="n"/>
    </row>
    <row r="120">
      <c r="A120" t="inlineStr">
        <is>
          <t>PT12516</t>
        </is>
      </c>
      <c r="B120" t="inlineStr">
        <is>
          <t>07200025</t>
        </is>
      </c>
      <c r="C120" t="inlineStr">
        <is>
          <t>Zachary</t>
        </is>
      </c>
      <c r="D120" t="inlineStr">
        <is>
          <t>Sanchez</t>
        </is>
      </c>
      <c r="E120" t="inlineStr">
        <is>
          <t>M</t>
        </is>
      </c>
      <c r="F120" s="28" t="n">
        <v>27271</v>
      </c>
      <c r="G120" t="n">
        <v>51</v>
      </c>
      <c r="H120" s="31" t="n">
        <v>70.40000000000001</v>
      </c>
      <c r="I120" s="31" t="n">
        <v>116.2</v>
      </c>
      <c r="J120" s="31" t="n">
        <v>16.5</v>
      </c>
      <c r="K120" t="inlineStr">
        <is>
          <t>PY07</t>
        </is>
      </c>
      <c r="L120" s="30" t="n"/>
    </row>
    <row r="121">
      <c r="A121" t="inlineStr">
        <is>
          <t>PT12554</t>
        </is>
      </c>
      <c r="B121" t="inlineStr">
        <is>
          <t>01463590</t>
        </is>
      </c>
      <c r="C121" t="inlineStr">
        <is>
          <t>Diane</t>
        </is>
      </c>
      <c r="D121" t="inlineStr">
        <is>
          <t>McDonald</t>
        </is>
      </c>
      <c r="E121" t="inlineStr">
        <is>
          <t>F</t>
        </is>
      </c>
      <c r="F121" s="28" t="n">
        <v>20811</v>
      </c>
      <c r="G121" t="n">
        <v>69</v>
      </c>
      <c r="H121" s="31" t="n">
        <v>66.59999999999999</v>
      </c>
      <c r="I121" s="31" t="n">
        <v>188.9</v>
      </c>
      <c r="J121" s="31" t="n">
        <v>29.9</v>
      </c>
      <c r="K121" t="inlineStr">
        <is>
          <t>PY01</t>
        </is>
      </c>
      <c r="L121" s="30" t="n"/>
    </row>
    <row r="122">
      <c r="A122" t="inlineStr">
        <is>
          <t>PT12579</t>
        </is>
      </c>
      <c r="B122" t="inlineStr">
        <is>
          <t>01911426</t>
        </is>
      </c>
      <c r="C122" t="inlineStr">
        <is>
          <t>Larry</t>
        </is>
      </c>
      <c r="D122" t="inlineStr">
        <is>
          <t>Myers</t>
        </is>
      </c>
      <c r="E122" t="inlineStr">
        <is>
          <t>M</t>
        </is>
      </c>
      <c r="F122" s="28" t="n">
        <v>17485</v>
      </c>
      <c r="G122" t="n">
        <v>78</v>
      </c>
      <c r="H122" s="31" t="n">
        <v>64.09999999999999</v>
      </c>
      <c r="I122" s="31" t="n">
        <v>123.3</v>
      </c>
      <c r="J122" s="31" t="n">
        <v>21.1</v>
      </c>
      <c r="K122" t="inlineStr">
        <is>
          <t>PY02</t>
        </is>
      </c>
      <c r="L122" s="30" t="n"/>
    </row>
    <row r="123">
      <c r="A123" t="inlineStr">
        <is>
          <t>PT12604</t>
        </is>
      </c>
      <c r="B123" t="inlineStr">
        <is>
          <t>09460642</t>
        </is>
      </c>
      <c r="C123" t="inlineStr">
        <is>
          <t>Jesse</t>
        </is>
      </c>
      <c r="D123" t="inlineStr">
        <is>
          <t>Rivera</t>
        </is>
      </c>
      <c r="E123" t="inlineStr">
        <is>
          <t>M</t>
        </is>
      </c>
      <c r="F123" s="28" t="n">
        <v>30118</v>
      </c>
      <c r="G123" t="n">
        <v>43</v>
      </c>
      <c r="H123" s="31" t="n">
        <v>68.2</v>
      </c>
      <c r="I123" s="31" t="n">
        <v>175.5</v>
      </c>
      <c r="J123" s="31" t="n">
        <v>26.5</v>
      </c>
      <c r="K123" t="inlineStr">
        <is>
          <t>PY04</t>
        </is>
      </c>
      <c r="L123" s="30" t="n"/>
    </row>
    <row r="124">
      <c r="A124" t="inlineStr">
        <is>
          <t>PT12635</t>
        </is>
      </c>
      <c r="B124" t="inlineStr">
        <is>
          <t>03479397</t>
        </is>
      </c>
      <c r="C124" t="inlineStr">
        <is>
          <t>Brian</t>
        </is>
      </c>
      <c r="D124" t="inlineStr">
        <is>
          <t>Robinson</t>
        </is>
      </c>
      <c r="E124" t="inlineStr">
        <is>
          <t>M</t>
        </is>
      </c>
      <c r="F124" s="28" t="n">
        <v>38846</v>
      </c>
      <c r="G124" t="n">
        <v>19</v>
      </c>
      <c r="H124" s="31" t="n">
        <v>70.40000000000001</v>
      </c>
      <c r="I124" s="31" t="n">
        <v>265</v>
      </c>
      <c r="J124" s="31" t="n">
        <v>37.6</v>
      </c>
      <c r="K124" t="inlineStr">
        <is>
          <t>PY03</t>
        </is>
      </c>
      <c r="L124" s="30" t="n"/>
    </row>
    <row r="125">
      <c r="A125" t="inlineStr">
        <is>
          <t>PT12658</t>
        </is>
      </c>
      <c r="B125" t="inlineStr">
        <is>
          <t>02495416</t>
        </is>
      </c>
      <c r="C125" t="inlineStr">
        <is>
          <t>Bryan</t>
        </is>
      </c>
      <c r="D125" t="inlineStr">
        <is>
          <t>Chavez</t>
        </is>
      </c>
      <c r="E125" t="inlineStr">
        <is>
          <t>M</t>
        </is>
      </c>
      <c r="F125" s="28" t="n">
        <v>23723</v>
      </c>
      <c r="G125" t="n">
        <v>61</v>
      </c>
      <c r="H125" s="31" t="n">
        <v>65.2</v>
      </c>
      <c r="I125" s="31" t="n">
        <v>159.1</v>
      </c>
      <c r="J125" s="31" t="n">
        <v>26.3</v>
      </c>
      <c r="K125" t="inlineStr">
        <is>
          <t>PY04</t>
        </is>
      </c>
      <c r="L125" s="30" t="n"/>
    </row>
    <row r="126">
      <c r="A126" t="inlineStr">
        <is>
          <t>PT12659</t>
        </is>
      </c>
      <c r="B126" t="inlineStr">
        <is>
          <t>08388705</t>
        </is>
      </c>
      <c r="C126" t="inlineStr">
        <is>
          <t>Keith</t>
        </is>
      </c>
      <c r="D126" t="inlineStr">
        <is>
          <t>Richards</t>
        </is>
      </c>
      <c r="E126" t="inlineStr">
        <is>
          <t>M</t>
        </is>
      </c>
      <c r="F126" s="28" t="n">
        <v>24958</v>
      </c>
      <c r="G126" t="n">
        <v>57</v>
      </c>
      <c r="H126" s="31" t="n">
        <v>75.7</v>
      </c>
      <c r="I126" s="31" t="n">
        <v>210.3</v>
      </c>
      <c r="J126" s="31" t="n">
        <v>25.8</v>
      </c>
      <c r="K126" t="inlineStr">
        <is>
          <t>PY05</t>
        </is>
      </c>
      <c r="L126" s="30" t="n"/>
    </row>
    <row r="127">
      <c r="A127" t="inlineStr">
        <is>
          <t>PT12660</t>
        </is>
      </c>
      <c r="B127" t="inlineStr">
        <is>
          <t>01806668</t>
        </is>
      </c>
      <c r="C127" t="inlineStr">
        <is>
          <t>Alice</t>
        </is>
      </c>
      <c r="D127" t="inlineStr">
        <is>
          <t>Arnold</t>
        </is>
      </c>
      <c r="E127" t="inlineStr">
        <is>
          <t>F</t>
        </is>
      </c>
      <c r="F127" s="28" t="n">
        <v>24713</v>
      </c>
      <c r="G127" t="n">
        <v>58</v>
      </c>
      <c r="H127" s="31" t="n">
        <v>62.4</v>
      </c>
      <c r="I127" s="31" t="n">
        <v>140.9</v>
      </c>
      <c r="J127" s="31" t="n">
        <v>25.4</v>
      </c>
      <c r="K127" t="inlineStr">
        <is>
          <t>PY06</t>
        </is>
      </c>
      <c r="L127" s="30" t="n"/>
    </row>
    <row r="128">
      <c r="A128" t="inlineStr">
        <is>
          <t>PT12671</t>
        </is>
      </c>
      <c r="B128" t="inlineStr">
        <is>
          <t>05151197</t>
        </is>
      </c>
      <c r="C128" t="inlineStr">
        <is>
          <t>Ethan</t>
        </is>
      </c>
      <c r="D128" t="inlineStr">
        <is>
          <t>Tran</t>
        </is>
      </c>
      <c r="E128" t="inlineStr">
        <is>
          <t>M</t>
        </is>
      </c>
      <c r="F128" s="28" t="n">
        <v>23439</v>
      </c>
      <c r="G128" t="n">
        <v>61</v>
      </c>
      <c r="H128" s="31" t="n">
        <v>69.09999999999999</v>
      </c>
      <c r="I128" s="31" t="n">
        <v>255.7</v>
      </c>
      <c r="J128" s="31" t="n">
        <v>37.6</v>
      </c>
      <c r="K128" t="inlineStr">
        <is>
          <t>PY06</t>
        </is>
      </c>
      <c r="L128" s="30" t="n"/>
    </row>
    <row r="129">
      <c r="A129" t="inlineStr">
        <is>
          <t>PT12682</t>
        </is>
      </c>
      <c r="B129" t="inlineStr">
        <is>
          <t>07021668</t>
        </is>
      </c>
      <c r="C129" t="inlineStr">
        <is>
          <t>Minh</t>
        </is>
      </c>
      <c r="D129" t="inlineStr">
        <is>
          <t>Willis</t>
        </is>
      </c>
      <c r="E129" t="inlineStr">
        <is>
          <t>M</t>
        </is>
      </c>
      <c r="F129" s="28" t="n">
        <v>31792</v>
      </c>
      <c r="G129" t="n">
        <v>38</v>
      </c>
      <c r="H129" s="31" t="n">
        <v>67.7</v>
      </c>
      <c r="I129" s="31" t="n">
        <v>132.8</v>
      </c>
      <c r="J129" s="31" t="n">
        <v>20.4</v>
      </c>
      <c r="K129" t="inlineStr">
        <is>
          <t>PY05</t>
        </is>
      </c>
      <c r="L129" s="30" t="n"/>
    </row>
    <row r="130">
      <c r="A130" t="inlineStr">
        <is>
          <t>PT12702</t>
        </is>
      </c>
      <c r="B130" t="inlineStr">
        <is>
          <t>08731533</t>
        </is>
      </c>
      <c r="C130" t="inlineStr">
        <is>
          <t>Richard</t>
        </is>
      </c>
      <c r="D130" t="inlineStr">
        <is>
          <t>Abdi</t>
        </is>
      </c>
      <c r="E130" t="inlineStr">
        <is>
          <t>M</t>
        </is>
      </c>
      <c r="F130" s="28" t="n">
        <v>36787</v>
      </c>
      <c r="G130" t="n">
        <v>25</v>
      </c>
      <c r="H130" s="31" t="n">
        <v>68.3</v>
      </c>
      <c r="I130" s="31" t="n">
        <v>119.1</v>
      </c>
      <c r="J130" s="31" t="n">
        <v>17.9</v>
      </c>
      <c r="K130" t="inlineStr">
        <is>
          <t>PY06</t>
        </is>
      </c>
      <c r="L130" s="30" t="n"/>
    </row>
    <row r="131">
      <c r="A131" t="inlineStr">
        <is>
          <t>PT12722</t>
        </is>
      </c>
      <c r="B131" t="inlineStr">
        <is>
          <t>04383834</t>
        </is>
      </c>
      <c r="C131" t="inlineStr">
        <is>
          <t>Hannah</t>
        </is>
      </c>
      <c r="D131" t="inlineStr">
        <is>
          <t>Cunningham</t>
        </is>
      </c>
      <c r="E131" t="inlineStr">
        <is>
          <t>F</t>
        </is>
      </c>
      <c r="F131" s="28" t="n">
        <v>21627</v>
      </c>
      <c r="G131" t="n">
        <v>66</v>
      </c>
      <c r="H131" s="31" t="n">
        <v>66</v>
      </c>
      <c r="I131" s="31" t="n">
        <v>155.1</v>
      </c>
      <c r="J131" s="31" t="n">
        <v>25</v>
      </c>
      <c r="K131" t="inlineStr">
        <is>
          <t>PY01</t>
        </is>
      </c>
      <c r="L131" s="30" t="n"/>
    </row>
    <row r="132">
      <c r="A132" t="inlineStr">
        <is>
          <t>PT12735</t>
        </is>
      </c>
      <c r="B132" t="inlineStr">
        <is>
          <t>02031509</t>
        </is>
      </c>
      <c r="C132" t="inlineStr">
        <is>
          <t>Lori</t>
        </is>
      </c>
      <c r="D132" t="inlineStr">
        <is>
          <t>Snyder</t>
        </is>
      </c>
      <c r="E132" t="inlineStr">
        <is>
          <t>F</t>
        </is>
      </c>
      <c r="F132" s="28" t="n">
        <v>24505</v>
      </c>
      <c r="G132" t="n">
        <v>58</v>
      </c>
      <c r="H132" s="31" t="n">
        <v>65</v>
      </c>
      <c r="I132" s="31" t="n">
        <v>143.2</v>
      </c>
      <c r="J132" s="31" t="n">
        <v>23.8</v>
      </c>
      <c r="K132" t="inlineStr">
        <is>
          <t>PY03</t>
        </is>
      </c>
      <c r="L132" s="30" t="n"/>
    </row>
    <row r="133">
      <c r="A133" t="inlineStr">
        <is>
          <t>PT12744</t>
        </is>
      </c>
      <c r="B133" t="inlineStr">
        <is>
          <t>03239375</t>
        </is>
      </c>
      <c r="C133" t="inlineStr">
        <is>
          <t>Rebecca</t>
        </is>
      </c>
      <c r="D133" t="inlineStr">
        <is>
          <t>Richardson</t>
        </is>
      </c>
      <c r="E133" t="inlineStr">
        <is>
          <t>F</t>
        </is>
      </c>
      <c r="F133" s="28" t="n">
        <v>22545</v>
      </c>
      <c r="G133" t="n">
        <v>64</v>
      </c>
      <c r="H133" s="31" t="n">
        <v>68.59999999999999</v>
      </c>
      <c r="I133" s="31" t="n">
        <v>114.9</v>
      </c>
      <c r="J133" s="31" t="n">
        <v>17.2</v>
      </c>
      <c r="K133" t="inlineStr">
        <is>
          <t>PY03</t>
        </is>
      </c>
      <c r="L133" s="30" t="n"/>
    </row>
    <row r="134">
      <c r="A134" t="inlineStr">
        <is>
          <t>PT12748</t>
        </is>
      </c>
      <c r="B134" t="inlineStr">
        <is>
          <t>09841754</t>
        </is>
      </c>
      <c r="C134" t="inlineStr">
        <is>
          <t>Amy</t>
        </is>
      </c>
      <c r="D134" t="inlineStr">
        <is>
          <t>Barnes</t>
        </is>
      </c>
      <c r="E134" t="inlineStr">
        <is>
          <t>F</t>
        </is>
      </c>
      <c r="F134" s="28" t="n">
        <v>36154</v>
      </c>
      <c r="G134" t="n">
        <v>27</v>
      </c>
      <c r="H134" s="31" t="n">
        <v>62.6</v>
      </c>
      <c r="I134" s="31" t="n">
        <v>177</v>
      </c>
      <c r="J134" s="31" t="n">
        <v>31.8</v>
      </c>
      <c r="K134" t="inlineStr">
        <is>
          <t>PY06</t>
        </is>
      </c>
      <c r="L134" s="30" t="n"/>
    </row>
    <row r="135">
      <c r="A135" t="inlineStr">
        <is>
          <t>PT12752</t>
        </is>
      </c>
      <c r="B135" t="inlineStr">
        <is>
          <t>02960388</t>
        </is>
      </c>
      <c r="C135" t="inlineStr">
        <is>
          <t>Carlos</t>
        </is>
      </c>
      <c r="D135" t="inlineStr">
        <is>
          <t>Ortiz</t>
        </is>
      </c>
      <c r="E135" t="inlineStr">
        <is>
          <t>M</t>
        </is>
      </c>
      <c r="F135" s="28" t="n">
        <v>17063</v>
      </c>
      <c r="G135" t="n">
        <v>79</v>
      </c>
      <c r="H135" s="31" t="n">
        <v>68.90000000000001</v>
      </c>
      <c r="I135" s="31" t="n">
        <v>292.5</v>
      </c>
      <c r="J135" s="31" t="n">
        <v>43.3</v>
      </c>
      <c r="K135" t="inlineStr">
        <is>
          <t>PY02</t>
        </is>
      </c>
      <c r="L135" s="30" t="n"/>
    </row>
    <row r="136">
      <c r="A136" t="inlineStr">
        <is>
          <t>PT12787</t>
        </is>
      </c>
      <c r="B136" t="inlineStr">
        <is>
          <t>02331909</t>
        </is>
      </c>
      <c r="C136" t="inlineStr">
        <is>
          <t>Joan</t>
        </is>
      </c>
      <c r="D136" t="inlineStr">
        <is>
          <t>Price</t>
        </is>
      </c>
      <c r="E136" t="inlineStr">
        <is>
          <t>F</t>
        </is>
      </c>
      <c r="F136" s="28" t="n">
        <v>28870</v>
      </c>
      <c r="G136" t="n">
        <v>46</v>
      </c>
      <c r="H136" s="31" t="n">
        <v>62.9</v>
      </c>
      <c r="I136" s="31" t="n">
        <v>217.1</v>
      </c>
      <c r="J136" s="31" t="n">
        <v>38.6</v>
      </c>
      <c r="K136" t="inlineStr">
        <is>
          <t>PY03</t>
        </is>
      </c>
      <c r="L136" s="30" t="n"/>
    </row>
    <row r="137">
      <c r="A137" t="inlineStr">
        <is>
          <t>PT12850</t>
        </is>
      </c>
      <c r="B137" t="inlineStr">
        <is>
          <t>00528891</t>
        </is>
      </c>
      <c r="C137" t="inlineStr">
        <is>
          <t>Peter</t>
        </is>
      </c>
      <c r="D137" t="inlineStr">
        <is>
          <t>Alvarado</t>
        </is>
      </c>
      <c r="E137" t="inlineStr">
        <is>
          <t>M</t>
        </is>
      </c>
      <c r="F137" s="28" t="n">
        <v>28162</v>
      </c>
      <c r="G137" t="n">
        <v>48</v>
      </c>
      <c r="H137" s="31" t="n">
        <v>66.5</v>
      </c>
      <c r="I137" s="31" t="n">
        <v>210</v>
      </c>
      <c r="J137" s="31" t="n">
        <v>33.4</v>
      </c>
      <c r="K137" t="inlineStr">
        <is>
          <t>PY06</t>
        </is>
      </c>
      <c r="L137" s="30" t="n"/>
    </row>
    <row r="138">
      <c r="A138" t="inlineStr">
        <is>
          <t>PT12870</t>
        </is>
      </c>
      <c r="B138" t="inlineStr">
        <is>
          <t>03728368</t>
        </is>
      </c>
      <c r="C138" t="inlineStr">
        <is>
          <t>Megan</t>
        </is>
      </c>
      <c r="D138" t="inlineStr">
        <is>
          <t>Hall</t>
        </is>
      </c>
      <c r="E138" t="inlineStr">
        <is>
          <t>F</t>
        </is>
      </c>
      <c r="F138" s="28" t="n">
        <v>12299</v>
      </c>
      <c r="G138" t="n">
        <v>92</v>
      </c>
      <c r="H138" s="31" t="n">
        <v>61.9</v>
      </c>
      <c r="I138" s="31" t="n">
        <v>194.4</v>
      </c>
      <c r="J138" s="31" t="n">
        <v>35.7</v>
      </c>
      <c r="K138" t="inlineStr">
        <is>
          <t>PY01</t>
        </is>
      </c>
      <c r="L138" s="30" t="n"/>
    </row>
    <row r="139">
      <c r="A139" t="inlineStr">
        <is>
          <t>PT12874</t>
        </is>
      </c>
      <c r="B139" t="inlineStr">
        <is>
          <t>08347484</t>
        </is>
      </c>
      <c r="C139" t="inlineStr">
        <is>
          <t>Mei</t>
        </is>
      </c>
      <c r="D139" t="inlineStr">
        <is>
          <t>Daniels</t>
        </is>
      </c>
      <c r="E139" t="inlineStr">
        <is>
          <t>F</t>
        </is>
      </c>
      <c r="F139" s="28" t="n">
        <v>33358</v>
      </c>
      <c r="G139" t="n">
        <v>34</v>
      </c>
      <c r="H139" s="31" t="n">
        <v>67.8</v>
      </c>
      <c r="I139" s="31" t="n">
        <v>145.9</v>
      </c>
      <c r="J139" s="31" t="n">
        <v>22.3</v>
      </c>
      <c r="K139" t="inlineStr">
        <is>
          <t>PY04</t>
        </is>
      </c>
      <c r="L139" s="30" t="n"/>
    </row>
    <row r="140">
      <c r="A140" t="inlineStr">
        <is>
          <t>PT12889</t>
        </is>
      </c>
      <c r="B140" t="inlineStr">
        <is>
          <t>09621193</t>
        </is>
      </c>
      <c r="C140" t="inlineStr">
        <is>
          <t>Nicole</t>
        </is>
      </c>
      <c r="D140" t="inlineStr">
        <is>
          <t>Walker</t>
        </is>
      </c>
      <c r="E140" t="inlineStr">
        <is>
          <t>F</t>
        </is>
      </c>
      <c r="F140" s="28" t="n">
        <v>31824</v>
      </c>
      <c r="G140" t="n">
        <v>38</v>
      </c>
      <c r="H140" s="31" t="n">
        <v>62.3</v>
      </c>
      <c r="I140" s="31" t="n">
        <v>197.1</v>
      </c>
      <c r="J140" s="31" t="n">
        <v>35.7</v>
      </c>
      <c r="K140" t="inlineStr">
        <is>
          <t>PY01</t>
        </is>
      </c>
      <c r="L140" s="30" t="n"/>
    </row>
    <row r="141">
      <c r="A141" t="inlineStr">
        <is>
          <t>PT12916</t>
        </is>
      </c>
      <c r="B141" t="inlineStr">
        <is>
          <t>05752716</t>
        </is>
      </c>
      <c r="C141" t="inlineStr">
        <is>
          <t>Nathan</t>
        </is>
      </c>
      <c r="D141" t="inlineStr">
        <is>
          <t>Martin</t>
        </is>
      </c>
      <c r="E141" t="inlineStr">
        <is>
          <t>M</t>
        </is>
      </c>
      <c r="F141" s="28" t="n">
        <v>24190</v>
      </c>
      <c r="G141" t="n">
        <v>59</v>
      </c>
      <c r="H141" s="31" t="n">
        <v>63.4</v>
      </c>
      <c r="I141" s="31" t="n">
        <v>164.7</v>
      </c>
      <c r="J141" s="31" t="n">
        <v>28.8</v>
      </c>
      <c r="K141" t="inlineStr">
        <is>
          <t>PY03</t>
        </is>
      </c>
      <c r="L141" s="30" t="n"/>
    </row>
    <row r="142">
      <c r="A142" t="inlineStr">
        <is>
          <t>PT12917</t>
        </is>
      </c>
      <c r="B142" t="inlineStr">
        <is>
          <t>05576619</t>
        </is>
      </c>
      <c r="C142" t="inlineStr">
        <is>
          <t>Sara</t>
        </is>
      </c>
      <c r="D142" t="inlineStr">
        <is>
          <t>Bryant</t>
        </is>
      </c>
      <c r="E142" t="inlineStr">
        <is>
          <t>F</t>
        </is>
      </c>
      <c r="F142" s="28" t="n">
        <v>15921</v>
      </c>
      <c r="G142" t="n">
        <v>82</v>
      </c>
      <c r="H142" s="31" t="n">
        <v>64</v>
      </c>
      <c r="I142" s="31" t="n">
        <v>201.4</v>
      </c>
      <c r="J142" s="31" t="n">
        <v>34.6</v>
      </c>
      <c r="K142" t="inlineStr">
        <is>
          <t>PY01</t>
        </is>
      </c>
      <c r="L142" s="30" t="n"/>
    </row>
    <row r="143">
      <c r="A143" t="inlineStr">
        <is>
          <t>PT12923</t>
        </is>
      </c>
      <c r="B143" t="inlineStr">
        <is>
          <t>01786386</t>
        </is>
      </c>
      <c r="C143" t="inlineStr">
        <is>
          <t>Carlos</t>
        </is>
      </c>
      <c r="D143" t="inlineStr">
        <is>
          <t>Santos</t>
        </is>
      </c>
      <c r="E143" t="inlineStr">
        <is>
          <t>M</t>
        </is>
      </c>
      <c r="F143" s="28" t="n">
        <v>19350</v>
      </c>
      <c r="G143" t="n">
        <v>73</v>
      </c>
      <c r="H143" s="31" t="n">
        <v>69.3</v>
      </c>
      <c r="I143" s="31" t="n">
        <v>190.8</v>
      </c>
      <c r="J143" s="31" t="n">
        <v>27.9</v>
      </c>
      <c r="K143" t="inlineStr">
        <is>
          <t>PY02</t>
        </is>
      </c>
      <c r="L143" s="30" t="n"/>
    </row>
    <row r="144">
      <c r="A144" t="inlineStr">
        <is>
          <t>PT12930</t>
        </is>
      </c>
      <c r="B144" t="inlineStr">
        <is>
          <t>00978073</t>
        </is>
      </c>
      <c r="C144" t="inlineStr">
        <is>
          <t>Logan</t>
        </is>
      </c>
      <c r="D144" t="inlineStr">
        <is>
          <t>Silva</t>
        </is>
      </c>
      <c r="E144" t="inlineStr">
        <is>
          <t>M</t>
        </is>
      </c>
      <c r="F144" s="28" t="n">
        <v>27251</v>
      </c>
      <c r="G144" t="n">
        <v>51</v>
      </c>
      <c r="H144" s="31" t="n">
        <v>66.7</v>
      </c>
      <c r="I144" s="31" t="n">
        <v>239.5</v>
      </c>
      <c r="J144" s="31" t="n">
        <v>37.8</v>
      </c>
      <c r="K144" t="inlineStr">
        <is>
          <t>PY06</t>
        </is>
      </c>
      <c r="L144" s="30" t="n"/>
    </row>
    <row r="145">
      <c r="A145" t="inlineStr">
        <is>
          <t>PT12958</t>
        </is>
      </c>
      <c r="B145" t="inlineStr">
        <is>
          <t>09873175</t>
        </is>
      </c>
      <c r="C145" t="inlineStr">
        <is>
          <t>Joan</t>
        </is>
      </c>
      <c r="D145" t="inlineStr">
        <is>
          <t>Robinson</t>
        </is>
      </c>
      <c r="E145" t="inlineStr">
        <is>
          <t>F</t>
        </is>
      </c>
      <c r="F145" s="28" t="n">
        <v>18479</v>
      </c>
      <c r="G145" t="n">
        <v>75</v>
      </c>
      <c r="H145" s="31" t="n">
        <v>67.7</v>
      </c>
      <c r="I145" s="31" t="n">
        <v>190.7</v>
      </c>
      <c r="J145" s="31" t="n">
        <v>29.3</v>
      </c>
      <c r="K145" t="inlineStr">
        <is>
          <t>PY02</t>
        </is>
      </c>
      <c r="L145" s="30" t="n"/>
    </row>
    <row r="146">
      <c r="A146" t="inlineStr">
        <is>
          <t>PT12965</t>
        </is>
      </c>
      <c r="B146" t="inlineStr">
        <is>
          <t>06790899</t>
        </is>
      </c>
      <c r="C146" t="inlineStr">
        <is>
          <t>Debra</t>
        </is>
      </c>
      <c r="D146" t="inlineStr">
        <is>
          <t>Pena</t>
        </is>
      </c>
      <c r="E146" t="inlineStr">
        <is>
          <t>F</t>
        </is>
      </c>
      <c r="F146" s="28" t="n">
        <v>13435</v>
      </c>
      <c r="G146" t="n">
        <v>89</v>
      </c>
      <c r="H146" s="31" t="n">
        <v>64.90000000000001</v>
      </c>
      <c r="I146" s="31" t="n">
        <v>224.7</v>
      </c>
      <c r="J146" s="31" t="n">
        <v>37.5</v>
      </c>
      <c r="K146" t="inlineStr">
        <is>
          <t>PY02</t>
        </is>
      </c>
      <c r="L146" s="30" t="n"/>
    </row>
    <row r="147">
      <c r="A147" t="inlineStr">
        <is>
          <t>PT12996</t>
        </is>
      </c>
      <c r="B147" t="inlineStr">
        <is>
          <t>06156440</t>
        </is>
      </c>
      <c r="C147" t="inlineStr">
        <is>
          <t>Hassan</t>
        </is>
      </c>
      <c r="D147" t="inlineStr">
        <is>
          <t>Andrews</t>
        </is>
      </c>
      <c r="E147" t="inlineStr">
        <is>
          <t>M</t>
        </is>
      </c>
      <c r="F147" s="28" t="n">
        <v>21026</v>
      </c>
      <c r="G147" t="n">
        <v>68</v>
      </c>
      <c r="H147" s="31" t="n">
        <v>72.40000000000001</v>
      </c>
      <c r="I147" s="31" t="n">
        <v>214.4</v>
      </c>
      <c r="J147" s="31" t="n">
        <v>28.8</v>
      </c>
      <c r="K147" t="inlineStr">
        <is>
          <t>PY01</t>
        </is>
      </c>
      <c r="L147" s="30" t="n"/>
    </row>
    <row r="148">
      <c r="A148" t="inlineStr">
        <is>
          <t>PT13058</t>
        </is>
      </c>
      <c r="B148" t="inlineStr">
        <is>
          <t>07100328</t>
        </is>
      </c>
      <c r="C148" t="inlineStr">
        <is>
          <t>Mia</t>
        </is>
      </c>
      <c r="D148" t="inlineStr">
        <is>
          <t>Meyer</t>
        </is>
      </c>
      <c r="E148" t="inlineStr">
        <is>
          <t>F</t>
        </is>
      </c>
      <c r="F148" s="28" t="n">
        <v>11005</v>
      </c>
      <c r="G148" t="n">
        <v>95</v>
      </c>
      <c r="H148" s="31" t="n">
        <v>61.7</v>
      </c>
      <c r="I148" s="31" t="n">
        <v>134.6</v>
      </c>
      <c r="J148" s="31" t="n">
        <v>24.9</v>
      </c>
      <c r="K148" t="inlineStr">
        <is>
          <t>PY02</t>
        </is>
      </c>
      <c r="L148" s="30" t="n"/>
    </row>
    <row r="149">
      <c r="A149" t="inlineStr">
        <is>
          <t>PT13062</t>
        </is>
      </c>
      <c r="B149" t="inlineStr">
        <is>
          <t>02760701</t>
        </is>
      </c>
      <c r="C149" t="inlineStr">
        <is>
          <t>Austin</t>
        </is>
      </c>
      <c r="D149" t="inlineStr">
        <is>
          <t>Hudson</t>
        </is>
      </c>
      <c r="E149" t="inlineStr">
        <is>
          <t>M</t>
        </is>
      </c>
      <c r="F149" s="28" t="n">
        <v>21250</v>
      </c>
      <c r="G149" t="n">
        <v>67</v>
      </c>
      <c r="H149" s="31" t="n">
        <v>72.90000000000001</v>
      </c>
      <c r="I149" s="31" t="n">
        <v>168.2</v>
      </c>
      <c r="J149" s="31" t="n">
        <v>22.2</v>
      </c>
      <c r="K149" t="inlineStr">
        <is>
          <t>PY01</t>
        </is>
      </c>
      <c r="L149" s="30" t="n"/>
    </row>
    <row r="150">
      <c r="A150" t="inlineStr">
        <is>
          <t>PT13101</t>
        </is>
      </c>
      <c r="B150" t="inlineStr">
        <is>
          <t>04815934</t>
        </is>
      </c>
      <c r="C150" t="inlineStr">
        <is>
          <t>Jason</t>
        </is>
      </c>
      <c r="D150" t="inlineStr">
        <is>
          <t>Sanchez</t>
        </is>
      </c>
      <c r="E150" t="inlineStr">
        <is>
          <t>M</t>
        </is>
      </c>
      <c r="F150" s="28" t="n">
        <v>17877</v>
      </c>
      <c r="G150" t="n">
        <v>77</v>
      </c>
      <c r="H150" s="31" t="n">
        <v>69.5</v>
      </c>
      <c r="I150" s="31" t="n">
        <v>182</v>
      </c>
      <c r="J150" s="31" t="n">
        <v>26.5</v>
      </c>
      <c r="K150" t="inlineStr">
        <is>
          <t>PY01</t>
        </is>
      </c>
      <c r="L150" s="30" t="n"/>
    </row>
    <row r="151">
      <c r="A151" t="inlineStr">
        <is>
          <t>PT13103</t>
        </is>
      </c>
      <c r="B151" t="inlineStr">
        <is>
          <t>03978028</t>
        </is>
      </c>
      <c r="C151" t="inlineStr">
        <is>
          <t>Marilyn</t>
        </is>
      </c>
      <c r="D151" t="inlineStr">
        <is>
          <t>Ramos</t>
        </is>
      </c>
      <c r="E151" t="inlineStr">
        <is>
          <t>F</t>
        </is>
      </c>
      <c r="F151" s="28" t="n">
        <v>26391</v>
      </c>
      <c r="G151" t="n">
        <v>53</v>
      </c>
      <c r="H151" s="31" t="n">
        <v>64.90000000000001</v>
      </c>
      <c r="I151" s="31" t="n">
        <v>181.2</v>
      </c>
      <c r="J151" s="31" t="n">
        <v>30.2</v>
      </c>
      <c r="K151" t="inlineStr">
        <is>
          <t>PY06</t>
        </is>
      </c>
      <c r="L151" s="30" t="n"/>
    </row>
    <row r="152">
      <c r="A152" t="inlineStr">
        <is>
          <t>PT13106</t>
        </is>
      </c>
      <c r="B152" t="inlineStr">
        <is>
          <t>00051430</t>
        </is>
      </c>
      <c r="C152" t="inlineStr">
        <is>
          <t>Alice</t>
        </is>
      </c>
      <c r="D152" t="inlineStr">
        <is>
          <t>Berry</t>
        </is>
      </c>
      <c r="E152" t="inlineStr">
        <is>
          <t>F</t>
        </is>
      </c>
      <c r="F152" s="28" t="n">
        <v>28950</v>
      </c>
      <c r="G152" t="n">
        <v>46</v>
      </c>
      <c r="H152" s="31" t="n">
        <v>65.3</v>
      </c>
      <c r="I152" s="31" t="n">
        <v>236.4</v>
      </c>
      <c r="J152" s="31" t="n">
        <v>39</v>
      </c>
      <c r="K152" t="inlineStr">
        <is>
          <t>PY04</t>
        </is>
      </c>
      <c r="L152" s="30" t="n"/>
    </row>
    <row r="153">
      <c r="A153" t="inlineStr">
        <is>
          <t>PT13163</t>
        </is>
      </c>
      <c r="B153" t="inlineStr">
        <is>
          <t>06096566</t>
        </is>
      </c>
      <c r="C153" t="inlineStr">
        <is>
          <t>Gerald</t>
        </is>
      </c>
      <c r="D153" t="inlineStr">
        <is>
          <t>Weaver</t>
        </is>
      </c>
      <c r="E153" t="inlineStr">
        <is>
          <t>M</t>
        </is>
      </c>
      <c r="F153" s="28" t="n">
        <v>27655</v>
      </c>
      <c r="G153" t="n">
        <v>50</v>
      </c>
      <c r="H153" s="31" t="n">
        <v>71.7</v>
      </c>
      <c r="I153" s="31" t="n">
        <v>193.6</v>
      </c>
      <c r="J153" s="31" t="n">
        <v>26.5</v>
      </c>
      <c r="K153" t="inlineStr">
        <is>
          <t>PY07</t>
        </is>
      </c>
      <c r="L153" s="30" t="n"/>
    </row>
    <row r="154">
      <c r="A154" t="inlineStr">
        <is>
          <t>PT13175</t>
        </is>
      </c>
      <c r="B154" t="inlineStr">
        <is>
          <t>08778159</t>
        </is>
      </c>
      <c r="C154" t="inlineStr">
        <is>
          <t>Angela</t>
        </is>
      </c>
      <c r="D154" t="inlineStr">
        <is>
          <t>Pierce</t>
        </is>
      </c>
      <c r="E154" t="inlineStr">
        <is>
          <t>F</t>
        </is>
      </c>
      <c r="F154" s="28" t="n">
        <v>25905</v>
      </c>
      <c r="G154" t="n">
        <v>55</v>
      </c>
      <c r="H154" s="31" t="n">
        <v>58.7</v>
      </c>
      <c r="I154" s="31" t="n">
        <v>158.9</v>
      </c>
      <c r="J154" s="31" t="n">
        <v>32.4</v>
      </c>
      <c r="K154" t="inlineStr">
        <is>
          <t>PY04</t>
        </is>
      </c>
      <c r="L154" s="30" t="n"/>
    </row>
    <row r="155">
      <c r="A155" t="inlineStr">
        <is>
          <t>PT13246</t>
        </is>
      </c>
      <c r="B155" t="inlineStr">
        <is>
          <t>02676803</t>
        </is>
      </c>
      <c r="C155" t="inlineStr">
        <is>
          <t>Evelyn</t>
        </is>
      </c>
      <c r="D155" t="inlineStr">
        <is>
          <t>Medina</t>
        </is>
      </c>
      <c r="E155" t="inlineStr">
        <is>
          <t>F</t>
        </is>
      </c>
      <c r="F155" s="28" t="n">
        <v>31936</v>
      </c>
      <c r="G155" t="n">
        <v>38</v>
      </c>
      <c r="H155" s="31" t="n">
        <v>66.2</v>
      </c>
      <c r="I155" s="31" t="n">
        <v>117.4</v>
      </c>
      <c r="J155" s="31" t="n">
        <v>18.8</v>
      </c>
      <c r="K155" t="inlineStr">
        <is>
          <t>PY07</t>
        </is>
      </c>
      <c r="L155" s="30" t="n"/>
    </row>
    <row r="156">
      <c r="A156" t="inlineStr">
        <is>
          <t>PT13258</t>
        </is>
      </c>
      <c r="B156" t="inlineStr">
        <is>
          <t>04200300</t>
        </is>
      </c>
      <c r="C156" t="inlineStr">
        <is>
          <t>Charlotte</t>
        </is>
      </c>
      <c r="D156" t="inlineStr">
        <is>
          <t>Phillips</t>
        </is>
      </c>
      <c r="E156" t="inlineStr">
        <is>
          <t>F</t>
        </is>
      </c>
      <c r="F156" s="28" t="n">
        <v>17451</v>
      </c>
      <c r="G156" t="n">
        <v>78</v>
      </c>
      <c r="H156" s="31" t="n">
        <v>63.6</v>
      </c>
      <c r="I156" s="31" t="n">
        <v>148.3</v>
      </c>
      <c r="J156" s="31" t="n">
        <v>25.8</v>
      </c>
      <c r="K156" t="inlineStr">
        <is>
          <t>PY02</t>
        </is>
      </c>
      <c r="L156" s="30" t="n"/>
    </row>
    <row r="157">
      <c r="A157" t="inlineStr">
        <is>
          <t>PT13270</t>
        </is>
      </c>
      <c r="B157" t="inlineStr">
        <is>
          <t>01665654</t>
        </is>
      </c>
      <c r="C157" t="inlineStr">
        <is>
          <t>Kelly</t>
        </is>
      </c>
      <c r="D157" t="inlineStr">
        <is>
          <t>Knight</t>
        </is>
      </c>
      <c r="E157" t="inlineStr">
        <is>
          <t>F</t>
        </is>
      </c>
      <c r="F157" s="28" t="n">
        <v>28254</v>
      </c>
      <c r="G157" t="n">
        <v>48</v>
      </c>
      <c r="H157" s="31" t="n">
        <v>63</v>
      </c>
      <c r="I157" s="31" t="n">
        <v>130.3</v>
      </c>
      <c r="J157" s="31" t="n">
        <v>23.1</v>
      </c>
      <c r="K157" t="inlineStr">
        <is>
          <t>PY04</t>
        </is>
      </c>
      <c r="L157" s="30" t="n"/>
    </row>
    <row r="158">
      <c r="A158" t="inlineStr">
        <is>
          <t>PT13279</t>
        </is>
      </c>
      <c r="B158" t="inlineStr">
        <is>
          <t>09781177</t>
        </is>
      </c>
      <c r="C158" t="inlineStr">
        <is>
          <t>Betty</t>
        </is>
      </c>
      <c r="D158" t="inlineStr">
        <is>
          <t>Lopez</t>
        </is>
      </c>
      <c r="E158" t="inlineStr">
        <is>
          <t>F</t>
        </is>
      </c>
      <c r="F158" s="28" t="n">
        <v>28454</v>
      </c>
      <c r="G158" t="n">
        <v>48</v>
      </c>
      <c r="H158" s="31" t="n">
        <v>62.9</v>
      </c>
      <c r="I158" s="31" t="n">
        <v>145.9</v>
      </c>
      <c r="J158" s="31" t="n">
        <v>25.9</v>
      </c>
      <c r="K158" t="inlineStr">
        <is>
          <t>PY03</t>
        </is>
      </c>
      <c r="L158" s="30" t="n"/>
    </row>
    <row r="159">
      <c r="A159" t="inlineStr">
        <is>
          <t>PT13355</t>
        </is>
      </c>
      <c r="B159" t="inlineStr">
        <is>
          <t>06721210</t>
        </is>
      </c>
      <c r="C159" t="inlineStr">
        <is>
          <t>Emma</t>
        </is>
      </c>
      <c r="D159" t="inlineStr">
        <is>
          <t>Jackson</t>
        </is>
      </c>
      <c r="E159" t="inlineStr">
        <is>
          <t>F</t>
        </is>
      </c>
      <c r="F159" s="28" t="n">
        <v>22841</v>
      </c>
      <c r="G159" t="n">
        <v>63</v>
      </c>
      <c r="H159" s="31" t="n">
        <v>66.5</v>
      </c>
      <c r="I159" s="31" t="n">
        <v>178.6</v>
      </c>
      <c r="J159" s="31" t="n">
        <v>28.4</v>
      </c>
      <c r="K159" t="inlineStr">
        <is>
          <t>PY03</t>
        </is>
      </c>
      <c r="L159" s="30" t="n"/>
    </row>
    <row r="160">
      <c r="A160" t="inlineStr">
        <is>
          <t>PT13388</t>
        </is>
      </c>
      <c r="B160" t="inlineStr">
        <is>
          <t>04850132</t>
        </is>
      </c>
      <c r="C160" t="inlineStr">
        <is>
          <t>Diego</t>
        </is>
      </c>
      <c r="D160" t="inlineStr">
        <is>
          <t>Elliott</t>
        </is>
      </c>
      <c r="E160" t="inlineStr">
        <is>
          <t>M</t>
        </is>
      </c>
      <c r="F160" s="28" t="n">
        <v>19948</v>
      </c>
      <c r="G160" t="n">
        <v>71</v>
      </c>
      <c r="H160" s="31" t="n">
        <v>73.2</v>
      </c>
      <c r="I160" s="31" t="n">
        <v>159.5</v>
      </c>
      <c r="J160" s="31" t="n">
        <v>20.9</v>
      </c>
      <c r="K160" t="inlineStr">
        <is>
          <t>PY01</t>
        </is>
      </c>
      <c r="L160" s="30" t="n"/>
    </row>
    <row r="161">
      <c r="A161" t="inlineStr">
        <is>
          <t>PT13412</t>
        </is>
      </c>
      <c r="B161" t="inlineStr">
        <is>
          <t>08106237</t>
        </is>
      </c>
      <c r="C161" t="inlineStr">
        <is>
          <t>Denise</t>
        </is>
      </c>
      <c r="D161" t="inlineStr">
        <is>
          <t>Graham</t>
        </is>
      </c>
      <c r="E161" t="inlineStr">
        <is>
          <t>F</t>
        </is>
      </c>
      <c r="F161" s="28" t="n">
        <v>19501</v>
      </c>
      <c r="G161" t="n">
        <v>72</v>
      </c>
      <c r="H161" s="31" t="n">
        <v>62.6</v>
      </c>
      <c r="I161" s="31" t="n">
        <v>229.5</v>
      </c>
      <c r="J161" s="31" t="n">
        <v>41.2</v>
      </c>
      <c r="K161" t="inlineStr">
        <is>
          <t>PY01</t>
        </is>
      </c>
      <c r="L161" s="30" t="n"/>
    </row>
    <row r="162">
      <c r="A162" t="inlineStr">
        <is>
          <t>PT13454</t>
        </is>
      </c>
      <c r="B162" t="inlineStr">
        <is>
          <t>06760010</t>
        </is>
      </c>
      <c r="C162" t="inlineStr">
        <is>
          <t>Martha</t>
        </is>
      </c>
      <c r="D162" t="inlineStr">
        <is>
          <t>Clark</t>
        </is>
      </c>
      <c r="E162" t="inlineStr">
        <is>
          <t>F</t>
        </is>
      </c>
      <c r="F162" s="28" t="n">
        <v>27184</v>
      </c>
      <c r="G162" t="n">
        <v>51</v>
      </c>
      <c r="H162" s="31" t="n">
        <v>63.8</v>
      </c>
      <c r="I162" s="31" t="n">
        <v>133.1</v>
      </c>
      <c r="J162" s="31" t="n">
        <v>23</v>
      </c>
      <c r="K162" t="inlineStr">
        <is>
          <t>PY04</t>
        </is>
      </c>
      <c r="L162" s="30" t="n"/>
    </row>
    <row r="163">
      <c r="A163" t="inlineStr">
        <is>
          <t>PT13481</t>
        </is>
      </c>
      <c r="B163" t="inlineStr">
        <is>
          <t>04613295</t>
        </is>
      </c>
      <c r="C163" t="inlineStr">
        <is>
          <t>Jonathan</t>
        </is>
      </c>
      <c r="D163" t="inlineStr">
        <is>
          <t>Fernandez</t>
        </is>
      </c>
      <c r="E163" t="inlineStr">
        <is>
          <t>M</t>
        </is>
      </c>
      <c r="F163" s="28" t="n">
        <v>22630</v>
      </c>
      <c r="G163" t="n">
        <v>64</v>
      </c>
      <c r="H163" s="31" t="n">
        <v>69.5</v>
      </c>
      <c r="I163" s="31" t="n">
        <v>184</v>
      </c>
      <c r="J163" s="31" t="n">
        <v>26.8</v>
      </c>
      <c r="K163" t="inlineStr">
        <is>
          <t>PY03</t>
        </is>
      </c>
      <c r="L163" s="30" t="n"/>
    </row>
    <row r="164">
      <c r="A164" t="inlineStr">
        <is>
          <t>PT13484</t>
        </is>
      </c>
      <c r="B164" t="inlineStr">
        <is>
          <t>04365967</t>
        </is>
      </c>
      <c r="C164" t="inlineStr">
        <is>
          <t>Madison</t>
        </is>
      </c>
      <c r="D164" t="inlineStr">
        <is>
          <t>Foster</t>
        </is>
      </c>
      <c r="E164" t="inlineStr">
        <is>
          <t>F</t>
        </is>
      </c>
      <c r="F164" s="28" t="n">
        <v>19465</v>
      </c>
      <c r="G164" t="n">
        <v>72</v>
      </c>
      <c r="H164" s="31" t="n">
        <v>65.09999999999999</v>
      </c>
      <c r="I164" s="31" t="n">
        <v>150.8</v>
      </c>
      <c r="J164" s="31" t="n">
        <v>25</v>
      </c>
      <c r="K164" t="inlineStr">
        <is>
          <t>PY02</t>
        </is>
      </c>
      <c r="L164" s="30" t="n"/>
    </row>
    <row r="165">
      <c r="A165" t="inlineStr">
        <is>
          <t>PT13494</t>
        </is>
      </c>
      <c r="B165" t="inlineStr">
        <is>
          <t>02332523</t>
        </is>
      </c>
      <c r="C165" t="inlineStr">
        <is>
          <t>Lucia</t>
        </is>
      </c>
      <c r="D165" t="inlineStr">
        <is>
          <t>Chen</t>
        </is>
      </c>
      <c r="E165" t="inlineStr">
        <is>
          <t>F</t>
        </is>
      </c>
      <c r="F165" s="28" t="n">
        <v>18368</v>
      </c>
      <c r="G165" t="n">
        <v>75</v>
      </c>
      <c r="H165" s="31" t="n">
        <v>64.7</v>
      </c>
      <c r="I165" s="31" t="n">
        <v>170.4</v>
      </c>
      <c r="J165" s="31" t="n">
        <v>28.6</v>
      </c>
      <c r="K165" t="inlineStr">
        <is>
          <t>PY02</t>
        </is>
      </c>
      <c r="L165" s="30" t="n"/>
    </row>
    <row r="166">
      <c r="A166" t="inlineStr">
        <is>
          <t>PT13517</t>
        </is>
      </c>
      <c r="B166" t="inlineStr">
        <is>
          <t>05896125</t>
        </is>
      </c>
      <c r="C166" t="inlineStr">
        <is>
          <t>Henry</t>
        </is>
      </c>
      <c r="D166" t="inlineStr">
        <is>
          <t>Robinson</t>
        </is>
      </c>
      <c r="E166" t="inlineStr">
        <is>
          <t>M</t>
        </is>
      </c>
      <c r="F166" s="28" t="n">
        <v>22684</v>
      </c>
      <c r="G166" t="n">
        <v>63</v>
      </c>
      <c r="H166" s="31" t="n">
        <v>71.3</v>
      </c>
      <c r="I166" s="31" t="n">
        <v>221.7</v>
      </c>
      <c r="J166" s="31" t="n">
        <v>30.7</v>
      </c>
      <c r="K166" t="inlineStr">
        <is>
          <t>PY03</t>
        </is>
      </c>
      <c r="L166" s="30" t="n"/>
    </row>
    <row r="167">
      <c r="A167" t="inlineStr">
        <is>
          <t>PT13524</t>
        </is>
      </c>
      <c r="B167" t="inlineStr">
        <is>
          <t>07971788</t>
        </is>
      </c>
      <c r="C167" t="inlineStr">
        <is>
          <t>Theresa</t>
        </is>
      </c>
      <c r="D167" t="inlineStr">
        <is>
          <t>Butler</t>
        </is>
      </c>
      <c r="E167" t="inlineStr">
        <is>
          <t>F</t>
        </is>
      </c>
      <c r="F167" s="28" t="n">
        <v>36587</v>
      </c>
      <c r="G167" t="n">
        <v>25</v>
      </c>
      <c r="H167" s="31" t="n">
        <v>63</v>
      </c>
      <c r="I167" s="31" t="n">
        <v>188.3</v>
      </c>
      <c r="J167" s="31" t="n">
        <v>33.4</v>
      </c>
      <c r="K167" t="inlineStr">
        <is>
          <t>PY05</t>
        </is>
      </c>
      <c r="L167" s="30" t="n"/>
    </row>
    <row r="168">
      <c r="A168" t="inlineStr">
        <is>
          <t>PT13616</t>
        </is>
      </c>
      <c r="B168" t="inlineStr">
        <is>
          <t>08435661</t>
        </is>
      </c>
      <c r="C168" t="inlineStr">
        <is>
          <t>Scott</t>
        </is>
      </c>
      <c r="D168" t="inlineStr">
        <is>
          <t>Carter</t>
        </is>
      </c>
      <c r="E168" t="inlineStr">
        <is>
          <t>M</t>
        </is>
      </c>
      <c r="F168" s="28" t="n">
        <v>34899</v>
      </c>
      <c r="G168" t="n">
        <v>30</v>
      </c>
      <c r="H168" s="31" t="n">
        <v>70.59999999999999</v>
      </c>
      <c r="I168" s="31" t="n">
        <v>279</v>
      </c>
      <c r="J168" s="31" t="n">
        <v>39.4</v>
      </c>
      <c r="K168" t="inlineStr">
        <is>
          <t>PY03</t>
        </is>
      </c>
      <c r="L168" s="30" t="n"/>
    </row>
    <row r="169">
      <c r="A169" t="inlineStr">
        <is>
          <t>PT13629</t>
        </is>
      </c>
      <c r="B169" t="inlineStr">
        <is>
          <t>03985884</t>
        </is>
      </c>
      <c r="C169" t="inlineStr">
        <is>
          <t>Katherine</t>
        </is>
      </c>
      <c r="D169" t="inlineStr">
        <is>
          <t>Woods</t>
        </is>
      </c>
      <c r="E169" t="inlineStr">
        <is>
          <t>F</t>
        </is>
      </c>
      <c r="F169" s="28" t="n">
        <v>27075</v>
      </c>
      <c r="G169" t="n">
        <v>51</v>
      </c>
      <c r="H169" s="31" t="n">
        <v>69.09999999999999</v>
      </c>
      <c r="I169" s="31" t="n">
        <v>213.3</v>
      </c>
      <c r="J169" s="31" t="n">
        <v>31.4</v>
      </c>
      <c r="K169" t="inlineStr">
        <is>
          <t>PY05</t>
        </is>
      </c>
      <c r="L169" s="30" t="n"/>
    </row>
    <row r="170">
      <c r="A170" t="inlineStr">
        <is>
          <t>PT13630</t>
        </is>
      </c>
      <c r="B170" t="inlineStr">
        <is>
          <t>08387024</t>
        </is>
      </c>
      <c r="C170" t="inlineStr">
        <is>
          <t>Albert</t>
        </is>
      </c>
      <c r="D170" t="inlineStr">
        <is>
          <t>Shaw</t>
        </is>
      </c>
      <c r="E170" t="inlineStr">
        <is>
          <t>M</t>
        </is>
      </c>
      <c r="F170" s="28" t="n">
        <v>24793</v>
      </c>
      <c r="G170" t="n">
        <v>58</v>
      </c>
      <c r="H170" s="31" t="n">
        <v>65.5</v>
      </c>
      <c r="I170" s="31" t="n">
        <v>216.9</v>
      </c>
      <c r="J170" s="31" t="n">
        <v>35.5</v>
      </c>
      <c r="K170" t="inlineStr">
        <is>
          <t>PY06</t>
        </is>
      </c>
      <c r="L170" s="30" t="n"/>
    </row>
    <row r="171">
      <c r="A171" t="inlineStr">
        <is>
          <t>PT13688</t>
        </is>
      </c>
      <c r="B171" t="inlineStr">
        <is>
          <t>08384268</t>
        </is>
      </c>
      <c r="C171" t="inlineStr">
        <is>
          <t>Diana</t>
        </is>
      </c>
      <c r="D171" t="inlineStr">
        <is>
          <t>Webb</t>
        </is>
      </c>
      <c r="E171" t="inlineStr">
        <is>
          <t>F</t>
        </is>
      </c>
      <c r="F171" s="28" t="n">
        <v>21763</v>
      </c>
      <c r="G171" t="n">
        <v>66</v>
      </c>
      <c r="H171" s="31" t="n">
        <v>66.3</v>
      </c>
      <c r="I171" s="31" t="n">
        <v>192.6</v>
      </c>
      <c r="J171" s="31" t="n">
        <v>30.8</v>
      </c>
      <c r="K171" t="inlineStr">
        <is>
          <t>PY01</t>
        </is>
      </c>
      <c r="L171" s="30" t="n"/>
    </row>
    <row r="172">
      <c r="A172" t="inlineStr">
        <is>
          <t>PT13705</t>
        </is>
      </c>
      <c r="B172" t="inlineStr">
        <is>
          <t>05891705</t>
        </is>
      </c>
      <c r="C172" t="inlineStr">
        <is>
          <t>Aaron</t>
        </is>
      </c>
      <c r="D172" t="inlineStr">
        <is>
          <t>Griffin</t>
        </is>
      </c>
      <c r="E172" t="inlineStr">
        <is>
          <t>M</t>
        </is>
      </c>
      <c r="F172" s="28" t="n">
        <v>38998</v>
      </c>
      <c r="G172" t="n">
        <v>19</v>
      </c>
      <c r="H172" s="31" t="n">
        <v>69.8</v>
      </c>
      <c r="I172" s="31" t="n">
        <v>146</v>
      </c>
      <c r="J172" s="31" t="n">
        <v>21.1</v>
      </c>
      <c r="K172" t="inlineStr">
        <is>
          <t>PY05</t>
        </is>
      </c>
      <c r="L172" s="30" t="n"/>
    </row>
    <row r="173">
      <c r="A173" t="inlineStr">
        <is>
          <t>PT13711</t>
        </is>
      </c>
      <c r="B173" t="inlineStr">
        <is>
          <t>03326278</t>
        </is>
      </c>
      <c r="C173" t="inlineStr">
        <is>
          <t>Lori</t>
        </is>
      </c>
      <c r="D173" t="inlineStr">
        <is>
          <t>Ford</t>
        </is>
      </c>
      <c r="E173" t="inlineStr">
        <is>
          <t>F</t>
        </is>
      </c>
      <c r="F173" s="28" t="n">
        <v>38060</v>
      </c>
      <c r="G173" t="n">
        <v>21</v>
      </c>
      <c r="H173" s="31" t="n">
        <v>61.3</v>
      </c>
      <c r="I173" s="31" t="n">
        <v>180.5</v>
      </c>
      <c r="J173" s="31" t="n">
        <v>33.8</v>
      </c>
      <c r="K173" t="inlineStr">
        <is>
          <t>PY05</t>
        </is>
      </c>
      <c r="L173" s="30" t="n"/>
    </row>
    <row r="174">
      <c r="A174" t="inlineStr">
        <is>
          <t>PT13746</t>
        </is>
      </c>
      <c r="B174" t="inlineStr">
        <is>
          <t>03736537</t>
        </is>
      </c>
      <c r="C174" t="inlineStr">
        <is>
          <t>Marie</t>
        </is>
      </c>
      <c r="D174" t="inlineStr">
        <is>
          <t>Riley</t>
        </is>
      </c>
      <c r="E174" t="inlineStr">
        <is>
          <t>F</t>
        </is>
      </c>
      <c r="F174" s="28" t="n">
        <v>20717</v>
      </c>
      <c r="G174" t="n">
        <v>69</v>
      </c>
      <c r="H174" s="31" t="n">
        <v>63.6</v>
      </c>
      <c r="I174" s="31" t="n">
        <v>232.4</v>
      </c>
      <c r="J174" s="31" t="n">
        <v>40.4</v>
      </c>
      <c r="K174" t="inlineStr">
        <is>
          <t>PY01</t>
        </is>
      </c>
      <c r="L174" s="30" t="n"/>
    </row>
    <row r="175">
      <c r="A175" t="inlineStr">
        <is>
          <t>PT13766</t>
        </is>
      </c>
      <c r="B175" t="inlineStr">
        <is>
          <t>09199044</t>
        </is>
      </c>
      <c r="C175" t="inlineStr">
        <is>
          <t>Madison</t>
        </is>
      </c>
      <c r="D175" t="inlineStr">
        <is>
          <t>Baker</t>
        </is>
      </c>
      <c r="E175" t="inlineStr">
        <is>
          <t>F</t>
        </is>
      </c>
      <c r="F175" s="28" t="n">
        <v>28167</v>
      </c>
      <c r="G175" t="n">
        <v>48</v>
      </c>
      <c r="H175" s="31" t="n">
        <v>60.5</v>
      </c>
      <c r="I175" s="31" t="n">
        <v>194.1</v>
      </c>
      <c r="J175" s="31" t="n">
        <v>37.3</v>
      </c>
      <c r="K175" t="inlineStr">
        <is>
          <t>PY05</t>
        </is>
      </c>
      <c r="L175" s="30" t="n"/>
    </row>
    <row r="176">
      <c r="A176" t="inlineStr">
        <is>
          <t>PT13770</t>
        </is>
      </c>
      <c r="B176" t="inlineStr">
        <is>
          <t>04544699</t>
        </is>
      </c>
      <c r="C176" t="inlineStr">
        <is>
          <t>Larry</t>
        </is>
      </c>
      <c r="D176" t="inlineStr">
        <is>
          <t>Shaw</t>
        </is>
      </c>
      <c r="E176" t="inlineStr">
        <is>
          <t>M</t>
        </is>
      </c>
      <c r="F176" s="28" t="n">
        <v>17800</v>
      </c>
      <c r="G176" t="n">
        <v>77</v>
      </c>
      <c r="H176" s="31" t="n">
        <v>71.40000000000001</v>
      </c>
      <c r="I176" s="31" t="n">
        <v>218.8</v>
      </c>
      <c r="J176" s="31" t="n">
        <v>30.2</v>
      </c>
      <c r="K176" t="inlineStr">
        <is>
          <t>PY03</t>
        </is>
      </c>
      <c r="L176" s="30" t="n"/>
    </row>
    <row r="177">
      <c r="A177" t="inlineStr">
        <is>
          <t>PT13785</t>
        </is>
      </c>
      <c r="B177" t="inlineStr">
        <is>
          <t>00925115</t>
        </is>
      </c>
      <c r="C177" t="inlineStr">
        <is>
          <t>Anthony</t>
        </is>
      </c>
      <c r="D177" t="inlineStr">
        <is>
          <t>Carroll</t>
        </is>
      </c>
      <c r="E177" t="inlineStr">
        <is>
          <t>M</t>
        </is>
      </c>
      <c r="F177" s="28" t="n">
        <v>19434</v>
      </c>
      <c r="G177" t="n">
        <v>72</v>
      </c>
      <c r="H177" s="31" t="n">
        <v>73.40000000000001</v>
      </c>
      <c r="I177" s="31" t="n">
        <v>190.1</v>
      </c>
      <c r="J177" s="31" t="n">
        <v>24.8</v>
      </c>
      <c r="K177" t="inlineStr">
        <is>
          <t>PY02</t>
        </is>
      </c>
      <c r="L177" s="30" t="n"/>
    </row>
    <row r="178">
      <c r="A178" t="inlineStr">
        <is>
          <t>PT13798</t>
        </is>
      </c>
      <c r="B178" t="inlineStr">
        <is>
          <t>05816003</t>
        </is>
      </c>
      <c r="C178" t="inlineStr">
        <is>
          <t>Charlotte</t>
        </is>
      </c>
      <c r="D178" t="inlineStr">
        <is>
          <t>Dixon</t>
        </is>
      </c>
      <c r="E178" t="inlineStr">
        <is>
          <t>F</t>
        </is>
      </c>
      <c r="F178" s="28" t="n">
        <v>30261</v>
      </c>
      <c r="G178" t="n">
        <v>43</v>
      </c>
      <c r="H178" s="31" t="n">
        <v>64.09999999999999</v>
      </c>
      <c r="I178" s="31" t="n">
        <v>144.4</v>
      </c>
      <c r="J178" s="31" t="n">
        <v>24.7</v>
      </c>
      <c r="K178" t="inlineStr">
        <is>
          <t>PY05</t>
        </is>
      </c>
      <c r="L178" s="30" t="n"/>
    </row>
    <row r="179">
      <c r="A179" t="inlineStr">
        <is>
          <t>PT13804</t>
        </is>
      </c>
      <c r="B179" t="inlineStr">
        <is>
          <t>03615457</t>
        </is>
      </c>
      <c r="C179" t="inlineStr">
        <is>
          <t>Melissa</t>
        </is>
      </c>
      <c r="D179" t="inlineStr">
        <is>
          <t>Soto</t>
        </is>
      </c>
      <c r="E179" t="inlineStr">
        <is>
          <t>F</t>
        </is>
      </c>
      <c r="F179" s="28" t="n">
        <v>23320</v>
      </c>
      <c r="G179" t="n">
        <v>62</v>
      </c>
      <c r="H179" s="31" t="n">
        <v>61.7</v>
      </c>
      <c r="I179" s="31" t="n">
        <v>152.5</v>
      </c>
      <c r="J179" s="31" t="n">
        <v>28.2</v>
      </c>
      <c r="K179" t="inlineStr">
        <is>
          <t>PY07</t>
        </is>
      </c>
      <c r="L179" s="30" t="n"/>
    </row>
    <row r="180">
      <c r="A180" t="inlineStr">
        <is>
          <t>PT13831</t>
        </is>
      </c>
      <c r="B180" t="inlineStr">
        <is>
          <t>01707890</t>
        </is>
      </c>
      <c r="C180" t="inlineStr">
        <is>
          <t>Gabriel</t>
        </is>
      </c>
      <c r="D180" t="inlineStr">
        <is>
          <t>Wallace</t>
        </is>
      </c>
      <c r="E180" t="inlineStr">
        <is>
          <t>M</t>
        </is>
      </c>
      <c r="F180" s="28" t="n">
        <v>37752</v>
      </c>
      <c r="G180" t="n">
        <v>22</v>
      </c>
      <c r="H180" s="31" t="n">
        <v>71.8</v>
      </c>
      <c r="I180" s="31" t="n">
        <v>303.1</v>
      </c>
      <c r="J180" s="31" t="n">
        <v>41.3</v>
      </c>
      <c r="K180" t="inlineStr">
        <is>
          <t>PY05</t>
        </is>
      </c>
      <c r="L180" s="30" t="n"/>
    </row>
    <row r="181">
      <c r="A181" t="inlineStr">
        <is>
          <t>PT13832</t>
        </is>
      </c>
      <c r="B181" t="inlineStr">
        <is>
          <t>04718077</t>
        </is>
      </c>
      <c r="C181" t="inlineStr">
        <is>
          <t>Anna</t>
        </is>
      </c>
      <c r="D181" t="inlineStr">
        <is>
          <t>Munoz</t>
        </is>
      </c>
      <c r="E181" t="inlineStr">
        <is>
          <t>F</t>
        </is>
      </c>
      <c r="F181" s="28" t="n">
        <v>19118</v>
      </c>
      <c r="G181" t="n">
        <v>73</v>
      </c>
      <c r="H181" s="31" t="n">
        <v>61.8</v>
      </c>
      <c r="I181" s="31" t="n">
        <v>147.4</v>
      </c>
      <c r="J181" s="31" t="n">
        <v>27.1</v>
      </c>
      <c r="K181" t="inlineStr">
        <is>
          <t>PY01</t>
        </is>
      </c>
      <c r="L181" s="30" t="n"/>
    </row>
    <row r="182">
      <c r="A182" t="inlineStr">
        <is>
          <t>PT13844</t>
        </is>
      </c>
      <c r="B182" t="inlineStr">
        <is>
          <t>03827510</t>
        </is>
      </c>
      <c r="C182" t="inlineStr">
        <is>
          <t>Thomas</t>
        </is>
      </c>
      <c r="D182" t="inlineStr">
        <is>
          <t>Cox</t>
        </is>
      </c>
      <c r="E182" t="inlineStr">
        <is>
          <t>M</t>
        </is>
      </c>
      <c r="F182" s="28" t="n">
        <v>23722</v>
      </c>
      <c r="G182" t="n">
        <v>61</v>
      </c>
      <c r="H182" s="31" t="n">
        <v>69.59999999999999</v>
      </c>
      <c r="I182" s="31" t="n">
        <v>269.4</v>
      </c>
      <c r="J182" s="31" t="n">
        <v>39.1</v>
      </c>
      <c r="K182" t="inlineStr">
        <is>
          <t>PY03</t>
        </is>
      </c>
      <c r="L182" s="30" t="n"/>
    </row>
    <row r="183">
      <c r="A183" t="inlineStr">
        <is>
          <t>PT13853</t>
        </is>
      </c>
      <c r="B183" t="inlineStr">
        <is>
          <t>02838581</t>
        </is>
      </c>
      <c r="C183" t="inlineStr">
        <is>
          <t>Mei</t>
        </is>
      </c>
      <c r="D183" t="inlineStr">
        <is>
          <t>Mitchell</t>
        </is>
      </c>
      <c r="E183" t="inlineStr">
        <is>
          <t>F</t>
        </is>
      </c>
      <c r="F183" s="28" t="n">
        <v>18618</v>
      </c>
      <c r="G183" t="n">
        <v>75</v>
      </c>
      <c r="H183" s="31" t="n">
        <v>61.8</v>
      </c>
      <c r="I183" s="31" t="n">
        <v>245.8</v>
      </c>
      <c r="J183" s="31" t="n">
        <v>45.2</v>
      </c>
      <c r="K183" t="inlineStr">
        <is>
          <t>PY02</t>
        </is>
      </c>
      <c r="L183" s="30" t="n"/>
    </row>
    <row r="184">
      <c r="A184" t="inlineStr">
        <is>
          <t>PT13871</t>
        </is>
      </c>
      <c r="B184" t="inlineStr">
        <is>
          <t>03302498</t>
        </is>
      </c>
      <c r="C184" t="inlineStr">
        <is>
          <t>Hassan</t>
        </is>
      </c>
      <c r="D184" t="inlineStr">
        <is>
          <t>Fox</t>
        </is>
      </c>
      <c r="E184" t="inlineStr">
        <is>
          <t>M</t>
        </is>
      </c>
      <c r="F184" s="28" t="n">
        <v>24460</v>
      </c>
      <c r="G184" t="n">
        <v>59</v>
      </c>
      <c r="H184" s="31" t="n">
        <v>68.2</v>
      </c>
      <c r="I184" s="31" t="n">
        <v>144.2</v>
      </c>
      <c r="J184" s="31" t="n">
        <v>21.8</v>
      </c>
      <c r="K184" t="inlineStr">
        <is>
          <t>PY07</t>
        </is>
      </c>
      <c r="L184" s="30" t="n"/>
    </row>
    <row r="185">
      <c r="A185" t="inlineStr">
        <is>
          <t>PT13926</t>
        </is>
      </c>
      <c r="B185" t="inlineStr">
        <is>
          <t>03508981</t>
        </is>
      </c>
      <c r="C185" t="inlineStr">
        <is>
          <t>Gerald</t>
        </is>
      </c>
      <c r="D185" t="inlineStr">
        <is>
          <t>Tran</t>
        </is>
      </c>
      <c r="E185" t="inlineStr">
        <is>
          <t>M</t>
        </is>
      </c>
      <c r="F185" s="28" t="n">
        <v>25918</v>
      </c>
      <c r="G185" t="n">
        <v>55</v>
      </c>
      <c r="H185" s="31" t="n">
        <v>71.3</v>
      </c>
      <c r="I185" s="31" t="n">
        <v>301</v>
      </c>
      <c r="J185" s="31" t="n">
        <v>41.6</v>
      </c>
      <c r="K185" t="inlineStr">
        <is>
          <t>PY06</t>
        </is>
      </c>
      <c r="L185" s="30" t="n"/>
    </row>
    <row r="186">
      <c r="A186" t="inlineStr">
        <is>
          <t>PT13966</t>
        </is>
      </c>
      <c r="B186" t="inlineStr">
        <is>
          <t>04542733</t>
        </is>
      </c>
      <c r="C186" t="inlineStr">
        <is>
          <t>John</t>
        </is>
      </c>
      <c r="D186" t="inlineStr">
        <is>
          <t>Herrera</t>
        </is>
      </c>
      <c r="E186" t="inlineStr">
        <is>
          <t>M</t>
        </is>
      </c>
      <c r="F186" s="28" t="n">
        <v>19431</v>
      </c>
      <c r="G186" t="n">
        <v>72</v>
      </c>
      <c r="H186" s="31" t="n">
        <v>73.90000000000001</v>
      </c>
      <c r="I186" s="31" t="n">
        <v>289.8</v>
      </c>
      <c r="J186" s="31" t="n">
        <v>37.3</v>
      </c>
      <c r="K186" t="inlineStr">
        <is>
          <t>PY02</t>
        </is>
      </c>
      <c r="L186" s="30"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25"/>
  <sheetViews>
    <sheetView tabSelected="0"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38" customWidth="1" min="5" max="5"/>
    <col width="26" customWidth="1" min="6" max="6"/>
    <col width="14" customWidth="1" min="7" max="7"/>
  </cols>
  <sheetData>
    <row r="1">
      <c r="A1" s="26" t="inlineStr">
        <is>
          <t>ReferralID</t>
        </is>
      </c>
      <c r="B1" s="26" t="inlineStr">
        <is>
          <t>ReceivedDate</t>
        </is>
      </c>
      <c r="C1" s="26" t="inlineStr">
        <is>
          <t>MRN</t>
        </is>
      </c>
      <c r="D1" s="26" t="inlineStr">
        <is>
          <t>PatientName</t>
        </is>
      </c>
      <c r="E1" s="26" t="inlineStr">
        <is>
          <t>ReferredBy</t>
        </is>
      </c>
      <c r="F1" s="26" t="inlineStr">
        <is>
          <t>Reason</t>
        </is>
      </c>
      <c r="G1" s="27" t="inlineStr">
        <is>
          <t>PatientID</t>
        </is>
      </c>
    </row>
    <row r="2">
      <c r="A2" t="inlineStr">
        <is>
          <t>RF-2512-01</t>
        </is>
      </c>
      <c r="B2" s="28" t="n">
        <v>45992</v>
      </c>
      <c r="C2" t="inlineStr">
        <is>
          <t>03449108</t>
        </is>
      </c>
      <c r="D2" t="inlineStr">
        <is>
          <t>Cruz, Isabella</t>
        </is>
      </c>
      <c r="E2" t="inlineStr">
        <is>
          <t>Bluestone Memorial ED</t>
        </is>
      </c>
      <c r="F2" t="inlineStr">
        <is>
          <t>ED follow-up</t>
        </is>
      </c>
      <c r="G2" s="30" t="n"/>
    </row>
    <row r="3">
      <c r="A3" t="inlineStr">
        <is>
          <t>RF-2512-02</t>
        </is>
      </c>
      <c r="B3" s="28" t="n">
        <v>45992</v>
      </c>
      <c r="C3" t="inlineStr">
        <is>
          <t>06291850</t>
        </is>
      </c>
      <c r="D3" t="inlineStr">
        <is>
          <t>Robertson, Diana</t>
        </is>
      </c>
      <c r="E3" t="inlineStr">
        <is>
          <t>Endocrinology &amp; Diabetes Clinic</t>
        </is>
      </c>
      <c r="F3" t="inlineStr">
        <is>
          <t>Abnormal lab follow-up</t>
        </is>
      </c>
      <c r="G3" s="30" t="n"/>
    </row>
    <row r="4">
      <c r="A4" t="inlineStr">
        <is>
          <t>RF-2512-03</t>
        </is>
      </c>
      <c r="B4" s="28" t="n">
        <v>45993</v>
      </c>
      <c r="C4" t="inlineStr">
        <is>
          <t>04683061</t>
        </is>
      </c>
      <c r="D4" t="inlineStr">
        <is>
          <t>Lindqvist, Austin</t>
        </is>
      </c>
      <c r="E4" t="inlineStr">
        <is>
          <t>Cardiology Clinic</t>
        </is>
      </c>
      <c r="F4" t="inlineStr">
        <is>
          <t>Establish primary care</t>
        </is>
      </c>
      <c r="G4" s="30" t="n"/>
    </row>
    <row r="5">
      <c r="A5" t="inlineStr">
        <is>
          <t>RF-2512-04</t>
        </is>
      </c>
      <c r="B5" s="28" t="n">
        <v>45994</v>
      </c>
      <c r="C5" t="inlineStr">
        <is>
          <t>09504842</t>
        </is>
      </c>
      <c r="D5" t="inlineStr">
        <is>
          <t>Owens, Donna</t>
        </is>
      </c>
      <c r="E5" t="inlineStr">
        <is>
          <t>Ashby Falls Community Hospital</t>
        </is>
      </c>
      <c r="F5" t="inlineStr">
        <is>
          <t>Medication review</t>
        </is>
      </c>
      <c r="G5" s="30" t="n"/>
    </row>
    <row r="6">
      <c r="A6" t="inlineStr">
        <is>
          <t>RF-2512-05</t>
        </is>
      </c>
      <c r="B6" s="28" t="n">
        <v>45995</v>
      </c>
      <c r="C6" t="inlineStr">
        <is>
          <t>00633088</t>
        </is>
      </c>
      <c r="D6" t="inlineStr">
        <is>
          <t>Foster, Nicholas</t>
        </is>
      </c>
      <c r="E6" t="inlineStr">
        <is>
          <t>Cedar Ridge Medical Center</t>
        </is>
      </c>
      <c r="F6" t="inlineStr">
        <is>
          <t>Diabetes management</t>
        </is>
      </c>
      <c r="G6" s="30" t="n"/>
    </row>
    <row r="7">
      <c r="A7" t="inlineStr">
        <is>
          <t>RF-2512-06</t>
        </is>
      </c>
      <c r="B7" s="28" t="n">
        <v>45996</v>
      </c>
      <c r="C7" t="inlineStr">
        <is>
          <t>05468100</t>
        </is>
      </c>
      <c r="D7" t="inlineStr">
        <is>
          <t>Simmons, Billy</t>
        </is>
      </c>
      <c r="E7" t="inlineStr">
        <is>
          <t>Bluestone Memorial Hospital Medicine</t>
        </is>
      </c>
      <c r="F7" t="inlineStr">
        <is>
          <t>Post-discharge follow-up</t>
        </is>
      </c>
      <c r="G7" s="30" t="n"/>
    </row>
    <row r="8">
      <c r="A8" t="inlineStr">
        <is>
          <t>RF-2512-07</t>
        </is>
      </c>
      <c r="B8" s="28" t="n">
        <v>45999</v>
      </c>
      <c r="C8" t="inlineStr">
        <is>
          <t>01591310</t>
        </is>
      </c>
      <c r="D8" t="inlineStr">
        <is>
          <t>Ellis, Lauren</t>
        </is>
      </c>
      <c r="E8" t="inlineStr">
        <is>
          <t>Bluestone Memorial ED</t>
        </is>
      </c>
      <c r="F8" t="inlineStr">
        <is>
          <t>Blood pressure check</t>
        </is>
      </c>
      <c r="G8" s="30" t="n"/>
    </row>
    <row r="9">
      <c r="A9" t="inlineStr">
        <is>
          <t>RF-2512-08</t>
        </is>
      </c>
      <c r="B9" s="28" t="n">
        <v>46000</v>
      </c>
      <c r="C9" t="inlineStr">
        <is>
          <t>04635403</t>
        </is>
      </c>
      <c r="D9" t="inlineStr">
        <is>
          <t>Thompson, Charlotte</t>
        </is>
      </c>
      <c r="E9" t="inlineStr">
        <is>
          <t>Endocrinology &amp; Diabetes Clinic</t>
        </is>
      </c>
      <c r="F9" t="inlineStr">
        <is>
          <t>ED follow-up</t>
        </is>
      </c>
      <c r="G9" s="30" t="n"/>
    </row>
    <row r="10">
      <c r="A10" t="inlineStr">
        <is>
          <t>RF-2512-09</t>
        </is>
      </c>
      <c r="B10" s="28" t="n">
        <v>46001</v>
      </c>
      <c r="C10" t="inlineStr">
        <is>
          <t>00746283</t>
        </is>
      </c>
      <c r="D10" t="inlineStr">
        <is>
          <t>Andrews, Karen</t>
        </is>
      </c>
      <c r="E10" t="inlineStr">
        <is>
          <t>Cardiology Clinic</t>
        </is>
      </c>
      <c r="F10" t="inlineStr">
        <is>
          <t>Abnormal lab follow-up</t>
        </is>
      </c>
      <c r="G10" s="30" t="n"/>
    </row>
    <row r="11">
      <c r="A11" t="inlineStr">
        <is>
          <t>RF-2512-10</t>
        </is>
      </c>
      <c r="B11" s="28" t="n">
        <v>46002</v>
      </c>
      <c r="C11" t="inlineStr">
        <is>
          <t>04488731</t>
        </is>
      </c>
      <c r="D11" t="inlineStr">
        <is>
          <t>Cruz, Jesse</t>
        </is>
      </c>
      <c r="E11" t="inlineStr">
        <is>
          <t>Ashby Falls Community Hospital</t>
        </is>
      </c>
      <c r="F11" t="inlineStr">
        <is>
          <t>Establish primary care</t>
        </is>
      </c>
      <c r="G11" s="30" t="n"/>
    </row>
    <row r="12">
      <c r="A12" t="inlineStr">
        <is>
          <t>RF-2512-11</t>
        </is>
      </c>
      <c r="B12" s="28" t="n">
        <v>46003</v>
      </c>
      <c r="C12" t="inlineStr">
        <is>
          <t>07862874</t>
        </is>
      </c>
      <c r="D12" t="inlineStr">
        <is>
          <t>Miller, Marie</t>
        </is>
      </c>
      <c r="E12" t="inlineStr">
        <is>
          <t>Cedar Ridge Medical Center</t>
        </is>
      </c>
      <c r="F12" t="inlineStr">
        <is>
          <t>Medication review</t>
        </is>
      </c>
      <c r="G12" s="30" t="n"/>
    </row>
    <row r="13">
      <c r="A13" t="inlineStr">
        <is>
          <t>RF-2512-12</t>
        </is>
      </c>
      <c r="B13" s="28" t="n">
        <v>46006</v>
      </c>
      <c r="C13" t="inlineStr">
        <is>
          <t>06750184</t>
        </is>
      </c>
      <c r="D13" t="inlineStr">
        <is>
          <t>Howard, Vincent</t>
        </is>
      </c>
      <c r="E13" t="inlineStr">
        <is>
          <t>Bluestone Memorial Hospital Medicine</t>
        </is>
      </c>
      <c r="F13" t="inlineStr">
        <is>
          <t>Diabetes management</t>
        </is>
      </c>
      <c r="G13" s="30" t="n"/>
    </row>
    <row r="14">
      <c r="A14" t="inlineStr">
        <is>
          <t>RF-2512-13</t>
        </is>
      </c>
      <c r="B14" s="28" t="n">
        <v>46007</v>
      </c>
      <c r="C14" t="inlineStr">
        <is>
          <t>01710330</t>
        </is>
      </c>
      <c r="D14" t="inlineStr">
        <is>
          <t>Woods, Stephen</t>
        </is>
      </c>
      <c r="E14" t="inlineStr">
        <is>
          <t>Bluestone Memorial ED</t>
        </is>
      </c>
      <c r="F14" t="inlineStr">
        <is>
          <t>Post-discharge follow-up</t>
        </is>
      </c>
      <c r="G14" s="30" t="n"/>
    </row>
    <row r="15">
      <c r="A15" t="inlineStr">
        <is>
          <t>RF-2512-14</t>
        </is>
      </c>
      <c r="B15" s="28" t="n">
        <v>46007</v>
      </c>
      <c r="C15" t="inlineStr">
        <is>
          <t>00206017</t>
        </is>
      </c>
      <c r="D15" t="inlineStr">
        <is>
          <t>Patterson, Diana</t>
        </is>
      </c>
      <c r="E15" t="inlineStr">
        <is>
          <t>Endocrinology &amp; Diabetes Clinic</t>
        </is>
      </c>
      <c r="F15" t="inlineStr">
        <is>
          <t>Blood pressure check</t>
        </is>
      </c>
      <c r="G15" s="30" t="n"/>
    </row>
    <row r="16">
      <c r="A16" t="inlineStr">
        <is>
          <t>RF-2512-15</t>
        </is>
      </c>
      <c r="B16" s="28" t="n">
        <v>46008</v>
      </c>
      <c r="C16" t="inlineStr">
        <is>
          <t>00346034</t>
        </is>
      </c>
      <c r="D16" t="inlineStr">
        <is>
          <t>Kim, Karen</t>
        </is>
      </c>
      <c r="E16" t="inlineStr">
        <is>
          <t>Cardiology Clinic</t>
        </is>
      </c>
      <c r="F16" t="inlineStr">
        <is>
          <t>ED follow-up</t>
        </is>
      </c>
      <c r="G16" s="30" t="n"/>
    </row>
    <row r="17">
      <c r="A17" t="inlineStr">
        <is>
          <t>RF-2512-16</t>
        </is>
      </c>
      <c r="B17" s="28" t="n">
        <v>46009</v>
      </c>
      <c r="C17" t="inlineStr">
        <is>
          <t>08388705</t>
        </is>
      </c>
      <c r="D17" t="inlineStr">
        <is>
          <t>Richards, Keith</t>
        </is>
      </c>
      <c r="E17" t="inlineStr">
        <is>
          <t>Ashby Falls Community Hospital</t>
        </is>
      </c>
      <c r="F17" t="inlineStr">
        <is>
          <t>Abnormal lab follow-up</t>
        </is>
      </c>
      <c r="G17" s="30" t="n"/>
    </row>
    <row r="18">
      <c r="A18" t="inlineStr">
        <is>
          <t>RF-2512-17</t>
        </is>
      </c>
      <c r="B18" s="28" t="n">
        <v>46010</v>
      </c>
      <c r="C18" t="inlineStr">
        <is>
          <t>08787774</t>
        </is>
      </c>
      <c r="D18" t="inlineStr">
        <is>
          <t>Cunningham, Carolyn</t>
        </is>
      </c>
      <c r="E18" t="inlineStr">
        <is>
          <t>Cedar Ridge Medical Center</t>
        </is>
      </c>
      <c r="F18" t="inlineStr">
        <is>
          <t>Establish primary care</t>
        </is>
      </c>
      <c r="G18" s="30" t="n"/>
    </row>
    <row r="19">
      <c r="A19" t="inlineStr">
        <is>
          <t>RF-2512-18</t>
        </is>
      </c>
      <c r="B19" s="28" t="n">
        <v>46013</v>
      </c>
      <c r="C19" t="inlineStr">
        <is>
          <t>00528891</t>
        </is>
      </c>
      <c r="D19" t="inlineStr">
        <is>
          <t>Alvarado, Peter</t>
        </is>
      </c>
      <c r="E19" t="inlineStr">
        <is>
          <t>Bluestone Memorial Hospital Medicine</t>
        </is>
      </c>
      <c r="F19" t="inlineStr">
        <is>
          <t>Medication review</t>
        </is>
      </c>
      <c r="G19" s="30" t="n"/>
    </row>
    <row r="20">
      <c r="A20" t="inlineStr">
        <is>
          <t>RF-2512-19</t>
        </is>
      </c>
      <c r="B20" s="28" t="n">
        <v>46014</v>
      </c>
      <c r="C20" t="inlineStr">
        <is>
          <t>07100328</t>
        </is>
      </c>
      <c r="D20" t="inlineStr">
        <is>
          <t>Meyer, Mia</t>
        </is>
      </c>
      <c r="E20" t="inlineStr">
        <is>
          <t>Bluestone Memorial ED</t>
        </is>
      </c>
      <c r="F20" t="inlineStr">
        <is>
          <t>Diabetes management</t>
        </is>
      </c>
      <c r="G20" s="30" t="n"/>
    </row>
    <row r="21">
      <c r="A21" t="inlineStr">
        <is>
          <t>RF-2512-20</t>
        </is>
      </c>
      <c r="B21" s="28" t="n">
        <v>46015</v>
      </c>
      <c r="C21" t="inlineStr">
        <is>
          <t>08068022</t>
        </is>
      </c>
      <c r="D21" t="inlineStr">
        <is>
          <t>Sullivan, Andrew</t>
        </is>
      </c>
      <c r="E21" t="inlineStr">
        <is>
          <t>Endocrinology &amp; Diabetes Clinic</t>
        </is>
      </c>
      <c r="F21" t="inlineStr">
        <is>
          <t>Post-discharge follow-up</t>
        </is>
      </c>
      <c r="G21" s="30" t="n"/>
    </row>
    <row r="22">
      <c r="A22" t="inlineStr">
        <is>
          <t>RF-2512-21</t>
        </is>
      </c>
      <c r="B22" s="28" t="n">
        <v>46017</v>
      </c>
      <c r="C22" t="inlineStr">
        <is>
          <t>06721210</t>
        </is>
      </c>
      <c r="D22" t="inlineStr">
        <is>
          <t>Jackson, Emma</t>
        </is>
      </c>
      <c r="E22" t="inlineStr">
        <is>
          <t>Cardiology Clinic</t>
        </is>
      </c>
      <c r="F22" t="inlineStr">
        <is>
          <t>Blood pressure check</t>
        </is>
      </c>
      <c r="G22" s="30" t="n"/>
    </row>
    <row r="23">
      <c r="A23" t="inlineStr">
        <is>
          <t>RF-2512-22</t>
        </is>
      </c>
      <c r="B23" s="28" t="n">
        <v>46020</v>
      </c>
      <c r="C23" t="inlineStr">
        <is>
          <t>08387024</t>
        </is>
      </c>
      <c r="D23" t="inlineStr">
        <is>
          <t>Shaw, Albert</t>
        </is>
      </c>
      <c r="E23" t="inlineStr">
        <is>
          <t>Ashby Falls Community Hospital</t>
        </is>
      </c>
      <c r="F23" t="inlineStr">
        <is>
          <t>ED follow-up</t>
        </is>
      </c>
      <c r="G23" s="30" t="n"/>
    </row>
    <row r="24">
      <c r="A24" t="inlineStr">
        <is>
          <t>RF-2512-23</t>
        </is>
      </c>
      <c r="B24" s="28" t="n">
        <v>46021</v>
      </c>
      <c r="C24" t="inlineStr">
        <is>
          <t>04238806</t>
        </is>
      </c>
      <c r="D24" t="inlineStr">
        <is>
          <t>Woods, Raymond</t>
        </is>
      </c>
      <c r="E24" t="inlineStr">
        <is>
          <t>Cedar Ridge Medical Center</t>
        </is>
      </c>
      <c r="F24" t="inlineStr">
        <is>
          <t>Abnormal lab follow-up</t>
        </is>
      </c>
      <c r="G24" s="30" t="n"/>
    </row>
    <row r="25">
      <c r="A25" t="inlineStr">
        <is>
          <t>RF-2512-24</t>
        </is>
      </c>
      <c r="B25" s="28" t="n">
        <v>46022</v>
      </c>
      <c r="C25" t="inlineStr">
        <is>
          <t>04718077</t>
        </is>
      </c>
      <c r="D25" t="inlineStr">
        <is>
          <t>Munoz, Anna</t>
        </is>
      </c>
      <c r="E25" t="inlineStr">
        <is>
          <t>Bluestone Memorial Hospital Medicine</t>
        </is>
      </c>
      <c r="F25" t="inlineStr">
        <is>
          <t>Establish primary care</t>
        </is>
      </c>
      <c r="G25" s="30"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48"/>
  <sheetViews>
    <sheetView tabSelected="0"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12" customWidth="1" min="4" max="4"/>
    <col width="27" customWidth="1" min="5" max="5"/>
    <col width="15" customWidth="1" min="6" max="6"/>
    <col width="12" customWidth="1" min="7" max="7"/>
  </cols>
  <sheetData>
    <row r="1">
      <c r="A1" s="26" t="inlineStr">
        <is>
          <t>ProviderID</t>
        </is>
      </c>
      <c r="B1" s="26" t="inlineStr">
        <is>
          <t>FirstName</t>
        </is>
      </c>
      <c r="C1" s="26" t="inlineStr">
        <is>
          <t>LastName</t>
        </is>
      </c>
      <c r="D1" s="26" t="inlineStr">
        <is>
          <t>Credential</t>
        </is>
      </c>
      <c r="E1" s="26" t="inlineStr">
        <is>
          <t>Specialty</t>
        </is>
      </c>
      <c r="F1" s="26" t="inlineStr">
        <is>
          <t>PrimaryDeptID</t>
        </is>
      </c>
      <c r="G1" s="26" t="inlineStr">
        <is>
          <t>FacilityID</t>
        </is>
      </c>
    </row>
    <row r="2">
      <c r="A2" t="inlineStr">
        <is>
          <t>PRV1001</t>
        </is>
      </c>
      <c r="B2" t="inlineStr">
        <is>
          <t>Roy</t>
        </is>
      </c>
      <c r="C2" t="inlineStr">
        <is>
          <t>Ferguson</t>
        </is>
      </c>
      <c r="D2" t="inlineStr">
        <is>
          <t>MD</t>
        </is>
      </c>
      <c r="E2" t="inlineStr">
        <is>
          <t>Emergency Medicine</t>
        </is>
      </c>
      <c r="F2" t="inlineStr">
        <is>
          <t>D100</t>
        </is>
      </c>
      <c r="G2" t="inlineStr">
        <is>
          <t>F01</t>
        </is>
      </c>
    </row>
    <row r="3">
      <c r="A3" t="inlineStr">
        <is>
          <t>PRV1002</t>
        </is>
      </c>
      <c r="B3" t="inlineStr">
        <is>
          <t>Mia</t>
        </is>
      </c>
      <c r="C3" t="inlineStr">
        <is>
          <t>Cruz</t>
        </is>
      </c>
      <c r="D3" t="inlineStr">
        <is>
          <t>MD</t>
        </is>
      </c>
      <c r="E3" t="inlineStr">
        <is>
          <t>Emergency Medicine</t>
        </is>
      </c>
      <c r="F3" t="inlineStr">
        <is>
          <t>D100</t>
        </is>
      </c>
      <c r="G3" t="inlineStr">
        <is>
          <t>F01</t>
        </is>
      </c>
    </row>
    <row r="4">
      <c r="A4" t="inlineStr">
        <is>
          <t>PRV1003</t>
        </is>
      </c>
      <c r="B4" t="inlineStr">
        <is>
          <t>Jordan</t>
        </is>
      </c>
      <c r="C4" t="inlineStr">
        <is>
          <t>Morris</t>
        </is>
      </c>
      <c r="D4" t="inlineStr">
        <is>
          <t>MD</t>
        </is>
      </c>
      <c r="E4" t="inlineStr">
        <is>
          <t>Emergency Medicine</t>
        </is>
      </c>
      <c r="F4" t="inlineStr">
        <is>
          <t>D100</t>
        </is>
      </c>
      <c r="G4" t="inlineStr">
        <is>
          <t>F01</t>
        </is>
      </c>
    </row>
    <row r="5">
      <c r="A5" t="inlineStr">
        <is>
          <t>PRV1004</t>
        </is>
      </c>
      <c r="B5" t="inlineStr">
        <is>
          <t>Jesse</t>
        </is>
      </c>
      <c r="C5" t="inlineStr">
        <is>
          <t>Elliott</t>
        </is>
      </c>
      <c r="D5" t="inlineStr">
        <is>
          <t>MD</t>
        </is>
      </c>
      <c r="E5" t="inlineStr">
        <is>
          <t>Emergency Medicine</t>
        </is>
      </c>
      <c r="F5" t="inlineStr">
        <is>
          <t>D100</t>
        </is>
      </c>
      <c r="G5" t="inlineStr">
        <is>
          <t>F01</t>
        </is>
      </c>
    </row>
    <row r="6">
      <c r="A6" t="inlineStr">
        <is>
          <t>PRV1005</t>
        </is>
      </c>
      <c r="B6" t="inlineStr">
        <is>
          <t>Christian</t>
        </is>
      </c>
      <c r="C6" t="inlineStr">
        <is>
          <t>Olson</t>
        </is>
      </c>
      <c r="D6" t="inlineStr">
        <is>
          <t>DO</t>
        </is>
      </c>
      <c r="E6" t="inlineStr">
        <is>
          <t>Emergency Medicine</t>
        </is>
      </c>
      <c r="F6" t="inlineStr">
        <is>
          <t>D100</t>
        </is>
      </c>
      <c r="G6" t="inlineStr">
        <is>
          <t>F01</t>
        </is>
      </c>
    </row>
    <row r="7">
      <c r="A7" t="inlineStr">
        <is>
          <t>PRV1006</t>
        </is>
      </c>
      <c r="B7" t="inlineStr">
        <is>
          <t>James</t>
        </is>
      </c>
      <c r="C7" t="inlineStr">
        <is>
          <t>Kowalski</t>
        </is>
      </c>
      <c r="D7" t="inlineStr">
        <is>
          <t>MD</t>
        </is>
      </c>
      <c r="E7" t="inlineStr">
        <is>
          <t>Emergency Medicine</t>
        </is>
      </c>
      <c r="F7" t="inlineStr">
        <is>
          <t>D100</t>
        </is>
      </c>
      <c r="G7" t="inlineStr">
        <is>
          <t>F01</t>
        </is>
      </c>
    </row>
    <row r="8">
      <c r="A8" t="inlineStr">
        <is>
          <t>PRV1007</t>
        </is>
      </c>
      <c r="B8" t="inlineStr">
        <is>
          <t>Alexander</t>
        </is>
      </c>
      <c r="C8" t="inlineStr">
        <is>
          <t>Mendoza</t>
        </is>
      </c>
      <c r="D8" t="inlineStr">
        <is>
          <t>MD</t>
        </is>
      </c>
      <c r="E8" t="inlineStr">
        <is>
          <t>Emergency Medicine</t>
        </is>
      </c>
      <c r="F8" t="inlineStr">
        <is>
          <t>D100</t>
        </is>
      </c>
      <c r="G8" t="inlineStr">
        <is>
          <t>F01</t>
        </is>
      </c>
    </row>
    <row r="9">
      <c r="A9" t="inlineStr">
        <is>
          <t>PRV1008</t>
        </is>
      </c>
      <c r="B9" t="inlineStr">
        <is>
          <t>Jacob</t>
        </is>
      </c>
      <c r="C9" t="inlineStr">
        <is>
          <t>Sullivan</t>
        </is>
      </c>
      <c r="D9" t="inlineStr">
        <is>
          <t>DO</t>
        </is>
      </c>
      <c r="E9" t="inlineStr">
        <is>
          <t>Emergency Medicine</t>
        </is>
      </c>
      <c r="F9" t="inlineStr">
        <is>
          <t>D100</t>
        </is>
      </c>
      <c r="G9" t="inlineStr">
        <is>
          <t>F01</t>
        </is>
      </c>
    </row>
    <row r="10">
      <c r="A10" t="inlineStr">
        <is>
          <t>PRV1009</t>
        </is>
      </c>
      <c r="B10" t="inlineStr">
        <is>
          <t>Patrick</t>
        </is>
      </c>
      <c r="C10" t="inlineStr">
        <is>
          <t>Foster</t>
        </is>
      </c>
      <c r="D10" t="inlineStr">
        <is>
          <t>DO</t>
        </is>
      </c>
      <c r="E10" t="inlineStr">
        <is>
          <t>Emergency Medicine</t>
        </is>
      </c>
      <c r="F10" t="inlineStr">
        <is>
          <t>D100</t>
        </is>
      </c>
      <c r="G10" t="inlineStr">
        <is>
          <t>F01</t>
        </is>
      </c>
    </row>
    <row r="11">
      <c r="A11" t="inlineStr">
        <is>
          <t>PRV1010</t>
        </is>
      </c>
      <c r="B11" t="inlineStr">
        <is>
          <t>Nancy</t>
        </is>
      </c>
      <c r="C11" t="inlineStr">
        <is>
          <t>Payne</t>
        </is>
      </c>
      <c r="D11" t="inlineStr">
        <is>
          <t>MD</t>
        </is>
      </c>
      <c r="E11" t="inlineStr">
        <is>
          <t>Emergency Medicine</t>
        </is>
      </c>
      <c r="F11" t="inlineStr">
        <is>
          <t>D100</t>
        </is>
      </c>
      <c r="G11" t="inlineStr">
        <is>
          <t>F01</t>
        </is>
      </c>
    </row>
    <row r="12">
      <c r="A12" t="inlineStr">
        <is>
          <t>PRV1011</t>
        </is>
      </c>
      <c r="B12" t="inlineStr">
        <is>
          <t>Mia</t>
        </is>
      </c>
      <c r="C12" t="inlineStr">
        <is>
          <t>Gonzales</t>
        </is>
      </c>
      <c r="D12" t="inlineStr">
        <is>
          <t>PA</t>
        </is>
      </c>
      <c r="E12" t="inlineStr">
        <is>
          <t>Emergency Medicine</t>
        </is>
      </c>
      <c r="F12" t="inlineStr">
        <is>
          <t>D100</t>
        </is>
      </c>
      <c r="G12" t="inlineStr">
        <is>
          <t>F01</t>
        </is>
      </c>
    </row>
    <row r="13">
      <c r="A13" t="inlineStr">
        <is>
          <t>PRV1012</t>
        </is>
      </c>
      <c r="B13" t="inlineStr">
        <is>
          <t>Bruce</t>
        </is>
      </c>
      <c r="C13" t="inlineStr">
        <is>
          <t>Vasquez</t>
        </is>
      </c>
      <c r="D13" t="inlineStr">
        <is>
          <t>NP</t>
        </is>
      </c>
      <c r="E13" t="inlineStr">
        <is>
          <t>Emergency Medicine</t>
        </is>
      </c>
      <c r="F13" t="inlineStr">
        <is>
          <t>D100</t>
        </is>
      </c>
      <c r="G13" t="inlineStr">
        <is>
          <t>F01</t>
        </is>
      </c>
    </row>
    <row r="14">
      <c r="A14" t="inlineStr">
        <is>
          <t>PRV1013</t>
        </is>
      </c>
      <c r="B14" t="inlineStr">
        <is>
          <t>Doris</t>
        </is>
      </c>
      <c r="C14" t="inlineStr">
        <is>
          <t>Myers</t>
        </is>
      </c>
      <c r="D14" t="inlineStr">
        <is>
          <t>PA</t>
        </is>
      </c>
      <c r="E14" t="inlineStr">
        <is>
          <t>Emergency Medicine</t>
        </is>
      </c>
      <c r="F14" t="inlineStr">
        <is>
          <t>D100</t>
        </is>
      </c>
      <c r="G14" t="inlineStr">
        <is>
          <t>F01</t>
        </is>
      </c>
    </row>
    <row r="15">
      <c r="A15" t="inlineStr">
        <is>
          <t>PRV1014</t>
        </is>
      </c>
      <c r="B15" t="inlineStr">
        <is>
          <t>Wayne</t>
        </is>
      </c>
      <c r="C15" t="inlineStr">
        <is>
          <t>Jordan</t>
        </is>
      </c>
      <c r="D15" t="inlineStr">
        <is>
          <t>PA</t>
        </is>
      </c>
      <c r="E15" t="inlineStr">
        <is>
          <t>Emergency Medicine</t>
        </is>
      </c>
      <c r="F15" t="inlineStr">
        <is>
          <t>D100</t>
        </is>
      </c>
      <c r="G15" t="inlineStr">
        <is>
          <t>F01</t>
        </is>
      </c>
    </row>
    <row r="16">
      <c r="A16" t="inlineStr">
        <is>
          <t>PRV1015</t>
        </is>
      </c>
      <c r="B16" t="inlineStr">
        <is>
          <t>Margaret</t>
        </is>
      </c>
      <c r="C16" t="inlineStr">
        <is>
          <t>Walker</t>
        </is>
      </c>
      <c r="D16" t="inlineStr">
        <is>
          <t>MD</t>
        </is>
      </c>
      <c r="E16" t="inlineStr">
        <is>
          <t>Emergency Medicine</t>
        </is>
      </c>
      <c r="F16" t="inlineStr">
        <is>
          <t>D200</t>
        </is>
      </c>
      <c r="G16" t="inlineStr">
        <is>
          <t>F02</t>
        </is>
      </c>
    </row>
    <row r="17">
      <c r="A17" t="inlineStr">
        <is>
          <t>PRV1016</t>
        </is>
      </c>
      <c r="B17" t="inlineStr">
        <is>
          <t>Mei</t>
        </is>
      </c>
      <c r="C17" t="inlineStr">
        <is>
          <t>Richardson</t>
        </is>
      </c>
      <c r="D17" t="inlineStr">
        <is>
          <t>MD</t>
        </is>
      </c>
      <c r="E17" t="inlineStr">
        <is>
          <t>Emergency Medicine</t>
        </is>
      </c>
      <c r="F17" t="inlineStr">
        <is>
          <t>D200</t>
        </is>
      </c>
      <c r="G17" t="inlineStr">
        <is>
          <t>F02</t>
        </is>
      </c>
    </row>
    <row r="18">
      <c r="A18" t="inlineStr">
        <is>
          <t>PRV1017</t>
        </is>
      </c>
      <c r="B18" t="inlineStr">
        <is>
          <t>Bruce</t>
        </is>
      </c>
      <c r="C18" t="inlineStr">
        <is>
          <t>Wright</t>
        </is>
      </c>
      <c r="D18" t="inlineStr">
        <is>
          <t>MD</t>
        </is>
      </c>
      <c r="E18" t="inlineStr">
        <is>
          <t>Emergency Medicine</t>
        </is>
      </c>
      <c r="F18" t="inlineStr">
        <is>
          <t>D200</t>
        </is>
      </c>
      <c r="G18" t="inlineStr">
        <is>
          <t>F02</t>
        </is>
      </c>
    </row>
    <row r="19">
      <c r="A19" t="inlineStr">
        <is>
          <t>PRV1018</t>
        </is>
      </c>
      <c r="B19" t="inlineStr">
        <is>
          <t>Frank</t>
        </is>
      </c>
      <c r="C19" t="inlineStr">
        <is>
          <t>Collins</t>
        </is>
      </c>
      <c r="D19" t="inlineStr">
        <is>
          <t>MD</t>
        </is>
      </c>
      <c r="E19" t="inlineStr">
        <is>
          <t>Emergency Medicine</t>
        </is>
      </c>
      <c r="F19" t="inlineStr">
        <is>
          <t>D200</t>
        </is>
      </c>
      <c r="G19" t="inlineStr">
        <is>
          <t>F02</t>
        </is>
      </c>
    </row>
    <row r="20">
      <c r="A20" t="inlineStr">
        <is>
          <t>PRV1019</t>
        </is>
      </c>
      <c r="B20" t="inlineStr">
        <is>
          <t>Lisa</t>
        </is>
      </c>
      <c r="C20" t="inlineStr">
        <is>
          <t>Marshall</t>
        </is>
      </c>
      <c r="D20" t="inlineStr">
        <is>
          <t>DO</t>
        </is>
      </c>
      <c r="E20" t="inlineStr">
        <is>
          <t>Emergency Medicine</t>
        </is>
      </c>
      <c r="F20" t="inlineStr">
        <is>
          <t>D200</t>
        </is>
      </c>
      <c r="G20" t="inlineStr">
        <is>
          <t>F02</t>
        </is>
      </c>
    </row>
    <row r="21">
      <c r="A21" t="inlineStr">
        <is>
          <t>PRV1020</t>
        </is>
      </c>
      <c r="B21" t="inlineStr">
        <is>
          <t>Megan</t>
        </is>
      </c>
      <c r="C21" t="inlineStr">
        <is>
          <t>Peters</t>
        </is>
      </c>
      <c r="D21" t="inlineStr">
        <is>
          <t>NP</t>
        </is>
      </c>
      <c r="E21" t="inlineStr">
        <is>
          <t>Emergency Medicine</t>
        </is>
      </c>
      <c r="F21" t="inlineStr">
        <is>
          <t>D200</t>
        </is>
      </c>
      <c r="G21" t="inlineStr">
        <is>
          <t>F02</t>
        </is>
      </c>
    </row>
    <row r="22">
      <c r="A22" t="inlineStr">
        <is>
          <t>PRV1021</t>
        </is>
      </c>
      <c r="B22" t="inlineStr">
        <is>
          <t>Brenda</t>
        </is>
      </c>
      <c r="C22" t="inlineStr">
        <is>
          <t>Henry</t>
        </is>
      </c>
      <c r="D22" t="inlineStr">
        <is>
          <t>MD</t>
        </is>
      </c>
      <c r="E22" t="inlineStr">
        <is>
          <t>Emergency Medicine</t>
        </is>
      </c>
      <c r="F22" t="inlineStr">
        <is>
          <t>D300</t>
        </is>
      </c>
      <c r="G22" t="inlineStr">
        <is>
          <t>F03</t>
        </is>
      </c>
    </row>
    <row r="23">
      <c r="A23" t="inlineStr">
        <is>
          <t>PRV1022</t>
        </is>
      </c>
      <c r="B23" t="inlineStr">
        <is>
          <t>Anna</t>
        </is>
      </c>
      <c r="C23" t="inlineStr">
        <is>
          <t>Schmidt</t>
        </is>
      </c>
      <c r="D23" t="inlineStr">
        <is>
          <t>MD</t>
        </is>
      </c>
      <c r="E23" t="inlineStr">
        <is>
          <t>Emergency Medicine</t>
        </is>
      </c>
      <c r="F23" t="inlineStr">
        <is>
          <t>D300</t>
        </is>
      </c>
      <c r="G23" t="inlineStr">
        <is>
          <t>F03</t>
        </is>
      </c>
    </row>
    <row r="24">
      <c r="A24" t="inlineStr">
        <is>
          <t>PRV1023</t>
        </is>
      </c>
      <c r="B24" t="inlineStr">
        <is>
          <t>Gary</t>
        </is>
      </c>
      <c r="C24" t="inlineStr">
        <is>
          <t>Barnes</t>
        </is>
      </c>
      <c r="D24" t="inlineStr">
        <is>
          <t>DO</t>
        </is>
      </c>
      <c r="E24" t="inlineStr">
        <is>
          <t>Emergency Medicine</t>
        </is>
      </c>
      <c r="F24" t="inlineStr">
        <is>
          <t>D300</t>
        </is>
      </c>
      <c r="G24" t="inlineStr">
        <is>
          <t>F03</t>
        </is>
      </c>
    </row>
    <row r="25">
      <c r="A25" t="inlineStr">
        <is>
          <t>PRV1024</t>
        </is>
      </c>
      <c r="B25" t="inlineStr">
        <is>
          <t>Michael</t>
        </is>
      </c>
      <c r="C25" t="inlineStr">
        <is>
          <t>Andrews</t>
        </is>
      </c>
      <c r="D25" t="inlineStr">
        <is>
          <t>DO</t>
        </is>
      </c>
      <c r="E25" t="inlineStr">
        <is>
          <t>Emergency Medicine</t>
        </is>
      </c>
      <c r="F25" t="inlineStr">
        <is>
          <t>D300</t>
        </is>
      </c>
      <c r="G25" t="inlineStr">
        <is>
          <t>F03</t>
        </is>
      </c>
    </row>
    <row r="26">
      <c r="A26" t="inlineStr">
        <is>
          <t>PRV1025</t>
        </is>
      </c>
      <c r="B26" t="inlineStr">
        <is>
          <t>Victoria</t>
        </is>
      </c>
      <c r="C26" t="inlineStr">
        <is>
          <t>Warren</t>
        </is>
      </c>
      <c r="D26" t="inlineStr">
        <is>
          <t>MD</t>
        </is>
      </c>
      <c r="E26" t="inlineStr">
        <is>
          <t>Emergency Medicine</t>
        </is>
      </c>
      <c r="F26" t="inlineStr">
        <is>
          <t>D300</t>
        </is>
      </c>
      <c r="G26" t="inlineStr">
        <is>
          <t>F03</t>
        </is>
      </c>
    </row>
    <row r="27">
      <c r="A27" t="inlineStr">
        <is>
          <t>PRV1026</t>
        </is>
      </c>
      <c r="B27" t="inlineStr">
        <is>
          <t>Linda</t>
        </is>
      </c>
      <c r="C27" t="inlineStr">
        <is>
          <t>Munoz</t>
        </is>
      </c>
      <c r="D27" t="inlineStr">
        <is>
          <t>DO</t>
        </is>
      </c>
      <c r="E27" t="inlineStr">
        <is>
          <t>Emergency Medicine</t>
        </is>
      </c>
      <c r="F27" t="inlineStr">
        <is>
          <t>D300</t>
        </is>
      </c>
      <c r="G27" t="inlineStr">
        <is>
          <t>F03</t>
        </is>
      </c>
    </row>
    <row r="28">
      <c r="A28" t="inlineStr">
        <is>
          <t>PRV1027</t>
        </is>
      </c>
      <c r="B28" t="inlineStr">
        <is>
          <t>Wayne</t>
        </is>
      </c>
      <c r="C28" t="inlineStr">
        <is>
          <t>Pena</t>
        </is>
      </c>
      <c r="D28" t="inlineStr">
        <is>
          <t>NP</t>
        </is>
      </c>
      <c r="E28" t="inlineStr">
        <is>
          <t>Emergency Medicine</t>
        </is>
      </c>
      <c r="F28" t="inlineStr">
        <is>
          <t>D300</t>
        </is>
      </c>
      <c r="G28" t="inlineStr">
        <is>
          <t>F03</t>
        </is>
      </c>
    </row>
    <row r="29">
      <c r="A29" t="inlineStr">
        <is>
          <t>PRV1028</t>
        </is>
      </c>
      <c r="B29" t="inlineStr">
        <is>
          <t>Shirley</t>
        </is>
      </c>
      <c r="C29" t="inlineStr">
        <is>
          <t>Riley</t>
        </is>
      </c>
      <c r="D29" t="inlineStr">
        <is>
          <t>PA</t>
        </is>
      </c>
      <c r="E29" t="inlineStr">
        <is>
          <t>Emergency Medicine</t>
        </is>
      </c>
      <c r="F29" t="inlineStr">
        <is>
          <t>D300</t>
        </is>
      </c>
      <c r="G29" t="inlineStr">
        <is>
          <t>F03</t>
        </is>
      </c>
    </row>
    <row r="30">
      <c r="A30" t="inlineStr">
        <is>
          <t>PRV1029</t>
        </is>
      </c>
      <c r="B30" t="inlineStr">
        <is>
          <t>Kelly</t>
        </is>
      </c>
      <c r="C30" t="inlineStr">
        <is>
          <t>Simpson</t>
        </is>
      </c>
      <c r="D30" t="inlineStr">
        <is>
          <t>MD</t>
        </is>
      </c>
      <c r="E30" t="inlineStr">
        <is>
          <t>Hospital Medicine</t>
        </is>
      </c>
      <c r="F30" t="inlineStr">
        <is>
          <t>D110</t>
        </is>
      </c>
      <c r="G30" t="inlineStr">
        <is>
          <t>F01</t>
        </is>
      </c>
    </row>
    <row r="31">
      <c r="A31" t="inlineStr">
        <is>
          <t>PRV1030</t>
        </is>
      </c>
      <c r="B31" t="inlineStr">
        <is>
          <t>Judith</t>
        </is>
      </c>
      <c r="C31" t="inlineStr">
        <is>
          <t>Cox</t>
        </is>
      </c>
      <c r="D31" t="inlineStr">
        <is>
          <t>DO</t>
        </is>
      </c>
      <c r="E31" t="inlineStr">
        <is>
          <t>Hospital Medicine</t>
        </is>
      </c>
      <c r="F31" t="inlineStr">
        <is>
          <t>D110</t>
        </is>
      </c>
      <c r="G31" t="inlineStr">
        <is>
          <t>F01</t>
        </is>
      </c>
    </row>
    <row r="32">
      <c r="A32" t="inlineStr">
        <is>
          <t>PRV1031</t>
        </is>
      </c>
      <c r="B32" t="inlineStr">
        <is>
          <t>Tyler</t>
        </is>
      </c>
      <c r="C32" t="inlineStr">
        <is>
          <t>Alvarado</t>
        </is>
      </c>
      <c r="D32" t="inlineStr">
        <is>
          <t>MD</t>
        </is>
      </c>
      <c r="E32" t="inlineStr">
        <is>
          <t>Hospital Medicine</t>
        </is>
      </c>
      <c r="F32" t="inlineStr">
        <is>
          <t>D110</t>
        </is>
      </c>
      <c r="G32" t="inlineStr">
        <is>
          <t>F01</t>
        </is>
      </c>
    </row>
    <row r="33">
      <c r="A33" t="inlineStr">
        <is>
          <t>PRV1032</t>
        </is>
      </c>
      <c r="B33" t="inlineStr">
        <is>
          <t>Roger</t>
        </is>
      </c>
      <c r="C33" t="inlineStr">
        <is>
          <t>Cruz</t>
        </is>
      </c>
      <c r="D33" t="inlineStr">
        <is>
          <t>MD</t>
        </is>
      </c>
      <c r="E33" t="inlineStr">
        <is>
          <t>Hospital Medicine</t>
        </is>
      </c>
      <c r="F33" t="inlineStr">
        <is>
          <t>D110</t>
        </is>
      </c>
      <c r="G33" t="inlineStr">
        <is>
          <t>F01</t>
        </is>
      </c>
    </row>
    <row r="34">
      <c r="A34" t="inlineStr">
        <is>
          <t>PRV1033</t>
        </is>
      </c>
      <c r="B34" t="inlineStr">
        <is>
          <t>Hassan</t>
        </is>
      </c>
      <c r="C34" t="inlineStr">
        <is>
          <t>Abdi</t>
        </is>
      </c>
      <c r="D34" t="inlineStr">
        <is>
          <t>DO</t>
        </is>
      </c>
      <c r="E34" t="inlineStr">
        <is>
          <t>Hospital Medicine</t>
        </is>
      </c>
      <c r="F34" t="inlineStr">
        <is>
          <t>D110</t>
        </is>
      </c>
      <c r="G34" t="inlineStr">
        <is>
          <t>F01</t>
        </is>
      </c>
    </row>
    <row r="35">
      <c r="A35" t="inlineStr">
        <is>
          <t>PRV1034</t>
        </is>
      </c>
      <c r="B35" t="inlineStr">
        <is>
          <t>Alan</t>
        </is>
      </c>
      <c r="C35" t="inlineStr">
        <is>
          <t>Wallace</t>
        </is>
      </c>
      <c r="D35" t="inlineStr">
        <is>
          <t>MD</t>
        </is>
      </c>
      <c r="E35" t="inlineStr">
        <is>
          <t>Hospital Medicine</t>
        </is>
      </c>
      <c r="F35" t="inlineStr">
        <is>
          <t>D110</t>
        </is>
      </c>
      <c r="G35" t="inlineStr">
        <is>
          <t>F01</t>
        </is>
      </c>
    </row>
    <row r="36">
      <c r="A36" t="inlineStr">
        <is>
          <t>PRV1035</t>
        </is>
      </c>
      <c r="B36" t="inlineStr">
        <is>
          <t>Juan</t>
        </is>
      </c>
      <c r="C36" t="inlineStr">
        <is>
          <t>Price</t>
        </is>
      </c>
      <c r="D36" t="inlineStr">
        <is>
          <t>MD</t>
        </is>
      </c>
      <c r="E36" t="inlineStr">
        <is>
          <t>Hospital Medicine</t>
        </is>
      </c>
      <c r="F36" t="inlineStr">
        <is>
          <t>D110</t>
        </is>
      </c>
      <c r="G36" t="inlineStr">
        <is>
          <t>F01</t>
        </is>
      </c>
    </row>
    <row r="37">
      <c r="A37" t="inlineStr">
        <is>
          <t>PRV1036</t>
        </is>
      </c>
      <c r="B37" t="inlineStr">
        <is>
          <t>Emma</t>
        </is>
      </c>
      <c r="C37" t="inlineStr">
        <is>
          <t>Ramirez</t>
        </is>
      </c>
      <c r="D37" t="inlineStr">
        <is>
          <t>MD</t>
        </is>
      </c>
      <c r="E37" t="inlineStr">
        <is>
          <t>Hospital Medicine</t>
        </is>
      </c>
      <c r="F37" t="inlineStr">
        <is>
          <t>D111</t>
        </is>
      </c>
      <c r="G37" t="inlineStr">
        <is>
          <t>F01</t>
        </is>
      </c>
    </row>
    <row r="38">
      <c r="A38" t="inlineStr">
        <is>
          <t>PRV1037</t>
        </is>
      </c>
      <c r="B38" t="inlineStr">
        <is>
          <t>Joe</t>
        </is>
      </c>
      <c r="C38" t="inlineStr">
        <is>
          <t>Yilmaz</t>
        </is>
      </c>
      <c r="D38" t="inlineStr">
        <is>
          <t>MD</t>
        </is>
      </c>
      <c r="E38" t="inlineStr">
        <is>
          <t>Hospital Medicine</t>
        </is>
      </c>
      <c r="F38" t="inlineStr">
        <is>
          <t>D111</t>
        </is>
      </c>
      <c r="G38" t="inlineStr">
        <is>
          <t>F01</t>
        </is>
      </c>
    </row>
    <row r="39">
      <c r="A39" t="inlineStr">
        <is>
          <t>PRV1038</t>
        </is>
      </c>
      <c r="B39" t="inlineStr">
        <is>
          <t>Jose</t>
        </is>
      </c>
      <c r="C39" t="inlineStr">
        <is>
          <t>Vasquez</t>
        </is>
      </c>
      <c r="D39" t="inlineStr">
        <is>
          <t>MD</t>
        </is>
      </c>
      <c r="E39" t="inlineStr">
        <is>
          <t>Hospital Medicine</t>
        </is>
      </c>
      <c r="F39" t="inlineStr">
        <is>
          <t>D111</t>
        </is>
      </c>
      <c r="G39" t="inlineStr">
        <is>
          <t>F01</t>
        </is>
      </c>
    </row>
    <row r="40">
      <c r="A40" t="inlineStr">
        <is>
          <t>PRV1039</t>
        </is>
      </c>
      <c r="B40" t="inlineStr">
        <is>
          <t>Richard</t>
        </is>
      </c>
      <c r="C40" t="inlineStr">
        <is>
          <t>Hunt</t>
        </is>
      </c>
      <c r="D40" t="inlineStr">
        <is>
          <t>MD</t>
        </is>
      </c>
      <c r="E40" t="inlineStr">
        <is>
          <t>Hospital Medicine</t>
        </is>
      </c>
      <c r="F40" t="inlineStr">
        <is>
          <t>D111</t>
        </is>
      </c>
      <c r="G40" t="inlineStr">
        <is>
          <t>F01</t>
        </is>
      </c>
    </row>
    <row r="41">
      <c r="A41" t="inlineStr">
        <is>
          <t>PRV1040</t>
        </is>
      </c>
      <c r="B41" t="inlineStr">
        <is>
          <t>Jean</t>
        </is>
      </c>
      <c r="C41" t="inlineStr">
        <is>
          <t>Allen</t>
        </is>
      </c>
      <c r="D41" t="inlineStr">
        <is>
          <t>DO</t>
        </is>
      </c>
      <c r="E41" t="inlineStr">
        <is>
          <t>Hospital Medicine</t>
        </is>
      </c>
      <c r="F41" t="inlineStr">
        <is>
          <t>D111</t>
        </is>
      </c>
      <c r="G41" t="inlineStr">
        <is>
          <t>F01</t>
        </is>
      </c>
    </row>
    <row r="42">
      <c r="A42" t="inlineStr">
        <is>
          <t>PRV1041</t>
        </is>
      </c>
      <c r="B42" t="inlineStr">
        <is>
          <t>Larry</t>
        </is>
      </c>
      <c r="C42" t="inlineStr">
        <is>
          <t>Russell</t>
        </is>
      </c>
      <c r="D42" t="inlineStr">
        <is>
          <t>MD</t>
        </is>
      </c>
      <c r="E42" t="inlineStr">
        <is>
          <t>Hospital Medicine</t>
        </is>
      </c>
      <c r="F42" t="inlineStr">
        <is>
          <t>D111</t>
        </is>
      </c>
      <c r="G42" t="inlineStr">
        <is>
          <t>F01</t>
        </is>
      </c>
    </row>
    <row r="43">
      <c r="A43" t="inlineStr">
        <is>
          <t>PRV1042</t>
        </is>
      </c>
      <c r="B43" t="inlineStr">
        <is>
          <t>Kathleen</t>
        </is>
      </c>
      <c r="C43" t="inlineStr">
        <is>
          <t>Abbott</t>
        </is>
      </c>
      <c r="D43" t="inlineStr">
        <is>
          <t>NP</t>
        </is>
      </c>
      <c r="E43" t="inlineStr">
        <is>
          <t>Hospital Medicine</t>
        </is>
      </c>
      <c r="F43" t="inlineStr">
        <is>
          <t>D195</t>
        </is>
      </c>
      <c r="G43" t="inlineStr">
        <is>
          <t>F01</t>
        </is>
      </c>
    </row>
    <row r="44">
      <c r="A44" t="inlineStr">
        <is>
          <t>PRV1043</t>
        </is>
      </c>
      <c r="B44" t="inlineStr">
        <is>
          <t>Ashley</t>
        </is>
      </c>
      <c r="C44" t="inlineStr">
        <is>
          <t>Watson</t>
        </is>
      </c>
      <c r="D44" t="inlineStr">
        <is>
          <t>NP</t>
        </is>
      </c>
      <c r="E44" t="inlineStr">
        <is>
          <t>Hospital Medicine</t>
        </is>
      </c>
      <c r="F44" t="inlineStr">
        <is>
          <t>D195</t>
        </is>
      </c>
      <c r="G44" t="inlineStr">
        <is>
          <t>F01</t>
        </is>
      </c>
    </row>
    <row r="45">
      <c r="A45" t="inlineStr">
        <is>
          <t>PRV1044</t>
        </is>
      </c>
      <c r="B45" t="inlineStr">
        <is>
          <t>Melissa</t>
        </is>
      </c>
      <c r="C45" t="inlineStr">
        <is>
          <t>Moreno</t>
        </is>
      </c>
      <c r="D45" t="inlineStr">
        <is>
          <t>MD</t>
        </is>
      </c>
      <c r="E45" t="inlineStr">
        <is>
          <t>Hospital Medicine</t>
        </is>
      </c>
      <c r="F45" t="inlineStr">
        <is>
          <t>D210</t>
        </is>
      </c>
      <c r="G45" t="inlineStr">
        <is>
          <t>F02</t>
        </is>
      </c>
    </row>
    <row r="46">
      <c r="A46" t="inlineStr">
        <is>
          <t>PRV1045</t>
        </is>
      </c>
      <c r="B46" t="inlineStr">
        <is>
          <t>Philip</t>
        </is>
      </c>
      <c r="C46" t="inlineStr">
        <is>
          <t>Carroll</t>
        </is>
      </c>
      <c r="D46" t="inlineStr">
        <is>
          <t>DO</t>
        </is>
      </c>
      <c r="E46" t="inlineStr">
        <is>
          <t>Hospital Medicine</t>
        </is>
      </c>
      <c r="F46" t="inlineStr">
        <is>
          <t>D210</t>
        </is>
      </c>
      <c r="G46" t="inlineStr">
        <is>
          <t>F02</t>
        </is>
      </c>
    </row>
    <row r="47">
      <c r="A47" t="inlineStr">
        <is>
          <t>PRV1046</t>
        </is>
      </c>
      <c r="B47" t="inlineStr">
        <is>
          <t>Stephanie</t>
        </is>
      </c>
      <c r="C47" t="inlineStr">
        <is>
          <t>Murray</t>
        </is>
      </c>
      <c r="D47" t="inlineStr">
        <is>
          <t>DO</t>
        </is>
      </c>
      <c r="E47" t="inlineStr">
        <is>
          <t>Hospital Medicine</t>
        </is>
      </c>
      <c r="F47" t="inlineStr">
        <is>
          <t>D210</t>
        </is>
      </c>
      <c r="G47" t="inlineStr">
        <is>
          <t>F02</t>
        </is>
      </c>
    </row>
    <row r="48">
      <c r="A48" t="inlineStr">
        <is>
          <t>PRV1047</t>
        </is>
      </c>
      <c r="B48" t="inlineStr">
        <is>
          <t>Karen</t>
        </is>
      </c>
      <c r="C48" t="inlineStr">
        <is>
          <t>Carter</t>
        </is>
      </c>
      <c r="D48" t="inlineStr">
        <is>
          <t>MD</t>
        </is>
      </c>
      <c r="E48" t="inlineStr">
        <is>
          <t>Hospital Medicine</t>
        </is>
      </c>
      <c r="F48" t="inlineStr">
        <is>
          <t>D210</t>
        </is>
      </c>
      <c r="G48" t="inlineStr">
        <is>
          <t>F02</t>
        </is>
      </c>
    </row>
    <row r="49">
      <c r="A49" t="inlineStr">
        <is>
          <t>PRV1048</t>
        </is>
      </c>
      <c r="B49" t="inlineStr">
        <is>
          <t>Doris</t>
        </is>
      </c>
      <c r="C49" t="inlineStr">
        <is>
          <t>Hall</t>
        </is>
      </c>
      <c r="D49" t="inlineStr">
        <is>
          <t>DO</t>
        </is>
      </c>
      <c r="E49" t="inlineStr">
        <is>
          <t>Hospital Medicine</t>
        </is>
      </c>
      <c r="F49" t="inlineStr">
        <is>
          <t>D310</t>
        </is>
      </c>
      <c r="G49" t="inlineStr">
        <is>
          <t>F03</t>
        </is>
      </c>
    </row>
    <row r="50">
      <c r="A50" t="inlineStr">
        <is>
          <t>PRV1049</t>
        </is>
      </c>
      <c r="B50" t="inlineStr">
        <is>
          <t>Minh</t>
        </is>
      </c>
      <c r="C50" t="inlineStr">
        <is>
          <t>Berry</t>
        </is>
      </c>
      <c r="D50" t="inlineStr">
        <is>
          <t>MD</t>
        </is>
      </c>
      <c r="E50" t="inlineStr">
        <is>
          <t>Hospital Medicine</t>
        </is>
      </c>
      <c r="F50" t="inlineStr">
        <is>
          <t>D310</t>
        </is>
      </c>
      <c r="G50" t="inlineStr">
        <is>
          <t>F03</t>
        </is>
      </c>
    </row>
    <row r="51">
      <c r="A51" t="inlineStr">
        <is>
          <t>PRV1050</t>
        </is>
      </c>
      <c r="B51" t="inlineStr">
        <is>
          <t>Wei</t>
        </is>
      </c>
      <c r="C51" t="inlineStr">
        <is>
          <t>Hansen</t>
        </is>
      </c>
      <c r="D51" t="inlineStr">
        <is>
          <t>MD</t>
        </is>
      </c>
      <c r="E51" t="inlineStr">
        <is>
          <t>Hospital Medicine</t>
        </is>
      </c>
      <c r="F51" t="inlineStr">
        <is>
          <t>D310</t>
        </is>
      </c>
      <c r="G51" t="inlineStr">
        <is>
          <t>F03</t>
        </is>
      </c>
    </row>
    <row r="52">
      <c r="A52" t="inlineStr">
        <is>
          <t>PRV1051</t>
        </is>
      </c>
      <c r="B52" t="inlineStr">
        <is>
          <t>Frank</t>
        </is>
      </c>
      <c r="C52" t="inlineStr">
        <is>
          <t>Peters</t>
        </is>
      </c>
      <c r="D52" t="inlineStr">
        <is>
          <t>MD</t>
        </is>
      </c>
      <c r="E52" t="inlineStr">
        <is>
          <t>Hospital Medicine</t>
        </is>
      </c>
      <c r="F52" t="inlineStr">
        <is>
          <t>D310</t>
        </is>
      </c>
      <c r="G52" t="inlineStr">
        <is>
          <t>F03</t>
        </is>
      </c>
    </row>
    <row r="53">
      <c r="A53" t="inlineStr">
        <is>
          <t>PRV1052</t>
        </is>
      </c>
      <c r="B53" t="inlineStr">
        <is>
          <t>Harper</t>
        </is>
      </c>
      <c r="C53" t="inlineStr">
        <is>
          <t>Reyes</t>
        </is>
      </c>
      <c r="D53" t="inlineStr">
        <is>
          <t>MD</t>
        </is>
      </c>
      <c r="E53" t="inlineStr">
        <is>
          <t>Hospital Medicine</t>
        </is>
      </c>
      <c r="F53" t="inlineStr">
        <is>
          <t>D310</t>
        </is>
      </c>
      <c r="G53" t="inlineStr">
        <is>
          <t>F03</t>
        </is>
      </c>
    </row>
    <row r="54">
      <c r="A54" t="inlineStr">
        <is>
          <t>PRV1053</t>
        </is>
      </c>
      <c r="B54" t="inlineStr">
        <is>
          <t>Tyler</t>
        </is>
      </c>
      <c r="C54" t="inlineStr">
        <is>
          <t>Payne</t>
        </is>
      </c>
      <c r="D54" t="inlineStr">
        <is>
          <t>MD</t>
        </is>
      </c>
      <c r="E54" t="inlineStr">
        <is>
          <t>Hospital Medicine</t>
        </is>
      </c>
      <c r="F54" t="inlineStr">
        <is>
          <t>D310</t>
        </is>
      </c>
      <c r="G54" t="inlineStr">
        <is>
          <t>F03</t>
        </is>
      </c>
    </row>
    <row r="55">
      <c r="A55" t="inlineStr">
        <is>
          <t>PRV1054</t>
        </is>
      </c>
      <c r="B55" t="inlineStr">
        <is>
          <t>Jonathan</t>
        </is>
      </c>
      <c r="C55" t="inlineStr">
        <is>
          <t>Taylor</t>
        </is>
      </c>
      <c r="D55" t="inlineStr">
        <is>
          <t>MD</t>
        </is>
      </c>
      <c r="E55" t="inlineStr">
        <is>
          <t>Cardiology</t>
        </is>
      </c>
      <c r="F55" t="inlineStr">
        <is>
          <t>D120</t>
        </is>
      </c>
      <c r="G55" t="inlineStr">
        <is>
          <t>F01</t>
        </is>
      </c>
    </row>
    <row r="56">
      <c r="A56" t="inlineStr">
        <is>
          <t>PRV1055</t>
        </is>
      </c>
      <c r="B56" t="inlineStr">
        <is>
          <t>Michelle</t>
        </is>
      </c>
      <c r="C56" t="inlineStr">
        <is>
          <t>Guzman</t>
        </is>
      </c>
      <c r="D56" t="inlineStr">
        <is>
          <t>MD</t>
        </is>
      </c>
      <c r="E56" t="inlineStr">
        <is>
          <t>Cardiology</t>
        </is>
      </c>
      <c r="F56" t="inlineStr">
        <is>
          <t>D120</t>
        </is>
      </c>
      <c r="G56" t="inlineStr">
        <is>
          <t>F01</t>
        </is>
      </c>
    </row>
    <row r="57">
      <c r="A57" t="inlineStr">
        <is>
          <t>PRV1056</t>
        </is>
      </c>
      <c r="B57" t="inlineStr">
        <is>
          <t>Shirley</t>
        </is>
      </c>
      <c r="C57" t="inlineStr">
        <is>
          <t>Boyd</t>
        </is>
      </c>
      <c r="D57" t="inlineStr">
        <is>
          <t>MD</t>
        </is>
      </c>
      <c r="E57" t="inlineStr">
        <is>
          <t>Cardiology</t>
        </is>
      </c>
      <c r="F57" t="inlineStr">
        <is>
          <t>D120</t>
        </is>
      </c>
      <c r="G57" t="inlineStr">
        <is>
          <t>F01</t>
        </is>
      </c>
    </row>
    <row r="58">
      <c r="A58" t="inlineStr">
        <is>
          <t>PRV1057</t>
        </is>
      </c>
      <c r="B58" t="inlineStr">
        <is>
          <t>Charles</t>
        </is>
      </c>
      <c r="C58" t="inlineStr">
        <is>
          <t>Evans</t>
        </is>
      </c>
      <c r="D58" t="inlineStr">
        <is>
          <t>MD</t>
        </is>
      </c>
      <c r="E58" t="inlineStr">
        <is>
          <t>Cardiology</t>
        </is>
      </c>
      <c r="F58" t="inlineStr">
        <is>
          <t>D120</t>
        </is>
      </c>
      <c r="G58" t="inlineStr">
        <is>
          <t>F01</t>
        </is>
      </c>
    </row>
    <row r="59">
      <c r="A59" t="inlineStr">
        <is>
          <t>PRV1058</t>
        </is>
      </c>
      <c r="B59" t="inlineStr">
        <is>
          <t>Edward</t>
        </is>
      </c>
      <c r="C59" t="inlineStr">
        <is>
          <t>Gonzales</t>
        </is>
      </c>
      <c r="D59" t="inlineStr">
        <is>
          <t>MD</t>
        </is>
      </c>
      <c r="E59" t="inlineStr">
        <is>
          <t>Cardiology</t>
        </is>
      </c>
      <c r="F59" t="inlineStr">
        <is>
          <t>D320</t>
        </is>
      </c>
      <c r="G59" t="inlineStr">
        <is>
          <t>F03</t>
        </is>
      </c>
    </row>
    <row r="60">
      <c r="A60" t="inlineStr">
        <is>
          <t>PRV1059</t>
        </is>
      </c>
      <c r="B60" t="inlineStr">
        <is>
          <t>Leila</t>
        </is>
      </c>
      <c r="C60" t="inlineStr">
        <is>
          <t>Vazquez</t>
        </is>
      </c>
      <c r="D60" t="inlineStr">
        <is>
          <t>MD</t>
        </is>
      </c>
      <c r="E60" t="inlineStr">
        <is>
          <t>Cardiology</t>
        </is>
      </c>
      <c r="F60" t="inlineStr">
        <is>
          <t>D320</t>
        </is>
      </c>
      <c r="G60" t="inlineStr">
        <is>
          <t>F03</t>
        </is>
      </c>
    </row>
    <row r="61">
      <c r="A61" t="inlineStr">
        <is>
          <t>PRV1060</t>
        </is>
      </c>
      <c r="B61" t="inlineStr">
        <is>
          <t>Edward</t>
        </is>
      </c>
      <c r="C61" t="inlineStr">
        <is>
          <t>Brooks</t>
        </is>
      </c>
      <c r="D61" t="inlineStr">
        <is>
          <t>MD</t>
        </is>
      </c>
      <c r="E61" t="inlineStr">
        <is>
          <t>Cardiology</t>
        </is>
      </c>
      <c r="F61" t="inlineStr">
        <is>
          <t>D410</t>
        </is>
      </c>
      <c r="G61" t="inlineStr">
        <is>
          <t>F04</t>
        </is>
      </c>
    </row>
    <row r="62">
      <c r="A62" t="inlineStr">
        <is>
          <t>PRV1061</t>
        </is>
      </c>
      <c r="B62" t="inlineStr">
        <is>
          <t>Mateo</t>
        </is>
      </c>
      <c r="C62" t="inlineStr">
        <is>
          <t>Gomez</t>
        </is>
      </c>
      <c r="D62" t="inlineStr">
        <is>
          <t>MD</t>
        </is>
      </c>
      <c r="E62" t="inlineStr">
        <is>
          <t>Cardiology</t>
        </is>
      </c>
      <c r="F62" t="inlineStr">
        <is>
          <t>D410</t>
        </is>
      </c>
      <c r="G62" t="inlineStr">
        <is>
          <t>F04</t>
        </is>
      </c>
    </row>
    <row r="63">
      <c r="A63" t="inlineStr">
        <is>
          <t>PRV1062</t>
        </is>
      </c>
      <c r="B63" t="inlineStr">
        <is>
          <t>Brittany</t>
        </is>
      </c>
      <c r="C63" t="inlineStr">
        <is>
          <t>Jenkins</t>
        </is>
      </c>
      <c r="D63" t="inlineStr">
        <is>
          <t>DO</t>
        </is>
      </c>
      <c r="E63" t="inlineStr">
        <is>
          <t>Cardiology</t>
        </is>
      </c>
      <c r="F63" t="inlineStr">
        <is>
          <t>D410</t>
        </is>
      </c>
      <c r="G63" t="inlineStr">
        <is>
          <t>F04</t>
        </is>
      </c>
    </row>
    <row r="64">
      <c r="A64" t="inlineStr">
        <is>
          <t>PRV1063</t>
        </is>
      </c>
      <c r="B64" t="inlineStr">
        <is>
          <t>Grace</t>
        </is>
      </c>
      <c r="C64" t="inlineStr">
        <is>
          <t>Allen</t>
        </is>
      </c>
      <c r="D64" t="inlineStr">
        <is>
          <t>MD</t>
        </is>
      </c>
      <c r="E64" t="inlineStr">
        <is>
          <t>Pulmonary &amp; Critical Care</t>
        </is>
      </c>
      <c r="F64" t="inlineStr">
        <is>
          <t>D130</t>
        </is>
      </c>
      <c r="G64" t="inlineStr">
        <is>
          <t>F01</t>
        </is>
      </c>
    </row>
    <row r="65">
      <c r="A65" t="inlineStr">
        <is>
          <t>PRV1064</t>
        </is>
      </c>
      <c r="B65" t="inlineStr">
        <is>
          <t>Bruce</t>
        </is>
      </c>
      <c r="C65" t="inlineStr">
        <is>
          <t>Hawkins</t>
        </is>
      </c>
      <c r="D65" t="inlineStr">
        <is>
          <t>MD</t>
        </is>
      </c>
      <c r="E65" t="inlineStr">
        <is>
          <t>Pulmonary &amp; Critical Care</t>
        </is>
      </c>
      <c r="F65" t="inlineStr">
        <is>
          <t>D130</t>
        </is>
      </c>
      <c r="G65" t="inlineStr">
        <is>
          <t>F01</t>
        </is>
      </c>
    </row>
    <row r="66">
      <c r="A66" t="inlineStr">
        <is>
          <t>PRV1065</t>
        </is>
      </c>
      <c r="B66" t="inlineStr">
        <is>
          <t>Janet</t>
        </is>
      </c>
      <c r="C66" t="inlineStr">
        <is>
          <t>Bryant</t>
        </is>
      </c>
      <c r="D66" t="inlineStr">
        <is>
          <t>DO</t>
        </is>
      </c>
      <c r="E66" t="inlineStr">
        <is>
          <t>Pulmonary &amp; Critical Care</t>
        </is>
      </c>
      <c r="F66" t="inlineStr">
        <is>
          <t>D130</t>
        </is>
      </c>
      <c r="G66" t="inlineStr">
        <is>
          <t>F01</t>
        </is>
      </c>
    </row>
    <row r="67">
      <c r="A67" t="inlineStr">
        <is>
          <t>PRV1066</t>
        </is>
      </c>
      <c r="B67" t="inlineStr">
        <is>
          <t>Adam</t>
        </is>
      </c>
      <c r="C67" t="inlineStr">
        <is>
          <t>Diaz</t>
        </is>
      </c>
      <c r="D67" t="inlineStr">
        <is>
          <t>MD</t>
        </is>
      </c>
      <c r="E67" t="inlineStr">
        <is>
          <t>Pulmonary &amp; Critical Care</t>
        </is>
      </c>
      <c r="F67" t="inlineStr">
        <is>
          <t>D130</t>
        </is>
      </c>
      <c r="G67" t="inlineStr">
        <is>
          <t>F01</t>
        </is>
      </c>
    </row>
    <row r="68">
      <c r="A68" t="inlineStr">
        <is>
          <t>PRV1067</t>
        </is>
      </c>
      <c r="B68" t="inlineStr">
        <is>
          <t>Leila</t>
        </is>
      </c>
      <c r="C68" t="inlineStr">
        <is>
          <t>Hamilton</t>
        </is>
      </c>
      <c r="D68" t="inlineStr">
        <is>
          <t>DO</t>
        </is>
      </c>
      <c r="E68" t="inlineStr">
        <is>
          <t>Pulmonary &amp; Critical Care</t>
        </is>
      </c>
      <c r="F68" t="inlineStr">
        <is>
          <t>D130</t>
        </is>
      </c>
      <c r="G68" t="inlineStr">
        <is>
          <t>F01</t>
        </is>
      </c>
    </row>
    <row r="69">
      <c r="A69" t="inlineStr">
        <is>
          <t>PRV1068</t>
        </is>
      </c>
      <c r="B69" t="inlineStr">
        <is>
          <t>Donald</t>
        </is>
      </c>
      <c r="C69" t="inlineStr">
        <is>
          <t>Gutierrez</t>
        </is>
      </c>
      <c r="D69" t="inlineStr">
        <is>
          <t>MD</t>
        </is>
      </c>
      <c r="E69" t="inlineStr">
        <is>
          <t>Pulmonary &amp; Critical Care</t>
        </is>
      </c>
      <c r="F69" t="inlineStr">
        <is>
          <t>D230</t>
        </is>
      </c>
      <c r="G69" t="inlineStr">
        <is>
          <t>F02</t>
        </is>
      </c>
    </row>
    <row r="70">
      <c r="A70" t="inlineStr">
        <is>
          <t>PRV1069</t>
        </is>
      </c>
      <c r="B70" t="inlineStr">
        <is>
          <t>Frank</t>
        </is>
      </c>
      <c r="C70" t="inlineStr">
        <is>
          <t>Wallace</t>
        </is>
      </c>
      <c r="D70" t="inlineStr">
        <is>
          <t>DO</t>
        </is>
      </c>
      <c r="E70" t="inlineStr">
        <is>
          <t>Pulmonary &amp; Critical Care</t>
        </is>
      </c>
      <c r="F70" t="inlineStr">
        <is>
          <t>D230</t>
        </is>
      </c>
      <c r="G70" t="inlineStr">
        <is>
          <t>F02</t>
        </is>
      </c>
    </row>
    <row r="71">
      <c r="A71" t="inlineStr">
        <is>
          <t>PRV1070</t>
        </is>
      </c>
      <c r="B71" t="inlineStr">
        <is>
          <t>Leila</t>
        </is>
      </c>
      <c r="C71" t="inlineStr">
        <is>
          <t>Abbott</t>
        </is>
      </c>
      <c r="D71" t="inlineStr">
        <is>
          <t>MD</t>
        </is>
      </c>
      <c r="E71" t="inlineStr">
        <is>
          <t>Pulmonary &amp; Critical Care</t>
        </is>
      </c>
      <c r="F71" t="inlineStr">
        <is>
          <t>D330</t>
        </is>
      </c>
      <c r="G71" t="inlineStr">
        <is>
          <t>F03</t>
        </is>
      </c>
    </row>
    <row r="72">
      <c r="A72" t="inlineStr">
        <is>
          <t>PRV1071</t>
        </is>
      </c>
      <c r="B72" t="inlineStr">
        <is>
          <t>Danielle</t>
        </is>
      </c>
      <c r="C72" t="inlineStr">
        <is>
          <t>White</t>
        </is>
      </c>
      <c r="D72" t="inlineStr">
        <is>
          <t>MD</t>
        </is>
      </c>
      <c r="E72" t="inlineStr">
        <is>
          <t>Pulmonary &amp; Critical Care</t>
        </is>
      </c>
      <c r="F72" t="inlineStr">
        <is>
          <t>D330</t>
        </is>
      </c>
      <c r="G72" t="inlineStr">
        <is>
          <t>F03</t>
        </is>
      </c>
    </row>
    <row r="73">
      <c r="A73" t="inlineStr">
        <is>
          <t>PRV1072</t>
        </is>
      </c>
      <c r="B73" t="inlineStr">
        <is>
          <t>Beverly</t>
        </is>
      </c>
      <c r="C73" t="inlineStr">
        <is>
          <t>Guzman</t>
        </is>
      </c>
      <c r="D73" t="inlineStr">
        <is>
          <t>DO</t>
        </is>
      </c>
      <c r="E73" t="inlineStr">
        <is>
          <t>Pulmonary &amp; Critical Care</t>
        </is>
      </c>
      <c r="F73" t="inlineStr">
        <is>
          <t>D330</t>
        </is>
      </c>
      <c r="G73" t="inlineStr">
        <is>
          <t>F03</t>
        </is>
      </c>
    </row>
    <row r="74">
      <c r="A74" t="inlineStr">
        <is>
          <t>PRV1073</t>
        </is>
      </c>
      <c r="B74" t="inlineStr">
        <is>
          <t>Pamela</t>
        </is>
      </c>
      <c r="C74" t="inlineStr">
        <is>
          <t>Woods</t>
        </is>
      </c>
      <c r="D74" t="inlineStr">
        <is>
          <t>DO</t>
        </is>
      </c>
      <c r="E74" t="inlineStr">
        <is>
          <t>Orthopedic Surgery</t>
        </is>
      </c>
      <c r="F74" t="inlineStr">
        <is>
          <t>D140</t>
        </is>
      </c>
      <c r="G74" t="inlineStr">
        <is>
          <t>F01</t>
        </is>
      </c>
    </row>
    <row r="75">
      <c r="A75" t="inlineStr">
        <is>
          <t>PRV1074</t>
        </is>
      </c>
      <c r="B75" t="inlineStr">
        <is>
          <t>Grace</t>
        </is>
      </c>
      <c r="C75" t="inlineStr">
        <is>
          <t>Santos</t>
        </is>
      </c>
      <c r="D75" t="inlineStr">
        <is>
          <t>DO</t>
        </is>
      </c>
      <c r="E75" t="inlineStr">
        <is>
          <t>Orthopedic Surgery</t>
        </is>
      </c>
      <c r="F75" t="inlineStr">
        <is>
          <t>D140</t>
        </is>
      </c>
      <c r="G75" t="inlineStr">
        <is>
          <t>F01</t>
        </is>
      </c>
    </row>
    <row r="76">
      <c r="A76" t="inlineStr">
        <is>
          <t>PRV1075</t>
        </is>
      </c>
      <c r="B76" t="inlineStr">
        <is>
          <t>Leila</t>
        </is>
      </c>
      <c r="C76" t="inlineStr">
        <is>
          <t>King</t>
        </is>
      </c>
      <c r="D76" t="inlineStr">
        <is>
          <t>DO</t>
        </is>
      </c>
      <c r="E76" t="inlineStr">
        <is>
          <t>Orthopedic Surgery</t>
        </is>
      </c>
      <c r="F76" t="inlineStr">
        <is>
          <t>D140</t>
        </is>
      </c>
      <c r="G76" t="inlineStr">
        <is>
          <t>F01</t>
        </is>
      </c>
    </row>
    <row r="77">
      <c r="A77" t="inlineStr">
        <is>
          <t>PRV1076</t>
        </is>
      </c>
      <c r="B77" t="inlineStr">
        <is>
          <t>Anthony</t>
        </is>
      </c>
      <c r="C77" t="inlineStr">
        <is>
          <t>Richards</t>
        </is>
      </c>
      <c r="D77" t="inlineStr">
        <is>
          <t>DO</t>
        </is>
      </c>
      <c r="E77" t="inlineStr">
        <is>
          <t>Orthopedic Surgery</t>
        </is>
      </c>
      <c r="F77" t="inlineStr">
        <is>
          <t>D140</t>
        </is>
      </c>
      <c r="G77" t="inlineStr">
        <is>
          <t>F01</t>
        </is>
      </c>
    </row>
    <row r="78">
      <c r="A78" t="inlineStr">
        <is>
          <t>PRV1077</t>
        </is>
      </c>
      <c r="B78" t="inlineStr">
        <is>
          <t>Brittany</t>
        </is>
      </c>
      <c r="C78" t="inlineStr">
        <is>
          <t>Yilmaz</t>
        </is>
      </c>
      <c r="D78" t="inlineStr">
        <is>
          <t>MD</t>
        </is>
      </c>
      <c r="E78" t="inlineStr">
        <is>
          <t>Orthopedic Surgery</t>
        </is>
      </c>
      <c r="F78" t="inlineStr">
        <is>
          <t>D340</t>
        </is>
      </c>
      <c r="G78" t="inlineStr">
        <is>
          <t>F03</t>
        </is>
      </c>
    </row>
    <row r="79">
      <c r="A79" t="inlineStr">
        <is>
          <t>PRV1078</t>
        </is>
      </c>
      <c r="B79" t="inlineStr">
        <is>
          <t>Billy</t>
        </is>
      </c>
      <c r="C79" t="inlineStr">
        <is>
          <t>Hudson</t>
        </is>
      </c>
      <c r="D79" t="inlineStr">
        <is>
          <t>MD</t>
        </is>
      </c>
      <c r="E79" t="inlineStr">
        <is>
          <t>Orthopedic Surgery</t>
        </is>
      </c>
      <c r="F79" t="inlineStr">
        <is>
          <t>D340</t>
        </is>
      </c>
      <c r="G79" t="inlineStr">
        <is>
          <t>F03</t>
        </is>
      </c>
    </row>
    <row r="80">
      <c r="A80" t="inlineStr">
        <is>
          <t>PRV1079</t>
        </is>
      </c>
      <c r="B80" t="inlineStr">
        <is>
          <t>Carlos</t>
        </is>
      </c>
      <c r="C80" t="inlineStr">
        <is>
          <t>Wagner</t>
        </is>
      </c>
      <c r="D80" t="inlineStr">
        <is>
          <t>MD</t>
        </is>
      </c>
      <c r="E80" t="inlineStr">
        <is>
          <t>Orthopedic Surgery</t>
        </is>
      </c>
      <c r="F80" t="inlineStr">
        <is>
          <t>D420</t>
        </is>
      </c>
      <c r="G80" t="inlineStr">
        <is>
          <t>F04</t>
        </is>
      </c>
    </row>
    <row r="81">
      <c r="A81" t="inlineStr">
        <is>
          <t>PRV1080</t>
        </is>
      </c>
      <c r="B81" t="inlineStr">
        <is>
          <t>Kyle</t>
        </is>
      </c>
      <c r="C81" t="inlineStr">
        <is>
          <t>Hernandez</t>
        </is>
      </c>
      <c r="D81" t="inlineStr">
        <is>
          <t>MD</t>
        </is>
      </c>
      <c r="E81" t="inlineStr">
        <is>
          <t>Orthopedic Surgery</t>
        </is>
      </c>
      <c r="F81" t="inlineStr">
        <is>
          <t>D420</t>
        </is>
      </c>
      <c r="G81" t="inlineStr">
        <is>
          <t>F04</t>
        </is>
      </c>
    </row>
    <row r="82">
      <c r="A82" t="inlineStr">
        <is>
          <t>PRV1081</t>
        </is>
      </c>
      <c r="B82" t="inlineStr">
        <is>
          <t>Jonathan</t>
        </is>
      </c>
      <c r="C82" t="inlineStr">
        <is>
          <t>Lewis</t>
        </is>
      </c>
      <c r="D82" t="inlineStr">
        <is>
          <t>PA</t>
        </is>
      </c>
      <c r="E82" t="inlineStr">
        <is>
          <t>Orthopedic Surgery</t>
        </is>
      </c>
      <c r="F82" t="inlineStr">
        <is>
          <t>D420</t>
        </is>
      </c>
      <c r="G82" t="inlineStr">
        <is>
          <t>F04</t>
        </is>
      </c>
    </row>
    <row r="83">
      <c r="A83" t="inlineStr">
        <is>
          <t>PRV1082</t>
        </is>
      </c>
      <c r="B83" t="inlineStr">
        <is>
          <t>Lori</t>
        </is>
      </c>
      <c r="C83" t="inlineStr">
        <is>
          <t>Cox</t>
        </is>
      </c>
      <c r="D83" t="inlineStr">
        <is>
          <t>PA</t>
        </is>
      </c>
      <c r="E83" t="inlineStr">
        <is>
          <t>Orthopedic Surgery</t>
        </is>
      </c>
      <c r="F83" t="inlineStr">
        <is>
          <t>D420</t>
        </is>
      </c>
      <c r="G83" t="inlineStr">
        <is>
          <t>F04</t>
        </is>
      </c>
    </row>
    <row r="84">
      <c r="A84" t="inlineStr">
        <is>
          <t>PRV1083</t>
        </is>
      </c>
      <c r="B84" t="inlineStr">
        <is>
          <t>Kathleen</t>
        </is>
      </c>
      <c r="C84" t="inlineStr">
        <is>
          <t>White</t>
        </is>
      </c>
      <c r="D84" t="inlineStr">
        <is>
          <t>MD</t>
        </is>
      </c>
      <c r="E84" t="inlineStr">
        <is>
          <t>General Surgery</t>
        </is>
      </c>
      <c r="F84" t="inlineStr">
        <is>
          <t>D196</t>
        </is>
      </c>
      <c r="G84" t="inlineStr">
        <is>
          <t>F01</t>
        </is>
      </c>
    </row>
    <row r="85">
      <c r="A85" t="inlineStr">
        <is>
          <t>PRV1084</t>
        </is>
      </c>
      <c r="B85" t="inlineStr">
        <is>
          <t>Teresa</t>
        </is>
      </c>
      <c r="C85" t="inlineStr">
        <is>
          <t>Lopez</t>
        </is>
      </c>
      <c r="D85" t="inlineStr">
        <is>
          <t>MD</t>
        </is>
      </c>
      <c r="E85" t="inlineStr">
        <is>
          <t>General Surgery</t>
        </is>
      </c>
      <c r="F85" t="inlineStr">
        <is>
          <t>D196</t>
        </is>
      </c>
      <c r="G85" t="inlineStr">
        <is>
          <t>F01</t>
        </is>
      </c>
    </row>
    <row r="86">
      <c r="A86" t="inlineStr">
        <is>
          <t>PRV1085</t>
        </is>
      </c>
      <c r="B86" t="inlineStr">
        <is>
          <t>Jordan</t>
        </is>
      </c>
      <c r="C86" t="inlineStr">
        <is>
          <t>Ramirez</t>
        </is>
      </c>
      <c r="D86" t="inlineStr">
        <is>
          <t>MD</t>
        </is>
      </c>
      <c r="E86" t="inlineStr">
        <is>
          <t>General Surgery</t>
        </is>
      </c>
      <c r="F86" t="inlineStr">
        <is>
          <t>D196</t>
        </is>
      </c>
      <c r="G86" t="inlineStr">
        <is>
          <t>F01</t>
        </is>
      </c>
    </row>
    <row r="87">
      <c r="A87" t="inlineStr">
        <is>
          <t>PRV1086</t>
        </is>
      </c>
      <c r="B87" t="inlineStr">
        <is>
          <t>David</t>
        </is>
      </c>
      <c r="C87" t="inlineStr">
        <is>
          <t>Haddad</t>
        </is>
      </c>
      <c r="D87" t="inlineStr">
        <is>
          <t>MD</t>
        </is>
      </c>
      <c r="E87" t="inlineStr">
        <is>
          <t>General Surgery</t>
        </is>
      </c>
      <c r="F87" t="inlineStr">
        <is>
          <t>D196</t>
        </is>
      </c>
      <c r="G87" t="inlineStr">
        <is>
          <t>F01</t>
        </is>
      </c>
    </row>
    <row r="88">
      <c r="A88" t="inlineStr">
        <is>
          <t>PRV1087</t>
        </is>
      </c>
      <c r="B88" t="inlineStr">
        <is>
          <t>Jeffrey</t>
        </is>
      </c>
      <c r="C88" t="inlineStr">
        <is>
          <t>Kim</t>
        </is>
      </c>
      <c r="D88" t="inlineStr">
        <is>
          <t>DO</t>
        </is>
      </c>
      <c r="E88" t="inlineStr">
        <is>
          <t>General Surgery</t>
        </is>
      </c>
      <c r="F88" t="inlineStr">
        <is>
          <t>D196</t>
        </is>
      </c>
      <c r="G88" t="inlineStr">
        <is>
          <t>F01</t>
        </is>
      </c>
    </row>
    <row r="89">
      <c r="A89" t="inlineStr">
        <is>
          <t>PRV1088</t>
        </is>
      </c>
      <c r="B89" t="inlineStr">
        <is>
          <t>Stephen</t>
        </is>
      </c>
      <c r="C89" t="inlineStr">
        <is>
          <t>Perkins</t>
        </is>
      </c>
      <c r="D89" t="inlineStr">
        <is>
          <t>MD</t>
        </is>
      </c>
      <c r="E89" t="inlineStr">
        <is>
          <t>General Surgery</t>
        </is>
      </c>
      <c r="F89" t="inlineStr">
        <is>
          <t>D210</t>
        </is>
      </c>
      <c r="G89" t="inlineStr">
        <is>
          <t>F02</t>
        </is>
      </c>
    </row>
    <row r="90">
      <c r="A90" t="inlineStr">
        <is>
          <t>PRV1089</t>
        </is>
      </c>
      <c r="B90" t="inlineStr">
        <is>
          <t>Dylan</t>
        </is>
      </c>
      <c r="C90" t="inlineStr">
        <is>
          <t>Lane</t>
        </is>
      </c>
      <c r="D90" t="inlineStr">
        <is>
          <t>DO</t>
        </is>
      </c>
      <c r="E90" t="inlineStr">
        <is>
          <t>General Surgery</t>
        </is>
      </c>
      <c r="F90" t="inlineStr">
        <is>
          <t>D310</t>
        </is>
      </c>
      <c r="G90" t="inlineStr">
        <is>
          <t>F03</t>
        </is>
      </c>
    </row>
    <row r="91">
      <c r="A91" t="inlineStr">
        <is>
          <t>PRV1090</t>
        </is>
      </c>
      <c r="B91" t="inlineStr">
        <is>
          <t>Carol</t>
        </is>
      </c>
      <c r="C91" t="inlineStr">
        <is>
          <t>Price</t>
        </is>
      </c>
      <c r="D91" t="inlineStr">
        <is>
          <t>MD</t>
        </is>
      </c>
      <c r="E91" t="inlineStr">
        <is>
          <t>General Surgery</t>
        </is>
      </c>
      <c r="F91" t="inlineStr">
        <is>
          <t>D310</t>
        </is>
      </c>
      <c r="G91" t="inlineStr">
        <is>
          <t>F03</t>
        </is>
      </c>
    </row>
    <row r="92">
      <c r="A92" t="inlineStr">
        <is>
          <t>PRV1091</t>
        </is>
      </c>
      <c r="B92" t="inlineStr">
        <is>
          <t>Frank</t>
        </is>
      </c>
      <c r="C92" t="inlineStr">
        <is>
          <t>Watson</t>
        </is>
      </c>
      <c r="D92" t="inlineStr">
        <is>
          <t>MD</t>
        </is>
      </c>
      <c r="E92" t="inlineStr">
        <is>
          <t>Obstetrics &amp; Gynecology</t>
        </is>
      </c>
      <c r="F92" t="inlineStr">
        <is>
          <t>D170</t>
        </is>
      </c>
      <c r="G92" t="inlineStr">
        <is>
          <t>F01</t>
        </is>
      </c>
    </row>
    <row r="93">
      <c r="A93" t="inlineStr">
        <is>
          <t>PRV1092</t>
        </is>
      </c>
      <c r="B93" t="inlineStr">
        <is>
          <t>Nicole</t>
        </is>
      </c>
      <c r="C93" t="inlineStr">
        <is>
          <t>Bradley</t>
        </is>
      </c>
      <c r="D93" t="inlineStr">
        <is>
          <t>MD</t>
        </is>
      </c>
      <c r="E93" t="inlineStr">
        <is>
          <t>Obstetrics &amp; Gynecology</t>
        </is>
      </c>
      <c r="F93" t="inlineStr">
        <is>
          <t>D170</t>
        </is>
      </c>
      <c r="G93" t="inlineStr">
        <is>
          <t>F01</t>
        </is>
      </c>
    </row>
    <row r="94">
      <c r="A94" t="inlineStr">
        <is>
          <t>PRV1093</t>
        </is>
      </c>
      <c r="B94" t="inlineStr">
        <is>
          <t>Pamela</t>
        </is>
      </c>
      <c r="C94" t="inlineStr">
        <is>
          <t>James</t>
        </is>
      </c>
      <c r="D94" t="inlineStr">
        <is>
          <t>DO</t>
        </is>
      </c>
      <c r="E94" t="inlineStr">
        <is>
          <t>Obstetrics &amp; Gynecology</t>
        </is>
      </c>
      <c r="F94" t="inlineStr">
        <is>
          <t>D170</t>
        </is>
      </c>
      <c r="G94" t="inlineStr">
        <is>
          <t>F01</t>
        </is>
      </c>
    </row>
    <row r="95">
      <c r="A95" t="inlineStr">
        <is>
          <t>PRV1094</t>
        </is>
      </c>
      <c r="B95" t="inlineStr">
        <is>
          <t>Andrea</t>
        </is>
      </c>
      <c r="C95" t="inlineStr">
        <is>
          <t>Hill</t>
        </is>
      </c>
      <c r="D95" t="inlineStr">
        <is>
          <t>DO</t>
        </is>
      </c>
      <c r="E95" t="inlineStr">
        <is>
          <t>Obstetrics &amp; Gynecology</t>
        </is>
      </c>
      <c r="F95" t="inlineStr">
        <is>
          <t>D170</t>
        </is>
      </c>
      <c r="G95" t="inlineStr">
        <is>
          <t>F01</t>
        </is>
      </c>
    </row>
    <row r="96">
      <c r="A96" t="inlineStr">
        <is>
          <t>PRV1095</t>
        </is>
      </c>
      <c r="B96" t="inlineStr">
        <is>
          <t>Lauren</t>
        </is>
      </c>
      <c r="C96" t="inlineStr">
        <is>
          <t>Taylor</t>
        </is>
      </c>
      <c r="D96" t="inlineStr">
        <is>
          <t>MD</t>
        </is>
      </c>
      <c r="E96" t="inlineStr">
        <is>
          <t>Obstetrics &amp; Gynecology</t>
        </is>
      </c>
      <c r="F96" t="inlineStr">
        <is>
          <t>D170</t>
        </is>
      </c>
      <c r="G96" t="inlineStr">
        <is>
          <t>F01</t>
        </is>
      </c>
    </row>
    <row r="97">
      <c r="A97" t="inlineStr">
        <is>
          <t>PRV1096</t>
        </is>
      </c>
      <c r="B97" t="inlineStr">
        <is>
          <t>Marie</t>
        </is>
      </c>
      <c r="C97" t="inlineStr">
        <is>
          <t>Arnold</t>
        </is>
      </c>
      <c r="D97" t="inlineStr">
        <is>
          <t>CNM</t>
        </is>
      </c>
      <c r="E97" t="inlineStr">
        <is>
          <t>Obstetrics &amp; Gynecology</t>
        </is>
      </c>
      <c r="F97" t="inlineStr">
        <is>
          <t>D170</t>
        </is>
      </c>
      <c r="G97" t="inlineStr">
        <is>
          <t>F01</t>
        </is>
      </c>
    </row>
    <row r="98">
      <c r="A98" t="inlineStr">
        <is>
          <t>PRV1097</t>
        </is>
      </c>
      <c r="B98" t="inlineStr">
        <is>
          <t>Sophia</t>
        </is>
      </c>
      <c r="C98" t="inlineStr">
        <is>
          <t>Phillips</t>
        </is>
      </c>
      <c r="D98" t="inlineStr">
        <is>
          <t>CNM</t>
        </is>
      </c>
      <c r="E98" t="inlineStr">
        <is>
          <t>Obstetrics &amp; Gynecology</t>
        </is>
      </c>
      <c r="F98" t="inlineStr">
        <is>
          <t>D170</t>
        </is>
      </c>
      <c r="G98" t="inlineStr">
        <is>
          <t>F01</t>
        </is>
      </c>
    </row>
    <row r="99">
      <c r="A99" t="inlineStr">
        <is>
          <t>PRV1098</t>
        </is>
      </c>
      <c r="B99" t="inlineStr">
        <is>
          <t>Frances</t>
        </is>
      </c>
      <c r="C99" t="inlineStr">
        <is>
          <t>Rivera</t>
        </is>
      </c>
      <c r="D99" t="inlineStr">
        <is>
          <t>MD</t>
        </is>
      </c>
      <c r="E99" t="inlineStr">
        <is>
          <t>Obstetrics &amp; Gynecology</t>
        </is>
      </c>
      <c r="F99" t="inlineStr">
        <is>
          <t>D270</t>
        </is>
      </c>
      <c r="G99" t="inlineStr">
        <is>
          <t>F02</t>
        </is>
      </c>
    </row>
    <row r="100">
      <c r="A100" t="inlineStr">
        <is>
          <t>PRV1099</t>
        </is>
      </c>
      <c r="B100" t="inlineStr">
        <is>
          <t>Jeremy</t>
        </is>
      </c>
      <c r="C100" t="inlineStr">
        <is>
          <t>Gardner</t>
        </is>
      </c>
      <c r="D100" t="inlineStr">
        <is>
          <t>MD</t>
        </is>
      </c>
      <c r="E100" t="inlineStr">
        <is>
          <t>Obstetrics &amp; Gynecology</t>
        </is>
      </c>
      <c r="F100" t="inlineStr">
        <is>
          <t>D270</t>
        </is>
      </c>
      <c r="G100" t="inlineStr">
        <is>
          <t>F02</t>
        </is>
      </c>
    </row>
    <row r="101">
      <c r="A101" t="inlineStr">
        <is>
          <t>PRV1100</t>
        </is>
      </c>
      <c r="B101" t="inlineStr">
        <is>
          <t>Michael</t>
        </is>
      </c>
      <c r="C101" t="inlineStr">
        <is>
          <t>Soto</t>
        </is>
      </c>
      <c r="D101" t="inlineStr">
        <is>
          <t>MD</t>
        </is>
      </c>
      <c r="E101" t="inlineStr">
        <is>
          <t>Pediatrics</t>
        </is>
      </c>
      <c r="F101" t="inlineStr">
        <is>
          <t>D180</t>
        </is>
      </c>
      <c r="G101" t="inlineStr">
        <is>
          <t>F01</t>
        </is>
      </c>
    </row>
    <row r="102">
      <c r="A102" t="inlineStr">
        <is>
          <t>PRV1101</t>
        </is>
      </c>
      <c r="B102" t="inlineStr">
        <is>
          <t>Emma</t>
        </is>
      </c>
      <c r="C102" t="inlineStr">
        <is>
          <t>Soto</t>
        </is>
      </c>
      <c r="D102" t="inlineStr">
        <is>
          <t>MD</t>
        </is>
      </c>
      <c r="E102" t="inlineStr">
        <is>
          <t>Pediatrics</t>
        </is>
      </c>
      <c r="F102" t="inlineStr">
        <is>
          <t>D180</t>
        </is>
      </c>
      <c r="G102" t="inlineStr">
        <is>
          <t>F01</t>
        </is>
      </c>
    </row>
    <row r="103">
      <c r="A103" t="inlineStr">
        <is>
          <t>PRV1102</t>
        </is>
      </c>
      <c r="B103" t="inlineStr">
        <is>
          <t>Sara</t>
        </is>
      </c>
      <c r="C103" t="inlineStr">
        <is>
          <t>Wagner</t>
        </is>
      </c>
      <c r="D103" t="inlineStr">
        <is>
          <t>MD</t>
        </is>
      </c>
      <c r="E103" t="inlineStr">
        <is>
          <t>Pediatrics</t>
        </is>
      </c>
      <c r="F103" t="inlineStr">
        <is>
          <t>D180</t>
        </is>
      </c>
      <c r="G103" t="inlineStr">
        <is>
          <t>F01</t>
        </is>
      </c>
    </row>
    <row r="104">
      <c r="A104" t="inlineStr">
        <is>
          <t>PRV1103</t>
        </is>
      </c>
      <c r="B104" t="inlineStr">
        <is>
          <t>Jose</t>
        </is>
      </c>
      <c r="C104" t="inlineStr">
        <is>
          <t>Osei</t>
        </is>
      </c>
      <c r="D104" t="inlineStr">
        <is>
          <t>MD</t>
        </is>
      </c>
      <c r="E104" t="inlineStr">
        <is>
          <t>Pediatrics</t>
        </is>
      </c>
      <c r="F104" t="inlineStr">
        <is>
          <t>D180</t>
        </is>
      </c>
      <c r="G104" t="inlineStr">
        <is>
          <t>F01</t>
        </is>
      </c>
    </row>
    <row r="105">
      <c r="A105" t="inlineStr">
        <is>
          <t>PRV1104</t>
        </is>
      </c>
      <c r="B105" t="inlineStr">
        <is>
          <t>Christian</t>
        </is>
      </c>
      <c r="C105" t="inlineStr">
        <is>
          <t>Herrera</t>
        </is>
      </c>
      <c r="D105" t="inlineStr">
        <is>
          <t>MD</t>
        </is>
      </c>
      <c r="E105" t="inlineStr">
        <is>
          <t>Pediatrics</t>
        </is>
      </c>
      <c r="F105" t="inlineStr">
        <is>
          <t>D450</t>
        </is>
      </c>
      <c r="G105" t="inlineStr">
        <is>
          <t>F04</t>
        </is>
      </c>
    </row>
    <row r="106">
      <c r="A106" t="inlineStr">
        <is>
          <t>PRV1105</t>
        </is>
      </c>
      <c r="B106" t="inlineStr">
        <is>
          <t>Kevin</t>
        </is>
      </c>
      <c r="C106" t="inlineStr">
        <is>
          <t>Wallace</t>
        </is>
      </c>
      <c r="D106" t="inlineStr">
        <is>
          <t>MD</t>
        </is>
      </c>
      <c r="E106" t="inlineStr">
        <is>
          <t>Pediatrics</t>
        </is>
      </c>
      <c r="F106" t="inlineStr">
        <is>
          <t>D450</t>
        </is>
      </c>
      <c r="G106" t="inlineStr">
        <is>
          <t>F04</t>
        </is>
      </c>
    </row>
    <row r="107">
      <c r="A107" t="inlineStr">
        <is>
          <t>PRV1106</t>
        </is>
      </c>
      <c r="B107" t="inlineStr">
        <is>
          <t>Susan</t>
        </is>
      </c>
      <c r="C107" t="inlineStr">
        <is>
          <t>Alvarez</t>
        </is>
      </c>
      <c r="D107" t="inlineStr">
        <is>
          <t>DO</t>
        </is>
      </c>
      <c r="E107" t="inlineStr">
        <is>
          <t>Pediatrics</t>
        </is>
      </c>
      <c r="F107" t="inlineStr">
        <is>
          <t>D450</t>
        </is>
      </c>
      <c r="G107" t="inlineStr">
        <is>
          <t>F04</t>
        </is>
      </c>
    </row>
    <row r="108">
      <c r="A108" t="inlineStr">
        <is>
          <t>PRV1107</t>
        </is>
      </c>
      <c r="B108" t="inlineStr">
        <is>
          <t>Linh</t>
        </is>
      </c>
      <c r="C108" t="inlineStr">
        <is>
          <t>Aguilar</t>
        </is>
      </c>
      <c r="D108" t="inlineStr">
        <is>
          <t>MD</t>
        </is>
      </c>
      <c r="E108" t="inlineStr">
        <is>
          <t>Pediatrics</t>
        </is>
      </c>
      <c r="F108" t="inlineStr">
        <is>
          <t>D450</t>
        </is>
      </c>
      <c r="G108" t="inlineStr">
        <is>
          <t>F04</t>
        </is>
      </c>
    </row>
    <row r="109">
      <c r="A109" t="inlineStr">
        <is>
          <t>PRV1108</t>
        </is>
      </c>
      <c r="B109" t="inlineStr">
        <is>
          <t>Stephanie</t>
        </is>
      </c>
      <c r="C109" t="inlineStr">
        <is>
          <t>Brown</t>
        </is>
      </c>
      <c r="D109" t="inlineStr">
        <is>
          <t>NP</t>
        </is>
      </c>
      <c r="E109" t="inlineStr">
        <is>
          <t>Pediatrics</t>
        </is>
      </c>
      <c r="F109" t="inlineStr">
        <is>
          <t>D450</t>
        </is>
      </c>
      <c r="G109" t="inlineStr">
        <is>
          <t>F04</t>
        </is>
      </c>
    </row>
    <row r="110">
      <c r="A110" t="inlineStr">
        <is>
          <t>PRV1109</t>
        </is>
      </c>
      <c r="B110" t="inlineStr">
        <is>
          <t>Eric</t>
        </is>
      </c>
      <c r="C110" t="inlineStr">
        <is>
          <t>Robertson</t>
        </is>
      </c>
      <c r="D110" t="inlineStr">
        <is>
          <t>MD</t>
        </is>
      </c>
      <c r="E110" t="inlineStr">
        <is>
          <t>Hematology &amp; Oncology</t>
        </is>
      </c>
      <c r="F110" t="inlineStr">
        <is>
          <t>D150</t>
        </is>
      </c>
      <c r="G110" t="inlineStr">
        <is>
          <t>F01</t>
        </is>
      </c>
    </row>
    <row r="111">
      <c r="A111" t="inlineStr">
        <is>
          <t>PRV1110</t>
        </is>
      </c>
      <c r="B111" t="inlineStr">
        <is>
          <t>Larry</t>
        </is>
      </c>
      <c r="C111" t="inlineStr">
        <is>
          <t>Hughes</t>
        </is>
      </c>
      <c r="D111" t="inlineStr">
        <is>
          <t>MD</t>
        </is>
      </c>
      <c r="E111" t="inlineStr">
        <is>
          <t>Hematology &amp; Oncology</t>
        </is>
      </c>
      <c r="F111" t="inlineStr">
        <is>
          <t>D150</t>
        </is>
      </c>
      <c r="G111" t="inlineStr">
        <is>
          <t>F01</t>
        </is>
      </c>
    </row>
    <row r="112">
      <c r="A112" t="inlineStr">
        <is>
          <t>PRV1111</t>
        </is>
      </c>
      <c r="B112" t="inlineStr">
        <is>
          <t>Fatima</t>
        </is>
      </c>
      <c r="C112" t="inlineStr">
        <is>
          <t>Gray</t>
        </is>
      </c>
      <c r="D112" t="inlineStr">
        <is>
          <t>MD</t>
        </is>
      </c>
      <c r="E112" t="inlineStr">
        <is>
          <t>Hematology &amp; Oncology</t>
        </is>
      </c>
      <c r="F112" t="inlineStr">
        <is>
          <t>D150</t>
        </is>
      </c>
      <c r="G112" t="inlineStr">
        <is>
          <t>F01</t>
        </is>
      </c>
    </row>
    <row r="113">
      <c r="A113" t="inlineStr">
        <is>
          <t>PRV1112</t>
        </is>
      </c>
      <c r="B113" t="inlineStr">
        <is>
          <t>Zachary</t>
        </is>
      </c>
      <c r="C113" t="inlineStr">
        <is>
          <t>Hicks</t>
        </is>
      </c>
      <c r="D113" t="inlineStr">
        <is>
          <t>MD</t>
        </is>
      </c>
      <c r="E113" t="inlineStr">
        <is>
          <t>Hematology &amp; Oncology</t>
        </is>
      </c>
      <c r="F113" t="inlineStr">
        <is>
          <t>D430</t>
        </is>
      </c>
      <c r="G113" t="inlineStr">
        <is>
          <t>F04</t>
        </is>
      </c>
    </row>
    <row r="114">
      <c r="A114" t="inlineStr">
        <is>
          <t>PRV1113</t>
        </is>
      </c>
      <c r="B114" t="inlineStr">
        <is>
          <t>Fatima</t>
        </is>
      </c>
      <c r="C114" t="inlineStr">
        <is>
          <t>Long</t>
        </is>
      </c>
      <c r="D114" t="inlineStr">
        <is>
          <t>MD</t>
        </is>
      </c>
      <c r="E114" t="inlineStr">
        <is>
          <t>Hematology &amp; Oncology</t>
        </is>
      </c>
      <c r="F114" t="inlineStr">
        <is>
          <t>D430</t>
        </is>
      </c>
      <c r="G114" t="inlineStr">
        <is>
          <t>F04</t>
        </is>
      </c>
    </row>
    <row r="115">
      <c r="A115" t="inlineStr">
        <is>
          <t>PRV1114</t>
        </is>
      </c>
      <c r="B115" t="inlineStr">
        <is>
          <t>Logan</t>
        </is>
      </c>
      <c r="C115" t="inlineStr">
        <is>
          <t>Cooper</t>
        </is>
      </c>
      <c r="D115" t="inlineStr">
        <is>
          <t>MD</t>
        </is>
      </c>
      <c r="E115" t="inlineStr">
        <is>
          <t>Hematology &amp; Oncology</t>
        </is>
      </c>
      <c r="F115" t="inlineStr">
        <is>
          <t>D430</t>
        </is>
      </c>
      <c r="G115" t="inlineStr">
        <is>
          <t>F04</t>
        </is>
      </c>
    </row>
    <row r="116">
      <c r="A116" t="inlineStr">
        <is>
          <t>PRV1115</t>
        </is>
      </c>
      <c r="B116" t="inlineStr">
        <is>
          <t>Bradley</t>
        </is>
      </c>
      <c r="C116" t="inlineStr">
        <is>
          <t>Robinson</t>
        </is>
      </c>
      <c r="D116" t="inlineStr">
        <is>
          <t>NP</t>
        </is>
      </c>
      <c r="E116" t="inlineStr">
        <is>
          <t>Hematology &amp; Oncology</t>
        </is>
      </c>
      <c r="F116" t="inlineStr">
        <is>
          <t>D430</t>
        </is>
      </c>
      <c r="G116" t="inlineStr">
        <is>
          <t>F04</t>
        </is>
      </c>
    </row>
    <row r="117">
      <c r="A117" t="inlineStr">
        <is>
          <t>PRV1116</t>
        </is>
      </c>
      <c r="B117" t="inlineStr">
        <is>
          <t>Isabella</t>
        </is>
      </c>
      <c r="C117" t="inlineStr">
        <is>
          <t>Abbott</t>
        </is>
      </c>
      <c r="D117" t="inlineStr">
        <is>
          <t>MD</t>
        </is>
      </c>
      <c r="E117" t="inlineStr">
        <is>
          <t>Neurology</t>
        </is>
      </c>
      <c r="F117" t="inlineStr">
        <is>
          <t>D160</t>
        </is>
      </c>
      <c r="G117" t="inlineStr">
        <is>
          <t>F01</t>
        </is>
      </c>
    </row>
    <row r="118">
      <c r="A118" t="inlineStr">
        <is>
          <t>PRV1117</t>
        </is>
      </c>
      <c r="B118" t="inlineStr">
        <is>
          <t>Alexis</t>
        </is>
      </c>
      <c r="C118" t="inlineStr">
        <is>
          <t>Garcia</t>
        </is>
      </c>
      <c r="D118" t="inlineStr">
        <is>
          <t>MD</t>
        </is>
      </c>
      <c r="E118" t="inlineStr">
        <is>
          <t>Neurology</t>
        </is>
      </c>
      <c r="F118" t="inlineStr">
        <is>
          <t>D160</t>
        </is>
      </c>
      <c r="G118" t="inlineStr">
        <is>
          <t>F01</t>
        </is>
      </c>
    </row>
    <row r="119">
      <c r="A119" t="inlineStr">
        <is>
          <t>PRV1118</t>
        </is>
      </c>
      <c r="B119" t="inlineStr">
        <is>
          <t>Frank</t>
        </is>
      </c>
      <c r="C119" t="inlineStr">
        <is>
          <t>Stone</t>
        </is>
      </c>
      <c r="D119" t="inlineStr">
        <is>
          <t>MD</t>
        </is>
      </c>
      <c r="E119" t="inlineStr">
        <is>
          <t>Neurology</t>
        </is>
      </c>
      <c r="F119" t="inlineStr">
        <is>
          <t>D160</t>
        </is>
      </c>
      <c r="G119" t="inlineStr">
        <is>
          <t>F01</t>
        </is>
      </c>
    </row>
    <row r="120">
      <c r="A120" t="inlineStr">
        <is>
          <t>PRV1119</t>
        </is>
      </c>
      <c r="B120" t="inlineStr">
        <is>
          <t>Joe</t>
        </is>
      </c>
      <c r="C120" t="inlineStr">
        <is>
          <t>Lindqvist</t>
        </is>
      </c>
      <c r="D120" t="inlineStr">
        <is>
          <t>MD</t>
        </is>
      </c>
      <c r="E120" t="inlineStr">
        <is>
          <t>Psychiatry</t>
        </is>
      </c>
      <c r="F120" t="inlineStr">
        <is>
          <t>D190</t>
        </is>
      </c>
      <c r="G120" t="inlineStr">
        <is>
          <t>F01</t>
        </is>
      </c>
    </row>
    <row r="121">
      <c r="A121" t="inlineStr">
        <is>
          <t>PRV1120</t>
        </is>
      </c>
      <c r="B121" t="inlineStr">
        <is>
          <t>Emma</t>
        </is>
      </c>
      <c r="C121" t="inlineStr">
        <is>
          <t>Elliott</t>
        </is>
      </c>
      <c r="D121" t="inlineStr">
        <is>
          <t>MD</t>
        </is>
      </c>
      <c r="E121" t="inlineStr">
        <is>
          <t>Psychiatry</t>
        </is>
      </c>
      <c r="F121" t="inlineStr">
        <is>
          <t>D190</t>
        </is>
      </c>
      <c r="G121" t="inlineStr">
        <is>
          <t>F01</t>
        </is>
      </c>
    </row>
    <row r="122">
      <c r="A122" t="inlineStr">
        <is>
          <t>PRV1121</t>
        </is>
      </c>
      <c r="B122" t="inlineStr">
        <is>
          <t>Ivan</t>
        </is>
      </c>
      <c r="C122" t="inlineStr">
        <is>
          <t>Herrera</t>
        </is>
      </c>
      <c r="D122" t="inlineStr">
        <is>
          <t>MD</t>
        </is>
      </c>
      <c r="E122" t="inlineStr">
        <is>
          <t>Psychiatry</t>
        </is>
      </c>
      <c r="F122" t="inlineStr">
        <is>
          <t>D190</t>
        </is>
      </c>
      <c r="G122" t="inlineStr">
        <is>
          <t>F01</t>
        </is>
      </c>
    </row>
    <row r="123">
      <c r="A123" t="inlineStr">
        <is>
          <t>PRV1122</t>
        </is>
      </c>
      <c r="B123" t="inlineStr">
        <is>
          <t>Frank</t>
        </is>
      </c>
      <c r="C123" t="inlineStr">
        <is>
          <t>Clark</t>
        </is>
      </c>
      <c r="D123" t="inlineStr">
        <is>
          <t>DO</t>
        </is>
      </c>
      <c r="E123" t="inlineStr">
        <is>
          <t>Psychiatry</t>
        </is>
      </c>
      <c r="F123" t="inlineStr">
        <is>
          <t>D190</t>
        </is>
      </c>
      <c r="G123" t="inlineStr">
        <is>
          <t>F01</t>
        </is>
      </c>
    </row>
    <row r="124">
      <c r="A124" t="inlineStr">
        <is>
          <t>PRV1123</t>
        </is>
      </c>
      <c r="B124" t="inlineStr">
        <is>
          <t>Amina</t>
        </is>
      </c>
      <c r="C124" t="inlineStr">
        <is>
          <t>Delgado</t>
        </is>
      </c>
      <c r="D124" t="inlineStr">
        <is>
          <t>NP</t>
        </is>
      </c>
      <c r="E124" t="inlineStr">
        <is>
          <t>Psychiatry</t>
        </is>
      </c>
      <c r="F124" t="inlineStr">
        <is>
          <t>D190</t>
        </is>
      </c>
      <c r="G124" t="inlineStr">
        <is>
          <t>F01</t>
        </is>
      </c>
    </row>
    <row r="125">
      <c r="A125" t="inlineStr">
        <is>
          <t>PRV1124</t>
        </is>
      </c>
      <c r="B125" t="inlineStr">
        <is>
          <t>Rebecca</t>
        </is>
      </c>
      <c r="C125" t="inlineStr">
        <is>
          <t>Torres</t>
        </is>
      </c>
      <c r="D125" t="inlineStr">
        <is>
          <t>MD</t>
        </is>
      </c>
      <c r="E125" t="inlineStr">
        <is>
          <t>Family Medicine</t>
        </is>
      </c>
      <c r="F125" t="inlineStr">
        <is>
          <t>D400</t>
        </is>
      </c>
      <c r="G125" t="inlineStr">
        <is>
          <t>F04</t>
        </is>
      </c>
    </row>
    <row r="126">
      <c r="A126" t="inlineStr">
        <is>
          <t>PRV1125</t>
        </is>
      </c>
      <c r="B126" t="inlineStr">
        <is>
          <t>Julie</t>
        </is>
      </c>
      <c r="C126" t="inlineStr">
        <is>
          <t>Osei</t>
        </is>
      </c>
      <c r="D126" t="inlineStr">
        <is>
          <t>MD</t>
        </is>
      </c>
      <c r="E126" t="inlineStr">
        <is>
          <t>Family Medicine</t>
        </is>
      </c>
      <c r="F126" t="inlineStr">
        <is>
          <t>D400</t>
        </is>
      </c>
      <c r="G126" t="inlineStr">
        <is>
          <t>F04</t>
        </is>
      </c>
    </row>
    <row r="127">
      <c r="A127" t="inlineStr">
        <is>
          <t>PRV1126</t>
        </is>
      </c>
      <c r="B127" t="inlineStr">
        <is>
          <t>Brandon</t>
        </is>
      </c>
      <c r="C127" t="inlineStr">
        <is>
          <t>Fisher</t>
        </is>
      </c>
      <c r="D127" t="inlineStr">
        <is>
          <t>MD</t>
        </is>
      </c>
      <c r="E127" t="inlineStr">
        <is>
          <t>Family Medicine</t>
        </is>
      </c>
      <c r="F127" t="inlineStr">
        <is>
          <t>D400</t>
        </is>
      </c>
      <c r="G127" t="inlineStr">
        <is>
          <t>F04</t>
        </is>
      </c>
    </row>
    <row r="128">
      <c r="A128" t="inlineStr">
        <is>
          <t>PRV1127</t>
        </is>
      </c>
      <c r="B128" t="inlineStr">
        <is>
          <t>Mei</t>
        </is>
      </c>
      <c r="C128" t="inlineStr">
        <is>
          <t>Chen</t>
        </is>
      </c>
      <c r="D128" t="inlineStr">
        <is>
          <t>DO</t>
        </is>
      </c>
      <c r="E128" t="inlineStr">
        <is>
          <t>Family Medicine</t>
        </is>
      </c>
      <c r="F128" t="inlineStr">
        <is>
          <t>D400</t>
        </is>
      </c>
      <c r="G128" t="inlineStr">
        <is>
          <t>F04</t>
        </is>
      </c>
    </row>
    <row r="129">
      <c r="A129" t="inlineStr">
        <is>
          <t>PRV1128</t>
        </is>
      </c>
      <c r="B129" t="inlineStr">
        <is>
          <t>Catherine</t>
        </is>
      </c>
      <c r="C129" t="inlineStr">
        <is>
          <t>Arnold</t>
        </is>
      </c>
      <c r="D129" t="inlineStr">
        <is>
          <t>DO</t>
        </is>
      </c>
      <c r="E129" t="inlineStr">
        <is>
          <t>Family Medicine</t>
        </is>
      </c>
      <c r="F129" t="inlineStr">
        <is>
          <t>D400</t>
        </is>
      </c>
      <c r="G129" t="inlineStr">
        <is>
          <t>F04</t>
        </is>
      </c>
    </row>
    <row r="130">
      <c r="A130" t="inlineStr">
        <is>
          <t>PRV1129</t>
        </is>
      </c>
      <c r="B130" t="inlineStr">
        <is>
          <t>Nancy</t>
        </is>
      </c>
      <c r="C130" t="inlineStr">
        <is>
          <t>Black</t>
        </is>
      </c>
      <c r="D130" t="inlineStr">
        <is>
          <t>MD</t>
        </is>
      </c>
      <c r="E130" t="inlineStr">
        <is>
          <t>Family Medicine</t>
        </is>
      </c>
      <c r="F130" t="inlineStr">
        <is>
          <t>D400</t>
        </is>
      </c>
      <c r="G130" t="inlineStr">
        <is>
          <t>F04</t>
        </is>
      </c>
    </row>
    <row r="131">
      <c r="A131" t="inlineStr">
        <is>
          <t>PRV1130</t>
        </is>
      </c>
      <c r="B131" t="inlineStr">
        <is>
          <t>Brenda</t>
        </is>
      </c>
      <c r="C131" t="inlineStr">
        <is>
          <t>Sullivan</t>
        </is>
      </c>
      <c r="D131" t="inlineStr">
        <is>
          <t>MD</t>
        </is>
      </c>
      <c r="E131" t="inlineStr">
        <is>
          <t>Family Medicine</t>
        </is>
      </c>
      <c r="F131" t="inlineStr">
        <is>
          <t>D400</t>
        </is>
      </c>
      <c r="G131" t="inlineStr">
        <is>
          <t>F04</t>
        </is>
      </c>
    </row>
    <row r="132">
      <c r="A132" t="inlineStr">
        <is>
          <t>PRV1131</t>
        </is>
      </c>
      <c r="B132" t="inlineStr">
        <is>
          <t>Douglas</t>
        </is>
      </c>
      <c r="C132" t="inlineStr">
        <is>
          <t>Elliott</t>
        </is>
      </c>
      <c r="D132" t="inlineStr">
        <is>
          <t>DO</t>
        </is>
      </c>
      <c r="E132" t="inlineStr">
        <is>
          <t>Family Medicine</t>
        </is>
      </c>
      <c r="F132" t="inlineStr">
        <is>
          <t>D400</t>
        </is>
      </c>
      <c r="G132" t="inlineStr">
        <is>
          <t>F04</t>
        </is>
      </c>
    </row>
    <row r="133">
      <c r="A133" t="inlineStr">
        <is>
          <t>PRV1132</t>
        </is>
      </c>
      <c r="B133" t="inlineStr">
        <is>
          <t>George</t>
        </is>
      </c>
      <c r="C133" t="inlineStr">
        <is>
          <t>Alvarado</t>
        </is>
      </c>
      <c r="D133" t="inlineStr">
        <is>
          <t>NP</t>
        </is>
      </c>
      <c r="E133" t="inlineStr">
        <is>
          <t>Family Medicine</t>
        </is>
      </c>
      <c r="F133" t="inlineStr">
        <is>
          <t>D400</t>
        </is>
      </c>
      <c r="G133" t="inlineStr">
        <is>
          <t>F04</t>
        </is>
      </c>
    </row>
    <row r="134">
      <c r="A134" t="inlineStr">
        <is>
          <t>PRV1133</t>
        </is>
      </c>
      <c r="B134" t="inlineStr">
        <is>
          <t>Edward</t>
        </is>
      </c>
      <c r="C134" t="inlineStr">
        <is>
          <t>Santos</t>
        </is>
      </c>
      <c r="D134" t="inlineStr">
        <is>
          <t>NP</t>
        </is>
      </c>
      <c r="E134" t="inlineStr">
        <is>
          <t>Family Medicine</t>
        </is>
      </c>
      <c r="F134" t="inlineStr">
        <is>
          <t>D400</t>
        </is>
      </c>
      <c r="G134" t="inlineStr">
        <is>
          <t>F04</t>
        </is>
      </c>
    </row>
    <row r="135">
      <c r="A135" t="inlineStr">
        <is>
          <t>PRV1134</t>
        </is>
      </c>
      <c r="B135" t="inlineStr">
        <is>
          <t>Carolyn</t>
        </is>
      </c>
      <c r="C135" t="inlineStr">
        <is>
          <t>Vazquez</t>
        </is>
      </c>
      <c r="D135" t="inlineStr">
        <is>
          <t>NP</t>
        </is>
      </c>
      <c r="E135" t="inlineStr">
        <is>
          <t>Family Medicine</t>
        </is>
      </c>
      <c r="F135" t="inlineStr">
        <is>
          <t>D400</t>
        </is>
      </c>
      <c r="G135" t="inlineStr">
        <is>
          <t>F04</t>
        </is>
      </c>
    </row>
    <row r="136">
      <c r="A136" t="inlineStr">
        <is>
          <t>PRV1135</t>
        </is>
      </c>
      <c r="B136" t="inlineStr">
        <is>
          <t>Doris</t>
        </is>
      </c>
      <c r="C136" t="inlineStr">
        <is>
          <t>Petrov</t>
        </is>
      </c>
      <c r="D136" t="inlineStr">
        <is>
          <t>PA</t>
        </is>
      </c>
      <c r="E136" t="inlineStr">
        <is>
          <t>Family Medicine</t>
        </is>
      </c>
      <c r="F136" t="inlineStr">
        <is>
          <t>D400</t>
        </is>
      </c>
      <c r="G136" t="inlineStr">
        <is>
          <t>F04</t>
        </is>
      </c>
    </row>
    <row r="137">
      <c r="A137" t="inlineStr">
        <is>
          <t>PRV1136</t>
        </is>
      </c>
      <c r="B137" t="inlineStr">
        <is>
          <t>Lucia</t>
        </is>
      </c>
      <c r="C137" t="inlineStr">
        <is>
          <t>Myers</t>
        </is>
      </c>
      <c r="D137" t="inlineStr">
        <is>
          <t>PA</t>
        </is>
      </c>
      <c r="E137" t="inlineStr">
        <is>
          <t>Family Medicine</t>
        </is>
      </c>
      <c r="F137" t="inlineStr">
        <is>
          <t>D400</t>
        </is>
      </c>
      <c r="G137" t="inlineStr">
        <is>
          <t>F04</t>
        </is>
      </c>
    </row>
    <row r="138">
      <c r="A138" t="inlineStr">
        <is>
          <t>PRV1137</t>
        </is>
      </c>
      <c r="B138" t="inlineStr">
        <is>
          <t>Isabella</t>
        </is>
      </c>
      <c r="C138" t="inlineStr">
        <is>
          <t>Nguyen</t>
        </is>
      </c>
      <c r="D138" t="inlineStr">
        <is>
          <t>MD</t>
        </is>
      </c>
      <c r="E138" t="inlineStr">
        <is>
          <t>Internal Medicine</t>
        </is>
      </c>
      <c r="F138" t="inlineStr">
        <is>
          <t>D400</t>
        </is>
      </c>
      <c r="G138" t="inlineStr">
        <is>
          <t>F04</t>
        </is>
      </c>
    </row>
    <row r="139">
      <c r="A139" t="inlineStr">
        <is>
          <t>PRV1138</t>
        </is>
      </c>
      <c r="B139" t="inlineStr">
        <is>
          <t>Randy</t>
        </is>
      </c>
      <c r="C139" t="inlineStr">
        <is>
          <t>Bennett</t>
        </is>
      </c>
      <c r="D139" t="inlineStr">
        <is>
          <t>DO</t>
        </is>
      </c>
      <c r="E139" t="inlineStr">
        <is>
          <t>Internal Medicine</t>
        </is>
      </c>
      <c r="F139" t="inlineStr">
        <is>
          <t>D400</t>
        </is>
      </c>
      <c r="G139" t="inlineStr">
        <is>
          <t>F04</t>
        </is>
      </c>
    </row>
    <row r="140">
      <c r="A140" t="inlineStr">
        <is>
          <t>PRV1139</t>
        </is>
      </c>
      <c r="B140" t="inlineStr">
        <is>
          <t>Richard</t>
        </is>
      </c>
      <c r="C140" t="inlineStr">
        <is>
          <t>Yilmaz</t>
        </is>
      </c>
      <c r="D140" t="inlineStr">
        <is>
          <t>MD</t>
        </is>
      </c>
      <c r="E140" t="inlineStr">
        <is>
          <t>Internal Medicine</t>
        </is>
      </c>
      <c r="F140" t="inlineStr">
        <is>
          <t>D400</t>
        </is>
      </c>
      <c r="G140" t="inlineStr">
        <is>
          <t>F04</t>
        </is>
      </c>
    </row>
    <row r="141">
      <c r="A141" t="inlineStr">
        <is>
          <t>PRV1140</t>
        </is>
      </c>
      <c r="B141" t="inlineStr">
        <is>
          <t>Kelly</t>
        </is>
      </c>
      <c r="C141" t="inlineStr">
        <is>
          <t>Black</t>
        </is>
      </c>
      <c r="D141" t="inlineStr">
        <is>
          <t>MD</t>
        </is>
      </c>
      <c r="E141" t="inlineStr">
        <is>
          <t>Internal Medicine</t>
        </is>
      </c>
      <c r="F141" t="inlineStr">
        <is>
          <t>D400</t>
        </is>
      </c>
      <c r="G141" t="inlineStr">
        <is>
          <t>F04</t>
        </is>
      </c>
    </row>
    <row r="142">
      <c r="A142" t="inlineStr">
        <is>
          <t>PRV1141</t>
        </is>
      </c>
      <c r="B142" t="inlineStr">
        <is>
          <t>Scott</t>
        </is>
      </c>
      <c r="C142" t="inlineStr">
        <is>
          <t>Rivera</t>
        </is>
      </c>
      <c r="D142" t="inlineStr">
        <is>
          <t>MD</t>
        </is>
      </c>
      <c r="E142" t="inlineStr">
        <is>
          <t>Endocrinology</t>
        </is>
      </c>
      <c r="F142" t="inlineStr">
        <is>
          <t>D440</t>
        </is>
      </c>
      <c r="G142" t="inlineStr">
        <is>
          <t>F04</t>
        </is>
      </c>
    </row>
    <row r="143">
      <c r="A143" t="inlineStr">
        <is>
          <t>PRV1142</t>
        </is>
      </c>
      <c r="B143" t="inlineStr">
        <is>
          <t>Larry</t>
        </is>
      </c>
      <c r="C143" t="inlineStr">
        <is>
          <t>Woods</t>
        </is>
      </c>
      <c r="D143" t="inlineStr">
        <is>
          <t>MD</t>
        </is>
      </c>
      <c r="E143" t="inlineStr">
        <is>
          <t>Endocrinology</t>
        </is>
      </c>
      <c r="F143" t="inlineStr">
        <is>
          <t>D440</t>
        </is>
      </c>
      <c r="G143" t="inlineStr">
        <is>
          <t>F04</t>
        </is>
      </c>
    </row>
    <row r="144">
      <c r="A144" t="inlineStr">
        <is>
          <t>PRV1143</t>
        </is>
      </c>
      <c r="B144" t="inlineStr">
        <is>
          <t>Amber</t>
        </is>
      </c>
      <c r="C144" t="inlineStr">
        <is>
          <t>Lee</t>
        </is>
      </c>
      <c r="D144" t="inlineStr">
        <is>
          <t>NP</t>
        </is>
      </c>
      <c r="E144" t="inlineStr">
        <is>
          <t>Endocrinology</t>
        </is>
      </c>
      <c r="F144" t="inlineStr">
        <is>
          <t>D440</t>
        </is>
      </c>
      <c r="G144" t="inlineStr">
        <is>
          <t>F04</t>
        </is>
      </c>
    </row>
    <row r="145">
      <c r="A145" t="inlineStr">
        <is>
          <t>PRV1144</t>
        </is>
      </c>
      <c r="B145" t="inlineStr">
        <is>
          <t>Helen</t>
        </is>
      </c>
      <c r="C145" t="inlineStr">
        <is>
          <t>Hoffman</t>
        </is>
      </c>
      <c r="D145" t="inlineStr">
        <is>
          <t>MD</t>
        </is>
      </c>
      <c r="E145" t="inlineStr">
        <is>
          <t>Radiology</t>
        </is>
      </c>
      <c r="F145" t="inlineStr">
        <is>
          <t>D510</t>
        </is>
      </c>
      <c r="G145" t="inlineStr">
        <is>
          <t>F01</t>
        </is>
      </c>
    </row>
    <row r="146">
      <c r="A146" t="inlineStr">
        <is>
          <t>PRV1145</t>
        </is>
      </c>
      <c r="B146" t="inlineStr">
        <is>
          <t>Roger</t>
        </is>
      </c>
      <c r="C146" t="inlineStr">
        <is>
          <t>Henry</t>
        </is>
      </c>
      <c r="D146" t="inlineStr">
        <is>
          <t>MD</t>
        </is>
      </c>
      <c r="E146" t="inlineStr">
        <is>
          <t>Radiology</t>
        </is>
      </c>
      <c r="F146" t="inlineStr">
        <is>
          <t>D510</t>
        </is>
      </c>
      <c r="G146" t="inlineStr">
        <is>
          <t>F01</t>
        </is>
      </c>
    </row>
    <row r="147">
      <c r="A147" t="inlineStr">
        <is>
          <t>PRV1146</t>
        </is>
      </c>
      <c r="B147" t="inlineStr">
        <is>
          <t>Joan</t>
        </is>
      </c>
      <c r="C147" t="inlineStr">
        <is>
          <t>Walker</t>
        </is>
      </c>
      <c r="D147" t="inlineStr">
        <is>
          <t>MD</t>
        </is>
      </c>
      <c r="E147" t="inlineStr">
        <is>
          <t>Radiology</t>
        </is>
      </c>
      <c r="F147" t="inlineStr">
        <is>
          <t>D510</t>
        </is>
      </c>
      <c r="G147" t="inlineStr">
        <is>
          <t>F01</t>
        </is>
      </c>
    </row>
    <row r="148">
      <c r="A148" t="inlineStr">
        <is>
          <t>PRV1147</t>
        </is>
      </c>
      <c r="B148" t="inlineStr">
        <is>
          <t>Natalie</t>
        </is>
      </c>
      <c r="C148" t="inlineStr">
        <is>
          <t>Wagner</t>
        </is>
      </c>
      <c r="D148" t="inlineStr">
        <is>
          <t>MD</t>
        </is>
      </c>
      <c r="E148" t="inlineStr">
        <is>
          <t>Pathology</t>
        </is>
      </c>
      <c r="F148" t="inlineStr">
        <is>
          <t>D500</t>
        </is>
      </c>
      <c r="G148" t="inlineStr">
        <is>
          <t>F01</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52"/>
  <sheetViews>
    <sheetView tabSelected="0" workbookViewId="0">
      <pane ySplit="1" topLeftCell="A2" activePane="bottomLeft" state="frozen"/>
      <selection pane="bottomLeft" activeCell="A1" sqref="A1"/>
    </sheetView>
  </sheetViews>
  <sheetFormatPr baseColWidth="8" defaultRowHeight="15"/>
  <cols>
    <col width="10" customWidth="1" min="1" max="1"/>
    <col width="75" customWidth="1" min="2" max="2"/>
    <col width="28" customWidth="1" min="3" max="3"/>
    <col width="18" customWidth="1" min="4" max="4"/>
    <col width="13" customWidth="1" min="5" max="5"/>
  </cols>
  <sheetData>
    <row r="1">
      <c r="A1" s="26" t="inlineStr">
        <is>
          <t>DxCode</t>
        </is>
      </c>
      <c r="B1" s="26" t="inlineStr">
        <is>
          <t>DxDescription</t>
        </is>
      </c>
      <c r="C1" s="26" t="inlineStr">
        <is>
          <t>DxCategory</t>
        </is>
      </c>
      <c r="D1" s="26" t="inlineStr">
        <is>
          <t>ChronicCondition</t>
        </is>
      </c>
      <c r="E1" s="26" t="inlineStr">
        <is>
          <t>ExpectedLOS</t>
        </is>
      </c>
    </row>
    <row r="2">
      <c r="A2" t="inlineStr">
        <is>
          <t>A08.4</t>
        </is>
      </c>
      <c r="B2" t="inlineStr">
        <is>
          <t>Viral intestinal infection, unspecified</t>
        </is>
      </c>
      <c r="C2" t="inlineStr">
        <is>
          <t>Infectious</t>
        </is>
      </c>
      <c r="D2" t="inlineStr">
        <is>
          <t>N</t>
        </is>
      </c>
      <c r="E2" s="31" t="n">
        <v>2.1</v>
      </c>
    </row>
    <row r="3">
      <c r="A3" t="inlineStr">
        <is>
          <t>A41.9</t>
        </is>
      </c>
      <c r="B3" t="inlineStr">
        <is>
          <t>Sepsis, unspecified organism</t>
        </is>
      </c>
      <c r="C3" t="inlineStr">
        <is>
          <t>Infectious</t>
        </is>
      </c>
      <c r="D3" t="inlineStr">
        <is>
          <t>N</t>
        </is>
      </c>
      <c r="E3" s="31" t="n">
        <v>5</v>
      </c>
    </row>
    <row r="4">
      <c r="A4" t="inlineStr">
        <is>
          <t>C34.90</t>
        </is>
      </c>
      <c r="B4" t="inlineStr">
        <is>
          <t>Malignant neoplasm of unspecified part of unspecified bronchus or lung</t>
        </is>
      </c>
      <c r="C4" t="inlineStr">
        <is>
          <t>Neoplasms</t>
        </is>
      </c>
      <c r="D4" t="inlineStr">
        <is>
          <t>Y</t>
        </is>
      </c>
      <c r="E4" s="31" t="n">
        <v>5</v>
      </c>
    </row>
    <row r="5">
      <c r="A5" t="inlineStr">
        <is>
          <t>C50.911</t>
        </is>
      </c>
      <c r="B5" t="inlineStr">
        <is>
          <t>Malignant neoplasm of unspecified site of right female breast</t>
        </is>
      </c>
      <c r="C5" t="inlineStr">
        <is>
          <t>Neoplasms</t>
        </is>
      </c>
      <c r="D5" t="inlineStr">
        <is>
          <t>Y</t>
        </is>
      </c>
      <c r="E5" s="31" t="n">
        <v>3</v>
      </c>
    </row>
    <row r="6">
      <c r="A6" t="inlineStr">
        <is>
          <t>D70.1</t>
        </is>
      </c>
      <c r="B6" t="inlineStr">
        <is>
          <t>Agranulocytosis secondary to cancer chemotherapy</t>
        </is>
      </c>
      <c r="C6" t="inlineStr">
        <is>
          <t>Blood</t>
        </is>
      </c>
      <c r="D6" t="inlineStr">
        <is>
          <t>N</t>
        </is>
      </c>
      <c r="E6" s="31" t="n">
        <v>4.5</v>
      </c>
    </row>
    <row r="7">
      <c r="A7" t="inlineStr">
        <is>
          <t>E11.65</t>
        </is>
      </c>
      <c r="B7" t="inlineStr">
        <is>
          <t>Type 2 diabetes mellitus with hyperglycemia</t>
        </is>
      </c>
      <c r="C7" t="inlineStr">
        <is>
          <t>Endocrine</t>
        </is>
      </c>
      <c r="D7" t="inlineStr">
        <is>
          <t>Y</t>
        </is>
      </c>
      <c r="E7" s="31" t="n">
        <v>3</v>
      </c>
    </row>
    <row r="8">
      <c r="A8" t="inlineStr">
        <is>
          <t>E11.9</t>
        </is>
      </c>
      <c r="B8" t="inlineStr">
        <is>
          <t>Type 2 diabetes mellitus without complications</t>
        </is>
      </c>
      <c r="C8" t="inlineStr">
        <is>
          <t>Endocrine</t>
        </is>
      </c>
      <c r="D8" t="inlineStr">
        <is>
          <t>Y</t>
        </is>
      </c>
      <c r="E8" s="31" t="n"/>
    </row>
    <row r="9">
      <c r="A9" t="inlineStr">
        <is>
          <t>E78.5</t>
        </is>
      </c>
      <c r="B9" t="inlineStr">
        <is>
          <t>Hyperlipidemia, unspecified</t>
        </is>
      </c>
      <c r="C9" t="inlineStr">
        <is>
          <t>Endocrine</t>
        </is>
      </c>
      <c r="D9" t="inlineStr">
        <is>
          <t>Y</t>
        </is>
      </c>
      <c r="E9" s="31" t="n"/>
    </row>
    <row r="10">
      <c r="A10" t="inlineStr">
        <is>
          <t>E86.0</t>
        </is>
      </c>
      <c r="B10" t="inlineStr">
        <is>
          <t>Dehydration</t>
        </is>
      </c>
      <c r="C10" t="inlineStr">
        <is>
          <t>Endocrine</t>
        </is>
      </c>
      <c r="D10" t="inlineStr">
        <is>
          <t>N</t>
        </is>
      </c>
      <c r="E10" s="31" t="n">
        <v>2.4</v>
      </c>
    </row>
    <row r="11">
      <c r="A11" t="inlineStr">
        <is>
          <t>E87.1</t>
        </is>
      </c>
      <c r="B11" t="inlineStr">
        <is>
          <t>Hypo-osmolality and hyponatremia</t>
        </is>
      </c>
      <c r="C11" t="inlineStr">
        <is>
          <t>Endocrine</t>
        </is>
      </c>
      <c r="D11" t="inlineStr">
        <is>
          <t>N</t>
        </is>
      </c>
      <c r="E11" s="31" t="n">
        <v>3.2</v>
      </c>
    </row>
    <row r="12">
      <c r="A12" t="inlineStr">
        <is>
          <t>F10.239</t>
        </is>
      </c>
      <c r="B12" t="inlineStr">
        <is>
          <t>Alcohol dependence with withdrawal, unspecified</t>
        </is>
      </c>
      <c r="C12" t="inlineStr">
        <is>
          <t>Mental &amp; Behavioral</t>
        </is>
      </c>
      <c r="D12" t="inlineStr">
        <is>
          <t>Y</t>
        </is>
      </c>
      <c r="E12" s="31" t="n">
        <v>3.6</v>
      </c>
    </row>
    <row r="13">
      <c r="A13" t="inlineStr">
        <is>
          <t>F20.9</t>
        </is>
      </c>
      <c r="B13" t="inlineStr">
        <is>
          <t>Schizophrenia, unspecified</t>
        </is>
      </c>
      <c r="C13" t="inlineStr">
        <is>
          <t>Mental &amp; Behavioral</t>
        </is>
      </c>
      <c r="D13" t="inlineStr">
        <is>
          <t>Y</t>
        </is>
      </c>
      <c r="E13" s="31" t="n">
        <v>8.9</v>
      </c>
    </row>
    <row r="14">
      <c r="A14" t="inlineStr">
        <is>
          <t>F32.9</t>
        </is>
      </c>
      <c r="B14" t="inlineStr">
        <is>
          <t>Major depressive disorder, single episode, unspecified</t>
        </is>
      </c>
      <c r="C14" t="inlineStr">
        <is>
          <t>Mental &amp; Behavioral</t>
        </is>
      </c>
      <c r="D14" t="inlineStr">
        <is>
          <t>Y</t>
        </is>
      </c>
      <c r="E14" s="31" t="n">
        <v>6.8</v>
      </c>
    </row>
    <row r="15">
      <c r="A15" t="inlineStr">
        <is>
          <t>F41.9</t>
        </is>
      </c>
      <c r="B15" t="inlineStr">
        <is>
          <t>Anxiety disorder, unspecified</t>
        </is>
      </c>
      <c r="C15" t="inlineStr">
        <is>
          <t>Mental &amp; Behavioral</t>
        </is>
      </c>
      <c r="D15" t="inlineStr">
        <is>
          <t>Y</t>
        </is>
      </c>
      <c r="E15" s="31" t="n"/>
    </row>
    <row r="16">
      <c r="A16" t="inlineStr">
        <is>
          <t>G40.909</t>
        </is>
      </c>
      <c r="B16" t="inlineStr">
        <is>
          <t>Epilepsy, unspecified, not intractable, without status epilepticus</t>
        </is>
      </c>
      <c r="C16" t="inlineStr">
        <is>
          <t>Nervous System</t>
        </is>
      </c>
      <c r="D16" t="inlineStr">
        <is>
          <t>Y</t>
        </is>
      </c>
      <c r="E16" s="31" t="n">
        <v>2.5</v>
      </c>
    </row>
    <row r="17">
      <c r="A17" t="inlineStr">
        <is>
          <t>G43.909</t>
        </is>
      </c>
      <c r="B17" t="inlineStr">
        <is>
          <t>Migraine, unspecified, not intractable, without status migrainosus</t>
        </is>
      </c>
      <c r="C17" t="inlineStr">
        <is>
          <t>Nervous System</t>
        </is>
      </c>
      <c r="D17" t="inlineStr">
        <is>
          <t>Y</t>
        </is>
      </c>
      <c r="E17" s="31" t="n"/>
    </row>
    <row r="18">
      <c r="A18" t="inlineStr">
        <is>
          <t>H66.90</t>
        </is>
      </c>
      <c r="B18" t="inlineStr">
        <is>
          <t>Otitis media, unspecified, unspecified ear</t>
        </is>
      </c>
      <c r="C18" t="inlineStr">
        <is>
          <t>Ear</t>
        </is>
      </c>
      <c r="D18" t="inlineStr">
        <is>
          <t>N</t>
        </is>
      </c>
      <c r="E18" s="31" t="n"/>
    </row>
    <row r="19">
      <c r="A19" t="inlineStr">
        <is>
          <t>I10</t>
        </is>
      </c>
      <c r="B19" t="inlineStr">
        <is>
          <t>Essential (primary) hypertension</t>
        </is>
      </c>
      <c r="C19" t="inlineStr">
        <is>
          <t>Circulatory</t>
        </is>
      </c>
      <c r="D19" t="inlineStr">
        <is>
          <t>Y</t>
        </is>
      </c>
      <c r="E19" s="31" t="n"/>
    </row>
    <row r="20">
      <c r="A20" t="inlineStr">
        <is>
          <t>I21.4</t>
        </is>
      </c>
      <c r="B20" t="inlineStr">
        <is>
          <t>Non-ST elevation (NSTEMI) myocardial infarction</t>
        </is>
      </c>
      <c r="C20" t="inlineStr">
        <is>
          <t>Circulatory</t>
        </is>
      </c>
      <c r="D20" t="inlineStr">
        <is>
          <t>N</t>
        </is>
      </c>
      <c r="E20" s="31" t="n">
        <v>3.4</v>
      </c>
    </row>
    <row r="21">
      <c r="A21" t="inlineStr">
        <is>
          <t>I48.91</t>
        </is>
      </c>
      <c r="B21" t="inlineStr">
        <is>
          <t>Unspecified atrial fibrillation</t>
        </is>
      </c>
      <c r="C21" t="inlineStr">
        <is>
          <t>Circulatory</t>
        </is>
      </c>
      <c r="D21" t="inlineStr">
        <is>
          <t>Y</t>
        </is>
      </c>
      <c r="E21" s="31" t="n">
        <v>2.9</v>
      </c>
    </row>
    <row r="22">
      <c r="A22" t="inlineStr">
        <is>
          <t>I50.9</t>
        </is>
      </c>
      <c r="B22" t="inlineStr">
        <is>
          <t>Heart failure, unspecified</t>
        </is>
      </c>
      <c r="C22" t="inlineStr">
        <is>
          <t>Circulatory</t>
        </is>
      </c>
      <c r="D22" t="inlineStr">
        <is>
          <t>Y</t>
        </is>
      </c>
      <c r="E22" s="31" t="n">
        <v>4.1</v>
      </c>
    </row>
    <row r="23">
      <c r="A23" t="inlineStr">
        <is>
          <t>I63.9</t>
        </is>
      </c>
      <c r="B23" t="inlineStr">
        <is>
          <t>Cerebral infarction, unspecified</t>
        </is>
      </c>
      <c r="C23" t="inlineStr">
        <is>
          <t>Circulatory</t>
        </is>
      </c>
      <c r="D23" t="inlineStr">
        <is>
          <t>N</t>
        </is>
      </c>
      <c r="E23" s="31" t="n">
        <v>4.2</v>
      </c>
    </row>
    <row r="24">
      <c r="A24" t="inlineStr">
        <is>
          <t>J06.9</t>
        </is>
      </c>
      <c r="B24" t="inlineStr">
        <is>
          <t>Acute upper respiratory infection, unspecified</t>
        </is>
      </c>
      <c r="C24" t="inlineStr">
        <is>
          <t>Respiratory</t>
        </is>
      </c>
      <c r="D24" t="inlineStr">
        <is>
          <t>N</t>
        </is>
      </c>
      <c r="E24" s="31" t="n"/>
    </row>
    <row r="25">
      <c r="A25" t="inlineStr">
        <is>
          <t>J18.9</t>
        </is>
      </c>
      <c r="B25" t="inlineStr">
        <is>
          <t>Pneumonia, unspecified organism</t>
        </is>
      </c>
      <c r="C25" t="inlineStr">
        <is>
          <t>Respiratory</t>
        </is>
      </c>
      <c r="D25" t="inlineStr">
        <is>
          <t>N</t>
        </is>
      </c>
      <c r="E25" s="31" t="n">
        <v>3.9</v>
      </c>
    </row>
    <row r="26">
      <c r="A26" t="inlineStr">
        <is>
          <t>J21.9</t>
        </is>
      </c>
      <c r="B26" t="inlineStr">
        <is>
          <t>Acute bronchiolitis, unspecified</t>
        </is>
      </c>
      <c r="C26" t="inlineStr">
        <is>
          <t>Respiratory</t>
        </is>
      </c>
      <c r="D26" t="inlineStr">
        <is>
          <t>N</t>
        </is>
      </c>
      <c r="E26" s="31" t="n">
        <v>2.4</v>
      </c>
    </row>
    <row r="27">
      <c r="A27" t="inlineStr">
        <is>
          <t>J44.1</t>
        </is>
      </c>
      <c r="B27" t="inlineStr">
        <is>
          <t>Chronic obstructive pulmonary disease with (acute) exacerbation</t>
        </is>
      </c>
      <c r="C27" t="inlineStr">
        <is>
          <t>Respiratory</t>
        </is>
      </c>
      <c r="D27" t="inlineStr">
        <is>
          <t>Y</t>
        </is>
      </c>
      <c r="E27" s="31" t="n">
        <v>3.4</v>
      </c>
    </row>
    <row r="28">
      <c r="A28" t="inlineStr">
        <is>
          <t>J45.909</t>
        </is>
      </c>
      <c r="B28" t="inlineStr">
        <is>
          <t>Unspecified asthma, uncomplicated</t>
        </is>
      </c>
      <c r="C28" t="inlineStr">
        <is>
          <t>Respiratory</t>
        </is>
      </c>
      <c r="D28" t="inlineStr">
        <is>
          <t>Y</t>
        </is>
      </c>
      <c r="E28" s="31" t="n">
        <v>2.1</v>
      </c>
    </row>
    <row r="29">
      <c r="A29" t="inlineStr">
        <is>
          <t>J96.01</t>
        </is>
      </c>
      <c r="B29" t="inlineStr">
        <is>
          <t>Acute respiratory failure with hypoxia</t>
        </is>
      </c>
      <c r="C29" t="inlineStr">
        <is>
          <t>Respiratory</t>
        </is>
      </c>
      <c r="D29" t="inlineStr">
        <is>
          <t>N</t>
        </is>
      </c>
      <c r="E29" s="31" t="n">
        <v>4.8</v>
      </c>
    </row>
    <row r="30">
      <c r="A30" t="inlineStr">
        <is>
          <t>K35.80</t>
        </is>
      </c>
      <c r="B30" t="inlineStr">
        <is>
          <t>Unspecified acute appendicitis</t>
        </is>
      </c>
      <c r="C30" t="inlineStr">
        <is>
          <t>Digestive</t>
        </is>
      </c>
      <c r="D30" t="inlineStr">
        <is>
          <t>N</t>
        </is>
      </c>
      <c r="E30" s="31" t="n">
        <v>2</v>
      </c>
    </row>
    <row r="31">
      <c r="A31" t="inlineStr">
        <is>
          <t>K56.609</t>
        </is>
      </c>
      <c r="B31" t="inlineStr">
        <is>
          <t>Unspecified intestinal obstruction</t>
        </is>
      </c>
      <c r="C31" t="inlineStr">
        <is>
          <t>Digestive</t>
        </is>
      </c>
      <c r="D31" t="inlineStr">
        <is>
          <t>N</t>
        </is>
      </c>
      <c r="E31" s="31" t="n">
        <v>4.6</v>
      </c>
    </row>
    <row r="32">
      <c r="A32" t="inlineStr">
        <is>
          <t>K80.20</t>
        </is>
      </c>
      <c r="B32" t="inlineStr">
        <is>
          <t>Calculus of gallbladder without cholecystitis without obstruction</t>
        </is>
      </c>
      <c r="C32" t="inlineStr">
        <is>
          <t>Digestive</t>
        </is>
      </c>
      <c r="D32" t="inlineStr">
        <is>
          <t>N</t>
        </is>
      </c>
      <c r="E32" s="31" t="n">
        <v>1.9</v>
      </c>
    </row>
    <row r="33">
      <c r="A33" t="inlineStr">
        <is>
          <t>K92.2</t>
        </is>
      </c>
      <c r="B33" t="inlineStr">
        <is>
          <t>Gastrointestinal hemorrhage, unspecified</t>
        </is>
      </c>
      <c r="C33" t="inlineStr">
        <is>
          <t>Digestive</t>
        </is>
      </c>
      <c r="D33" t="inlineStr">
        <is>
          <t>N</t>
        </is>
      </c>
      <c r="E33" s="31" t="n">
        <v>3.5</v>
      </c>
    </row>
    <row r="34">
      <c r="A34" t="inlineStr">
        <is>
          <t>L03.115</t>
        </is>
      </c>
      <c r="B34" t="inlineStr">
        <is>
          <t>Cellulitis of right lower limb</t>
        </is>
      </c>
      <c r="C34" t="inlineStr">
        <is>
          <t>Skin</t>
        </is>
      </c>
      <c r="D34" t="inlineStr">
        <is>
          <t>N</t>
        </is>
      </c>
      <c r="E34" s="31" t="n">
        <v>3.4</v>
      </c>
    </row>
    <row r="35">
      <c r="A35" t="inlineStr">
        <is>
          <t>M16.11</t>
        </is>
      </c>
      <c r="B35" t="inlineStr">
        <is>
          <t>Unilateral primary osteoarthritis, right hip</t>
        </is>
      </c>
      <c r="C35" t="inlineStr">
        <is>
          <t>Musculoskeletal</t>
        </is>
      </c>
      <c r="D35" t="inlineStr">
        <is>
          <t>Y</t>
        </is>
      </c>
      <c r="E35" s="31" t="n">
        <v>2.1</v>
      </c>
    </row>
    <row r="36">
      <c r="A36" t="inlineStr">
        <is>
          <t>M17.11</t>
        </is>
      </c>
      <c r="B36" t="inlineStr">
        <is>
          <t>Unilateral primary osteoarthritis, right knee</t>
        </is>
      </c>
      <c r="C36" t="inlineStr">
        <is>
          <t>Musculoskeletal</t>
        </is>
      </c>
      <c r="D36" t="inlineStr">
        <is>
          <t>Y</t>
        </is>
      </c>
      <c r="E36" s="31" t="n">
        <v>2</v>
      </c>
    </row>
    <row r="37">
      <c r="A37" t="inlineStr">
        <is>
          <t>M54.50</t>
        </is>
      </c>
      <c r="B37" t="inlineStr">
        <is>
          <t>Low back pain, unspecified</t>
        </is>
      </c>
      <c r="C37" t="inlineStr">
        <is>
          <t>Musculoskeletal</t>
        </is>
      </c>
      <c r="D37" t="inlineStr">
        <is>
          <t>N</t>
        </is>
      </c>
      <c r="E37" s="31" t="n"/>
    </row>
    <row r="38">
      <c r="A38" t="inlineStr">
        <is>
          <t>N17.9</t>
        </is>
      </c>
      <c r="B38" t="inlineStr">
        <is>
          <t>Acute kidney failure, unspecified</t>
        </is>
      </c>
      <c r="C38" t="inlineStr">
        <is>
          <t>Genitourinary</t>
        </is>
      </c>
      <c r="D38" t="inlineStr">
        <is>
          <t>N</t>
        </is>
      </c>
      <c r="E38" s="31" t="n">
        <v>3.9</v>
      </c>
    </row>
    <row r="39">
      <c r="A39" t="inlineStr">
        <is>
          <t>N39.0</t>
        </is>
      </c>
      <c r="B39" t="inlineStr">
        <is>
          <t>Urinary tract infection, site not specified</t>
        </is>
      </c>
      <c r="C39" t="inlineStr">
        <is>
          <t>Genitourinary</t>
        </is>
      </c>
      <c r="D39" t="inlineStr">
        <is>
          <t>N</t>
        </is>
      </c>
      <c r="E39" s="31" t="n">
        <v>3.1</v>
      </c>
    </row>
    <row r="40">
      <c r="A40" t="inlineStr">
        <is>
          <t>O80</t>
        </is>
      </c>
      <c r="B40" t="inlineStr">
        <is>
          <t>Encounter for full-term uncomplicated delivery</t>
        </is>
      </c>
      <c r="C40" t="inlineStr">
        <is>
          <t>Pregnancy</t>
        </is>
      </c>
      <c r="D40" t="inlineStr">
        <is>
          <t>N</t>
        </is>
      </c>
      <c r="E40" s="31" t="n">
        <v>2</v>
      </c>
    </row>
    <row r="41">
      <c r="A41" t="inlineStr">
        <is>
          <t>O82</t>
        </is>
      </c>
      <c r="B41" t="inlineStr">
        <is>
          <t>Encounter for cesarean delivery without indication</t>
        </is>
      </c>
      <c r="C41" t="inlineStr">
        <is>
          <t>Pregnancy</t>
        </is>
      </c>
      <c r="D41" t="inlineStr">
        <is>
          <t>N</t>
        </is>
      </c>
      <c r="E41" s="31" t="n">
        <v>2.9</v>
      </c>
    </row>
    <row r="42">
      <c r="A42" t="inlineStr">
        <is>
          <t>R07.9</t>
        </is>
      </c>
      <c r="B42" t="inlineStr">
        <is>
          <t>Chest pain, unspecified</t>
        </is>
      </c>
      <c r="C42" t="inlineStr">
        <is>
          <t>Symptoms &amp; Signs</t>
        </is>
      </c>
      <c r="D42" t="inlineStr">
        <is>
          <t>N</t>
        </is>
      </c>
      <c r="E42" s="31" t="n"/>
    </row>
    <row r="43">
      <c r="A43" t="inlineStr">
        <is>
          <t>R10.9</t>
        </is>
      </c>
      <c r="B43" t="inlineStr">
        <is>
          <t>Unspecified abdominal pain</t>
        </is>
      </c>
      <c r="C43" t="inlineStr">
        <is>
          <t>Symptoms &amp; Signs</t>
        </is>
      </c>
      <c r="D43" t="inlineStr">
        <is>
          <t>N</t>
        </is>
      </c>
      <c r="E43" s="31" t="n"/>
    </row>
    <row r="44">
      <c r="A44" t="inlineStr">
        <is>
          <t>R55</t>
        </is>
      </c>
      <c r="B44" t="inlineStr">
        <is>
          <t>Syncope and collapse</t>
        </is>
      </c>
      <c r="C44" t="inlineStr">
        <is>
          <t>Symptoms &amp; Signs</t>
        </is>
      </c>
      <c r="D44" t="inlineStr">
        <is>
          <t>N</t>
        </is>
      </c>
      <c r="E44" s="31" t="n">
        <v>2</v>
      </c>
    </row>
    <row r="45">
      <c r="A45" t="inlineStr">
        <is>
          <t>S06.0X0A</t>
        </is>
      </c>
      <c r="B45" t="inlineStr">
        <is>
          <t>Concussion without loss of consciousness, initial encounter</t>
        </is>
      </c>
      <c r="C45" t="inlineStr">
        <is>
          <t>Injury</t>
        </is>
      </c>
      <c r="D45" t="inlineStr">
        <is>
          <t>N</t>
        </is>
      </c>
      <c r="E45" s="31" t="n"/>
    </row>
    <row r="46">
      <c r="A46" t="inlineStr">
        <is>
          <t>S72.001A</t>
        </is>
      </c>
      <c r="B46" t="inlineStr">
        <is>
          <t>Fracture of unspecified part of neck of right femur, initial encounter</t>
        </is>
      </c>
      <c r="C46" t="inlineStr">
        <is>
          <t>Injury</t>
        </is>
      </c>
      <c r="D46" t="inlineStr">
        <is>
          <t>N</t>
        </is>
      </c>
      <c r="E46" s="31" t="n">
        <v>4.6</v>
      </c>
    </row>
    <row r="47">
      <c r="A47" t="inlineStr">
        <is>
          <t>S93.401A</t>
        </is>
      </c>
      <c r="B47" t="inlineStr">
        <is>
          <t>Sprain of unspecified ligament of right ankle, initial encounter</t>
        </is>
      </c>
      <c r="C47" t="inlineStr">
        <is>
          <t>Injury</t>
        </is>
      </c>
      <c r="D47" t="inlineStr">
        <is>
          <t>N</t>
        </is>
      </c>
      <c r="E47" s="31" t="n"/>
    </row>
    <row r="48">
      <c r="A48" t="inlineStr">
        <is>
          <t>U07.1</t>
        </is>
      </c>
      <c r="B48" t="inlineStr">
        <is>
          <t>COVID-19</t>
        </is>
      </c>
      <c r="C48" t="inlineStr">
        <is>
          <t>Respiratory</t>
        </is>
      </c>
      <c r="D48" t="inlineStr">
        <is>
          <t>N</t>
        </is>
      </c>
      <c r="E48" s="31" t="n">
        <v>4.4</v>
      </c>
    </row>
    <row r="49">
      <c r="A49" t="inlineStr">
        <is>
          <t>Z00.00</t>
        </is>
      </c>
      <c r="B49" t="inlineStr">
        <is>
          <t>Encounter for general adult medical examination without abnormal findings</t>
        </is>
      </c>
      <c r="C49" t="inlineStr">
        <is>
          <t>Factors Influencing Health</t>
        </is>
      </c>
      <c r="D49" t="inlineStr">
        <is>
          <t>N</t>
        </is>
      </c>
      <c r="E49" s="31" t="n"/>
    </row>
    <row r="50">
      <c r="A50" t="inlineStr">
        <is>
          <t>Z00.129</t>
        </is>
      </c>
      <c r="B50" t="inlineStr">
        <is>
          <t>Encounter for routine child health examination without abnormal findings</t>
        </is>
      </c>
      <c r="C50" t="inlineStr">
        <is>
          <t>Factors Influencing Health</t>
        </is>
      </c>
      <c r="D50" t="inlineStr">
        <is>
          <t>N</t>
        </is>
      </c>
      <c r="E50" s="31" t="n"/>
    </row>
    <row r="51">
      <c r="A51" t="inlineStr">
        <is>
          <t>Z23</t>
        </is>
      </c>
      <c r="B51" t="inlineStr">
        <is>
          <t>Encounter for immunization</t>
        </is>
      </c>
      <c r="C51" t="inlineStr">
        <is>
          <t>Factors Influencing Health</t>
        </is>
      </c>
      <c r="D51" t="inlineStr">
        <is>
          <t>N</t>
        </is>
      </c>
      <c r="E51" s="31" t="n"/>
    </row>
    <row r="52">
      <c r="A52" t="inlineStr">
        <is>
          <t>Z51.11</t>
        </is>
      </c>
      <c r="B52" t="inlineStr">
        <is>
          <t>Encounter for antineoplastic chemotherapy</t>
        </is>
      </c>
      <c r="C52" t="inlineStr">
        <is>
          <t>Factors Influencing Health</t>
        </is>
      </c>
      <c r="D52" t="inlineStr">
        <is>
          <t>N</t>
        </is>
      </c>
      <c r="E52" s="31" t="n"/>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9"/>
  <sheetViews>
    <sheetView tabSelected="0" workbookViewId="0">
      <pane ySplit="1" topLeftCell="A2" activePane="bottomLeft" state="frozen"/>
      <selection pane="bottomLeft" activeCell="A1" sqref="A1"/>
    </sheetView>
  </sheetViews>
  <sheetFormatPr baseColWidth="8" defaultRowHeight="15"/>
  <cols>
    <col width="9" customWidth="1" min="1" max="1"/>
    <col width="31" customWidth="1" min="2" max="2"/>
    <col width="20" customWidth="1" min="3" max="3"/>
    <col width="24" customWidth="1" min="4" max="4"/>
    <col width="14" customWidth="1" min="5" max="5"/>
    <col width="18" customWidth="1" min="6" max="6"/>
  </cols>
  <sheetData>
    <row r="1">
      <c r="A1" s="26" t="inlineStr">
        <is>
          <t>PayerID</t>
        </is>
      </c>
      <c r="B1" s="26" t="inlineStr">
        <is>
          <t>PayerName</t>
        </is>
      </c>
      <c r="C1" s="26" t="inlineStr">
        <is>
          <t>PayerType</t>
        </is>
      </c>
      <c r="D1" s="26" t="inlineStr">
        <is>
          <t>AvgAllowedPctOfCharges</t>
        </is>
      </c>
      <c r="E1" s="26" t="inlineStr">
        <is>
          <t>AvgDaysToPay</t>
        </is>
      </c>
      <c r="F1" s="26" t="inlineStr">
        <is>
          <t>TimelyFilingDays</t>
        </is>
      </c>
    </row>
    <row r="2">
      <c r="A2" t="inlineStr">
        <is>
          <t>PY01</t>
        </is>
      </c>
      <c r="B2" t="inlineStr">
        <is>
          <t>Medicare</t>
        </is>
      </c>
      <c r="C2" t="inlineStr">
        <is>
          <t>Government</t>
        </is>
      </c>
      <c r="D2" s="32" t="n">
        <v>0.31</v>
      </c>
      <c r="E2" t="n">
        <v>14</v>
      </c>
      <c r="F2" t="n">
        <v>365</v>
      </c>
    </row>
    <row r="3">
      <c r="A3" t="inlineStr">
        <is>
          <t>PY02</t>
        </is>
      </c>
      <c r="B3" t="inlineStr">
        <is>
          <t>Silverline Medicare Advantage</t>
        </is>
      </c>
      <c r="C3" t="inlineStr">
        <is>
          <t>Medicare Advantage</t>
        </is>
      </c>
      <c r="D3" s="32" t="n">
        <v>0.33</v>
      </c>
      <c r="E3" t="n">
        <v>28</v>
      </c>
      <c r="F3" t="n">
        <v>180</v>
      </c>
    </row>
    <row r="4">
      <c r="A4" t="inlineStr">
        <is>
          <t>PY03</t>
        </is>
      </c>
      <c r="B4" t="inlineStr">
        <is>
          <t>State Medicaid</t>
        </is>
      </c>
      <c r="C4" t="inlineStr">
        <is>
          <t>Government</t>
        </is>
      </c>
      <c r="D4" s="32" t="n">
        <v>0.24</v>
      </c>
      <c r="E4" t="n">
        <v>35</v>
      </c>
      <c r="F4" t="n">
        <v>365</v>
      </c>
    </row>
    <row r="5">
      <c r="A5" t="inlineStr">
        <is>
          <t>PY04</t>
        </is>
      </c>
      <c r="B5" t="inlineStr">
        <is>
          <t>Keystone Health Partners</t>
        </is>
      </c>
      <c r="C5" t="inlineStr">
        <is>
          <t>Commercial</t>
        </is>
      </c>
      <c r="D5" s="32" t="n">
        <v>0.52</v>
      </c>
      <c r="E5" t="n">
        <v>24</v>
      </c>
      <c r="F5" t="n">
        <v>90</v>
      </c>
    </row>
    <row r="6">
      <c r="A6" t="inlineStr">
        <is>
          <t>PY05</t>
        </is>
      </c>
      <c r="B6" t="inlineStr">
        <is>
          <t>Evergreen Mutual Insurance</t>
        </is>
      </c>
      <c r="C6" t="inlineStr">
        <is>
          <t>Commercial</t>
        </is>
      </c>
      <c r="D6" s="32" t="n">
        <v>0.48</v>
      </c>
      <c r="E6" t="n">
        <v>30</v>
      </c>
      <c r="F6" t="n">
        <v>120</v>
      </c>
    </row>
    <row r="7">
      <c r="A7" t="inlineStr">
        <is>
          <t>PY06</t>
        </is>
      </c>
      <c r="B7" t="inlineStr">
        <is>
          <t>Summit Choice PPO</t>
        </is>
      </c>
      <c r="C7" t="inlineStr">
        <is>
          <t>Commercial</t>
        </is>
      </c>
      <c r="D7" s="32" t="n">
        <v>0.55</v>
      </c>
      <c r="E7" t="n">
        <v>21</v>
      </c>
      <c r="F7" t="n">
        <v>90</v>
      </c>
    </row>
    <row r="8">
      <c r="A8" t="inlineStr">
        <is>
          <t>PY07</t>
        </is>
      </c>
      <c r="B8" t="inlineStr">
        <is>
          <t>Self-Pay</t>
        </is>
      </c>
      <c r="C8" t="inlineStr">
        <is>
          <t>Self-Pay</t>
        </is>
      </c>
      <c r="D8" s="32" t="n">
        <v>0.4</v>
      </c>
      <c r="E8" t="n">
        <v>60</v>
      </c>
      <c r="F8" t="n">
        <v>0</v>
      </c>
    </row>
    <row r="9">
      <c r="A9" t="inlineStr">
        <is>
          <t>PY08</t>
        </is>
      </c>
      <c r="B9" t="inlineStr">
        <is>
          <t>Workers' Compensation</t>
        </is>
      </c>
      <c r="C9" t="inlineStr">
        <is>
          <t>Workers' Comp</t>
        </is>
      </c>
      <c r="D9" s="32" t="n">
        <v>0.6</v>
      </c>
      <c r="E9" t="n">
        <v>45</v>
      </c>
      <c r="F9" t="n">
        <v>180</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32"/>
  <sheetViews>
    <sheetView tabSelected="0" workbookViewId="0">
      <pane ySplit="1" topLeftCell="A2" activePane="bottomLeft" state="frozen"/>
      <selection pane="bottomLeft" activeCell="A1" sqref="A1"/>
    </sheetView>
  </sheetViews>
  <sheetFormatPr baseColWidth="8" defaultRowHeight="15"/>
  <cols>
    <col width="9" customWidth="1" min="1" max="1"/>
    <col width="33" customWidth="1" min="2" max="2"/>
    <col width="12" customWidth="1" min="3" max="3"/>
    <col width="19" customWidth="1" min="4" max="4"/>
    <col width="15" customWidth="1" min="5" max="5"/>
    <col width="13" customWidth="1" min="6" max="6"/>
    <col width="12" customWidth="1" min="7" max="7"/>
  </cols>
  <sheetData>
    <row r="1">
      <c r="A1" s="26" t="inlineStr">
        <is>
          <t>DeptID</t>
        </is>
      </c>
      <c r="B1" s="26" t="inlineStr">
        <is>
          <t>DeptName</t>
        </is>
      </c>
      <c r="C1" s="26" t="inlineStr">
        <is>
          <t>FacilityID</t>
        </is>
      </c>
      <c r="D1" s="26" t="inlineStr">
        <is>
          <t>ServiceLine</t>
        </is>
      </c>
      <c r="E1" s="26" t="inlineStr">
        <is>
          <t>UnitType</t>
        </is>
      </c>
      <c r="F1" s="26" t="inlineStr">
        <is>
          <t>StaffedBeds</t>
        </is>
      </c>
      <c r="G1" s="26" t="inlineStr">
        <is>
          <t>CostCenter</t>
        </is>
      </c>
    </row>
    <row r="2">
      <c r="A2" t="inlineStr">
        <is>
          <t>D100</t>
        </is>
      </c>
      <c r="B2" t="inlineStr">
        <is>
          <t>Emergency Department</t>
        </is>
      </c>
      <c r="C2" t="inlineStr">
        <is>
          <t>F01</t>
        </is>
      </c>
      <c r="D2" t="inlineStr">
        <is>
          <t>Emergency</t>
        </is>
      </c>
      <c r="E2" t="inlineStr">
        <is>
          <t>Emergency</t>
        </is>
      </c>
      <c r="G2" t="n">
        <v>6100</v>
      </c>
    </row>
    <row r="3">
      <c r="A3" t="inlineStr">
        <is>
          <t>D110</t>
        </is>
      </c>
      <c r="B3" t="inlineStr">
        <is>
          <t>Medical-Surgical 4 West</t>
        </is>
      </c>
      <c r="C3" t="inlineStr">
        <is>
          <t>F01</t>
        </is>
      </c>
      <c r="D3" t="inlineStr">
        <is>
          <t>Medicine</t>
        </is>
      </c>
      <c r="E3" t="inlineStr">
        <is>
          <t>Inpatient</t>
        </is>
      </c>
      <c r="F3" t="n">
        <v>36</v>
      </c>
      <c r="G3" t="n">
        <v>6110</v>
      </c>
    </row>
    <row r="4">
      <c r="A4" t="inlineStr">
        <is>
          <t>D111</t>
        </is>
      </c>
      <c r="B4" t="inlineStr">
        <is>
          <t>Medical-Surgical 5 East</t>
        </is>
      </c>
      <c r="C4" t="inlineStr">
        <is>
          <t>F01</t>
        </is>
      </c>
      <c r="D4" t="inlineStr">
        <is>
          <t>Medicine</t>
        </is>
      </c>
      <c r="E4" t="inlineStr">
        <is>
          <t>Inpatient</t>
        </is>
      </c>
      <c r="F4" t="n">
        <v>32</v>
      </c>
      <c r="G4" t="n">
        <v>6111</v>
      </c>
    </row>
    <row r="5">
      <c r="A5" t="inlineStr">
        <is>
          <t>D120</t>
        </is>
      </c>
      <c r="B5" t="inlineStr">
        <is>
          <t>Cardiac Step-Down</t>
        </is>
      </c>
      <c r="C5" t="inlineStr">
        <is>
          <t>F01</t>
        </is>
      </c>
      <c r="D5" t="inlineStr">
        <is>
          <t>Cardiovascular</t>
        </is>
      </c>
      <c r="E5" t="inlineStr">
        <is>
          <t>Inpatient</t>
        </is>
      </c>
      <c r="F5" t="n">
        <v>24</v>
      </c>
      <c r="G5" t="n">
        <v>6120</v>
      </c>
    </row>
    <row r="6">
      <c r="A6" t="inlineStr">
        <is>
          <t>D130</t>
        </is>
      </c>
      <c r="B6" t="inlineStr">
        <is>
          <t>Intensive Care Unit</t>
        </is>
      </c>
      <c r="C6" t="inlineStr">
        <is>
          <t>F01</t>
        </is>
      </c>
      <c r="D6" t="inlineStr">
        <is>
          <t>Critical Care</t>
        </is>
      </c>
      <c r="E6" t="inlineStr">
        <is>
          <t>Critical Care</t>
        </is>
      </c>
      <c r="F6" t="n">
        <v>20</v>
      </c>
      <c r="G6" t="n">
        <v>6130</v>
      </c>
    </row>
    <row r="7">
      <c r="A7" t="inlineStr">
        <is>
          <t>D140</t>
        </is>
      </c>
      <c r="B7" t="inlineStr">
        <is>
          <t>Orthopedics &amp; Spine</t>
        </is>
      </c>
      <c r="C7" t="inlineStr">
        <is>
          <t>F01</t>
        </is>
      </c>
      <c r="D7" t="inlineStr">
        <is>
          <t>Orthopedics</t>
        </is>
      </c>
      <c r="E7" t="inlineStr">
        <is>
          <t>Inpatient</t>
        </is>
      </c>
      <c r="F7" t="n">
        <v>22</v>
      </c>
      <c r="G7" t="n">
        <v>6140</v>
      </c>
    </row>
    <row r="8">
      <c r="A8" t="inlineStr">
        <is>
          <t>D150</t>
        </is>
      </c>
      <c r="B8" t="inlineStr">
        <is>
          <t>Oncology</t>
        </is>
      </c>
      <c r="C8" t="inlineStr">
        <is>
          <t>F01</t>
        </is>
      </c>
      <c r="D8" t="inlineStr">
        <is>
          <t>Oncology</t>
        </is>
      </c>
      <c r="E8" t="inlineStr">
        <is>
          <t>Inpatient</t>
        </is>
      </c>
      <c r="F8" t="n">
        <v>18</v>
      </c>
      <c r="G8" t="n">
        <v>6150</v>
      </c>
    </row>
    <row r="9">
      <c r="A9" t="inlineStr">
        <is>
          <t>D160</t>
        </is>
      </c>
      <c r="B9" t="inlineStr">
        <is>
          <t>Neuroscience &amp; Stroke</t>
        </is>
      </c>
      <c r="C9" t="inlineStr">
        <is>
          <t>F01</t>
        </is>
      </c>
      <c r="D9" t="inlineStr">
        <is>
          <t>Neuroscience</t>
        </is>
      </c>
      <c r="E9" t="inlineStr">
        <is>
          <t>Inpatient</t>
        </is>
      </c>
      <c r="F9" t="n">
        <v>16</v>
      </c>
      <c r="G9" t="n">
        <v>6160</v>
      </c>
    </row>
    <row r="10">
      <c r="A10" t="inlineStr">
        <is>
          <t>D170</t>
        </is>
      </c>
      <c r="B10" t="inlineStr">
        <is>
          <t>Labor &amp; Delivery</t>
        </is>
      </c>
      <c r="C10" t="inlineStr">
        <is>
          <t>F01</t>
        </is>
      </c>
      <c r="D10" t="inlineStr">
        <is>
          <t>Women &amp; Children</t>
        </is>
      </c>
      <c r="E10" t="inlineStr">
        <is>
          <t>Inpatient</t>
        </is>
      </c>
      <c r="F10" t="n">
        <v>20</v>
      </c>
      <c r="G10" t="n">
        <v>6170</v>
      </c>
    </row>
    <row r="11">
      <c r="A11" t="inlineStr">
        <is>
          <t>D180</t>
        </is>
      </c>
      <c r="B11" t="inlineStr">
        <is>
          <t>Pediatrics</t>
        </is>
      </c>
      <c r="C11" t="inlineStr">
        <is>
          <t>F01</t>
        </is>
      </c>
      <c r="D11" t="inlineStr">
        <is>
          <t>Women &amp; Children</t>
        </is>
      </c>
      <c r="E11" t="inlineStr">
        <is>
          <t>Inpatient</t>
        </is>
      </c>
      <c r="F11" t="n">
        <v>14</v>
      </c>
      <c r="G11" t="n">
        <v>6180</v>
      </c>
    </row>
    <row r="12">
      <c r="A12" t="inlineStr">
        <is>
          <t>D190</t>
        </is>
      </c>
      <c r="B12" t="inlineStr">
        <is>
          <t>Behavioral Health</t>
        </is>
      </c>
      <c r="C12" t="inlineStr">
        <is>
          <t>F01</t>
        </is>
      </c>
      <c r="D12" t="inlineStr">
        <is>
          <t>Behavioral Health</t>
        </is>
      </c>
      <c r="E12" t="inlineStr">
        <is>
          <t>Inpatient</t>
        </is>
      </c>
      <c r="F12" t="n">
        <v>18</v>
      </c>
      <c r="G12" t="n">
        <v>6190</v>
      </c>
    </row>
    <row r="13">
      <c r="A13" t="inlineStr">
        <is>
          <t>D195</t>
        </is>
      </c>
      <c r="B13" t="inlineStr">
        <is>
          <t>Observation Unit</t>
        </is>
      </c>
      <c r="C13" t="inlineStr">
        <is>
          <t>F01</t>
        </is>
      </c>
      <c r="D13" t="inlineStr">
        <is>
          <t>Medicine</t>
        </is>
      </c>
      <c r="E13" t="inlineStr">
        <is>
          <t>Observation</t>
        </is>
      </c>
      <c r="F13" t="n">
        <v>12</v>
      </c>
      <c r="G13" t="n">
        <v>6195</v>
      </c>
    </row>
    <row r="14">
      <c r="A14" t="inlineStr">
        <is>
          <t>D196</t>
        </is>
      </c>
      <c r="B14" t="inlineStr">
        <is>
          <t>Perioperative Services</t>
        </is>
      </c>
      <c r="C14" t="inlineStr">
        <is>
          <t>F01</t>
        </is>
      </c>
      <c r="D14" t="inlineStr">
        <is>
          <t>Surgery</t>
        </is>
      </c>
      <c r="E14" t="inlineStr">
        <is>
          <t>Ancillary</t>
        </is>
      </c>
      <c r="G14" t="n">
        <v>6196</v>
      </c>
    </row>
    <row r="15">
      <c r="A15" t="inlineStr">
        <is>
          <t>D200</t>
        </is>
      </c>
      <c r="B15" t="inlineStr">
        <is>
          <t>Emergency Department</t>
        </is>
      </c>
      <c r="C15" t="inlineStr">
        <is>
          <t>F02</t>
        </is>
      </c>
      <c r="D15" t="inlineStr">
        <is>
          <t>Emergency</t>
        </is>
      </c>
      <c r="E15" t="inlineStr">
        <is>
          <t>Emergency</t>
        </is>
      </c>
      <c r="G15" t="n">
        <v>6200</v>
      </c>
    </row>
    <row r="16">
      <c r="A16" t="inlineStr">
        <is>
          <t>D210</t>
        </is>
      </c>
      <c r="B16" t="inlineStr">
        <is>
          <t>Medical-Surgical</t>
        </is>
      </c>
      <c r="C16" t="inlineStr">
        <is>
          <t>F02</t>
        </is>
      </c>
      <c r="D16" t="inlineStr">
        <is>
          <t>Medicine</t>
        </is>
      </c>
      <c r="E16" t="inlineStr">
        <is>
          <t>Inpatient</t>
        </is>
      </c>
      <c r="F16" t="n">
        <v>28</v>
      </c>
      <c r="G16" t="n">
        <v>6210</v>
      </c>
    </row>
    <row r="17">
      <c r="A17" t="inlineStr">
        <is>
          <t>D230</t>
        </is>
      </c>
      <c r="B17" t="inlineStr">
        <is>
          <t>Intensive Care Unit</t>
        </is>
      </c>
      <c r="C17" t="inlineStr">
        <is>
          <t>F02</t>
        </is>
      </c>
      <c r="D17" t="inlineStr">
        <is>
          <t>Critical Care</t>
        </is>
      </c>
      <c r="E17" t="inlineStr">
        <is>
          <t>Critical Care</t>
        </is>
      </c>
      <c r="F17" t="n">
        <v>8</v>
      </c>
      <c r="G17" t="n">
        <v>6230</v>
      </c>
    </row>
    <row r="18">
      <c r="A18" t="inlineStr">
        <is>
          <t>D270</t>
        </is>
      </c>
      <c r="B18" t="inlineStr">
        <is>
          <t>Labor &amp; Delivery</t>
        </is>
      </c>
      <c r="C18" t="inlineStr">
        <is>
          <t>F02</t>
        </is>
      </c>
      <c r="D18" t="inlineStr">
        <is>
          <t>Women &amp; Children</t>
        </is>
      </c>
      <c r="E18" t="inlineStr">
        <is>
          <t>Inpatient</t>
        </is>
      </c>
      <c r="F18" t="n">
        <v>10</v>
      </c>
      <c r="G18" t="n">
        <v>6270</v>
      </c>
    </row>
    <row r="19">
      <c r="A19" t="inlineStr">
        <is>
          <t>D300</t>
        </is>
      </c>
      <c r="B19" t="inlineStr">
        <is>
          <t>Emergency Department</t>
        </is>
      </c>
      <c r="C19" t="inlineStr">
        <is>
          <t>F03</t>
        </is>
      </c>
      <c r="D19" t="inlineStr">
        <is>
          <t>Emergency</t>
        </is>
      </c>
      <c r="E19" t="inlineStr">
        <is>
          <t>Emergency</t>
        </is>
      </c>
      <c r="G19" t="n">
        <v>6300</v>
      </c>
    </row>
    <row r="20">
      <c r="A20" t="inlineStr">
        <is>
          <t>D310</t>
        </is>
      </c>
      <c r="B20" t="inlineStr">
        <is>
          <t>Medical-Surgical</t>
        </is>
      </c>
      <c r="C20" t="inlineStr">
        <is>
          <t>F03</t>
        </is>
      </c>
      <c r="D20" t="inlineStr">
        <is>
          <t>Medicine</t>
        </is>
      </c>
      <c r="E20" t="inlineStr">
        <is>
          <t>Inpatient</t>
        </is>
      </c>
      <c r="F20" t="n">
        <v>30</v>
      </c>
      <c r="G20" t="n">
        <v>6310</v>
      </c>
    </row>
    <row r="21">
      <c r="A21" t="inlineStr">
        <is>
          <t>D320</t>
        </is>
      </c>
      <c r="B21" t="inlineStr">
        <is>
          <t>Cardiac Step-Down</t>
        </is>
      </c>
      <c r="C21" t="inlineStr">
        <is>
          <t>F03</t>
        </is>
      </c>
      <c r="D21" t="inlineStr">
        <is>
          <t>Cardiovascular</t>
        </is>
      </c>
      <c r="E21" t="inlineStr">
        <is>
          <t>Inpatient</t>
        </is>
      </c>
      <c r="F21" t="n">
        <v>16</v>
      </c>
      <c r="G21" t="n">
        <v>6320</v>
      </c>
    </row>
    <row r="22">
      <c r="A22" t="inlineStr">
        <is>
          <t>D330</t>
        </is>
      </c>
      <c r="B22" t="inlineStr">
        <is>
          <t>Intensive Care Unit</t>
        </is>
      </c>
      <c r="C22" t="inlineStr">
        <is>
          <t>F03</t>
        </is>
      </c>
      <c r="D22" t="inlineStr">
        <is>
          <t>Critical Care</t>
        </is>
      </c>
      <c r="E22" t="inlineStr">
        <is>
          <t>Critical Care</t>
        </is>
      </c>
      <c r="F22" t="n">
        <v>12</v>
      </c>
      <c r="G22" t="n">
        <v>6330</v>
      </c>
    </row>
    <row r="23">
      <c r="A23" t="inlineStr">
        <is>
          <t>D340</t>
        </is>
      </c>
      <c r="B23" t="inlineStr">
        <is>
          <t>Orthopedics</t>
        </is>
      </c>
      <c r="C23" t="inlineStr">
        <is>
          <t>F03</t>
        </is>
      </c>
      <c r="D23" t="inlineStr">
        <is>
          <t>Orthopedics</t>
        </is>
      </c>
      <c r="E23" t="inlineStr">
        <is>
          <t>Inpatient</t>
        </is>
      </c>
      <c r="F23" t="n">
        <v>14</v>
      </c>
      <c r="G23" t="n">
        <v>6340</v>
      </c>
    </row>
    <row r="24">
      <c r="A24" t="inlineStr">
        <is>
          <t>D400</t>
        </is>
      </c>
      <c r="B24" t="inlineStr">
        <is>
          <t>Primary Care Clinic</t>
        </is>
      </c>
      <c r="C24" t="inlineStr">
        <is>
          <t>F04</t>
        </is>
      </c>
      <c r="D24" t="inlineStr">
        <is>
          <t>Ambulatory</t>
        </is>
      </c>
      <c r="E24" t="inlineStr">
        <is>
          <t>Outpatient</t>
        </is>
      </c>
      <c r="G24" t="n">
        <v>6400</v>
      </c>
    </row>
    <row r="25">
      <c r="A25" t="inlineStr">
        <is>
          <t>D410</t>
        </is>
      </c>
      <c r="B25" t="inlineStr">
        <is>
          <t>Cardiology Clinic</t>
        </is>
      </c>
      <c r="C25" t="inlineStr">
        <is>
          <t>F04</t>
        </is>
      </c>
      <c r="D25" t="inlineStr">
        <is>
          <t>Cardiovascular</t>
        </is>
      </c>
      <c r="E25" t="inlineStr">
        <is>
          <t>Outpatient</t>
        </is>
      </c>
      <c r="G25" t="n">
        <v>6410</v>
      </c>
    </row>
    <row r="26">
      <c r="A26" t="inlineStr">
        <is>
          <t>D420</t>
        </is>
      </c>
      <c r="B26" t="inlineStr">
        <is>
          <t>Orthopedic Clinic</t>
        </is>
      </c>
      <c r="C26" t="inlineStr">
        <is>
          <t>F04</t>
        </is>
      </c>
      <c r="D26" t="inlineStr">
        <is>
          <t>Orthopedics</t>
        </is>
      </c>
      <c r="E26" t="inlineStr">
        <is>
          <t>Outpatient</t>
        </is>
      </c>
      <c r="G26" t="n">
        <v>6420</v>
      </c>
    </row>
    <row r="27">
      <c r="A27" t="inlineStr">
        <is>
          <t>D430</t>
        </is>
      </c>
      <c r="B27" t="inlineStr">
        <is>
          <t>Infusion &amp; Oncology Clinic</t>
        </is>
      </c>
      <c r="C27" t="inlineStr">
        <is>
          <t>F04</t>
        </is>
      </c>
      <c r="D27" t="inlineStr">
        <is>
          <t>Oncology</t>
        </is>
      </c>
      <c r="E27" t="inlineStr">
        <is>
          <t>Outpatient</t>
        </is>
      </c>
      <c r="G27" t="n">
        <v>6430</v>
      </c>
    </row>
    <row r="28">
      <c r="A28" t="inlineStr">
        <is>
          <t>D440</t>
        </is>
      </c>
      <c r="B28" t="inlineStr">
        <is>
          <t>Endocrinology &amp; Diabetes Clinic</t>
        </is>
      </c>
      <c r="C28" t="inlineStr">
        <is>
          <t>F04</t>
        </is>
      </c>
      <c r="D28" t="inlineStr">
        <is>
          <t>Ambulatory</t>
        </is>
      </c>
      <c r="E28" t="inlineStr">
        <is>
          <t>Outpatient</t>
        </is>
      </c>
      <c r="G28" t="n">
        <v>6440</v>
      </c>
    </row>
    <row r="29">
      <c r="A29" t="inlineStr">
        <is>
          <t>D450</t>
        </is>
      </c>
      <c r="B29" t="inlineStr">
        <is>
          <t>Pediatric Clinic</t>
        </is>
      </c>
      <c r="C29" t="inlineStr">
        <is>
          <t>F04</t>
        </is>
      </c>
      <c r="D29" t="inlineStr">
        <is>
          <t>Women &amp; Children</t>
        </is>
      </c>
      <c r="E29" t="inlineStr">
        <is>
          <t>Outpatient</t>
        </is>
      </c>
      <c r="G29" t="n">
        <v>6450</v>
      </c>
    </row>
    <row r="30">
      <c r="A30" t="inlineStr">
        <is>
          <t>D500</t>
        </is>
      </c>
      <c r="B30" t="inlineStr">
        <is>
          <t>Laboratory</t>
        </is>
      </c>
      <c r="C30" t="inlineStr">
        <is>
          <t>F01</t>
        </is>
      </c>
      <c r="D30" t="inlineStr">
        <is>
          <t>Ancillary</t>
        </is>
      </c>
      <c r="E30" t="inlineStr">
        <is>
          <t>Ancillary</t>
        </is>
      </c>
      <c r="G30" t="n">
        <v>6500</v>
      </c>
    </row>
    <row r="31">
      <c r="A31" t="inlineStr">
        <is>
          <t>D510</t>
        </is>
      </c>
      <c r="B31" t="inlineStr">
        <is>
          <t>Radiology</t>
        </is>
      </c>
      <c r="C31" t="inlineStr">
        <is>
          <t>F01</t>
        </is>
      </c>
      <c r="D31" t="inlineStr">
        <is>
          <t>Ancillary</t>
        </is>
      </c>
      <c r="E31" t="inlineStr">
        <is>
          <t>Ancillary</t>
        </is>
      </c>
      <c r="G31" t="n">
        <v>6510</v>
      </c>
    </row>
    <row r="32">
      <c r="A32" t="inlineStr">
        <is>
          <t>D520</t>
        </is>
      </c>
      <c r="B32" t="inlineStr">
        <is>
          <t>Pharmacy</t>
        </is>
      </c>
      <c r="C32" t="inlineStr">
        <is>
          <t>F01</t>
        </is>
      </c>
      <c r="D32" t="inlineStr">
        <is>
          <t>Ancillary</t>
        </is>
      </c>
      <c r="E32" t="inlineStr">
        <is>
          <t>Ancillary</t>
        </is>
      </c>
      <c r="G32" t="n">
        <v>6520</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530"/>
  <sheetViews>
    <sheetView tabSelected="0" workbookViewId="0">
      <pane ySplit="1" topLeftCell="A2" activePane="bottomLeft" state="frozen"/>
      <selection pane="bottomLeft" activeCell="A1" sqref="A1"/>
    </sheetView>
  </sheetViews>
  <sheetFormatPr baseColWidth="8" defaultRowHeight="15"/>
  <cols>
    <col width="11" customWidth="1" min="1" max="1"/>
    <col width="13" customWidth="1" min="2" max="2"/>
    <col width="9" customWidth="1" min="3" max="3"/>
    <col width="12" customWidth="1" min="4" max="4"/>
    <col width="14" customWidth="1" min="5" max="5"/>
    <col width="12" customWidth="1" min="6" max="6"/>
    <col width="16" customWidth="1" min="7" max="7"/>
    <col width="24" customWidth="1" min="8" max="8"/>
  </cols>
  <sheetData>
    <row r="1">
      <c r="A1" s="26" t="inlineStr">
        <is>
          <t>ClaimID</t>
        </is>
      </c>
      <c r="B1" s="26" t="inlineStr">
        <is>
          <t>EncounterID</t>
        </is>
      </c>
      <c r="C1" s="26" t="inlineStr">
        <is>
          <t>PayerID</t>
        </is>
      </c>
      <c r="D1" s="26" t="inlineStr">
        <is>
          <t>SubmitDate</t>
        </is>
      </c>
      <c r="E1" s="26" t="inlineStr">
        <is>
          <t>BilledAmount</t>
        </is>
      </c>
      <c r="F1" s="26" t="inlineStr">
        <is>
          <t>PaidAmount</t>
        </is>
      </c>
      <c r="G1" s="26" t="inlineStr">
        <is>
          <t>ClaimStatus</t>
        </is>
      </c>
      <c r="H1" s="26" t="inlineStr">
        <is>
          <t>DenialReason</t>
        </is>
      </c>
    </row>
    <row r="2">
      <c r="A2" t="inlineStr">
        <is>
          <t>CLM510744</t>
        </is>
      </c>
      <c r="B2" t="inlineStr">
        <is>
          <t>ENC110744</t>
        </is>
      </c>
      <c r="C2" t="inlineStr">
        <is>
          <t>PY01</t>
        </is>
      </c>
      <c r="D2" s="28" t="n">
        <v>45662</v>
      </c>
      <c r="E2" s="29" t="n">
        <v>48442.42</v>
      </c>
      <c r="F2" s="29" t="n">
        <v>13955.32</v>
      </c>
      <c r="G2" t="inlineStr">
        <is>
          <t>Paid</t>
        </is>
      </c>
    </row>
    <row r="3">
      <c r="A3" t="inlineStr">
        <is>
          <t>CLM510776</t>
        </is>
      </c>
      <c r="B3" t="inlineStr">
        <is>
          <t>ENC110776</t>
        </is>
      </c>
      <c r="C3" t="inlineStr">
        <is>
          <t>PY05</t>
        </is>
      </c>
      <c r="D3" s="28" t="n">
        <v>45661</v>
      </c>
      <c r="E3" s="29" t="n">
        <v>304.68</v>
      </c>
      <c r="F3" s="29" t="n">
        <v>128.86</v>
      </c>
      <c r="G3" t="inlineStr">
        <is>
          <t>Paid</t>
        </is>
      </c>
    </row>
    <row r="4">
      <c r="A4" t="inlineStr">
        <is>
          <t>CLM510790</t>
        </is>
      </c>
      <c r="B4" t="inlineStr">
        <is>
          <t>ENC110790</t>
        </is>
      </c>
      <c r="C4" t="inlineStr">
        <is>
          <t>PY03</t>
        </is>
      </c>
      <c r="D4" s="28" t="n">
        <v>45662</v>
      </c>
      <c r="E4" s="29" t="n">
        <v>1281.12</v>
      </c>
      <c r="F4" s="29" t="n">
        <v>324.23</v>
      </c>
      <c r="G4" t="inlineStr">
        <is>
          <t>Paid</t>
        </is>
      </c>
    </row>
    <row r="5">
      <c r="A5" t="inlineStr">
        <is>
          <t>CLM510816</t>
        </is>
      </c>
      <c r="B5" t="inlineStr">
        <is>
          <t>ENC110816</t>
        </is>
      </c>
      <c r="C5" t="inlineStr">
        <is>
          <t>PY06</t>
        </is>
      </c>
      <c r="D5" s="28" t="n">
        <v>45664</v>
      </c>
      <c r="E5" s="29" t="n">
        <v>413.97</v>
      </c>
      <c r="F5" s="29" t="n">
        <v>191.08</v>
      </c>
      <c r="G5" t="inlineStr">
        <is>
          <t>Paid</t>
        </is>
      </c>
    </row>
    <row r="6">
      <c r="A6" t="inlineStr">
        <is>
          <t>CLM510831</t>
        </is>
      </c>
      <c r="B6" t="inlineStr">
        <is>
          <t>ENC110831</t>
        </is>
      </c>
      <c r="C6" t="inlineStr">
        <is>
          <t>PY02</t>
        </is>
      </c>
      <c r="D6" s="28" t="n">
        <v>45666</v>
      </c>
      <c r="E6" s="29" t="n">
        <v>4715.78</v>
      </c>
      <c r="F6" s="29" t="n">
        <v>1576.43</v>
      </c>
      <c r="G6" t="inlineStr">
        <is>
          <t>Paid</t>
        </is>
      </c>
    </row>
    <row r="7">
      <c r="A7" t="inlineStr">
        <is>
          <t>CLM510868</t>
        </is>
      </c>
      <c r="B7" t="inlineStr">
        <is>
          <t>ENC110868</t>
        </is>
      </c>
      <c r="C7" t="inlineStr">
        <is>
          <t>PY01</t>
        </is>
      </c>
      <c r="D7" s="28" t="n">
        <v>45667</v>
      </c>
      <c r="E7" s="29" t="n">
        <v>1451.71</v>
      </c>
      <c r="F7" s="29" t="n">
        <v>401.85</v>
      </c>
      <c r="G7" t="inlineStr">
        <is>
          <t>Paid</t>
        </is>
      </c>
    </row>
    <row r="8">
      <c r="A8" t="inlineStr">
        <is>
          <t>CLM510893</t>
        </is>
      </c>
      <c r="B8" t="inlineStr">
        <is>
          <t>ENC110893</t>
        </is>
      </c>
      <c r="C8" t="inlineStr">
        <is>
          <t>PY04</t>
        </is>
      </c>
      <c r="D8" s="28" t="n">
        <v>45672</v>
      </c>
      <c r="E8" s="29" t="n">
        <v>276.25</v>
      </c>
      <c r="F8" s="29" t="n">
        <v>75.93000000000001</v>
      </c>
      <c r="G8" t="inlineStr">
        <is>
          <t>Partially Paid</t>
        </is>
      </c>
      <c r="H8" t="inlineStr">
        <is>
          <t>Coding Error</t>
        </is>
      </c>
    </row>
    <row r="9">
      <c r="A9" t="inlineStr">
        <is>
          <t>CLM510900</t>
        </is>
      </c>
      <c r="B9" t="inlineStr">
        <is>
          <t>ENC110900</t>
        </is>
      </c>
      <c r="C9" t="inlineStr">
        <is>
          <t>PY04</t>
        </is>
      </c>
      <c r="D9" s="28" t="n">
        <v>45673</v>
      </c>
      <c r="E9" s="29" t="n">
        <v>13917.66</v>
      </c>
      <c r="F9" s="29" t="n">
        <v>7630.44</v>
      </c>
      <c r="G9" t="inlineStr">
        <is>
          <t>Paid</t>
        </is>
      </c>
    </row>
    <row r="10">
      <c r="A10" t="inlineStr">
        <is>
          <t>CLM510954</t>
        </is>
      </c>
      <c r="B10" t="inlineStr">
        <is>
          <t>ENC110954</t>
        </is>
      </c>
      <c r="C10" t="inlineStr">
        <is>
          <t>PY03</t>
        </is>
      </c>
      <c r="D10" s="28" t="n">
        <v>45670</v>
      </c>
      <c r="E10" s="29" t="n">
        <v>22267.85</v>
      </c>
      <c r="F10" s="29" t="n">
        <v>5119.15</v>
      </c>
      <c r="G10" t="inlineStr">
        <is>
          <t>Paid</t>
        </is>
      </c>
    </row>
    <row r="11">
      <c r="A11" t="inlineStr">
        <is>
          <t>CLM510967</t>
        </is>
      </c>
      <c r="B11" t="inlineStr">
        <is>
          <t>ENC110967</t>
        </is>
      </c>
      <c r="C11" t="inlineStr">
        <is>
          <t>PY06</t>
        </is>
      </c>
      <c r="D11" s="28" t="n">
        <v>45673</v>
      </c>
      <c r="E11" s="29" t="n">
        <v>27045.66</v>
      </c>
      <c r="F11" s="29" t="n">
        <v>14232.83</v>
      </c>
      <c r="G11" t="inlineStr">
        <is>
          <t>Paid</t>
        </is>
      </c>
    </row>
    <row r="12">
      <c r="A12" t="inlineStr">
        <is>
          <t>CLM510975</t>
        </is>
      </c>
      <c r="B12" t="inlineStr">
        <is>
          <t>ENC110975</t>
        </is>
      </c>
      <c r="C12" t="inlineStr">
        <is>
          <t>PY01</t>
        </is>
      </c>
      <c r="D12" s="28" t="n">
        <v>45672</v>
      </c>
      <c r="E12" s="29" t="n">
        <v>29564.23</v>
      </c>
      <c r="F12" s="29" t="n">
        <v>9291.379999999999</v>
      </c>
      <c r="G12" t="inlineStr">
        <is>
          <t>Paid</t>
        </is>
      </c>
    </row>
    <row r="13">
      <c r="A13" t="inlineStr">
        <is>
          <t>CLM510989</t>
        </is>
      </c>
      <c r="B13" t="inlineStr">
        <is>
          <t>ENC110989</t>
        </is>
      </c>
      <c r="C13" t="inlineStr">
        <is>
          <t>PY01</t>
        </is>
      </c>
      <c r="D13" s="28" t="n">
        <v>45667</v>
      </c>
      <c r="E13" s="29" t="n">
        <v>3793.84</v>
      </c>
      <c r="F13" s="29" t="n">
        <v>1085.27</v>
      </c>
      <c r="G13" t="inlineStr">
        <is>
          <t>Paid</t>
        </is>
      </c>
    </row>
    <row r="14">
      <c r="A14" t="inlineStr">
        <is>
          <t>CLM511004</t>
        </is>
      </c>
      <c r="B14" t="inlineStr">
        <is>
          <t>ENC111004</t>
        </is>
      </c>
      <c r="C14" t="inlineStr">
        <is>
          <t>PY02</t>
        </is>
      </c>
      <c r="D14" s="28" t="n">
        <v>45678</v>
      </c>
      <c r="E14" s="29" t="n">
        <v>9111.799999999999</v>
      </c>
      <c r="F14" s="29" t="n">
        <v>1433.31</v>
      </c>
      <c r="G14" t="inlineStr">
        <is>
          <t>Partially Paid</t>
        </is>
      </c>
      <c r="H14" t="inlineStr">
        <is>
          <t>Coding Error</t>
        </is>
      </c>
    </row>
    <row r="15">
      <c r="A15" t="inlineStr">
        <is>
          <t>CLM511012</t>
        </is>
      </c>
      <c r="B15" t="inlineStr">
        <is>
          <t>ENC111012</t>
        </is>
      </c>
      <c r="C15" t="inlineStr">
        <is>
          <t>PY06</t>
        </is>
      </c>
      <c r="D15" s="28" t="n">
        <v>45674</v>
      </c>
      <c r="E15" s="29" t="n">
        <v>19563.2</v>
      </c>
      <c r="F15" s="29" t="n">
        <v>8552.32</v>
      </c>
      <c r="G15" t="inlineStr">
        <is>
          <t>Paid</t>
        </is>
      </c>
    </row>
    <row r="16">
      <c r="A16" t="inlineStr">
        <is>
          <t>CLM511021</t>
        </is>
      </c>
      <c r="B16" t="inlineStr">
        <is>
          <t>ENC111021</t>
        </is>
      </c>
      <c r="C16" t="inlineStr">
        <is>
          <t>PY04</t>
        </is>
      </c>
      <c r="D16" s="28" t="n">
        <v>45671</v>
      </c>
      <c r="E16" s="29" t="n">
        <v>1433.77</v>
      </c>
      <c r="F16" s="29" t="n">
        <v>677.28</v>
      </c>
      <c r="G16" t="inlineStr">
        <is>
          <t>Paid</t>
        </is>
      </c>
    </row>
    <row r="17">
      <c r="A17" t="inlineStr">
        <is>
          <t>CLM511059</t>
        </is>
      </c>
      <c r="B17" t="inlineStr">
        <is>
          <t>ENC111059</t>
        </is>
      </c>
      <c r="C17" t="inlineStr">
        <is>
          <t>PY02</t>
        </is>
      </c>
      <c r="D17" s="28" t="n">
        <v>45673</v>
      </c>
      <c r="E17" s="29" t="n">
        <v>1491.72</v>
      </c>
      <c r="F17" s="29" t="n">
        <v>456.37</v>
      </c>
      <c r="G17" t="inlineStr">
        <is>
          <t>Paid</t>
        </is>
      </c>
    </row>
    <row r="18">
      <c r="A18" t="inlineStr">
        <is>
          <t>CLM511076</t>
        </is>
      </c>
      <c r="B18" t="inlineStr">
        <is>
          <t>ENC111076</t>
        </is>
      </c>
      <c r="C18" t="inlineStr">
        <is>
          <t>PY01</t>
        </is>
      </c>
      <c r="D18" s="28" t="n">
        <v>45679</v>
      </c>
      <c r="E18" s="29" t="n">
        <v>1231.96</v>
      </c>
      <c r="F18" s="29" t="n">
        <v>322.82</v>
      </c>
      <c r="G18" t="inlineStr">
        <is>
          <t>Paid</t>
        </is>
      </c>
    </row>
    <row r="19">
      <c r="A19" t="inlineStr">
        <is>
          <t>CLM511248</t>
        </is>
      </c>
      <c r="B19" t="inlineStr">
        <is>
          <t>ENC111248</t>
        </is>
      </c>
      <c r="C19" t="inlineStr">
        <is>
          <t>PY05</t>
        </is>
      </c>
      <c r="D19" s="28" t="n">
        <v>45681</v>
      </c>
      <c r="E19" s="29" t="n">
        <v>1582.78</v>
      </c>
      <c r="F19" s="29" t="n">
        <v>695.66</v>
      </c>
      <c r="G19" t="inlineStr">
        <is>
          <t>Paid</t>
        </is>
      </c>
    </row>
    <row r="20">
      <c r="A20" t="inlineStr">
        <is>
          <t>CLM511256</t>
        </is>
      </c>
      <c r="B20" t="inlineStr">
        <is>
          <t>ENC111256</t>
        </is>
      </c>
      <c r="C20" t="inlineStr">
        <is>
          <t>PY02</t>
        </is>
      </c>
      <c r="D20" s="28" t="n">
        <v>45682</v>
      </c>
      <c r="E20" s="29" t="n">
        <v>5112.95</v>
      </c>
      <c r="F20" s="29" t="n">
        <v>1676.22</v>
      </c>
      <c r="G20" t="inlineStr">
        <is>
          <t>Paid</t>
        </is>
      </c>
    </row>
    <row r="21">
      <c r="A21" t="inlineStr">
        <is>
          <t>CLM511322</t>
        </is>
      </c>
      <c r="B21" t="inlineStr">
        <is>
          <t>ENC111322</t>
        </is>
      </c>
      <c r="C21" t="inlineStr">
        <is>
          <t>PY01</t>
        </is>
      </c>
      <c r="D21" s="28" t="n">
        <v>45684</v>
      </c>
      <c r="E21" s="29" t="n">
        <v>301.2</v>
      </c>
      <c r="F21" s="29" t="n">
        <v>100.08</v>
      </c>
      <c r="G21" t="inlineStr">
        <is>
          <t>Paid</t>
        </is>
      </c>
    </row>
    <row r="22">
      <c r="A22" t="inlineStr">
        <is>
          <t>CLM511363</t>
        </is>
      </c>
      <c r="B22" t="inlineStr">
        <is>
          <t>ENC111363</t>
        </is>
      </c>
      <c r="C22" t="inlineStr">
        <is>
          <t>PY07</t>
        </is>
      </c>
      <c r="D22" s="28" t="n">
        <v>45679</v>
      </c>
      <c r="E22" s="29" t="n">
        <v>1251.14</v>
      </c>
      <c r="F22" s="29" t="n">
        <v>0</v>
      </c>
      <c r="G22" t="inlineStr">
        <is>
          <t>Pending</t>
        </is>
      </c>
    </row>
    <row r="23">
      <c r="A23" t="inlineStr">
        <is>
          <t>CLM511365</t>
        </is>
      </c>
      <c r="B23" t="inlineStr">
        <is>
          <t>ENC111365</t>
        </is>
      </c>
      <c r="C23" t="inlineStr">
        <is>
          <t>PY01</t>
        </is>
      </c>
      <c r="D23" s="28" t="n">
        <v>45688</v>
      </c>
      <c r="E23" s="29" t="n">
        <v>832.97</v>
      </c>
      <c r="F23" s="29" t="n">
        <v>217.47</v>
      </c>
      <c r="G23" t="inlineStr">
        <is>
          <t>Paid</t>
        </is>
      </c>
    </row>
    <row r="24">
      <c r="A24" t="inlineStr">
        <is>
          <t>CLM511373</t>
        </is>
      </c>
      <c r="B24" t="inlineStr">
        <is>
          <t>ENC111373</t>
        </is>
      </c>
      <c r="C24" t="inlineStr">
        <is>
          <t>PY01</t>
        </is>
      </c>
      <c r="D24" s="28" t="n">
        <v>45679</v>
      </c>
      <c r="E24" s="29" t="n">
        <v>3103</v>
      </c>
      <c r="F24" s="29" t="n">
        <v>796.8200000000001</v>
      </c>
      <c r="G24" t="inlineStr">
        <is>
          <t>Paid</t>
        </is>
      </c>
    </row>
    <row r="25">
      <c r="A25" t="inlineStr">
        <is>
          <t>CLM511390</t>
        </is>
      </c>
      <c r="B25" t="inlineStr">
        <is>
          <t>ENC111390</t>
        </is>
      </c>
      <c r="C25" t="inlineStr">
        <is>
          <t>PY01</t>
        </is>
      </c>
      <c r="D25" s="28" t="n">
        <v>45686</v>
      </c>
      <c r="E25" s="29" t="n">
        <v>14358.29</v>
      </c>
      <c r="F25" s="29" t="n">
        <v>4242.44</v>
      </c>
      <c r="G25" t="inlineStr">
        <is>
          <t>Paid</t>
        </is>
      </c>
    </row>
    <row r="26">
      <c r="A26" t="inlineStr">
        <is>
          <t>CLM511404</t>
        </is>
      </c>
      <c r="B26" t="inlineStr">
        <is>
          <t>ENC111404</t>
        </is>
      </c>
      <c r="C26" t="inlineStr">
        <is>
          <t>PY02</t>
        </is>
      </c>
      <c r="D26" s="28" t="n">
        <v>45683</v>
      </c>
      <c r="E26" s="29" t="n">
        <v>814.6</v>
      </c>
      <c r="F26" s="29" t="n">
        <v>264.51</v>
      </c>
      <c r="G26" t="inlineStr">
        <is>
          <t>Paid</t>
        </is>
      </c>
    </row>
    <row r="27">
      <c r="A27" t="inlineStr">
        <is>
          <t>CLM511406</t>
        </is>
      </c>
      <c r="B27" t="inlineStr">
        <is>
          <t>ENC111406</t>
        </is>
      </c>
      <c r="C27" t="inlineStr">
        <is>
          <t>PY06</t>
        </is>
      </c>
      <c r="D27" s="28" t="n">
        <v>45685</v>
      </c>
      <c r="E27" s="29" t="n">
        <v>419.56</v>
      </c>
      <c r="F27" s="29" t="n">
        <v>193.38</v>
      </c>
      <c r="G27" t="inlineStr">
        <is>
          <t>Paid</t>
        </is>
      </c>
    </row>
    <row r="28">
      <c r="A28" t="inlineStr">
        <is>
          <t>CLM511429</t>
        </is>
      </c>
      <c r="B28" t="inlineStr">
        <is>
          <t>ENC111429</t>
        </is>
      </c>
      <c r="C28" t="inlineStr">
        <is>
          <t>PY05</t>
        </is>
      </c>
      <c r="D28" s="28" t="n">
        <v>45680</v>
      </c>
      <c r="E28" s="29" t="n">
        <v>183.73</v>
      </c>
      <c r="F28" s="29" t="n">
        <v>93.18000000000001</v>
      </c>
      <c r="G28" t="inlineStr">
        <is>
          <t>Paid</t>
        </is>
      </c>
    </row>
    <row r="29">
      <c r="A29" t="inlineStr">
        <is>
          <t>CLM511464</t>
        </is>
      </c>
      <c r="B29" t="inlineStr">
        <is>
          <t>ENC111464</t>
        </is>
      </c>
      <c r="C29" t="inlineStr">
        <is>
          <t>PY01</t>
        </is>
      </c>
      <c r="D29" s="28" t="n">
        <v>45683</v>
      </c>
      <c r="E29" s="29" t="n">
        <v>314.83</v>
      </c>
      <c r="F29" s="29" t="n">
        <v>72.95999999999999</v>
      </c>
      <c r="G29" t="inlineStr">
        <is>
          <t>Paid</t>
        </is>
      </c>
    </row>
    <row r="30">
      <c r="A30" t="inlineStr">
        <is>
          <t>CLM511502</t>
        </is>
      </c>
      <c r="B30" t="inlineStr">
        <is>
          <t>ENC111502</t>
        </is>
      </c>
      <c r="C30" t="inlineStr">
        <is>
          <t>PY07</t>
        </is>
      </c>
      <c r="D30" s="28" t="n">
        <v>45683</v>
      </c>
      <c r="E30" s="29" t="n">
        <v>333.74</v>
      </c>
      <c r="F30" s="29" t="n">
        <v>99.93000000000001</v>
      </c>
      <c r="G30" t="inlineStr">
        <is>
          <t>Partially Paid</t>
        </is>
      </c>
    </row>
    <row r="31">
      <c r="A31" t="inlineStr">
        <is>
          <t>CLM511516</t>
        </is>
      </c>
      <c r="B31" t="inlineStr">
        <is>
          <t>ENC111516</t>
        </is>
      </c>
      <c r="C31" t="inlineStr">
        <is>
          <t>PY05</t>
        </is>
      </c>
      <c r="D31" s="28" t="n">
        <v>45695</v>
      </c>
      <c r="E31" s="29" t="n">
        <v>439.38</v>
      </c>
      <c r="F31" s="29" t="n">
        <v>191.21</v>
      </c>
      <c r="G31" t="inlineStr">
        <is>
          <t>Paid</t>
        </is>
      </c>
    </row>
    <row r="32">
      <c r="A32" t="inlineStr">
        <is>
          <t>CLM511557</t>
        </is>
      </c>
      <c r="B32" t="inlineStr">
        <is>
          <t>ENC111557</t>
        </is>
      </c>
      <c r="C32" t="inlineStr">
        <is>
          <t>PY05</t>
        </is>
      </c>
      <c r="D32" s="28" t="n">
        <v>45694</v>
      </c>
      <c r="E32" s="29" t="n">
        <v>97.76000000000001</v>
      </c>
      <c r="F32" s="29" t="n">
        <v>40.34</v>
      </c>
      <c r="G32" t="inlineStr">
        <is>
          <t>Paid</t>
        </is>
      </c>
    </row>
    <row r="33">
      <c r="A33" t="inlineStr">
        <is>
          <t>CLM511573</t>
        </is>
      </c>
      <c r="B33" t="inlineStr">
        <is>
          <t>ENC111573</t>
        </is>
      </c>
      <c r="C33" t="inlineStr">
        <is>
          <t>PY01</t>
        </is>
      </c>
      <c r="D33" s="28" t="n">
        <v>45686</v>
      </c>
      <c r="E33" s="29" t="n">
        <v>287.64</v>
      </c>
      <c r="F33" s="29" t="n">
        <v>86.34</v>
      </c>
      <c r="G33" t="inlineStr">
        <is>
          <t>Paid</t>
        </is>
      </c>
    </row>
    <row r="34">
      <c r="A34" t="inlineStr">
        <is>
          <t>CLM511622</t>
        </is>
      </c>
      <c r="B34" t="inlineStr">
        <is>
          <t>ENC111622</t>
        </is>
      </c>
      <c r="C34" t="inlineStr">
        <is>
          <t>PY07</t>
        </is>
      </c>
      <c r="D34" s="28" t="n">
        <v>45690</v>
      </c>
      <c r="E34" s="29" t="n">
        <v>1638.03</v>
      </c>
      <c r="F34" s="29" t="n">
        <v>289.56</v>
      </c>
      <c r="G34" t="inlineStr">
        <is>
          <t>Partially Paid</t>
        </is>
      </c>
    </row>
    <row r="35">
      <c r="A35" t="inlineStr">
        <is>
          <t>CLM511630</t>
        </is>
      </c>
      <c r="B35" t="inlineStr">
        <is>
          <t>ENC111630</t>
        </is>
      </c>
      <c r="C35" t="inlineStr">
        <is>
          <t>PY04</t>
        </is>
      </c>
      <c r="D35" s="28" t="n">
        <v>45688</v>
      </c>
      <c r="E35" s="29" t="n">
        <v>23953.88</v>
      </c>
      <c r="F35" s="29" t="n">
        <v>12380.9</v>
      </c>
      <c r="G35" t="inlineStr">
        <is>
          <t>Paid</t>
        </is>
      </c>
    </row>
    <row r="36">
      <c r="A36" t="inlineStr">
        <is>
          <t>CLM511635</t>
        </is>
      </c>
      <c r="B36" t="inlineStr">
        <is>
          <t>ENC111635</t>
        </is>
      </c>
      <c r="C36" t="inlineStr">
        <is>
          <t>PY04</t>
        </is>
      </c>
      <c r="D36" s="28" t="n">
        <v>45691</v>
      </c>
      <c r="E36" s="29" t="n">
        <v>3205.92</v>
      </c>
      <c r="F36" s="29" t="n">
        <v>1085.22</v>
      </c>
      <c r="G36" t="inlineStr">
        <is>
          <t>Partially Paid</t>
        </is>
      </c>
      <c r="H36" t="inlineStr">
        <is>
          <t>Medical Necessity</t>
        </is>
      </c>
    </row>
    <row r="37">
      <c r="A37" t="inlineStr">
        <is>
          <t>CLM511645</t>
        </is>
      </c>
      <c r="B37" t="inlineStr">
        <is>
          <t>ENC111645</t>
        </is>
      </c>
      <c r="C37" t="inlineStr">
        <is>
          <t>PY03</t>
        </is>
      </c>
      <c r="D37" s="28" t="n">
        <v>45689</v>
      </c>
      <c r="E37" s="29" t="n">
        <v>464.35</v>
      </c>
      <c r="F37" s="29" t="n">
        <v>109.16</v>
      </c>
      <c r="G37" t="inlineStr">
        <is>
          <t>Paid</t>
        </is>
      </c>
    </row>
    <row r="38">
      <c r="A38" t="inlineStr">
        <is>
          <t>CLM511653</t>
        </is>
      </c>
      <c r="B38" t="inlineStr">
        <is>
          <t>ENC111653</t>
        </is>
      </c>
      <c r="C38" t="inlineStr">
        <is>
          <t>PY07</t>
        </is>
      </c>
      <c r="D38" s="28" t="n">
        <v>45690</v>
      </c>
      <c r="E38" s="29" t="n">
        <v>246.09</v>
      </c>
      <c r="F38" s="29" t="n">
        <v>30.75</v>
      </c>
      <c r="G38" t="inlineStr">
        <is>
          <t>Partially Paid</t>
        </is>
      </c>
    </row>
    <row r="39">
      <c r="A39" t="inlineStr">
        <is>
          <t>CLM511655</t>
        </is>
      </c>
      <c r="B39" t="inlineStr">
        <is>
          <t>ENC111655</t>
        </is>
      </c>
      <c r="C39" t="inlineStr">
        <is>
          <t>PY01</t>
        </is>
      </c>
      <c r="D39" s="28" t="n">
        <v>45690</v>
      </c>
      <c r="E39" s="29" t="n">
        <v>409.24</v>
      </c>
      <c r="F39" s="29" t="n">
        <v>119.72</v>
      </c>
      <c r="G39" t="inlineStr">
        <is>
          <t>Paid</t>
        </is>
      </c>
    </row>
    <row r="40">
      <c r="A40" t="inlineStr">
        <is>
          <t>CLM511690</t>
        </is>
      </c>
      <c r="B40" t="inlineStr">
        <is>
          <t>ENC111690</t>
        </is>
      </c>
      <c r="C40" t="inlineStr">
        <is>
          <t>PY01</t>
        </is>
      </c>
      <c r="D40" s="28" t="n">
        <v>45687</v>
      </c>
      <c r="E40" s="29" t="n">
        <v>380.08</v>
      </c>
      <c r="F40" s="29" t="n">
        <v>100.94</v>
      </c>
      <c r="G40" t="inlineStr">
        <is>
          <t>Paid</t>
        </is>
      </c>
    </row>
    <row r="41">
      <c r="A41" t="inlineStr">
        <is>
          <t>CLM511703</t>
        </is>
      </c>
      <c r="B41" t="inlineStr">
        <is>
          <t>ENC111703</t>
        </is>
      </c>
      <c r="C41" t="inlineStr">
        <is>
          <t>PY01</t>
        </is>
      </c>
      <c r="D41" s="28" t="n">
        <v>45695</v>
      </c>
      <c r="E41" s="29" t="n">
        <v>127.86</v>
      </c>
      <c r="F41" s="29" t="n">
        <v>31.53</v>
      </c>
      <c r="G41" t="inlineStr">
        <is>
          <t>Paid</t>
        </is>
      </c>
    </row>
    <row r="42">
      <c r="A42" t="inlineStr">
        <is>
          <t>CLM511708</t>
        </is>
      </c>
      <c r="B42" t="inlineStr">
        <is>
          <t>ENC111708</t>
        </is>
      </c>
      <c r="C42" t="inlineStr">
        <is>
          <t>PY08</t>
        </is>
      </c>
      <c r="D42" s="28" t="n">
        <v>45692</v>
      </c>
      <c r="E42" s="29" t="n">
        <v>215.19</v>
      </c>
      <c r="F42" s="29" t="n">
        <v>124.12</v>
      </c>
      <c r="G42" t="inlineStr">
        <is>
          <t>Paid</t>
        </is>
      </c>
    </row>
    <row r="43">
      <c r="A43" t="inlineStr">
        <is>
          <t>CLM511747</t>
        </is>
      </c>
      <c r="B43" t="inlineStr">
        <is>
          <t>ENC111747</t>
        </is>
      </c>
      <c r="C43" t="inlineStr">
        <is>
          <t>PY03</t>
        </is>
      </c>
      <c r="D43" s="28" t="n">
        <v>45690</v>
      </c>
      <c r="E43" s="29" t="n">
        <v>227.45</v>
      </c>
      <c r="F43" s="29" t="n">
        <v>57.11</v>
      </c>
      <c r="G43" t="inlineStr">
        <is>
          <t>Paid</t>
        </is>
      </c>
    </row>
    <row r="44">
      <c r="A44" t="inlineStr">
        <is>
          <t>CLM511766</t>
        </is>
      </c>
      <c r="B44" t="inlineStr">
        <is>
          <t>ENC111766</t>
        </is>
      </c>
      <c r="C44" t="inlineStr">
        <is>
          <t>PY02</t>
        </is>
      </c>
      <c r="D44" s="28" t="n">
        <v>45694</v>
      </c>
      <c r="E44" s="29" t="n">
        <v>18554.49</v>
      </c>
      <c r="F44" s="29" t="n">
        <v>0</v>
      </c>
      <c r="G44" t="inlineStr">
        <is>
          <t>Appealed</t>
        </is>
      </c>
      <c r="H44" t="inlineStr">
        <is>
          <t>Authorization Required</t>
        </is>
      </c>
    </row>
    <row r="45">
      <c r="A45" t="inlineStr">
        <is>
          <t>CLM511800</t>
        </is>
      </c>
      <c r="B45" t="inlineStr">
        <is>
          <t>ENC111800</t>
        </is>
      </c>
      <c r="C45" t="inlineStr">
        <is>
          <t>PY03</t>
        </is>
      </c>
      <c r="D45" s="28" t="n">
        <v>45690</v>
      </c>
      <c r="E45" s="29" t="n">
        <v>144.72</v>
      </c>
      <c r="F45" s="29" t="n">
        <v>34.93</v>
      </c>
      <c r="G45" t="inlineStr">
        <is>
          <t>Paid</t>
        </is>
      </c>
    </row>
    <row r="46">
      <c r="A46" t="inlineStr">
        <is>
          <t>CLM511807</t>
        </is>
      </c>
      <c r="B46" t="inlineStr">
        <is>
          <t>ENC111807</t>
        </is>
      </c>
      <c r="C46" t="inlineStr">
        <is>
          <t>PY06</t>
        </is>
      </c>
      <c r="D46" s="28" t="n">
        <v>45691</v>
      </c>
      <c r="E46" s="29" t="n">
        <v>481.8</v>
      </c>
      <c r="F46" s="29" t="n">
        <v>0</v>
      </c>
      <c r="G46" t="inlineStr">
        <is>
          <t>Appealed</t>
        </is>
      </c>
      <c r="H46" t="inlineStr">
        <is>
          <t>Authorization Required</t>
        </is>
      </c>
    </row>
    <row r="47">
      <c r="A47" t="inlineStr">
        <is>
          <t>CLM511831</t>
        </is>
      </c>
      <c r="B47" t="inlineStr">
        <is>
          <t>ENC111831</t>
        </is>
      </c>
      <c r="C47" t="inlineStr">
        <is>
          <t>PY06</t>
        </is>
      </c>
      <c r="D47" s="28" t="n">
        <v>45696</v>
      </c>
      <c r="E47" s="29" t="n">
        <v>6655.98</v>
      </c>
      <c r="F47" s="29" t="n">
        <v>2610.74</v>
      </c>
      <c r="G47" t="inlineStr">
        <is>
          <t>Partially Paid</t>
        </is>
      </c>
      <c r="H47" t="inlineStr">
        <is>
          <t>Medical Necessity</t>
        </is>
      </c>
    </row>
    <row r="48">
      <c r="A48" t="inlineStr">
        <is>
          <t>CLM511870</t>
        </is>
      </c>
      <c r="B48" t="inlineStr">
        <is>
          <t>ENC111870</t>
        </is>
      </c>
      <c r="C48" t="inlineStr">
        <is>
          <t>PY02</t>
        </is>
      </c>
      <c r="D48" s="28" t="n">
        <v>45706</v>
      </c>
      <c r="E48" s="29" t="n">
        <v>41069.82</v>
      </c>
      <c r="F48" s="29" t="n">
        <v>14729.1</v>
      </c>
      <c r="G48" t="inlineStr">
        <is>
          <t>Paid</t>
        </is>
      </c>
    </row>
    <row r="49">
      <c r="A49" t="inlineStr">
        <is>
          <t>CLM511908</t>
        </is>
      </c>
      <c r="B49" t="inlineStr">
        <is>
          <t>ENC111908</t>
        </is>
      </c>
      <c r="C49" t="inlineStr">
        <is>
          <t>PY02</t>
        </is>
      </c>
      <c r="D49" s="28" t="n">
        <v>45700</v>
      </c>
      <c r="E49" s="29" t="n">
        <v>400.73</v>
      </c>
      <c r="F49" s="29" t="n">
        <v>111.28</v>
      </c>
      <c r="G49" t="inlineStr">
        <is>
          <t>Paid</t>
        </is>
      </c>
    </row>
    <row r="50">
      <c r="A50" t="inlineStr">
        <is>
          <t>CLM511915</t>
        </is>
      </c>
      <c r="B50" t="inlineStr">
        <is>
          <t>ENC111915</t>
        </is>
      </c>
      <c r="C50" t="inlineStr">
        <is>
          <t>PY06</t>
        </is>
      </c>
      <c r="D50" s="28" t="n">
        <v>45696</v>
      </c>
      <c r="E50" s="29" t="n">
        <v>11943.22</v>
      </c>
      <c r="F50" s="29" t="n">
        <v>0</v>
      </c>
      <c r="G50" t="inlineStr">
        <is>
          <t>Appealed</t>
        </is>
      </c>
      <c r="H50" t="inlineStr">
        <is>
          <t>Medical Necessity</t>
        </is>
      </c>
    </row>
    <row r="51">
      <c r="A51" t="inlineStr">
        <is>
          <t>CLM511940</t>
        </is>
      </c>
      <c r="B51" t="inlineStr">
        <is>
          <t>ENC111940</t>
        </is>
      </c>
      <c r="C51" t="inlineStr">
        <is>
          <t>PY06</t>
        </is>
      </c>
      <c r="D51" s="28" t="n">
        <v>45698</v>
      </c>
      <c r="E51" s="29" t="n">
        <v>15797.68</v>
      </c>
      <c r="F51" s="29" t="n">
        <v>7636.16</v>
      </c>
      <c r="G51" t="inlineStr">
        <is>
          <t>Paid</t>
        </is>
      </c>
    </row>
    <row r="52">
      <c r="A52" t="inlineStr">
        <is>
          <t>CLM511948</t>
        </is>
      </c>
      <c r="B52" t="inlineStr">
        <is>
          <t>ENC111948</t>
        </is>
      </c>
      <c r="C52" t="inlineStr">
        <is>
          <t>PY04</t>
        </is>
      </c>
      <c r="D52" s="28" t="n">
        <v>45697</v>
      </c>
      <c r="E52" s="29" t="n">
        <v>8783.5</v>
      </c>
      <c r="F52" s="29" t="n">
        <v>4251.05</v>
      </c>
      <c r="G52" t="inlineStr">
        <is>
          <t>Paid</t>
        </is>
      </c>
    </row>
    <row r="53">
      <c r="A53" t="inlineStr">
        <is>
          <t>CLM511971</t>
        </is>
      </c>
      <c r="B53" t="inlineStr">
        <is>
          <t>ENC111971</t>
        </is>
      </c>
      <c r="C53" t="inlineStr">
        <is>
          <t>PY01</t>
        </is>
      </c>
      <c r="D53" s="28" t="n">
        <v>45695</v>
      </c>
      <c r="E53" s="29" t="n">
        <v>10434.15</v>
      </c>
      <c r="F53" s="29" t="n">
        <v>2792.93</v>
      </c>
      <c r="G53" t="inlineStr">
        <is>
          <t>Paid</t>
        </is>
      </c>
    </row>
    <row r="54">
      <c r="A54" t="inlineStr">
        <is>
          <t>CLM512002</t>
        </is>
      </c>
      <c r="B54" t="inlineStr">
        <is>
          <t>ENC112002</t>
        </is>
      </c>
      <c r="C54" t="inlineStr">
        <is>
          <t>PY05</t>
        </is>
      </c>
      <c r="D54" s="28" t="n">
        <v>45695</v>
      </c>
      <c r="E54" s="29" t="n">
        <v>822.11</v>
      </c>
      <c r="F54" s="29" t="n">
        <v>342.21</v>
      </c>
      <c r="G54" t="inlineStr">
        <is>
          <t>Paid</t>
        </is>
      </c>
    </row>
    <row r="55">
      <c r="A55" t="inlineStr">
        <is>
          <t>CLM512018</t>
        </is>
      </c>
      <c r="B55" t="inlineStr">
        <is>
          <t>ENC112018</t>
        </is>
      </c>
      <c r="C55" t="inlineStr">
        <is>
          <t>PY06</t>
        </is>
      </c>
      <c r="D55" s="28" t="n">
        <v>45700</v>
      </c>
      <c r="E55" s="29" t="n">
        <v>10682.86</v>
      </c>
      <c r="F55" s="29" t="n">
        <v>4879.83</v>
      </c>
      <c r="G55" t="inlineStr">
        <is>
          <t>Paid</t>
        </is>
      </c>
    </row>
    <row r="56">
      <c r="A56" t="inlineStr">
        <is>
          <t>CLM512054</t>
        </is>
      </c>
      <c r="B56" t="inlineStr">
        <is>
          <t>ENC112054</t>
        </is>
      </c>
      <c r="C56" t="inlineStr">
        <is>
          <t>PY07</t>
        </is>
      </c>
      <c r="D56" s="28" t="n">
        <v>45702</v>
      </c>
      <c r="E56" s="29" t="n">
        <v>1377.56</v>
      </c>
      <c r="F56" s="29" t="n">
        <v>0</v>
      </c>
      <c r="G56" t="inlineStr">
        <is>
          <t>Pending</t>
        </is>
      </c>
    </row>
    <row r="57">
      <c r="A57" t="inlineStr">
        <is>
          <t>CLM512071</t>
        </is>
      </c>
      <c r="B57" t="inlineStr">
        <is>
          <t>ENC112071</t>
        </is>
      </c>
      <c r="C57" t="inlineStr">
        <is>
          <t>PY02</t>
        </is>
      </c>
      <c r="D57" s="28" t="n">
        <v>45703</v>
      </c>
      <c r="E57" s="29" t="n">
        <v>167.4</v>
      </c>
      <c r="F57" s="29" t="n">
        <v>53.21</v>
      </c>
      <c r="G57" t="inlineStr">
        <is>
          <t>Paid</t>
        </is>
      </c>
    </row>
    <row r="58">
      <c r="A58" t="inlineStr">
        <is>
          <t>CLM512121</t>
        </is>
      </c>
      <c r="B58" t="inlineStr">
        <is>
          <t>ENC112121</t>
        </is>
      </c>
      <c r="C58" t="inlineStr">
        <is>
          <t>PY01</t>
        </is>
      </c>
      <c r="D58" s="28" t="n">
        <v>45699</v>
      </c>
      <c r="E58" s="29" t="n">
        <v>1384.47</v>
      </c>
      <c r="F58" s="29" t="n">
        <v>343.32</v>
      </c>
      <c r="G58" t="inlineStr">
        <is>
          <t>Paid</t>
        </is>
      </c>
    </row>
    <row r="59">
      <c r="A59" t="inlineStr">
        <is>
          <t>CLM512123</t>
        </is>
      </c>
      <c r="B59" t="inlineStr">
        <is>
          <t>ENC112123</t>
        </is>
      </c>
      <c r="C59" t="inlineStr">
        <is>
          <t>PY02</t>
        </is>
      </c>
      <c r="D59" s="28" t="n">
        <v>45699</v>
      </c>
      <c r="E59" s="29" t="n">
        <v>2433.62</v>
      </c>
      <c r="F59" s="29" t="n">
        <v>852.3099999999999</v>
      </c>
      <c r="G59" t="inlineStr">
        <is>
          <t>Paid</t>
        </is>
      </c>
    </row>
    <row r="60">
      <c r="A60" t="inlineStr">
        <is>
          <t>CLM512125</t>
        </is>
      </c>
      <c r="B60" t="inlineStr">
        <is>
          <t>ENC112125</t>
        </is>
      </c>
      <c r="C60" t="inlineStr">
        <is>
          <t>PY03</t>
        </is>
      </c>
      <c r="D60" s="28" t="n">
        <v>45702</v>
      </c>
      <c r="E60" s="29" t="n">
        <v>2841.48</v>
      </c>
      <c r="F60" s="29" t="n">
        <v>0</v>
      </c>
      <c r="G60" t="inlineStr">
        <is>
          <t>Denied</t>
        </is>
      </c>
      <c r="H60" t="inlineStr">
        <is>
          <t>Eligibility / Coverage</t>
        </is>
      </c>
    </row>
    <row r="61">
      <c r="A61" t="inlineStr">
        <is>
          <t>CLM512134</t>
        </is>
      </c>
      <c r="B61" t="inlineStr">
        <is>
          <t>ENC112134</t>
        </is>
      </c>
      <c r="C61" t="inlineStr">
        <is>
          <t>PY01</t>
        </is>
      </c>
      <c r="D61" s="28" t="n">
        <v>45700</v>
      </c>
      <c r="E61" s="29" t="n">
        <v>2421.07</v>
      </c>
      <c r="F61" s="29" t="n">
        <v>573.03</v>
      </c>
      <c r="G61" t="inlineStr">
        <is>
          <t>Paid</t>
        </is>
      </c>
    </row>
    <row r="62">
      <c r="A62" t="inlineStr">
        <is>
          <t>CLM512140</t>
        </is>
      </c>
      <c r="B62" t="inlineStr">
        <is>
          <t>ENC112140</t>
        </is>
      </c>
      <c r="C62" t="inlineStr">
        <is>
          <t>PY03</t>
        </is>
      </c>
      <c r="D62" s="28" t="n">
        <v>45702</v>
      </c>
      <c r="E62" s="29" t="n">
        <v>667.09</v>
      </c>
      <c r="F62" s="29" t="n">
        <v>151.36</v>
      </c>
      <c r="G62" t="inlineStr">
        <is>
          <t>Paid</t>
        </is>
      </c>
    </row>
    <row r="63">
      <c r="A63" t="inlineStr">
        <is>
          <t>CLM512190</t>
        </is>
      </c>
      <c r="B63" t="inlineStr">
        <is>
          <t>ENC112190</t>
        </is>
      </c>
      <c r="C63" t="inlineStr">
        <is>
          <t>PY01</t>
        </is>
      </c>
      <c r="D63" s="28" t="n">
        <v>45701</v>
      </c>
      <c r="E63" s="29" t="n">
        <v>11960.67</v>
      </c>
      <c r="F63" s="29" t="n">
        <v>0</v>
      </c>
      <c r="G63" t="inlineStr">
        <is>
          <t>Denied</t>
        </is>
      </c>
      <c r="H63" t="inlineStr">
        <is>
          <t>Authorization Required</t>
        </is>
      </c>
    </row>
    <row r="64">
      <c r="A64" t="inlineStr">
        <is>
          <t>CLM512214</t>
        </is>
      </c>
      <c r="B64" t="inlineStr">
        <is>
          <t>ENC112214</t>
        </is>
      </c>
      <c r="C64" t="inlineStr">
        <is>
          <t>PY02</t>
        </is>
      </c>
      <c r="D64" s="28" t="n">
        <v>45700</v>
      </c>
      <c r="E64" s="29" t="n">
        <v>120.55</v>
      </c>
      <c r="F64" s="29" t="n">
        <v>38.26</v>
      </c>
      <c r="G64" t="inlineStr">
        <is>
          <t>Paid</t>
        </is>
      </c>
    </row>
    <row r="65">
      <c r="A65" t="inlineStr">
        <is>
          <t>CLM512216</t>
        </is>
      </c>
      <c r="B65" t="inlineStr">
        <is>
          <t>ENC112216</t>
        </is>
      </c>
      <c r="C65" t="inlineStr">
        <is>
          <t>PY03</t>
        </is>
      </c>
      <c r="D65" s="28" t="n">
        <v>45703</v>
      </c>
      <c r="E65" s="29" t="n">
        <v>312.53</v>
      </c>
      <c r="F65" s="29" t="n">
        <v>79.89</v>
      </c>
      <c r="G65" t="inlineStr">
        <is>
          <t>Paid</t>
        </is>
      </c>
    </row>
    <row r="66">
      <c r="A66" t="inlineStr">
        <is>
          <t>CLM512229</t>
        </is>
      </c>
      <c r="B66" t="inlineStr">
        <is>
          <t>ENC112229</t>
        </is>
      </c>
      <c r="C66" t="inlineStr">
        <is>
          <t>PY06</t>
        </is>
      </c>
      <c r="D66" s="28" t="n">
        <v>45704</v>
      </c>
      <c r="E66" s="29" t="n">
        <v>310.35</v>
      </c>
      <c r="F66" s="29" t="n">
        <v>82.51000000000001</v>
      </c>
      <c r="G66" t="inlineStr">
        <is>
          <t>Partially Paid</t>
        </is>
      </c>
      <c r="H66" t="inlineStr">
        <is>
          <t>Medical Necessity</t>
        </is>
      </c>
    </row>
    <row r="67">
      <c r="A67" t="inlineStr">
        <is>
          <t>CLM512238</t>
        </is>
      </c>
      <c r="B67" t="inlineStr">
        <is>
          <t>ENC112238</t>
        </is>
      </c>
      <c r="C67" t="inlineStr">
        <is>
          <t>PY02</t>
        </is>
      </c>
      <c r="D67" s="28" t="n">
        <v>45706</v>
      </c>
      <c r="E67" s="29" t="n">
        <v>371.65</v>
      </c>
      <c r="F67" s="29" t="n">
        <v>111.25</v>
      </c>
      <c r="G67" t="inlineStr">
        <is>
          <t>Paid</t>
        </is>
      </c>
    </row>
    <row r="68">
      <c r="A68" t="inlineStr">
        <is>
          <t>CLM512242</t>
        </is>
      </c>
      <c r="B68" t="inlineStr">
        <is>
          <t>ENC112242</t>
        </is>
      </c>
      <c r="C68" t="inlineStr">
        <is>
          <t>PY04</t>
        </is>
      </c>
      <c r="D68" s="28" t="n">
        <v>45708</v>
      </c>
      <c r="E68" s="29" t="n">
        <v>4132.17</v>
      </c>
      <c r="F68" s="29" t="n">
        <v>2050.58</v>
      </c>
      <c r="G68" t="inlineStr">
        <is>
          <t>Paid</t>
        </is>
      </c>
    </row>
    <row r="69">
      <c r="A69" t="inlineStr">
        <is>
          <t>CLM512248</t>
        </is>
      </c>
      <c r="B69" t="inlineStr">
        <is>
          <t>ENC112248</t>
        </is>
      </c>
      <c r="C69" t="inlineStr">
        <is>
          <t>PY06</t>
        </is>
      </c>
      <c r="D69" s="28" t="n">
        <v>45704</v>
      </c>
      <c r="E69" s="29" t="n">
        <v>1556.37</v>
      </c>
      <c r="F69" s="29" t="n">
        <v>777.62</v>
      </c>
      <c r="G69" t="inlineStr">
        <is>
          <t>Paid</t>
        </is>
      </c>
    </row>
    <row r="70">
      <c r="A70" t="inlineStr">
        <is>
          <t>CLM512276</t>
        </is>
      </c>
      <c r="B70" t="inlineStr">
        <is>
          <t>ENC112276</t>
        </is>
      </c>
      <c r="C70" t="inlineStr">
        <is>
          <t>PY03</t>
        </is>
      </c>
      <c r="D70" s="28" t="n">
        <v>45703</v>
      </c>
      <c r="E70" s="29" t="n">
        <v>7176.34</v>
      </c>
      <c r="F70" s="29" t="n">
        <v>1849.37</v>
      </c>
      <c r="G70" t="inlineStr">
        <is>
          <t>Paid</t>
        </is>
      </c>
    </row>
    <row r="71">
      <c r="A71" t="inlineStr">
        <is>
          <t>CLM512293</t>
        </is>
      </c>
      <c r="B71" t="inlineStr">
        <is>
          <t>ENC112293</t>
        </is>
      </c>
      <c r="C71" t="inlineStr">
        <is>
          <t>PY07</t>
        </is>
      </c>
      <c r="D71" s="28" t="n">
        <v>45702</v>
      </c>
      <c r="E71" s="29" t="n">
        <v>219.14</v>
      </c>
      <c r="F71" s="29" t="n">
        <v>89.12</v>
      </c>
      <c r="G71" t="inlineStr">
        <is>
          <t>Paid</t>
        </is>
      </c>
    </row>
    <row r="72">
      <c r="A72" t="inlineStr">
        <is>
          <t>CLM512304</t>
        </is>
      </c>
      <c r="B72" t="inlineStr">
        <is>
          <t>ENC112304</t>
        </is>
      </c>
      <c r="C72" t="inlineStr">
        <is>
          <t>PY04</t>
        </is>
      </c>
      <c r="D72" s="28" t="n">
        <v>45709</v>
      </c>
      <c r="E72" s="29" t="n">
        <v>455.73</v>
      </c>
      <c r="F72" s="29" t="n">
        <v>218.91</v>
      </c>
      <c r="G72" t="inlineStr">
        <is>
          <t>Paid</t>
        </is>
      </c>
    </row>
    <row r="73">
      <c r="A73" t="inlineStr">
        <is>
          <t>CLM512339</t>
        </is>
      </c>
      <c r="B73" t="inlineStr">
        <is>
          <t>ENC112339</t>
        </is>
      </c>
      <c r="C73" t="inlineStr">
        <is>
          <t>PY03</t>
        </is>
      </c>
      <c r="D73" s="28" t="n">
        <v>45707</v>
      </c>
      <c r="E73" s="29" t="n">
        <v>41912.67</v>
      </c>
      <c r="F73" s="29" t="n">
        <v>10106.43</v>
      </c>
      <c r="G73" t="inlineStr">
        <is>
          <t>Paid</t>
        </is>
      </c>
    </row>
    <row r="74">
      <c r="A74" t="inlineStr">
        <is>
          <t>CLM512353</t>
        </is>
      </c>
      <c r="B74" t="inlineStr">
        <is>
          <t>ENC112353</t>
        </is>
      </c>
      <c r="C74" t="inlineStr">
        <is>
          <t>PY06</t>
        </is>
      </c>
      <c r="D74" s="28" t="n">
        <v>45706</v>
      </c>
      <c r="E74" s="29" t="n">
        <v>274.78</v>
      </c>
      <c r="F74" s="29" t="n">
        <v>137.43</v>
      </c>
      <c r="G74" t="inlineStr">
        <is>
          <t>Paid</t>
        </is>
      </c>
    </row>
    <row r="75">
      <c r="A75" t="inlineStr">
        <is>
          <t>CLM512387</t>
        </is>
      </c>
      <c r="B75" t="inlineStr">
        <is>
          <t>ENC112387</t>
        </is>
      </c>
      <c r="C75" t="inlineStr">
        <is>
          <t>PY03</t>
        </is>
      </c>
      <c r="D75" s="28" t="n">
        <v>45713</v>
      </c>
      <c r="E75" s="29" t="n">
        <v>46669.36</v>
      </c>
      <c r="F75" s="29" t="n">
        <v>11958.82</v>
      </c>
      <c r="G75" t="inlineStr">
        <is>
          <t>Paid</t>
        </is>
      </c>
    </row>
    <row r="76">
      <c r="A76" t="inlineStr">
        <is>
          <t>CLM512390</t>
        </is>
      </c>
      <c r="B76" t="inlineStr">
        <is>
          <t>ENC112390</t>
        </is>
      </c>
      <c r="C76" t="inlineStr">
        <is>
          <t>PY03</t>
        </is>
      </c>
      <c r="D76" s="28" t="n">
        <v>45705</v>
      </c>
      <c r="E76" s="29" t="n">
        <v>3249.09</v>
      </c>
      <c r="F76" s="29" t="n">
        <v>836.9400000000001</v>
      </c>
      <c r="G76" t="inlineStr">
        <is>
          <t>Paid</t>
        </is>
      </c>
    </row>
    <row r="77">
      <c r="A77" t="inlineStr">
        <is>
          <t>CLM512425</t>
        </is>
      </c>
      <c r="B77" t="inlineStr">
        <is>
          <t>ENC112425</t>
        </is>
      </c>
      <c r="C77" t="inlineStr">
        <is>
          <t>PY03</t>
        </is>
      </c>
      <c r="D77" s="28" t="n">
        <v>45714</v>
      </c>
      <c r="E77" s="29" t="n">
        <v>13882.72</v>
      </c>
      <c r="F77" s="29" t="n">
        <v>2789.62</v>
      </c>
      <c r="G77" t="inlineStr">
        <is>
          <t>Partially Paid</t>
        </is>
      </c>
      <c r="H77" t="inlineStr">
        <is>
          <t>Coding Error</t>
        </is>
      </c>
    </row>
    <row r="78">
      <c r="A78" t="inlineStr">
        <is>
          <t>CLM512456</t>
        </is>
      </c>
      <c r="B78" t="inlineStr">
        <is>
          <t>ENC112456</t>
        </is>
      </c>
      <c r="C78" t="inlineStr">
        <is>
          <t>PY06</t>
        </is>
      </c>
      <c r="D78" s="28" t="n">
        <v>45715</v>
      </c>
      <c r="E78" s="29" t="n">
        <v>180.08</v>
      </c>
      <c r="F78" s="29" t="n">
        <v>86.05</v>
      </c>
      <c r="G78" t="inlineStr">
        <is>
          <t>Paid</t>
        </is>
      </c>
    </row>
    <row r="79">
      <c r="A79" t="inlineStr">
        <is>
          <t>CLM512474</t>
        </is>
      </c>
      <c r="B79" t="inlineStr">
        <is>
          <t>ENC112474</t>
        </is>
      </c>
      <c r="C79" t="inlineStr">
        <is>
          <t>PY03</t>
        </is>
      </c>
      <c r="D79" s="28" t="n">
        <v>45720</v>
      </c>
      <c r="E79" s="29" t="n">
        <v>75194</v>
      </c>
      <c r="F79" s="29" t="n">
        <v>0</v>
      </c>
      <c r="G79" t="inlineStr">
        <is>
          <t>Denied</t>
        </is>
      </c>
      <c r="H79" t="inlineStr">
        <is>
          <t>Authorization Required</t>
        </is>
      </c>
    </row>
    <row r="80">
      <c r="A80" t="inlineStr">
        <is>
          <t>CLM512491</t>
        </is>
      </c>
      <c r="B80" t="inlineStr">
        <is>
          <t>ENC112491</t>
        </is>
      </c>
      <c r="C80" t="inlineStr">
        <is>
          <t>PY06</t>
        </is>
      </c>
      <c r="D80" s="28" t="n">
        <v>45719</v>
      </c>
      <c r="E80" s="29" t="n">
        <v>32312.46</v>
      </c>
      <c r="F80" s="29" t="n">
        <v>15162.19</v>
      </c>
      <c r="G80" t="inlineStr">
        <is>
          <t>Paid</t>
        </is>
      </c>
    </row>
    <row r="81">
      <c r="A81" t="inlineStr">
        <is>
          <t>CLM512498</t>
        </is>
      </c>
      <c r="B81" t="inlineStr">
        <is>
          <t>ENC112498</t>
        </is>
      </c>
      <c r="C81" t="inlineStr">
        <is>
          <t>PY01</t>
        </is>
      </c>
      <c r="D81" s="28" t="n">
        <v>45711</v>
      </c>
      <c r="E81" s="29" t="n">
        <v>320.34</v>
      </c>
      <c r="F81" s="29" t="n">
        <v>90.02</v>
      </c>
      <c r="G81" t="inlineStr">
        <is>
          <t>Paid</t>
        </is>
      </c>
    </row>
    <row r="82">
      <c r="A82" t="inlineStr">
        <is>
          <t>CLM512518</t>
        </is>
      </c>
      <c r="B82" t="inlineStr">
        <is>
          <t>ENC112518</t>
        </is>
      </c>
      <c r="C82" t="inlineStr">
        <is>
          <t>PY01</t>
        </is>
      </c>
      <c r="D82" s="28" t="n">
        <v>45717</v>
      </c>
      <c r="E82" s="29" t="n">
        <v>3760.62</v>
      </c>
      <c r="F82" s="29" t="n">
        <v>1024.92</v>
      </c>
      <c r="G82" t="inlineStr">
        <is>
          <t>Paid</t>
        </is>
      </c>
    </row>
    <row r="83">
      <c r="A83" t="inlineStr">
        <is>
          <t>CLM512519</t>
        </is>
      </c>
      <c r="B83" t="inlineStr">
        <is>
          <t>ENC112519</t>
        </is>
      </c>
      <c r="C83" t="inlineStr">
        <is>
          <t>PY06</t>
        </is>
      </c>
      <c r="D83" s="28" t="n">
        <v>45712</v>
      </c>
      <c r="E83" s="29" t="n">
        <v>2374.12</v>
      </c>
      <c r="F83" s="29" t="n">
        <v>1151.72</v>
      </c>
      <c r="G83" t="inlineStr">
        <is>
          <t>Paid</t>
        </is>
      </c>
    </row>
    <row r="84">
      <c r="A84" t="inlineStr">
        <is>
          <t>CLM512530</t>
        </is>
      </c>
      <c r="B84" t="inlineStr">
        <is>
          <t>ENC112530</t>
        </is>
      </c>
      <c r="C84" t="inlineStr">
        <is>
          <t>PY04</t>
        </is>
      </c>
      <c r="D84" s="28" t="n">
        <v>45723</v>
      </c>
      <c r="E84" s="29" t="n">
        <v>2632.22</v>
      </c>
      <c r="F84" s="29" t="n">
        <v>1364.82</v>
      </c>
      <c r="G84" t="inlineStr">
        <is>
          <t>Paid</t>
        </is>
      </c>
    </row>
    <row r="85">
      <c r="A85" t="inlineStr">
        <is>
          <t>CLM512551</t>
        </is>
      </c>
      <c r="B85" t="inlineStr">
        <is>
          <t>ENC112551</t>
        </is>
      </c>
      <c r="C85" t="inlineStr">
        <is>
          <t>PY01</t>
        </is>
      </c>
      <c r="D85" s="28" t="n">
        <v>45713</v>
      </c>
      <c r="E85" s="29" t="n">
        <v>432.07</v>
      </c>
      <c r="F85" s="29" t="n">
        <v>122.96</v>
      </c>
      <c r="G85" t="inlineStr">
        <is>
          <t>Paid</t>
        </is>
      </c>
    </row>
    <row r="86">
      <c r="A86" t="inlineStr">
        <is>
          <t>CLM512635</t>
        </is>
      </c>
      <c r="B86" t="inlineStr">
        <is>
          <t>ENC112635</t>
        </is>
      </c>
      <c r="C86" t="inlineStr">
        <is>
          <t>PY06</t>
        </is>
      </c>
      <c r="D86" s="28" t="n">
        <v>45713</v>
      </c>
      <c r="E86" s="29" t="n">
        <v>759.35</v>
      </c>
      <c r="F86" s="29" t="n">
        <v>0</v>
      </c>
      <c r="G86" t="inlineStr">
        <is>
          <t>Denied</t>
        </is>
      </c>
      <c r="H86" t="inlineStr">
        <is>
          <t>Medical Necessity</t>
        </is>
      </c>
    </row>
    <row r="87">
      <c r="A87" t="inlineStr">
        <is>
          <t>CLM512653</t>
        </is>
      </c>
      <c r="B87" t="inlineStr">
        <is>
          <t>ENC112653</t>
        </is>
      </c>
      <c r="C87" t="inlineStr">
        <is>
          <t>PY07</t>
        </is>
      </c>
      <c r="D87" s="28" t="n">
        <v>45715</v>
      </c>
      <c r="E87" s="29" t="n">
        <v>13180.64</v>
      </c>
      <c r="F87" s="29" t="n">
        <v>1168.36</v>
      </c>
      <c r="G87" t="inlineStr">
        <is>
          <t>Partially Paid</t>
        </is>
      </c>
    </row>
    <row r="88">
      <c r="A88" t="inlineStr">
        <is>
          <t>CLM512669</t>
        </is>
      </c>
      <c r="B88" t="inlineStr">
        <is>
          <t>ENC112669</t>
        </is>
      </c>
      <c r="C88" t="inlineStr">
        <is>
          <t>PY03</t>
        </is>
      </c>
      <c r="D88" s="28" t="n">
        <v>45715</v>
      </c>
      <c r="E88" s="29" t="n">
        <v>156.78</v>
      </c>
      <c r="F88" s="29" t="n">
        <v>39.1</v>
      </c>
      <c r="G88" t="inlineStr">
        <is>
          <t>Paid</t>
        </is>
      </c>
    </row>
    <row r="89">
      <c r="A89" t="inlineStr">
        <is>
          <t>CLM512678</t>
        </is>
      </c>
      <c r="B89" t="inlineStr">
        <is>
          <t>ENC112678</t>
        </is>
      </c>
      <c r="C89" t="inlineStr">
        <is>
          <t>PY04</t>
        </is>
      </c>
      <c r="D89" s="28" t="n">
        <v>45717</v>
      </c>
      <c r="E89" s="29" t="n">
        <v>13568.87</v>
      </c>
      <c r="F89" s="29" t="n">
        <v>0</v>
      </c>
      <c r="G89" t="inlineStr">
        <is>
          <t>Appealed</t>
        </is>
      </c>
      <c r="H89" t="inlineStr">
        <is>
          <t>Coding Error</t>
        </is>
      </c>
    </row>
    <row r="90">
      <c r="A90" t="inlineStr">
        <is>
          <t>CLM512711</t>
        </is>
      </c>
      <c r="B90" t="inlineStr">
        <is>
          <t>ENC112711</t>
        </is>
      </c>
      <c r="C90" t="inlineStr">
        <is>
          <t>PY03</t>
        </is>
      </c>
      <c r="D90" s="28" t="n">
        <v>45718</v>
      </c>
      <c r="E90" s="29" t="n">
        <v>928.3099999999999</v>
      </c>
      <c r="F90" s="29" t="n">
        <v>204.58</v>
      </c>
      <c r="G90" t="inlineStr">
        <is>
          <t>Paid</t>
        </is>
      </c>
    </row>
    <row r="91">
      <c r="A91" t="inlineStr">
        <is>
          <t>CLM512736</t>
        </is>
      </c>
      <c r="B91" t="inlineStr">
        <is>
          <t>ENC112736</t>
        </is>
      </c>
      <c r="C91" t="inlineStr">
        <is>
          <t>PY03</t>
        </is>
      </c>
      <c r="D91" s="28" t="n">
        <v>45721</v>
      </c>
      <c r="E91" s="29" t="n">
        <v>11010.74</v>
      </c>
      <c r="F91" s="29" t="n">
        <v>0</v>
      </c>
      <c r="G91" t="inlineStr">
        <is>
          <t>Denied</t>
        </is>
      </c>
      <c r="H91" t="inlineStr">
        <is>
          <t>Coding Error</t>
        </is>
      </c>
    </row>
    <row r="92">
      <c r="A92" t="inlineStr">
        <is>
          <t>CLM512747</t>
        </is>
      </c>
      <c r="B92" t="inlineStr">
        <is>
          <t>ENC112747</t>
        </is>
      </c>
      <c r="C92" t="inlineStr">
        <is>
          <t>PY06</t>
        </is>
      </c>
      <c r="D92" s="28" t="n">
        <v>45720</v>
      </c>
      <c r="E92" s="29" t="n">
        <v>2863.66</v>
      </c>
      <c r="F92" s="29" t="n">
        <v>1367.63</v>
      </c>
      <c r="G92" t="inlineStr">
        <is>
          <t>Paid</t>
        </is>
      </c>
    </row>
    <row r="93">
      <c r="A93" t="inlineStr">
        <is>
          <t>CLM512788</t>
        </is>
      </c>
      <c r="B93" t="inlineStr">
        <is>
          <t>ENC112788</t>
        </is>
      </c>
      <c r="C93" t="inlineStr">
        <is>
          <t>PY06</t>
        </is>
      </c>
      <c r="D93" s="28" t="n">
        <v>45716</v>
      </c>
      <c r="E93" s="29" t="n">
        <v>4800.9</v>
      </c>
      <c r="F93" s="29" t="n">
        <v>2212.28</v>
      </c>
      <c r="G93" t="inlineStr">
        <is>
          <t>Paid</t>
        </is>
      </c>
    </row>
    <row r="94">
      <c r="A94" t="inlineStr">
        <is>
          <t>CLM512802</t>
        </is>
      </c>
      <c r="B94" t="inlineStr">
        <is>
          <t>ENC112802</t>
        </is>
      </c>
      <c r="C94" t="inlineStr">
        <is>
          <t>PY07</t>
        </is>
      </c>
      <c r="D94" s="28" t="n">
        <v>45716</v>
      </c>
      <c r="E94" s="29" t="n">
        <v>412.22</v>
      </c>
      <c r="F94" s="29" t="n">
        <v>74.39</v>
      </c>
      <c r="G94" t="inlineStr">
        <is>
          <t>Partially Paid</t>
        </is>
      </c>
    </row>
    <row r="95">
      <c r="A95" t="inlineStr">
        <is>
          <t>CLM512839</t>
        </is>
      </c>
      <c r="B95" t="inlineStr">
        <is>
          <t>ENC112839</t>
        </is>
      </c>
      <c r="C95" t="inlineStr">
        <is>
          <t>PY06</t>
        </is>
      </c>
      <c r="D95" s="28" t="n">
        <v>45721</v>
      </c>
      <c r="E95" s="29" t="n">
        <v>261.43</v>
      </c>
      <c r="F95" s="29" t="n">
        <v>124.54</v>
      </c>
      <c r="G95" t="inlineStr">
        <is>
          <t>Paid</t>
        </is>
      </c>
    </row>
    <row r="96">
      <c r="A96" t="inlineStr">
        <is>
          <t>CLM512929</t>
        </is>
      </c>
      <c r="B96" t="inlineStr">
        <is>
          <t>ENC112929</t>
        </is>
      </c>
      <c r="C96" t="inlineStr">
        <is>
          <t>PY01</t>
        </is>
      </c>
      <c r="D96" s="28" t="n">
        <v>45739</v>
      </c>
      <c r="E96" s="29" t="n">
        <v>123069.88</v>
      </c>
      <c r="F96" s="29" t="n">
        <v>36939.92</v>
      </c>
      <c r="G96" t="inlineStr">
        <is>
          <t>Paid</t>
        </is>
      </c>
    </row>
    <row r="97">
      <c r="A97" t="inlineStr">
        <is>
          <t>CLM512936</t>
        </is>
      </c>
      <c r="B97" t="inlineStr">
        <is>
          <t>ENC112936</t>
        </is>
      </c>
      <c r="C97" t="inlineStr">
        <is>
          <t>PY03</t>
        </is>
      </c>
      <c r="D97" s="28" t="n">
        <v>45723</v>
      </c>
      <c r="E97" s="29" t="n">
        <v>249.66</v>
      </c>
      <c r="F97" s="29" t="n">
        <v>58.16</v>
      </c>
      <c r="G97" t="inlineStr">
        <is>
          <t>Paid</t>
        </is>
      </c>
    </row>
    <row r="98">
      <c r="A98" t="inlineStr">
        <is>
          <t>CLM512967</t>
        </is>
      </c>
      <c r="B98" t="inlineStr">
        <is>
          <t>ENC112967</t>
        </is>
      </c>
      <c r="C98" t="inlineStr">
        <is>
          <t>PY02</t>
        </is>
      </c>
      <c r="D98" s="28" t="n">
        <v>45724</v>
      </c>
      <c r="E98" s="29" t="n">
        <v>210.86</v>
      </c>
      <c r="F98" s="29" t="n">
        <v>0</v>
      </c>
      <c r="G98" t="inlineStr">
        <is>
          <t>Denied</t>
        </is>
      </c>
      <c r="H98" t="inlineStr">
        <is>
          <t>Authorization Required</t>
        </is>
      </c>
    </row>
    <row r="99">
      <c r="A99" t="inlineStr">
        <is>
          <t>CLM512972</t>
        </is>
      </c>
      <c r="B99" t="inlineStr">
        <is>
          <t>ENC112972</t>
        </is>
      </c>
      <c r="C99" t="inlineStr">
        <is>
          <t>PY06</t>
        </is>
      </c>
      <c r="D99" s="28" t="n">
        <v>45732</v>
      </c>
      <c r="E99" s="29" t="n">
        <v>649.95</v>
      </c>
      <c r="F99" s="29" t="n">
        <v>274.55</v>
      </c>
      <c r="G99" t="inlineStr">
        <is>
          <t>Paid</t>
        </is>
      </c>
    </row>
    <row r="100">
      <c r="A100" t="inlineStr">
        <is>
          <t>CLM512978</t>
        </is>
      </c>
      <c r="B100" t="inlineStr">
        <is>
          <t>ENC112978</t>
        </is>
      </c>
      <c r="C100" t="inlineStr">
        <is>
          <t>PY02</t>
        </is>
      </c>
      <c r="D100" s="28" t="n">
        <v>45723</v>
      </c>
      <c r="E100" s="29" t="n">
        <v>120.91</v>
      </c>
      <c r="F100" s="29" t="n">
        <v>31.92</v>
      </c>
      <c r="G100" t="inlineStr">
        <is>
          <t>Paid</t>
        </is>
      </c>
    </row>
    <row r="101">
      <c r="A101" t="inlineStr">
        <is>
          <t>CLM512980</t>
        </is>
      </c>
      <c r="B101" t="inlineStr">
        <is>
          <t>ENC112980</t>
        </is>
      </c>
      <c r="C101" t="inlineStr">
        <is>
          <t>PY03</t>
        </is>
      </c>
      <c r="D101" s="28" t="n">
        <v>45726</v>
      </c>
      <c r="E101" s="29" t="n">
        <v>838.7</v>
      </c>
      <c r="F101" s="29" t="n">
        <v>210.1</v>
      </c>
      <c r="G101" t="inlineStr">
        <is>
          <t>Paid</t>
        </is>
      </c>
    </row>
    <row r="102">
      <c r="A102" t="inlineStr">
        <is>
          <t>CLM512981</t>
        </is>
      </c>
      <c r="B102" t="inlineStr">
        <is>
          <t>ENC112981</t>
        </is>
      </c>
      <c r="C102" t="inlineStr">
        <is>
          <t>PY01</t>
        </is>
      </c>
      <c r="D102" s="28" t="n">
        <v>45851</v>
      </c>
      <c r="E102" s="29" t="n">
        <v>398.52</v>
      </c>
      <c r="F102" s="29" t="n">
        <v>102.37</v>
      </c>
      <c r="G102" t="inlineStr">
        <is>
          <t>Paid</t>
        </is>
      </c>
    </row>
    <row r="103">
      <c r="A103" t="inlineStr">
        <is>
          <t>CLM513024</t>
        </is>
      </c>
      <c r="B103" t="inlineStr">
        <is>
          <t>ENC113024</t>
        </is>
      </c>
      <c r="C103" t="inlineStr">
        <is>
          <t>PY03</t>
        </is>
      </c>
      <c r="D103" s="28" t="n">
        <v>45732</v>
      </c>
      <c r="E103" s="29" t="n">
        <v>3344.31</v>
      </c>
      <c r="F103" s="29" t="n">
        <v>657.87</v>
      </c>
      <c r="G103" t="inlineStr">
        <is>
          <t>Paid</t>
        </is>
      </c>
    </row>
    <row r="104">
      <c r="A104" t="inlineStr">
        <is>
          <t>CLM513030</t>
        </is>
      </c>
      <c r="B104" t="inlineStr">
        <is>
          <t>ENC113030</t>
        </is>
      </c>
      <c r="C104" t="inlineStr">
        <is>
          <t>PY01</t>
        </is>
      </c>
      <c r="D104" s="28" t="n">
        <v>45727</v>
      </c>
      <c r="E104" s="29" t="n">
        <v>247.53</v>
      </c>
      <c r="F104" s="29" t="n">
        <v>69.92</v>
      </c>
      <c r="G104" t="inlineStr">
        <is>
          <t>Paid</t>
        </is>
      </c>
    </row>
    <row r="105">
      <c r="A105" t="inlineStr">
        <is>
          <t>CLM513051</t>
        </is>
      </c>
      <c r="B105" t="inlineStr">
        <is>
          <t>ENC113051</t>
        </is>
      </c>
      <c r="C105" t="inlineStr">
        <is>
          <t>PY03</t>
        </is>
      </c>
      <c r="D105" s="28" t="n">
        <v>45739</v>
      </c>
      <c r="E105" s="29" t="n">
        <v>37300.08</v>
      </c>
      <c r="F105" s="29" t="n">
        <v>8756.9</v>
      </c>
      <c r="G105" t="inlineStr">
        <is>
          <t>Paid</t>
        </is>
      </c>
    </row>
    <row r="106">
      <c r="A106" t="inlineStr">
        <is>
          <t>CLM513084</t>
        </is>
      </c>
      <c r="B106" t="inlineStr">
        <is>
          <t>ENC113084</t>
        </is>
      </c>
      <c r="C106" t="inlineStr">
        <is>
          <t>PY05</t>
        </is>
      </c>
      <c r="D106" s="28" t="n">
        <v>45731</v>
      </c>
      <c r="E106" s="29" t="n">
        <v>16758.74</v>
      </c>
      <c r="F106" s="29" t="n">
        <v>8040.95</v>
      </c>
      <c r="G106" t="inlineStr">
        <is>
          <t>Paid</t>
        </is>
      </c>
    </row>
    <row r="107">
      <c r="A107" t="inlineStr">
        <is>
          <t>CLM513085</t>
        </is>
      </c>
      <c r="B107" t="inlineStr">
        <is>
          <t>ENC113085</t>
        </is>
      </c>
      <c r="C107" t="inlineStr">
        <is>
          <t>PY04</t>
        </is>
      </c>
      <c r="D107" s="28" t="n">
        <v>45733</v>
      </c>
      <c r="E107" s="29" t="n">
        <v>2175.4</v>
      </c>
      <c r="F107" s="29" t="n">
        <v>713.0700000000001</v>
      </c>
      <c r="G107" t="inlineStr">
        <is>
          <t>Partially Paid</t>
        </is>
      </c>
      <c r="H107" t="inlineStr">
        <is>
          <t>Medical Necessity</t>
        </is>
      </c>
    </row>
    <row r="108">
      <c r="A108" t="inlineStr">
        <is>
          <t>CLM513092</t>
        </is>
      </c>
      <c r="B108" t="inlineStr">
        <is>
          <t>ENC113092</t>
        </is>
      </c>
      <c r="C108" t="inlineStr">
        <is>
          <t>PY01</t>
        </is>
      </c>
      <c r="D108" s="28" t="n">
        <v>45733</v>
      </c>
      <c r="E108" s="29" t="n">
        <v>3656.85</v>
      </c>
      <c r="F108" s="29" t="n">
        <v>1035.12</v>
      </c>
      <c r="G108" t="inlineStr">
        <is>
          <t>Paid</t>
        </is>
      </c>
    </row>
    <row r="109">
      <c r="A109" t="inlineStr">
        <is>
          <t>CLM513113</t>
        </is>
      </c>
      <c r="B109" t="inlineStr">
        <is>
          <t>ENC113113</t>
        </is>
      </c>
      <c r="C109" t="inlineStr">
        <is>
          <t>PY06</t>
        </is>
      </c>
      <c r="D109" s="28" t="n">
        <v>45728</v>
      </c>
      <c r="E109" s="29" t="n">
        <v>127.51</v>
      </c>
      <c r="F109" s="29" t="n">
        <v>67.51000000000001</v>
      </c>
      <c r="G109" t="inlineStr">
        <is>
          <t>Paid</t>
        </is>
      </c>
    </row>
    <row r="110">
      <c r="A110" t="inlineStr">
        <is>
          <t>CLM513122</t>
        </is>
      </c>
      <c r="B110" t="inlineStr">
        <is>
          <t>ENC113122</t>
        </is>
      </c>
      <c r="C110" t="inlineStr">
        <is>
          <t>PY04</t>
        </is>
      </c>
      <c r="D110" s="28" t="n">
        <v>45739</v>
      </c>
      <c r="E110" s="29" t="n">
        <v>6910.45</v>
      </c>
      <c r="F110" s="29" t="n">
        <v>3576.79</v>
      </c>
      <c r="G110" t="inlineStr">
        <is>
          <t>Paid</t>
        </is>
      </c>
    </row>
    <row r="111">
      <c r="A111" t="inlineStr">
        <is>
          <t>CLM513124</t>
        </is>
      </c>
      <c r="B111" t="inlineStr">
        <is>
          <t>ENC113124</t>
        </is>
      </c>
      <c r="C111" t="inlineStr">
        <is>
          <t>PY05</t>
        </is>
      </c>
      <c r="D111" s="28" t="n">
        <v>45730</v>
      </c>
      <c r="E111" s="29" t="n">
        <v>106.12</v>
      </c>
      <c r="F111" s="29" t="n">
        <v>43.51</v>
      </c>
      <c r="G111" t="inlineStr">
        <is>
          <t>Paid</t>
        </is>
      </c>
    </row>
    <row r="112">
      <c r="A112" t="inlineStr">
        <is>
          <t>CLM513142</t>
        </is>
      </c>
      <c r="B112" t="inlineStr">
        <is>
          <t>ENC113142</t>
        </is>
      </c>
      <c r="C112" t="inlineStr">
        <is>
          <t>PY03</t>
        </is>
      </c>
      <c r="D112" s="28" t="n">
        <v>45737</v>
      </c>
      <c r="E112" s="29" t="n">
        <v>46268.08</v>
      </c>
      <c r="F112" s="29" t="n">
        <v>10298.42</v>
      </c>
      <c r="G112" t="inlineStr">
        <is>
          <t>Paid</t>
        </is>
      </c>
    </row>
    <row r="113">
      <c r="A113" t="inlineStr">
        <is>
          <t>CLM513153</t>
        </is>
      </c>
      <c r="B113" t="inlineStr">
        <is>
          <t>ENC113153</t>
        </is>
      </c>
      <c r="C113" t="inlineStr">
        <is>
          <t>PY07</t>
        </is>
      </c>
      <c r="D113" s="28" t="n">
        <v>45734</v>
      </c>
      <c r="E113" s="29" t="n">
        <v>57834.68</v>
      </c>
      <c r="F113" s="29" t="n">
        <v>5132.53</v>
      </c>
      <c r="G113" t="inlineStr">
        <is>
          <t>Partially Paid</t>
        </is>
      </c>
    </row>
    <row r="114">
      <c r="A114" t="inlineStr">
        <is>
          <t>CLM513158</t>
        </is>
      </c>
      <c r="B114" t="inlineStr">
        <is>
          <t>ENC113158</t>
        </is>
      </c>
      <c r="C114" t="inlineStr">
        <is>
          <t>PY04</t>
        </is>
      </c>
      <c r="D114" s="28" t="n">
        <v>45730</v>
      </c>
      <c r="E114" s="29" t="n">
        <v>317.17</v>
      </c>
      <c r="F114" s="29" t="n">
        <v>130.93</v>
      </c>
      <c r="G114" t="inlineStr">
        <is>
          <t>Paid</t>
        </is>
      </c>
    </row>
    <row r="115">
      <c r="A115" t="inlineStr">
        <is>
          <t>CLM513173</t>
        </is>
      </c>
      <c r="B115" t="inlineStr">
        <is>
          <t>ENC113173</t>
        </is>
      </c>
      <c r="C115" t="inlineStr">
        <is>
          <t>PY03</t>
        </is>
      </c>
      <c r="D115" s="28" t="n">
        <v>45743</v>
      </c>
      <c r="E115" s="29" t="n">
        <v>33859.02</v>
      </c>
      <c r="F115" s="29" t="n">
        <v>8661.18</v>
      </c>
      <c r="G115" t="inlineStr">
        <is>
          <t>Paid</t>
        </is>
      </c>
    </row>
    <row r="116">
      <c r="A116" t="inlineStr">
        <is>
          <t>CLM513174</t>
        </is>
      </c>
      <c r="B116" t="inlineStr">
        <is>
          <t>ENC113174</t>
        </is>
      </c>
      <c r="C116" t="inlineStr">
        <is>
          <t>PY03</t>
        </is>
      </c>
      <c r="D116" s="28" t="n">
        <v>45731</v>
      </c>
      <c r="E116" s="29" t="n">
        <v>2195.68</v>
      </c>
      <c r="F116" s="29" t="n">
        <v>559.16</v>
      </c>
      <c r="G116" t="inlineStr">
        <is>
          <t>Paid</t>
        </is>
      </c>
    </row>
    <row r="117">
      <c r="A117" t="inlineStr">
        <is>
          <t>CLM513257</t>
        </is>
      </c>
      <c r="B117" t="inlineStr">
        <is>
          <t>ENC113257</t>
        </is>
      </c>
      <c r="C117" t="inlineStr">
        <is>
          <t>PY03</t>
        </is>
      </c>
      <c r="D117" s="28" t="n">
        <v>45741</v>
      </c>
      <c r="E117" s="29" t="n">
        <v>50931.23</v>
      </c>
      <c r="F117" s="29" t="n">
        <v>12787.82</v>
      </c>
      <c r="G117" t="inlineStr">
        <is>
          <t>Paid</t>
        </is>
      </c>
    </row>
    <row r="118">
      <c r="A118" t="inlineStr">
        <is>
          <t>CLM513269</t>
        </is>
      </c>
      <c r="B118" t="inlineStr">
        <is>
          <t>ENC113269</t>
        </is>
      </c>
      <c r="C118" t="inlineStr">
        <is>
          <t>PY07</t>
        </is>
      </c>
      <c r="D118" s="28" t="n">
        <v>45748</v>
      </c>
      <c r="E118" s="29" t="n">
        <v>71064.94</v>
      </c>
      <c r="F118" s="29" t="n">
        <v>25544.45</v>
      </c>
      <c r="G118" t="inlineStr">
        <is>
          <t>Paid</t>
        </is>
      </c>
    </row>
    <row r="119">
      <c r="A119" t="inlineStr">
        <is>
          <t>CLM513285</t>
        </is>
      </c>
      <c r="B119" t="inlineStr">
        <is>
          <t>ENC113285</t>
        </is>
      </c>
      <c r="C119" t="inlineStr">
        <is>
          <t>PY02</t>
        </is>
      </c>
      <c r="D119" s="28" t="n">
        <v>45735</v>
      </c>
      <c r="E119" s="29" t="n">
        <v>29769.32</v>
      </c>
      <c r="F119" s="29" t="n">
        <v>9282.58</v>
      </c>
      <c r="G119" t="inlineStr">
        <is>
          <t>Paid</t>
        </is>
      </c>
    </row>
    <row r="120">
      <c r="A120" t="inlineStr">
        <is>
          <t>CLM513304</t>
        </is>
      </c>
      <c r="B120" t="inlineStr">
        <is>
          <t>ENC113304</t>
        </is>
      </c>
      <c r="C120" t="inlineStr">
        <is>
          <t>PY05</t>
        </is>
      </c>
      <c r="D120" s="28" t="n">
        <v>45745</v>
      </c>
      <c r="E120" s="29" t="n">
        <v>19476.33</v>
      </c>
      <c r="F120" s="29" t="n">
        <v>7492.08</v>
      </c>
      <c r="G120" t="inlineStr">
        <is>
          <t>Paid</t>
        </is>
      </c>
    </row>
    <row r="121">
      <c r="A121" t="inlineStr">
        <is>
          <t>CLM513334</t>
        </is>
      </c>
      <c r="B121" t="inlineStr">
        <is>
          <t>ENC113334</t>
        </is>
      </c>
      <c r="C121" t="inlineStr">
        <is>
          <t>PY01</t>
        </is>
      </c>
      <c r="D121" s="28" t="n">
        <v>45737</v>
      </c>
      <c r="E121" s="29" t="n">
        <v>1511.83</v>
      </c>
      <c r="F121" s="29" t="n">
        <v>394.79</v>
      </c>
      <c r="G121" t="inlineStr">
        <is>
          <t>Paid</t>
        </is>
      </c>
    </row>
    <row r="122">
      <c r="A122" t="inlineStr">
        <is>
          <t>CLM513366</t>
        </is>
      </c>
      <c r="B122" t="inlineStr">
        <is>
          <t>ENC113366</t>
        </is>
      </c>
      <c r="C122" t="inlineStr">
        <is>
          <t>PY01</t>
        </is>
      </c>
      <c r="D122" s="28" t="n">
        <v>45735</v>
      </c>
      <c r="E122" s="29" t="n">
        <v>1370.25</v>
      </c>
      <c r="F122" s="29" t="n">
        <v>408.4</v>
      </c>
      <c r="G122" t="inlineStr">
        <is>
          <t>Paid</t>
        </is>
      </c>
    </row>
    <row r="123">
      <c r="A123" t="inlineStr">
        <is>
          <t>CLM513408</t>
        </is>
      </c>
      <c r="B123" t="inlineStr">
        <is>
          <t>ENC113408</t>
        </is>
      </c>
      <c r="C123" t="inlineStr">
        <is>
          <t>PY06</t>
        </is>
      </c>
      <c r="D123" s="28" t="n">
        <v>45739</v>
      </c>
      <c r="E123" s="29" t="n">
        <v>626.54</v>
      </c>
      <c r="F123" s="29" t="n">
        <v>172.12</v>
      </c>
      <c r="G123" t="inlineStr">
        <is>
          <t>Partially Paid</t>
        </is>
      </c>
      <c r="H123" t="inlineStr">
        <is>
          <t>Coding Error</t>
        </is>
      </c>
    </row>
    <row r="124">
      <c r="A124" t="inlineStr">
        <is>
          <t>CLM513431</t>
        </is>
      </c>
      <c r="B124" t="inlineStr">
        <is>
          <t>ENC113431</t>
        </is>
      </c>
      <c r="C124" t="inlineStr">
        <is>
          <t>PY06</t>
        </is>
      </c>
      <c r="D124" s="28" t="n">
        <v>45739</v>
      </c>
      <c r="E124" s="29" t="n">
        <v>3306.51</v>
      </c>
      <c r="F124" s="29" t="n">
        <v>1599.27</v>
      </c>
      <c r="G124" t="inlineStr">
        <is>
          <t>Paid</t>
        </is>
      </c>
    </row>
    <row r="125">
      <c r="A125" t="inlineStr">
        <is>
          <t>CLM513442</t>
        </is>
      </c>
      <c r="B125" t="inlineStr">
        <is>
          <t>ENC113442</t>
        </is>
      </c>
      <c r="C125" t="inlineStr">
        <is>
          <t>PY01</t>
        </is>
      </c>
      <c r="D125" s="28" t="n">
        <v>45741</v>
      </c>
      <c r="E125" s="29" t="n">
        <v>1861.53</v>
      </c>
      <c r="F125" s="29" t="n">
        <v>314.07</v>
      </c>
      <c r="G125" t="inlineStr">
        <is>
          <t>Partially Paid</t>
        </is>
      </c>
      <c r="H125" t="inlineStr">
        <is>
          <t>Coding Error</t>
        </is>
      </c>
    </row>
    <row r="126">
      <c r="A126" t="inlineStr">
        <is>
          <t>CLM513477</t>
        </is>
      </c>
      <c r="B126" t="inlineStr">
        <is>
          <t>ENC113477</t>
        </is>
      </c>
      <c r="C126" t="inlineStr">
        <is>
          <t>PY01</t>
        </is>
      </c>
      <c r="D126" s="28" t="n">
        <v>45748</v>
      </c>
      <c r="E126" s="29" t="n">
        <v>19114.37</v>
      </c>
      <c r="F126" s="29" t="n">
        <v>5526.89</v>
      </c>
      <c r="G126" t="inlineStr">
        <is>
          <t>Paid</t>
        </is>
      </c>
    </row>
    <row r="127">
      <c r="A127" t="inlineStr">
        <is>
          <t>CLM513531</t>
        </is>
      </c>
      <c r="B127" t="inlineStr">
        <is>
          <t>ENC113531</t>
        </is>
      </c>
      <c r="C127" t="inlineStr">
        <is>
          <t>PY04</t>
        </is>
      </c>
      <c r="D127" s="28" t="n">
        <v>45744</v>
      </c>
      <c r="E127" s="29" t="n">
        <v>4629.8</v>
      </c>
      <c r="F127" s="29" t="n">
        <v>1162.94</v>
      </c>
      <c r="G127" t="inlineStr">
        <is>
          <t>Partially Paid</t>
        </is>
      </c>
      <c r="H127" t="inlineStr">
        <is>
          <t>Medical Necessity</t>
        </is>
      </c>
    </row>
    <row r="128">
      <c r="A128" t="inlineStr">
        <is>
          <t>CLM513538</t>
        </is>
      </c>
      <c r="B128" t="inlineStr">
        <is>
          <t>ENC113538</t>
        </is>
      </c>
      <c r="C128" t="inlineStr">
        <is>
          <t>PY07</t>
        </is>
      </c>
      <c r="D128" s="28" t="n">
        <v>45742</v>
      </c>
      <c r="E128" s="29" t="n">
        <v>1450.06</v>
      </c>
      <c r="F128" s="29" t="n">
        <v>568.4400000000001</v>
      </c>
      <c r="G128" t="inlineStr">
        <is>
          <t>Paid</t>
        </is>
      </c>
    </row>
    <row r="129">
      <c r="A129" t="inlineStr">
        <is>
          <t>CLM513557</t>
        </is>
      </c>
      <c r="B129" t="inlineStr">
        <is>
          <t>ENC113557</t>
        </is>
      </c>
      <c r="C129" t="inlineStr">
        <is>
          <t>PY04</t>
        </is>
      </c>
      <c r="D129" s="28" t="n">
        <v>45752</v>
      </c>
      <c r="E129" s="29" t="n">
        <v>16858.19</v>
      </c>
      <c r="F129" s="29" t="n">
        <v>9001.559999999999</v>
      </c>
      <c r="G129" t="inlineStr">
        <is>
          <t>Paid</t>
        </is>
      </c>
    </row>
    <row r="130">
      <c r="A130" t="inlineStr">
        <is>
          <t>CLM513561</t>
        </is>
      </c>
      <c r="B130" t="inlineStr">
        <is>
          <t>ENC113561</t>
        </is>
      </c>
      <c r="C130" t="inlineStr">
        <is>
          <t>PY03</t>
        </is>
      </c>
      <c r="D130" s="28" t="n">
        <v>45744</v>
      </c>
      <c r="E130" s="29" t="n">
        <v>25110.39</v>
      </c>
      <c r="F130" s="29" t="n">
        <v>5404.39</v>
      </c>
      <c r="G130" t="inlineStr">
        <is>
          <t>Paid</t>
        </is>
      </c>
    </row>
    <row r="131">
      <c r="A131" t="inlineStr">
        <is>
          <t>CLM513575</t>
        </is>
      </c>
      <c r="B131" t="inlineStr">
        <is>
          <t>ENC113575</t>
        </is>
      </c>
      <c r="C131" t="inlineStr">
        <is>
          <t>PY05</t>
        </is>
      </c>
      <c r="D131" s="28" t="n">
        <v>45746</v>
      </c>
      <c r="E131" s="29" t="n">
        <v>26541.27</v>
      </c>
      <c r="F131" s="29" t="n">
        <v>13071.89</v>
      </c>
      <c r="G131" t="inlineStr">
        <is>
          <t>Paid</t>
        </is>
      </c>
    </row>
    <row r="132">
      <c r="A132" t="inlineStr">
        <is>
          <t>CLM513602</t>
        </is>
      </c>
      <c r="B132" t="inlineStr">
        <is>
          <t>ENC113602</t>
        </is>
      </c>
      <c r="C132" t="inlineStr">
        <is>
          <t>PY01</t>
        </is>
      </c>
      <c r="D132" s="28" t="n">
        <v>45748</v>
      </c>
      <c r="E132" s="29" t="n">
        <v>21960.4</v>
      </c>
      <c r="F132" s="29" t="n">
        <v>6215.01</v>
      </c>
      <c r="G132" t="inlineStr">
        <is>
          <t>Paid</t>
        </is>
      </c>
    </row>
    <row r="133">
      <c r="A133" t="inlineStr">
        <is>
          <t>CLM513605</t>
        </is>
      </c>
      <c r="B133" t="inlineStr">
        <is>
          <t>ENC113605</t>
        </is>
      </c>
      <c r="C133" t="inlineStr">
        <is>
          <t>PY06</t>
        </is>
      </c>
      <c r="D133" s="28" t="n">
        <v>45750</v>
      </c>
      <c r="E133" s="29" t="n">
        <v>202.63</v>
      </c>
      <c r="F133" s="29" t="n">
        <v>91.75</v>
      </c>
      <c r="G133" t="inlineStr">
        <is>
          <t>Paid</t>
        </is>
      </c>
    </row>
    <row r="134">
      <c r="A134" t="inlineStr">
        <is>
          <t>CLM513619</t>
        </is>
      </c>
      <c r="B134" t="inlineStr">
        <is>
          <t>ENC113619</t>
        </is>
      </c>
      <c r="C134" t="inlineStr">
        <is>
          <t>PY01</t>
        </is>
      </c>
      <c r="D134" s="28" t="n">
        <v>45755</v>
      </c>
      <c r="E134" s="29" t="n">
        <v>75967.13</v>
      </c>
      <c r="F134" s="29" t="n">
        <v>20391.75</v>
      </c>
      <c r="G134" t="inlineStr">
        <is>
          <t>Paid</t>
        </is>
      </c>
    </row>
    <row r="135">
      <c r="A135" t="inlineStr">
        <is>
          <t>CLM513633</t>
        </is>
      </c>
      <c r="B135" t="inlineStr">
        <is>
          <t>ENC113633</t>
        </is>
      </c>
      <c r="C135" t="inlineStr">
        <is>
          <t>PY05</t>
        </is>
      </c>
      <c r="D135" s="28" t="n">
        <v>45747</v>
      </c>
      <c r="E135" s="29" t="n">
        <v>39502.32</v>
      </c>
      <c r="F135" s="29" t="n">
        <v>17887.97</v>
      </c>
      <c r="G135" t="inlineStr">
        <is>
          <t>Paid</t>
        </is>
      </c>
    </row>
    <row r="136">
      <c r="A136" t="inlineStr">
        <is>
          <t>CLM513639</t>
        </is>
      </c>
      <c r="B136" t="inlineStr">
        <is>
          <t>ENC113639</t>
        </is>
      </c>
      <c r="C136" t="inlineStr">
        <is>
          <t>PY03</t>
        </is>
      </c>
      <c r="D136" s="28" t="n">
        <v>45747</v>
      </c>
      <c r="E136" s="29" t="n">
        <v>383.43</v>
      </c>
      <c r="F136" s="29" t="n">
        <v>90.56999999999999</v>
      </c>
      <c r="G136" t="inlineStr">
        <is>
          <t>Paid</t>
        </is>
      </c>
    </row>
    <row r="137">
      <c r="A137" t="inlineStr">
        <is>
          <t>CLM513675</t>
        </is>
      </c>
      <c r="B137" t="inlineStr">
        <is>
          <t>ENC113675</t>
        </is>
      </c>
      <c r="C137" t="inlineStr">
        <is>
          <t>PY02</t>
        </is>
      </c>
      <c r="D137" s="28" t="n">
        <v>45744</v>
      </c>
      <c r="E137" s="29" t="n">
        <v>14298.42</v>
      </c>
      <c r="F137" s="29" t="n">
        <v>4142.02</v>
      </c>
      <c r="G137" t="inlineStr">
        <is>
          <t>Paid</t>
        </is>
      </c>
    </row>
    <row r="138">
      <c r="A138" t="inlineStr">
        <is>
          <t>CLM513694</t>
        </is>
      </c>
      <c r="B138" t="inlineStr">
        <is>
          <t>ENC113694</t>
        </is>
      </c>
      <c r="C138" t="inlineStr">
        <is>
          <t>PY05</t>
        </is>
      </c>
      <c r="D138" s="28" t="n">
        <v>45747</v>
      </c>
      <c r="E138" s="29" t="n">
        <v>331.4</v>
      </c>
      <c r="F138" s="29" t="n">
        <v>122.72</v>
      </c>
      <c r="G138" t="inlineStr">
        <is>
          <t>Paid</t>
        </is>
      </c>
    </row>
    <row r="139">
      <c r="A139" t="inlineStr">
        <is>
          <t>CLM513743</t>
        </is>
      </c>
      <c r="B139" t="inlineStr">
        <is>
          <t>ENC113743</t>
        </is>
      </c>
      <c r="C139" t="inlineStr">
        <is>
          <t>PY05</t>
        </is>
      </c>
      <c r="D139" s="28" t="n">
        <v>45752</v>
      </c>
      <c r="E139" s="29" t="n">
        <v>8384.190000000001</v>
      </c>
      <c r="F139" s="29" t="n">
        <v>3655.63</v>
      </c>
      <c r="G139" t="inlineStr">
        <is>
          <t>Paid</t>
        </is>
      </c>
    </row>
    <row r="140">
      <c r="A140" t="inlineStr">
        <is>
          <t>CLM513748</t>
        </is>
      </c>
      <c r="B140" t="inlineStr">
        <is>
          <t>ENC113748</t>
        </is>
      </c>
      <c r="C140" t="inlineStr">
        <is>
          <t>PY03</t>
        </is>
      </c>
      <c r="D140" s="28" t="n">
        <v>45754</v>
      </c>
      <c r="E140" s="29" t="n">
        <v>71074.92999999999</v>
      </c>
      <c r="F140" s="29" t="n">
        <v>17988.99</v>
      </c>
      <c r="G140" t="inlineStr">
        <is>
          <t>Paid</t>
        </is>
      </c>
    </row>
    <row r="141">
      <c r="A141" t="inlineStr">
        <is>
          <t>CLM513750</t>
        </is>
      </c>
      <c r="B141" t="inlineStr">
        <is>
          <t>ENC113750</t>
        </is>
      </c>
      <c r="C141" t="inlineStr">
        <is>
          <t>PY03</t>
        </is>
      </c>
      <c r="D141" s="28" t="n">
        <v>45750</v>
      </c>
      <c r="E141" s="29" t="n">
        <v>21870.46</v>
      </c>
      <c r="F141" s="29" t="n">
        <v>0</v>
      </c>
      <c r="G141" t="inlineStr">
        <is>
          <t>Appealed</t>
        </is>
      </c>
      <c r="H141" t="inlineStr">
        <is>
          <t>Authorization Required</t>
        </is>
      </c>
    </row>
    <row r="142">
      <c r="A142" t="inlineStr">
        <is>
          <t>CLM513753</t>
        </is>
      </c>
      <c r="B142" t="inlineStr">
        <is>
          <t>ENC113753</t>
        </is>
      </c>
      <c r="C142" t="inlineStr">
        <is>
          <t>PY03</t>
        </is>
      </c>
      <c r="D142" s="28" t="n">
        <v>45751</v>
      </c>
      <c r="E142" s="29" t="n">
        <v>7592.67</v>
      </c>
      <c r="F142" s="29" t="n">
        <v>1944.96</v>
      </c>
      <c r="G142" t="inlineStr">
        <is>
          <t>Paid</t>
        </is>
      </c>
    </row>
    <row r="143">
      <c r="A143" t="inlineStr">
        <is>
          <t>CLM513800</t>
        </is>
      </c>
      <c r="B143" t="inlineStr">
        <is>
          <t>ENC113800</t>
        </is>
      </c>
      <c r="C143" t="inlineStr">
        <is>
          <t>PY02</t>
        </is>
      </c>
      <c r="D143" s="28" t="n">
        <v>45753</v>
      </c>
      <c r="E143" s="29" t="n">
        <v>12854.34</v>
      </c>
      <c r="F143" s="29" t="n">
        <v>3652.52</v>
      </c>
      <c r="G143" t="inlineStr">
        <is>
          <t>Paid</t>
        </is>
      </c>
    </row>
    <row r="144">
      <c r="A144" t="inlineStr">
        <is>
          <t>CLM513849</t>
        </is>
      </c>
      <c r="B144" t="inlineStr">
        <is>
          <t>ENC113849</t>
        </is>
      </c>
      <c r="C144" t="inlineStr">
        <is>
          <t>PY08</t>
        </is>
      </c>
      <c r="D144" s="28" t="n">
        <v>45751</v>
      </c>
      <c r="E144" s="29" t="n">
        <v>720.26</v>
      </c>
      <c r="F144" s="29" t="n">
        <v>429.74</v>
      </c>
      <c r="G144" t="inlineStr">
        <is>
          <t>Paid</t>
        </is>
      </c>
    </row>
    <row r="145">
      <c r="A145" t="inlineStr">
        <is>
          <t>CLM513855</t>
        </is>
      </c>
      <c r="B145" t="inlineStr">
        <is>
          <t>ENC113855</t>
        </is>
      </c>
      <c r="C145" t="inlineStr">
        <is>
          <t>PY06</t>
        </is>
      </c>
      <c r="D145" s="28" t="n">
        <v>45760</v>
      </c>
      <c r="E145" s="29" t="n">
        <v>17362.89</v>
      </c>
      <c r="F145" s="29" t="n">
        <v>8861.33</v>
      </c>
      <c r="G145" t="inlineStr">
        <is>
          <t>Paid</t>
        </is>
      </c>
    </row>
    <row r="146">
      <c r="A146" t="inlineStr">
        <is>
          <t>CLM513893</t>
        </is>
      </c>
      <c r="B146" t="inlineStr">
        <is>
          <t>ENC113893</t>
        </is>
      </c>
      <c r="C146" t="inlineStr">
        <is>
          <t>PY05</t>
        </is>
      </c>
      <c r="D146" s="28" t="n">
        <v>45752</v>
      </c>
      <c r="E146" s="29" t="n">
        <v>197.14</v>
      </c>
      <c r="F146" s="29" t="n">
        <v>72.56</v>
      </c>
      <c r="G146" t="inlineStr">
        <is>
          <t>Partially Paid</t>
        </is>
      </c>
      <c r="H146" t="inlineStr">
        <is>
          <t>Medical Necessity</t>
        </is>
      </c>
    </row>
    <row r="147">
      <c r="A147" t="inlineStr">
        <is>
          <t>CLM513912</t>
        </is>
      </c>
      <c r="B147" t="inlineStr">
        <is>
          <t>ENC113912</t>
        </is>
      </c>
      <c r="C147" t="inlineStr">
        <is>
          <t>PY02</t>
        </is>
      </c>
      <c r="D147" s="28" t="n">
        <v>45757</v>
      </c>
      <c r="E147" s="29" t="n">
        <v>80648.23</v>
      </c>
      <c r="F147" s="29" t="n">
        <v>21680.51</v>
      </c>
      <c r="G147" t="inlineStr">
        <is>
          <t>Partially Paid</t>
        </is>
      </c>
      <c r="H147" t="inlineStr">
        <is>
          <t>Coding Error</t>
        </is>
      </c>
    </row>
    <row r="148">
      <c r="A148" t="inlineStr">
        <is>
          <t>CLM513940</t>
        </is>
      </c>
      <c r="B148" t="inlineStr">
        <is>
          <t>ENC113940</t>
        </is>
      </c>
      <c r="C148" t="inlineStr">
        <is>
          <t>PY01</t>
        </is>
      </c>
      <c r="D148" s="28" t="n">
        <v>45758</v>
      </c>
      <c r="E148" s="29" t="n">
        <v>3629.32</v>
      </c>
      <c r="F148" s="29" t="n">
        <v>1015.66</v>
      </c>
      <c r="G148" t="inlineStr">
        <is>
          <t>Paid</t>
        </is>
      </c>
    </row>
    <row r="149">
      <c r="A149" t="inlineStr">
        <is>
          <t>CLM513950</t>
        </is>
      </c>
      <c r="B149" t="inlineStr">
        <is>
          <t>ENC113950</t>
        </is>
      </c>
      <c r="C149" t="inlineStr">
        <is>
          <t>PY02</t>
        </is>
      </c>
      <c r="D149" s="28" t="n">
        <v>45762</v>
      </c>
      <c r="E149" s="29" t="n">
        <v>29620.9</v>
      </c>
      <c r="F149" s="29" t="n">
        <v>9081.35</v>
      </c>
      <c r="G149" t="inlineStr">
        <is>
          <t>Paid</t>
        </is>
      </c>
    </row>
    <row r="150">
      <c r="A150" t="inlineStr">
        <is>
          <t>CLM513996</t>
        </is>
      </c>
      <c r="B150" t="inlineStr">
        <is>
          <t>ENC113996</t>
        </is>
      </c>
      <c r="C150" t="inlineStr">
        <is>
          <t>PY02</t>
        </is>
      </c>
      <c r="D150" s="28" t="n">
        <v>45757</v>
      </c>
      <c r="E150" s="29" t="n">
        <v>179.52</v>
      </c>
      <c r="F150" s="29" t="n">
        <v>52.24</v>
      </c>
      <c r="G150" t="inlineStr">
        <is>
          <t>Paid</t>
        </is>
      </c>
    </row>
    <row r="151">
      <c r="A151" t="inlineStr">
        <is>
          <t>CLM514005</t>
        </is>
      </c>
      <c r="B151" t="inlineStr">
        <is>
          <t>ENC114005</t>
        </is>
      </c>
      <c r="C151" t="inlineStr">
        <is>
          <t>PY04</t>
        </is>
      </c>
      <c r="D151" s="28" t="n">
        <v>45761</v>
      </c>
      <c r="E151" s="29" t="n">
        <v>24138.29</v>
      </c>
      <c r="F151" s="29" t="n">
        <v>10802.63</v>
      </c>
      <c r="G151" t="inlineStr">
        <is>
          <t>Paid</t>
        </is>
      </c>
    </row>
    <row r="152">
      <c r="A152" t="inlineStr">
        <is>
          <t>CLM514027</t>
        </is>
      </c>
      <c r="B152" t="inlineStr">
        <is>
          <t>ENC114027</t>
        </is>
      </c>
      <c r="C152" t="inlineStr">
        <is>
          <t>PY03</t>
        </is>
      </c>
      <c r="D152" s="28" t="n">
        <v>45761</v>
      </c>
      <c r="E152" s="29" t="n">
        <v>18541.8</v>
      </c>
      <c r="F152" s="29" t="n">
        <v>0</v>
      </c>
      <c r="G152" t="inlineStr">
        <is>
          <t>Denied</t>
        </is>
      </c>
      <c r="H152" t="inlineStr">
        <is>
          <t>Authorization Required</t>
        </is>
      </c>
    </row>
    <row r="153">
      <c r="A153" t="inlineStr">
        <is>
          <t>CLM514038</t>
        </is>
      </c>
      <c r="B153" t="inlineStr">
        <is>
          <t>ENC114038</t>
        </is>
      </c>
      <c r="C153" t="inlineStr">
        <is>
          <t>PY01</t>
        </is>
      </c>
      <c r="D153" s="28" t="n">
        <v>45758</v>
      </c>
      <c r="E153" s="29" t="n">
        <v>1790.03</v>
      </c>
      <c r="F153" s="29" t="n">
        <v>0</v>
      </c>
      <c r="G153" t="inlineStr">
        <is>
          <t>Denied</t>
        </is>
      </c>
      <c r="H153" t="inlineStr">
        <is>
          <t>Coding Error</t>
        </is>
      </c>
    </row>
    <row r="154">
      <c r="A154" t="inlineStr">
        <is>
          <t>CLM514043</t>
        </is>
      </c>
      <c r="B154" t="inlineStr">
        <is>
          <t>ENC114043</t>
        </is>
      </c>
      <c r="C154" t="inlineStr">
        <is>
          <t>PY04</t>
        </is>
      </c>
      <c r="D154" s="28" t="n">
        <v>45763</v>
      </c>
      <c r="E154" s="29" t="n">
        <v>187.19</v>
      </c>
      <c r="F154" s="29" t="n">
        <v>69.83</v>
      </c>
      <c r="G154" t="inlineStr">
        <is>
          <t>Paid</t>
        </is>
      </c>
    </row>
    <row r="155">
      <c r="A155" t="inlineStr">
        <is>
          <t>CLM514049</t>
        </is>
      </c>
      <c r="B155" t="inlineStr">
        <is>
          <t>ENC114049</t>
        </is>
      </c>
      <c r="C155" t="inlineStr">
        <is>
          <t>PY03</t>
        </is>
      </c>
      <c r="D155" s="28" t="n">
        <v>45758</v>
      </c>
      <c r="E155" s="29" t="n">
        <v>423.54</v>
      </c>
      <c r="F155" s="29" t="n">
        <v>93.62</v>
      </c>
      <c r="G155" t="inlineStr">
        <is>
          <t>Paid</t>
        </is>
      </c>
    </row>
    <row r="156">
      <c r="A156" t="inlineStr">
        <is>
          <t>CLM514057</t>
        </is>
      </c>
      <c r="B156" t="inlineStr">
        <is>
          <t>ENC114057</t>
        </is>
      </c>
      <c r="C156" t="inlineStr">
        <is>
          <t>PY04</t>
        </is>
      </c>
      <c r="D156" s="28" t="n">
        <v>45770</v>
      </c>
      <c r="E156" s="29" t="n">
        <v>108791.28</v>
      </c>
      <c r="F156" s="29" t="n">
        <v>50744.07</v>
      </c>
      <c r="G156" t="inlineStr">
        <is>
          <t>Paid</t>
        </is>
      </c>
    </row>
    <row r="157">
      <c r="A157" t="inlineStr">
        <is>
          <t>CLM514067</t>
        </is>
      </c>
      <c r="B157" t="inlineStr">
        <is>
          <t>ENC114067</t>
        </is>
      </c>
      <c r="C157" t="inlineStr">
        <is>
          <t>PY06</t>
        </is>
      </c>
      <c r="D157" s="28" t="n">
        <v>45760</v>
      </c>
      <c r="E157" s="29" t="n">
        <v>2766.16</v>
      </c>
      <c r="F157" s="29" t="n">
        <v>1289.21</v>
      </c>
      <c r="G157" t="inlineStr">
        <is>
          <t>Paid</t>
        </is>
      </c>
    </row>
    <row r="158">
      <c r="A158" t="inlineStr">
        <is>
          <t>CLM514070</t>
        </is>
      </c>
      <c r="B158" t="inlineStr">
        <is>
          <t>ENC114070</t>
        </is>
      </c>
      <c r="C158" t="inlineStr">
        <is>
          <t>PY07</t>
        </is>
      </c>
      <c r="D158" s="28" t="n">
        <v>45761</v>
      </c>
      <c r="E158" s="29" t="n">
        <v>254.05</v>
      </c>
      <c r="F158" s="29" t="n">
        <v>0</v>
      </c>
      <c r="G158" t="inlineStr">
        <is>
          <t>Pending</t>
        </is>
      </c>
    </row>
    <row r="159">
      <c r="A159" t="inlineStr">
        <is>
          <t>CLM514110</t>
        </is>
      </c>
      <c r="B159" t="inlineStr">
        <is>
          <t>ENC114110</t>
        </is>
      </c>
      <c r="C159" t="inlineStr">
        <is>
          <t>PY02</t>
        </is>
      </c>
      <c r="D159" s="28" t="n">
        <v>45761</v>
      </c>
      <c r="E159" s="29" t="n">
        <v>431.51</v>
      </c>
      <c r="F159" s="29" t="n">
        <v>110.41</v>
      </c>
      <c r="G159" t="inlineStr">
        <is>
          <t>Paid</t>
        </is>
      </c>
    </row>
    <row r="160">
      <c r="A160" t="inlineStr">
        <is>
          <t>CLM514128</t>
        </is>
      </c>
      <c r="B160" t="inlineStr">
        <is>
          <t>ENC114128</t>
        </is>
      </c>
      <c r="C160" t="inlineStr">
        <is>
          <t>PY03</t>
        </is>
      </c>
      <c r="D160" s="28" t="n">
        <v>45770</v>
      </c>
      <c r="E160" s="29" t="n">
        <v>759.11</v>
      </c>
      <c r="F160" s="29" t="n">
        <v>177.73</v>
      </c>
      <c r="G160" t="inlineStr">
        <is>
          <t>Paid</t>
        </is>
      </c>
    </row>
    <row r="161">
      <c r="A161" t="inlineStr">
        <is>
          <t>CLM514129</t>
        </is>
      </c>
      <c r="B161" t="inlineStr">
        <is>
          <t>ENC114129</t>
        </is>
      </c>
      <c r="C161" t="inlineStr">
        <is>
          <t>PY01</t>
        </is>
      </c>
      <c r="D161" s="28" t="n">
        <v>45762</v>
      </c>
      <c r="E161" s="29" t="n">
        <v>375.95</v>
      </c>
      <c r="F161" s="29" t="n">
        <v>112.21</v>
      </c>
      <c r="G161" t="inlineStr">
        <is>
          <t>Paid</t>
        </is>
      </c>
    </row>
    <row r="162">
      <c r="A162" t="inlineStr">
        <is>
          <t>CLM514148</t>
        </is>
      </c>
      <c r="B162" t="inlineStr">
        <is>
          <t>ENC114148</t>
        </is>
      </c>
      <c r="C162" t="inlineStr">
        <is>
          <t>PY04</t>
        </is>
      </c>
      <c r="D162" s="28" t="n">
        <v>45772</v>
      </c>
      <c r="E162" s="29" t="n">
        <v>42336.11</v>
      </c>
      <c r="F162" s="29" t="n">
        <v>21630.41</v>
      </c>
      <c r="G162" t="inlineStr">
        <is>
          <t>Paid</t>
        </is>
      </c>
    </row>
    <row r="163">
      <c r="A163" t="inlineStr">
        <is>
          <t>CLM514150</t>
        </is>
      </c>
      <c r="B163" t="inlineStr">
        <is>
          <t>ENC114150</t>
        </is>
      </c>
      <c r="C163" t="inlineStr">
        <is>
          <t>PY03</t>
        </is>
      </c>
      <c r="D163" s="28" t="n">
        <v>45765</v>
      </c>
      <c r="E163" s="29" t="n">
        <v>17107.79</v>
      </c>
      <c r="F163" s="29" t="n">
        <v>0</v>
      </c>
      <c r="G163" t="inlineStr">
        <is>
          <t>Denied</t>
        </is>
      </c>
      <c r="H163" t="inlineStr">
        <is>
          <t>Authorization Required</t>
        </is>
      </c>
    </row>
    <row r="164">
      <c r="A164" t="inlineStr">
        <is>
          <t>CLM514182</t>
        </is>
      </c>
      <c r="B164" t="inlineStr">
        <is>
          <t>ENC114182</t>
        </is>
      </c>
      <c r="C164" t="inlineStr">
        <is>
          <t>PY03</t>
        </is>
      </c>
      <c r="D164" s="28" t="n">
        <v>45765</v>
      </c>
      <c r="E164" s="29" t="n">
        <v>368.87</v>
      </c>
      <c r="F164" s="29" t="n">
        <v>85.77</v>
      </c>
      <c r="G164" t="inlineStr">
        <is>
          <t>Paid</t>
        </is>
      </c>
    </row>
    <row r="165">
      <c r="A165" t="inlineStr">
        <is>
          <t>CLM514199</t>
        </is>
      </c>
      <c r="B165" t="inlineStr">
        <is>
          <t>ENC114199</t>
        </is>
      </c>
      <c r="C165" t="inlineStr">
        <is>
          <t>PY04</t>
        </is>
      </c>
      <c r="D165" s="28" t="n">
        <v>45772</v>
      </c>
      <c r="E165" s="29" t="n">
        <v>23441.65</v>
      </c>
      <c r="F165" s="29" t="n">
        <v>8800.25</v>
      </c>
      <c r="G165" t="inlineStr">
        <is>
          <t>Paid</t>
        </is>
      </c>
    </row>
    <row r="166">
      <c r="A166" t="inlineStr">
        <is>
          <t>CLM514216</t>
        </is>
      </c>
      <c r="B166" t="inlineStr">
        <is>
          <t>ENC114216</t>
        </is>
      </c>
      <c r="C166" t="inlineStr">
        <is>
          <t>PY02</t>
        </is>
      </c>
      <c r="D166" s="28" t="n">
        <v>45768</v>
      </c>
      <c r="E166" s="29" t="n">
        <v>362.83</v>
      </c>
      <c r="F166" s="29" t="n">
        <v>109.41</v>
      </c>
      <c r="G166" t="inlineStr">
        <is>
          <t>Paid</t>
        </is>
      </c>
    </row>
    <row r="167">
      <c r="A167" t="inlineStr">
        <is>
          <t>CLM514221</t>
        </is>
      </c>
      <c r="B167" t="inlineStr">
        <is>
          <t>ENC114221</t>
        </is>
      </c>
      <c r="C167" t="inlineStr">
        <is>
          <t>PY02</t>
        </is>
      </c>
      <c r="D167" s="28" t="n">
        <v>45822</v>
      </c>
      <c r="E167" s="29" t="n">
        <v>700.48</v>
      </c>
      <c r="F167" s="29" t="n">
        <v>214.47</v>
      </c>
      <c r="G167" t="inlineStr">
        <is>
          <t>Paid</t>
        </is>
      </c>
    </row>
    <row r="168">
      <c r="A168" t="inlineStr">
        <is>
          <t>CLM514232</t>
        </is>
      </c>
      <c r="B168" t="inlineStr">
        <is>
          <t>ENC114232</t>
        </is>
      </c>
      <c r="C168" t="inlineStr">
        <is>
          <t>PY01</t>
        </is>
      </c>
      <c r="D168" s="28" t="n">
        <v>45767</v>
      </c>
      <c r="E168" s="29" t="n">
        <v>244.43</v>
      </c>
      <c r="F168" s="29" t="n">
        <v>72.56</v>
      </c>
      <c r="G168" t="inlineStr">
        <is>
          <t>Paid</t>
        </is>
      </c>
    </row>
    <row r="169">
      <c r="A169" t="inlineStr">
        <is>
          <t>CLM514264</t>
        </is>
      </c>
      <c r="B169" t="inlineStr">
        <is>
          <t>ENC114264</t>
        </is>
      </c>
      <c r="C169" t="inlineStr">
        <is>
          <t>PY06</t>
        </is>
      </c>
      <c r="D169" s="28" t="n">
        <v>45770</v>
      </c>
      <c r="E169" s="29" t="n">
        <v>9788.879999999999</v>
      </c>
      <c r="F169" s="29" t="n">
        <v>4709.22</v>
      </c>
      <c r="G169" t="inlineStr">
        <is>
          <t>Paid</t>
        </is>
      </c>
    </row>
    <row r="170">
      <c r="A170" t="inlineStr">
        <is>
          <t>CLM514280</t>
        </is>
      </c>
      <c r="B170" t="inlineStr">
        <is>
          <t>ENC114280</t>
        </is>
      </c>
      <c r="C170" t="inlineStr">
        <is>
          <t>PY07</t>
        </is>
      </c>
      <c r="D170" s="28" t="n">
        <v>45767</v>
      </c>
      <c r="E170" s="29" t="n">
        <v>380.29</v>
      </c>
      <c r="F170" s="29" t="n">
        <v>40.06</v>
      </c>
      <c r="G170" t="inlineStr">
        <is>
          <t>Partially Paid</t>
        </is>
      </c>
    </row>
    <row r="171">
      <c r="A171" t="inlineStr">
        <is>
          <t>CLM514286</t>
        </is>
      </c>
      <c r="B171" t="inlineStr">
        <is>
          <t>ENC114286</t>
        </is>
      </c>
      <c r="C171" t="inlineStr">
        <is>
          <t>PY02</t>
        </is>
      </c>
      <c r="D171" s="28" t="n">
        <v>45770</v>
      </c>
      <c r="E171" s="29" t="n">
        <v>236.56</v>
      </c>
      <c r="F171" s="29" t="n">
        <v>57.31</v>
      </c>
      <c r="G171" t="inlineStr">
        <is>
          <t>Partially Paid</t>
        </is>
      </c>
      <c r="H171" t="inlineStr">
        <is>
          <t>Missing Documentation</t>
        </is>
      </c>
    </row>
    <row r="172">
      <c r="A172" t="inlineStr">
        <is>
          <t>CLM514309</t>
        </is>
      </c>
      <c r="B172" t="inlineStr">
        <is>
          <t>ENC114309</t>
        </is>
      </c>
      <c r="C172" t="inlineStr">
        <is>
          <t>PY02</t>
        </is>
      </c>
      <c r="D172" s="28" t="n">
        <v>45769</v>
      </c>
      <c r="E172" s="29" t="n">
        <v>469.18</v>
      </c>
      <c r="F172" s="29" t="n">
        <v>147.46</v>
      </c>
      <c r="G172" t="inlineStr">
        <is>
          <t>Paid</t>
        </is>
      </c>
    </row>
    <row r="173">
      <c r="A173" t="inlineStr">
        <is>
          <t>CLM514319</t>
        </is>
      </c>
      <c r="B173" t="inlineStr">
        <is>
          <t>ENC114319</t>
        </is>
      </c>
      <c r="C173" t="inlineStr">
        <is>
          <t>PY02</t>
        </is>
      </c>
      <c r="D173" s="28" t="n">
        <v>45779</v>
      </c>
      <c r="E173" s="29" t="n">
        <v>17416.52</v>
      </c>
      <c r="F173" s="29" t="n">
        <v>3843.86</v>
      </c>
      <c r="G173" t="inlineStr">
        <is>
          <t>Partially Paid</t>
        </is>
      </c>
      <c r="H173" t="inlineStr">
        <is>
          <t>Missing Documentation</t>
        </is>
      </c>
    </row>
    <row r="174">
      <c r="A174" t="inlineStr">
        <is>
          <t>CLM514337</t>
        </is>
      </c>
      <c r="B174" t="inlineStr">
        <is>
          <t>ENC114337</t>
        </is>
      </c>
      <c r="C174" t="inlineStr">
        <is>
          <t>PY04</t>
        </is>
      </c>
      <c r="D174" s="28" t="n">
        <v>45772</v>
      </c>
      <c r="E174" s="29" t="n">
        <v>2339.62</v>
      </c>
      <c r="F174" s="29" t="n">
        <v>1064.01</v>
      </c>
      <c r="G174" t="inlineStr">
        <is>
          <t>Paid</t>
        </is>
      </c>
    </row>
    <row r="175">
      <c r="A175" t="inlineStr">
        <is>
          <t>CLM514374</t>
        </is>
      </c>
      <c r="B175" t="inlineStr">
        <is>
          <t>ENC114374</t>
        </is>
      </c>
      <c r="C175" t="inlineStr">
        <is>
          <t>PY07</t>
        </is>
      </c>
      <c r="D175" s="28" t="n">
        <v>45772</v>
      </c>
      <c r="E175" s="29" t="n">
        <v>5213.48</v>
      </c>
      <c r="F175" s="29" t="n">
        <v>0</v>
      </c>
      <c r="G175" t="inlineStr">
        <is>
          <t>Pending</t>
        </is>
      </c>
    </row>
    <row r="176">
      <c r="A176" t="inlineStr">
        <is>
          <t>CLM514377</t>
        </is>
      </c>
      <c r="B176" t="inlineStr">
        <is>
          <t>ENC114377</t>
        </is>
      </c>
      <c r="C176" t="inlineStr">
        <is>
          <t>PY01</t>
        </is>
      </c>
      <c r="D176" s="28" t="n">
        <v>45772</v>
      </c>
      <c r="E176" s="29" t="n">
        <v>418.64</v>
      </c>
      <c r="F176" s="29" t="n">
        <v>109.56</v>
      </c>
      <c r="G176" t="inlineStr">
        <is>
          <t>Paid</t>
        </is>
      </c>
    </row>
    <row r="177">
      <c r="A177" t="inlineStr">
        <is>
          <t>CLM514408</t>
        </is>
      </c>
      <c r="B177" t="inlineStr">
        <is>
          <t>ENC114408</t>
        </is>
      </c>
      <c r="C177" t="inlineStr">
        <is>
          <t>PY01</t>
        </is>
      </c>
      <c r="D177" s="28" t="n">
        <v>45772</v>
      </c>
      <c r="E177" s="29" t="n">
        <v>2575.57</v>
      </c>
      <c r="F177" s="29" t="n">
        <v>735.1900000000001</v>
      </c>
      <c r="G177" t="inlineStr">
        <is>
          <t>Paid</t>
        </is>
      </c>
    </row>
    <row r="178">
      <c r="A178" t="inlineStr">
        <is>
          <t>CLM514419</t>
        </is>
      </c>
      <c r="B178" t="inlineStr">
        <is>
          <t>ENC114419</t>
        </is>
      </c>
      <c r="C178" t="inlineStr">
        <is>
          <t>PY01</t>
        </is>
      </c>
      <c r="D178" s="28" t="n">
        <v>45772</v>
      </c>
      <c r="E178" s="29" t="n">
        <v>383.19</v>
      </c>
      <c r="F178" s="29" t="n">
        <v>106.88</v>
      </c>
      <c r="G178" t="inlineStr">
        <is>
          <t>Paid</t>
        </is>
      </c>
    </row>
    <row r="179">
      <c r="A179" t="inlineStr">
        <is>
          <t>CLM514446</t>
        </is>
      </c>
      <c r="B179" t="inlineStr">
        <is>
          <t>ENC114446</t>
        </is>
      </c>
      <c r="C179" t="inlineStr">
        <is>
          <t>PY04</t>
        </is>
      </c>
      <c r="D179" s="28" t="n">
        <v>45775</v>
      </c>
      <c r="E179" s="29" t="n">
        <v>39023.56</v>
      </c>
      <c r="F179" s="29" t="n">
        <v>17455.8</v>
      </c>
      <c r="G179" t="inlineStr">
        <is>
          <t>Paid</t>
        </is>
      </c>
    </row>
    <row r="180">
      <c r="A180" t="inlineStr">
        <is>
          <t>CLM514464</t>
        </is>
      </c>
      <c r="B180" t="inlineStr">
        <is>
          <t>ENC114464</t>
        </is>
      </c>
      <c r="C180" t="inlineStr">
        <is>
          <t>PY06</t>
        </is>
      </c>
      <c r="D180" s="28" t="n">
        <v>45772</v>
      </c>
      <c r="E180" s="29" t="n">
        <v>293.26</v>
      </c>
      <c r="F180" s="29" t="n">
        <v>116.65</v>
      </c>
      <c r="G180" t="inlineStr">
        <is>
          <t>Paid</t>
        </is>
      </c>
    </row>
    <row r="181">
      <c r="A181" t="inlineStr">
        <is>
          <t>CLM514473</t>
        </is>
      </c>
      <c r="B181" t="inlineStr">
        <is>
          <t>ENC114473</t>
        </is>
      </c>
      <c r="C181" t="inlineStr">
        <is>
          <t>PY01</t>
        </is>
      </c>
      <c r="D181" s="28" t="n">
        <v>45780</v>
      </c>
      <c r="E181" s="29" t="n">
        <v>64009.8</v>
      </c>
      <c r="F181" s="29" t="n">
        <v>17884.96</v>
      </c>
      <c r="G181" t="inlineStr">
        <is>
          <t>Paid</t>
        </is>
      </c>
    </row>
    <row r="182">
      <c r="A182" t="inlineStr">
        <is>
          <t>CLM514475</t>
        </is>
      </c>
      <c r="B182" t="inlineStr">
        <is>
          <t>ENC114475</t>
        </is>
      </c>
      <c r="C182" t="inlineStr">
        <is>
          <t>PY04</t>
        </is>
      </c>
      <c r="D182" s="28" t="n">
        <v>45775</v>
      </c>
      <c r="E182" s="29" t="n">
        <v>8164.25</v>
      </c>
      <c r="F182" s="29" t="n">
        <v>1986.93</v>
      </c>
      <c r="G182" t="inlineStr">
        <is>
          <t>Partially Paid</t>
        </is>
      </c>
      <c r="H182" t="inlineStr">
        <is>
          <t>Coding Error</t>
        </is>
      </c>
    </row>
    <row r="183">
      <c r="A183" t="inlineStr">
        <is>
          <t>CLM514508</t>
        </is>
      </c>
      <c r="B183" t="inlineStr">
        <is>
          <t>ENC114508</t>
        </is>
      </c>
      <c r="C183" t="inlineStr">
        <is>
          <t>PY04</t>
        </is>
      </c>
      <c r="D183" s="28" t="n">
        <v>45779</v>
      </c>
      <c r="E183" s="29" t="n">
        <v>1070.02</v>
      </c>
      <c r="F183" s="29" t="n">
        <v>571.4400000000001</v>
      </c>
      <c r="G183" t="inlineStr">
        <is>
          <t>Paid</t>
        </is>
      </c>
    </row>
    <row r="184">
      <c r="A184" t="inlineStr">
        <is>
          <t>CLM514527</t>
        </is>
      </c>
      <c r="B184" t="inlineStr">
        <is>
          <t>ENC114527</t>
        </is>
      </c>
      <c r="C184" t="inlineStr">
        <is>
          <t>PY05</t>
        </is>
      </c>
      <c r="D184" s="28" t="n">
        <v>45784</v>
      </c>
      <c r="E184" s="29" t="n">
        <v>18730.21</v>
      </c>
      <c r="F184" s="29" t="n">
        <v>8194.17</v>
      </c>
      <c r="G184" t="inlineStr">
        <is>
          <t>Paid</t>
        </is>
      </c>
    </row>
    <row r="185">
      <c r="A185" t="inlineStr">
        <is>
          <t>CLM514530</t>
        </is>
      </c>
      <c r="B185" t="inlineStr">
        <is>
          <t>ENC114530</t>
        </is>
      </c>
      <c r="C185" t="inlineStr">
        <is>
          <t>PY07</t>
        </is>
      </c>
      <c r="D185" s="28" t="n">
        <v>45781</v>
      </c>
      <c r="E185" s="29" t="n">
        <v>2875.24</v>
      </c>
      <c r="F185" s="29" t="n">
        <v>1208.49</v>
      </c>
      <c r="G185" t="inlineStr">
        <is>
          <t>Paid</t>
        </is>
      </c>
    </row>
    <row r="186">
      <c r="A186" t="inlineStr">
        <is>
          <t>CLM514546</t>
        </is>
      </c>
      <c r="B186" t="inlineStr">
        <is>
          <t>ENC114546</t>
        </is>
      </c>
      <c r="C186" t="inlineStr">
        <is>
          <t>PY04</t>
        </is>
      </c>
      <c r="D186" s="28" t="n">
        <v>45780</v>
      </c>
      <c r="E186" s="29" t="n">
        <v>27467.29</v>
      </c>
      <c r="F186" s="29" t="n">
        <v>12516.28</v>
      </c>
      <c r="G186" t="inlineStr">
        <is>
          <t>Paid</t>
        </is>
      </c>
    </row>
    <row r="187">
      <c r="A187" t="inlineStr">
        <is>
          <t>CLM514570</t>
        </is>
      </c>
      <c r="B187" t="inlineStr">
        <is>
          <t>ENC114570</t>
        </is>
      </c>
      <c r="C187" t="inlineStr">
        <is>
          <t>PY01</t>
        </is>
      </c>
      <c r="D187" s="28" t="n">
        <v>45783</v>
      </c>
      <c r="E187" s="29" t="n">
        <v>354.19</v>
      </c>
      <c r="F187" s="29" t="n">
        <v>110.14</v>
      </c>
      <c r="G187" t="inlineStr">
        <is>
          <t>Paid</t>
        </is>
      </c>
    </row>
    <row r="188">
      <c r="A188" t="inlineStr">
        <is>
          <t>CLM514591</t>
        </is>
      </c>
      <c r="B188" t="inlineStr">
        <is>
          <t>ENC114591</t>
        </is>
      </c>
      <c r="C188" t="inlineStr">
        <is>
          <t>PY04</t>
        </is>
      </c>
      <c r="D188" s="28" t="n">
        <v>45777</v>
      </c>
      <c r="E188" s="29" t="n">
        <v>2698.86</v>
      </c>
      <c r="F188" s="29" t="n">
        <v>1312.17</v>
      </c>
      <c r="G188" t="inlineStr">
        <is>
          <t>Paid</t>
        </is>
      </c>
    </row>
    <row r="189">
      <c r="A189" t="inlineStr">
        <is>
          <t>CLM514597</t>
        </is>
      </c>
      <c r="B189" t="inlineStr">
        <is>
          <t>ENC114597</t>
        </is>
      </c>
      <c r="C189" t="inlineStr">
        <is>
          <t>PY03</t>
        </is>
      </c>
      <c r="D189" s="28" t="n">
        <v>45780</v>
      </c>
      <c r="E189" s="29" t="n">
        <v>1281.05</v>
      </c>
      <c r="F189" s="29" t="n">
        <v>292.54</v>
      </c>
      <c r="G189" t="inlineStr">
        <is>
          <t>Paid</t>
        </is>
      </c>
    </row>
    <row r="190">
      <c r="A190" t="inlineStr">
        <is>
          <t>CLM514625</t>
        </is>
      </c>
      <c r="B190" t="inlineStr">
        <is>
          <t>ENC114625</t>
        </is>
      </c>
      <c r="C190" t="inlineStr">
        <is>
          <t>PY02</t>
        </is>
      </c>
      <c r="D190" s="28" t="n">
        <v>45906</v>
      </c>
      <c r="E190" s="29" t="n">
        <v>388.38</v>
      </c>
      <c r="F190" s="29" t="n">
        <v>117.09</v>
      </c>
      <c r="G190" t="inlineStr">
        <is>
          <t>Paid</t>
        </is>
      </c>
    </row>
    <row r="191">
      <c r="A191" t="inlineStr">
        <is>
          <t>CLM514647</t>
        </is>
      </c>
      <c r="B191" t="inlineStr">
        <is>
          <t>ENC114647</t>
        </is>
      </c>
      <c r="C191" t="inlineStr">
        <is>
          <t>PY03</t>
        </is>
      </c>
      <c r="D191" s="28" t="n">
        <v>45779</v>
      </c>
      <c r="E191" s="29" t="n">
        <v>4607.53</v>
      </c>
      <c r="F191" s="29" t="n">
        <v>1136.78</v>
      </c>
      <c r="G191" t="inlineStr">
        <is>
          <t>Paid</t>
        </is>
      </c>
    </row>
    <row r="192">
      <c r="A192" t="inlineStr">
        <is>
          <t>CLM514652</t>
        </is>
      </c>
      <c r="B192" t="inlineStr">
        <is>
          <t>ENC114652</t>
        </is>
      </c>
      <c r="C192" t="inlineStr">
        <is>
          <t>PY04</t>
        </is>
      </c>
      <c r="D192" s="28" t="n">
        <v>45790</v>
      </c>
      <c r="E192" s="29" t="n">
        <v>7431.79</v>
      </c>
      <c r="F192" s="29" t="n">
        <v>3430.32</v>
      </c>
      <c r="G192" t="inlineStr">
        <is>
          <t>Paid</t>
        </is>
      </c>
    </row>
    <row r="193">
      <c r="A193" t="inlineStr">
        <is>
          <t>CLM514664</t>
        </is>
      </c>
      <c r="B193" t="inlineStr">
        <is>
          <t>ENC114664</t>
        </is>
      </c>
      <c r="C193" t="inlineStr">
        <is>
          <t>PY06</t>
        </is>
      </c>
      <c r="D193" s="28" t="n">
        <v>45790</v>
      </c>
      <c r="E193" s="29" t="n">
        <v>3874.19</v>
      </c>
      <c r="F193" s="29" t="n">
        <v>1944.3</v>
      </c>
      <c r="G193" t="inlineStr">
        <is>
          <t>Paid</t>
        </is>
      </c>
    </row>
    <row r="194">
      <c r="A194" t="inlineStr">
        <is>
          <t>CLM514694</t>
        </is>
      </c>
      <c r="B194" t="inlineStr">
        <is>
          <t>ENC114694</t>
        </is>
      </c>
      <c r="C194" t="inlineStr">
        <is>
          <t>PY07</t>
        </is>
      </c>
      <c r="D194" s="28" t="n">
        <v>45781</v>
      </c>
      <c r="E194" s="29" t="n">
        <v>308.96</v>
      </c>
      <c r="F194" s="29" t="n">
        <v>0</v>
      </c>
      <c r="G194" t="inlineStr">
        <is>
          <t>Pending</t>
        </is>
      </c>
    </row>
    <row r="195">
      <c r="A195" t="inlineStr">
        <is>
          <t>CLM514717</t>
        </is>
      </c>
      <c r="B195" t="inlineStr">
        <is>
          <t>ENC114717</t>
        </is>
      </c>
      <c r="C195" t="inlineStr">
        <is>
          <t>PY06</t>
        </is>
      </c>
      <c r="D195" s="28" t="n">
        <v>45787</v>
      </c>
      <c r="E195" s="29" t="n">
        <v>16127.55</v>
      </c>
      <c r="F195" s="29" t="n">
        <v>8058.97</v>
      </c>
      <c r="G195" t="inlineStr">
        <is>
          <t>Paid</t>
        </is>
      </c>
    </row>
    <row r="196">
      <c r="A196" t="inlineStr">
        <is>
          <t>CLM514739</t>
        </is>
      </c>
      <c r="B196" t="inlineStr">
        <is>
          <t>ENC114739</t>
        </is>
      </c>
      <c r="C196" t="inlineStr">
        <is>
          <t>PY05</t>
        </is>
      </c>
      <c r="D196" s="28" t="n">
        <v>45789</v>
      </c>
      <c r="E196" s="29" t="n">
        <v>20737.93</v>
      </c>
      <c r="F196" s="29" t="n">
        <v>0</v>
      </c>
      <c r="G196" t="inlineStr">
        <is>
          <t>Appealed</t>
        </is>
      </c>
      <c r="H196" t="inlineStr">
        <is>
          <t>Medical Necessity</t>
        </is>
      </c>
    </row>
    <row r="197">
      <c r="A197" t="inlineStr">
        <is>
          <t>CLM514771</t>
        </is>
      </c>
      <c r="B197" t="inlineStr">
        <is>
          <t>ENC114771</t>
        </is>
      </c>
      <c r="C197" t="inlineStr">
        <is>
          <t>PY04</t>
        </is>
      </c>
      <c r="D197" s="28" t="n">
        <v>45788</v>
      </c>
      <c r="E197" s="29" t="n">
        <v>296.73</v>
      </c>
      <c r="F197" s="29" t="n">
        <v>126.99</v>
      </c>
      <c r="G197" t="inlineStr">
        <is>
          <t>Paid</t>
        </is>
      </c>
    </row>
    <row r="198">
      <c r="A198" t="inlineStr">
        <is>
          <t>CLM514777</t>
        </is>
      </c>
      <c r="B198" t="inlineStr">
        <is>
          <t>ENC114777</t>
        </is>
      </c>
      <c r="C198" t="inlineStr">
        <is>
          <t>PY06</t>
        </is>
      </c>
      <c r="D198" s="28" t="n">
        <v>45783</v>
      </c>
      <c r="E198" s="29" t="n">
        <v>403.28</v>
      </c>
      <c r="F198" s="29" t="n">
        <v>217.26</v>
      </c>
      <c r="G198" t="inlineStr">
        <is>
          <t>Paid</t>
        </is>
      </c>
    </row>
    <row r="199">
      <c r="A199" t="inlineStr">
        <is>
          <t>CLM514831</t>
        </is>
      </c>
      <c r="B199" t="inlineStr">
        <is>
          <t>ENC114831</t>
        </is>
      </c>
      <c r="C199" t="inlineStr">
        <is>
          <t>PY07</t>
        </is>
      </c>
      <c r="D199" s="28" t="n">
        <v>45794</v>
      </c>
      <c r="E199" s="29" t="n">
        <v>24953.75</v>
      </c>
      <c r="F199" s="29" t="n">
        <v>6502.32</v>
      </c>
      <c r="G199" t="inlineStr">
        <is>
          <t>Partially Paid</t>
        </is>
      </c>
    </row>
    <row r="200">
      <c r="A200" t="inlineStr">
        <is>
          <t>CLM514838</t>
        </is>
      </c>
      <c r="B200" t="inlineStr">
        <is>
          <t>ENC114838</t>
        </is>
      </c>
      <c r="C200" t="inlineStr">
        <is>
          <t>PY04</t>
        </is>
      </c>
      <c r="D200" s="28" t="n">
        <v>45789</v>
      </c>
      <c r="E200" s="29" t="n">
        <v>26811.47</v>
      </c>
      <c r="F200" s="29" t="n">
        <v>12266.96</v>
      </c>
      <c r="G200" t="inlineStr">
        <is>
          <t>Paid</t>
        </is>
      </c>
    </row>
    <row r="201">
      <c r="A201" t="inlineStr">
        <is>
          <t>CLM514860</t>
        </is>
      </c>
      <c r="B201" t="inlineStr">
        <is>
          <t>ENC114860</t>
        </is>
      </c>
      <c r="C201" t="inlineStr">
        <is>
          <t>PY07</t>
        </is>
      </c>
      <c r="D201" s="28" t="n">
        <v>45786</v>
      </c>
      <c r="E201" s="29" t="n">
        <v>8442.219999999999</v>
      </c>
      <c r="F201" s="29" t="n">
        <v>0</v>
      </c>
      <c r="G201" t="inlineStr">
        <is>
          <t>Pending</t>
        </is>
      </c>
    </row>
    <row r="202">
      <c r="A202" t="inlineStr">
        <is>
          <t>CLM514872</t>
        </is>
      </c>
      <c r="B202" t="inlineStr">
        <is>
          <t>ENC114872</t>
        </is>
      </c>
      <c r="C202" t="inlineStr">
        <is>
          <t>PY03</t>
        </is>
      </c>
      <c r="D202" s="28" t="n">
        <v>45790</v>
      </c>
      <c r="E202" s="29" t="n">
        <v>21054.18</v>
      </c>
      <c r="F202" s="29" t="n">
        <v>4790.63</v>
      </c>
      <c r="G202" t="inlineStr">
        <is>
          <t>Paid</t>
        </is>
      </c>
    </row>
    <row r="203">
      <c r="A203" t="inlineStr">
        <is>
          <t>CLM514890</t>
        </is>
      </c>
      <c r="B203" t="inlineStr">
        <is>
          <t>ENC114890</t>
        </is>
      </c>
      <c r="C203" t="inlineStr">
        <is>
          <t>PY01</t>
        </is>
      </c>
      <c r="D203" s="28" t="n">
        <v>45791</v>
      </c>
      <c r="E203" s="29" t="n">
        <v>244.29</v>
      </c>
      <c r="F203" s="29" t="n">
        <v>62.44</v>
      </c>
      <c r="G203" t="inlineStr">
        <is>
          <t>Paid</t>
        </is>
      </c>
    </row>
    <row r="204">
      <c r="A204" t="inlineStr">
        <is>
          <t>CLM514917</t>
        </is>
      </c>
      <c r="B204" t="inlineStr">
        <is>
          <t>ENC114917</t>
        </is>
      </c>
      <c r="C204" t="inlineStr">
        <is>
          <t>PY01</t>
        </is>
      </c>
      <c r="D204" s="28" t="n">
        <v>45792</v>
      </c>
      <c r="E204" s="29" t="n">
        <v>497.64</v>
      </c>
      <c r="F204" s="29" t="n">
        <v>152.71</v>
      </c>
      <c r="G204" t="inlineStr">
        <is>
          <t>Paid</t>
        </is>
      </c>
    </row>
    <row r="205">
      <c r="A205" t="inlineStr">
        <is>
          <t>CLM514933</t>
        </is>
      </c>
      <c r="B205" t="inlineStr">
        <is>
          <t>ENC114933</t>
        </is>
      </c>
      <c r="C205" t="inlineStr">
        <is>
          <t>PY04</t>
        </is>
      </c>
      <c r="D205" s="28" t="n">
        <v>45791</v>
      </c>
      <c r="E205" s="29" t="n">
        <v>853.71</v>
      </c>
      <c r="F205" s="29" t="n">
        <v>350.65</v>
      </c>
      <c r="G205" t="inlineStr">
        <is>
          <t>Paid</t>
        </is>
      </c>
    </row>
    <row r="206">
      <c r="A206" t="inlineStr">
        <is>
          <t>CLM514947</t>
        </is>
      </c>
      <c r="B206" t="inlineStr">
        <is>
          <t>ENC114947</t>
        </is>
      </c>
      <c r="C206" t="inlineStr">
        <is>
          <t>PY04</t>
        </is>
      </c>
      <c r="D206" s="28" t="n">
        <v>45794</v>
      </c>
      <c r="E206" s="29" t="n">
        <v>15969.9</v>
      </c>
      <c r="F206" s="29" t="n">
        <v>6536.94</v>
      </c>
      <c r="G206" t="inlineStr">
        <is>
          <t>Paid</t>
        </is>
      </c>
    </row>
    <row r="207">
      <c r="A207" t="inlineStr">
        <is>
          <t>CLM514950</t>
        </is>
      </c>
      <c r="B207" t="inlineStr">
        <is>
          <t>ENC114950</t>
        </is>
      </c>
      <c r="C207" t="inlineStr">
        <is>
          <t>PY05</t>
        </is>
      </c>
      <c r="D207" s="28" t="n">
        <v>45796</v>
      </c>
      <c r="E207" s="29" t="n">
        <v>2989.45</v>
      </c>
      <c r="F207" s="29" t="n">
        <v>1248.64</v>
      </c>
      <c r="G207" t="inlineStr">
        <is>
          <t>Paid</t>
        </is>
      </c>
    </row>
    <row r="208">
      <c r="A208" t="inlineStr">
        <is>
          <t>CLM514955</t>
        </is>
      </c>
      <c r="B208" t="inlineStr">
        <is>
          <t>ENC114955</t>
        </is>
      </c>
      <c r="C208" t="inlineStr">
        <is>
          <t>PY02</t>
        </is>
      </c>
      <c r="D208" s="28" t="n">
        <v>45790</v>
      </c>
      <c r="E208" s="29" t="n">
        <v>840.14</v>
      </c>
      <c r="F208" s="29" t="n">
        <v>229.4</v>
      </c>
      <c r="G208" t="inlineStr">
        <is>
          <t>Paid</t>
        </is>
      </c>
    </row>
    <row r="209">
      <c r="A209" t="inlineStr">
        <is>
          <t>CLM514957</t>
        </is>
      </c>
      <c r="B209" t="inlineStr">
        <is>
          <t>ENC114957</t>
        </is>
      </c>
      <c r="C209" t="inlineStr">
        <is>
          <t>PY05</t>
        </is>
      </c>
      <c r="D209" s="28" t="n">
        <v>45792</v>
      </c>
      <c r="E209" s="29" t="n">
        <v>36426.83</v>
      </c>
      <c r="F209" s="29" t="n">
        <v>13743.67</v>
      </c>
      <c r="G209" t="inlineStr">
        <is>
          <t>Paid</t>
        </is>
      </c>
    </row>
    <row r="210">
      <c r="A210" t="inlineStr">
        <is>
          <t>CLM515005</t>
        </is>
      </c>
      <c r="B210" t="inlineStr">
        <is>
          <t>ENC115005</t>
        </is>
      </c>
      <c r="C210" t="inlineStr">
        <is>
          <t>PY04</t>
        </is>
      </c>
      <c r="D210" s="28" t="n">
        <v>45801</v>
      </c>
      <c r="E210" s="29" t="n">
        <v>357.06</v>
      </c>
      <c r="F210" s="29" t="n">
        <v>170.65</v>
      </c>
      <c r="G210" t="inlineStr">
        <is>
          <t>Paid</t>
        </is>
      </c>
    </row>
    <row r="211">
      <c r="A211" t="inlineStr">
        <is>
          <t>CLM515017</t>
        </is>
      </c>
      <c r="B211" t="inlineStr">
        <is>
          <t>ENC115017</t>
        </is>
      </c>
      <c r="C211" t="inlineStr">
        <is>
          <t>PY06</t>
        </is>
      </c>
      <c r="D211" s="28" t="n">
        <v>45797</v>
      </c>
      <c r="E211" s="29" t="n">
        <v>67696.03</v>
      </c>
      <c r="F211" s="29" t="n">
        <v>36471.96</v>
      </c>
      <c r="G211" t="inlineStr">
        <is>
          <t>Paid</t>
        </is>
      </c>
    </row>
    <row r="212">
      <c r="A212" t="inlineStr">
        <is>
          <t>CLM515033</t>
        </is>
      </c>
      <c r="B212" t="inlineStr">
        <is>
          <t>ENC115033</t>
        </is>
      </c>
      <c r="C212" t="inlineStr">
        <is>
          <t>PY03</t>
        </is>
      </c>
      <c r="D212" s="28" t="n">
        <v>45794</v>
      </c>
      <c r="E212" s="29" t="n">
        <v>8674.75</v>
      </c>
      <c r="F212" s="29" t="n">
        <v>2161.14</v>
      </c>
      <c r="G212" t="inlineStr">
        <is>
          <t>Paid</t>
        </is>
      </c>
    </row>
    <row r="213">
      <c r="A213" t="inlineStr">
        <is>
          <t>CLM515044</t>
        </is>
      </c>
      <c r="B213" t="inlineStr">
        <is>
          <t>ENC115044</t>
        </is>
      </c>
      <c r="C213" t="inlineStr">
        <is>
          <t>PY05</t>
        </is>
      </c>
      <c r="D213" s="28" t="n">
        <v>45794</v>
      </c>
      <c r="E213" s="29" t="n">
        <v>5893.07</v>
      </c>
      <c r="F213" s="29" t="n">
        <v>1579.55</v>
      </c>
      <c r="G213" t="inlineStr">
        <is>
          <t>Partially Paid</t>
        </is>
      </c>
      <c r="H213" t="inlineStr">
        <is>
          <t>Missing Documentation</t>
        </is>
      </c>
    </row>
    <row r="214">
      <c r="A214" t="inlineStr">
        <is>
          <t>CLM515109</t>
        </is>
      </c>
      <c r="B214" t="inlineStr">
        <is>
          <t>ENC115109</t>
        </is>
      </c>
      <c r="C214" t="inlineStr">
        <is>
          <t>PY06</t>
        </is>
      </c>
      <c r="D214" s="28" t="n">
        <v>45795</v>
      </c>
      <c r="E214" s="29" t="n">
        <v>405.96</v>
      </c>
      <c r="F214" s="29" t="n">
        <v>223.26</v>
      </c>
      <c r="G214" t="inlineStr">
        <is>
          <t>Paid</t>
        </is>
      </c>
    </row>
    <row r="215">
      <c r="A215" t="inlineStr">
        <is>
          <t>CLM515160</t>
        </is>
      </c>
      <c r="B215" t="inlineStr">
        <is>
          <t>ENC115160</t>
        </is>
      </c>
      <c r="C215" t="inlineStr">
        <is>
          <t>PY06</t>
        </is>
      </c>
      <c r="D215" s="28" t="n">
        <v>45813</v>
      </c>
      <c r="E215" s="29" t="n">
        <v>102184.65</v>
      </c>
      <c r="F215" s="29" t="n">
        <v>49290.04</v>
      </c>
      <c r="G215" t="inlineStr">
        <is>
          <t>Paid</t>
        </is>
      </c>
    </row>
    <row r="216">
      <c r="A216" t="inlineStr">
        <is>
          <t>CLM515167</t>
        </is>
      </c>
      <c r="B216" t="inlineStr">
        <is>
          <t>ENC115167</t>
        </is>
      </c>
      <c r="C216" t="inlineStr">
        <is>
          <t>PY01</t>
        </is>
      </c>
      <c r="D216" s="28" t="n">
        <v>45799</v>
      </c>
      <c r="E216" s="29" t="n">
        <v>5579.19</v>
      </c>
      <c r="F216" s="29" t="n">
        <v>1744.18</v>
      </c>
      <c r="G216" t="inlineStr">
        <is>
          <t>Paid</t>
        </is>
      </c>
    </row>
    <row r="217">
      <c r="A217" t="inlineStr">
        <is>
          <t>CLM515170</t>
        </is>
      </c>
      <c r="B217" t="inlineStr">
        <is>
          <t>ENC115170</t>
        </is>
      </c>
      <c r="C217" t="inlineStr">
        <is>
          <t>PY06</t>
        </is>
      </c>
      <c r="D217" s="28" t="n">
        <v>45798</v>
      </c>
      <c r="E217" s="29" t="n">
        <v>1355.33</v>
      </c>
      <c r="F217" s="29" t="n">
        <v>657.53</v>
      </c>
      <c r="G217" t="inlineStr">
        <is>
          <t>Paid</t>
        </is>
      </c>
    </row>
    <row r="218">
      <c r="A218" t="inlineStr">
        <is>
          <t>CLM515206</t>
        </is>
      </c>
      <c r="B218" t="inlineStr">
        <is>
          <t>ENC115206</t>
        </is>
      </c>
      <c r="C218" t="inlineStr">
        <is>
          <t>PY06</t>
        </is>
      </c>
      <c r="D218" s="28" t="n">
        <v>45799</v>
      </c>
      <c r="E218" s="29" t="n">
        <v>1233.33</v>
      </c>
      <c r="F218" s="29" t="n">
        <v>657.39</v>
      </c>
      <c r="G218" t="inlineStr">
        <is>
          <t>Paid</t>
        </is>
      </c>
    </row>
    <row r="219">
      <c r="A219" t="inlineStr">
        <is>
          <t>CLM515234</t>
        </is>
      </c>
      <c r="B219" t="inlineStr">
        <is>
          <t>ENC115234</t>
        </is>
      </c>
      <c r="C219" t="inlineStr">
        <is>
          <t>PY02</t>
        </is>
      </c>
      <c r="D219" s="28" t="n">
        <v>45801</v>
      </c>
      <c r="E219" s="29" t="n">
        <v>1806.6</v>
      </c>
      <c r="F219" s="29" t="n">
        <v>545.78</v>
      </c>
      <c r="G219" t="inlineStr">
        <is>
          <t>Paid</t>
        </is>
      </c>
    </row>
    <row r="220">
      <c r="A220" t="inlineStr">
        <is>
          <t>CLM515236</t>
        </is>
      </c>
      <c r="B220" t="inlineStr">
        <is>
          <t>ENC115236</t>
        </is>
      </c>
      <c r="C220" t="inlineStr">
        <is>
          <t>PY02</t>
        </is>
      </c>
      <c r="D220" s="28" t="n">
        <v>45801</v>
      </c>
      <c r="E220" s="29" t="n">
        <v>187.8</v>
      </c>
      <c r="F220" s="29" t="n">
        <v>53.59</v>
      </c>
      <c r="G220" t="inlineStr">
        <is>
          <t>Paid</t>
        </is>
      </c>
    </row>
    <row r="221">
      <c r="A221" t="inlineStr">
        <is>
          <t>CLM515242</t>
        </is>
      </c>
      <c r="B221" t="inlineStr">
        <is>
          <t>ENC115242</t>
        </is>
      </c>
      <c r="C221" t="inlineStr">
        <is>
          <t>PY01</t>
        </is>
      </c>
      <c r="D221" s="28" t="n">
        <v>45809</v>
      </c>
      <c r="E221" s="29" t="n">
        <v>200.12</v>
      </c>
      <c r="F221" s="29" t="n">
        <v>59.86</v>
      </c>
      <c r="G221" t="inlineStr">
        <is>
          <t>Paid</t>
        </is>
      </c>
    </row>
    <row r="222">
      <c r="A222" t="inlineStr">
        <is>
          <t>CLM515270</t>
        </is>
      </c>
      <c r="B222" t="inlineStr">
        <is>
          <t>ENC115270</t>
        </is>
      </c>
      <c r="C222" t="inlineStr">
        <is>
          <t>PY01</t>
        </is>
      </c>
      <c r="D222" s="28" t="n">
        <v>45806</v>
      </c>
      <c r="E222" s="29" t="n">
        <v>18647.77</v>
      </c>
      <c r="F222" s="29" t="n">
        <v>4742.64</v>
      </c>
      <c r="G222" t="inlineStr">
        <is>
          <t>Paid</t>
        </is>
      </c>
    </row>
    <row r="223">
      <c r="A223" t="inlineStr">
        <is>
          <t>CLM515278</t>
        </is>
      </c>
      <c r="B223" t="inlineStr">
        <is>
          <t>ENC115278</t>
        </is>
      </c>
      <c r="C223" t="inlineStr">
        <is>
          <t>PY03</t>
        </is>
      </c>
      <c r="D223" s="28" t="n">
        <v>45803</v>
      </c>
      <c r="E223" s="29" t="n">
        <v>2547.11</v>
      </c>
      <c r="F223" s="29" t="n">
        <v>605.41</v>
      </c>
      <c r="G223" t="inlineStr">
        <is>
          <t>Paid</t>
        </is>
      </c>
    </row>
    <row r="224">
      <c r="A224" t="inlineStr">
        <is>
          <t>CLM515285</t>
        </is>
      </c>
      <c r="B224" t="inlineStr">
        <is>
          <t>ENC115285</t>
        </is>
      </c>
      <c r="C224" t="inlineStr">
        <is>
          <t>PY04</t>
        </is>
      </c>
      <c r="D224" s="28" t="n">
        <v>45810</v>
      </c>
      <c r="E224" s="29" t="n">
        <v>30618.7</v>
      </c>
      <c r="F224" s="29" t="n">
        <v>14610.54</v>
      </c>
      <c r="G224" t="inlineStr">
        <is>
          <t>Paid</t>
        </is>
      </c>
    </row>
    <row r="225">
      <c r="A225" t="inlineStr">
        <is>
          <t>CLM515288</t>
        </is>
      </c>
      <c r="B225" t="inlineStr">
        <is>
          <t>ENC115288</t>
        </is>
      </c>
      <c r="C225" t="inlineStr">
        <is>
          <t>PY02</t>
        </is>
      </c>
      <c r="D225" s="28" t="n">
        <v>45803</v>
      </c>
      <c r="E225" s="29" t="n">
        <v>257.64</v>
      </c>
      <c r="F225" s="29" t="n">
        <v>66.18000000000001</v>
      </c>
      <c r="G225" t="inlineStr">
        <is>
          <t>Paid</t>
        </is>
      </c>
    </row>
    <row r="226">
      <c r="A226" t="inlineStr">
        <is>
          <t>CLM515352</t>
        </is>
      </c>
      <c r="B226" t="inlineStr">
        <is>
          <t>ENC115352</t>
        </is>
      </c>
      <c r="C226" t="inlineStr">
        <is>
          <t>PY01</t>
        </is>
      </c>
      <c r="D226" s="28" t="n">
        <v>45803</v>
      </c>
      <c r="E226" s="29" t="n">
        <v>1822.26</v>
      </c>
      <c r="F226" s="29" t="n">
        <v>551.26</v>
      </c>
      <c r="G226" t="inlineStr">
        <is>
          <t>Paid</t>
        </is>
      </c>
    </row>
    <row r="227">
      <c r="A227" t="inlineStr">
        <is>
          <t>CLM515380</t>
        </is>
      </c>
      <c r="B227" t="inlineStr">
        <is>
          <t>ENC115380</t>
        </is>
      </c>
      <c r="C227" t="inlineStr">
        <is>
          <t>PY01</t>
        </is>
      </c>
      <c r="D227" s="28" t="n">
        <v>45817</v>
      </c>
      <c r="E227" s="29" t="n">
        <v>1446.42</v>
      </c>
      <c r="F227" s="29" t="n">
        <v>443.31</v>
      </c>
      <c r="G227" t="inlineStr">
        <is>
          <t>Paid</t>
        </is>
      </c>
    </row>
    <row r="228">
      <c r="A228" t="inlineStr">
        <is>
          <t>CLM515390</t>
        </is>
      </c>
      <c r="B228" t="inlineStr">
        <is>
          <t>ENC115390</t>
        </is>
      </c>
      <c r="C228" t="inlineStr">
        <is>
          <t>PY07</t>
        </is>
      </c>
      <c r="D228" s="28" t="n">
        <v>45808</v>
      </c>
      <c r="E228" s="29" t="n">
        <v>367.85</v>
      </c>
      <c r="F228" s="29" t="n">
        <v>27.96</v>
      </c>
      <c r="G228" t="inlineStr">
        <is>
          <t>Partially Paid</t>
        </is>
      </c>
    </row>
    <row r="229">
      <c r="A229" t="inlineStr">
        <is>
          <t>CLM515395</t>
        </is>
      </c>
      <c r="B229" t="inlineStr">
        <is>
          <t>ENC115395</t>
        </is>
      </c>
      <c r="C229" t="inlineStr">
        <is>
          <t>PY03</t>
        </is>
      </c>
      <c r="D229" s="28" t="n">
        <v>45805</v>
      </c>
      <c r="E229" s="29" t="n">
        <v>203.69</v>
      </c>
      <c r="F229" s="29" t="n">
        <v>0</v>
      </c>
      <c r="G229" t="inlineStr">
        <is>
          <t>Denied</t>
        </is>
      </c>
      <c r="H229" t="inlineStr">
        <is>
          <t>Authorization Required</t>
        </is>
      </c>
    </row>
    <row r="230">
      <c r="A230" t="inlineStr">
        <is>
          <t>CLM515424</t>
        </is>
      </c>
      <c r="B230" t="inlineStr">
        <is>
          <t>ENC115424</t>
        </is>
      </c>
      <c r="C230" t="inlineStr">
        <is>
          <t>PY01</t>
        </is>
      </c>
      <c r="D230" s="28" t="n">
        <v>45812</v>
      </c>
      <c r="E230" s="29" t="n">
        <v>27209.91</v>
      </c>
      <c r="F230" s="29" t="n">
        <v>7382.12</v>
      </c>
      <c r="G230" t="inlineStr">
        <is>
          <t>Paid</t>
        </is>
      </c>
    </row>
    <row r="231">
      <c r="A231" t="inlineStr">
        <is>
          <t>CLM515503</t>
        </is>
      </c>
      <c r="B231" t="inlineStr">
        <is>
          <t>ENC115503</t>
        </is>
      </c>
      <c r="C231" t="inlineStr">
        <is>
          <t>PY03</t>
        </is>
      </c>
      <c r="D231" s="28" t="n">
        <v>45810</v>
      </c>
      <c r="E231" s="29" t="n">
        <v>277.43</v>
      </c>
      <c r="F231" s="29" t="n">
        <v>64.31999999999999</v>
      </c>
      <c r="G231" t="inlineStr">
        <is>
          <t>Paid</t>
        </is>
      </c>
    </row>
    <row r="232">
      <c r="A232" t="inlineStr">
        <is>
          <t>CLM515522</t>
        </is>
      </c>
      <c r="B232" t="inlineStr">
        <is>
          <t>ENC115522</t>
        </is>
      </c>
      <c r="C232" t="inlineStr">
        <is>
          <t>PY03</t>
        </is>
      </c>
      <c r="D232" s="28" t="n">
        <v>45818</v>
      </c>
      <c r="E232" s="29" t="n">
        <v>277.21</v>
      </c>
      <c r="F232" s="29" t="n">
        <v>46.59</v>
      </c>
      <c r="G232" t="inlineStr">
        <is>
          <t>Partially Paid</t>
        </is>
      </c>
      <c r="H232" t="inlineStr">
        <is>
          <t>Missing Documentation</t>
        </is>
      </c>
    </row>
    <row r="233">
      <c r="A233" t="inlineStr">
        <is>
          <t>CLM515561</t>
        </is>
      </c>
      <c r="B233" t="inlineStr">
        <is>
          <t>ENC115561</t>
        </is>
      </c>
      <c r="C233" t="inlineStr">
        <is>
          <t>PY03</t>
        </is>
      </c>
      <c r="D233" s="28" t="n">
        <v>45813</v>
      </c>
      <c r="E233" s="29" t="n">
        <v>2607.61</v>
      </c>
      <c r="F233" s="29" t="n">
        <v>598.28</v>
      </c>
      <c r="G233" t="inlineStr">
        <is>
          <t>Paid</t>
        </is>
      </c>
    </row>
    <row r="234">
      <c r="A234" t="inlineStr">
        <is>
          <t>CLM515568</t>
        </is>
      </c>
      <c r="B234" t="inlineStr">
        <is>
          <t>ENC115568</t>
        </is>
      </c>
      <c r="C234" t="inlineStr">
        <is>
          <t>PY02</t>
        </is>
      </c>
      <c r="D234" s="28" t="n">
        <v>45820</v>
      </c>
      <c r="E234" s="29" t="n">
        <v>431.49</v>
      </c>
      <c r="F234" s="29" t="n">
        <v>0</v>
      </c>
      <c r="G234" t="inlineStr">
        <is>
          <t>Denied</t>
        </is>
      </c>
      <c r="H234" t="inlineStr">
        <is>
          <t>Medical Necessity</t>
        </is>
      </c>
    </row>
    <row r="235">
      <c r="A235" t="inlineStr">
        <is>
          <t>CLM515582</t>
        </is>
      </c>
      <c r="B235" t="inlineStr">
        <is>
          <t>ENC115582</t>
        </is>
      </c>
      <c r="C235" t="inlineStr">
        <is>
          <t>PY01</t>
        </is>
      </c>
      <c r="D235" s="28" t="n">
        <v>45827</v>
      </c>
      <c r="E235" s="29" t="n">
        <v>14712.69</v>
      </c>
      <c r="F235" s="29" t="n">
        <v>4472.38</v>
      </c>
      <c r="G235" t="inlineStr">
        <is>
          <t>Paid</t>
        </is>
      </c>
    </row>
    <row r="236">
      <c r="A236" t="inlineStr">
        <is>
          <t>CLM515606</t>
        </is>
      </c>
      <c r="B236" t="inlineStr">
        <is>
          <t>ENC115606</t>
        </is>
      </c>
      <c r="C236" t="inlineStr">
        <is>
          <t>PY06</t>
        </is>
      </c>
      <c r="D236" s="28" t="n">
        <v>45817</v>
      </c>
      <c r="E236" s="29" t="n">
        <v>293.93</v>
      </c>
      <c r="F236" s="29" t="n">
        <v>146.37</v>
      </c>
      <c r="G236" t="inlineStr">
        <is>
          <t>Paid</t>
        </is>
      </c>
    </row>
    <row r="237">
      <c r="A237" t="inlineStr">
        <is>
          <t>CLM515638</t>
        </is>
      </c>
      <c r="B237" t="inlineStr">
        <is>
          <t>ENC115638</t>
        </is>
      </c>
      <c r="C237" t="inlineStr">
        <is>
          <t>PY03</t>
        </is>
      </c>
      <c r="D237" s="28" t="n">
        <v>45813</v>
      </c>
      <c r="E237" s="29" t="n">
        <v>200.05</v>
      </c>
      <c r="F237" s="29" t="n">
        <v>0</v>
      </c>
      <c r="G237" t="inlineStr">
        <is>
          <t>Denied</t>
        </is>
      </c>
      <c r="H237" t="inlineStr">
        <is>
          <t>Eligibility / Coverage</t>
        </is>
      </c>
    </row>
    <row r="238">
      <c r="A238" t="inlineStr">
        <is>
          <t>CLM515651</t>
        </is>
      </c>
      <c r="B238" t="inlineStr">
        <is>
          <t>ENC115651</t>
        </is>
      </c>
      <c r="C238" t="inlineStr">
        <is>
          <t>PY04</t>
        </is>
      </c>
      <c r="D238" s="28" t="n">
        <v>45819</v>
      </c>
      <c r="E238" s="29" t="n">
        <v>17236.13</v>
      </c>
      <c r="F238" s="29" t="n">
        <v>6440.12</v>
      </c>
      <c r="G238" t="inlineStr">
        <is>
          <t>Paid</t>
        </is>
      </c>
    </row>
    <row r="239">
      <c r="A239" t="inlineStr">
        <is>
          <t>CLM515669</t>
        </is>
      </c>
      <c r="B239" t="inlineStr">
        <is>
          <t>ENC115669</t>
        </is>
      </c>
      <c r="C239" t="inlineStr">
        <is>
          <t>PY02</t>
        </is>
      </c>
      <c r="D239" s="28" t="n">
        <v>45924</v>
      </c>
      <c r="E239" s="29" t="n">
        <v>7294.64</v>
      </c>
      <c r="F239" s="29" t="n">
        <v>2351.78</v>
      </c>
      <c r="G239" t="inlineStr">
        <is>
          <t>Paid</t>
        </is>
      </c>
    </row>
    <row r="240">
      <c r="A240" t="inlineStr">
        <is>
          <t>CLM515703</t>
        </is>
      </c>
      <c r="B240" t="inlineStr">
        <is>
          <t>ENC115703</t>
        </is>
      </c>
      <c r="C240" t="inlineStr">
        <is>
          <t>PY06</t>
        </is>
      </c>
      <c r="D240" s="28" t="n">
        <v>45815</v>
      </c>
      <c r="E240" s="29" t="n">
        <v>3612.9</v>
      </c>
      <c r="F240" s="29" t="n">
        <v>1970.34</v>
      </c>
      <c r="G240" t="inlineStr">
        <is>
          <t>Paid</t>
        </is>
      </c>
    </row>
    <row r="241">
      <c r="A241" t="inlineStr">
        <is>
          <t>CLM515709</t>
        </is>
      </c>
      <c r="B241" t="inlineStr">
        <is>
          <t>ENC115709</t>
        </is>
      </c>
      <c r="C241" t="inlineStr">
        <is>
          <t>PY02</t>
        </is>
      </c>
      <c r="D241" s="28" t="n">
        <v>45817</v>
      </c>
      <c r="E241" s="29" t="n">
        <v>321.26</v>
      </c>
      <c r="F241" s="29" t="n">
        <v>46.26</v>
      </c>
      <c r="G241" t="inlineStr">
        <is>
          <t>Partially Paid</t>
        </is>
      </c>
      <c r="H241" t="inlineStr">
        <is>
          <t>Coding Error</t>
        </is>
      </c>
    </row>
    <row r="242">
      <c r="A242" t="inlineStr">
        <is>
          <t>CLM515738</t>
        </is>
      </c>
      <c r="B242" t="inlineStr">
        <is>
          <t>ENC115738</t>
        </is>
      </c>
      <c r="C242" t="inlineStr">
        <is>
          <t>PY04</t>
        </is>
      </c>
      <c r="D242" s="28" t="n">
        <v>45818</v>
      </c>
      <c r="E242" s="29" t="n">
        <v>691.76</v>
      </c>
      <c r="F242" s="29" t="n">
        <v>328.09</v>
      </c>
      <c r="G242" t="inlineStr">
        <is>
          <t>Paid</t>
        </is>
      </c>
    </row>
    <row r="243">
      <c r="A243" t="inlineStr">
        <is>
          <t>CLM515770</t>
        </is>
      </c>
      <c r="B243" t="inlineStr">
        <is>
          <t>ENC115770</t>
        </is>
      </c>
      <c r="C243" t="inlineStr">
        <is>
          <t>PY06</t>
        </is>
      </c>
      <c r="D243" s="28" t="n">
        <v>45823</v>
      </c>
      <c r="E243" s="29" t="n">
        <v>17896.71</v>
      </c>
      <c r="F243" s="29" t="n">
        <v>10239.34</v>
      </c>
      <c r="G243" t="inlineStr">
        <is>
          <t>Paid</t>
        </is>
      </c>
    </row>
    <row r="244">
      <c r="A244" t="inlineStr">
        <is>
          <t>CLM515784</t>
        </is>
      </c>
      <c r="B244" t="inlineStr">
        <is>
          <t>ENC115784</t>
        </is>
      </c>
      <c r="C244" t="inlineStr">
        <is>
          <t>PY01</t>
        </is>
      </c>
      <c r="D244" s="28" t="n">
        <v>45825</v>
      </c>
      <c r="E244" s="29" t="n">
        <v>99933.64</v>
      </c>
      <c r="F244" s="29" t="n">
        <v>28828.8</v>
      </c>
      <c r="G244" t="inlineStr">
        <is>
          <t>Paid</t>
        </is>
      </c>
    </row>
    <row r="245">
      <c r="A245" t="inlineStr">
        <is>
          <t>CLM515846</t>
        </is>
      </c>
      <c r="B245" t="inlineStr">
        <is>
          <t>ENC115846</t>
        </is>
      </c>
      <c r="C245" t="inlineStr">
        <is>
          <t>PY01</t>
        </is>
      </c>
      <c r="D245" s="28" t="n">
        <v>45828</v>
      </c>
      <c r="E245" s="29" t="n">
        <v>39410.95</v>
      </c>
      <c r="F245" s="29" t="n">
        <v>10765.33</v>
      </c>
      <c r="G245" t="inlineStr">
        <is>
          <t>Paid</t>
        </is>
      </c>
    </row>
    <row r="246">
      <c r="A246" t="inlineStr">
        <is>
          <t>CLM515850</t>
        </is>
      </c>
      <c r="B246" t="inlineStr">
        <is>
          <t>ENC115850</t>
        </is>
      </c>
      <c r="C246" t="inlineStr">
        <is>
          <t>PY03</t>
        </is>
      </c>
      <c r="D246" s="28" t="n">
        <v>45827</v>
      </c>
      <c r="E246" s="29" t="n">
        <v>3133.08</v>
      </c>
      <c r="F246" s="29" t="n">
        <v>700.23</v>
      </c>
      <c r="G246" t="inlineStr">
        <is>
          <t>Paid</t>
        </is>
      </c>
    </row>
    <row r="247">
      <c r="A247" t="inlineStr">
        <is>
          <t>CLM515875</t>
        </is>
      </c>
      <c r="B247" t="inlineStr">
        <is>
          <t>ENC115875</t>
        </is>
      </c>
      <c r="C247" t="inlineStr">
        <is>
          <t>PY03</t>
        </is>
      </c>
      <c r="D247" s="28" t="n">
        <v>45821</v>
      </c>
      <c r="E247" s="29" t="n">
        <v>490.44</v>
      </c>
      <c r="F247" s="29" t="n">
        <v>116.15</v>
      </c>
      <c r="G247" t="inlineStr">
        <is>
          <t>Paid</t>
        </is>
      </c>
    </row>
    <row r="248">
      <c r="A248" t="inlineStr">
        <is>
          <t>CLM515878</t>
        </is>
      </c>
      <c r="B248" t="inlineStr">
        <is>
          <t>ENC115878</t>
        </is>
      </c>
      <c r="C248" t="inlineStr">
        <is>
          <t>PY07</t>
        </is>
      </c>
      <c r="D248" s="28" t="n">
        <v>45823</v>
      </c>
      <c r="E248" s="29" t="n">
        <v>348.68</v>
      </c>
      <c r="F248" s="29" t="n">
        <v>0</v>
      </c>
      <c r="G248" t="inlineStr">
        <is>
          <t>Pending</t>
        </is>
      </c>
    </row>
    <row r="249">
      <c r="A249" t="inlineStr">
        <is>
          <t>CLM515884</t>
        </is>
      </c>
      <c r="B249" t="inlineStr">
        <is>
          <t>ENC115884</t>
        </is>
      </c>
      <c r="C249" t="inlineStr">
        <is>
          <t>PY04</t>
        </is>
      </c>
      <c r="D249" s="28" t="n">
        <v>45821</v>
      </c>
      <c r="E249" s="29" t="n">
        <v>1402.12</v>
      </c>
      <c r="F249" s="29" t="n">
        <v>723.51</v>
      </c>
      <c r="G249" t="inlineStr">
        <is>
          <t>Paid</t>
        </is>
      </c>
    </row>
    <row r="250">
      <c r="A250" t="inlineStr">
        <is>
          <t>CLM515891</t>
        </is>
      </c>
      <c r="B250" t="inlineStr">
        <is>
          <t>ENC115891</t>
        </is>
      </c>
      <c r="C250" t="inlineStr">
        <is>
          <t>PY01</t>
        </is>
      </c>
      <c r="D250" s="28" t="n">
        <v>45827</v>
      </c>
      <c r="E250" s="29" t="n">
        <v>621.25</v>
      </c>
      <c r="F250" s="29" t="n">
        <v>185.23</v>
      </c>
      <c r="G250" t="inlineStr">
        <is>
          <t>Paid</t>
        </is>
      </c>
    </row>
    <row r="251">
      <c r="A251" t="inlineStr">
        <is>
          <t>CLM515923</t>
        </is>
      </c>
      <c r="B251" t="inlineStr">
        <is>
          <t>ENC115923</t>
        </is>
      </c>
      <c r="C251" t="inlineStr">
        <is>
          <t>PY04</t>
        </is>
      </c>
      <c r="D251" s="28" t="n">
        <v>45827</v>
      </c>
      <c r="E251" s="29" t="n">
        <v>566.72</v>
      </c>
      <c r="F251" s="29" t="n">
        <v>250.98</v>
      </c>
      <c r="G251" t="inlineStr">
        <is>
          <t>Paid</t>
        </is>
      </c>
    </row>
    <row r="252">
      <c r="A252" t="inlineStr">
        <is>
          <t>CLM515997</t>
        </is>
      </c>
      <c r="B252" t="inlineStr">
        <is>
          <t>ENC115997</t>
        </is>
      </c>
      <c r="C252" t="inlineStr">
        <is>
          <t>PY02</t>
        </is>
      </c>
      <c r="D252" s="28" t="n">
        <v>45830</v>
      </c>
      <c r="E252" s="29" t="n">
        <v>241.95</v>
      </c>
      <c r="F252" s="29" t="n">
        <v>71.55</v>
      </c>
      <c r="G252" t="inlineStr">
        <is>
          <t>Paid</t>
        </is>
      </c>
    </row>
    <row r="253">
      <c r="A253" t="inlineStr">
        <is>
          <t>CLM516025</t>
        </is>
      </c>
      <c r="B253" t="inlineStr">
        <is>
          <t>ENC116025</t>
        </is>
      </c>
      <c r="C253" t="inlineStr">
        <is>
          <t>PY06</t>
        </is>
      </c>
      <c r="D253" s="28" t="n">
        <v>45831</v>
      </c>
      <c r="E253" s="29" t="n">
        <v>25651.15</v>
      </c>
      <c r="F253" s="29" t="n">
        <v>13548.4</v>
      </c>
      <c r="G253" t="inlineStr">
        <is>
          <t>Paid</t>
        </is>
      </c>
    </row>
    <row r="254">
      <c r="A254" t="inlineStr">
        <is>
          <t>CLM516026</t>
        </is>
      </c>
      <c r="B254" t="inlineStr">
        <is>
          <t>ENC116026</t>
        </is>
      </c>
      <c r="C254" t="inlineStr">
        <is>
          <t>PY07</t>
        </is>
      </c>
      <c r="D254" s="28" t="n">
        <v>45847</v>
      </c>
      <c r="E254" s="29" t="n">
        <v>42221.95</v>
      </c>
      <c r="F254" s="29" t="n">
        <v>3550.46</v>
      </c>
      <c r="G254" t="inlineStr">
        <is>
          <t>Partially Paid</t>
        </is>
      </c>
    </row>
    <row r="255">
      <c r="A255" t="inlineStr">
        <is>
          <t>CLM516046</t>
        </is>
      </c>
      <c r="B255" t="inlineStr">
        <is>
          <t>ENC116046</t>
        </is>
      </c>
      <c r="C255" t="inlineStr">
        <is>
          <t>PY04</t>
        </is>
      </c>
      <c r="D255" s="28" t="n">
        <v>45832</v>
      </c>
      <c r="E255" s="29" t="n">
        <v>8810.99</v>
      </c>
      <c r="F255" s="29" t="n">
        <v>3832.63</v>
      </c>
      <c r="G255" t="inlineStr">
        <is>
          <t>Paid</t>
        </is>
      </c>
    </row>
    <row r="256">
      <c r="A256" t="inlineStr">
        <is>
          <t>CLM516064</t>
        </is>
      </c>
      <c r="B256" t="inlineStr">
        <is>
          <t>ENC116064</t>
        </is>
      </c>
      <c r="C256" t="inlineStr">
        <is>
          <t>PY01</t>
        </is>
      </c>
      <c r="D256" s="28" t="n">
        <v>45830</v>
      </c>
      <c r="E256" s="29" t="n">
        <v>1867.86</v>
      </c>
      <c r="F256" s="29" t="n">
        <v>545.36</v>
      </c>
      <c r="G256" t="inlineStr">
        <is>
          <t>Paid</t>
        </is>
      </c>
    </row>
    <row r="257">
      <c r="A257" t="inlineStr">
        <is>
          <t>CLM516067</t>
        </is>
      </c>
      <c r="B257" t="inlineStr">
        <is>
          <t>ENC116067</t>
        </is>
      </c>
      <c r="C257" t="inlineStr">
        <is>
          <t>PY02</t>
        </is>
      </c>
      <c r="D257" s="28" t="n">
        <v>45831</v>
      </c>
      <c r="E257" s="29" t="n">
        <v>642.78</v>
      </c>
      <c r="F257" s="29" t="n">
        <v>179.79</v>
      </c>
      <c r="G257" t="inlineStr">
        <is>
          <t>Partially Paid</t>
        </is>
      </c>
      <c r="H257" t="inlineStr">
        <is>
          <t>Medical Necessity</t>
        </is>
      </c>
    </row>
    <row r="258">
      <c r="A258" t="inlineStr">
        <is>
          <t>CLM516085</t>
        </is>
      </c>
      <c r="B258" t="inlineStr">
        <is>
          <t>ENC116085</t>
        </is>
      </c>
      <c r="C258" t="inlineStr">
        <is>
          <t>PY03</t>
        </is>
      </c>
      <c r="D258" s="28" t="n">
        <v>45831</v>
      </c>
      <c r="E258" s="29" t="n">
        <v>8968.9</v>
      </c>
      <c r="F258" s="29" t="n">
        <v>2120.6</v>
      </c>
      <c r="G258" t="inlineStr">
        <is>
          <t>Paid</t>
        </is>
      </c>
    </row>
    <row r="259">
      <c r="A259" t="inlineStr">
        <is>
          <t>CLM516091</t>
        </is>
      </c>
      <c r="B259" t="inlineStr">
        <is>
          <t>ENC116091</t>
        </is>
      </c>
      <c r="C259" t="inlineStr">
        <is>
          <t>PY03</t>
        </is>
      </c>
      <c r="D259" s="28" t="n">
        <v>45839</v>
      </c>
      <c r="E259" s="29" t="n">
        <v>11832.67</v>
      </c>
      <c r="F259" s="29" t="n">
        <v>3037.35</v>
      </c>
      <c r="G259" t="inlineStr">
        <is>
          <t>Paid</t>
        </is>
      </c>
    </row>
    <row r="260">
      <c r="A260" t="inlineStr">
        <is>
          <t>CLM516097</t>
        </is>
      </c>
      <c r="B260" t="inlineStr">
        <is>
          <t>ENC116097</t>
        </is>
      </c>
      <c r="C260" t="inlineStr">
        <is>
          <t>PY03</t>
        </is>
      </c>
      <c r="D260" s="28" t="n">
        <v>45835</v>
      </c>
      <c r="E260" s="29" t="n">
        <v>3945.28</v>
      </c>
      <c r="F260" s="29" t="n">
        <v>814.8099999999999</v>
      </c>
      <c r="G260" t="inlineStr">
        <is>
          <t>Paid</t>
        </is>
      </c>
    </row>
    <row r="261">
      <c r="A261" t="inlineStr">
        <is>
          <t>CLM516109</t>
        </is>
      </c>
      <c r="B261" t="inlineStr">
        <is>
          <t>ENC116109</t>
        </is>
      </c>
      <c r="C261" t="inlineStr">
        <is>
          <t>PY02</t>
        </is>
      </c>
      <c r="D261" s="28" t="n">
        <v>45830</v>
      </c>
      <c r="E261" s="29" t="n">
        <v>272.66</v>
      </c>
      <c r="F261" s="29" t="n">
        <v>63.59</v>
      </c>
      <c r="G261" t="inlineStr">
        <is>
          <t>Partially Paid</t>
        </is>
      </c>
      <c r="H261" t="inlineStr">
        <is>
          <t>Coding Error</t>
        </is>
      </c>
    </row>
    <row r="262">
      <c r="A262" t="inlineStr">
        <is>
          <t>CLM516112</t>
        </is>
      </c>
      <c r="B262" t="inlineStr">
        <is>
          <t>ENC116112</t>
        </is>
      </c>
      <c r="C262" t="inlineStr">
        <is>
          <t>PY01</t>
        </is>
      </c>
      <c r="D262" s="28" t="n">
        <v>45830</v>
      </c>
      <c r="E262" s="29" t="n">
        <v>299.7</v>
      </c>
      <c r="F262" s="29" t="n">
        <v>83.2</v>
      </c>
      <c r="G262" t="inlineStr">
        <is>
          <t>Paid</t>
        </is>
      </c>
    </row>
    <row r="263">
      <c r="A263" t="inlineStr">
        <is>
          <t>CLM516142</t>
        </is>
      </c>
      <c r="B263" t="inlineStr">
        <is>
          <t>ENC116142</t>
        </is>
      </c>
      <c r="C263" t="inlineStr">
        <is>
          <t>PY03</t>
        </is>
      </c>
      <c r="D263" s="28" t="n">
        <v>45832</v>
      </c>
      <c r="E263" s="29" t="n">
        <v>1580.47</v>
      </c>
      <c r="F263" s="29" t="n">
        <v>0</v>
      </c>
      <c r="G263" t="inlineStr">
        <is>
          <t>Denied</t>
        </is>
      </c>
      <c r="H263" t="inlineStr">
        <is>
          <t>Authorization Required</t>
        </is>
      </c>
    </row>
    <row r="264">
      <c r="A264" t="inlineStr">
        <is>
          <t>CLM516156</t>
        </is>
      </c>
      <c r="B264" t="inlineStr">
        <is>
          <t>ENC116156</t>
        </is>
      </c>
      <c r="C264" t="inlineStr">
        <is>
          <t>PY02</t>
        </is>
      </c>
      <c r="D264" s="28" t="n">
        <v>45838</v>
      </c>
      <c r="E264" s="29" t="n">
        <v>20906.02</v>
      </c>
      <c r="F264" s="29" t="n">
        <v>6894.76</v>
      </c>
      <c r="G264" t="inlineStr">
        <is>
          <t>Paid</t>
        </is>
      </c>
    </row>
    <row r="265">
      <c r="A265" t="inlineStr">
        <is>
          <t>CLM516235</t>
        </is>
      </c>
      <c r="B265" t="inlineStr">
        <is>
          <t>ENC116235</t>
        </is>
      </c>
      <c r="C265" t="inlineStr">
        <is>
          <t>PY07</t>
        </is>
      </c>
      <c r="D265" s="28" t="n">
        <v>45836</v>
      </c>
      <c r="E265" s="29" t="n">
        <v>445.32</v>
      </c>
      <c r="F265" s="29" t="n">
        <v>174.8</v>
      </c>
      <c r="G265" t="inlineStr">
        <is>
          <t>Paid</t>
        </is>
      </c>
    </row>
    <row r="266">
      <c r="A266" t="inlineStr">
        <is>
          <t>CLM516269</t>
        </is>
      </c>
      <c r="B266" t="inlineStr">
        <is>
          <t>ENC116269</t>
        </is>
      </c>
      <c r="C266" t="inlineStr">
        <is>
          <t>PY05</t>
        </is>
      </c>
      <c r="D266" s="28" t="n">
        <v>45839</v>
      </c>
      <c r="E266" s="29" t="n">
        <v>548.4</v>
      </c>
      <c r="F266" s="29" t="n">
        <v>282.04</v>
      </c>
      <c r="G266" t="inlineStr">
        <is>
          <t>Paid</t>
        </is>
      </c>
    </row>
    <row r="267">
      <c r="A267" t="inlineStr">
        <is>
          <t>CLM516277</t>
        </is>
      </c>
      <c r="B267" t="inlineStr">
        <is>
          <t>ENC116277</t>
        </is>
      </c>
      <c r="C267" t="inlineStr">
        <is>
          <t>PY02</t>
        </is>
      </c>
      <c r="D267" s="28" t="n">
        <v>45840</v>
      </c>
      <c r="E267" s="29" t="n">
        <v>294.44</v>
      </c>
      <c r="F267" s="29" t="n">
        <v>99.31999999999999</v>
      </c>
      <c r="G267" t="inlineStr">
        <is>
          <t>Paid</t>
        </is>
      </c>
    </row>
    <row r="268">
      <c r="A268" t="inlineStr">
        <is>
          <t>CLM516278</t>
        </is>
      </c>
      <c r="B268" t="inlineStr">
        <is>
          <t>ENC116278</t>
        </is>
      </c>
      <c r="C268" t="inlineStr">
        <is>
          <t>PY01</t>
        </is>
      </c>
      <c r="D268" s="28" t="n">
        <v>45835</v>
      </c>
      <c r="E268" s="29" t="n">
        <v>4252.72</v>
      </c>
      <c r="F268" s="29" t="n">
        <v>1160.77</v>
      </c>
      <c r="G268" t="inlineStr">
        <is>
          <t>Paid</t>
        </is>
      </c>
    </row>
    <row r="269">
      <c r="A269" t="inlineStr">
        <is>
          <t>CLM516280</t>
        </is>
      </c>
      <c r="B269" t="inlineStr">
        <is>
          <t>ENC116280</t>
        </is>
      </c>
      <c r="C269" t="inlineStr">
        <is>
          <t>PY04</t>
        </is>
      </c>
      <c r="D269" s="28" t="n">
        <v>45838</v>
      </c>
      <c r="E269" s="29" t="n">
        <v>208.47</v>
      </c>
      <c r="F269" s="29" t="n">
        <v>100.71</v>
      </c>
      <c r="G269" t="inlineStr">
        <is>
          <t>Paid</t>
        </is>
      </c>
    </row>
    <row r="270">
      <c r="A270" t="inlineStr">
        <is>
          <t>CLM516320</t>
        </is>
      </c>
      <c r="B270" t="inlineStr">
        <is>
          <t>ENC116320</t>
        </is>
      </c>
      <c r="C270" t="inlineStr">
        <is>
          <t>PY03</t>
        </is>
      </c>
      <c r="D270" s="28" t="n">
        <v>45838</v>
      </c>
      <c r="E270" s="29" t="n">
        <v>169.31</v>
      </c>
      <c r="F270" s="29" t="n">
        <v>40.01</v>
      </c>
      <c r="G270" t="inlineStr">
        <is>
          <t>Paid</t>
        </is>
      </c>
    </row>
    <row r="271">
      <c r="A271" t="inlineStr">
        <is>
          <t>CLM516346</t>
        </is>
      </c>
      <c r="B271" t="inlineStr">
        <is>
          <t>ENC116346</t>
        </is>
      </c>
      <c r="C271" t="inlineStr">
        <is>
          <t>PY07</t>
        </is>
      </c>
      <c r="D271" s="28" t="n">
        <v>45843</v>
      </c>
      <c r="E271" s="29" t="n">
        <v>2804.33</v>
      </c>
      <c r="F271" s="29" t="n">
        <v>1092.07</v>
      </c>
      <c r="G271" t="inlineStr">
        <is>
          <t>Paid</t>
        </is>
      </c>
    </row>
    <row r="272">
      <c r="A272" t="inlineStr">
        <is>
          <t>CLM516353</t>
        </is>
      </c>
      <c r="B272" t="inlineStr">
        <is>
          <t>ENC116353</t>
        </is>
      </c>
      <c r="C272" t="inlineStr">
        <is>
          <t>PY04</t>
        </is>
      </c>
      <c r="D272" s="28" t="n">
        <v>45838</v>
      </c>
      <c r="E272" s="29" t="n">
        <v>1688.43</v>
      </c>
      <c r="F272" s="29" t="n">
        <v>770.4</v>
      </c>
      <c r="G272" t="inlineStr">
        <is>
          <t>Paid</t>
        </is>
      </c>
    </row>
    <row r="273">
      <c r="A273" t="inlineStr">
        <is>
          <t>CLM516365</t>
        </is>
      </c>
      <c r="B273" t="inlineStr">
        <is>
          <t>ENC116365</t>
        </is>
      </c>
      <c r="C273" t="inlineStr">
        <is>
          <t>PY01</t>
        </is>
      </c>
      <c r="D273" s="28" t="n">
        <v>45843</v>
      </c>
      <c r="E273" s="29" t="n">
        <v>3763.43</v>
      </c>
      <c r="F273" s="29" t="n">
        <v>1121.56</v>
      </c>
      <c r="G273" t="inlineStr">
        <is>
          <t>Paid</t>
        </is>
      </c>
    </row>
    <row r="274">
      <c r="A274" t="inlineStr">
        <is>
          <t>CLM516366</t>
        </is>
      </c>
      <c r="B274" t="inlineStr">
        <is>
          <t>ENC116366</t>
        </is>
      </c>
      <c r="C274" t="inlineStr">
        <is>
          <t>PY03</t>
        </is>
      </c>
      <c r="D274" s="28" t="n">
        <v>45842</v>
      </c>
      <c r="E274" s="29" t="n">
        <v>970.08</v>
      </c>
      <c r="F274" s="29" t="n">
        <v>236.07</v>
      </c>
      <c r="G274" t="inlineStr">
        <is>
          <t>Paid</t>
        </is>
      </c>
    </row>
    <row r="275">
      <c r="A275" t="inlineStr">
        <is>
          <t>CLM516394</t>
        </is>
      </c>
      <c r="B275" t="inlineStr">
        <is>
          <t>ENC116394</t>
        </is>
      </c>
      <c r="C275" t="inlineStr">
        <is>
          <t>PY01</t>
        </is>
      </c>
      <c r="D275" s="28" t="n">
        <v>45840</v>
      </c>
      <c r="E275" s="29" t="n">
        <v>1757.02</v>
      </c>
      <c r="F275" s="29" t="n">
        <v>575.67</v>
      </c>
      <c r="G275" t="inlineStr">
        <is>
          <t>Paid</t>
        </is>
      </c>
    </row>
    <row r="276">
      <c r="A276" t="inlineStr">
        <is>
          <t>CLM516416</t>
        </is>
      </c>
      <c r="B276" t="inlineStr">
        <is>
          <t>ENC116416</t>
        </is>
      </c>
      <c r="C276" t="inlineStr">
        <is>
          <t>PY05</t>
        </is>
      </c>
      <c r="D276" s="28" t="n">
        <v>45846</v>
      </c>
      <c r="E276" s="29" t="n">
        <v>3855.93</v>
      </c>
      <c r="F276" s="29" t="n">
        <v>1693.1</v>
      </c>
      <c r="G276" t="inlineStr">
        <is>
          <t>Paid</t>
        </is>
      </c>
    </row>
    <row r="277">
      <c r="A277" t="inlineStr">
        <is>
          <t>CLM516421</t>
        </is>
      </c>
      <c r="B277" t="inlineStr">
        <is>
          <t>ENC116421</t>
        </is>
      </c>
      <c r="C277" t="inlineStr">
        <is>
          <t>PY01</t>
        </is>
      </c>
      <c r="D277" s="28" t="n">
        <v>45844</v>
      </c>
      <c r="E277" s="29" t="n">
        <v>382.53</v>
      </c>
      <c r="F277" s="29" t="n">
        <v>119.57</v>
      </c>
      <c r="G277" t="inlineStr">
        <is>
          <t>Paid</t>
        </is>
      </c>
    </row>
    <row r="278">
      <c r="A278" t="inlineStr">
        <is>
          <t>CLM516485</t>
        </is>
      </c>
      <c r="B278" t="inlineStr">
        <is>
          <t>ENC116485</t>
        </is>
      </c>
      <c r="C278" t="inlineStr">
        <is>
          <t>PY03</t>
        </is>
      </c>
      <c r="D278" s="28" t="n">
        <v>45847</v>
      </c>
      <c r="E278" s="29" t="n">
        <v>148.47</v>
      </c>
      <c r="F278" s="29" t="n">
        <v>42.41</v>
      </c>
      <c r="G278" t="inlineStr">
        <is>
          <t>Paid</t>
        </is>
      </c>
    </row>
    <row r="279">
      <c r="A279" t="inlineStr">
        <is>
          <t>CLM516497</t>
        </is>
      </c>
      <c r="B279" t="inlineStr">
        <is>
          <t>ENC116497</t>
        </is>
      </c>
      <c r="C279" t="inlineStr">
        <is>
          <t>PY07</t>
        </is>
      </c>
      <c r="D279" s="28" t="n">
        <v>45854</v>
      </c>
      <c r="E279" s="29" t="n">
        <v>3388.09</v>
      </c>
      <c r="F279" s="29" t="n">
        <v>383.2</v>
      </c>
      <c r="G279" t="inlineStr">
        <is>
          <t>Partially Paid</t>
        </is>
      </c>
    </row>
    <row r="280">
      <c r="A280" t="inlineStr">
        <is>
          <t>CLM516512</t>
        </is>
      </c>
      <c r="B280" t="inlineStr">
        <is>
          <t>ENC116512</t>
        </is>
      </c>
      <c r="C280" t="inlineStr">
        <is>
          <t>PY06</t>
        </is>
      </c>
      <c r="D280" s="28" t="n">
        <v>45851</v>
      </c>
      <c r="E280" s="29" t="n">
        <v>6071.76</v>
      </c>
      <c r="F280" s="29" t="n">
        <v>1362.36</v>
      </c>
      <c r="G280" t="inlineStr">
        <is>
          <t>Partially Paid</t>
        </is>
      </c>
      <c r="H280" t="inlineStr">
        <is>
          <t>Medical Necessity</t>
        </is>
      </c>
    </row>
    <row r="281">
      <c r="A281" t="inlineStr">
        <is>
          <t>CLM516514</t>
        </is>
      </c>
      <c r="B281" t="inlineStr">
        <is>
          <t>ENC116514</t>
        </is>
      </c>
      <c r="C281" t="inlineStr">
        <is>
          <t>PY01</t>
        </is>
      </c>
      <c r="D281" s="28" t="n">
        <v>45855</v>
      </c>
      <c r="E281" s="29" t="n">
        <v>314.38</v>
      </c>
      <c r="F281" s="29" t="n">
        <v>93.92</v>
      </c>
      <c r="G281" t="inlineStr">
        <is>
          <t>Paid</t>
        </is>
      </c>
    </row>
    <row r="282">
      <c r="A282" t="inlineStr">
        <is>
          <t>CLM516582</t>
        </is>
      </c>
      <c r="B282" t="inlineStr">
        <is>
          <t>ENC116582</t>
        </is>
      </c>
      <c r="C282" t="inlineStr">
        <is>
          <t>PY03</t>
        </is>
      </c>
      <c r="D282" s="28" t="n">
        <v>45853</v>
      </c>
      <c r="E282" s="29" t="n">
        <v>300.15</v>
      </c>
      <c r="F282" s="29" t="n">
        <v>0</v>
      </c>
      <c r="G282" t="inlineStr">
        <is>
          <t>Denied</t>
        </is>
      </c>
      <c r="H282" t="inlineStr">
        <is>
          <t>Medical Necessity</t>
        </is>
      </c>
    </row>
    <row r="283">
      <c r="A283" t="inlineStr">
        <is>
          <t>CLM516589</t>
        </is>
      </c>
      <c r="B283" t="inlineStr">
        <is>
          <t>ENC116589</t>
        </is>
      </c>
      <c r="C283" t="inlineStr">
        <is>
          <t>PY06</t>
        </is>
      </c>
      <c r="D283" s="28" t="n">
        <v>45848</v>
      </c>
      <c r="E283" s="29" t="n">
        <v>1837.54</v>
      </c>
      <c r="F283" s="29" t="n">
        <v>930.63</v>
      </c>
      <c r="G283" t="inlineStr">
        <is>
          <t>Paid</t>
        </is>
      </c>
    </row>
    <row r="284">
      <c r="A284" t="inlineStr">
        <is>
          <t>CLM516607</t>
        </is>
      </c>
      <c r="B284" t="inlineStr">
        <is>
          <t>ENC116607</t>
        </is>
      </c>
      <c r="C284" t="inlineStr">
        <is>
          <t>PY02</t>
        </is>
      </c>
      <c r="D284" s="28" t="n">
        <v>45849</v>
      </c>
      <c r="E284" s="29" t="n">
        <v>311.32</v>
      </c>
      <c r="F284" s="29" t="n">
        <v>102.82</v>
      </c>
      <c r="G284" t="inlineStr">
        <is>
          <t>Paid</t>
        </is>
      </c>
    </row>
    <row r="285">
      <c r="A285" t="inlineStr">
        <is>
          <t>CLM516728</t>
        </is>
      </c>
      <c r="B285" t="inlineStr">
        <is>
          <t>ENC116728</t>
        </is>
      </c>
      <c r="C285" t="inlineStr">
        <is>
          <t>PY04</t>
        </is>
      </c>
      <c r="D285" s="28" t="n">
        <v>45856</v>
      </c>
      <c r="E285" s="29" t="n">
        <v>8873.4</v>
      </c>
      <c r="F285" s="29" t="n">
        <v>4725.63</v>
      </c>
      <c r="G285" t="inlineStr">
        <is>
          <t>Paid</t>
        </is>
      </c>
    </row>
    <row r="286">
      <c r="A286" t="inlineStr">
        <is>
          <t>CLM516757</t>
        </is>
      </c>
      <c r="B286" t="inlineStr">
        <is>
          <t>ENC116757</t>
        </is>
      </c>
      <c r="C286" t="inlineStr">
        <is>
          <t>PY01</t>
        </is>
      </c>
      <c r="D286" s="28" t="n">
        <v>45856</v>
      </c>
      <c r="E286" s="29" t="n">
        <v>2492.91</v>
      </c>
      <c r="F286" s="29" t="n">
        <v>737.64</v>
      </c>
      <c r="G286" t="inlineStr">
        <is>
          <t>Paid</t>
        </is>
      </c>
    </row>
    <row r="287">
      <c r="A287" t="inlineStr">
        <is>
          <t>CLM516781</t>
        </is>
      </c>
      <c r="B287" t="inlineStr">
        <is>
          <t>ENC116781</t>
        </is>
      </c>
      <c r="C287" t="inlineStr">
        <is>
          <t>PY05</t>
        </is>
      </c>
      <c r="D287" s="28" t="n">
        <v>45858</v>
      </c>
      <c r="E287" s="29" t="n">
        <v>321.17</v>
      </c>
      <c r="F287" s="29" t="n">
        <v>140.01</v>
      </c>
      <c r="G287" t="inlineStr">
        <is>
          <t>Paid</t>
        </is>
      </c>
    </row>
    <row r="288">
      <c r="A288" t="inlineStr">
        <is>
          <t>CLM516803</t>
        </is>
      </c>
      <c r="B288" t="inlineStr">
        <is>
          <t>ENC116803</t>
        </is>
      </c>
      <c r="C288" t="inlineStr">
        <is>
          <t>PY01</t>
        </is>
      </c>
      <c r="D288" s="28" t="n">
        <v>45864</v>
      </c>
      <c r="E288" s="29" t="n">
        <v>1485.63</v>
      </c>
      <c r="F288" s="29" t="n">
        <v>0</v>
      </c>
      <c r="G288" t="inlineStr">
        <is>
          <t>Denied</t>
        </is>
      </c>
      <c r="H288" t="inlineStr">
        <is>
          <t>Authorization Required</t>
        </is>
      </c>
    </row>
    <row r="289">
      <c r="A289" t="inlineStr">
        <is>
          <t>CLM516807</t>
        </is>
      </c>
      <c r="B289" t="inlineStr">
        <is>
          <t>ENC116807</t>
        </is>
      </c>
      <c r="C289" t="inlineStr">
        <is>
          <t>PY03</t>
        </is>
      </c>
      <c r="D289" s="28" t="n">
        <v>45855</v>
      </c>
      <c r="E289" s="29" t="n">
        <v>311.61</v>
      </c>
      <c r="F289" s="29" t="n">
        <v>76.55</v>
      </c>
      <c r="G289" t="inlineStr">
        <is>
          <t>Paid</t>
        </is>
      </c>
    </row>
    <row r="290">
      <c r="A290" t="inlineStr">
        <is>
          <t>CLM516810</t>
        </is>
      </c>
      <c r="B290" t="inlineStr">
        <is>
          <t>ENC116810</t>
        </is>
      </c>
      <c r="C290" t="inlineStr">
        <is>
          <t>PY03</t>
        </is>
      </c>
      <c r="D290" s="28" t="n">
        <v>45859</v>
      </c>
      <c r="E290" s="29" t="n">
        <v>274.43</v>
      </c>
      <c r="F290" s="29" t="n">
        <v>62.75</v>
      </c>
      <c r="G290" t="inlineStr">
        <is>
          <t>Paid</t>
        </is>
      </c>
    </row>
    <row r="291">
      <c r="A291" t="inlineStr">
        <is>
          <t>CLM516817</t>
        </is>
      </c>
      <c r="B291" t="inlineStr">
        <is>
          <t>ENC116817</t>
        </is>
      </c>
      <c r="C291" t="inlineStr">
        <is>
          <t>PY01</t>
        </is>
      </c>
      <c r="D291" s="28" t="n">
        <v>45858</v>
      </c>
      <c r="E291" s="29" t="n">
        <v>419.06</v>
      </c>
      <c r="F291" s="29" t="n">
        <v>113.42</v>
      </c>
      <c r="G291" t="inlineStr">
        <is>
          <t>Paid</t>
        </is>
      </c>
    </row>
    <row r="292">
      <c r="A292" t="inlineStr">
        <is>
          <t>CLM516881</t>
        </is>
      </c>
      <c r="B292" t="inlineStr">
        <is>
          <t>ENC116881</t>
        </is>
      </c>
      <c r="C292" t="inlineStr">
        <is>
          <t>PY01</t>
        </is>
      </c>
      <c r="D292" s="28" t="n">
        <v>45856</v>
      </c>
      <c r="E292" s="29" t="n">
        <v>8986.07</v>
      </c>
      <c r="F292" s="29" t="n">
        <v>2317.79</v>
      </c>
      <c r="G292" t="inlineStr">
        <is>
          <t>Paid</t>
        </is>
      </c>
    </row>
    <row r="293">
      <c r="A293" t="inlineStr">
        <is>
          <t>CLM516893</t>
        </is>
      </c>
      <c r="B293" t="inlineStr">
        <is>
          <t>ENC116893</t>
        </is>
      </c>
      <c r="C293" t="inlineStr">
        <is>
          <t>PY02</t>
        </is>
      </c>
      <c r="D293" s="28" t="n">
        <v>45862</v>
      </c>
      <c r="E293" s="29" t="n">
        <v>3365.27</v>
      </c>
      <c r="F293" s="29" t="n">
        <v>0</v>
      </c>
      <c r="G293" t="inlineStr">
        <is>
          <t>Appealed</t>
        </is>
      </c>
      <c r="H293" t="inlineStr">
        <is>
          <t>Eligibility / Coverage</t>
        </is>
      </c>
    </row>
    <row r="294">
      <c r="A294" t="inlineStr">
        <is>
          <t>CLM516898</t>
        </is>
      </c>
      <c r="B294" t="inlineStr">
        <is>
          <t>ENC116898</t>
        </is>
      </c>
      <c r="C294" t="inlineStr">
        <is>
          <t>PY06</t>
        </is>
      </c>
      <c r="D294" s="28" t="n">
        <v>45863</v>
      </c>
      <c r="E294" s="29" t="n">
        <v>30722.69</v>
      </c>
      <c r="F294" s="29" t="n">
        <v>12380.95</v>
      </c>
      <c r="G294" t="inlineStr">
        <is>
          <t>Partially Paid</t>
        </is>
      </c>
      <c r="H294" t="inlineStr">
        <is>
          <t>Missing Documentation</t>
        </is>
      </c>
    </row>
    <row r="295">
      <c r="A295" t="inlineStr">
        <is>
          <t>CLM516929</t>
        </is>
      </c>
      <c r="B295" t="inlineStr">
        <is>
          <t>ENC116929</t>
        </is>
      </c>
      <c r="C295" t="inlineStr">
        <is>
          <t>PY06</t>
        </is>
      </c>
      <c r="D295" s="28" t="n">
        <v>45872</v>
      </c>
      <c r="E295" s="29" t="n">
        <v>56008.75</v>
      </c>
      <c r="F295" s="29" t="n">
        <v>26723.16</v>
      </c>
      <c r="G295" t="inlineStr">
        <is>
          <t>Paid</t>
        </is>
      </c>
    </row>
    <row r="296">
      <c r="A296" t="inlineStr">
        <is>
          <t>CLM516933</t>
        </is>
      </c>
      <c r="B296" t="inlineStr">
        <is>
          <t>ENC116933</t>
        </is>
      </c>
      <c r="C296" t="inlineStr">
        <is>
          <t>PY03</t>
        </is>
      </c>
      <c r="D296" s="28" t="n">
        <v>45858</v>
      </c>
      <c r="E296" s="29" t="n">
        <v>4993.64</v>
      </c>
      <c r="F296" s="29" t="n">
        <v>1317.37</v>
      </c>
      <c r="G296" t="inlineStr">
        <is>
          <t>Paid</t>
        </is>
      </c>
    </row>
    <row r="297">
      <c r="A297" t="inlineStr">
        <is>
          <t>CLM516942</t>
        </is>
      </c>
      <c r="B297" t="inlineStr">
        <is>
          <t>ENC116942</t>
        </is>
      </c>
      <c r="C297" t="inlineStr">
        <is>
          <t>PY01</t>
        </is>
      </c>
      <c r="D297" s="28" t="n">
        <v>45860</v>
      </c>
      <c r="E297" s="29" t="n">
        <v>1760.45</v>
      </c>
      <c r="F297" s="29" t="n">
        <v>444.44</v>
      </c>
      <c r="G297" t="inlineStr">
        <is>
          <t>Paid</t>
        </is>
      </c>
    </row>
    <row r="298">
      <c r="A298" t="inlineStr">
        <is>
          <t>CLM516985</t>
        </is>
      </c>
      <c r="B298" t="inlineStr">
        <is>
          <t>ENC116985</t>
        </is>
      </c>
      <c r="C298" t="inlineStr">
        <is>
          <t>PY06</t>
        </is>
      </c>
      <c r="D298" s="28" t="n">
        <v>45864</v>
      </c>
      <c r="E298" s="29" t="n">
        <v>14677.9</v>
      </c>
      <c r="F298" s="29" t="n">
        <v>7757.86</v>
      </c>
      <c r="G298" t="inlineStr">
        <is>
          <t>Paid</t>
        </is>
      </c>
    </row>
    <row r="299">
      <c r="A299" t="inlineStr">
        <is>
          <t>CLM517017</t>
        </is>
      </c>
      <c r="B299" t="inlineStr">
        <is>
          <t>ENC117017</t>
        </is>
      </c>
      <c r="C299" t="inlineStr">
        <is>
          <t>PY01</t>
        </is>
      </c>
      <c r="D299" s="28" t="n">
        <v>45864</v>
      </c>
      <c r="E299" s="29" t="n">
        <v>325.13</v>
      </c>
      <c r="F299" s="29" t="n">
        <v>93.56999999999999</v>
      </c>
      <c r="G299" t="inlineStr">
        <is>
          <t>Paid</t>
        </is>
      </c>
    </row>
    <row r="300">
      <c r="A300" t="inlineStr">
        <is>
          <t>CLM517027</t>
        </is>
      </c>
      <c r="B300" t="inlineStr">
        <is>
          <t>ENC117027</t>
        </is>
      </c>
      <c r="C300" t="inlineStr">
        <is>
          <t>PY06</t>
        </is>
      </c>
      <c r="D300" s="28" t="n">
        <v>45866</v>
      </c>
      <c r="E300" s="29" t="n">
        <v>19018.18</v>
      </c>
      <c r="F300" s="29" t="n">
        <v>9094.42</v>
      </c>
      <c r="G300" t="inlineStr">
        <is>
          <t>Paid</t>
        </is>
      </c>
    </row>
    <row r="301">
      <c r="A301" t="inlineStr">
        <is>
          <t>CLM517037</t>
        </is>
      </c>
      <c r="B301" t="inlineStr">
        <is>
          <t>ENC117037</t>
        </is>
      </c>
      <c r="C301" t="inlineStr">
        <is>
          <t>PY04</t>
        </is>
      </c>
      <c r="D301" s="28" t="n">
        <v>45865</v>
      </c>
      <c r="E301" s="29" t="n">
        <v>431.16</v>
      </c>
      <c r="F301" s="29" t="n">
        <v>134.05</v>
      </c>
      <c r="G301" t="inlineStr">
        <is>
          <t>Partially Paid</t>
        </is>
      </c>
      <c r="H301" t="inlineStr">
        <is>
          <t>Coding Error</t>
        </is>
      </c>
    </row>
    <row r="302">
      <c r="A302" t="inlineStr">
        <is>
          <t>CLM517047</t>
        </is>
      </c>
      <c r="B302" t="inlineStr">
        <is>
          <t>ENC117047</t>
        </is>
      </c>
      <c r="C302" t="inlineStr">
        <is>
          <t>PY02</t>
        </is>
      </c>
      <c r="D302" s="28" t="n">
        <v>45866</v>
      </c>
      <c r="E302" s="29" t="n">
        <v>324.63</v>
      </c>
      <c r="F302" s="29" t="n">
        <v>109.9</v>
      </c>
      <c r="G302" t="inlineStr">
        <is>
          <t>Paid</t>
        </is>
      </c>
    </row>
    <row r="303">
      <c r="A303" t="inlineStr">
        <is>
          <t>CLM517082</t>
        </is>
      </c>
      <c r="B303" t="inlineStr">
        <is>
          <t>ENC117082</t>
        </is>
      </c>
      <c r="C303" t="inlineStr">
        <is>
          <t>PY01</t>
        </is>
      </c>
      <c r="D303" s="28" t="n">
        <v>45866</v>
      </c>
      <c r="E303" s="29" t="n">
        <v>168.99</v>
      </c>
      <c r="F303" s="29" t="n">
        <v>53.81</v>
      </c>
      <c r="G303" t="inlineStr">
        <is>
          <t>Paid</t>
        </is>
      </c>
    </row>
    <row r="304">
      <c r="A304" t="inlineStr">
        <is>
          <t>CLM517096</t>
        </is>
      </c>
      <c r="B304" t="inlineStr">
        <is>
          <t>ENC117096</t>
        </is>
      </c>
      <c r="C304" t="inlineStr">
        <is>
          <t>PY01</t>
        </is>
      </c>
      <c r="D304" s="28" t="n">
        <v>45879</v>
      </c>
      <c r="E304" s="29" t="n">
        <v>147040.01</v>
      </c>
      <c r="F304" s="29" t="n">
        <v>45105.79</v>
      </c>
      <c r="G304" t="inlineStr">
        <is>
          <t>Paid</t>
        </is>
      </c>
    </row>
    <row r="305">
      <c r="A305" t="inlineStr">
        <is>
          <t>CLM517097</t>
        </is>
      </c>
      <c r="B305" t="inlineStr">
        <is>
          <t>ENC117097</t>
        </is>
      </c>
      <c r="C305" t="inlineStr">
        <is>
          <t>PY04</t>
        </is>
      </c>
      <c r="D305" s="28" t="n">
        <v>45865</v>
      </c>
      <c r="E305" s="29" t="n">
        <v>7737.4</v>
      </c>
      <c r="F305" s="29" t="n">
        <v>3692.09</v>
      </c>
      <c r="G305" t="inlineStr">
        <is>
          <t>Paid</t>
        </is>
      </c>
    </row>
    <row r="306">
      <c r="A306" t="inlineStr">
        <is>
          <t>CLM517098</t>
        </is>
      </c>
      <c r="B306" t="inlineStr">
        <is>
          <t>ENC117098</t>
        </is>
      </c>
      <c r="C306" t="inlineStr">
        <is>
          <t>PY01</t>
        </is>
      </c>
      <c r="D306" s="28" t="n">
        <v>45875</v>
      </c>
      <c r="E306" s="29" t="n">
        <v>77752.89999999999</v>
      </c>
      <c r="F306" s="29" t="n">
        <v>0</v>
      </c>
      <c r="G306" t="inlineStr">
        <is>
          <t>Denied</t>
        </is>
      </c>
      <c r="H306" t="inlineStr">
        <is>
          <t>Medical Necessity</t>
        </is>
      </c>
    </row>
    <row r="307">
      <c r="A307" t="inlineStr">
        <is>
          <t>CLM517100</t>
        </is>
      </c>
      <c r="B307" t="inlineStr">
        <is>
          <t>ENC117100</t>
        </is>
      </c>
      <c r="C307" t="inlineStr">
        <is>
          <t>PY05</t>
        </is>
      </c>
      <c r="D307" s="28" t="n">
        <v>45864</v>
      </c>
      <c r="E307" s="29" t="n">
        <v>6436.92</v>
      </c>
      <c r="F307" s="29" t="n">
        <v>3263.62</v>
      </c>
      <c r="G307" t="inlineStr">
        <is>
          <t>Paid</t>
        </is>
      </c>
    </row>
    <row r="308">
      <c r="A308" t="inlineStr">
        <is>
          <t>CLM517108</t>
        </is>
      </c>
      <c r="B308" t="inlineStr">
        <is>
          <t>ENC117108</t>
        </is>
      </c>
      <c r="C308" t="inlineStr">
        <is>
          <t>PY04</t>
        </is>
      </c>
      <c r="D308" s="28" t="n">
        <v>45867</v>
      </c>
      <c r="E308" s="29" t="n">
        <v>350.37</v>
      </c>
      <c r="F308" s="29" t="n">
        <v>152.44</v>
      </c>
      <c r="G308" t="inlineStr">
        <is>
          <t>Paid</t>
        </is>
      </c>
    </row>
    <row r="309">
      <c r="A309" t="inlineStr">
        <is>
          <t>CLM517116</t>
        </is>
      </c>
      <c r="B309" t="inlineStr">
        <is>
          <t>ENC117116</t>
        </is>
      </c>
      <c r="C309" t="inlineStr">
        <is>
          <t>PY03</t>
        </is>
      </c>
      <c r="D309" s="28" t="n">
        <v>45864</v>
      </c>
      <c r="E309" s="29" t="n">
        <v>227.2</v>
      </c>
      <c r="F309" s="29" t="n">
        <v>59.58</v>
      </c>
      <c r="G309" t="inlineStr">
        <is>
          <t>Paid</t>
        </is>
      </c>
    </row>
    <row r="310">
      <c r="A310" t="inlineStr">
        <is>
          <t>CLM517125</t>
        </is>
      </c>
      <c r="B310" t="inlineStr">
        <is>
          <t>ENC117125</t>
        </is>
      </c>
      <c r="C310" t="inlineStr">
        <is>
          <t>PY01</t>
        </is>
      </c>
      <c r="D310" s="28" t="n">
        <v>45869</v>
      </c>
      <c r="E310" s="29" t="n">
        <v>239.73</v>
      </c>
      <c r="F310" s="29" t="n">
        <v>61.41</v>
      </c>
      <c r="G310" t="inlineStr">
        <is>
          <t>Paid</t>
        </is>
      </c>
    </row>
    <row r="311">
      <c r="A311" t="inlineStr">
        <is>
          <t>CLM517149</t>
        </is>
      </c>
      <c r="B311" t="inlineStr">
        <is>
          <t>ENC117149</t>
        </is>
      </c>
      <c r="C311" t="inlineStr">
        <is>
          <t>PY05</t>
        </is>
      </c>
      <c r="D311" s="28" t="n">
        <v>45870</v>
      </c>
      <c r="E311" s="29" t="n">
        <v>3119.31</v>
      </c>
      <c r="F311" s="29" t="n">
        <v>1179.91</v>
      </c>
      <c r="G311" t="inlineStr">
        <is>
          <t>Paid</t>
        </is>
      </c>
    </row>
    <row r="312">
      <c r="A312" t="inlineStr">
        <is>
          <t>CLM517157</t>
        </is>
      </c>
      <c r="B312" t="inlineStr">
        <is>
          <t>ENC117157</t>
        </is>
      </c>
      <c r="C312" t="inlineStr">
        <is>
          <t>PY06</t>
        </is>
      </c>
      <c r="D312" s="28" t="n">
        <v>45871</v>
      </c>
      <c r="E312" s="29" t="n">
        <v>2973.91</v>
      </c>
      <c r="F312" s="29" t="n">
        <v>1322.85</v>
      </c>
      <c r="G312" t="inlineStr">
        <is>
          <t>Paid</t>
        </is>
      </c>
    </row>
    <row r="313">
      <c r="A313" t="inlineStr">
        <is>
          <t>CLM517158</t>
        </is>
      </c>
      <c r="B313" t="inlineStr">
        <is>
          <t>ENC117158</t>
        </is>
      </c>
      <c r="C313" t="inlineStr">
        <is>
          <t>PY03</t>
        </is>
      </c>
      <c r="D313" s="28" t="n">
        <v>45868</v>
      </c>
      <c r="E313" s="29" t="n">
        <v>1802.66</v>
      </c>
      <c r="F313" s="29" t="n">
        <v>279.21</v>
      </c>
      <c r="G313" t="inlineStr">
        <is>
          <t>Partially Paid</t>
        </is>
      </c>
      <c r="H313" t="inlineStr">
        <is>
          <t>Coding Error</t>
        </is>
      </c>
    </row>
    <row r="314">
      <c r="A314" t="inlineStr">
        <is>
          <t>CLM517164</t>
        </is>
      </c>
      <c r="B314" t="inlineStr">
        <is>
          <t>ENC117164</t>
        </is>
      </c>
      <c r="C314" t="inlineStr">
        <is>
          <t>PY07</t>
        </is>
      </c>
      <c r="D314" s="28" t="n">
        <v>45871</v>
      </c>
      <c r="E314" s="29" t="n">
        <v>3711.74</v>
      </c>
      <c r="F314" s="29" t="n">
        <v>0</v>
      </c>
      <c r="G314" t="inlineStr">
        <is>
          <t>Pending</t>
        </is>
      </c>
    </row>
    <row r="315">
      <c r="A315" t="inlineStr">
        <is>
          <t>CLM517169</t>
        </is>
      </c>
      <c r="B315" t="inlineStr">
        <is>
          <t>ENC117169</t>
        </is>
      </c>
      <c r="C315" t="inlineStr">
        <is>
          <t>PY01</t>
        </is>
      </c>
      <c r="D315" s="28" t="n">
        <v>45879</v>
      </c>
      <c r="E315" s="29" t="n">
        <v>49955.05</v>
      </c>
      <c r="F315" s="29" t="n">
        <v>0</v>
      </c>
      <c r="G315" t="inlineStr">
        <is>
          <t>Denied</t>
        </is>
      </c>
      <c r="H315" t="inlineStr">
        <is>
          <t>Eligibility / Coverage</t>
        </is>
      </c>
    </row>
    <row r="316">
      <c r="A316" t="inlineStr">
        <is>
          <t>CLM517178</t>
        </is>
      </c>
      <c r="B316" t="inlineStr">
        <is>
          <t>ENC117178</t>
        </is>
      </c>
      <c r="C316" t="inlineStr">
        <is>
          <t>PY03</t>
        </is>
      </c>
      <c r="D316" s="28" t="n">
        <v>45868</v>
      </c>
      <c r="E316" s="29" t="n">
        <v>277.85</v>
      </c>
      <c r="F316" s="29" t="n">
        <v>0</v>
      </c>
      <c r="G316" t="inlineStr">
        <is>
          <t>Denied</t>
        </is>
      </c>
      <c r="H316" t="inlineStr">
        <is>
          <t>Authorization Required</t>
        </is>
      </c>
    </row>
    <row r="317">
      <c r="A317" t="inlineStr">
        <is>
          <t>CLM517213</t>
        </is>
      </c>
      <c r="B317" t="inlineStr">
        <is>
          <t>ENC117213</t>
        </is>
      </c>
      <c r="C317" t="inlineStr">
        <is>
          <t>PY01</t>
        </is>
      </c>
      <c r="D317" s="28" t="n">
        <v>45870</v>
      </c>
      <c r="E317" s="29" t="n">
        <v>240.15</v>
      </c>
      <c r="F317" s="29" t="n">
        <v>63.77</v>
      </c>
      <c r="G317" t="inlineStr">
        <is>
          <t>Paid</t>
        </is>
      </c>
    </row>
    <row r="318">
      <c r="A318" t="inlineStr">
        <is>
          <t>CLM517244</t>
        </is>
      </c>
      <c r="B318" t="inlineStr">
        <is>
          <t>ENC117244</t>
        </is>
      </c>
      <c r="C318" t="inlineStr">
        <is>
          <t>PY01</t>
        </is>
      </c>
      <c r="D318" s="28" t="n">
        <v>45870</v>
      </c>
      <c r="E318" s="29" t="n">
        <v>236.33</v>
      </c>
      <c r="F318" s="29" t="n">
        <v>65.05</v>
      </c>
      <c r="G318" t="inlineStr">
        <is>
          <t>Paid</t>
        </is>
      </c>
    </row>
    <row r="319">
      <c r="A319" t="inlineStr">
        <is>
          <t>CLM517263</t>
        </is>
      </c>
      <c r="B319" t="inlineStr">
        <is>
          <t>ENC117263</t>
        </is>
      </c>
      <c r="C319" t="inlineStr">
        <is>
          <t>PY02</t>
        </is>
      </c>
      <c r="D319" s="28" t="n">
        <v>45874</v>
      </c>
      <c r="E319" s="29" t="n">
        <v>4877.96</v>
      </c>
      <c r="F319" s="29" t="n">
        <v>999.3200000000001</v>
      </c>
      <c r="G319" t="inlineStr">
        <is>
          <t>Partially Paid</t>
        </is>
      </c>
      <c r="H319" t="inlineStr">
        <is>
          <t>Medical Necessity</t>
        </is>
      </c>
    </row>
    <row r="320">
      <c r="A320" t="inlineStr">
        <is>
          <t>CLM517275</t>
        </is>
      </c>
      <c r="B320" t="inlineStr">
        <is>
          <t>ENC117275</t>
        </is>
      </c>
      <c r="C320" t="inlineStr">
        <is>
          <t>PY03</t>
        </is>
      </c>
      <c r="D320" s="28" t="n">
        <v>45870</v>
      </c>
      <c r="E320" s="29" t="n">
        <v>307.99</v>
      </c>
      <c r="F320" s="29" t="n">
        <v>72.2</v>
      </c>
      <c r="G320" t="inlineStr">
        <is>
          <t>Paid</t>
        </is>
      </c>
    </row>
    <row r="321">
      <c r="A321" t="inlineStr">
        <is>
          <t>CLM517289</t>
        </is>
      </c>
      <c r="B321" t="inlineStr">
        <is>
          <t>ENC117289</t>
        </is>
      </c>
      <c r="C321" t="inlineStr">
        <is>
          <t>PY05</t>
        </is>
      </c>
      <c r="D321" s="28" t="n">
        <v>45873</v>
      </c>
      <c r="E321" s="29" t="n">
        <v>1638.88</v>
      </c>
      <c r="F321" s="29" t="n">
        <v>625.63</v>
      </c>
      <c r="G321" t="inlineStr">
        <is>
          <t>Paid</t>
        </is>
      </c>
    </row>
    <row r="322">
      <c r="A322" t="inlineStr">
        <is>
          <t>CLM517295</t>
        </is>
      </c>
      <c r="B322" t="inlineStr">
        <is>
          <t>ENC117295</t>
        </is>
      </c>
      <c r="C322" t="inlineStr">
        <is>
          <t>PY02</t>
        </is>
      </c>
      <c r="D322" s="28" t="n">
        <v>45875</v>
      </c>
      <c r="E322" s="29" t="n">
        <v>12808.42</v>
      </c>
      <c r="F322" s="29" t="n">
        <v>0</v>
      </c>
      <c r="G322" t="inlineStr">
        <is>
          <t>Denied</t>
        </is>
      </c>
      <c r="H322" t="inlineStr">
        <is>
          <t>Authorization Required</t>
        </is>
      </c>
    </row>
    <row r="323">
      <c r="A323" t="inlineStr">
        <is>
          <t>CLM517297</t>
        </is>
      </c>
      <c r="B323" t="inlineStr">
        <is>
          <t>ENC117297</t>
        </is>
      </c>
      <c r="C323" t="inlineStr">
        <is>
          <t>PY03</t>
        </is>
      </c>
      <c r="D323" s="28" t="n">
        <v>45878</v>
      </c>
      <c r="E323" s="29" t="n">
        <v>541.45</v>
      </c>
      <c r="F323" s="29" t="n">
        <v>117.73</v>
      </c>
      <c r="G323" t="inlineStr">
        <is>
          <t>Paid</t>
        </is>
      </c>
    </row>
    <row r="324">
      <c r="A324" t="inlineStr">
        <is>
          <t>CLM517300</t>
        </is>
      </c>
      <c r="B324" t="inlineStr">
        <is>
          <t>ENC117300</t>
        </is>
      </c>
      <c r="C324" t="inlineStr">
        <is>
          <t>PY01</t>
        </is>
      </c>
      <c r="D324" s="28" t="n">
        <v>45874</v>
      </c>
      <c r="E324" s="29" t="n">
        <v>8515.09</v>
      </c>
      <c r="F324" s="29" t="n">
        <v>2248.51</v>
      </c>
      <c r="G324" t="inlineStr">
        <is>
          <t>Paid</t>
        </is>
      </c>
    </row>
    <row r="325">
      <c r="A325" t="inlineStr">
        <is>
          <t>CLM517326</t>
        </is>
      </c>
      <c r="B325" t="inlineStr">
        <is>
          <t>ENC117326</t>
        </is>
      </c>
      <c r="C325" t="inlineStr">
        <is>
          <t>PY01</t>
        </is>
      </c>
      <c r="D325" s="28" t="n">
        <v>45884</v>
      </c>
      <c r="E325" s="29" t="n">
        <v>24781.9</v>
      </c>
      <c r="F325" s="29" t="n">
        <v>7084.52</v>
      </c>
      <c r="G325" t="inlineStr">
        <is>
          <t>Paid</t>
        </is>
      </c>
    </row>
    <row r="326">
      <c r="A326" t="inlineStr">
        <is>
          <t>CLM517355</t>
        </is>
      </c>
      <c r="B326" t="inlineStr">
        <is>
          <t>ENC117355</t>
        </is>
      </c>
      <c r="C326" t="inlineStr">
        <is>
          <t>PY01</t>
        </is>
      </c>
      <c r="D326" s="28" t="n">
        <v>45880</v>
      </c>
      <c r="E326" s="29" t="n">
        <v>18432.01</v>
      </c>
      <c r="F326" s="29" t="n">
        <v>5074.13</v>
      </c>
      <c r="G326" t="inlineStr">
        <is>
          <t>Paid</t>
        </is>
      </c>
    </row>
    <row r="327">
      <c r="A327" t="inlineStr">
        <is>
          <t>CLM517369</t>
        </is>
      </c>
      <c r="B327" t="inlineStr">
        <is>
          <t>ENC117369</t>
        </is>
      </c>
      <c r="C327" t="inlineStr">
        <is>
          <t>PY06</t>
        </is>
      </c>
      <c r="D327" s="28" t="n">
        <v>45884</v>
      </c>
      <c r="E327" s="29" t="n">
        <v>38302.32</v>
      </c>
      <c r="F327" s="29" t="n">
        <v>20004.4</v>
      </c>
      <c r="G327" t="inlineStr">
        <is>
          <t>Paid</t>
        </is>
      </c>
    </row>
    <row r="328">
      <c r="A328" t="inlineStr">
        <is>
          <t>CLM517414</t>
        </is>
      </c>
      <c r="B328" t="inlineStr">
        <is>
          <t>ENC117414</t>
        </is>
      </c>
      <c r="C328" t="inlineStr">
        <is>
          <t>PY04</t>
        </is>
      </c>
      <c r="D328" s="28" t="n">
        <v>45880</v>
      </c>
      <c r="E328" s="29" t="n">
        <v>1722.15</v>
      </c>
      <c r="F328" s="29" t="n">
        <v>726.8200000000001</v>
      </c>
      <c r="G328" t="inlineStr">
        <is>
          <t>Paid</t>
        </is>
      </c>
    </row>
    <row r="329">
      <c r="A329" t="inlineStr">
        <is>
          <t>CLM517468</t>
        </is>
      </c>
      <c r="B329" t="inlineStr">
        <is>
          <t>ENC117468</t>
        </is>
      </c>
      <c r="C329" t="inlineStr">
        <is>
          <t>PY06</t>
        </is>
      </c>
      <c r="D329" s="28" t="n">
        <v>45883</v>
      </c>
      <c r="E329" s="29" t="n">
        <v>62121.76</v>
      </c>
      <c r="F329" s="29" t="n">
        <v>32939.87</v>
      </c>
      <c r="G329" t="inlineStr">
        <is>
          <t>Paid</t>
        </is>
      </c>
    </row>
    <row r="330">
      <c r="A330" t="inlineStr">
        <is>
          <t>CLM517478</t>
        </is>
      </c>
      <c r="B330" t="inlineStr">
        <is>
          <t>ENC117478</t>
        </is>
      </c>
      <c r="C330" t="inlineStr">
        <is>
          <t>PY01</t>
        </is>
      </c>
      <c r="D330" s="28" t="n">
        <v>45880</v>
      </c>
      <c r="E330" s="29" t="n">
        <v>3800.48</v>
      </c>
      <c r="F330" s="29" t="n">
        <v>1045.47</v>
      </c>
      <c r="G330" t="inlineStr">
        <is>
          <t>Paid</t>
        </is>
      </c>
    </row>
    <row r="331">
      <c r="A331" t="inlineStr">
        <is>
          <t>CLM517485</t>
        </is>
      </c>
      <c r="B331" t="inlineStr">
        <is>
          <t>ENC117485</t>
        </is>
      </c>
      <c r="C331" t="inlineStr">
        <is>
          <t>PY05</t>
        </is>
      </c>
      <c r="D331" s="28" t="n">
        <v>45888</v>
      </c>
      <c r="E331" s="29" t="n">
        <v>39304.68</v>
      </c>
      <c r="F331" s="29" t="n">
        <v>0</v>
      </c>
      <c r="G331" t="inlineStr">
        <is>
          <t>Denied</t>
        </is>
      </c>
      <c r="H331" t="inlineStr">
        <is>
          <t>Missing Documentation</t>
        </is>
      </c>
    </row>
    <row r="332">
      <c r="A332" t="inlineStr">
        <is>
          <t>CLM517486</t>
        </is>
      </c>
      <c r="B332" t="inlineStr">
        <is>
          <t>ENC117486</t>
        </is>
      </c>
      <c r="C332" t="inlineStr">
        <is>
          <t>PY02</t>
        </is>
      </c>
      <c r="D332" s="28" t="n">
        <v>45956</v>
      </c>
      <c r="E332" s="29" t="n">
        <v>1021.04</v>
      </c>
      <c r="F332" s="29" t="n">
        <v>0</v>
      </c>
      <c r="G332" t="inlineStr">
        <is>
          <t>Denied</t>
        </is>
      </c>
      <c r="H332" t="inlineStr">
        <is>
          <t>Missing Documentation</t>
        </is>
      </c>
    </row>
    <row r="333">
      <c r="A333" t="inlineStr">
        <is>
          <t>CLM517520</t>
        </is>
      </c>
      <c r="B333" t="inlineStr">
        <is>
          <t>ENC117520</t>
        </is>
      </c>
      <c r="C333" t="inlineStr">
        <is>
          <t>PY05</t>
        </is>
      </c>
      <c r="D333" s="28" t="n">
        <v>45882</v>
      </c>
      <c r="E333" s="29" t="n">
        <v>1519.02</v>
      </c>
      <c r="F333" s="29" t="n">
        <v>664.6799999999999</v>
      </c>
      <c r="G333" t="inlineStr">
        <is>
          <t>Paid</t>
        </is>
      </c>
    </row>
    <row r="334">
      <c r="A334" t="inlineStr">
        <is>
          <t>CLM517543</t>
        </is>
      </c>
      <c r="B334" t="inlineStr">
        <is>
          <t>ENC117543</t>
        </is>
      </c>
      <c r="C334" t="inlineStr">
        <is>
          <t>PY02</t>
        </is>
      </c>
      <c r="D334" s="28" t="n">
        <v>45888</v>
      </c>
      <c r="E334" s="29" t="n">
        <v>257.15</v>
      </c>
      <c r="F334" s="29" t="n">
        <v>81.12</v>
      </c>
      <c r="G334" t="inlineStr">
        <is>
          <t>Paid</t>
        </is>
      </c>
    </row>
    <row r="335">
      <c r="A335" t="inlineStr">
        <is>
          <t>CLM517548</t>
        </is>
      </c>
      <c r="B335" t="inlineStr">
        <is>
          <t>ENC117548</t>
        </is>
      </c>
      <c r="C335" t="inlineStr">
        <is>
          <t>PY01</t>
        </is>
      </c>
      <c r="D335" s="28" t="n">
        <v>45882</v>
      </c>
      <c r="E335" s="29" t="n">
        <v>818.47</v>
      </c>
      <c r="F335" s="29" t="n">
        <v>0</v>
      </c>
      <c r="G335" t="inlineStr">
        <is>
          <t>Appealed</t>
        </is>
      </c>
      <c r="H335" t="inlineStr">
        <is>
          <t>Eligibility / Coverage</t>
        </is>
      </c>
    </row>
    <row r="336">
      <c r="A336" t="inlineStr">
        <is>
          <t>CLM517582</t>
        </is>
      </c>
      <c r="B336" t="inlineStr">
        <is>
          <t>ENC117582</t>
        </is>
      </c>
      <c r="C336" t="inlineStr">
        <is>
          <t>PY01</t>
        </is>
      </c>
      <c r="D336" s="28" t="n">
        <v>45883</v>
      </c>
      <c r="E336" s="29" t="n">
        <v>443.53</v>
      </c>
      <c r="F336" s="29" t="n">
        <v>0</v>
      </c>
      <c r="G336" t="inlineStr">
        <is>
          <t>Denied</t>
        </is>
      </c>
      <c r="H336" t="inlineStr">
        <is>
          <t>Duplicate Claim</t>
        </is>
      </c>
    </row>
    <row r="337">
      <c r="A337" t="inlineStr">
        <is>
          <t>CLM517591</t>
        </is>
      </c>
      <c r="B337" t="inlineStr">
        <is>
          <t>ENC117591</t>
        </is>
      </c>
      <c r="C337" t="inlineStr">
        <is>
          <t>PY05</t>
        </is>
      </c>
      <c r="D337" s="28" t="n">
        <v>45882</v>
      </c>
      <c r="E337" s="29" t="n">
        <v>8319.73</v>
      </c>
      <c r="F337" s="29" t="n">
        <v>3650.29</v>
      </c>
      <c r="G337" t="inlineStr">
        <is>
          <t>Paid</t>
        </is>
      </c>
    </row>
    <row r="338">
      <c r="A338" t="inlineStr">
        <is>
          <t>CLM517601</t>
        </is>
      </c>
      <c r="B338" t="inlineStr">
        <is>
          <t>ENC117601</t>
        </is>
      </c>
      <c r="C338" t="inlineStr">
        <is>
          <t>PY03</t>
        </is>
      </c>
      <c r="D338" s="28" t="n">
        <v>45886</v>
      </c>
      <c r="E338" s="29" t="n">
        <v>364.88</v>
      </c>
      <c r="F338" s="29" t="n">
        <v>85.64</v>
      </c>
      <c r="G338" t="inlineStr">
        <is>
          <t>Paid</t>
        </is>
      </c>
    </row>
    <row r="339">
      <c r="A339" t="inlineStr">
        <is>
          <t>CLM517654</t>
        </is>
      </c>
      <c r="B339" t="inlineStr">
        <is>
          <t>ENC117654</t>
        </is>
      </c>
      <c r="C339" t="inlineStr">
        <is>
          <t>PY06</t>
        </is>
      </c>
      <c r="D339" s="28" t="n">
        <v>45891</v>
      </c>
      <c r="E339" s="29" t="n">
        <v>68789.14999999999</v>
      </c>
      <c r="F339" s="29" t="n">
        <v>31619.27</v>
      </c>
      <c r="G339" t="inlineStr">
        <is>
          <t>Paid</t>
        </is>
      </c>
    </row>
    <row r="340">
      <c r="A340" t="inlineStr">
        <is>
          <t>CLM517673</t>
        </is>
      </c>
      <c r="B340" t="inlineStr">
        <is>
          <t>ENC117673</t>
        </is>
      </c>
      <c r="C340" t="inlineStr">
        <is>
          <t>PY03</t>
        </is>
      </c>
      <c r="D340" s="28" t="n">
        <v>45889</v>
      </c>
      <c r="E340" s="29" t="n">
        <v>232.23</v>
      </c>
      <c r="F340" s="29" t="n">
        <v>56.93</v>
      </c>
      <c r="G340" t="inlineStr">
        <is>
          <t>Paid</t>
        </is>
      </c>
    </row>
    <row r="341">
      <c r="A341" t="inlineStr">
        <is>
          <t>CLM517729</t>
        </is>
      </c>
      <c r="B341" t="inlineStr">
        <is>
          <t>ENC117729</t>
        </is>
      </c>
      <c r="C341" t="inlineStr">
        <is>
          <t>PY06</t>
        </is>
      </c>
      <c r="D341" s="28" t="n">
        <v>45892</v>
      </c>
      <c r="E341" s="29" t="n">
        <v>344.31</v>
      </c>
      <c r="F341" s="29" t="n">
        <v>188.26</v>
      </c>
      <c r="G341" t="inlineStr">
        <is>
          <t>Paid</t>
        </is>
      </c>
    </row>
    <row r="342">
      <c r="A342" t="inlineStr">
        <is>
          <t>CLM517768</t>
        </is>
      </c>
      <c r="B342" t="inlineStr">
        <is>
          <t>ENC117768</t>
        </is>
      </c>
      <c r="C342" t="inlineStr">
        <is>
          <t>PY07</t>
        </is>
      </c>
      <c r="D342" s="28" t="n">
        <v>45892</v>
      </c>
      <c r="E342" s="29" t="n">
        <v>361.53</v>
      </c>
      <c r="F342" s="29" t="n">
        <v>101.03</v>
      </c>
      <c r="G342" t="inlineStr">
        <is>
          <t>Partially Paid</t>
        </is>
      </c>
    </row>
    <row r="343">
      <c r="A343" t="inlineStr">
        <is>
          <t>CLM517778</t>
        </is>
      </c>
      <c r="B343" t="inlineStr">
        <is>
          <t>ENC117778</t>
        </is>
      </c>
      <c r="C343" t="inlineStr">
        <is>
          <t>PY01</t>
        </is>
      </c>
      <c r="D343" s="28" t="n">
        <v>45993</v>
      </c>
      <c r="E343" s="29" t="n">
        <v>823.04</v>
      </c>
      <c r="F343" s="29" t="n">
        <v>247.72</v>
      </c>
      <c r="G343" t="inlineStr">
        <is>
          <t>Paid</t>
        </is>
      </c>
    </row>
    <row r="344">
      <c r="A344" t="inlineStr">
        <is>
          <t>CLM517824</t>
        </is>
      </c>
      <c r="B344" t="inlineStr">
        <is>
          <t>ENC117824</t>
        </is>
      </c>
      <c r="C344" t="inlineStr">
        <is>
          <t>PY03</t>
        </is>
      </c>
      <c r="D344" s="28" t="n">
        <v>45892</v>
      </c>
      <c r="E344" s="29" t="n">
        <v>2939.61</v>
      </c>
      <c r="F344" s="29" t="n">
        <v>586.16</v>
      </c>
      <c r="G344" t="inlineStr">
        <is>
          <t>Partially Paid</t>
        </is>
      </c>
      <c r="H344" t="inlineStr">
        <is>
          <t>Coding Error</t>
        </is>
      </c>
    </row>
    <row r="345">
      <c r="A345" t="inlineStr">
        <is>
          <t>CLM517879</t>
        </is>
      </c>
      <c r="B345" t="inlineStr">
        <is>
          <t>ENC117879</t>
        </is>
      </c>
      <c r="C345" t="inlineStr">
        <is>
          <t>PY01</t>
        </is>
      </c>
      <c r="D345" s="28" t="n">
        <v>45896</v>
      </c>
      <c r="E345" s="29" t="n">
        <v>3417.1</v>
      </c>
      <c r="F345" s="29" t="n">
        <v>647.05</v>
      </c>
      <c r="G345" t="inlineStr">
        <is>
          <t>Partially Paid</t>
        </is>
      </c>
      <c r="H345" t="inlineStr">
        <is>
          <t>Coding Error</t>
        </is>
      </c>
    </row>
    <row r="346">
      <c r="A346" t="inlineStr">
        <is>
          <t>CLM517883</t>
        </is>
      </c>
      <c r="B346" t="inlineStr">
        <is>
          <t>ENC117883</t>
        </is>
      </c>
      <c r="C346" t="inlineStr">
        <is>
          <t>PY03</t>
        </is>
      </c>
      <c r="D346" s="28" t="n">
        <v>45895</v>
      </c>
      <c r="E346" s="29" t="n">
        <v>11036.53</v>
      </c>
      <c r="F346" s="29" t="n">
        <v>2110.43</v>
      </c>
      <c r="G346" t="inlineStr">
        <is>
          <t>Partially Paid</t>
        </is>
      </c>
      <c r="H346" t="inlineStr">
        <is>
          <t>Coding Error</t>
        </is>
      </c>
    </row>
    <row r="347">
      <c r="A347" t="inlineStr">
        <is>
          <t>CLM517889</t>
        </is>
      </c>
      <c r="B347" t="inlineStr">
        <is>
          <t>ENC117889</t>
        </is>
      </c>
      <c r="C347" t="inlineStr">
        <is>
          <t>PY04</t>
        </is>
      </c>
      <c r="D347" s="28" t="n">
        <v>45893</v>
      </c>
      <c r="E347" s="29" t="n">
        <v>3676.9</v>
      </c>
      <c r="F347" s="29" t="n">
        <v>1650.53</v>
      </c>
      <c r="G347" t="inlineStr">
        <is>
          <t>Paid</t>
        </is>
      </c>
    </row>
    <row r="348">
      <c r="A348" t="inlineStr">
        <is>
          <t>CLM517898</t>
        </is>
      </c>
      <c r="B348" t="inlineStr">
        <is>
          <t>ENC117898</t>
        </is>
      </c>
      <c r="C348" t="inlineStr">
        <is>
          <t>PY02</t>
        </is>
      </c>
      <c r="D348" s="28" t="n">
        <v>45898</v>
      </c>
      <c r="E348" s="29" t="n">
        <v>1346.78</v>
      </c>
      <c r="F348" s="29" t="n">
        <v>408.37</v>
      </c>
      <c r="G348" t="inlineStr">
        <is>
          <t>Paid</t>
        </is>
      </c>
    </row>
    <row r="349">
      <c r="A349" t="inlineStr">
        <is>
          <t>CLM517923</t>
        </is>
      </c>
      <c r="B349" t="inlineStr">
        <is>
          <t>ENC117923</t>
        </is>
      </c>
      <c r="C349" t="inlineStr">
        <is>
          <t>PY02</t>
        </is>
      </c>
      <c r="D349" s="28" t="n">
        <v>45910</v>
      </c>
      <c r="E349" s="29" t="n">
        <v>19542.69</v>
      </c>
      <c r="F349" s="29" t="n">
        <v>5444.23</v>
      </c>
      <c r="G349" t="inlineStr">
        <is>
          <t>Paid</t>
        </is>
      </c>
    </row>
    <row r="350">
      <c r="A350" t="inlineStr">
        <is>
          <t>CLM517931</t>
        </is>
      </c>
      <c r="B350" t="inlineStr">
        <is>
          <t>ENC117931</t>
        </is>
      </c>
      <c r="C350" t="inlineStr">
        <is>
          <t>PY01</t>
        </is>
      </c>
      <c r="D350" s="28" t="n">
        <v>45896</v>
      </c>
      <c r="E350" s="29" t="n">
        <v>310.78</v>
      </c>
      <c r="F350" s="29" t="n">
        <v>85.2</v>
      </c>
      <c r="G350" t="inlineStr">
        <is>
          <t>Paid</t>
        </is>
      </c>
    </row>
    <row r="351">
      <c r="A351" t="inlineStr">
        <is>
          <t>CLM517942</t>
        </is>
      </c>
      <c r="B351" t="inlineStr">
        <is>
          <t>ENC117942</t>
        </is>
      </c>
      <c r="C351" t="inlineStr">
        <is>
          <t>PY02</t>
        </is>
      </c>
      <c r="D351" s="28" t="n">
        <v>45896</v>
      </c>
      <c r="E351" s="29" t="n">
        <v>1566.55</v>
      </c>
      <c r="F351" s="29" t="n">
        <v>504.06</v>
      </c>
      <c r="G351" t="inlineStr">
        <is>
          <t>Paid</t>
        </is>
      </c>
    </row>
    <row r="352">
      <c r="A352" t="inlineStr">
        <is>
          <t>CLM517962</t>
        </is>
      </c>
      <c r="B352" t="inlineStr">
        <is>
          <t>ENC117962</t>
        </is>
      </c>
      <c r="C352" t="inlineStr">
        <is>
          <t>PY06</t>
        </is>
      </c>
      <c r="D352" s="28" t="n">
        <v>45905</v>
      </c>
      <c r="E352" s="29" t="n">
        <v>36249.8</v>
      </c>
      <c r="F352" s="29" t="n">
        <v>17183.58</v>
      </c>
      <c r="G352" t="inlineStr">
        <is>
          <t>Paid</t>
        </is>
      </c>
    </row>
    <row r="353">
      <c r="A353" t="inlineStr">
        <is>
          <t>CLM517995</t>
        </is>
      </c>
      <c r="B353" t="inlineStr">
        <is>
          <t>ENC117995</t>
        </is>
      </c>
      <c r="C353" t="inlineStr">
        <is>
          <t>PY03</t>
        </is>
      </c>
      <c r="D353" s="28" t="n">
        <v>45910</v>
      </c>
      <c r="E353" s="29" t="n">
        <v>3577.76</v>
      </c>
      <c r="F353" s="29" t="n">
        <v>375.47</v>
      </c>
      <c r="G353" t="inlineStr">
        <is>
          <t>Partially Paid</t>
        </is>
      </c>
      <c r="H353" t="inlineStr">
        <is>
          <t>Coding Error</t>
        </is>
      </c>
    </row>
    <row r="354">
      <c r="A354" t="inlineStr">
        <is>
          <t>CLM518011</t>
        </is>
      </c>
      <c r="B354" t="inlineStr">
        <is>
          <t>ENC118011</t>
        </is>
      </c>
      <c r="C354" t="inlineStr">
        <is>
          <t>PY03</t>
        </is>
      </c>
      <c r="D354" s="28" t="n">
        <v>45903</v>
      </c>
      <c r="E354" s="29" t="n">
        <v>439.44</v>
      </c>
      <c r="F354" s="29" t="n">
        <v>119.56</v>
      </c>
      <c r="G354" t="inlineStr">
        <is>
          <t>Paid</t>
        </is>
      </c>
    </row>
    <row r="355">
      <c r="A355" t="inlineStr">
        <is>
          <t>CLM518020</t>
        </is>
      </c>
      <c r="B355" t="inlineStr">
        <is>
          <t>ENC118020</t>
        </is>
      </c>
      <c r="C355" t="inlineStr">
        <is>
          <t>PY05</t>
        </is>
      </c>
      <c r="D355" s="28" t="n">
        <v>45916</v>
      </c>
      <c r="E355" s="29" t="n">
        <v>23017.76</v>
      </c>
      <c r="F355" s="29" t="n">
        <v>8098.51</v>
      </c>
      <c r="G355" t="inlineStr">
        <is>
          <t>Paid</t>
        </is>
      </c>
    </row>
    <row r="356">
      <c r="A356" t="inlineStr">
        <is>
          <t>CLM518051</t>
        </is>
      </c>
      <c r="B356" t="inlineStr">
        <is>
          <t>ENC118051</t>
        </is>
      </c>
      <c r="C356" t="inlineStr">
        <is>
          <t>PY03</t>
        </is>
      </c>
      <c r="D356" s="28" t="n">
        <v>45900</v>
      </c>
      <c r="E356" s="29" t="n">
        <v>1584.69</v>
      </c>
      <c r="F356" s="29" t="n">
        <v>377.4</v>
      </c>
      <c r="G356" t="inlineStr">
        <is>
          <t>Paid</t>
        </is>
      </c>
    </row>
    <row r="357">
      <c r="A357" t="inlineStr">
        <is>
          <t>CLM518092</t>
        </is>
      </c>
      <c r="B357" t="inlineStr">
        <is>
          <t>ENC118092</t>
        </is>
      </c>
      <c r="C357" t="inlineStr">
        <is>
          <t>PY03</t>
        </is>
      </c>
      <c r="D357" s="28" t="n">
        <v>45904</v>
      </c>
      <c r="E357" s="29" t="n">
        <v>3453.67</v>
      </c>
      <c r="F357" s="29" t="n">
        <v>987.73</v>
      </c>
      <c r="G357" t="inlineStr">
        <is>
          <t>Paid</t>
        </is>
      </c>
    </row>
    <row r="358">
      <c r="A358" t="inlineStr">
        <is>
          <t>CLM518093</t>
        </is>
      </c>
      <c r="B358" t="inlineStr">
        <is>
          <t>ENC118093</t>
        </is>
      </c>
      <c r="C358" t="inlineStr">
        <is>
          <t>PY02</t>
        </is>
      </c>
      <c r="D358" s="28" t="n">
        <v>45908</v>
      </c>
      <c r="E358" s="29" t="n">
        <v>19004.38</v>
      </c>
      <c r="F358" s="29" t="n">
        <v>6236.82</v>
      </c>
      <c r="G358" t="inlineStr">
        <is>
          <t>Paid</t>
        </is>
      </c>
    </row>
    <row r="359">
      <c r="A359" t="inlineStr">
        <is>
          <t>CLM518099</t>
        </is>
      </c>
      <c r="B359" t="inlineStr">
        <is>
          <t>ENC118099</t>
        </is>
      </c>
      <c r="C359" t="inlineStr">
        <is>
          <t>PY07</t>
        </is>
      </c>
      <c r="D359" s="28" t="n">
        <v>45906</v>
      </c>
      <c r="E359" s="29" t="n">
        <v>208.82</v>
      </c>
      <c r="F359" s="29" t="n">
        <v>22.67</v>
      </c>
      <c r="G359" t="inlineStr">
        <is>
          <t>Partially Paid</t>
        </is>
      </c>
    </row>
    <row r="360">
      <c r="A360" t="inlineStr">
        <is>
          <t>CLM518103</t>
        </is>
      </c>
      <c r="B360" t="inlineStr">
        <is>
          <t>ENC118103</t>
        </is>
      </c>
      <c r="C360" t="inlineStr">
        <is>
          <t>PY01</t>
        </is>
      </c>
      <c r="D360" s="28" t="n">
        <v>45905</v>
      </c>
      <c r="E360" s="29" t="n">
        <v>348.69</v>
      </c>
      <c r="F360" s="29" t="n">
        <v>93.3</v>
      </c>
      <c r="G360" t="inlineStr">
        <is>
          <t>Paid</t>
        </is>
      </c>
    </row>
    <row r="361">
      <c r="A361" t="inlineStr">
        <is>
          <t>CLM518116</t>
        </is>
      </c>
      <c r="B361" t="inlineStr">
        <is>
          <t>ENC118116</t>
        </is>
      </c>
      <c r="C361" t="inlineStr">
        <is>
          <t>PY08</t>
        </is>
      </c>
      <c r="D361" s="28" t="n">
        <v>45907</v>
      </c>
      <c r="E361" s="29" t="n">
        <v>8367.219999999999</v>
      </c>
      <c r="F361" s="29" t="n">
        <v>4794.24</v>
      </c>
      <c r="G361" t="inlineStr">
        <is>
          <t>Paid</t>
        </is>
      </c>
    </row>
    <row r="362">
      <c r="A362" t="inlineStr">
        <is>
          <t>CLM518128</t>
        </is>
      </c>
      <c r="B362" t="inlineStr">
        <is>
          <t>ENC118128</t>
        </is>
      </c>
      <c r="C362" t="inlineStr">
        <is>
          <t>PY03</t>
        </is>
      </c>
      <c r="D362" s="28" t="n">
        <v>45904</v>
      </c>
      <c r="E362" s="29" t="n">
        <v>941.04</v>
      </c>
      <c r="F362" s="29" t="n">
        <v>222.94</v>
      </c>
      <c r="G362" t="inlineStr">
        <is>
          <t>Paid</t>
        </is>
      </c>
    </row>
    <row r="363">
      <c r="A363" t="inlineStr">
        <is>
          <t>CLM518136</t>
        </is>
      </c>
      <c r="B363" t="inlineStr">
        <is>
          <t>ENC118136</t>
        </is>
      </c>
      <c r="C363" t="inlineStr">
        <is>
          <t>PY05</t>
        </is>
      </c>
      <c r="D363" s="28" t="n">
        <v>45906</v>
      </c>
      <c r="E363" s="29" t="n">
        <v>183.7</v>
      </c>
      <c r="F363" s="29" t="n">
        <v>0</v>
      </c>
      <c r="G363" t="inlineStr">
        <is>
          <t>Denied</t>
        </is>
      </c>
      <c r="H363" t="inlineStr">
        <is>
          <t>Authorization Required</t>
        </is>
      </c>
    </row>
    <row r="364">
      <c r="A364" t="inlineStr">
        <is>
          <t>CLM518138</t>
        </is>
      </c>
      <c r="B364" t="inlineStr">
        <is>
          <t>ENC118138</t>
        </is>
      </c>
      <c r="C364" t="inlineStr">
        <is>
          <t>PY03</t>
        </is>
      </c>
      <c r="D364" s="28" t="n">
        <v>45909</v>
      </c>
      <c r="E364" s="29" t="n">
        <v>152.63</v>
      </c>
      <c r="F364" s="29" t="n">
        <v>36.51</v>
      </c>
      <c r="G364" t="inlineStr">
        <is>
          <t>Paid</t>
        </is>
      </c>
    </row>
    <row r="365">
      <c r="A365" t="inlineStr">
        <is>
          <t>CLM518207</t>
        </is>
      </c>
      <c r="B365" t="inlineStr">
        <is>
          <t>ENC118207</t>
        </is>
      </c>
      <c r="C365" t="inlineStr">
        <is>
          <t>PY02</t>
        </is>
      </c>
      <c r="D365" s="28" t="n">
        <v>45916</v>
      </c>
      <c r="E365" s="29" t="n">
        <v>32680.68</v>
      </c>
      <c r="F365" s="29" t="n">
        <v>10650.66</v>
      </c>
      <c r="G365" t="inlineStr">
        <is>
          <t>Paid</t>
        </is>
      </c>
    </row>
    <row r="366">
      <c r="A366" t="inlineStr">
        <is>
          <t>CLM518246</t>
        </is>
      </c>
      <c r="B366" t="inlineStr">
        <is>
          <t>ENC118246</t>
        </is>
      </c>
      <c r="C366" t="inlineStr">
        <is>
          <t>PY04</t>
        </is>
      </c>
      <c r="D366" s="28" t="n">
        <v>45916</v>
      </c>
      <c r="E366" s="29" t="n">
        <v>3538.33</v>
      </c>
      <c r="F366" s="29" t="n">
        <v>1115.18</v>
      </c>
      <c r="G366" t="inlineStr">
        <is>
          <t>Partially Paid</t>
        </is>
      </c>
      <c r="H366" t="inlineStr">
        <is>
          <t>Coding Error</t>
        </is>
      </c>
    </row>
    <row r="367">
      <c r="A367" t="inlineStr">
        <is>
          <t>CLM518271</t>
        </is>
      </c>
      <c r="B367" t="inlineStr">
        <is>
          <t>ENC118271</t>
        </is>
      </c>
      <c r="C367" t="inlineStr">
        <is>
          <t>PY01</t>
        </is>
      </c>
      <c r="D367" s="28" t="n">
        <v>45915</v>
      </c>
      <c r="E367" s="29" t="n">
        <v>1189.1</v>
      </c>
      <c r="F367" s="29" t="n">
        <v>376.06</v>
      </c>
      <c r="G367" t="inlineStr">
        <is>
          <t>Paid</t>
        </is>
      </c>
    </row>
    <row r="368">
      <c r="A368" t="inlineStr">
        <is>
          <t>CLM518276</t>
        </is>
      </c>
      <c r="B368" t="inlineStr">
        <is>
          <t>ENC118276</t>
        </is>
      </c>
      <c r="C368" t="inlineStr">
        <is>
          <t>PY02</t>
        </is>
      </c>
      <c r="D368" s="28" t="n">
        <v>45911</v>
      </c>
      <c r="E368" s="29" t="n">
        <v>3386.66</v>
      </c>
      <c r="F368" s="29" t="n">
        <v>1080.96</v>
      </c>
      <c r="G368" t="inlineStr">
        <is>
          <t>Paid</t>
        </is>
      </c>
    </row>
    <row r="369">
      <c r="A369" t="inlineStr">
        <is>
          <t>CLM518324</t>
        </is>
      </c>
      <c r="B369" t="inlineStr">
        <is>
          <t>ENC118324</t>
        </is>
      </c>
      <c r="C369" t="inlineStr">
        <is>
          <t>PY04</t>
        </is>
      </c>
      <c r="D369" s="28" t="n">
        <v>45918</v>
      </c>
      <c r="E369" s="29" t="n">
        <v>16864.34</v>
      </c>
      <c r="F369" s="29" t="n">
        <v>8437.35</v>
      </c>
      <c r="G369" t="inlineStr">
        <is>
          <t>Paid</t>
        </is>
      </c>
    </row>
    <row r="370">
      <c r="A370" t="inlineStr">
        <is>
          <t>CLM518367</t>
        </is>
      </c>
      <c r="B370" t="inlineStr">
        <is>
          <t>ENC118367</t>
        </is>
      </c>
      <c r="C370" t="inlineStr">
        <is>
          <t>PY02</t>
        </is>
      </c>
      <c r="D370" s="28" t="n">
        <v>45913</v>
      </c>
      <c r="E370" s="29" t="n">
        <v>3431.34</v>
      </c>
      <c r="F370" s="29" t="n">
        <v>1172.56</v>
      </c>
      <c r="G370" t="inlineStr">
        <is>
          <t>Paid</t>
        </is>
      </c>
    </row>
    <row r="371">
      <c r="A371" t="inlineStr">
        <is>
          <t>CLM518392</t>
        </is>
      </c>
      <c r="B371" t="inlineStr">
        <is>
          <t>ENC118392</t>
        </is>
      </c>
      <c r="C371" t="inlineStr">
        <is>
          <t>PY03</t>
        </is>
      </c>
      <c r="D371" s="28" t="n">
        <v>45915</v>
      </c>
      <c r="E371" s="29" t="n">
        <v>3660.66</v>
      </c>
      <c r="F371" s="29" t="n">
        <v>966.23</v>
      </c>
      <c r="G371" t="inlineStr">
        <is>
          <t>Paid</t>
        </is>
      </c>
    </row>
    <row r="372">
      <c r="A372" t="inlineStr">
        <is>
          <t>CLM518402</t>
        </is>
      </c>
      <c r="B372" t="inlineStr">
        <is>
          <t>ENC118402</t>
        </is>
      </c>
      <c r="C372" t="inlineStr">
        <is>
          <t>PY06</t>
        </is>
      </c>
      <c r="D372" s="28" t="n">
        <v>45917</v>
      </c>
      <c r="E372" s="29" t="n">
        <v>265.57</v>
      </c>
      <c r="F372" s="29" t="n">
        <v>119.85</v>
      </c>
      <c r="G372" t="inlineStr">
        <is>
          <t>Paid</t>
        </is>
      </c>
    </row>
    <row r="373">
      <c r="A373" t="inlineStr">
        <is>
          <t>CLM518429</t>
        </is>
      </c>
      <c r="B373" t="inlineStr">
        <is>
          <t>ENC118429</t>
        </is>
      </c>
      <c r="C373" t="inlineStr">
        <is>
          <t>PY02</t>
        </is>
      </c>
      <c r="D373" s="28" t="n">
        <v>45915</v>
      </c>
      <c r="E373" s="29" t="n">
        <v>5979.27</v>
      </c>
      <c r="F373" s="29" t="n">
        <v>1779.6</v>
      </c>
      <c r="G373" t="inlineStr">
        <is>
          <t>Paid</t>
        </is>
      </c>
    </row>
    <row r="374">
      <c r="A374" t="inlineStr">
        <is>
          <t>CLM518439</t>
        </is>
      </c>
      <c r="B374" t="inlineStr">
        <is>
          <t>ENC118439</t>
        </is>
      </c>
      <c r="C374" t="inlineStr">
        <is>
          <t>PY05</t>
        </is>
      </c>
      <c r="D374" s="28" t="n">
        <v>45921</v>
      </c>
      <c r="E374" s="29" t="n">
        <v>21172.19</v>
      </c>
      <c r="F374" s="29" t="n">
        <v>4170.77</v>
      </c>
      <c r="G374" t="inlineStr">
        <is>
          <t>Partially Paid</t>
        </is>
      </c>
      <c r="H374" t="inlineStr">
        <is>
          <t>Coding Error</t>
        </is>
      </c>
    </row>
    <row r="375">
      <c r="A375" t="inlineStr">
        <is>
          <t>CLM518483</t>
        </is>
      </c>
      <c r="B375" t="inlineStr">
        <is>
          <t>ENC118483</t>
        </is>
      </c>
      <c r="C375" t="inlineStr">
        <is>
          <t>PY06</t>
        </is>
      </c>
      <c r="D375" s="28" t="n">
        <v>45926</v>
      </c>
      <c r="E375" s="29" t="n">
        <v>15564.64</v>
      </c>
      <c r="F375" s="29" t="n">
        <v>8118.95</v>
      </c>
      <c r="G375" t="inlineStr">
        <is>
          <t>Paid</t>
        </is>
      </c>
    </row>
    <row r="376">
      <c r="A376" t="inlineStr">
        <is>
          <t>CLM518489</t>
        </is>
      </c>
      <c r="B376" t="inlineStr">
        <is>
          <t>ENC118489</t>
        </is>
      </c>
      <c r="C376" t="inlineStr">
        <is>
          <t>PY01</t>
        </is>
      </c>
      <c r="D376" s="28" t="n">
        <v>45919</v>
      </c>
      <c r="E376" s="29" t="n">
        <v>1205.7</v>
      </c>
      <c r="F376" s="29" t="n">
        <v>369.21</v>
      </c>
      <c r="G376" t="inlineStr">
        <is>
          <t>Paid</t>
        </is>
      </c>
    </row>
    <row r="377">
      <c r="A377" t="inlineStr">
        <is>
          <t>CLM518509</t>
        </is>
      </c>
      <c r="B377" t="inlineStr">
        <is>
          <t>ENC118509</t>
        </is>
      </c>
      <c r="C377" t="inlineStr">
        <is>
          <t>PY05</t>
        </is>
      </c>
      <c r="D377" s="28" t="n">
        <v>45967</v>
      </c>
      <c r="E377" s="29" t="n">
        <v>450.21</v>
      </c>
      <c r="F377" s="29" t="n">
        <v>181.84</v>
      </c>
      <c r="G377" t="inlineStr">
        <is>
          <t>Paid</t>
        </is>
      </c>
    </row>
    <row r="378">
      <c r="A378" t="inlineStr">
        <is>
          <t>CLM518510</t>
        </is>
      </c>
      <c r="B378" t="inlineStr">
        <is>
          <t>ENC118510</t>
        </is>
      </c>
      <c r="C378" t="inlineStr">
        <is>
          <t>PY04</t>
        </is>
      </c>
      <c r="D378" s="28" t="n">
        <v>45920</v>
      </c>
      <c r="E378" s="29" t="n">
        <v>5144.61</v>
      </c>
      <c r="F378" s="29" t="n">
        <v>2404.68</v>
      </c>
      <c r="G378" t="inlineStr">
        <is>
          <t>Paid</t>
        </is>
      </c>
    </row>
    <row r="379">
      <c r="A379" t="inlineStr">
        <is>
          <t>CLM518534</t>
        </is>
      </c>
      <c r="B379" t="inlineStr">
        <is>
          <t>ENC118534</t>
        </is>
      </c>
      <c r="C379" t="inlineStr">
        <is>
          <t>PY06</t>
        </is>
      </c>
      <c r="D379" s="28" t="n">
        <v>45921</v>
      </c>
      <c r="E379" s="29" t="n">
        <v>8579.049999999999</v>
      </c>
      <c r="F379" s="29" t="n">
        <v>3615.92</v>
      </c>
      <c r="G379" t="inlineStr">
        <is>
          <t>Paid</t>
        </is>
      </c>
    </row>
    <row r="380">
      <c r="A380" t="inlineStr">
        <is>
          <t>CLM518564</t>
        </is>
      </c>
      <c r="B380" t="inlineStr">
        <is>
          <t>ENC118564</t>
        </is>
      </c>
      <c r="C380" t="inlineStr">
        <is>
          <t>PY03</t>
        </is>
      </c>
      <c r="D380" s="28" t="n">
        <v>45929</v>
      </c>
      <c r="E380" s="29" t="n">
        <v>8187.66</v>
      </c>
      <c r="F380" s="29" t="n">
        <v>1862.35</v>
      </c>
      <c r="G380" t="inlineStr">
        <is>
          <t>Paid</t>
        </is>
      </c>
    </row>
    <row r="381">
      <c r="A381" t="inlineStr">
        <is>
          <t>CLM518606</t>
        </is>
      </c>
      <c r="B381" t="inlineStr">
        <is>
          <t>ENC118606</t>
        </is>
      </c>
      <c r="C381" t="inlineStr">
        <is>
          <t>PY01</t>
        </is>
      </c>
      <c r="D381" s="28" t="n">
        <v>45925</v>
      </c>
      <c r="E381" s="29" t="n">
        <v>3997.01</v>
      </c>
      <c r="F381" s="29" t="n">
        <v>1072.34</v>
      </c>
      <c r="G381" t="inlineStr">
        <is>
          <t>Paid</t>
        </is>
      </c>
    </row>
    <row r="382">
      <c r="A382" t="inlineStr">
        <is>
          <t>CLM518624</t>
        </is>
      </c>
      <c r="B382" t="inlineStr">
        <is>
          <t>ENC118624</t>
        </is>
      </c>
      <c r="C382" t="inlineStr">
        <is>
          <t>PY04</t>
        </is>
      </c>
      <c r="D382" s="28" t="n">
        <v>45928</v>
      </c>
      <c r="E382" s="29" t="n">
        <v>2988.26</v>
      </c>
      <c r="F382" s="29" t="n">
        <v>1487.96</v>
      </c>
      <c r="G382" t="inlineStr">
        <is>
          <t>Paid</t>
        </is>
      </c>
    </row>
    <row r="383">
      <c r="A383" t="inlineStr">
        <is>
          <t>CLM518631</t>
        </is>
      </c>
      <c r="B383" t="inlineStr">
        <is>
          <t>ENC118631</t>
        </is>
      </c>
      <c r="C383" t="inlineStr">
        <is>
          <t>PY03</t>
        </is>
      </c>
      <c r="D383" s="28" t="n">
        <v>45927</v>
      </c>
      <c r="E383" s="29" t="n">
        <v>21975.22</v>
      </c>
      <c r="F383" s="29" t="n">
        <v>5148.54</v>
      </c>
      <c r="G383" t="inlineStr">
        <is>
          <t>Paid</t>
        </is>
      </c>
    </row>
    <row r="384">
      <c r="A384" t="inlineStr">
        <is>
          <t>CLM518668</t>
        </is>
      </c>
      <c r="B384" t="inlineStr">
        <is>
          <t>ENC118668</t>
        </is>
      </c>
      <c r="C384" t="inlineStr">
        <is>
          <t>PY01</t>
        </is>
      </c>
      <c r="D384" s="28" t="n">
        <v>45931</v>
      </c>
      <c r="E384" s="29" t="n">
        <v>17974.6</v>
      </c>
      <c r="F384" s="29" t="n">
        <v>5161.69</v>
      </c>
      <c r="G384" t="inlineStr">
        <is>
          <t>Paid</t>
        </is>
      </c>
    </row>
    <row r="385">
      <c r="A385" t="inlineStr">
        <is>
          <t>CLM518689</t>
        </is>
      </c>
      <c r="B385" t="inlineStr">
        <is>
          <t>ENC118689</t>
        </is>
      </c>
      <c r="C385" t="inlineStr">
        <is>
          <t>PY04</t>
        </is>
      </c>
      <c r="D385" s="28" t="n">
        <v>45925</v>
      </c>
      <c r="E385" s="29" t="n">
        <v>391.53</v>
      </c>
      <c r="F385" s="29" t="n">
        <v>185.65</v>
      </c>
      <c r="G385" t="inlineStr">
        <is>
          <t>Paid</t>
        </is>
      </c>
    </row>
    <row r="386">
      <c r="A386" t="inlineStr">
        <is>
          <t>CLM518708</t>
        </is>
      </c>
      <c r="B386" t="inlineStr">
        <is>
          <t>ENC118708</t>
        </is>
      </c>
      <c r="C386" t="inlineStr">
        <is>
          <t>PY04</t>
        </is>
      </c>
      <c r="D386" s="28" t="n">
        <v>45929</v>
      </c>
      <c r="E386" s="29" t="n">
        <v>14350.56</v>
      </c>
      <c r="F386" s="29" t="n">
        <v>7557.14</v>
      </c>
      <c r="G386" t="inlineStr">
        <is>
          <t>Paid</t>
        </is>
      </c>
    </row>
    <row r="387">
      <c r="A387" t="inlineStr">
        <is>
          <t>CLM518743</t>
        </is>
      </c>
      <c r="B387" t="inlineStr">
        <is>
          <t>ENC118743</t>
        </is>
      </c>
      <c r="C387" t="inlineStr">
        <is>
          <t>PY05</t>
        </is>
      </c>
      <c r="D387" s="28" t="n">
        <v>45929</v>
      </c>
      <c r="E387" s="29" t="n">
        <v>800.26</v>
      </c>
      <c r="F387" s="29" t="n">
        <v>354.22</v>
      </c>
      <c r="G387" t="inlineStr">
        <is>
          <t>Paid</t>
        </is>
      </c>
    </row>
    <row r="388">
      <c r="A388" t="inlineStr">
        <is>
          <t>CLM518754</t>
        </is>
      </c>
      <c r="B388" t="inlineStr">
        <is>
          <t>ENC118754</t>
        </is>
      </c>
      <c r="C388" t="inlineStr">
        <is>
          <t>PY01</t>
        </is>
      </c>
      <c r="D388" s="28" t="n">
        <v>45935</v>
      </c>
      <c r="E388" s="29" t="n">
        <v>17621.73</v>
      </c>
      <c r="F388" s="29" t="n">
        <v>5013.12</v>
      </c>
      <c r="G388" t="inlineStr">
        <is>
          <t>Paid</t>
        </is>
      </c>
    </row>
    <row r="389">
      <c r="A389" t="inlineStr">
        <is>
          <t>CLM518784</t>
        </is>
      </c>
      <c r="B389" t="inlineStr">
        <is>
          <t>ENC118784</t>
        </is>
      </c>
      <c r="C389" t="inlineStr">
        <is>
          <t>PY03</t>
        </is>
      </c>
      <c r="D389" s="28" t="n">
        <v>45930</v>
      </c>
      <c r="E389" s="29" t="n">
        <v>3006.37</v>
      </c>
      <c r="F389" s="29" t="n">
        <v>711.8</v>
      </c>
      <c r="G389" t="inlineStr">
        <is>
          <t>Paid</t>
        </is>
      </c>
    </row>
    <row r="390">
      <c r="A390" t="inlineStr">
        <is>
          <t>CLM518788</t>
        </is>
      </c>
      <c r="B390" t="inlineStr">
        <is>
          <t>ENC118788</t>
        </is>
      </c>
      <c r="C390" t="inlineStr">
        <is>
          <t>PY04</t>
        </is>
      </c>
      <c r="D390" s="28" t="n">
        <v>45930</v>
      </c>
      <c r="E390" s="29" t="n">
        <v>5434.67</v>
      </c>
      <c r="F390" s="29" t="n">
        <v>2458.42</v>
      </c>
      <c r="G390" t="inlineStr">
        <is>
          <t>Paid</t>
        </is>
      </c>
    </row>
    <row r="391">
      <c r="A391" t="inlineStr">
        <is>
          <t>CLM518789</t>
        </is>
      </c>
      <c r="B391" t="inlineStr">
        <is>
          <t>ENC118789</t>
        </is>
      </c>
      <c r="C391" t="inlineStr">
        <is>
          <t>PY03</t>
        </is>
      </c>
      <c r="D391" s="28" t="n">
        <v>45933</v>
      </c>
      <c r="E391" s="29" t="n">
        <v>19954.37</v>
      </c>
      <c r="F391" s="29" t="n">
        <v>4172.6</v>
      </c>
      <c r="G391" t="inlineStr">
        <is>
          <t>Paid</t>
        </is>
      </c>
    </row>
    <row r="392">
      <c r="A392" t="inlineStr">
        <is>
          <t>CLM518796</t>
        </is>
      </c>
      <c r="B392" t="inlineStr">
        <is>
          <t>ENC118796</t>
        </is>
      </c>
      <c r="C392" t="inlineStr">
        <is>
          <t>PY07</t>
        </is>
      </c>
      <c r="D392" s="28" t="n">
        <v>45932</v>
      </c>
      <c r="E392" s="29" t="n">
        <v>24492.49</v>
      </c>
      <c r="F392" s="29" t="n">
        <v>0</v>
      </c>
      <c r="G392" t="inlineStr">
        <is>
          <t>Pending</t>
        </is>
      </c>
    </row>
    <row r="393">
      <c r="A393" t="inlineStr">
        <is>
          <t>CLM518807</t>
        </is>
      </c>
      <c r="B393" t="inlineStr">
        <is>
          <t>ENC118807</t>
        </is>
      </c>
      <c r="C393" t="inlineStr">
        <is>
          <t>PY04</t>
        </is>
      </c>
      <c r="D393" s="28" t="n">
        <v>45932</v>
      </c>
      <c r="E393" s="29" t="n">
        <v>17390.75</v>
      </c>
      <c r="F393" s="29" t="n">
        <v>7590.08</v>
      </c>
      <c r="G393" t="inlineStr">
        <is>
          <t>Paid</t>
        </is>
      </c>
    </row>
    <row r="394">
      <c r="A394" t="inlineStr">
        <is>
          <t>CLM518853</t>
        </is>
      </c>
      <c r="B394" t="inlineStr">
        <is>
          <t>ENC118853</t>
        </is>
      </c>
      <c r="C394" t="inlineStr">
        <is>
          <t>PY01</t>
        </is>
      </c>
      <c r="D394" s="28" t="n">
        <v>45944</v>
      </c>
      <c r="E394" s="29" t="n">
        <v>28547.9</v>
      </c>
      <c r="F394" s="29" t="n">
        <v>0</v>
      </c>
      <c r="G394" t="inlineStr">
        <is>
          <t>Denied</t>
        </is>
      </c>
      <c r="H394" t="inlineStr">
        <is>
          <t>Duplicate Claim</t>
        </is>
      </c>
    </row>
    <row r="395">
      <c r="A395" t="inlineStr">
        <is>
          <t>CLM518896</t>
        </is>
      </c>
      <c r="B395" t="inlineStr">
        <is>
          <t>ENC118896</t>
        </is>
      </c>
      <c r="C395" t="inlineStr">
        <is>
          <t>PY03</t>
        </is>
      </c>
      <c r="D395" s="28" t="n">
        <v>45935</v>
      </c>
      <c r="E395" s="29" t="n">
        <v>337.66</v>
      </c>
      <c r="F395" s="29" t="n">
        <v>79.23</v>
      </c>
      <c r="G395" t="inlineStr">
        <is>
          <t>Paid</t>
        </is>
      </c>
    </row>
    <row r="396">
      <c r="A396" t="inlineStr">
        <is>
          <t>CLM518904</t>
        </is>
      </c>
      <c r="B396" t="inlineStr">
        <is>
          <t>ENC118904</t>
        </is>
      </c>
      <c r="C396" t="inlineStr">
        <is>
          <t>PY02</t>
        </is>
      </c>
      <c r="D396" s="28" t="n">
        <v>45934</v>
      </c>
      <c r="E396" s="29" t="n">
        <v>527.61</v>
      </c>
      <c r="F396" s="29" t="n">
        <v>154.29</v>
      </c>
      <c r="G396" t="inlineStr">
        <is>
          <t>Paid</t>
        </is>
      </c>
    </row>
    <row r="397">
      <c r="A397" t="inlineStr">
        <is>
          <t>CLM518919</t>
        </is>
      </c>
      <c r="B397" t="inlineStr">
        <is>
          <t>ENC118919</t>
        </is>
      </c>
      <c r="C397" t="inlineStr">
        <is>
          <t>PY03</t>
        </is>
      </c>
      <c r="D397" s="28" t="n">
        <v>45942</v>
      </c>
      <c r="E397" s="29" t="n">
        <v>12132.05</v>
      </c>
      <c r="F397" s="29" t="n">
        <v>2878.16</v>
      </c>
      <c r="G397" t="inlineStr">
        <is>
          <t>Paid</t>
        </is>
      </c>
    </row>
    <row r="398">
      <c r="A398" t="inlineStr">
        <is>
          <t>CLM518979</t>
        </is>
      </c>
      <c r="B398" t="inlineStr">
        <is>
          <t>ENC118979</t>
        </is>
      </c>
      <c r="C398" t="inlineStr">
        <is>
          <t>PY02</t>
        </is>
      </c>
      <c r="D398" s="28" t="n">
        <v>45937</v>
      </c>
      <c r="E398" s="29" t="n">
        <v>1292.09</v>
      </c>
      <c r="F398" s="29" t="n">
        <v>0</v>
      </c>
      <c r="G398" t="inlineStr">
        <is>
          <t>Denied</t>
        </is>
      </c>
      <c r="H398" t="inlineStr">
        <is>
          <t>Coding Error</t>
        </is>
      </c>
    </row>
    <row r="399">
      <c r="A399" t="inlineStr">
        <is>
          <t>CLM518989</t>
        </is>
      </c>
      <c r="B399" t="inlineStr">
        <is>
          <t>ENC118989</t>
        </is>
      </c>
      <c r="C399" t="inlineStr">
        <is>
          <t>PY02</t>
        </is>
      </c>
      <c r="D399" s="28" t="n">
        <v>45938</v>
      </c>
      <c r="E399" s="29" t="n">
        <v>3541.86</v>
      </c>
      <c r="F399" s="29" t="n">
        <v>1076.41</v>
      </c>
      <c r="G399" t="inlineStr">
        <is>
          <t>Paid</t>
        </is>
      </c>
    </row>
    <row r="400">
      <c r="A400" t="inlineStr">
        <is>
          <t>CLM519000</t>
        </is>
      </c>
      <c r="B400" t="inlineStr">
        <is>
          <t>ENC119000</t>
        </is>
      </c>
      <c r="C400" t="inlineStr">
        <is>
          <t>PY06</t>
        </is>
      </c>
      <c r="D400" s="28" t="n">
        <v>45939</v>
      </c>
      <c r="E400" s="29" t="n">
        <v>455.56</v>
      </c>
      <c r="F400" s="29" t="n">
        <v>245.15</v>
      </c>
      <c r="G400" t="inlineStr">
        <is>
          <t>Paid</t>
        </is>
      </c>
    </row>
    <row r="401">
      <c r="A401" t="inlineStr">
        <is>
          <t>CLM519008</t>
        </is>
      </c>
      <c r="B401" t="inlineStr">
        <is>
          <t>ENC119008</t>
        </is>
      </c>
      <c r="C401" t="inlineStr">
        <is>
          <t>PY01</t>
        </is>
      </c>
      <c r="D401" s="28" t="n">
        <v>45937</v>
      </c>
      <c r="E401" s="29" t="n">
        <v>1554.7</v>
      </c>
      <c r="F401" s="29" t="n">
        <v>487.3</v>
      </c>
      <c r="G401" t="inlineStr">
        <is>
          <t>Paid</t>
        </is>
      </c>
    </row>
    <row r="402">
      <c r="A402" t="inlineStr">
        <is>
          <t>CLM519021</t>
        </is>
      </c>
      <c r="B402" t="inlineStr">
        <is>
          <t>ENC119021</t>
        </is>
      </c>
      <c r="C402" t="inlineStr">
        <is>
          <t>PY01</t>
        </is>
      </c>
      <c r="D402" s="28" t="n">
        <v>45939</v>
      </c>
      <c r="E402" s="29" t="n">
        <v>7669.52</v>
      </c>
      <c r="F402" s="29" t="n">
        <v>2385.94</v>
      </c>
      <c r="G402" t="inlineStr">
        <is>
          <t>Paid</t>
        </is>
      </c>
    </row>
    <row r="403">
      <c r="A403" t="inlineStr">
        <is>
          <t>CLM519022</t>
        </is>
      </c>
      <c r="B403" t="inlineStr">
        <is>
          <t>ENC119022</t>
        </is>
      </c>
      <c r="C403" t="inlineStr">
        <is>
          <t>PY02</t>
        </is>
      </c>
      <c r="D403" s="28" t="n">
        <v>45943</v>
      </c>
      <c r="E403" s="29" t="n">
        <v>36121.68</v>
      </c>
      <c r="F403" s="29" t="n">
        <v>11280.25</v>
      </c>
      <c r="G403" t="inlineStr">
        <is>
          <t>Paid</t>
        </is>
      </c>
    </row>
    <row r="404">
      <c r="A404" t="inlineStr">
        <is>
          <t>CLM519054</t>
        </is>
      </c>
      <c r="B404" t="inlineStr">
        <is>
          <t>ENC119054</t>
        </is>
      </c>
      <c r="C404" t="inlineStr">
        <is>
          <t>PY05</t>
        </is>
      </c>
      <c r="D404" s="28" t="n">
        <v>45939</v>
      </c>
      <c r="E404" s="29" t="n">
        <v>1091.6</v>
      </c>
      <c r="F404" s="29" t="n">
        <v>525.79</v>
      </c>
      <c r="G404" t="inlineStr">
        <is>
          <t>Paid</t>
        </is>
      </c>
    </row>
    <row r="405">
      <c r="A405" t="inlineStr">
        <is>
          <t>CLM519056</t>
        </is>
      </c>
      <c r="B405" t="inlineStr">
        <is>
          <t>ENC119056</t>
        </is>
      </c>
      <c r="C405" t="inlineStr">
        <is>
          <t>PY03</t>
        </is>
      </c>
      <c r="D405" s="28" t="n">
        <v>45939</v>
      </c>
      <c r="E405" s="29" t="n">
        <v>4142.19</v>
      </c>
      <c r="F405" s="29" t="n">
        <v>0</v>
      </c>
      <c r="G405" t="inlineStr">
        <is>
          <t>Denied</t>
        </is>
      </c>
      <c r="H405" t="inlineStr">
        <is>
          <t>Duplicate Claim</t>
        </is>
      </c>
    </row>
    <row r="406">
      <c r="A406" t="inlineStr">
        <is>
          <t>CLM519086</t>
        </is>
      </c>
      <c r="B406" t="inlineStr">
        <is>
          <t>ENC119086</t>
        </is>
      </c>
      <c r="C406" t="inlineStr">
        <is>
          <t>PY04</t>
        </is>
      </c>
      <c r="D406" s="28" t="n">
        <v>45949</v>
      </c>
      <c r="E406" s="29" t="n">
        <v>51588.84</v>
      </c>
      <c r="F406" s="29" t="n">
        <v>22128.8</v>
      </c>
      <c r="G406" t="inlineStr">
        <is>
          <t>Paid</t>
        </is>
      </c>
    </row>
    <row r="407">
      <c r="A407" t="inlineStr">
        <is>
          <t>CLM519088</t>
        </is>
      </c>
      <c r="B407" t="inlineStr">
        <is>
          <t>ENC119088</t>
        </is>
      </c>
      <c r="C407" t="inlineStr">
        <is>
          <t>PY01</t>
        </is>
      </c>
      <c r="D407" s="28" t="n">
        <v>45944</v>
      </c>
      <c r="E407" s="29" t="n">
        <v>17514.94</v>
      </c>
      <c r="F407" s="29" t="n">
        <v>0</v>
      </c>
      <c r="G407" t="inlineStr">
        <is>
          <t>Appealed</t>
        </is>
      </c>
      <c r="H407" t="inlineStr">
        <is>
          <t>Coding Error</t>
        </is>
      </c>
    </row>
    <row r="408">
      <c r="A408" t="inlineStr">
        <is>
          <t>CLM519097</t>
        </is>
      </c>
      <c r="B408" t="inlineStr">
        <is>
          <t>ENC119097</t>
        </is>
      </c>
      <c r="C408" t="inlineStr">
        <is>
          <t>PY07</t>
        </is>
      </c>
      <c r="D408" s="28" t="n">
        <v>45941</v>
      </c>
      <c r="E408" s="29" t="n">
        <v>6834.43</v>
      </c>
      <c r="F408" s="29" t="n">
        <v>2016.96</v>
      </c>
      <c r="G408" t="inlineStr">
        <is>
          <t>Partially Paid</t>
        </is>
      </c>
    </row>
    <row r="409">
      <c r="A409" t="inlineStr">
        <is>
          <t>CLM519103</t>
        </is>
      </c>
      <c r="B409" t="inlineStr">
        <is>
          <t>ENC119103</t>
        </is>
      </c>
      <c r="C409" t="inlineStr">
        <is>
          <t>PY02</t>
        </is>
      </c>
      <c r="D409" s="28" t="n">
        <v>45942</v>
      </c>
      <c r="E409" s="29" t="n">
        <v>12794.3</v>
      </c>
      <c r="F409" s="29" t="n">
        <v>0</v>
      </c>
      <c r="G409" t="inlineStr">
        <is>
          <t>Appealed</t>
        </is>
      </c>
      <c r="H409" t="inlineStr">
        <is>
          <t>Authorization Required</t>
        </is>
      </c>
    </row>
    <row r="410">
      <c r="A410" t="inlineStr">
        <is>
          <t>CLM519119</t>
        </is>
      </c>
      <c r="B410" t="inlineStr">
        <is>
          <t>ENC119119</t>
        </is>
      </c>
      <c r="C410" t="inlineStr">
        <is>
          <t>PY07</t>
        </is>
      </c>
      <c r="D410" s="28" t="n">
        <v>45943</v>
      </c>
      <c r="E410" s="29" t="n">
        <v>9846.309999999999</v>
      </c>
      <c r="F410" s="29" t="n">
        <v>4058.41</v>
      </c>
      <c r="G410" t="inlineStr">
        <is>
          <t>Paid</t>
        </is>
      </c>
    </row>
    <row r="411">
      <c r="A411" t="inlineStr">
        <is>
          <t>CLM519144</t>
        </is>
      </c>
      <c r="B411" t="inlineStr">
        <is>
          <t>ENC119144</t>
        </is>
      </c>
      <c r="C411" t="inlineStr">
        <is>
          <t>PY03</t>
        </is>
      </c>
      <c r="D411" s="28" t="n">
        <v>45940</v>
      </c>
      <c r="E411" s="29" t="n">
        <v>207.61</v>
      </c>
      <c r="F411" s="29" t="n">
        <v>0</v>
      </c>
      <c r="G411" t="inlineStr">
        <is>
          <t>Pending</t>
        </is>
      </c>
    </row>
    <row r="412">
      <c r="A412" t="inlineStr">
        <is>
          <t>CLM519164</t>
        </is>
      </c>
      <c r="B412" t="inlineStr">
        <is>
          <t>ENC119164</t>
        </is>
      </c>
      <c r="C412" t="inlineStr">
        <is>
          <t>PY05</t>
        </is>
      </c>
      <c r="D412" s="28" t="n">
        <v>45948</v>
      </c>
      <c r="E412" s="29" t="n">
        <v>231.44</v>
      </c>
      <c r="F412" s="29" t="n">
        <v>89.19</v>
      </c>
      <c r="G412" t="inlineStr">
        <is>
          <t>Paid</t>
        </is>
      </c>
    </row>
    <row r="413">
      <c r="A413" t="inlineStr">
        <is>
          <t>CLM519189</t>
        </is>
      </c>
      <c r="B413" t="inlineStr">
        <is>
          <t>ENC119189</t>
        </is>
      </c>
      <c r="C413" t="inlineStr">
        <is>
          <t>PY06</t>
        </is>
      </c>
      <c r="D413" s="28" t="n">
        <v>45946</v>
      </c>
      <c r="E413" s="29" t="n">
        <v>3871.7</v>
      </c>
      <c r="F413" s="29" t="n">
        <v>1510.53</v>
      </c>
      <c r="G413" t="inlineStr">
        <is>
          <t>Partially Paid</t>
        </is>
      </c>
      <c r="H413" t="inlineStr">
        <is>
          <t>Medical Necessity</t>
        </is>
      </c>
    </row>
    <row r="414">
      <c r="A414" t="inlineStr">
        <is>
          <t>CLM519220</t>
        </is>
      </c>
      <c r="B414" t="inlineStr">
        <is>
          <t>ENC119220</t>
        </is>
      </c>
      <c r="C414" t="inlineStr">
        <is>
          <t>PY07</t>
        </is>
      </c>
      <c r="D414" s="28" t="n">
        <v>45949</v>
      </c>
      <c r="E414" s="29" t="n">
        <v>280.92</v>
      </c>
      <c r="F414" s="29" t="n">
        <v>54.28</v>
      </c>
      <c r="G414" t="inlineStr">
        <is>
          <t>Partially Paid</t>
        </is>
      </c>
    </row>
    <row r="415">
      <c r="A415" t="inlineStr">
        <is>
          <t>CLM519266</t>
        </is>
      </c>
      <c r="B415" t="inlineStr">
        <is>
          <t>ENC119266</t>
        </is>
      </c>
      <c r="C415" t="inlineStr">
        <is>
          <t>PY01</t>
        </is>
      </c>
      <c r="D415" s="28" t="n">
        <v>45949</v>
      </c>
      <c r="E415" s="29" t="n">
        <v>353.81</v>
      </c>
      <c r="F415" s="29" t="n">
        <v>99.87</v>
      </c>
      <c r="G415" t="inlineStr">
        <is>
          <t>Paid</t>
        </is>
      </c>
    </row>
    <row r="416">
      <c r="A416" t="inlineStr">
        <is>
          <t>CLM519287</t>
        </is>
      </c>
      <c r="B416" t="inlineStr">
        <is>
          <t>ENC119287</t>
        </is>
      </c>
      <c r="C416" t="inlineStr">
        <is>
          <t>PY04</t>
        </is>
      </c>
      <c r="D416" s="28" t="n">
        <v>45948</v>
      </c>
      <c r="E416" s="29" t="n">
        <v>11908.97</v>
      </c>
      <c r="F416" s="29" t="n">
        <v>5259.44</v>
      </c>
      <c r="G416" t="inlineStr">
        <is>
          <t>Paid</t>
        </is>
      </c>
    </row>
    <row r="417">
      <c r="A417" t="inlineStr">
        <is>
          <t>CLM519288</t>
        </is>
      </c>
      <c r="B417" t="inlineStr">
        <is>
          <t>ENC119288</t>
        </is>
      </c>
      <c r="C417" t="inlineStr">
        <is>
          <t>PY03</t>
        </is>
      </c>
      <c r="D417" s="28" t="n">
        <v>45951</v>
      </c>
      <c r="E417" s="29" t="n">
        <v>2937.69</v>
      </c>
      <c r="F417" s="29" t="n">
        <v>753.01</v>
      </c>
      <c r="G417" t="inlineStr">
        <is>
          <t>Paid</t>
        </is>
      </c>
    </row>
    <row r="418">
      <c r="A418" t="inlineStr">
        <is>
          <t>CLM519337</t>
        </is>
      </c>
      <c r="B418" t="inlineStr">
        <is>
          <t>ENC119337</t>
        </is>
      </c>
      <c r="C418" t="inlineStr">
        <is>
          <t>PY01</t>
        </is>
      </c>
      <c r="D418" s="28" t="n">
        <v>45964</v>
      </c>
      <c r="E418" s="29" t="n">
        <v>34455.09</v>
      </c>
      <c r="F418" s="29" t="n">
        <v>9553.49</v>
      </c>
      <c r="G418" t="inlineStr">
        <is>
          <t>Paid</t>
        </is>
      </c>
    </row>
    <row r="419">
      <c r="A419" t="inlineStr">
        <is>
          <t>CLM519354</t>
        </is>
      </c>
      <c r="B419" t="inlineStr">
        <is>
          <t>ENC119354</t>
        </is>
      </c>
      <c r="C419" t="inlineStr">
        <is>
          <t>PY05</t>
        </is>
      </c>
      <c r="D419" s="28" t="n">
        <v>45954</v>
      </c>
      <c r="E419" s="29" t="n">
        <v>3494.09</v>
      </c>
      <c r="F419" s="29" t="n">
        <v>0</v>
      </c>
      <c r="G419" t="inlineStr">
        <is>
          <t>Denied</t>
        </is>
      </c>
      <c r="H419" t="inlineStr">
        <is>
          <t>Eligibility / Coverage</t>
        </is>
      </c>
    </row>
    <row r="420">
      <c r="A420" t="inlineStr">
        <is>
          <t>CLM519358</t>
        </is>
      </c>
      <c r="B420" t="inlineStr">
        <is>
          <t>ENC119358</t>
        </is>
      </c>
      <c r="C420" t="inlineStr">
        <is>
          <t>PY05</t>
        </is>
      </c>
      <c r="D420" s="28" t="n">
        <v>45949</v>
      </c>
      <c r="E420" s="29" t="n">
        <v>288.94</v>
      </c>
      <c r="F420" s="29" t="n">
        <v>110.64</v>
      </c>
      <c r="G420" t="inlineStr">
        <is>
          <t>Paid</t>
        </is>
      </c>
    </row>
    <row r="421">
      <c r="A421" t="inlineStr">
        <is>
          <t>CLM519380</t>
        </is>
      </c>
      <c r="B421" t="inlineStr">
        <is>
          <t>ENC119380</t>
        </is>
      </c>
      <c r="C421" t="inlineStr">
        <is>
          <t>PY01</t>
        </is>
      </c>
      <c r="D421" s="28" t="n">
        <v>45961</v>
      </c>
      <c r="E421" s="29" t="n">
        <v>35744.88</v>
      </c>
      <c r="F421" s="29" t="n">
        <v>0</v>
      </c>
      <c r="G421" t="inlineStr">
        <is>
          <t>Denied</t>
        </is>
      </c>
      <c r="H421" t="inlineStr">
        <is>
          <t>Authorization Required</t>
        </is>
      </c>
    </row>
    <row r="422">
      <c r="A422" t="inlineStr">
        <is>
          <t>CLM519417</t>
        </is>
      </c>
      <c r="B422" t="inlineStr">
        <is>
          <t>ENC119417</t>
        </is>
      </c>
      <c r="C422" t="inlineStr">
        <is>
          <t>PY06</t>
        </is>
      </c>
      <c r="D422" s="28" t="n">
        <v>45952</v>
      </c>
      <c r="E422" s="29" t="n">
        <v>718.23</v>
      </c>
      <c r="F422" s="29" t="n">
        <v>306.77</v>
      </c>
      <c r="G422" t="inlineStr">
        <is>
          <t>Paid</t>
        </is>
      </c>
    </row>
    <row r="423">
      <c r="A423" t="inlineStr">
        <is>
          <t>CLM519457</t>
        </is>
      </c>
      <c r="B423" t="inlineStr">
        <is>
          <t>ENC119457</t>
        </is>
      </c>
      <c r="C423" t="inlineStr">
        <is>
          <t>PY02</t>
        </is>
      </c>
      <c r="D423" s="28" t="n">
        <v>45953</v>
      </c>
      <c r="E423" s="29" t="n">
        <v>198.83</v>
      </c>
      <c r="F423" s="29" t="n">
        <v>59.23</v>
      </c>
      <c r="G423" t="inlineStr">
        <is>
          <t>Paid</t>
        </is>
      </c>
    </row>
    <row r="424">
      <c r="A424" t="inlineStr">
        <is>
          <t>CLM519496</t>
        </is>
      </c>
      <c r="B424" t="inlineStr">
        <is>
          <t>ENC119496</t>
        </is>
      </c>
      <c r="C424" t="inlineStr">
        <is>
          <t>PY01</t>
        </is>
      </c>
      <c r="D424" s="28" t="n">
        <v>45958</v>
      </c>
      <c r="E424" s="29" t="n">
        <v>321.07</v>
      </c>
      <c r="F424" s="29" t="n">
        <v>87.01000000000001</v>
      </c>
      <c r="G424" t="inlineStr">
        <is>
          <t>Paid</t>
        </is>
      </c>
    </row>
    <row r="425">
      <c r="A425" t="inlineStr">
        <is>
          <t>CLM519515</t>
        </is>
      </c>
      <c r="B425" t="inlineStr">
        <is>
          <t>ENC119515</t>
        </is>
      </c>
      <c r="C425" t="inlineStr">
        <is>
          <t>PY06</t>
        </is>
      </c>
      <c r="D425" s="28" t="n">
        <v>45956</v>
      </c>
      <c r="E425" s="29" t="n">
        <v>3426.69</v>
      </c>
      <c r="F425" s="29" t="n">
        <v>849.26</v>
      </c>
      <c r="G425" t="inlineStr">
        <is>
          <t>Partially Paid</t>
        </is>
      </c>
      <c r="H425" t="inlineStr">
        <is>
          <t>Coding Error</t>
        </is>
      </c>
    </row>
    <row r="426">
      <c r="A426" t="inlineStr">
        <is>
          <t>CLM519517</t>
        </is>
      </c>
      <c r="B426" t="inlineStr">
        <is>
          <t>ENC119517</t>
        </is>
      </c>
      <c r="C426" t="inlineStr">
        <is>
          <t>PY06</t>
        </is>
      </c>
      <c r="D426" s="28" t="n">
        <v>46068</v>
      </c>
      <c r="E426" s="29" t="n">
        <v>3491.35</v>
      </c>
      <c r="F426" s="29" t="n">
        <v>0</v>
      </c>
      <c r="G426" t="inlineStr">
        <is>
          <t>Denied</t>
        </is>
      </c>
      <c r="H426" t="inlineStr">
        <is>
          <t>Timely Filing</t>
        </is>
      </c>
    </row>
    <row r="427">
      <c r="A427" t="inlineStr">
        <is>
          <t>CLM519539</t>
        </is>
      </c>
      <c r="B427" t="inlineStr">
        <is>
          <t>ENC119539</t>
        </is>
      </c>
      <c r="C427" t="inlineStr">
        <is>
          <t>PY05</t>
        </is>
      </c>
      <c r="D427" s="28" t="n">
        <v>45958</v>
      </c>
      <c r="E427" s="29" t="n">
        <v>10890.91</v>
      </c>
      <c r="F427" s="29" t="n">
        <v>5442.19</v>
      </c>
      <c r="G427" t="inlineStr">
        <is>
          <t>Paid</t>
        </is>
      </c>
    </row>
    <row r="428">
      <c r="A428" t="inlineStr">
        <is>
          <t>CLM519563</t>
        </is>
      </c>
      <c r="B428" t="inlineStr">
        <is>
          <t>ENC119563</t>
        </is>
      </c>
      <c r="C428" t="inlineStr">
        <is>
          <t>PY04</t>
        </is>
      </c>
      <c r="D428" s="28" t="n">
        <v>45965</v>
      </c>
      <c r="E428" s="29" t="n">
        <v>217.06</v>
      </c>
      <c r="F428" s="29" t="n">
        <v>95.05</v>
      </c>
      <c r="G428" t="inlineStr">
        <is>
          <t>Paid</t>
        </is>
      </c>
    </row>
    <row r="429">
      <c r="A429" t="inlineStr">
        <is>
          <t>CLM519625</t>
        </is>
      </c>
      <c r="B429" t="inlineStr">
        <is>
          <t>ENC119625</t>
        </is>
      </c>
      <c r="C429" t="inlineStr">
        <is>
          <t>PY03</t>
        </is>
      </c>
      <c r="D429" s="28" t="n">
        <v>45962</v>
      </c>
      <c r="E429" s="29" t="n">
        <v>6325.16</v>
      </c>
      <c r="F429" s="29" t="n">
        <v>1468.36</v>
      </c>
      <c r="G429" t="inlineStr">
        <is>
          <t>Paid</t>
        </is>
      </c>
    </row>
    <row r="430">
      <c r="A430" t="inlineStr">
        <is>
          <t>CLM519628</t>
        </is>
      </c>
      <c r="B430" t="inlineStr">
        <is>
          <t>ENC119628</t>
        </is>
      </c>
      <c r="C430" t="inlineStr">
        <is>
          <t>PY03</t>
        </is>
      </c>
      <c r="D430" s="28" t="n">
        <v>45970</v>
      </c>
      <c r="E430" s="29" t="n">
        <v>80936.42</v>
      </c>
      <c r="F430" s="29" t="n">
        <v>21534.56</v>
      </c>
      <c r="G430" t="inlineStr">
        <is>
          <t>Paid</t>
        </is>
      </c>
    </row>
    <row r="431">
      <c r="A431" t="inlineStr">
        <is>
          <t>CLM519638</t>
        </is>
      </c>
      <c r="B431" t="inlineStr">
        <is>
          <t>ENC119638</t>
        </is>
      </c>
      <c r="C431" t="inlineStr">
        <is>
          <t>PY01</t>
        </is>
      </c>
      <c r="D431" s="28" t="n">
        <v>45960</v>
      </c>
      <c r="E431" s="29" t="n">
        <v>1125.5</v>
      </c>
      <c r="F431" s="29" t="n">
        <v>332.6</v>
      </c>
      <c r="G431" t="inlineStr">
        <is>
          <t>Paid</t>
        </is>
      </c>
    </row>
    <row r="432">
      <c r="A432" t="inlineStr">
        <is>
          <t>CLM519639</t>
        </is>
      </c>
      <c r="B432" t="inlineStr">
        <is>
          <t>ENC119639</t>
        </is>
      </c>
      <c r="C432" t="inlineStr">
        <is>
          <t>PY07</t>
        </is>
      </c>
      <c r="D432" s="28" t="n">
        <v>45964</v>
      </c>
      <c r="E432" s="29" t="n">
        <v>345.34</v>
      </c>
      <c r="F432" s="29" t="n">
        <v>0</v>
      </c>
      <c r="G432" t="inlineStr">
        <is>
          <t>Pending</t>
        </is>
      </c>
    </row>
    <row r="433">
      <c r="A433" t="inlineStr">
        <is>
          <t>CLM519664</t>
        </is>
      </c>
      <c r="B433" t="inlineStr">
        <is>
          <t>ENC119664</t>
        </is>
      </c>
      <c r="C433" t="inlineStr">
        <is>
          <t>PY04</t>
        </is>
      </c>
      <c r="D433" s="28" t="n">
        <v>45960</v>
      </c>
      <c r="E433" s="29" t="n">
        <v>216.18</v>
      </c>
      <c r="F433" s="29" t="n">
        <v>109.12</v>
      </c>
      <c r="G433" t="inlineStr">
        <is>
          <t>Paid</t>
        </is>
      </c>
    </row>
    <row r="434">
      <c r="A434" t="inlineStr">
        <is>
          <t>CLM519670</t>
        </is>
      </c>
      <c r="B434" t="inlineStr">
        <is>
          <t>ENC119670</t>
        </is>
      </c>
      <c r="C434" t="inlineStr">
        <is>
          <t>PY01</t>
        </is>
      </c>
      <c r="D434" s="28" t="n">
        <v>45962</v>
      </c>
      <c r="E434" s="29" t="n">
        <v>188.52</v>
      </c>
      <c r="F434" s="29" t="n">
        <v>51.56</v>
      </c>
      <c r="G434" t="inlineStr">
        <is>
          <t>Paid</t>
        </is>
      </c>
    </row>
    <row r="435">
      <c r="A435" t="inlineStr">
        <is>
          <t>CLM519707</t>
        </is>
      </c>
      <c r="B435" t="inlineStr">
        <is>
          <t>ENC119707</t>
        </is>
      </c>
      <c r="C435" t="inlineStr">
        <is>
          <t>PY03</t>
        </is>
      </c>
      <c r="D435" s="28" t="n">
        <v>45966</v>
      </c>
      <c r="E435" s="29" t="n">
        <v>354.81</v>
      </c>
      <c r="F435" s="29" t="n">
        <v>92.70999999999999</v>
      </c>
      <c r="G435" t="inlineStr">
        <is>
          <t>Paid</t>
        </is>
      </c>
    </row>
    <row r="436">
      <c r="A436" t="inlineStr">
        <is>
          <t>CLM519716</t>
        </is>
      </c>
      <c r="B436" t="inlineStr">
        <is>
          <t>ENC119716</t>
        </is>
      </c>
      <c r="C436" t="inlineStr">
        <is>
          <t>PY06</t>
        </is>
      </c>
      <c r="D436" s="28" t="n">
        <v>45965</v>
      </c>
      <c r="E436" s="29" t="n">
        <v>8106.88</v>
      </c>
      <c r="F436" s="29" t="n">
        <v>4222.72</v>
      </c>
      <c r="G436" t="inlineStr">
        <is>
          <t>Paid</t>
        </is>
      </c>
    </row>
    <row r="437">
      <c r="A437" t="inlineStr">
        <is>
          <t>CLM519720</t>
        </is>
      </c>
      <c r="B437" t="inlineStr">
        <is>
          <t>ENC119720</t>
        </is>
      </c>
      <c r="C437" t="inlineStr">
        <is>
          <t>PY03</t>
        </is>
      </c>
      <c r="D437" s="28" t="n">
        <v>45963</v>
      </c>
      <c r="E437" s="29" t="n">
        <v>10105.65</v>
      </c>
      <c r="F437" s="29" t="n">
        <v>2431.52</v>
      </c>
      <c r="G437" t="inlineStr">
        <is>
          <t>Paid</t>
        </is>
      </c>
    </row>
    <row r="438">
      <c r="A438" t="inlineStr">
        <is>
          <t>CLM519729</t>
        </is>
      </c>
      <c r="B438" t="inlineStr">
        <is>
          <t>ENC119729</t>
        </is>
      </c>
      <c r="C438" t="inlineStr">
        <is>
          <t>PY03</t>
        </is>
      </c>
      <c r="D438" s="28" t="n">
        <v>45969</v>
      </c>
      <c r="E438" s="29" t="n">
        <v>16541.44</v>
      </c>
      <c r="F438" s="29" t="n">
        <v>4007.97</v>
      </c>
      <c r="G438" t="inlineStr">
        <is>
          <t>Paid</t>
        </is>
      </c>
    </row>
    <row r="439">
      <c r="A439" t="inlineStr">
        <is>
          <t>CLM519737</t>
        </is>
      </c>
      <c r="B439" t="inlineStr">
        <is>
          <t>ENC119737</t>
        </is>
      </c>
      <c r="C439" t="inlineStr">
        <is>
          <t>PY06</t>
        </is>
      </c>
      <c r="D439" s="28" t="n">
        <v>45970</v>
      </c>
      <c r="E439" s="29" t="n">
        <v>430.51</v>
      </c>
      <c r="F439" s="29" t="n">
        <v>0</v>
      </c>
      <c r="G439" t="inlineStr">
        <is>
          <t>Denied</t>
        </is>
      </c>
      <c r="H439" t="inlineStr">
        <is>
          <t>Coding Error</t>
        </is>
      </c>
    </row>
    <row r="440">
      <c r="A440" t="inlineStr">
        <is>
          <t>CLM519799</t>
        </is>
      </c>
      <c r="B440" t="inlineStr">
        <is>
          <t>ENC119799</t>
        </is>
      </c>
      <c r="C440" t="inlineStr">
        <is>
          <t>PY01</t>
        </is>
      </c>
      <c r="D440" s="28" t="n">
        <v>45967</v>
      </c>
      <c r="E440" s="29" t="n">
        <v>2913.35</v>
      </c>
      <c r="F440" s="29" t="n">
        <v>798.02</v>
      </c>
      <c r="G440" t="inlineStr">
        <is>
          <t>Paid</t>
        </is>
      </c>
    </row>
    <row r="441">
      <c r="A441" t="inlineStr">
        <is>
          <t>CLM519809</t>
        </is>
      </c>
      <c r="B441" t="inlineStr">
        <is>
          <t>ENC119809</t>
        </is>
      </c>
      <c r="C441" t="inlineStr">
        <is>
          <t>PY04</t>
        </is>
      </c>
      <c r="D441" s="28" t="n">
        <v>45970</v>
      </c>
      <c r="E441" s="29" t="n">
        <v>7066.93</v>
      </c>
      <c r="F441" s="29" t="n">
        <v>3771.56</v>
      </c>
      <c r="G441" t="inlineStr">
        <is>
          <t>Paid</t>
        </is>
      </c>
    </row>
    <row r="442">
      <c r="A442" t="inlineStr">
        <is>
          <t>CLM519816</t>
        </is>
      </c>
      <c r="B442" t="inlineStr">
        <is>
          <t>ENC119816</t>
        </is>
      </c>
      <c r="C442" t="inlineStr">
        <is>
          <t>PY01</t>
        </is>
      </c>
      <c r="D442" s="28" t="n">
        <v>45963</v>
      </c>
      <c r="E442" s="29" t="n">
        <v>1900.4</v>
      </c>
      <c r="F442" s="29" t="n">
        <v>513.39</v>
      </c>
      <c r="G442" t="inlineStr">
        <is>
          <t>Paid</t>
        </is>
      </c>
    </row>
    <row r="443">
      <c r="A443" t="inlineStr">
        <is>
          <t>CLM519820</t>
        </is>
      </c>
      <c r="B443" t="inlineStr">
        <is>
          <t>ENC119820</t>
        </is>
      </c>
      <c r="C443" t="inlineStr">
        <is>
          <t>PY04</t>
        </is>
      </c>
      <c r="D443" s="28" t="n">
        <v>45976</v>
      </c>
      <c r="E443" s="29" t="n">
        <v>940.8099999999999</v>
      </c>
      <c r="F443" s="29" t="n">
        <v>451.55</v>
      </c>
      <c r="G443" t="inlineStr">
        <is>
          <t>Paid</t>
        </is>
      </c>
    </row>
    <row r="444">
      <c r="A444" t="inlineStr">
        <is>
          <t>CLM519832</t>
        </is>
      </c>
      <c r="B444" t="inlineStr">
        <is>
          <t>ENC119832</t>
        </is>
      </c>
      <c r="C444" t="inlineStr">
        <is>
          <t>PY03</t>
        </is>
      </c>
      <c r="D444" s="28" t="n">
        <v>45970</v>
      </c>
      <c r="E444" s="29" t="n">
        <v>6315.51</v>
      </c>
      <c r="F444" s="29" t="n">
        <v>1683.57</v>
      </c>
      <c r="G444" t="inlineStr">
        <is>
          <t>Paid</t>
        </is>
      </c>
    </row>
    <row r="445">
      <c r="A445" t="inlineStr">
        <is>
          <t>CLM519868</t>
        </is>
      </c>
      <c r="B445" t="inlineStr">
        <is>
          <t>ENC119868</t>
        </is>
      </c>
      <c r="C445" t="inlineStr">
        <is>
          <t>PY03</t>
        </is>
      </c>
      <c r="D445" s="28" t="n">
        <v>45972</v>
      </c>
      <c r="E445" s="29" t="n">
        <v>5203.02</v>
      </c>
      <c r="F445" s="29" t="n">
        <v>1169.2</v>
      </c>
      <c r="G445" t="inlineStr">
        <is>
          <t>Paid</t>
        </is>
      </c>
    </row>
    <row r="446">
      <c r="A446" t="inlineStr">
        <is>
          <t>CLM519887</t>
        </is>
      </c>
      <c r="B446" t="inlineStr">
        <is>
          <t>ENC119887</t>
        </is>
      </c>
      <c r="C446" t="inlineStr">
        <is>
          <t>PY03</t>
        </is>
      </c>
      <c r="D446" s="28" t="n">
        <v>45967</v>
      </c>
      <c r="E446" s="29" t="n">
        <v>276.06</v>
      </c>
      <c r="F446" s="29" t="n">
        <v>62.26</v>
      </c>
      <c r="G446" t="inlineStr">
        <is>
          <t>Paid</t>
        </is>
      </c>
    </row>
    <row r="447">
      <c r="A447" t="inlineStr">
        <is>
          <t>CLM519888</t>
        </is>
      </c>
      <c r="B447" t="inlineStr">
        <is>
          <t>ENC119888</t>
        </is>
      </c>
      <c r="C447" t="inlineStr">
        <is>
          <t>PY03</t>
        </is>
      </c>
      <c r="D447" s="28" t="n">
        <v>45967</v>
      </c>
      <c r="E447" s="29" t="n">
        <v>299.8</v>
      </c>
      <c r="F447" s="29" t="n">
        <v>0</v>
      </c>
      <c r="G447" t="inlineStr">
        <is>
          <t>Denied</t>
        </is>
      </c>
      <c r="H447" t="inlineStr">
        <is>
          <t>Authorization Required</t>
        </is>
      </c>
    </row>
    <row r="448">
      <c r="A448" t="inlineStr">
        <is>
          <t>CLM519890</t>
        </is>
      </c>
      <c r="B448" t="inlineStr">
        <is>
          <t>ENC119890</t>
        </is>
      </c>
      <c r="C448" t="inlineStr">
        <is>
          <t>PY01</t>
        </is>
      </c>
      <c r="D448" s="28" t="n">
        <v>45967</v>
      </c>
      <c r="E448" s="29" t="n">
        <v>3992.48</v>
      </c>
      <c r="F448" s="29" t="n">
        <v>1137.68</v>
      </c>
      <c r="G448" t="inlineStr">
        <is>
          <t>Paid</t>
        </is>
      </c>
    </row>
    <row r="449">
      <c r="A449" t="inlineStr">
        <is>
          <t>CLM519935</t>
        </is>
      </c>
      <c r="B449" t="inlineStr">
        <is>
          <t>ENC119935</t>
        </is>
      </c>
      <c r="C449" t="inlineStr">
        <is>
          <t>PY03</t>
        </is>
      </c>
      <c r="D449" s="28" t="n">
        <v>45973</v>
      </c>
      <c r="E449" s="29" t="n">
        <v>18401.93</v>
      </c>
      <c r="F449" s="29" t="n">
        <v>4254.9</v>
      </c>
      <c r="G449" t="inlineStr">
        <is>
          <t>Paid</t>
        </is>
      </c>
    </row>
    <row r="450">
      <c r="A450" t="inlineStr">
        <is>
          <t>CLM520015</t>
        </is>
      </c>
      <c r="B450" t="inlineStr">
        <is>
          <t>ENC120015</t>
        </is>
      </c>
      <c r="C450" t="inlineStr">
        <is>
          <t>PY03</t>
        </is>
      </c>
      <c r="D450" s="28" t="n">
        <v>45977</v>
      </c>
      <c r="E450" s="29" t="n">
        <v>8966.530000000001</v>
      </c>
      <c r="F450" s="29" t="n">
        <v>2153.77</v>
      </c>
      <c r="G450" t="inlineStr">
        <is>
          <t>Paid</t>
        </is>
      </c>
    </row>
    <row r="451">
      <c r="A451" t="inlineStr">
        <is>
          <t>CLM520025</t>
        </is>
      </c>
      <c r="B451" t="inlineStr">
        <is>
          <t>ENC120025</t>
        </is>
      </c>
      <c r="C451" t="inlineStr">
        <is>
          <t>PY02</t>
        </is>
      </c>
      <c r="D451" s="28" t="n">
        <v>45974</v>
      </c>
      <c r="E451" s="29" t="n">
        <v>6592.55</v>
      </c>
      <c r="F451" s="29" t="n">
        <v>2233.11</v>
      </c>
      <c r="G451" t="inlineStr">
        <is>
          <t>Paid</t>
        </is>
      </c>
    </row>
    <row r="452">
      <c r="A452" t="inlineStr">
        <is>
          <t>CLM520028</t>
        </is>
      </c>
      <c r="B452" t="inlineStr">
        <is>
          <t>ENC120028</t>
        </is>
      </c>
      <c r="C452" t="inlineStr">
        <is>
          <t>PY04</t>
        </is>
      </c>
      <c r="D452" s="28" t="n">
        <v>45975</v>
      </c>
      <c r="E452" s="29" t="n">
        <v>17604.41</v>
      </c>
      <c r="F452" s="29" t="n">
        <v>7656.14</v>
      </c>
      <c r="G452" t="inlineStr">
        <is>
          <t>Paid</t>
        </is>
      </c>
    </row>
    <row r="453">
      <c r="A453" t="inlineStr">
        <is>
          <t>CLM520034</t>
        </is>
      </c>
      <c r="B453" t="inlineStr">
        <is>
          <t>ENC120034</t>
        </is>
      </c>
      <c r="C453" t="inlineStr">
        <is>
          <t>PY01</t>
        </is>
      </c>
      <c r="D453" s="28" t="n">
        <v>45976</v>
      </c>
      <c r="E453" s="29" t="n">
        <v>27643.14</v>
      </c>
      <c r="F453" s="29" t="n">
        <v>0</v>
      </c>
      <c r="G453" t="inlineStr">
        <is>
          <t>Denied</t>
        </is>
      </c>
      <c r="H453" t="inlineStr">
        <is>
          <t>Coding Error</t>
        </is>
      </c>
    </row>
    <row r="454">
      <c r="A454" t="inlineStr">
        <is>
          <t>CLM520093</t>
        </is>
      </c>
      <c r="B454" t="inlineStr">
        <is>
          <t>ENC120093</t>
        </is>
      </c>
      <c r="C454" t="inlineStr">
        <is>
          <t>PY01</t>
        </is>
      </c>
      <c r="D454" s="28" t="n">
        <v>45974</v>
      </c>
      <c r="E454" s="29" t="n">
        <v>2721.2</v>
      </c>
      <c r="F454" s="29" t="n">
        <v>275.27</v>
      </c>
      <c r="G454" t="inlineStr">
        <is>
          <t>Partially Paid</t>
        </is>
      </c>
      <c r="H454" t="inlineStr">
        <is>
          <t>Medical Necessity</t>
        </is>
      </c>
    </row>
    <row r="455">
      <c r="A455" t="inlineStr">
        <is>
          <t>CLM520103</t>
        </is>
      </c>
      <c r="B455" t="inlineStr">
        <is>
          <t>ENC120103</t>
        </is>
      </c>
      <c r="C455" t="inlineStr">
        <is>
          <t>PY01</t>
        </is>
      </c>
      <c r="D455" s="28" t="n">
        <v>45977</v>
      </c>
      <c r="E455" s="29" t="n">
        <v>49661.81</v>
      </c>
      <c r="F455" s="29" t="n">
        <v>14954.17</v>
      </c>
      <c r="G455" t="inlineStr">
        <is>
          <t>Paid</t>
        </is>
      </c>
    </row>
    <row r="456">
      <c r="A456" t="inlineStr">
        <is>
          <t>CLM520125</t>
        </is>
      </c>
      <c r="B456" t="inlineStr">
        <is>
          <t>ENC120125</t>
        </is>
      </c>
      <c r="C456" t="inlineStr">
        <is>
          <t>PY01</t>
        </is>
      </c>
      <c r="D456" s="28" t="n">
        <v>45976</v>
      </c>
      <c r="E456" s="29" t="n">
        <v>313.42</v>
      </c>
      <c r="F456" s="29" t="n">
        <v>81.04000000000001</v>
      </c>
      <c r="G456" t="inlineStr">
        <is>
          <t>Paid</t>
        </is>
      </c>
    </row>
    <row r="457">
      <c r="A457" t="inlineStr">
        <is>
          <t>CLM520157</t>
        </is>
      </c>
      <c r="B457" t="inlineStr">
        <is>
          <t>ENC120157</t>
        </is>
      </c>
      <c r="C457" t="inlineStr">
        <is>
          <t>PY02</t>
        </is>
      </c>
      <c r="D457" s="28" t="n">
        <v>45976</v>
      </c>
      <c r="E457" s="29" t="n">
        <v>3415.44</v>
      </c>
      <c r="F457" s="29" t="n">
        <v>801.4</v>
      </c>
      <c r="G457" t="inlineStr">
        <is>
          <t>Partially Paid</t>
        </is>
      </c>
      <c r="H457" t="inlineStr">
        <is>
          <t>Coding Error</t>
        </is>
      </c>
    </row>
    <row r="458">
      <c r="A458" t="inlineStr">
        <is>
          <t>CLM520178</t>
        </is>
      </c>
      <c r="B458" t="inlineStr">
        <is>
          <t>ENC120178</t>
        </is>
      </c>
      <c r="C458" t="inlineStr">
        <is>
          <t>PY07</t>
        </is>
      </c>
      <c r="D458" s="28" t="n">
        <v>45978</v>
      </c>
      <c r="E458" s="29" t="n">
        <v>2927.26</v>
      </c>
      <c r="F458" s="29" t="n">
        <v>252.22</v>
      </c>
      <c r="G458" t="inlineStr">
        <is>
          <t>Partially Paid</t>
        </is>
      </c>
    </row>
    <row r="459">
      <c r="A459" t="inlineStr">
        <is>
          <t>CLM520199</t>
        </is>
      </c>
      <c r="B459" t="inlineStr">
        <is>
          <t>ENC120199</t>
        </is>
      </c>
      <c r="C459" t="inlineStr">
        <is>
          <t>PY01</t>
        </is>
      </c>
      <c r="D459" s="28" t="n">
        <v>45978</v>
      </c>
      <c r="E459" s="29" t="n">
        <v>14711.28</v>
      </c>
      <c r="F459" s="29" t="n">
        <v>4007.67</v>
      </c>
      <c r="G459" t="inlineStr">
        <is>
          <t>Paid</t>
        </is>
      </c>
    </row>
    <row r="460">
      <c r="A460" t="inlineStr">
        <is>
          <t>CLM520207</t>
        </is>
      </c>
      <c r="B460" t="inlineStr">
        <is>
          <t>ENC120207</t>
        </is>
      </c>
      <c r="C460" t="inlineStr">
        <is>
          <t>PY03</t>
        </is>
      </c>
      <c r="D460" s="28" t="n">
        <v>45982</v>
      </c>
      <c r="E460" s="29" t="n">
        <v>20174.44</v>
      </c>
      <c r="F460" s="29" t="n">
        <v>0</v>
      </c>
      <c r="G460" t="inlineStr">
        <is>
          <t>Pending</t>
        </is>
      </c>
    </row>
    <row r="461">
      <c r="A461" t="inlineStr">
        <is>
          <t>CLM520258</t>
        </is>
      </c>
      <c r="B461" t="inlineStr">
        <is>
          <t>ENC120258</t>
        </is>
      </c>
      <c r="C461" t="inlineStr">
        <is>
          <t>PY03</t>
        </is>
      </c>
      <c r="D461" s="28" t="n">
        <v>45985</v>
      </c>
      <c r="E461" s="29" t="n">
        <v>2556.57</v>
      </c>
      <c r="F461" s="29" t="n">
        <v>0</v>
      </c>
      <c r="G461" t="inlineStr">
        <is>
          <t>Denied</t>
        </is>
      </c>
      <c r="H461" t="inlineStr">
        <is>
          <t>Coding Error</t>
        </is>
      </c>
    </row>
    <row r="462">
      <c r="A462" t="inlineStr">
        <is>
          <t>CLM520269</t>
        </is>
      </c>
      <c r="B462" t="inlineStr">
        <is>
          <t>ENC120269</t>
        </is>
      </c>
      <c r="C462" t="inlineStr">
        <is>
          <t>PY05</t>
        </is>
      </c>
      <c r="D462" s="28" t="n">
        <v>45979</v>
      </c>
      <c r="E462" s="29" t="n">
        <v>2856.81</v>
      </c>
      <c r="F462" s="29" t="n">
        <v>1326.19</v>
      </c>
      <c r="G462" t="inlineStr">
        <is>
          <t>Paid</t>
        </is>
      </c>
    </row>
    <row r="463">
      <c r="A463" t="inlineStr">
        <is>
          <t>CLM520322</t>
        </is>
      </c>
      <c r="B463" t="inlineStr">
        <is>
          <t>ENC120322</t>
        </is>
      </c>
      <c r="C463" t="inlineStr">
        <is>
          <t>PY03</t>
        </is>
      </c>
      <c r="D463" s="28" t="n">
        <v>45989</v>
      </c>
      <c r="E463" s="29" t="n">
        <v>1196.22</v>
      </c>
      <c r="F463" s="29" t="n">
        <v>0</v>
      </c>
      <c r="G463" t="inlineStr">
        <is>
          <t>Pending</t>
        </is>
      </c>
    </row>
    <row r="464">
      <c r="A464" t="inlineStr">
        <is>
          <t>CLM520384</t>
        </is>
      </c>
      <c r="B464" t="inlineStr">
        <is>
          <t>ENC120384</t>
        </is>
      </c>
      <c r="C464" t="inlineStr">
        <is>
          <t>PY01</t>
        </is>
      </c>
      <c r="D464" s="28" t="n">
        <v>45983</v>
      </c>
      <c r="E464" s="29" t="n">
        <v>164.14</v>
      </c>
      <c r="F464" s="29" t="n">
        <v>40.94</v>
      </c>
      <c r="G464" t="inlineStr">
        <is>
          <t>Paid</t>
        </is>
      </c>
    </row>
    <row r="465">
      <c r="A465" t="inlineStr">
        <is>
          <t>CLM520404</t>
        </is>
      </c>
      <c r="B465" t="inlineStr">
        <is>
          <t>ENC120404</t>
        </is>
      </c>
      <c r="C465" t="inlineStr">
        <is>
          <t>PY05</t>
        </is>
      </c>
      <c r="D465" s="28" t="n">
        <v>45986</v>
      </c>
      <c r="E465" s="29" t="n">
        <v>3872.24</v>
      </c>
      <c r="F465" s="29" t="n">
        <v>0</v>
      </c>
      <c r="G465" t="inlineStr">
        <is>
          <t>Pending</t>
        </is>
      </c>
    </row>
    <row r="466">
      <c r="A466" t="inlineStr">
        <is>
          <t>CLM520418</t>
        </is>
      </c>
      <c r="B466" t="inlineStr">
        <is>
          <t>ENC120418</t>
        </is>
      </c>
      <c r="C466" t="inlineStr">
        <is>
          <t>PY07</t>
        </is>
      </c>
      <c r="D466" s="28" t="n">
        <v>45996</v>
      </c>
      <c r="E466" s="29" t="n">
        <v>37597.45</v>
      </c>
      <c r="F466" s="29" t="n">
        <v>0</v>
      </c>
      <c r="G466" t="inlineStr">
        <is>
          <t>Pending</t>
        </is>
      </c>
    </row>
    <row r="467">
      <c r="A467" t="inlineStr">
        <is>
          <t>CLM520421</t>
        </is>
      </c>
      <c r="B467" t="inlineStr">
        <is>
          <t>ENC120421</t>
        </is>
      </c>
      <c r="C467" t="inlineStr">
        <is>
          <t>PY02</t>
        </is>
      </c>
      <c r="D467" s="28" t="n">
        <v>45983</v>
      </c>
      <c r="E467" s="29" t="n">
        <v>3456.74</v>
      </c>
      <c r="F467" s="29" t="n">
        <v>712.54</v>
      </c>
      <c r="G467" t="inlineStr">
        <is>
          <t>Partially Paid</t>
        </is>
      </c>
      <c r="H467" t="inlineStr">
        <is>
          <t>Coding Error</t>
        </is>
      </c>
    </row>
    <row r="468">
      <c r="A468" t="inlineStr">
        <is>
          <t>CLM520444</t>
        </is>
      </c>
      <c r="B468" t="inlineStr">
        <is>
          <t>ENC120444</t>
        </is>
      </c>
      <c r="C468" t="inlineStr">
        <is>
          <t>PY02</t>
        </is>
      </c>
      <c r="D468" s="28" t="n">
        <v>45984</v>
      </c>
      <c r="E468" s="29" t="n">
        <v>2788.17</v>
      </c>
      <c r="F468" s="29" t="n">
        <v>813.3200000000001</v>
      </c>
      <c r="G468" t="inlineStr">
        <is>
          <t>Paid</t>
        </is>
      </c>
    </row>
    <row r="469">
      <c r="A469" t="inlineStr">
        <is>
          <t>CLM520530</t>
        </is>
      </c>
      <c r="B469" t="inlineStr">
        <is>
          <t>ENC120530</t>
        </is>
      </c>
      <c r="C469" t="inlineStr">
        <is>
          <t>PY02</t>
        </is>
      </c>
      <c r="D469" s="28" t="n">
        <v>45987</v>
      </c>
      <c r="E469" s="29" t="n">
        <v>255.57</v>
      </c>
      <c r="F469" s="29" t="n">
        <v>78.17</v>
      </c>
      <c r="G469" t="inlineStr">
        <is>
          <t>Paid</t>
        </is>
      </c>
    </row>
    <row r="470">
      <c r="A470" t="inlineStr">
        <is>
          <t>CLM520549</t>
        </is>
      </c>
      <c r="B470" t="inlineStr">
        <is>
          <t>ENC120549</t>
        </is>
      </c>
      <c r="C470" t="inlineStr">
        <is>
          <t>PY03</t>
        </is>
      </c>
      <c r="D470" s="28" t="n">
        <v>45990</v>
      </c>
      <c r="E470" s="29" t="n">
        <v>4485.58</v>
      </c>
      <c r="F470" s="29" t="n">
        <v>0</v>
      </c>
      <c r="G470" t="inlineStr">
        <is>
          <t>Pending</t>
        </is>
      </c>
    </row>
    <row r="471">
      <c r="A471" t="inlineStr">
        <is>
          <t>CLM520568</t>
        </is>
      </c>
      <c r="B471" t="inlineStr">
        <is>
          <t>ENC120568</t>
        </is>
      </c>
      <c r="C471" t="inlineStr">
        <is>
          <t>PY01</t>
        </is>
      </c>
      <c r="D471" s="28" t="n">
        <v>45991</v>
      </c>
      <c r="E471" s="29" t="n">
        <v>1774.35</v>
      </c>
      <c r="F471" s="29" t="n">
        <v>0</v>
      </c>
      <c r="G471" t="inlineStr">
        <is>
          <t>Denied</t>
        </is>
      </c>
      <c r="H471" t="inlineStr">
        <is>
          <t>Missing Documentation</t>
        </is>
      </c>
    </row>
    <row r="472">
      <c r="A472" t="inlineStr">
        <is>
          <t>CLM520572</t>
        </is>
      </c>
      <c r="B472" t="inlineStr">
        <is>
          <t>ENC120572</t>
        </is>
      </c>
      <c r="C472" t="inlineStr">
        <is>
          <t>PY01</t>
        </is>
      </c>
      <c r="D472" s="28" t="n">
        <v>45993</v>
      </c>
      <c r="E472" s="29" t="n">
        <v>3643.58</v>
      </c>
      <c r="F472" s="29" t="n">
        <v>980.3200000000001</v>
      </c>
      <c r="G472" t="inlineStr">
        <is>
          <t>Paid</t>
        </is>
      </c>
    </row>
    <row r="473">
      <c r="A473" t="inlineStr">
        <is>
          <t>CLM520599</t>
        </is>
      </c>
      <c r="B473" t="inlineStr">
        <is>
          <t>ENC120599</t>
        </is>
      </c>
      <c r="C473" t="inlineStr">
        <is>
          <t>PY03</t>
        </is>
      </c>
      <c r="D473" s="28" t="n">
        <v>45989</v>
      </c>
      <c r="E473" s="29" t="n">
        <v>194.08</v>
      </c>
      <c r="F473" s="29" t="n">
        <v>0</v>
      </c>
      <c r="G473" t="inlineStr">
        <is>
          <t>Pending</t>
        </is>
      </c>
    </row>
    <row r="474">
      <c r="A474" t="inlineStr">
        <is>
          <t>CLM520618</t>
        </is>
      </c>
      <c r="B474" t="inlineStr">
        <is>
          <t>ENC120618</t>
        </is>
      </c>
      <c r="C474" t="inlineStr">
        <is>
          <t>PY02</t>
        </is>
      </c>
      <c r="D474" s="28" t="n">
        <v>45994</v>
      </c>
      <c r="E474" s="29" t="n">
        <v>222.97</v>
      </c>
      <c r="F474" s="29" t="n">
        <v>0</v>
      </c>
      <c r="G474" t="inlineStr">
        <is>
          <t>Denied</t>
        </is>
      </c>
      <c r="H474" t="inlineStr">
        <is>
          <t>Authorization Required</t>
        </is>
      </c>
    </row>
    <row r="475">
      <c r="A475" t="inlineStr">
        <is>
          <t>CLM520625</t>
        </is>
      </c>
      <c r="B475" t="inlineStr">
        <is>
          <t>ENC120625</t>
        </is>
      </c>
      <c r="C475" t="inlineStr">
        <is>
          <t>PY03</t>
        </is>
      </c>
      <c r="D475" s="28" t="n">
        <v>45989</v>
      </c>
      <c r="E475" s="29" t="n">
        <v>573.12</v>
      </c>
      <c r="F475" s="29" t="n">
        <v>141.19</v>
      </c>
      <c r="G475" t="inlineStr">
        <is>
          <t>Paid</t>
        </is>
      </c>
    </row>
    <row r="476">
      <c r="A476" t="inlineStr">
        <is>
          <t>CLM520650</t>
        </is>
      </c>
      <c r="B476" t="inlineStr">
        <is>
          <t>ENC120650</t>
        </is>
      </c>
      <c r="C476" t="inlineStr">
        <is>
          <t>PY04</t>
        </is>
      </c>
      <c r="D476" s="28" t="n">
        <v>45994</v>
      </c>
      <c r="E476" s="29" t="n">
        <v>652.64</v>
      </c>
      <c r="F476" s="29" t="n">
        <v>312.02</v>
      </c>
      <c r="G476" t="inlineStr">
        <is>
          <t>Paid</t>
        </is>
      </c>
    </row>
    <row r="477">
      <c r="A477" t="inlineStr">
        <is>
          <t>CLM520710</t>
        </is>
      </c>
      <c r="B477" t="inlineStr">
        <is>
          <t>ENC120710</t>
        </is>
      </c>
      <c r="C477" t="inlineStr">
        <is>
          <t>PY03</t>
        </is>
      </c>
      <c r="D477" s="28" t="n">
        <v>45994</v>
      </c>
      <c r="E477" s="29" t="n">
        <v>1428.03</v>
      </c>
      <c r="F477" s="29" t="n">
        <v>0</v>
      </c>
      <c r="G477" t="inlineStr">
        <is>
          <t>Pending</t>
        </is>
      </c>
    </row>
    <row r="478">
      <c r="A478" t="inlineStr">
        <is>
          <t>CLM520743</t>
        </is>
      </c>
      <c r="B478" t="inlineStr">
        <is>
          <t>ENC120743</t>
        </is>
      </c>
      <c r="C478" t="inlineStr">
        <is>
          <t>PY04</t>
        </is>
      </c>
      <c r="D478" s="28" t="n">
        <v>45998</v>
      </c>
      <c r="E478" s="29" t="n">
        <v>234.34</v>
      </c>
      <c r="F478" s="29" t="n">
        <v>118.66</v>
      </c>
      <c r="G478" t="inlineStr">
        <is>
          <t>Paid</t>
        </is>
      </c>
    </row>
    <row r="479">
      <c r="A479" t="inlineStr">
        <is>
          <t>CLM520804</t>
        </is>
      </c>
      <c r="B479" t="inlineStr">
        <is>
          <t>ENC120804</t>
        </is>
      </c>
      <c r="C479" t="inlineStr">
        <is>
          <t>PY03</t>
        </is>
      </c>
      <c r="D479" s="28" t="n">
        <v>45998</v>
      </c>
      <c r="E479" s="29" t="n">
        <v>19391.83</v>
      </c>
      <c r="F479" s="29" t="n">
        <v>0</v>
      </c>
      <c r="G479" t="inlineStr">
        <is>
          <t>Pending</t>
        </is>
      </c>
    </row>
    <row r="480">
      <c r="A480" t="inlineStr">
        <is>
          <t>CLM520810</t>
        </is>
      </c>
      <c r="B480" t="inlineStr">
        <is>
          <t>ENC120810</t>
        </is>
      </c>
      <c r="C480" t="inlineStr">
        <is>
          <t>PY06</t>
        </is>
      </c>
      <c r="D480" s="28" t="n">
        <v>45995</v>
      </c>
      <c r="E480" s="29" t="n">
        <v>383.9</v>
      </c>
      <c r="F480" s="29" t="n">
        <v>187.6</v>
      </c>
      <c r="G480" t="inlineStr">
        <is>
          <t>Paid</t>
        </is>
      </c>
    </row>
    <row r="481">
      <c r="A481" t="inlineStr">
        <is>
          <t>CLM520876</t>
        </is>
      </c>
      <c r="B481" t="inlineStr">
        <is>
          <t>ENC120876</t>
        </is>
      </c>
      <c r="C481" t="inlineStr">
        <is>
          <t>PY04</t>
        </is>
      </c>
      <c r="D481" s="28" t="n">
        <v>45999</v>
      </c>
      <c r="E481" s="29" t="n">
        <v>266.22</v>
      </c>
      <c r="F481" s="29" t="n">
        <v>118.08</v>
      </c>
      <c r="G481" t="inlineStr">
        <is>
          <t>Paid</t>
        </is>
      </c>
    </row>
    <row r="482">
      <c r="A482" t="inlineStr">
        <is>
          <t>CLM520894</t>
        </is>
      </c>
      <c r="B482" t="inlineStr">
        <is>
          <t>ENC120894</t>
        </is>
      </c>
      <c r="C482" t="inlineStr">
        <is>
          <t>PY03</t>
        </is>
      </c>
      <c r="D482" s="28" t="n">
        <v>46000</v>
      </c>
      <c r="E482" s="29" t="n">
        <v>13764.34</v>
      </c>
      <c r="F482" s="29" t="n">
        <v>0</v>
      </c>
      <c r="G482" t="inlineStr">
        <is>
          <t>Pending</t>
        </is>
      </c>
    </row>
    <row r="483">
      <c r="A483" t="inlineStr">
        <is>
          <t>CLM520895</t>
        </is>
      </c>
      <c r="B483" t="inlineStr">
        <is>
          <t>ENC120895</t>
        </is>
      </c>
      <c r="C483" t="inlineStr">
        <is>
          <t>PY02</t>
        </is>
      </c>
      <c r="D483" s="28" t="n">
        <v>46001</v>
      </c>
      <c r="E483" s="29" t="n">
        <v>5595.17</v>
      </c>
      <c r="F483" s="29" t="n">
        <v>1468.77</v>
      </c>
      <c r="G483" t="inlineStr">
        <is>
          <t>Paid</t>
        </is>
      </c>
    </row>
    <row r="484">
      <c r="A484" t="inlineStr">
        <is>
          <t>CLM520917</t>
        </is>
      </c>
      <c r="B484" t="inlineStr">
        <is>
          <t>ENC120917</t>
        </is>
      </c>
      <c r="C484" t="inlineStr">
        <is>
          <t>PY07</t>
        </is>
      </c>
      <c r="D484" s="28" t="n">
        <v>45999</v>
      </c>
      <c r="E484" s="29" t="n">
        <v>440.52</v>
      </c>
      <c r="F484" s="29" t="n">
        <v>0</v>
      </c>
      <c r="G484" t="inlineStr">
        <is>
          <t>Pending</t>
        </is>
      </c>
    </row>
    <row r="485">
      <c r="A485" t="inlineStr">
        <is>
          <t>CLM520933</t>
        </is>
      </c>
      <c r="B485" t="inlineStr">
        <is>
          <t>ENC120933</t>
        </is>
      </c>
      <c r="C485" t="inlineStr">
        <is>
          <t>PY01</t>
        </is>
      </c>
      <c r="D485" s="28" t="n">
        <v>46002</v>
      </c>
      <c r="E485" s="29" t="n">
        <v>311.35</v>
      </c>
      <c r="F485" s="29" t="n">
        <v>99.19</v>
      </c>
      <c r="G485" t="inlineStr">
        <is>
          <t>Paid</t>
        </is>
      </c>
    </row>
    <row r="486">
      <c r="A486" t="inlineStr">
        <is>
          <t>CLM520988</t>
        </is>
      </c>
      <c r="B486" t="inlineStr">
        <is>
          <t>ENC120988</t>
        </is>
      </c>
      <c r="C486" t="inlineStr">
        <is>
          <t>PY04</t>
        </is>
      </c>
      <c r="D486" s="28" t="n">
        <v>46003</v>
      </c>
      <c r="E486" s="29" t="n">
        <v>8042.91</v>
      </c>
      <c r="F486" s="29" t="n">
        <v>0</v>
      </c>
      <c r="G486" t="inlineStr">
        <is>
          <t>Pending</t>
        </is>
      </c>
    </row>
    <row r="487">
      <c r="A487" t="inlineStr">
        <is>
          <t>CLM521043</t>
        </is>
      </c>
      <c r="B487" t="inlineStr">
        <is>
          <t>ENC121043</t>
        </is>
      </c>
      <c r="C487" t="inlineStr">
        <is>
          <t>PY03</t>
        </is>
      </c>
      <c r="D487" s="28" t="n">
        <v>46015</v>
      </c>
      <c r="E487" s="29" t="n">
        <v>65869.37</v>
      </c>
      <c r="F487" s="29" t="n">
        <v>0</v>
      </c>
      <c r="G487" t="inlineStr">
        <is>
          <t>Pending</t>
        </is>
      </c>
    </row>
    <row r="488">
      <c r="A488" t="inlineStr">
        <is>
          <t>CLM521054</t>
        </is>
      </c>
      <c r="B488" t="inlineStr">
        <is>
          <t>ENC121054</t>
        </is>
      </c>
      <c r="C488" t="inlineStr">
        <is>
          <t>PY03</t>
        </is>
      </c>
      <c r="D488" s="28" t="n">
        <v>46003</v>
      </c>
      <c r="E488" s="29" t="n">
        <v>292.33</v>
      </c>
      <c r="F488" s="29" t="n">
        <v>0</v>
      </c>
      <c r="G488" t="inlineStr">
        <is>
          <t>Pending</t>
        </is>
      </c>
    </row>
    <row r="489">
      <c r="A489" t="inlineStr">
        <is>
          <t>CLM521081</t>
        </is>
      </c>
      <c r="B489" t="inlineStr">
        <is>
          <t>ENC121081</t>
        </is>
      </c>
      <c r="C489" t="inlineStr">
        <is>
          <t>PY01</t>
        </is>
      </c>
      <c r="D489" s="28" t="n">
        <v>46008</v>
      </c>
      <c r="E489" s="29" t="n">
        <v>75860.47</v>
      </c>
      <c r="F489" s="29" t="n">
        <v>0</v>
      </c>
      <c r="G489" t="inlineStr">
        <is>
          <t>Pending</t>
        </is>
      </c>
    </row>
    <row r="490">
      <c r="A490" t="inlineStr">
        <is>
          <t>CLM521107</t>
        </is>
      </c>
      <c r="B490" t="inlineStr">
        <is>
          <t>ENC121107</t>
        </is>
      </c>
      <c r="C490" t="inlineStr">
        <is>
          <t>PY01</t>
        </is>
      </c>
      <c r="D490" s="28" t="n">
        <v>46002</v>
      </c>
      <c r="E490" s="29" t="n">
        <v>254.08</v>
      </c>
      <c r="F490" s="29" t="n">
        <v>0</v>
      </c>
      <c r="G490" t="inlineStr">
        <is>
          <t>Pending</t>
        </is>
      </c>
    </row>
    <row r="491">
      <c r="A491" t="inlineStr">
        <is>
          <t>CLM521156</t>
        </is>
      </c>
      <c r="B491" t="inlineStr">
        <is>
          <t>ENC121156</t>
        </is>
      </c>
      <c r="C491" t="inlineStr">
        <is>
          <t>PY03</t>
        </is>
      </c>
      <c r="D491" s="28" t="n">
        <v>46019</v>
      </c>
      <c r="E491" s="29" t="n">
        <v>9136.309999999999</v>
      </c>
      <c r="F491" s="29" t="n">
        <v>0</v>
      </c>
      <c r="G491" t="inlineStr">
        <is>
          <t>Pending</t>
        </is>
      </c>
    </row>
    <row r="492">
      <c r="A492" t="inlineStr">
        <is>
          <t>CLM521173</t>
        </is>
      </c>
      <c r="B492" t="inlineStr">
        <is>
          <t>ENC121173</t>
        </is>
      </c>
      <c r="C492" t="inlineStr">
        <is>
          <t>PY04</t>
        </is>
      </c>
      <c r="D492" s="28" t="n">
        <v>46005</v>
      </c>
      <c r="E492" s="29" t="n">
        <v>4112.16</v>
      </c>
      <c r="F492" s="29" t="n">
        <v>0</v>
      </c>
      <c r="G492" t="inlineStr">
        <is>
          <t>Denied</t>
        </is>
      </c>
      <c r="H492" t="inlineStr">
        <is>
          <t>Medical Necessity</t>
        </is>
      </c>
    </row>
    <row r="493">
      <c r="A493" t="inlineStr">
        <is>
          <t>CLM521180</t>
        </is>
      </c>
      <c r="B493" t="inlineStr">
        <is>
          <t>ENC121180</t>
        </is>
      </c>
      <c r="C493" t="inlineStr">
        <is>
          <t>PY02</t>
        </is>
      </c>
      <c r="D493" s="28" t="n">
        <v>46007</v>
      </c>
      <c r="E493" s="29" t="n">
        <v>350.78</v>
      </c>
      <c r="F493" s="29" t="n">
        <v>0</v>
      </c>
      <c r="G493" t="inlineStr">
        <is>
          <t>Pending</t>
        </is>
      </c>
    </row>
    <row r="494">
      <c r="A494" t="inlineStr">
        <is>
          <t>CLM521190</t>
        </is>
      </c>
      <c r="B494" t="inlineStr">
        <is>
          <t>ENC121190</t>
        </is>
      </c>
      <c r="C494" t="inlineStr">
        <is>
          <t>PY01</t>
        </is>
      </c>
      <c r="D494" s="28" t="n">
        <v>46007</v>
      </c>
      <c r="E494" s="29" t="n">
        <v>12983.44</v>
      </c>
      <c r="F494" s="29" t="n">
        <v>3405.76</v>
      </c>
      <c r="G494" t="inlineStr">
        <is>
          <t>Paid</t>
        </is>
      </c>
    </row>
    <row r="495">
      <c r="A495" t="inlineStr">
        <is>
          <t>CLM521195</t>
        </is>
      </c>
      <c r="B495" t="inlineStr">
        <is>
          <t>ENC121195</t>
        </is>
      </c>
      <c r="C495" t="inlineStr">
        <is>
          <t>PY04</t>
        </is>
      </c>
      <c r="D495" s="28" t="n">
        <v>46015</v>
      </c>
      <c r="E495" s="29" t="n">
        <v>29653.25</v>
      </c>
      <c r="F495" s="29" t="n">
        <v>0</v>
      </c>
      <c r="G495" t="inlineStr">
        <is>
          <t>Pending</t>
        </is>
      </c>
    </row>
    <row r="496">
      <c r="A496" t="inlineStr">
        <is>
          <t>CLM521223</t>
        </is>
      </c>
      <c r="B496" t="inlineStr">
        <is>
          <t>ENC121223</t>
        </is>
      </c>
      <c r="C496" t="inlineStr">
        <is>
          <t>PY02</t>
        </is>
      </c>
      <c r="D496" s="28" t="n">
        <v>46018</v>
      </c>
      <c r="E496" s="29" t="n">
        <v>32247.86</v>
      </c>
      <c r="F496" s="29" t="n">
        <v>0</v>
      </c>
      <c r="G496" t="inlineStr">
        <is>
          <t>Denied</t>
        </is>
      </c>
      <c r="H496" t="inlineStr">
        <is>
          <t>Authorization Required</t>
        </is>
      </c>
    </row>
    <row r="497">
      <c r="A497" t="inlineStr">
        <is>
          <t>CLM521262</t>
        </is>
      </c>
      <c r="B497" t="inlineStr">
        <is>
          <t>ENC121262</t>
        </is>
      </c>
      <c r="C497" t="inlineStr">
        <is>
          <t>PY01</t>
        </is>
      </c>
      <c r="D497" s="28" t="n">
        <v>46019</v>
      </c>
      <c r="E497" s="29" t="n">
        <v>805.12</v>
      </c>
      <c r="F497" s="29" t="n">
        <v>0</v>
      </c>
      <c r="G497" t="inlineStr">
        <is>
          <t>Pending</t>
        </is>
      </c>
    </row>
    <row r="498">
      <c r="A498" t="inlineStr">
        <is>
          <t>CLM521282</t>
        </is>
      </c>
      <c r="B498" t="inlineStr">
        <is>
          <t>ENC121282</t>
        </is>
      </c>
      <c r="C498" t="inlineStr">
        <is>
          <t>PY07</t>
        </is>
      </c>
      <c r="D498" s="28" t="n">
        <v>46015</v>
      </c>
      <c r="E498" s="29" t="n">
        <v>386.16</v>
      </c>
      <c r="F498" s="29" t="n">
        <v>0</v>
      </c>
      <c r="G498" t="inlineStr">
        <is>
          <t>Pending</t>
        </is>
      </c>
    </row>
    <row r="499">
      <c r="A499" t="inlineStr">
        <is>
          <t>CLM521284</t>
        </is>
      </c>
      <c r="B499" t="inlineStr">
        <is>
          <t>ENC121284</t>
        </is>
      </c>
      <c r="C499" t="inlineStr">
        <is>
          <t>PY01</t>
        </is>
      </c>
      <c r="D499" s="28" t="n">
        <v>46008</v>
      </c>
      <c r="E499" s="29" t="n">
        <v>331.76</v>
      </c>
      <c r="F499" s="29" t="n">
        <v>74.98</v>
      </c>
      <c r="G499" t="inlineStr">
        <is>
          <t>Partially Paid</t>
        </is>
      </c>
      <c r="H499" t="inlineStr">
        <is>
          <t>Missing Documentation</t>
        </is>
      </c>
    </row>
    <row r="500">
      <c r="A500" t="inlineStr">
        <is>
          <t>CLM521291</t>
        </is>
      </c>
      <c r="B500" t="inlineStr">
        <is>
          <t>ENC121291</t>
        </is>
      </c>
      <c r="C500" t="inlineStr">
        <is>
          <t>PY01</t>
        </is>
      </c>
      <c r="D500" s="28" t="n">
        <v>46009</v>
      </c>
      <c r="E500" s="29" t="n">
        <v>1765.4</v>
      </c>
      <c r="F500" s="29" t="n">
        <v>438.28</v>
      </c>
      <c r="G500" t="inlineStr">
        <is>
          <t>Paid</t>
        </is>
      </c>
    </row>
    <row r="501">
      <c r="A501" t="inlineStr">
        <is>
          <t>CLM521298</t>
        </is>
      </c>
      <c r="B501" t="inlineStr">
        <is>
          <t>ENC121298</t>
        </is>
      </c>
      <c r="C501" t="inlineStr">
        <is>
          <t>PY02</t>
        </is>
      </c>
      <c r="D501" s="28" t="n">
        <v>46018</v>
      </c>
      <c r="E501" s="29" t="n">
        <v>48359.66</v>
      </c>
      <c r="F501" s="29" t="n">
        <v>0</v>
      </c>
      <c r="G501" t="inlineStr">
        <is>
          <t>Pending</t>
        </is>
      </c>
    </row>
    <row r="502">
      <c r="A502" t="inlineStr">
        <is>
          <t>CLM521307</t>
        </is>
      </c>
      <c r="B502" t="inlineStr">
        <is>
          <t>ENC121307</t>
        </is>
      </c>
      <c r="C502" t="inlineStr">
        <is>
          <t>PY04</t>
        </is>
      </c>
      <c r="D502" s="28" t="n">
        <v>46010</v>
      </c>
      <c r="E502" s="29" t="n">
        <v>387.11</v>
      </c>
      <c r="F502" s="29" t="n">
        <v>0</v>
      </c>
      <c r="G502" t="inlineStr">
        <is>
          <t>Pending</t>
        </is>
      </c>
    </row>
    <row r="503">
      <c r="A503" t="inlineStr">
        <is>
          <t>CLM521316</t>
        </is>
      </c>
      <c r="B503" t="inlineStr">
        <is>
          <t>ENC121316</t>
        </is>
      </c>
      <c r="C503" t="inlineStr">
        <is>
          <t>PY04</t>
        </is>
      </c>
      <c r="D503" s="28" t="n">
        <v>46011</v>
      </c>
      <c r="E503" s="29" t="n">
        <v>9986.35</v>
      </c>
      <c r="F503" s="29" t="n">
        <v>0</v>
      </c>
      <c r="G503" t="inlineStr">
        <is>
          <t>Pending</t>
        </is>
      </c>
    </row>
    <row r="504">
      <c r="A504" t="inlineStr">
        <is>
          <t>CLM521340</t>
        </is>
      </c>
      <c r="B504" t="inlineStr">
        <is>
          <t>ENC121340</t>
        </is>
      </c>
      <c r="C504" t="inlineStr">
        <is>
          <t>PY02</t>
        </is>
      </c>
      <c r="D504" s="28" t="n">
        <v>46022</v>
      </c>
      <c r="E504" s="29" t="n">
        <v>3870.77</v>
      </c>
      <c r="F504" s="29" t="n">
        <v>0</v>
      </c>
      <c r="G504" t="inlineStr">
        <is>
          <t>Pending</t>
        </is>
      </c>
    </row>
    <row r="505">
      <c r="A505" t="inlineStr">
        <is>
          <t>CLM521374</t>
        </is>
      </c>
      <c r="B505" t="inlineStr">
        <is>
          <t>ENC121374</t>
        </is>
      </c>
      <c r="C505" t="inlineStr">
        <is>
          <t>PY01</t>
        </is>
      </c>
      <c r="D505" s="28" t="n">
        <v>46021</v>
      </c>
      <c r="E505" s="29" t="n">
        <v>13653.49</v>
      </c>
      <c r="F505" s="29" t="n">
        <v>0</v>
      </c>
      <c r="G505" t="inlineStr">
        <is>
          <t>Pending</t>
        </is>
      </c>
    </row>
    <row r="506">
      <c r="A506" t="inlineStr">
        <is>
          <t>CLM521406</t>
        </is>
      </c>
      <c r="B506" t="inlineStr">
        <is>
          <t>ENC121406</t>
        </is>
      </c>
      <c r="C506" t="inlineStr">
        <is>
          <t>PY04</t>
        </is>
      </c>
      <c r="D506" s="28" t="n">
        <v>46013</v>
      </c>
      <c r="E506" s="29" t="n">
        <v>299.09</v>
      </c>
      <c r="F506" s="29" t="n">
        <v>0</v>
      </c>
      <c r="G506" t="inlineStr">
        <is>
          <t>Pending</t>
        </is>
      </c>
    </row>
    <row r="507">
      <c r="A507" t="inlineStr">
        <is>
          <t>CLM521409</t>
        </is>
      </c>
      <c r="B507" t="inlineStr">
        <is>
          <t>ENC121409</t>
        </is>
      </c>
      <c r="C507" t="inlineStr">
        <is>
          <t>PY05</t>
        </is>
      </c>
      <c r="D507" s="28" t="n">
        <v>46021</v>
      </c>
      <c r="E507" s="29" t="n">
        <v>342.56</v>
      </c>
      <c r="F507" s="29" t="n">
        <v>0</v>
      </c>
      <c r="G507" t="inlineStr">
        <is>
          <t>Pending</t>
        </is>
      </c>
    </row>
    <row r="508">
      <c r="A508" t="inlineStr">
        <is>
          <t>CLM521481</t>
        </is>
      </c>
      <c r="B508" t="inlineStr">
        <is>
          <t>ENC121481</t>
        </is>
      </c>
      <c r="C508" t="inlineStr">
        <is>
          <t>PY03</t>
        </is>
      </c>
      <c r="D508" s="28" t="n">
        <v>46016</v>
      </c>
      <c r="E508" s="29" t="n">
        <v>3728.14</v>
      </c>
      <c r="F508" s="29" t="n">
        <v>0</v>
      </c>
      <c r="G508" t="inlineStr">
        <is>
          <t>Pending</t>
        </is>
      </c>
    </row>
    <row r="509">
      <c r="A509" t="inlineStr">
        <is>
          <t>CLM521494</t>
        </is>
      </c>
      <c r="B509" t="inlineStr">
        <is>
          <t>ENC121494</t>
        </is>
      </c>
      <c r="C509" t="inlineStr">
        <is>
          <t>PY01</t>
        </is>
      </c>
      <c r="D509" s="28" t="n">
        <v>46019</v>
      </c>
      <c r="E509" s="29" t="n">
        <v>62808.24</v>
      </c>
      <c r="F509" s="29" t="n">
        <v>0</v>
      </c>
      <c r="G509" t="inlineStr">
        <is>
          <t>Denied</t>
        </is>
      </c>
      <c r="H509" t="inlineStr">
        <is>
          <t>Medical Necessity</t>
        </is>
      </c>
    </row>
    <row r="510">
      <c r="A510" t="inlineStr">
        <is>
          <t>CLM521498</t>
        </is>
      </c>
      <c r="B510" t="inlineStr">
        <is>
          <t>ENC121498</t>
        </is>
      </c>
      <c r="C510" t="inlineStr">
        <is>
          <t>PY05</t>
        </is>
      </c>
      <c r="D510" s="28" t="n">
        <v>46016</v>
      </c>
      <c r="E510" s="29" t="n">
        <v>3144.77</v>
      </c>
      <c r="F510" s="29" t="n">
        <v>0</v>
      </c>
      <c r="G510" t="inlineStr">
        <is>
          <t>Pending</t>
        </is>
      </c>
    </row>
    <row r="511">
      <c r="A511" t="inlineStr">
        <is>
          <t>CLM521506</t>
        </is>
      </c>
      <c r="B511" t="inlineStr">
        <is>
          <t>ENC121506</t>
        </is>
      </c>
      <c r="C511" t="inlineStr">
        <is>
          <t>PY02</t>
        </is>
      </c>
      <c r="D511" s="28" t="n">
        <v>46019</v>
      </c>
      <c r="E511" s="29" t="n">
        <v>2473.85</v>
      </c>
      <c r="F511" s="29" t="n">
        <v>0</v>
      </c>
      <c r="G511" t="inlineStr">
        <is>
          <t>Pending</t>
        </is>
      </c>
    </row>
    <row r="512">
      <c r="A512" t="inlineStr">
        <is>
          <t>CLM521513</t>
        </is>
      </c>
      <c r="B512" t="inlineStr">
        <is>
          <t>ENC121513</t>
        </is>
      </c>
      <c r="C512" t="inlineStr">
        <is>
          <t>PY03</t>
        </is>
      </c>
      <c r="D512" s="28" t="n">
        <v>46014</v>
      </c>
      <c r="E512" s="29" t="n">
        <v>235.66</v>
      </c>
      <c r="F512" s="29" t="n">
        <v>0</v>
      </c>
      <c r="G512" t="inlineStr">
        <is>
          <t>Denied</t>
        </is>
      </c>
      <c r="H512" t="inlineStr">
        <is>
          <t>Authorization Required</t>
        </is>
      </c>
    </row>
    <row r="513">
      <c r="A513" t="inlineStr">
        <is>
          <t>CLM521524</t>
        </is>
      </c>
      <c r="B513" t="inlineStr">
        <is>
          <t>ENC121524</t>
        </is>
      </c>
      <c r="C513" t="inlineStr">
        <is>
          <t>PY04</t>
        </is>
      </c>
      <c r="D513" s="28" t="n">
        <v>46015</v>
      </c>
      <c r="E513" s="29" t="n">
        <v>364.85</v>
      </c>
      <c r="F513" s="29" t="n">
        <v>0</v>
      </c>
      <c r="G513" t="inlineStr">
        <is>
          <t>Pending</t>
        </is>
      </c>
    </row>
    <row r="514">
      <c r="A514" t="inlineStr">
        <is>
          <t>CLM521534</t>
        </is>
      </c>
      <c r="B514" t="inlineStr">
        <is>
          <t>ENC121534</t>
        </is>
      </c>
      <c r="C514" t="inlineStr">
        <is>
          <t>PY04</t>
        </is>
      </c>
      <c r="D514" s="28" t="n">
        <v>46021</v>
      </c>
      <c r="E514" s="29" t="n">
        <v>33420.44</v>
      </c>
      <c r="F514" s="29" t="n">
        <v>0</v>
      </c>
      <c r="G514" t="inlineStr">
        <is>
          <t>Pending</t>
        </is>
      </c>
    </row>
    <row r="515">
      <c r="A515" t="inlineStr">
        <is>
          <t>CLM521545</t>
        </is>
      </c>
      <c r="B515" t="inlineStr">
        <is>
          <t>ENC121545</t>
        </is>
      </c>
      <c r="C515" t="inlineStr">
        <is>
          <t>PY03</t>
        </is>
      </c>
      <c r="D515" s="28" t="n">
        <v>46018</v>
      </c>
      <c r="E515" s="29" t="n">
        <v>322.88</v>
      </c>
      <c r="F515" s="29" t="n">
        <v>0</v>
      </c>
      <c r="G515" t="inlineStr">
        <is>
          <t>Pending</t>
        </is>
      </c>
    </row>
    <row r="516">
      <c r="A516" t="inlineStr">
        <is>
          <t>CLM521584</t>
        </is>
      </c>
      <c r="B516" t="inlineStr">
        <is>
          <t>ENC121584</t>
        </is>
      </c>
      <c r="C516" t="inlineStr">
        <is>
          <t>PY01</t>
        </is>
      </c>
      <c r="D516" s="28" t="n">
        <v>46018</v>
      </c>
      <c r="E516" s="29" t="n">
        <v>261.44</v>
      </c>
      <c r="F516" s="29" t="n">
        <v>0</v>
      </c>
      <c r="G516" t="inlineStr">
        <is>
          <t>Pending</t>
        </is>
      </c>
    </row>
    <row r="517">
      <c r="A517" t="inlineStr">
        <is>
          <t>CLM521597</t>
        </is>
      </c>
      <c r="B517" t="inlineStr">
        <is>
          <t>ENC121597</t>
        </is>
      </c>
      <c r="C517" t="inlineStr">
        <is>
          <t>PY08</t>
        </is>
      </c>
      <c r="D517" s="28" t="n">
        <v>46026</v>
      </c>
      <c r="E517" s="29" t="n">
        <v>780.0599999999999</v>
      </c>
      <c r="F517" s="29" t="n">
        <v>0</v>
      </c>
      <c r="G517" t="inlineStr">
        <is>
          <t>Pending</t>
        </is>
      </c>
    </row>
    <row r="518">
      <c r="A518" t="inlineStr">
        <is>
          <t>CLM521600</t>
        </is>
      </c>
      <c r="B518" t="inlineStr">
        <is>
          <t>ENC121600</t>
        </is>
      </c>
      <c r="C518" t="inlineStr">
        <is>
          <t>PY06</t>
        </is>
      </c>
      <c r="D518" s="28" t="n">
        <v>46017</v>
      </c>
      <c r="E518" s="29" t="n">
        <v>3024.2</v>
      </c>
      <c r="F518" s="29" t="n">
        <v>0</v>
      </c>
      <c r="G518" t="inlineStr">
        <is>
          <t>Pending</t>
        </is>
      </c>
    </row>
    <row r="519">
      <c r="A519" t="inlineStr">
        <is>
          <t>CLM521603</t>
        </is>
      </c>
      <c r="B519" t="inlineStr">
        <is>
          <t>ENC121603</t>
        </is>
      </c>
      <c r="C519" t="inlineStr">
        <is>
          <t>PY03</t>
        </is>
      </c>
      <c r="D519" s="28" t="n">
        <v>46022</v>
      </c>
      <c r="E519" s="29" t="n">
        <v>1236.46</v>
      </c>
      <c r="F519" s="29" t="n">
        <v>0</v>
      </c>
      <c r="G519" t="inlineStr">
        <is>
          <t>Pending</t>
        </is>
      </c>
    </row>
    <row r="520">
      <c r="A520" t="inlineStr">
        <is>
          <t>CLM521604</t>
        </is>
      </c>
      <c r="B520" t="inlineStr">
        <is>
          <t>ENC121604</t>
        </is>
      </c>
      <c r="C520" t="inlineStr">
        <is>
          <t>PY05</t>
        </is>
      </c>
      <c r="D520" s="28" t="n">
        <v>46018</v>
      </c>
      <c r="E520" s="29" t="n">
        <v>1719.51</v>
      </c>
      <c r="F520" s="29" t="n">
        <v>0</v>
      </c>
      <c r="G520" t="inlineStr">
        <is>
          <t>Denied</t>
        </is>
      </c>
      <c r="H520" t="inlineStr">
        <is>
          <t>Authorization Required</t>
        </is>
      </c>
    </row>
    <row r="521">
      <c r="A521" t="inlineStr">
        <is>
          <t>CLM521611</t>
        </is>
      </c>
      <c r="B521" t="inlineStr">
        <is>
          <t>ENC121611</t>
        </is>
      </c>
      <c r="C521" t="inlineStr">
        <is>
          <t>PY06</t>
        </is>
      </c>
      <c r="D521" s="28" t="n">
        <v>46025</v>
      </c>
      <c r="E521" s="29" t="n">
        <v>20087.84</v>
      </c>
      <c r="F521" s="29" t="n">
        <v>0</v>
      </c>
      <c r="G521" t="inlineStr">
        <is>
          <t>Pending</t>
        </is>
      </c>
    </row>
    <row r="522">
      <c r="A522" t="inlineStr">
        <is>
          <t>CLM521649</t>
        </is>
      </c>
      <c r="B522" t="inlineStr">
        <is>
          <t>ENC121649</t>
        </is>
      </c>
      <c r="C522" t="inlineStr">
        <is>
          <t>PY01</t>
        </is>
      </c>
      <c r="D522" s="28" t="n">
        <v>46017</v>
      </c>
      <c r="E522" s="29" t="n">
        <v>289.94</v>
      </c>
      <c r="F522" s="29" t="n">
        <v>0</v>
      </c>
      <c r="G522" t="inlineStr">
        <is>
          <t>Pending</t>
        </is>
      </c>
    </row>
    <row r="523">
      <c r="A523" t="inlineStr">
        <is>
          <t>CLM521685</t>
        </is>
      </c>
      <c r="B523" t="inlineStr">
        <is>
          <t>ENC121685</t>
        </is>
      </c>
      <c r="C523" t="inlineStr">
        <is>
          <t>PY02</t>
        </is>
      </c>
      <c r="D523" s="28" t="n">
        <v>46021</v>
      </c>
      <c r="E523" s="29" t="n">
        <v>5921.37</v>
      </c>
      <c r="F523" s="29" t="n">
        <v>0</v>
      </c>
      <c r="G523" t="inlineStr">
        <is>
          <t>Pending</t>
        </is>
      </c>
    </row>
    <row r="524">
      <c r="A524" t="inlineStr">
        <is>
          <t>CLM521717</t>
        </is>
      </c>
      <c r="B524" t="inlineStr">
        <is>
          <t>ENC121717</t>
        </is>
      </c>
      <c r="C524" t="inlineStr">
        <is>
          <t>PY01</t>
        </is>
      </c>
      <c r="D524" s="28" t="n">
        <v>46021</v>
      </c>
      <c r="E524" s="29" t="n">
        <v>450.2</v>
      </c>
      <c r="F524" s="29" t="n">
        <v>0</v>
      </c>
      <c r="G524" t="inlineStr">
        <is>
          <t>Pending</t>
        </is>
      </c>
    </row>
    <row r="525">
      <c r="A525" t="inlineStr">
        <is>
          <t>CLM521766</t>
        </is>
      </c>
      <c r="B525" t="inlineStr">
        <is>
          <t>ENC121766</t>
        </is>
      </c>
      <c r="C525" t="inlineStr">
        <is>
          <t>PY07</t>
        </is>
      </c>
      <c r="D525" s="28" t="n">
        <v>46022</v>
      </c>
      <c r="E525" s="29" t="n">
        <v>189.14</v>
      </c>
      <c r="F525" s="29" t="n">
        <v>0</v>
      </c>
      <c r="G525" t="inlineStr">
        <is>
          <t>Pending</t>
        </is>
      </c>
    </row>
    <row r="526">
      <c r="A526" t="inlineStr">
        <is>
          <t>CLM521774</t>
        </is>
      </c>
      <c r="B526" t="inlineStr">
        <is>
          <t>ENC121774</t>
        </is>
      </c>
      <c r="C526" t="inlineStr">
        <is>
          <t>PY03</t>
        </is>
      </c>
      <c r="D526" s="28" t="n">
        <v>46021</v>
      </c>
      <c r="E526" s="29" t="n">
        <v>8400.440000000001</v>
      </c>
      <c r="F526" s="29" t="n">
        <v>0</v>
      </c>
      <c r="G526" t="inlineStr">
        <is>
          <t>Pending</t>
        </is>
      </c>
    </row>
    <row r="527">
      <c r="A527" t="inlineStr">
        <is>
          <t>CLM521797</t>
        </is>
      </c>
      <c r="B527" t="inlineStr">
        <is>
          <t>ENC121797</t>
        </is>
      </c>
      <c r="C527" t="inlineStr">
        <is>
          <t>PY06</t>
        </is>
      </c>
      <c r="D527" s="28" t="n">
        <v>46024</v>
      </c>
      <c r="E527" s="29" t="n">
        <v>260.3</v>
      </c>
      <c r="F527" s="29" t="n">
        <v>0</v>
      </c>
      <c r="G527" t="inlineStr">
        <is>
          <t>Pending</t>
        </is>
      </c>
    </row>
    <row r="528">
      <c r="A528" t="inlineStr">
        <is>
          <t>CLM521813</t>
        </is>
      </c>
      <c r="B528" t="inlineStr">
        <is>
          <t>ENC121813</t>
        </is>
      </c>
      <c r="C528" t="inlineStr">
        <is>
          <t>PY04</t>
        </is>
      </c>
      <c r="D528" s="28" t="n">
        <v>46023</v>
      </c>
      <c r="E528" s="29" t="n">
        <v>2566.74</v>
      </c>
      <c r="F528" s="29" t="n">
        <v>0</v>
      </c>
      <c r="G528" t="inlineStr">
        <is>
          <t>Pending</t>
        </is>
      </c>
    </row>
    <row r="529">
      <c r="A529" t="inlineStr">
        <is>
          <t>CLM521843</t>
        </is>
      </c>
      <c r="B529" t="inlineStr">
        <is>
          <t>ENC121843</t>
        </is>
      </c>
      <c r="C529" t="inlineStr">
        <is>
          <t>PY06</t>
        </is>
      </c>
      <c r="D529" s="28" t="n">
        <v>46026</v>
      </c>
      <c r="E529" s="29" t="n">
        <v>2817.88</v>
      </c>
      <c r="F529" s="29" t="n">
        <v>0</v>
      </c>
      <c r="G529" t="inlineStr">
        <is>
          <t>Pending</t>
        </is>
      </c>
    </row>
    <row r="530">
      <c r="A530" t="inlineStr">
        <is>
          <t>CLM521856</t>
        </is>
      </c>
      <c r="B530" t="inlineStr">
        <is>
          <t>ENC121856</t>
        </is>
      </c>
      <c r="C530" t="inlineStr">
        <is>
          <t>PY02</t>
        </is>
      </c>
      <c r="D530" s="28" t="n">
        <v>46027</v>
      </c>
      <c r="E530" s="29" t="n">
        <v>401.99</v>
      </c>
      <c r="F530" s="29" t="n">
        <v>0</v>
      </c>
      <c r="G530" t="inlineStr">
        <is>
          <t>Pending</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32"/>
  <sheetViews>
    <sheetView tabSelected="0" workbookViewId="0">
      <pane ySplit="1" topLeftCell="A2" activePane="bottomLeft" state="frozen"/>
      <selection pane="bottomLeft" activeCell="A1" sqref="A1"/>
    </sheetView>
  </sheetViews>
  <sheetFormatPr baseColWidth="8" defaultRowHeight="15"/>
  <cols>
    <col width="9" customWidth="1" min="1" max="1"/>
    <col width="33" customWidth="1" min="2" max="2"/>
    <col width="12" customWidth="1" min="3" max="3"/>
    <col width="20" customWidth="1" min="4" max="4"/>
    <col width="21" customWidth="1" min="5" max="5"/>
    <col width="20" customWidth="1" min="6" max="6"/>
    <col width="19" customWidth="1" min="7" max="7"/>
    <col width="22" customWidth="1" min="8" max="8"/>
    <col width="27" customWidth="1" min="9" max="9"/>
    <col width="19" customWidth="1" min="10" max="10"/>
  </cols>
  <sheetData>
    <row r="1">
      <c r="A1" s="26" t="inlineStr">
        <is>
          <t>DeptID</t>
        </is>
      </c>
      <c r="B1" s="26" t="inlineStr">
        <is>
          <t>DeptName</t>
        </is>
      </c>
      <c r="C1" s="26" t="inlineStr">
        <is>
          <t>FacilityID</t>
        </is>
      </c>
      <c r="D1" s="26" t="inlineStr">
        <is>
          <t>Salaries &amp; Wages</t>
        </is>
      </c>
      <c r="E1" s="26" t="inlineStr">
        <is>
          <t>Employee Benefits</t>
        </is>
      </c>
      <c r="F1" s="26" t="inlineStr">
        <is>
          <t>Medical Supplies</t>
        </is>
      </c>
      <c r="G1" s="26" t="inlineStr">
        <is>
          <t>Pharmaceuticals</t>
        </is>
      </c>
      <c r="H1" s="26" t="inlineStr">
        <is>
          <t>Purchased Services</t>
        </is>
      </c>
      <c r="I1" s="26" t="inlineStr">
        <is>
          <t>Equipment &amp; Maintenance</t>
        </is>
      </c>
      <c r="J1" s="26" t="inlineStr">
        <is>
          <t>Other Operating</t>
        </is>
      </c>
    </row>
    <row r="2">
      <c r="A2" t="inlineStr">
        <is>
          <t>D100</t>
        </is>
      </c>
      <c r="B2" t="inlineStr">
        <is>
          <t>Emergency Department</t>
        </is>
      </c>
      <c r="C2" t="inlineStr">
        <is>
          <t>F01</t>
        </is>
      </c>
      <c r="D2" s="33" t="n">
        <v>9935999</v>
      </c>
      <c r="E2" s="33" t="n">
        <v>2782078</v>
      </c>
      <c r="F2" s="33" t="n">
        <v>1391039</v>
      </c>
      <c r="G2" s="33" t="n">
        <v>894238</v>
      </c>
      <c r="H2" s="33" t="n">
        <v>1192324</v>
      </c>
      <c r="I2" s="33" t="n">
        <v>496801</v>
      </c>
      <c r="J2" s="33" t="n">
        <v>298078</v>
      </c>
    </row>
    <row r="3">
      <c r="A3" t="inlineStr">
        <is>
          <t>D110</t>
        </is>
      </c>
      <c r="B3" t="inlineStr">
        <is>
          <t>Medical-Surgical 4 West</t>
        </is>
      </c>
      <c r="C3" t="inlineStr">
        <is>
          <t>F01</t>
        </is>
      </c>
      <c r="D3" s="33" t="n">
        <v>7638296</v>
      </c>
      <c r="E3" s="33" t="n">
        <v>2138725</v>
      </c>
      <c r="F3" s="33" t="n">
        <v>1155058</v>
      </c>
      <c r="G3" s="33" t="n">
        <v>894238</v>
      </c>
      <c r="H3" s="33" t="n">
        <v>335340</v>
      </c>
      <c r="I3" s="33" t="n">
        <v>204932</v>
      </c>
      <c r="J3" s="33" t="n">
        <v>156490</v>
      </c>
    </row>
    <row r="4">
      <c r="A4" t="inlineStr">
        <is>
          <t>D111</t>
        </is>
      </c>
      <c r="B4" t="inlineStr">
        <is>
          <t>Medical-Surgical 5 East</t>
        </is>
      </c>
      <c r="C4" t="inlineStr">
        <is>
          <t>F01</t>
        </is>
      </c>
      <c r="D4" s="33" t="n">
        <v>6789599</v>
      </c>
      <c r="E4" s="33" t="n">
        <v>1901087</v>
      </c>
      <c r="F4" s="33" t="n">
        <v>1026721</v>
      </c>
      <c r="G4" s="33" t="n">
        <v>794879</v>
      </c>
      <c r="H4" s="33" t="n">
        <v>298078</v>
      </c>
      <c r="I4" s="33" t="n">
        <v>182159</v>
      </c>
      <c r="J4" s="33" t="n">
        <v>139101</v>
      </c>
    </row>
    <row r="5">
      <c r="A5" t="inlineStr">
        <is>
          <t>D120</t>
        </is>
      </c>
      <c r="B5" t="inlineStr">
        <is>
          <t>Cardiac Step-Down</t>
        </is>
      </c>
      <c r="C5" t="inlineStr">
        <is>
          <t>F01</t>
        </is>
      </c>
      <c r="D5" s="33" t="n">
        <v>5092199</v>
      </c>
      <c r="E5" s="33" t="n">
        <v>1425817</v>
      </c>
      <c r="F5" s="33" t="n">
        <v>770043</v>
      </c>
      <c r="G5" s="33" t="n">
        <v>596160</v>
      </c>
      <c r="H5" s="33" t="n">
        <v>223559</v>
      </c>
      <c r="I5" s="33" t="n">
        <v>136617</v>
      </c>
      <c r="J5" s="33" t="n">
        <v>104330</v>
      </c>
    </row>
    <row r="6">
      <c r="A6" t="inlineStr">
        <is>
          <t>D130</t>
        </is>
      </c>
      <c r="B6" t="inlineStr">
        <is>
          <t>Intensive Care Unit</t>
        </is>
      </c>
      <c r="C6" t="inlineStr">
        <is>
          <t>F01</t>
        </is>
      </c>
      <c r="D6" s="33" t="n">
        <v>6830999</v>
      </c>
      <c r="E6" s="33" t="n">
        <v>1912683</v>
      </c>
      <c r="F6" s="33" t="n">
        <v>1076397</v>
      </c>
      <c r="G6" s="33" t="n">
        <v>993601</v>
      </c>
      <c r="H6" s="33" t="n">
        <v>186301</v>
      </c>
      <c r="I6" s="33" t="n">
        <v>227700</v>
      </c>
      <c r="J6" s="33" t="n">
        <v>86941</v>
      </c>
    </row>
    <row r="7">
      <c r="A7" t="inlineStr">
        <is>
          <t>D140</t>
        </is>
      </c>
      <c r="B7" t="inlineStr">
        <is>
          <t>Orthopedics &amp; Spine</t>
        </is>
      </c>
      <c r="C7" t="inlineStr">
        <is>
          <t>F01</t>
        </is>
      </c>
      <c r="D7" s="33" t="n">
        <v>4667854</v>
      </c>
      <c r="E7" s="33" t="n">
        <v>1306994</v>
      </c>
      <c r="F7" s="33" t="n">
        <v>705874</v>
      </c>
      <c r="G7" s="33" t="n">
        <v>546477</v>
      </c>
      <c r="H7" s="33" t="n">
        <v>204932</v>
      </c>
      <c r="I7" s="33" t="n">
        <v>125231</v>
      </c>
      <c r="J7" s="33" t="n">
        <v>95630</v>
      </c>
    </row>
    <row r="8">
      <c r="A8" t="inlineStr">
        <is>
          <t>D150</t>
        </is>
      </c>
      <c r="B8" t="inlineStr">
        <is>
          <t>Oncology</t>
        </is>
      </c>
      <c r="C8" t="inlineStr">
        <is>
          <t>F01</t>
        </is>
      </c>
      <c r="D8" s="33" t="n">
        <v>3819150</v>
      </c>
      <c r="E8" s="33" t="n">
        <v>1069366</v>
      </c>
      <c r="F8" s="33" t="n">
        <v>577526</v>
      </c>
      <c r="G8" s="33" t="n">
        <v>2328748</v>
      </c>
      <c r="H8" s="33" t="n">
        <v>167666</v>
      </c>
      <c r="I8" s="33" t="n">
        <v>102469</v>
      </c>
      <c r="J8" s="33" t="n">
        <v>78248</v>
      </c>
    </row>
    <row r="9">
      <c r="A9" t="inlineStr">
        <is>
          <t>D160</t>
        </is>
      </c>
      <c r="B9" t="inlineStr">
        <is>
          <t>Neuroscience &amp; Stroke</t>
        </is>
      </c>
      <c r="C9" t="inlineStr">
        <is>
          <t>F01</t>
        </is>
      </c>
      <c r="D9" s="33" t="n">
        <v>3394798</v>
      </c>
      <c r="E9" s="33" t="n">
        <v>950543</v>
      </c>
      <c r="F9" s="33" t="n">
        <v>513357</v>
      </c>
      <c r="G9" s="33" t="n">
        <v>397438</v>
      </c>
      <c r="H9" s="33" t="n">
        <v>149039</v>
      </c>
      <c r="I9" s="33" t="n">
        <v>91083</v>
      </c>
      <c r="J9" s="33" t="n">
        <v>69552</v>
      </c>
    </row>
    <row r="10">
      <c r="A10" t="inlineStr">
        <is>
          <t>D170</t>
        </is>
      </c>
      <c r="B10" t="inlineStr">
        <is>
          <t>Labor &amp; Delivery</t>
        </is>
      </c>
      <c r="C10" t="inlineStr">
        <is>
          <t>F01</t>
        </is>
      </c>
      <c r="D10" s="33" t="n">
        <v>4243502</v>
      </c>
      <c r="E10" s="33" t="n">
        <v>1188182</v>
      </c>
      <c r="F10" s="33" t="n">
        <v>641701</v>
      </c>
      <c r="G10" s="33" t="n">
        <v>496801</v>
      </c>
      <c r="H10" s="33" t="n">
        <v>186301</v>
      </c>
      <c r="I10" s="33" t="n">
        <v>113849</v>
      </c>
      <c r="J10" s="33" t="n">
        <v>86941</v>
      </c>
    </row>
    <row r="11">
      <c r="A11" t="inlineStr">
        <is>
          <t>D180</t>
        </is>
      </c>
      <c r="B11" t="inlineStr">
        <is>
          <t>Pediatrics</t>
        </is>
      </c>
      <c r="C11" t="inlineStr">
        <is>
          <t>F01</t>
        </is>
      </c>
      <c r="D11" s="33" t="n">
        <v>2970453</v>
      </c>
      <c r="E11" s="33" t="n">
        <v>831728</v>
      </c>
      <c r="F11" s="33" t="n">
        <v>449188</v>
      </c>
      <c r="G11" s="33" t="n">
        <v>347761</v>
      </c>
      <c r="H11" s="33" t="n">
        <v>130412</v>
      </c>
      <c r="I11" s="33" t="n">
        <v>79697</v>
      </c>
      <c r="J11" s="33" t="n">
        <v>60860</v>
      </c>
    </row>
    <row r="12">
      <c r="A12" t="inlineStr">
        <is>
          <t>D190</t>
        </is>
      </c>
      <c r="B12" t="inlineStr">
        <is>
          <t>Behavioral Health</t>
        </is>
      </c>
      <c r="C12" t="inlineStr">
        <is>
          <t>F01</t>
        </is>
      </c>
      <c r="D12" s="33" t="n">
        <v>3819150</v>
      </c>
      <c r="E12" s="33" t="n">
        <v>1069366</v>
      </c>
      <c r="F12" s="33" t="n">
        <v>577526</v>
      </c>
      <c r="G12" s="33" t="n">
        <v>447125</v>
      </c>
      <c r="H12" s="33" t="n">
        <v>167666</v>
      </c>
      <c r="I12" s="33" t="n">
        <v>102469</v>
      </c>
      <c r="J12" s="33" t="n">
        <v>78248</v>
      </c>
    </row>
    <row r="13">
      <c r="A13" t="inlineStr">
        <is>
          <t>D195</t>
        </is>
      </c>
      <c r="B13" t="inlineStr">
        <is>
          <t>Observation Unit</t>
        </is>
      </c>
      <c r="C13" t="inlineStr">
        <is>
          <t>F01</t>
        </is>
      </c>
      <c r="D13" s="33" t="n">
        <v>2546097</v>
      </c>
      <c r="E13" s="33" t="n">
        <v>712905</v>
      </c>
      <c r="F13" s="33" t="n">
        <v>385016</v>
      </c>
      <c r="G13" s="33" t="n">
        <v>298078</v>
      </c>
      <c r="H13" s="33" t="n">
        <v>111781</v>
      </c>
      <c r="I13" s="33" t="n">
        <v>68314</v>
      </c>
      <c r="J13" s="33" t="n">
        <v>52160</v>
      </c>
    </row>
    <row r="14">
      <c r="A14" t="inlineStr">
        <is>
          <t>D196</t>
        </is>
      </c>
      <c r="B14" t="inlineStr">
        <is>
          <t>Perioperative Services</t>
        </is>
      </c>
      <c r="C14" t="inlineStr">
        <is>
          <t>F01</t>
        </is>
      </c>
      <c r="D14" s="33" t="n">
        <v>6416998</v>
      </c>
      <c r="E14" s="33" t="n">
        <v>1796764</v>
      </c>
      <c r="F14" s="33" t="n">
        <v>8797500</v>
      </c>
      <c r="G14" s="33" t="n">
        <v>64169</v>
      </c>
      <c r="H14" s="33" t="n">
        <v>641701</v>
      </c>
      <c r="I14" s="33" t="n">
        <v>385016</v>
      </c>
      <c r="J14" s="33" t="n">
        <v>192510</v>
      </c>
    </row>
    <row r="15">
      <c r="A15" t="inlineStr">
        <is>
          <t>D200</t>
        </is>
      </c>
      <c r="B15" t="inlineStr">
        <is>
          <t>Emergency Department</t>
        </is>
      </c>
      <c r="C15" t="inlineStr">
        <is>
          <t>F02</t>
        </is>
      </c>
      <c r="D15" s="33" t="n">
        <v>3933002</v>
      </c>
      <c r="E15" s="33" t="n">
        <v>1101241</v>
      </c>
      <c r="F15" s="33" t="n">
        <v>550618</v>
      </c>
      <c r="G15" s="33" t="n">
        <v>353967</v>
      </c>
      <c r="H15" s="33" t="n">
        <v>471957</v>
      </c>
      <c r="I15" s="33" t="n">
        <v>196651</v>
      </c>
      <c r="J15" s="33" t="n">
        <v>117990</v>
      </c>
    </row>
    <row r="16">
      <c r="A16" t="inlineStr">
        <is>
          <t>D210</t>
        </is>
      </c>
      <c r="B16" t="inlineStr">
        <is>
          <t>Medical-Surgical</t>
        </is>
      </c>
      <c r="C16" t="inlineStr">
        <is>
          <t>F02</t>
        </is>
      </c>
      <c r="D16" s="33" t="n">
        <v>5940902</v>
      </c>
      <c r="E16" s="33" t="n">
        <v>1663448</v>
      </c>
      <c r="F16" s="33" t="n">
        <v>898380</v>
      </c>
      <c r="G16" s="33" t="n">
        <v>695523</v>
      </c>
      <c r="H16" s="33" t="n">
        <v>260820</v>
      </c>
      <c r="I16" s="33" t="n">
        <v>159390</v>
      </c>
      <c r="J16" s="33" t="n">
        <v>121719</v>
      </c>
    </row>
    <row r="17">
      <c r="A17" t="inlineStr">
        <is>
          <t>D230</t>
        </is>
      </c>
      <c r="B17" t="inlineStr">
        <is>
          <t>Intensive Care Unit</t>
        </is>
      </c>
      <c r="C17" t="inlineStr">
        <is>
          <t>F02</t>
        </is>
      </c>
      <c r="D17" s="33" t="n">
        <v>2732402</v>
      </c>
      <c r="E17" s="33" t="n">
        <v>765075</v>
      </c>
      <c r="F17" s="33" t="n">
        <v>430557</v>
      </c>
      <c r="G17" s="33" t="n">
        <v>397438</v>
      </c>
      <c r="H17" s="33" t="n">
        <v>74520</v>
      </c>
      <c r="I17" s="33" t="n">
        <v>91083</v>
      </c>
      <c r="J17" s="33" t="n">
        <v>34778</v>
      </c>
    </row>
    <row r="18">
      <c r="A18" t="inlineStr">
        <is>
          <t>D270</t>
        </is>
      </c>
      <c r="B18" t="inlineStr">
        <is>
          <t>Labor &amp; Delivery</t>
        </is>
      </c>
      <c r="C18" t="inlineStr">
        <is>
          <t>F02</t>
        </is>
      </c>
      <c r="D18" s="33" t="n">
        <v>2121745</v>
      </c>
      <c r="E18" s="33" t="n">
        <v>594089</v>
      </c>
      <c r="F18" s="33" t="n">
        <v>320847</v>
      </c>
      <c r="G18" s="33" t="n">
        <v>248398</v>
      </c>
      <c r="H18" s="33" t="n">
        <v>93147</v>
      </c>
      <c r="I18" s="33" t="n">
        <v>56928</v>
      </c>
      <c r="J18" s="33" t="n">
        <v>43471</v>
      </c>
    </row>
    <row r="19">
      <c r="A19" t="inlineStr">
        <is>
          <t>D300</t>
        </is>
      </c>
      <c r="B19" t="inlineStr">
        <is>
          <t>Emergency Department</t>
        </is>
      </c>
      <c r="C19" t="inlineStr">
        <is>
          <t>F03</t>
        </is>
      </c>
      <c r="D19" s="33" t="n">
        <v>5278499</v>
      </c>
      <c r="E19" s="33" t="n">
        <v>1477980</v>
      </c>
      <c r="F19" s="33" t="n">
        <v>738994</v>
      </c>
      <c r="G19" s="33" t="n">
        <v>475063</v>
      </c>
      <c r="H19" s="33" t="n">
        <v>633418</v>
      </c>
      <c r="I19" s="33" t="n">
        <v>263926</v>
      </c>
      <c r="J19" s="33" t="n">
        <v>158351</v>
      </c>
    </row>
    <row r="20">
      <c r="A20" t="inlineStr">
        <is>
          <t>D310</t>
        </is>
      </c>
      <c r="B20" t="inlineStr">
        <is>
          <t>Medical-Surgical</t>
        </is>
      </c>
      <c r="C20" t="inlineStr">
        <is>
          <t>F03</t>
        </is>
      </c>
      <c r="D20" s="33" t="n">
        <v>6365247</v>
      </c>
      <c r="E20" s="33" t="n">
        <v>1782271</v>
      </c>
      <c r="F20" s="33" t="n">
        <v>962552</v>
      </c>
      <c r="G20" s="33" t="n">
        <v>745199</v>
      </c>
      <c r="H20" s="33" t="n">
        <v>279447</v>
      </c>
      <c r="I20" s="33" t="n">
        <v>170773</v>
      </c>
      <c r="J20" s="33" t="n">
        <v>130412</v>
      </c>
    </row>
    <row r="21">
      <c r="A21" t="inlineStr">
        <is>
          <t>D320</t>
        </is>
      </c>
      <c r="B21" t="inlineStr">
        <is>
          <t>Cardiac Step-Down</t>
        </is>
      </c>
      <c r="C21" t="inlineStr">
        <is>
          <t>F03</t>
        </is>
      </c>
      <c r="D21" s="33" t="n">
        <v>3394798</v>
      </c>
      <c r="E21" s="33" t="n">
        <v>950543</v>
      </c>
      <c r="F21" s="33" t="n">
        <v>513357</v>
      </c>
      <c r="G21" s="33" t="n">
        <v>397438</v>
      </c>
      <c r="H21" s="33" t="n">
        <v>149039</v>
      </c>
      <c r="I21" s="33" t="n">
        <v>91083</v>
      </c>
      <c r="J21" s="33" t="n">
        <v>69552</v>
      </c>
    </row>
    <row r="22">
      <c r="A22" t="inlineStr">
        <is>
          <t>D330</t>
        </is>
      </c>
      <c r="B22" t="inlineStr">
        <is>
          <t>Intensive Care Unit</t>
        </is>
      </c>
      <c r="C22" t="inlineStr">
        <is>
          <t>F03</t>
        </is>
      </c>
      <c r="D22" s="33" t="n">
        <v>4098597</v>
      </c>
      <c r="E22" s="33" t="n">
        <v>1147608</v>
      </c>
      <c r="F22" s="33" t="n">
        <v>645840</v>
      </c>
      <c r="G22" s="33" t="n">
        <v>596160</v>
      </c>
      <c r="H22" s="33" t="n">
        <v>111781</v>
      </c>
      <c r="I22" s="33" t="n">
        <v>136617</v>
      </c>
      <c r="J22" s="33" t="n">
        <v>52160</v>
      </c>
    </row>
    <row r="23">
      <c r="A23" t="inlineStr">
        <is>
          <t>D340</t>
        </is>
      </c>
      <c r="B23" t="inlineStr">
        <is>
          <t>Orthopedics</t>
        </is>
      </c>
      <c r="C23" t="inlineStr">
        <is>
          <t>F03</t>
        </is>
      </c>
      <c r="D23" s="33" t="n">
        <v>2970453</v>
      </c>
      <c r="E23" s="33" t="n">
        <v>831728</v>
      </c>
      <c r="F23" s="33" t="n">
        <v>449188</v>
      </c>
      <c r="G23" s="33" t="n">
        <v>347761</v>
      </c>
      <c r="H23" s="33" t="n">
        <v>130412</v>
      </c>
      <c r="I23" s="33" t="n">
        <v>79697</v>
      </c>
      <c r="J23" s="33" t="n">
        <v>60860</v>
      </c>
    </row>
    <row r="24">
      <c r="A24" t="inlineStr">
        <is>
          <t>D400</t>
        </is>
      </c>
      <c r="B24" t="inlineStr">
        <is>
          <t>Primary Care Clinic</t>
        </is>
      </c>
      <c r="C24" t="inlineStr">
        <is>
          <t>F04</t>
        </is>
      </c>
      <c r="D24" s="33" t="n">
        <v>3519001</v>
      </c>
      <c r="E24" s="33" t="n">
        <v>950131</v>
      </c>
      <c r="F24" s="33" t="n">
        <v>211137</v>
      </c>
      <c r="G24" s="33" t="n">
        <v>70378</v>
      </c>
      <c r="H24" s="33" t="n">
        <v>281522</v>
      </c>
      <c r="I24" s="33" t="n">
        <v>140759</v>
      </c>
      <c r="J24" s="33" t="n">
        <v>175954</v>
      </c>
    </row>
    <row r="25">
      <c r="A25" t="inlineStr">
        <is>
          <t>D410</t>
        </is>
      </c>
      <c r="B25" t="inlineStr">
        <is>
          <t>Cardiology Clinic</t>
        </is>
      </c>
      <c r="C25" t="inlineStr">
        <is>
          <t>F04</t>
        </is>
      </c>
      <c r="D25" s="33" t="n">
        <v>1966501</v>
      </c>
      <c r="E25" s="33" t="n">
        <v>530956</v>
      </c>
      <c r="F25" s="33" t="n">
        <v>117990</v>
      </c>
      <c r="G25" s="33" t="n">
        <v>39329</v>
      </c>
      <c r="H25" s="33" t="n">
        <v>157315</v>
      </c>
      <c r="I25" s="33" t="n">
        <v>78661</v>
      </c>
      <c r="J25" s="33" t="n">
        <v>98328</v>
      </c>
    </row>
    <row r="26">
      <c r="A26" t="inlineStr">
        <is>
          <t>D420</t>
        </is>
      </c>
      <c r="B26" t="inlineStr">
        <is>
          <t>Orthopedic Clinic</t>
        </is>
      </c>
      <c r="C26" t="inlineStr">
        <is>
          <t>F04</t>
        </is>
      </c>
      <c r="D26" s="33" t="n">
        <v>1759498</v>
      </c>
      <c r="E26" s="33" t="n">
        <v>475063</v>
      </c>
      <c r="F26" s="33" t="n">
        <v>105569</v>
      </c>
      <c r="G26" s="33" t="n">
        <v>35191</v>
      </c>
      <c r="H26" s="33" t="n">
        <v>140759</v>
      </c>
      <c r="I26" s="33" t="n">
        <v>70378</v>
      </c>
      <c r="J26" s="33" t="n">
        <v>87977</v>
      </c>
    </row>
    <row r="27">
      <c r="A27" t="inlineStr">
        <is>
          <t>D430</t>
        </is>
      </c>
      <c r="B27" t="inlineStr">
        <is>
          <t>Infusion &amp; Oncology Clinic</t>
        </is>
      </c>
      <c r="C27" t="inlineStr">
        <is>
          <t>F04</t>
        </is>
      </c>
      <c r="D27" s="33" t="n">
        <v>2380499</v>
      </c>
      <c r="E27" s="33" t="n">
        <v>642734</v>
      </c>
      <c r="F27" s="33" t="n">
        <v>142830</v>
      </c>
      <c r="G27" s="33" t="n">
        <v>6416998</v>
      </c>
      <c r="H27" s="33" t="n">
        <v>190439</v>
      </c>
      <c r="I27" s="33" t="n">
        <v>95218</v>
      </c>
      <c r="J27" s="33" t="n">
        <v>119026</v>
      </c>
    </row>
    <row r="28">
      <c r="A28" t="inlineStr">
        <is>
          <t>D440</t>
        </is>
      </c>
      <c r="B28" t="inlineStr">
        <is>
          <t>Endocrinology &amp; Diabetes Clinic</t>
        </is>
      </c>
      <c r="C28" t="inlineStr">
        <is>
          <t>F04</t>
        </is>
      </c>
      <c r="D28" s="33" t="n">
        <v>1138502</v>
      </c>
      <c r="E28" s="33" t="n">
        <v>307397</v>
      </c>
      <c r="F28" s="33" t="n">
        <v>68314</v>
      </c>
      <c r="G28" s="33" t="n">
        <v>22773</v>
      </c>
      <c r="H28" s="33" t="n">
        <v>91083</v>
      </c>
      <c r="I28" s="33" t="n">
        <v>45541</v>
      </c>
      <c r="J28" s="33" t="n">
        <v>56928</v>
      </c>
    </row>
    <row r="29">
      <c r="A29" t="inlineStr">
        <is>
          <t>D450</t>
        </is>
      </c>
      <c r="B29" t="inlineStr">
        <is>
          <t>Pediatric Clinic</t>
        </is>
      </c>
      <c r="C29" t="inlineStr">
        <is>
          <t>F04</t>
        </is>
      </c>
      <c r="D29" s="33" t="n">
        <v>1656005</v>
      </c>
      <c r="E29" s="33" t="n">
        <v>447125</v>
      </c>
      <c r="F29" s="33" t="n">
        <v>99363</v>
      </c>
      <c r="G29" s="33" t="n">
        <v>33120</v>
      </c>
      <c r="H29" s="33" t="n">
        <v>132483</v>
      </c>
      <c r="I29" s="33" t="n">
        <v>66239</v>
      </c>
      <c r="J29" s="33" t="n">
        <v>82796</v>
      </c>
    </row>
    <row r="30">
      <c r="A30" t="inlineStr">
        <is>
          <t>D500</t>
        </is>
      </c>
      <c r="B30" t="inlineStr">
        <is>
          <t>Laboratory</t>
        </is>
      </c>
      <c r="C30" t="inlineStr">
        <is>
          <t>F01</t>
        </is>
      </c>
      <c r="D30" s="33" t="n">
        <v>5692504</v>
      </c>
      <c r="E30" s="33" t="n">
        <v>1593896</v>
      </c>
      <c r="F30" s="33" t="n">
        <v>3311998</v>
      </c>
      <c r="G30" s="33" t="n">
        <v>56928</v>
      </c>
      <c r="H30" s="33" t="n">
        <v>569249</v>
      </c>
      <c r="I30" s="33" t="n">
        <v>341549</v>
      </c>
      <c r="J30" s="33" t="n">
        <v>170773</v>
      </c>
    </row>
    <row r="31">
      <c r="A31" t="inlineStr">
        <is>
          <t>D510</t>
        </is>
      </c>
      <c r="B31" t="inlineStr">
        <is>
          <t>Radiology</t>
        </is>
      </c>
      <c r="C31" t="inlineStr">
        <is>
          <t>F01</t>
        </is>
      </c>
      <c r="D31" s="33" t="n">
        <v>4968003</v>
      </c>
      <c r="E31" s="33" t="n">
        <v>1391039</v>
      </c>
      <c r="F31" s="33" t="n">
        <v>248398</v>
      </c>
      <c r="G31" s="33" t="n">
        <v>49676</v>
      </c>
      <c r="H31" s="33" t="n">
        <v>496801</v>
      </c>
      <c r="I31" s="33" t="n">
        <v>1862996</v>
      </c>
      <c r="J31" s="33" t="n">
        <v>149039</v>
      </c>
    </row>
    <row r="32">
      <c r="A32" t="inlineStr">
        <is>
          <t>D520</t>
        </is>
      </c>
      <c r="B32" t="inlineStr">
        <is>
          <t>Pharmacy</t>
        </is>
      </c>
      <c r="C32" t="inlineStr">
        <is>
          <t>F01</t>
        </is>
      </c>
      <c r="D32" s="33" t="n">
        <v>3208501</v>
      </c>
      <c r="E32" s="33" t="n">
        <v>898380</v>
      </c>
      <c r="F32" s="33" t="n">
        <v>160426</v>
      </c>
      <c r="G32" s="33" t="n">
        <v>2069999</v>
      </c>
      <c r="H32" s="33" t="n">
        <v>320847</v>
      </c>
      <c r="I32" s="33" t="n">
        <v>192510</v>
      </c>
      <c r="J32" s="33" t="n">
        <v>96253</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7"/>
  <sheetViews>
    <sheetView tabSelected="0" workbookViewId="0">
      <pane ySplit="1" topLeftCell="A2" activePane="bottomLeft" state="frozen"/>
      <selection pane="bottomLeft" activeCell="A1" sqref="A1"/>
    </sheetView>
  </sheetViews>
  <sheetFormatPr baseColWidth="8" defaultRowHeight="15"/>
  <cols>
    <col width="9" customWidth="1" min="1" max="1"/>
    <col width="18" customWidth="1" min="2" max="2"/>
    <col width="20" customWidth="1" min="3" max="3"/>
  </cols>
  <sheetData>
    <row r="1">
      <c r="A1" s="26" t="inlineStr">
        <is>
          <t>MinBMI</t>
        </is>
      </c>
      <c r="B1" s="26" t="inlineStr">
        <is>
          <t>Category</t>
        </is>
      </c>
      <c r="C1" s="26" t="inlineStr">
        <is>
          <t>BMIRange</t>
        </is>
      </c>
    </row>
    <row r="2">
      <c r="A2" s="31" t="n">
        <v>0</v>
      </c>
      <c r="B2" t="inlineStr">
        <is>
          <t>Underweight</t>
        </is>
      </c>
      <c r="C2" t="inlineStr">
        <is>
          <t>Below 18.5</t>
        </is>
      </c>
    </row>
    <row r="3">
      <c r="A3" s="31" t="n">
        <v>18.5</v>
      </c>
      <c r="B3" t="inlineStr">
        <is>
          <t>Healthy weight</t>
        </is>
      </c>
      <c r="C3" t="inlineStr">
        <is>
          <t>18.5 to under 25</t>
        </is>
      </c>
    </row>
    <row r="4">
      <c r="A4" s="31" t="n">
        <v>25</v>
      </c>
      <c r="B4" t="inlineStr">
        <is>
          <t>Overweight</t>
        </is>
      </c>
      <c r="C4" t="inlineStr">
        <is>
          <t>25 to under 30</t>
        </is>
      </c>
    </row>
    <row r="5">
      <c r="A5" s="31" t="n">
        <v>30</v>
      </c>
      <c r="B5" t="inlineStr">
        <is>
          <t>Obesity class 1</t>
        </is>
      </c>
      <c r="C5" t="inlineStr">
        <is>
          <t>30 to under 35</t>
        </is>
      </c>
    </row>
    <row r="6">
      <c r="A6" s="31" t="n">
        <v>35</v>
      </c>
      <c r="B6" t="inlineStr">
        <is>
          <t>Obesity class 2</t>
        </is>
      </c>
      <c r="C6" t="inlineStr">
        <is>
          <t>35 to under 40</t>
        </is>
      </c>
    </row>
    <row r="7">
      <c r="A7" s="31" t="n">
        <v>40</v>
      </c>
      <c r="B7" t="inlineStr">
        <is>
          <t>Obesity class 3</t>
        </is>
      </c>
      <c r="C7" t="inlineStr">
        <is>
          <t>40 and above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7"/>
  <sheetViews>
    <sheetView tabSelected="0" workbookViewId="0">
      <pane ySplit="1" topLeftCell="A2" activePane="bottomLeft" state="frozen"/>
      <selection pane="bottomLeft" activeCell="A1" sqref="A1"/>
    </sheetView>
  </sheetViews>
  <sheetFormatPr baseColWidth="8" defaultRowHeight="15"/>
  <cols>
    <col width="9" customWidth="1" min="1" max="1"/>
    <col width="9" customWidth="1" min="2" max="2"/>
  </cols>
  <sheetData>
    <row r="1">
      <c r="A1" s="26" t="inlineStr">
        <is>
          <t>MinAge</t>
        </is>
      </c>
      <c r="B1" s="26" t="inlineStr">
        <is>
          <t>AgeBand</t>
        </is>
      </c>
    </row>
    <row r="2">
      <c r="A2" t="n">
        <v>0</v>
      </c>
      <c r="B2" t="inlineStr">
        <is>
          <t>0-17</t>
        </is>
      </c>
    </row>
    <row r="3">
      <c r="A3" t="n">
        <v>18</v>
      </c>
      <c r="B3" t="inlineStr">
        <is>
          <t>18-44</t>
        </is>
      </c>
    </row>
    <row r="4">
      <c r="A4" t="n">
        <v>45</v>
      </c>
      <c r="B4" t="inlineStr">
        <is>
          <t>45-64</t>
        </is>
      </c>
    </row>
    <row r="5">
      <c r="A5" t="n">
        <v>65</v>
      </c>
      <c r="B5" t="inlineStr">
        <is>
          <t>65-74</t>
        </is>
      </c>
    </row>
    <row r="6">
      <c r="A6" t="n">
        <v>75</v>
      </c>
      <c r="B6" t="inlineStr">
        <is>
          <t>75-84</t>
        </is>
      </c>
    </row>
    <row r="7">
      <c r="A7" t="n">
        <v>85</v>
      </c>
      <c r="B7" t="inlineStr">
        <is>
          <t>85+</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2.6 · Bonus: An encounter lookup card</t>
        </is>
      </c>
    </row>
    <row r="2" ht="124" customHeight="1">
      <c r="A2" s="14" t="inlineStr">
        <is>
          <t>Dr. Nguyen's care manager answers the same questions all day: who is this encounter's patient, how old were they, what were they treated for, who was the attending, who pays, and where does the claim stand? Build a reusable lookup card on the Card sheet. Each card is one column: it takes an EncounterID in row 5 and returns ten facts in rows 6 to 15. Rows 6 and 7 are helper cells (PatientID and Attending ProviderID) that the other rows reuse. Card 1 (column B) holds ENC117295. Card 2 (column C) holds ENC119O88, an ID copied from a handwritten note, and every row of Card 2 must show Not found instead of an error. Write every formula in column B, then copy B6:B15 and paste it into C6:C15. Refer to the ID as B$5, with no $ before the B, so it becomes C$5 in column C. The $ before the 5 keeps it on row 5 if you copy a formula down to start the next row. Use Copy (Ctrl + C, Mac: ⌘ + C) and Paste (Ctrl + V, Mac: ⌘ + V) rather than dragging the fill handle, because dragging to the right shifts Table references such as tblEncounters[PatientID] to the next Table column. Keep both IDs in place while you check your answers. The gray cells on the Bonus sheet read your card.</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Card 1 (ENC117295): what does your Patient name row (Card!B8) show? Format: First Last.</t>
        </is>
      </c>
      <c r="C6" s="20" t="inlineStr">
        <is>
          <t>Chain two lookups: first EncounterID to PatientID (row 6), then PatientID to the names. Join them with &amp;" "&amp;</t>
        </is>
      </c>
      <c r="D6" cm="1" s="34">
        <f t="array" ref="D6">IF(Card!B8="","",Card!B8)</f>
        <v/>
      </c>
      <c r="E6" s="22">
        <f>IF(IFERROR(D6="",FALSE),"",IF(IFERROR(OR(LOWER(TRIM(D6&amp;""))=LOWER(TRIM('Bonus Key'!$C$5&amp;""))),FALSE),"✔ Correct","✘ Not yet"))</f>
        <v/>
      </c>
    </row>
    <row r="7" ht="36" customHeight="1">
      <c r="A7" s="18" t="inlineStr">
        <is>
          <t>B2</t>
        </is>
      </c>
      <c r="B7" s="19" t="inlineStr">
        <is>
          <t>Card 1: how old was the patient, in completed years, on the encounter's AdmitDate (Card!B9)?</t>
        </is>
      </c>
      <c r="C7" s="20" t="inlineStr">
        <is>
          <t>Look up DOB and AdmitDate, then DATEDIF(…, …, "Y") from Lesson 2.3</t>
        </is>
      </c>
      <c r="D7" cm="1" s="23">
        <f t="array" ref="D7">IF(Card!B9="","",Card!B9)</f>
        <v/>
      </c>
      <c r="E7" s="22">
        <f>IF(IFERROR(D7="",FALSE),"",IF(IFERROR(AND(ISNUMBER(D7),OR(ABS(D7-'Bonus Key'!$C$6)&lt;=0.0001)),FALSE),"✔ Correct","✘ Not yet"))</f>
        <v/>
      </c>
    </row>
    <row r="8" ht="36" customHeight="1">
      <c r="A8" s="18" t="inlineStr">
        <is>
          <t>B3</t>
        </is>
      </c>
      <c r="B8" s="19" t="inlineStr">
        <is>
          <t>Card 1: what does your Attending row (Card!B12) show? Format: First Last, Credential (for example, Isabella Nguyen, MD).</t>
        </is>
      </c>
      <c r="C8" s="20" t="inlineStr">
        <is>
          <t>Use the Attending ProviderID helper in row 7, three lookups, and &amp; to join them</t>
        </is>
      </c>
      <c r="D8" cm="1" s="34">
        <f t="array" ref="D8">IF(Card!B12="","",Card!B12)</f>
        <v/>
      </c>
      <c r="E8" s="22">
        <f>IF(IFERROR(D8="",FALSE),"",IF(IFERROR(OR(LOWER(TRIM(D8&amp;""))=LOWER(TRIM('Bonus Key'!$C$7&amp;""))),FALSE),"✔ Correct","✘ Not yet"))</f>
        <v/>
      </c>
    </row>
    <row r="9" ht="36" customHeight="1">
      <c r="A9" s="18" t="inlineStr">
        <is>
          <t>B4</t>
        </is>
      </c>
      <c r="B9" s="19" t="inlineStr">
        <is>
          <t>Card 1: what is the claim status (Card!B15)? Claims are matched by EncounterID, which is column B of the Claims sheet.</t>
        </is>
      </c>
      <c r="C9" s="20" t="inlineStr">
        <is>
          <t>XLOOKUP can search any column. VLOOKUP would need its table to start at column B</t>
        </is>
      </c>
      <c r="D9" cm="1" s="34">
        <f t="array" ref="D9">IF(Card!B15="","",Card!B15)</f>
        <v/>
      </c>
      <c r="E9" s="22">
        <f>IF(IFERROR(D9="",FALSE),"",IF(IFERROR(OR(LOWER(TRIM(D9&amp;""))=LOWER(TRIM('Bonus Key'!$C$8&amp;""))),FALSE),"✔ Correct","✘ Not yet"))</f>
        <v/>
      </c>
    </row>
    <row r="10" ht="51" customHeight="1">
      <c r="A10" s="18" t="inlineStr">
        <is>
          <t>B5</t>
        </is>
      </c>
      <c r="B10" s="19" t="inlineStr">
        <is>
          <t>Card 2 (ENC119O88): how many of the ten output rows (Card!C6:C15) show exactly Not found? All ten should. If any shows #N/A or #VALUE!, fix that row's formula in column B and copy it to column C again.</t>
        </is>
      </c>
      <c r="C10" s="20" t="inlineStr">
        <is>
          <t>Give every lookup an if_not_found, and let IF skip calculations (like DATEDIF) when the helper cell says Not found</t>
        </is>
      </c>
      <c r="D10" cm="1" s="23">
        <f t="array" ref="D10">IF(COUNTA(Card!C6:C15)=0,"",COUNTIF(Card!C6:C15,"Not found"))</f>
        <v/>
      </c>
      <c r="E10" s="22">
        <f>IF(IFERROR(D10="",FALSE),"",IF(IFERROR(AND(ISNUMBER(D10),OR(ABS(D10-'Bonus Key'!$C$9)&lt;=0.0001)),FALSE),"✔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5.xml><?xml version="1.0" encoding="utf-8"?>
<worksheet xmlns="http://schemas.openxmlformats.org/spreadsheetml/2006/main">
  <sheetPr>
    <tabColor rgb="00BF9000"/>
    <outlinePr summaryBelow="1" summaryRight="1"/>
    <pageSetUpPr fitToPage="1"/>
  </sheetPr>
  <dimension ref="A1:D15"/>
  <sheetViews>
    <sheetView tabSelected="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66" customWidth="1" min="2" max="2"/>
    <col width="34" customWidth="1" min="3" max="3"/>
    <col width="46" customWidth="1" min="4" max="4"/>
  </cols>
  <sheetData>
    <row r="1">
      <c r="A1" s="13" t="inlineStr">
        <is>
          <t>Encounter lookup card</t>
        </is>
      </c>
    </row>
    <row r="2" ht="48" customHeight="1">
      <c r="A2" s="35" t="inlineStr">
        <is>
          <t>Type one formula in each yellow cell of column B (B6:B15) and refer to the ID as B$5. Then copy B6:B15 (Ctrl + C, Mac: ⌘ + C) and paste it into C6:C15 (Ctrl + V, Mac: ⌘ + V). B$5 becomes C$5, and Copy and Paste keeps Table references such as tblEncounters[PatientID] on the same column (dragging the fill handle to the right would shift them). Every Card 2 cell must show Not found. The gray cells on the Bonus sheet check your card.</t>
        </is>
      </c>
    </row>
    <row r="4">
      <c r="A4" s="36" t="inlineStr">
        <is>
          <t>Field</t>
        </is>
      </c>
      <c r="B4" s="36" t="inlineStr">
        <is>
          <t>Card 1</t>
        </is>
      </c>
      <c r="C4" s="36" t="inlineStr">
        <is>
          <t>Card 2</t>
        </is>
      </c>
      <c r="D4" s="36" t="inlineStr">
        <is>
          <t>Where it comes from</t>
        </is>
      </c>
    </row>
    <row r="5" ht="18" customHeight="1">
      <c r="A5" s="26" t="inlineStr">
        <is>
          <t>EncounterID</t>
        </is>
      </c>
      <c r="B5" s="37" t="inlineStr">
        <is>
          <t>ENC117295</t>
        </is>
      </c>
      <c r="C5" s="37" t="inlineStr">
        <is>
          <t>ENC119O88</t>
        </is>
      </c>
      <c r="D5" t="inlineStr">
        <is>
          <t>Input: keep both IDs while you check the bonus</t>
        </is>
      </c>
    </row>
    <row r="6">
      <c r="A6" s="38" t="inlineStr">
        <is>
          <t>PatientID</t>
        </is>
      </c>
      <c r="B6" s="39" t="n"/>
      <c r="C6" s="39" t="n"/>
      <c r="D6" s="40" t="inlineStr">
        <is>
          <t>Encounters (helper cell)</t>
        </is>
      </c>
    </row>
    <row r="7">
      <c r="A7" s="38" t="inlineStr">
        <is>
          <t>Attending ProviderID</t>
        </is>
      </c>
      <c r="B7" s="39" t="n"/>
      <c r="C7" s="39" t="n"/>
      <c r="D7" s="40" t="inlineStr">
        <is>
          <t>Encounters (helper cell)</t>
        </is>
      </c>
    </row>
    <row r="8">
      <c r="A8" s="38" t="inlineStr">
        <is>
          <t>Patient name (First Last)</t>
        </is>
      </c>
      <c r="B8" s="39" t="n"/>
      <c r="C8" s="39" t="n"/>
      <c r="D8" s="40" t="inlineStr">
        <is>
          <t>Patients, via row 6</t>
        </is>
      </c>
    </row>
    <row r="9">
      <c r="A9" s="38" t="inlineStr">
        <is>
          <t>Age at admission (years)</t>
        </is>
      </c>
      <c r="B9" s="41" t="n"/>
      <c r="C9" s="41" t="n"/>
      <c r="D9" s="40" t="inlineStr">
        <is>
          <t>Patients DOB + Encounters AdmitDate</t>
        </is>
      </c>
    </row>
    <row r="10">
      <c r="A10" s="38" t="inlineStr">
        <is>
          <t>Primary diagnosis</t>
        </is>
      </c>
      <c r="B10" s="39" t="n"/>
      <c r="C10" s="39" t="n"/>
      <c r="D10" s="40" t="inlineStr">
        <is>
          <t>Encounters → Diagnoses</t>
        </is>
      </c>
    </row>
    <row r="11">
      <c r="A11" s="38" t="inlineStr">
        <is>
          <t>Unit (department)</t>
        </is>
      </c>
      <c r="B11" s="39" t="n"/>
      <c r="C11" s="39" t="n"/>
      <c r="D11" s="40" t="inlineStr">
        <is>
          <t>Encounters → Departments</t>
        </is>
      </c>
    </row>
    <row r="12">
      <c r="A12" s="38" t="inlineStr">
        <is>
          <t>Attending (First Last, Credential)</t>
        </is>
      </c>
      <c r="B12" s="39" t="n"/>
      <c r="C12" s="39" t="n"/>
      <c r="D12" s="40" t="inlineStr">
        <is>
          <t>Providers, via row 7</t>
        </is>
      </c>
    </row>
    <row r="13">
      <c r="A13" s="38" t="inlineStr">
        <is>
          <t>Attending specialty</t>
        </is>
      </c>
      <c r="B13" s="39" t="n"/>
      <c r="C13" s="39" t="n"/>
      <c r="D13" s="40" t="inlineStr">
        <is>
          <t>Providers, via row 7</t>
        </is>
      </c>
    </row>
    <row r="14">
      <c r="A14" s="38" t="inlineStr">
        <is>
          <t>Payer</t>
        </is>
      </c>
      <c r="B14" s="39" t="n"/>
      <c r="C14" s="39" t="n"/>
      <c r="D14" s="40" t="inlineStr">
        <is>
          <t>Encounters → Payers</t>
        </is>
      </c>
    </row>
    <row r="15">
      <c r="A15" s="38" t="inlineStr">
        <is>
          <t>Claim status</t>
        </is>
      </c>
      <c r="B15" s="39" t="n"/>
      <c r="C15" s="39" t="n"/>
      <c r="D15" s="40" t="inlineStr">
        <is>
          <t>Claims (search the EncounterID column)</t>
        </is>
      </c>
    </row>
  </sheetData>
  <mergeCells count="1">
    <mergeCell ref="A2:D2"/>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42" t="inlineStr">
        <is>
          <t>🔑 Answer Key — Lesson 2.6</t>
        </is>
      </c>
    </row>
    <row r="2" ht="32" customHeight="1">
      <c r="A2" s="43" t="inlineStr">
        <is>
          <t>Spoiler alert: try every task before reading this sheet. Column C is the value the Check column compares against. Column D is a sample solution, and column E recalculates a formula for it live, proving the answer.</t>
        </is>
      </c>
    </row>
    <row r="4">
      <c r="A4" s="44" t="inlineStr">
        <is>
          <t>#</t>
        </is>
      </c>
      <c r="B4" s="44" t="inlineStr">
        <is>
          <t>Task</t>
        </is>
      </c>
      <c r="C4" s="44" t="inlineStr">
        <is>
          <t>Answer</t>
        </is>
      </c>
      <c r="D4" s="44" t="inlineStr">
        <is>
          <t>Sample solution</t>
        </is>
      </c>
      <c r="E4" s="44" t="inlineStr">
        <is>
          <t>Live result</t>
        </is>
      </c>
      <c r="F4" s="44" t="inlineStr">
        <is>
          <t>Explanation</t>
        </is>
      </c>
    </row>
    <row r="5" ht="66" customHeight="1">
      <c r="A5" s="18" t="inlineStr">
        <is>
          <t>1</t>
        </is>
      </c>
      <c r="B5" s="19" t="inlineStr">
        <is>
          <t>Encounter ENC110900 is on row 9 of the Encounters sheet. Use VLOOKUP with its PatientID (cell Encounters!B9) to return the patient's last name from the Patients sheet.</t>
        </is>
      </c>
      <c r="C5" s="45" t="inlineStr">
        <is>
          <t>Robertson</t>
        </is>
      </c>
      <c r="D5" s="46" t="inlineStr">
        <is>
          <t>=VLOOKUP(Encounters!B9,Patients!$A$2:$K$186,4,FALSE)</t>
        </is>
      </c>
      <c r="E5" cm="1" s="19">
        <f t="array" ref="E5">VLOOKUP(Encounters!B9,Patients!$A$2:$K$186,4,FALSE)</f>
        <v/>
      </c>
      <c r="F5" s="19" t="inlineStr">
        <is>
          <t>VLOOKUP searches the first column of the table (PatientID) for the ID, then returns the value from the 4th column of the same row: PatientID, MRN, FirstName, LastName. FALSE asks for an exact match, which is what you want for any ID.</t>
        </is>
      </c>
    </row>
    <row r="6" ht="96" customHeight="1">
      <c r="A6" s="18" t="inlineStr">
        <is>
          <t>2</t>
        </is>
      </c>
      <c r="B6" s="19" t="inlineStr">
        <is>
          <t>Encounter ENC111256 (Encounters row 20) was billed to payer PY02. Use VLOOKUP on the Payers sheet to return the payer's PayerType.</t>
        </is>
      </c>
      <c r="C6" s="45" t="inlineStr">
        <is>
          <t>Medicare Advantage</t>
        </is>
      </c>
      <c r="D6" s="46" t="inlineStr">
        <is>
          <t>=VLOOKUP(Encounters!I20,Payers!$A$2:$F$9,3,FALSE)</t>
        </is>
      </c>
      <c r="E6" cm="1" s="19">
        <f t="array" ref="E6">VLOOKUP(Encounters!I20,Payers!$A$2:$F$9,3,FALSE)</f>
        <v/>
      </c>
      <c r="F6" s="19" t="inlineStr">
        <is>
          <t>PayerType is the 3rd column of Payers (PayerID, PayerName, PayerType). The payer's name, Silverline Medicare Advantage, contains the word Medicare, but its type is Medicare Advantage, a private plan that contracts with Medicare. That difference matters for billing rules, which is why reports look up the type instead of guessing it from the name.</t>
        </is>
      </c>
    </row>
    <row r="7" ht="66" customHeight="1">
      <c r="A7" s="18" t="inlineStr">
        <is>
          <t>3</t>
        </is>
      </c>
      <c r="B7" s="19" t="inlineStr">
        <is>
          <t>Encounter ENC113996 (Encounters row 150) has primary diagnosis code E11.65. Use XLOOKUP to return its description from the Diagnoses sheet.</t>
        </is>
      </c>
      <c r="C7" s="45" t="inlineStr">
        <is>
          <t>Type 2 diabetes mellitus with hyperglycemia</t>
        </is>
      </c>
      <c r="D7" s="46" t="inlineStr">
        <is>
          <t>=XLOOKUP(Encounters!H150,Diagnoses!$A$2:$A$52,Diagnoses!$B$2:$B$52)</t>
        </is>
      </c>
      <c r="E7" cm="1" s="19">
        <f t="array" ref="E7">_xlfn.XLOOKUP(Encounters!H150,Diagnoses!$A$2:$A$52,Diagnoses!$B$2:$B$52)</f>
        <v/>
      </c>
      <c r="F7" s="19" t="inlineStr">
        <is>
          <t>XLOOKUP takes two separate columns, one to search and one to return, so there's no column number to count. It also defaults to an exact match, so you can't forget the FALSE that VLOOKUP needs.</t>
        </is>
      </c>
    </row>
    <row r="8" ht="81" customHeight="1">
      <c r="A8" s="18" t="inlineStr">
        <is>
          <t>4</t>
        </is>
      </c>
      <c r="B8" s="19" t="inlineStr">
        <is>
          <t>Who attended encounter ENC112339 (Encounters row 73)? Use INDEX and MATCH with its AttendingProviderID to return the provider's Specialty from the Providers sheet.</t>
        </is>
      </c>
      <c r="C8" s="45" t="inlineStr">
        <is>
          <t>Pulmonary &amp; Critical Care</t>
        </is>
      </c>
      <c r="D8" s="46" t="inlineStr">
        <is>
          <t>=INDEX(Providers!$E$2:$E$148,MATCH(Encounters!G73,Providers!$A$2:$A$148,0))</t>
        </is>
      </c>
      <c r="E8" cm="1" s="19">
        <f t="array" ref="E8">INDEX(Providers!$E$2:$E$148,MATCH(Encounters!G73,Providers!$A$2:$A$148,0))</f>
        <v/>
      </c>
      <c r="F8" s="19" t="inlineStr">
        <is>
          <t>MATCH finds the position of the ProviderID in the ProviderID column (the 0 means exact match). INDEX then returns the item at that same position in the Specialty column. Because the two columns are separate arguments, INDEX/MATCH works in every Excel version and doesn't care where the columns sit.</t>
        </is>
      </c>
    </row>
    <row r="9" ht="96" customHeight="1">
      <c r="A9" s="18" t="inlineStr">
        <is>
          <t>5</t>
        </is>
      </c>
      <c r="B9" s="19" t="inlineStr">
        <is>
          <t>Fill the yellow PayerName column on the Encounters sheet with a lookup that returns each encounter's payer name (start in K2 and copy down to row 530). The gray cell counts how many encounters your column shows as exactly "Medicare".</t>
        </is>
      </c>
      <c r="C9" s="45" t="n">
        <v>120</v>
      </c>
      <c r="D9" s="46" t="inlineStr">
        <is>
          <t>=XLOOKUP(I2,Payers!$A$2:$A$9,Payers!$B$2:$B$9)</t>
        </is>
      </c>
      <c r="E9" cm="1" s="19">
        <f t="array" ref="E9">COUNTIF(Encounters!$I$2:$I$530,"PY01")</f>
        <v/>
      </c>
      <c r="F9" s="19" t="inlineStr">
        <is>
          <t>This is the everyday use of a lookup: adding a readable column to an ID-only extract. The $ signs keep the Payers ranges fixed while the lookup value (I2, then I3, …) moves down a row at a time. =VLOOKUP(I2,Payers!$A$2:$F$9,2,FALSE) works just as well. COUNTIF with "Medicare" counts exact matches only, so Silverline Medicare Advantage isn't included.</t>
        </is>
      </c>
    </row>
    <row r="10" ht="96" customHeight="1">
      <c r="A10" s="18" t="inlineStr">
        <is>
          <t>6</t>
        </is>
      </c>
      <c r="B10" s="19" t="inlineStr">
        <is>
          <t>Patient PT10395 is on Patients row 21, and the Age column shows 75. Use VLOOKUP with an approximate match (TRUE) on the AgeBands sheet to return the patient's age band.</t>
        </is>
      </c>
      <c r="C10" s="45" t="inlineStr">
        <is>
          <t>75-84</t>
        </is>
      </c>
      <c r="D10" s="46" t="inlineStr">
        <is>
          <t>=VLOOKUP(Patients!G21,AgeBands!$A$2:$B$7,2,TRUE)</t>
        </is>
      </c>
      <c r="E10" cm="1" s="19">
        <f t="array" ref="E10">VLOOKUP(Patients!G21,AgeBands!$A$2:$B$7,2,TRUE)</f>
        <v/>
      </c>
      <c r="F10" s="19" t="inlineStr">
        <is>
          <t>With TRUE, VLOOKUP looks for the largest MinAge that is less than or equal to 75. MinAge 75 qualifies, and the next one (85) is too big, so the answer is the 75-84 band. A value exactly on a boundary belongs to the band that starts there. That's why a tier table lists each band's lower bound, sorted smallest to largest.</t>
        </is>
      </c>
    </row>
    <row r="11" ht="111" customHeight="1">
      <c r="A11" s="18" t="inlineStr">
        <is>
          <t>7</t>
        </is>
      </c>
      <c r="B11" s="19" t="inlineStr">
        <is>
          <t>Fill the yellow BMICategory column on the Patients sheet: look up each patient's BMI in the BMITiers table with an approximate match (start in L2 and copy down to row 186). The gray cell counts patients in any obesity class (BMI 30 or higher).</t>
        </is>
      </c>
      <c r="C11" s="45" t="n">
        <v>82</v>
      </c>
      <c r="D11" s="46" t="inlineStr">
        <is>
          <t>=VLOOKUP(J2,BMITiers!$A$2:$B$7,2,TRUE)</t>
        </is>
      </c>
      <c r="E11" cm="1" s="19">
        <f t="array" ref="E11">COUNTIF(Patients!$J$2:$J$186,"&gt;=30")</f>
        <v/>
      </c>
      <c r="F11" s="19" t="inlineStr">
        <is>
          <t>Each BMI falls between two lower bounds in BMITiers, and the approximate match returns the tier whose lower bound is the largest one at or below the BMI. 5 patients sit exactly on a boundary (25.0 or 30.0) and correctly land in the higher tier. The XLOOKUP version is =XLOOKUP(J2,BMITiers!$A$2:$A$7,BMITiers!$B$2:$B$7,,-1). The panel has 41 patients in class 1, 28 in class 2, and 13 in class 3.</t>
        </is>
      </c>
    </row>
    <row r="12" ht="96" customHeight="1">
      <c r="A12" s="18" t="inlineStr">
        <is>
          <t>8</t>
        </is>
      </c>
      <c r="B12" s="19" t="inlineStr">
        <is>
          <t>The lab's interface file sent a result for MRN 50339. It arrived as a number, so its leading zeros were dropped, but the Patients sheet stores MRNs as 8-character text. Return the PatientID for this MRN. (PatientID is to the left of MRN, so VLOOKUP can't do it.)</t>
        </is>
      </c>
      <c r="C12" s="45" t="inlineStr">
        <is>
          <t>PT11047</t>
        </is>
      </c>
      <c r="D12" s="46" t="inlineStr">
        <is>
          <t>=XLOOKUP(TEXT(50339,"00000000"),Patients!$B$2:$B$186,Patients!$A$2:$A$186)</t>
        </is>
      </c>
      <c r="E12" cm="1" s="19">
        <f t="array" ref="E12">_xlfn.XLOOKUP(TEXT(50339,"00000000"),Patients!$B$2:$B$186,Patients!$A$2:$A$186)</f>
        <v/>
      </c>
      <c r="F12" s="19" t="inlineStr">
        <is>
          <t>Looking up the number 50339 returns #N/A, because a number never equals the text "00050339". TEXT(…,"00000000") pads it back to 8 characters as text, and then the match works. The INDEX/MATCH version is =INDEX(Patients!$A$2:$A$186,MATCH(TEXT(50339,"00000000"),Patients!$B$2:$B$186,0)). Both can return a column to the left of the one they search.</t>
        </is>
      </c>
    </row>
    <row r="13" ht="96" customHeight="1">
      <c r="A13" s="18" t="inlineStr">
        <is>
          <t>9</t>
        </is>
      </c>
      <c r="B13" s="19" t="inlineStr">
        <is>
          <t>A clinic note mentions "osteoarthritis of the right knee." Use a wildcard lookup to return the DxCode whose DxDescription contains the word knee.</t>
        </is>
      </c>
      <c r="C13" s="45" t="inlineStr">
        <is>
          <t>M17.11</t>
        </is>
      </c>
      <c r="D13" s="46" t="inlineStr">
        <is>
          <t>=XLOOKUP("*knee*",Diagnoses!$B$2:$B$52,Diagnoses!$A$2:$A$52,,2)</t>
        </is>
      </c>
      <c r="E13" cm="1" s="19">
        <f t="array" ref="E13">_xlfn.XLOOKUP("*knee*",Diagnoses!$B$2:$B$52,Diagnoses!$A$2:$A$52,,2)</f>
        <v/>
      </c>
      <c r="F13" s="19" t="inlineStr">
        <is>
          <t>The asterisk stands for any number of characters, so "knee" matches "Unilateral primary osteoarthritis, right knee". XLOOKUP only uses wildcards when match_mode is 2. MATCH with match_type 0 uses them automatically: =INDEX(Diagnoses!$A$2:$A$52,MATCH("knee",Diagnoses!$B$2:$B$52,0)). If several descriptions matched, you'd get the first one.</t>
        </is>
      </c>
    </row>
    <row r="14" ht="156" customHeight="1">
      <c r="A14" s="18" t="inlineStr">
        <is>
          <t>10</t>
        </is>
      </c>
      <c r="B14" s="19" t="inlineStr">
        <is>
          <t>Two-way lookup: on the Budget sheet, what is the 2025 Pharmaceuticals budget for department D130 (Intensive Care Unit at Bluestone Memorial Hospital)? Find the row by DeptID and the column by category name.</t>
        </is>
      </c>
      <c r="C14" s="47" t="n">
        <v>993601</v>
      </c>
      <c r="D14" s="46" t="inlineStr">
        <is>
          <t>=INDEX(Budget!$D$2:$J$32,MATCH("D130",Budget!$A$2:$A$32,0),MATCH("Pharmaceuticals",Budget!$D$1:$J$1,0))</t>
        </is>
      </c>
      <c r="E14" cm="1" s="48">
        <f t="array" ref="E14">INDEX(Budget!$D$2:$J$32,MATCH("D130",Budget!$A$2:$A$32,0),MATCH("Pharmaceuticals",Budget!$D$1:$J$1,0))</f>
        <v/>
      </c>
      <c r="F14" s="19" t="inlineStr">
        <is>
          <t>The first MATCH finds the department's row inside the grid and the second finds the category's column in the header row. INDEX returns the cell where they cross. The nested XLOOKUP version is =XLOOKUP("D130",Budget!$A$2:$A$32,XLOOKUP("Pharmaceuticals",Budget!$D$1:$J$1,Budget!$D$2:$J$32)): the inner XLOOKUP returns the whole Pharmaceuticals column, and the outer one picks the department's row from it. Look up by DeptID, not DeptName. Three facilities each have an "Intensive Care Unit", and a lookup on that name would return only the first one.</t>
        </is>
      </c>
    </row>
    <row r="15" ht="96" customHeight="1">
      <c r="A15" s="18" t="inlineStr">
        <is>
          <t>11</t>
        </is>
      </c>
      <c r="B15" s="19" t="inlineStr">
        <is>
          <t>What is the TOTAL 2025 expense budget (all seven categories) for department D400, Primary Care Clinic, where Dr. Nguyen practices? Use one lookup that returns the department's whole row of the grid, wrapped in SUM.</t>
        </is>
      </c>
      <c r="C15" s="47" t="n">
        <v>5348882</v>
      </c>
      <c r="D15" s="46" t="inlineStr">
        <is>
          <t>=SUM(XLOOKUP("D400",Budget!$A$2:$A$32,Budget!$D$2:$J$32))</t>
        </is>
      </c>
      <c r="E15" cm="1" s="48">
        <f t="array" ref="E15">SUM(_xlfn.XLOOKUP("D400",Budget!$A$2:$A$32,Budget!$D$2:$J$32))</f>
        <v/>
      </c>
      <c r="F15" s="19" t="inlineStr">
        <is>
          <t>When return_array is seven columns wide, XLOOKUP returns all seven values from the matching row, and SUM adds them. On its own in an empty cell the same XLOOKUP would spill across seven cells. INDEX can do this too, because a column number of 0 means "the whole row": =SUM(INDEX(Budget!$D$2:$J$32,MATCH("D400",Budget!$A$2:$A$32,0),0)).</t>
        </is>
      </c>
    </row>
    <row r="16" ht="111" customHeight="1">
      <c r="A16" s="18" t="inlineStr">
        <is>
          <t>12</t>
        </is>
      </c>
      <c r="B16" s="19" t="inlineStr">
        <is>
          <t>Patient PT13163 visited more often than anyone else on the panel (11 encounters in 2025). The Encounters sheet is sorted oldest to newest. Use XLOOKUP searching from the bottom up to return the AdmitDate of this patient's most recent encounter.</t>
        </is>
      </c>
      <c r="C16" s="49" t="n">
        <v>46020</v>
      </c>
      <c r="D16" s="46" t="inlineStr">
        <is>
          <t>=XLOOKUP("PT13163",Encounters!$B$2:$B$530,Encounters!$D$2:$D$530,,0,-1)</t>
        </is>
      </c>
      <c r="E16" cm="1" s="50">
        <f t="array" ref="E16">_xlfn.XLOOKUP("PT13163",Encounters!$B$2:$B$530,Encounters!$D$2:$D$530,,0,-1)</f>
        <v/>
      </c>
      <c r="F16" s="19" t="inlineStr">
        <is>
          <t>A normal lookup stops at the first match, which here is the oldest encounter (01/19/2025). search_mode -1 starts at the bottom, so the first match it meets is the most recent row. If the result shows a number like 46020, format the cell as a date. =MAXIFS(…) (Lesson 2.5) gives the same date, but only the lookup can return other columns from that row, like its EncounterID or diagnosis.</t>
        </is>
      </c>
    </row>
    <row r="17" ht="111" customHeight="1">
      <c r="A17" s="18" t="inlineStr">
        <is>
          <t>13</t>
        </is>
      </c>
      <c r="B17" s="19" t="inlineStr">
        <is>
          <t>The Referrals sheet lists 24 referrals received in December. Fill its yellow PatientID column by looking up each MRN in the Patients sheet (start in G2 and copy down to row 25). Patients who aren't on the panel yet must show the text Not found instead of #N/A. The gray cell counts the Not found rows.</t>
        </is>
      </c>
      <c r="C17" s="45" t="n">
        <v>7</v>
      </c>
      <c r="D17" s="46" t="inlineStr">
        <is>
          <t>=XLOOKUP(C2,Patients!$B$2:$B$186,Patients!$A$2:$A$186,"Not found")</t>
        </is>
      </c>
      <c r="E17" cm="1" s="19">
        <f t="array" ref="E17">SUMPRODUCT(--ISNA(MATCH(Referrals!$C$2:$C$25,Patients!$B$2:$B$186,0)))</f>
        <v/>
      </c>
      <c r="F17" s="19" t="inlineStr">
        <is>
          <t>XLOOKUP's if_not_found argument replaces #N/A with your own text, but only when the lookup really finds nothing. The older equivalent is =IFNA(INDEX(Patients!$A$2:$A$186,MATCH(C2,Patients!$B$2:$B$186,0)),"Not found"). Prefer IFNA to IFERROR here. IFERROR would also hide a #REF! or #NAME? caused by a broken formula, and you'd never know. The 7 Not found rows are new patients for the practice to register.</t>
        </is>
      </c>
    </row>
  </sheetData>
  <mergeCells count="1">
    <mergeCell ref="A2:F2"/>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42" t="inlineStr">
        <is>
          <t>🔑 Bonus Key — Lesson 2.6</t>
        </is>
      </c>
    </row>
    <row r="2" ht="32" customHeight="1">
      <c r="A2" s="43" t="inlineStr">
        <is>
          <t>Spoiler alert: try every task before reading this sheet. Column C is the value the Check column compares against. Column D is a sample solution, and column E recalculates a formula for it live, proving the answer.</t>
        </is>
      </c>
    </row>
    <row r="4">
      <c r="A4" s="44" t="inlineStr">
        <is>
          <t>#</t>
        </is>
      </c>
      <c r="B4" s="44" t="inlineStr">
        <is>
          <t>Task</t>
        </is>
      </c>
      <c r="C4" s="44" t="inlineStr">
        <is>
          <t>Answer</t>
        </is>
      </c>
      <c r="D4" s="44" t="inlineStr">
        <is>
          <t>Sample solution</t>
        </is>
      </c>
      <c r="E4" s="44" t="inlineStr">
        <is>
          <t>Live result</t>
        </is>
      </c>
      <c r="F4" s="44" t="inlineStr">
        <is>
          <t>Explanation</t>
        </is>
      </c>
    </row>
    <row r="5" ht="81" customHeight="1">
      <c r="A5" s="18" t="inlineStr">
        <is>
          <t>B1</t>
        </is>
      </c>
      <c r="B5" s="19" t="inlineStr">
        <is>
          <t>Card 1 (ENC117295): what does your Patient name row (Card!B8) show? Format: First Last.</t>
        </is>
      </c>
      <c r="C5" s="45" t="inlineStr">
        <is>
          <t>Carlos Ortiz</t>
        </is>
      </c>
      <c r="D5" s="46" t="inlineStr">
        <is>
          <t>=IF(B6="Not found","Not found",XLOOKUP(B6,Patients!$A$2:$A$186,Patients!$C$2:$C$186)&amp;" "&amp;XLOOKUP(B6,Patients!$A$2:$A$186,Patients!$D$2:$D$186))</t>
        </is>
      </c>
      <c r="E5" cm="1" s="19">
        <f t="array" ref="E5">_xlfn.XLOOKUP(_xlfn.XLOOKUP("ENC117295",Encounters!$A$2:$A$530,Encounters!$B$2:$B$530),Patients!$A$2:$A$186,Patients!$C$2:$C$186)&amp;" "&amp;_xlfn.XLOOKUP(_xlfn.XLOOKUP("ENC117295",Encounters!$A$2:$A$530,Encounters!$B$2:$B$530),Patients!$A$2:$A$186,Patients!$D$2:$D$186)</f>
        <v/>
      </c>
      <c r="F5" s="19" t="inlineStr">
        <is>
          <t>Row 6 does the first hop, from EncounterID to PatientID, once, and every patient row reuses it. Chaining through a helper cell keeps each formula short and lets you check each hop on its own. The IF in front returns Not found when row 6 already says so, which keeps Card 2 clean.</t>
        </is>
      </c>
    </row>
    <row r="6" ht="96" customHeight="1">
      <c r="A6" s="18" t="inlineStr">
        <is>
          <t>B2</t>
        </is>
      </c>
      <c r="B6" s="19" t="inlineStr">
        <is>
          <t>Card 1: how old was the patient, in completed years, on the encounter's AdmitDate (Card!B9)?</t>
        </is>
      </c>
      <c r="C6" s="45" t="n">
        <v>78</v>
      </c>
      <c r="D6" s="46" t="inlineStr">
        <is>
          <t>=IF(B6="Not found","Not found",DATEDIF(XLOOKUP(B6,Patients!$A$2:$A$186,Patients!$F$2:$F$186),XLOOKUP(B$5,Encounters!$A$2:$A$530,Encounters!$D$2:$D$530),"Y"))</t>
        </is>
      </c>
      <c r="E6" cm="1" s="19">
        <f t="array" ref="E6">DATEDIF(_xlfn.XLOOKUP(_xlfn.XLOOKUP("ENC117295",Encounters!$A$2:$A$530,Encounters!$B$2:$B$530),Patients!$A$2:$A$186,Patients!$F$2:$F$186),_xlfn.XLOOKUP("ENC117295",Encounters!$A$2:$A$530,Encounters!$D$2:$D$530),"Y")</f>
        <v/>
      </c>
      <c r="F6" s="19" t="inlineStr">
        <is>
          <t>DATEDIF with "Y" counts completed years. The patient was born on 09/18/1946 and admitted on 08/01/2025, 48 days before turning 79, so the answer is 78. YEAR(admit) − YEAR(DOB) would give 79, which is one year too old. The DOB comes from Patients (via row 6) and the AdmitDate from Encounters (via row 5), so this one formula reads two different tables.</t>
        </is>
      </c>
    </row>
    <row r="7" ht="96" customHeight="1">
      <c r="A7" s="18" t="inlineStr">
        <is>
          <t>B3</t>
        </is>
      </c>
      <c r="B7" s="19" t="inlineStr">
        <is>
          <t>Card 1: what does your Attending row (Card!B12) show? Format: First Last, Credential (for example, Isabella Nguyen, MD).</t>
        </is>
      </c>
      <c r="C7" s="45" t="inlineStr">
        <is>
          <t>Judith Cox, DO</t>
        </is>
      </c>
      <c r="D7" s="46" t="inlineStr">
        <is>
          <t>=IF(B7="Not found","Not found",XLOOKUP(B7,Providers!$A$2:$A$148,Providers!$B$2:$B$148)&amp;" "&amp;XLOOKUP(B7,Providers!$A$2:$A$148,Providers!$C$2:$C$148)&amp;", "&amp;XLOOKUP(B7,Providers!$A$2:$A$148,Providers!$D$2:$D$148))</t>
        </is>
      </c>
      <c r="E7" cm="1" s="19">
        <f t="array" ref="E7">_xlfn.XLOOKUP(_xlfn.XLOOKUP("ENC117295",Encounters!$A$2:$A$530,Encounters!$G$2:$G$530),Providers!$A$2:$A$148,Providers!$B$2:$B$148)&amp;" "&amp;_xlfn.XLOOKUP(_xlfn.XLOOKUP("ENC117295",Encounters!$A$2:$A$530,Encounters!$G$2:$G$530),Providers!$A$2:$A$148,Providers!$C$2:$C$148)&amp;", "&amp;_xlfn.XLOOKUP(_xlfn.XLOOKUP("ENC117295",Encounters!$A$2:$A$530,Encounters!$G$2:$G$530),Providers!$A$2:$A$148,Providers!$D$2:$D$148)</f>
        <v/>
      </c>
      <c r="F7" s="19" t="inlineStr">
        <is>
          <t>Three lookups on the same ProviderID return FirstName, LastName, and Credential, and &amp; glues them together with a space and a comma. Showing the credential is safer than putting "Dr." in front of every name, because some attendings are nurse practitioners (NP) or physician assistants (PA). Judith Cox is a DO, a doctor of osteopathic medicine.</t>
        </is>
      </c>
    </row>
    <row r="8" ht="96" customHeight="1">
      <c r="A8" s="18" t="inlineStr">
        <is>
          <t>B4</t>
        </is>
      </c>
      <c r="B8" s="19" t="inlineStr">
        <is>
          <t>Card 1: what is the claim status (Card!B15)? Claims are matched by EncounterID, which is column B of the Claims sheet.</t>
        </is>
      </c>
      <c r="C8" s="45" t="inlineStr">
        <is>
          <t>Denied</t>
        </is>
      </c>
      <c r="D8" s="46" t="inlineStr">
        <is>
          <t>=XLOOKUP(B$5,Claims!$B$2:$B$530,Claims!$G$2:$G$530,"Not found")</t>
        </is>
      </c>
      <c r="E8" cm="1" s="19">
        <f t="array" ref="E8">_xlfn.XLOOKUP("ENC117295",Claims!$B$2:$B$530,Claims!$G$2:$G$530)</f>
        <v/>
      </c>
      <c r="F8" s="19" t="inlineStr">
        <is>
          <t>The Claims key is ClaimID, but the card knows only the EncounterID. XLOOKUP searches the EncounterID column wherever it is. With VLOOKUP you'd start the table at column B: =VLOOKUP(B$5,Claims!$B$2:$H$530,6,FALSE). This claim was denied (Authorization Required), so it goes on the care manager's follow-up list.</t>
        </is>
      </c>
    </row>
    <row r="9" ht="409" customHeight="1">
      <c r="A9" s="18" t="inlineStr">
        <is>
          <t>B5</t>
        </is>
      </c>
      <c r="B9" s="19" t="inlineStr">
        <is>
          <t>Card 2 (ENC119O88): how many of the ten output rows (Card!C6:C15) show exactly Not found? All ten should. If any shows #N/A or #VALUE!, fix that row's formula in column B and copy it to column C again.</t>
        </is>
      </c>
      <c r="C9" s="45" t="n">
        <v>10</v>
      </c>
      <c r="D9" s="46" t="inlineStr">
        <is>
          <t>=XLOOKUP(B$5,Encounters!$A$2:$A$530,Encounters!$B$2:$B$530,"Not found")</t>
        </is>
      </c>
      <c r="E9" cm="1" s="19">
        <f t="array" ref="E9">IF(ISNA(MATCH("ENC119O88",Encounters!$A$2:$A$530,0)),10,0)</f>
        <v/>
      </c>
      <c r="F9" s="19" t="inlineStr">
        <is>
          <t>ENC119O88 contains the letter O where the real ID ENC119088 has a zero. To Excel they're different text, so every lookup comes back empty-handed. That's the most common reason a lookup fails on data that looks right. The sample solution shown is row 6. Three techniques make the whole card fail politely:
1. Every XLOOKUP gets an if_not_found of "Not found".
2. Chained lookups pass "Not found" along. The inner XLOOKUP returns it, and the outer one can't find a DxCode called "Not found", so it returns its own "Not found".
3. Rows that join or calculate (the two name rows and the age row) test their helper cell first with IF(B6="Not found","Not found",…). Without that test, DATEDIF of the text "Not found" returns #VALUE!. A name join would show #N/A, or "Not found Not found" if each of its lookups had its own if_not_found.
Your finished card should match this:
| Row | Field | Card 1 (ENC117295) | Card 2 (ENC119O88) |
|:-:|---|---|---|
| 6 | PatientID | PT12752 | Not found |
| 7 | Attending ProviderID | PRV1030 | Not found |
| 8 | Patient name (First Last) | Carlos Ortiz | Not found |
| 9 | Age at admission (years) | 78 | Not found |
| 10 | Primary diagnosis | Chronic obstructive pulmonary disease with (acute) exacerbation | Not found |
| 11 | Unit (department) | Medical-Surgical 4 West | Not found |
| 12 | Attending (First Last, Credential) | Judith Cox, DO | Not found |
| 13 | Attending specialty | Hospital Medicine | Not found |
| 14 | Payer | Silverline Medicare Advantage | Not found |
| 15 | Claim status | Denied | Not found |
Every formula on the card (type them in column B, then copy them to column C):
- Row 6 · PatientID: =XLOOKUP(B$5,Encounters!$A$2:$A$530,Encounters!$B$2:$B$530,"Not found")
- Row 7 · Attending ProviderID: =XLOOKUP(B$5,Encounters!$A$2:$A$530,Encounters!$G$2:$G$530,"Not found")
- Row 8 · Patient name (First Last): =IF(B6="Not found","Not found",XLOOKUP(B6,Patients!$A$2:$A$186,Patients!$C$2:$C$186)&amp;" "&amp;XLOOKUP(B6,Patients!$A$2:$A$186,Patients!$D$2:$D$186))
- Row 9 · Age at admission (years): =IF(B6="Not found","Not found",DATEDIF(XLOOKUP(B6,Patients!$A$2:$A$186,Patients!$F$2:$F$186),XLOOKUP(B$5,Encounters!$A$2:$A$530,Encounters!$D$2:$D$530),"Y"))
- Row 10 · Primary diagnosis: =XLOOKUP(XLOOKUP(B$5,Encounters!$A$2:$A$530,Encounters!$H$2:$H$530,"Not found"),Diagnoses!$A$2:$A$52,Diagnoses!$B$2:$B$52,"Not found")
- Row 11 · Unit (department): =XLOOKUP(XLOOKUP(B$5,Encounters!$A$2:$A$530,Encounters!$F$2:$F$530,"Not found"),Departments!$A$2:$A$32,Departments!$B$2:$B$32,"Not found")
- Row 12 · Attending (First Last, Credential): =IF(B7="Not found","Not found",XLOOKUP(B7,Providers!$A$2:$A$148,Providers!$B$2:$B$148)&amp;" "&amp;XLOOKUP(B7,Providers!$A$2:$A$148,Providers!$C$2:$C$148)&amp;", "&amp;XLOOKUP(B7,Providers!$A$2:$A$148,Providers!$D$2:$D$148))
- Row 13 · Attending specialty: =XLOOKUP(B7,Providers!$A$2:$A$148,Providers!$E$2:$E$148,"Not found")
- Row 14 · Payer: =XLOOKUP(XLOOKUP(B$5,Encounters!$A$2:$A$530,Encounters!$I$2:$I$530,"Not found"),Payers!$A$2:$A$9,Payers!$B$2:$B$9,"Not found")
- Row 15 · Claim status: =XLOOKUP(B$5,Claims!$B$2:$B$530,Claims!$G$2:$G$530,"Not found")</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2.6 — Lookups: VLOOKUP, INDEX/MATCH &amp; XLOOKUP</dc:title>
  <dcterms:created xsi:type="dcterms:W3CDTF">2026-10-02T18:49:53Z</dcterms:created>
  <dcterms:modified xsi:type="dcterms:W3CDTF">2026-10-02T18:49:53Z</dcterms:modified>
</cp:coreProperties>
</file>
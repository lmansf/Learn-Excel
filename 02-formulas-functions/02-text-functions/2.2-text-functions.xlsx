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Patients" sheetId="3" state="visible" r:id="rId3"/>
    <sheet name="Encounters" sheetId="4" state="visible" r:id="rId4"/>
    <sheet name="Providers" sheetId="5" state="visible" r:id="rId5"/>
    <sheet name="Bonus" sheetId="6" state="visible" r:id="rId6"/>
    <sheet name="Registrations" sheetId="7" state="visible" r:id="rId7"/>
    <sheet name="Answer Key" sheetId="8" state="hidden" r:id="rId8"/>
    <sheet name="Bonus Key" sheetId="9" state="hidden" r:id="rId9"/>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2">
    <numFmt numFmtId="164" formatCode="yyyy-mm-dd"/>
    <numFmt numFmtId="165" formatCode="mm/dd/yyyy"/>
  </numFmts>
  <fonts count="17">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s>
  <fills count="9">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38">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3" borderId="2" applyAlignment="1" pivotButton="0" quotePrefix="0" xfId="0">
      <alignment horizontal="left" vertical="top"/>
    </xf>
    <xf numFmtId="0" fontId="1" fillId="0" borderId="1" applyAlignment="1" pivotButton="0" quotePrefix="0" xfId="0">
      <alignment vertical="top"/>
    </xf>
    <xf numFmtId="0" fontId="11" fillId="6" borderId="1" applyAlignment="1" pivotButton="0" quotePrefix="0" xfId="0">
      <alignment horizontal="right" vertical="top"/>
    </xf>
    <xf numFmtId="0" fontId="0" fillId="3" borderId="2" applyAlignment="1" pivotButton="0" quotePrefix="0" xfId="0">
      <alignment horizontal="right" vertical="top"/>
    </xf>
    <xf numFmtId="0" fontId="1" fillId="0" borderId="0" pivotButton="0" quotePrefix="0" xfId="0"/>
    <xf numFmtId="0" fontId="2" fillId="2" borderId="0" pivotButton="0" quotePrefix="0" xfId="0"/>
    <xf numFmtId="0" fontId="0" fillId="3" borderId="0" pivotButton="0" quotePrefix="0" xfId="0"/>
    <xf numFmtId="165" fontId="0" fillId="0" borderId="0" pivotButton="0" quotePrefix="0" xfId="0"/>
    <xf numFmtId="2" fontId="0" fillId="3" borderId="2" applyAlignment="1" pivotButton="0" quotePrefix="0" xfId="0">
      <alignment horizontal="right" vertical="top"/>
    </xf>
    <xf numFmtId="0" fontId="3" fillId="0" borderId="0" pivotButton="0" quotePrefix="0" xfId="0"/>
    <xf numFmtId="0" fontId="4" fillId="0" borderId="0" applyAlignment="1" pivotButton="0" quotePrefix="0" xfId="0">
      <alignment vertical="top" wrapText="1"/>
    </xf>
    <xf numFmtId="0" fontId="5" fillId="4" borderId="1" pivotButton="0" quotePrefix="0" xfId="0"/>
    <xf numFmtId="0" fontId="1" fillId="0" borderId="1" applyAlignment="1" pivotButton="0" quotePrefix="0" xfId="0">
      <alignment vertical="top" wrapText="1"/>
    </xf>
    <xf numFmtId="0" fontId="6" fillId="0" borderId="1" applyAlignment="1" pivotButton="0" quotePrefix="1" xfId="0">
      <alignment vertical="top" wrapText="1"/>
    </xf>
    <xf numFmtId="0" fontId="0" fillId="0" borderId="1" applyAlignment="1" pivotButton="0" quotePrefix="0" xfId="0">
      <alignment vertical="top"/>
    </xf>
    <xf numFmtId="2" fontId="1" fillId="0" borderId="1" applyAlignment="1" pivotButton="0" quotePrefix="0" xfId="0">
      <alignment vertical="top" wrapText="1"/>
    </xf>
    <xf numFmtId="2"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Id="rIdXlcMeta" Type="http://schemas.openxmlformats.org/officeDocument/2006/relationships/sheetMetadata" Target="metadata.xml"/></Relationships>
</file>

<file path=xl/tables/table1.xml><?xml version="1.0" encoding="utf-8"?>
<table xmlns="http://schemas.openxmlformats.org/spreadsheetml/2006/main" id="1" name="tblPatients" displayName="tblPatients" ref="A1:J401" headerRowCount="1">
  <autoFilter ref="A1:J401"/>
  <tableColumns count="10">
    <tableColumn id="1" name="PatientID"/>
    <tableColumn id="2" name="MRN"/>
    <tableColumn id="3" name="PatientName"/>
    <tableColumn id="4" name="Phone"/>
    <tableColumn id="5" name="Email"/>
    <tableColumn id="6" name="ChronicConditions"/>
    <tableColumn id="7" name="FirstName"/>
    <tableColumn id="8" name="ContactLine"/>
    <tableColumn id="9" name="HasDM"/>
    <tableColumn id="10" name="ConditionCount"/>
  </tableColumns>
  <tableStyleInfo name="TableStyleMedium2" showRowStripes="1"/>
</table>
</file>

<file path=xl/tables/table2.xml><?xml version="1.0" encoding="utf-8"?>
<table xmlns="http://schemas.openxmlformats.org/spreadsheetml/2006/main" id="2" name="tblEncounters" displayName="tblEncounters" ref="A1:G284" headerRowCount="1">
  <autoFilter ref="A1:G284"/>
  <tableColumns count="7">
    <tableColumn id="1" name="EncounterID"/>
    <tableColumn id="2" name="PatientID"/>
    <tableColumn id="3" name="EncounterType"/>
    <tableColumn id="4" name="AdmitDate"/>
    <tableColumn id="5" name="PrimaryDxCode"/>
    <tableColumn id="6" name="DxDescription"/>
    <tableColumn id="7" name="DxCategory"/>
  </tableColumns>
  <tableStyleInfo name="TableStyleMedium2" showRowStripes="1"/>
</table>
</file>

<file path=xl/tables/table3.xml><?xml version="1.0" encoding="utf-8"?>
<table xmlns="http://schemas.openxmlformats.org/spreadsheetml/2006/main" id="3" name="tblProviders" displayName="tblProviders" ref="A1:E148" headerRowCount="1">
  <autoFilter ref="A1:E148"/>
  <tableColumns count="5">
    <tableColumn id="1" name="ProviderID"/>
    <tableColumn id="2" name="FirstName"/>
    <tableColumn id="3" name="LastName"/>
    <tableColumn id="4" name="Credential"/>
    <tableColumn id="5" name="Specialty"/>
  </tableColumns>
  <tableStyleInfo name="TableStyleMedium2" showRowStripes="1"/>
</table>
</file>

<file path=xl/tables/table4.xml><?xml version="1.0" encoding="utf-8"?>
<table xmlns="http://schemas.openxmlformats.org/spreadsheetml/2006/main" id="4" name="tblRegistrations" displayName="tblRegistrations" ref="A1:E651" headerRowCount="1">
  <autoFilter ref="A1:E651"/>
  <tableColumns count="5">
    <tableColumn id="1" name="RecordID"/>
    <tableColumn id="2" name="PatientName"/>
    <tableColumn id="3" name="CityStateZip"/>
    <tableColumn id="4" name="City"/>
    <tableColumn id="5" name="ZIP5"/>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tabColor rgb="001F4E79"/>
    <outlinePr summaryBelow="1" summaryRight="1"/>
    <pageSetUpPr fitToPage="1"/>
  </sheetPr>
  <dimension ref="B2:C33"/>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2.2</t>
        </is>
      </c>
    </row>
    <row r="3">
      <c r="B3" s="2" t="inlineStr">
        <is>
          <t>Text Functions</t>
        </is>
      </c>
    </row>
    <row r="4">
      <c r="B4" s="3" t="inlineStr">
        <is>
          <t>Beginner → Intermediate  ·  about 50 minutes  ·  Bluestone Health System (fictional)</t>
        </is>
      </c>
    </row>
    <row r="6">
      <c r="B6" s="4" t="inlineStr">
        <is>
          <t>What you'll learn</t>
        </is>
      </c>
      <c r="C6" s="5" t="n"/>
    </row>
    <row r="7" ht="18" customHeight="1">
      <c r="B7" s="6" t="inlineStr">
        <is>
          <t>•</t>
        </is>
      </c>
      <c r="C7" s="7" t="inlineStr">
        <is>
          <t>Extract parts of text with LEFT, RIGHT, MID, FIND, and SEARCH</t>
        </is>
      </c>
    </row>
    <row r="8" ht="18" customHeight="1">
      <c r="B8" s="6" t="inlineStr">
        <is>
          <t>•</t>
        </is>
      </c>
      <c r="C8" s="7" t="inlineStr">
        <is>
          <t>Clean and standardize text with TRIM, CLEAN, UPPER, LOWER, PROPER, and SUBSTITUTE</t>
        </is>
      </c>
    </row>
    <row r="9" ht="18" customHeight="1">
      <c r="B9" s="6" t="inlineStr">
        <is>
          <t>•</t>
        </is>
      </c>
      <c r="C9" s="7" t="inlineStr">
        <is>
          <t>Join text with &amp;, CONCAT, and TEXTJOIN; format numbers as text with TEXT</t>
        </is>
      </c>
    </row>
    <row r="10" ht="18" customHeight="1">
      <c r="B10" s="6" t="inlineStr">
        <is>
          <t>•</t>
        </is>
      </c>
      <c r="C10" s="7" t="inlineStr">
        <is>
          <t>Use modern TEXTBEFORE, TEXTAFTER, and TEXTSPLIT (Microsoft 365)</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https://github.com/lmansf/learn-excel/tree/main/02-formulas-functions/02-text-functions</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48" customHeight="1">
      <c r="B18" s="8" t="inlineStr">
        <is>
          <t>Note</t>
        </is>
      </c>
      <c r="C18" s="7" t="inlineStr">
        <is>
          <t>Tasks 9 and 10 and bonus parts B1–B3 use TEXTBEFORE, TEXTAFTER, or TEXTSPLIT, which need Microsoft 365, Excel for the web, or Excel 2024. In older versions those functions show #NAME?, so use the classic LEFT, MID, and FIND methods from the guide instead.</t>
        </is>
      </c>
    </row>
    <row r="19" ht="33" customHeight="1">
      <c r="B19" s="8" t="inlineStr">
        <is>
          <t>Note</t>
        </is>
      </c>
      <c r="C19" s="7" t="inlineStr">
        <is>
          <t>Tasks 2, 8, 11, and 12 ask you to fill a yellow column on a data sheet. The data sheets are Excel Tables, so a formula typed in the first row usually fills the whole column automatically.</t>
        </is>
      </c>
    </row>
    <row r="21">
      <c r="B21" s="4" t="inlineStr">
        <is>
          <t>Color legend</t>
        </is>
      </c>
      <c r="C21" s="5" t="n"/>
    </row>
    <row r="22" ht="18" customHeight="1">
      <c r="B22" s="9" t="inlineStr">
        <is>
          <t>Yellow cell</t>
        </is>
      </c>
      <c r="C22" s="7" t="inlineStr">
        <is>
          <t>Your answer goes here.</t>
        </is>
      </c>
    </row>
    <row r="23" ht="18" customHeight="1">
      <c r="B23" s="10" t="inlineStr">
        <is>
          <t>Gray cell</t>
        </is>
      </c>
      <c r="C23" s="7" t="inlineStr">
        <is>
          <t>Pre-filled summary formula — it reads the work you did on another sheet.</t>
        </is>
      </c>
    </row>
    <row r="24" ht="18" customHeight="1">
      <c r="B24" s="11" t="inlineStr">
        <is>
          <t>✔ Correct</t>
        </is>
      </c>
      <c r="C24" s="7" t="inlineStr">
        <is>
          <t>Your answer matches the key.</t>
        </is>
      </c>
    </row>
    <row r="25" ht="18" customHeight="1">
      <c r="B25" s="12" t="inlineStr">
        <is>
          <t>✘ Not yet</t>
        </is>
      </c>
      <c r="C25" s="7" t="inlineStr">
        <is>
          <t>Not matching yet — check the hint and try again.</t>
        </is>
      </c>
    </row>
    <row r="27">
      <c r="B27" s="4" t="inlineStr">
        <is>
          <t>Sheets in this workbook</t>
        </is>
      </c>
      <c r="C27" s="5" t="n"/>
    </row>
    <row r="28" ht="18" customHeight="1">
      <c r="B28" s="8" t="inlineStr">
        <is>
          <t>Patients</t>
        </is>
      </c>
      <c r="C28" s="7" t="inlineStr">
        <is>
          <t>Data: 400 rows — Excel Table 'tblPatients'</t>
        </is>
      </c>
    </row>
    <row r="29" ht="18" customHeight="1">
      <c r="B29" s="8" t="inlineStr">
        <is>
          <t>Encounters</t>
        </is>
      </c>
      <c r="C29" s="7" t="inlineStr">
        <is>
          <t>Data: 283 rows — Excel Table 'tblEncounters'</t>
        </is>
      </c>
    </row>
    <row r="30" ht="18" customHeight="1">
      <c r="B30" s="8" t="inlineStr">
        <is>
          <t>Providers</t>
        </is>
      </c>
      <c r="C30" s="7" t="inlineStr">
        <is>
          <t>Data: 147 rows — Excel Table 'tblProviders'</t>
        </is>
      </c>
    </row>
    <row r="31" ht="18" customHeight="1">
      <c r="B31" s="8" t="inlineStr">
        <is>
          <t>Registrations</t>
        </is>
      </c>
      <c r="C31" s="7" t="inlineStr">
        <is>
          <t>Data: 650 rows — Excel Table 'tblRegistrations'</t>
        </is>
      </c>
    </row>
    <row r="32" ht="48" customHeight="1">
      <c r="B32" s="8" t="inlineStr">
        <is>
          <t>About the data</t>
        </is>
      </c>
      <c r="C32" s="7" t="inlineStr">
        <is>
          <t>400 patients from Bluestone's registration system (names, MRNs, phones, emails, chronic-condition flags), their 283 encounters in Q4 2025, the 147-provider roster, and a 650-row legacy registration export with messy addresses.</t>
        </is>
      </c>
    </row>
    <row r="33" ht="18" customHeight="1">
      <c r="B33" s="8" t="inlineStr">
        <is>
          <t>Disclaimer</t>
        </is>
      </c>
      <c r="C33"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2.2 · Practice</t>
        </is>
      </c>
    </row>
    <row r="2" ht="34" customHeight="1">
      <c r="A2" s="14" t="inlineStr">
        <is>
          <t>Tasks use the Patients, Encounters, and Providers sheets. When a task names one patient, it also gives the row, so you can point your formula at that row's cells (for example Patients!C25). Column tasks ask you to fill a yellow column on a data sheet; a gray cell here then summarizes your column.</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Front-desk staff confirm a caller's identity with the last 4 digits of their phone number. Return the last 4 digits of patient PT10015's phone (row 16 of the Patients sheet).</t>
        </is>
      </c>
      <c r="C6" s="20" t="inlineStr">
        <is>
          <t>RIGHT(text, num_chars)</t>
        </is>
      </c>
      <c r="D6" s="21" t="n"/>
      <c r="E6" s="22">
        <f>IF(IFERROR(D6="",FALSE),"",IF(IFERROR(OR(LOWER(TRIM(D6&amp;""))=LOWER(TRIM('Answer Key'!$C$5&amp;""))),FALSE),"✔ Correct","✘ Not yet"))</f>
        <v/>
      </c>
    </row>
    <row r="7" ht="66" customHeight="1">
      <c r="A7" s="18" t="inlineStr">
        <is>
          <t>2</t>
        </is>
      </c>
      <c r="B7" s="19" t="inlineStr">
        <is>
          <t>On the Encounters sheet, fill the yellow DxCategory column with the ICD-10 category of each PrimaryDxCode (its first 3 characters). The gray cell counts encounters in category E11 (type 2 diabetes). Type your formula in G2, then copy it down.</t>
        </is>
      </c>
      <c r="C7" s="20" t="inlineStr">
        <is>
          <t>LEFT(text, num_chars)</t>
        </is>
      </c>
      <c r="D7" cm="1" s="23">
        <f t="array" ref="D7">IF(COUNTA(Encounters!G2:G284)=0,"",COUNTIF(Encounters!G2:G284,"E11"))</f>
        <v/>
      </c>
      <c r="E7" s="22">
        <f>IF(IFERROR(D7="",FALSE),"",IF(IFERROR(AND(ISNUMBER(D7),OR(ABS(D7-'Answer Key'!$C$6)&lt;=0.0001)),FALSE),"✔ Correct","✘ Not yet"))</f>
        <v/>
      </c>
    </row>
    <row r="8" ht="36" customHeight="1">
      <c r="A8" s="18" t="inlineStr">
        <is>
          <t>3</t>
        </is>
      </c>
      <c r="B8" s="19" t="inlineStr">
        <is>
          <t>Extract the last name of patient PT10031 (row 32 of the Patients sheet, "PETROV, Ana"): everything before the comma.</t>
        </is>
      </c>
      <c r="C8" s="20" t="inlineStr">
        <is>
          <t>FIND gives the comma's position; LEFT takes everything before it</t>
        </is>
      </c>
      <c r="D8" s="21" t="n"/>
      <c r="E8" s="22">
        <f>IF(IFERROR(D8="",FALSE),"",IF(IFERROR(OR(LOWER(TRIM(D8&amp;""))=LOWER(TRIM('Answer Key'!$C$7&amp;""))),FALSE),"✔ Correct","✘ Not yet"))</f>
        <v/>
      </c>
    </row>
    <row r="9" ht="51" customHeight="1">
      <c r="A9" s="18" t="inlineStr">
        <is>
          <t>4</t>
        </is>
      </c>
      <c r="B9" s="19" t="inlineStr">
        <is>
          <t>The appointment-reminder system needs phone numbers as 10 digits with no punctuation. Convert patient PT10058's phone (row 59, "(555) 529-7071") to digits only.</t>
        </is>
      </c>
      <c r="C9" s="20" t="inlineStr">
        <is>
          <t>Nest one SUBSTITUTE per character you want to remove</t>
        </is>
      </c>
      <c r="D9" s="21" t="n"/>
      <c r="E9" s="22">
        <f>IF(IFERROR(D9="",FALSE),"",IF(IFERROR(OR(LOWER(TRIM(D9&amp;""))=LOWER(TRIM('Answer Key'!$C$8&amp;""))),FALSE),"✔ Correct","✘ Not yet"))</f>
        <v/>
      </c>
    </row>
    <row r="10" ht="51" customHeight="1">
      <c r="A10" s="18" t="inlineStr">
        <is>
          <t>5</t>
        </is>
      </c>
      <c r="B10" s="19" t="inlineStr">
        <is>
          <t>Patient PT10002's MRN (row 3) shows 897724 because the export stored it as a number and dropped the leading zeros. Return it as the 8-character text MRN printed on wristbands.</t>
        </is>
      </c>
      <c r="C10" s="20" t="inlineStr">
        <is>
          <t>TEXT(value, format_text) with a format of eight 0s</t>
        </is>
      </c>
      <c r="D10" s="21" t="n"/>
      <c r="E10" s="22">
        <f>IF(IFERROR(D10="",FALSE),"",IF(IFERROR(OR(LOWER(TRIM(D10&amp;""))=LOWER(TRIM('Answer Key'!$C$9&amp;""))),FALSE),"✔ Correct","✘ Not yet"))</f>
        <v/>
      </c>
    </row>
    <row r="11" ht="51" customHeight="1">
      <c r="A11" s="18" t="inlineStr">
        <is>
          <t>6</t>
        </is>
      </c>
      <c r="B11" s="19" t="inlineStr">
        <is>
          <t>Monthly quality reports label encounters by month. Return the admit month of encounter ENC120217 (row 128 of the Encounters sheet) as text in the form Mon-YYYY, for example Jan-2026.</t>
        </is>
      </c>
      <c r="C11" s="20" t="inlineStr">
        <is>
          <t>TEXT with a date format code</t>
        </is>
      </c>
      <c r="D11" s="21" t="n"/>
      <c r="E11" s="22">
        <f>IF(IFERROR(D11="",FALSE),"",IF(IFERROR(OR(LOWER(TRIM(D11&amp;""))=LOWER(TRIM('Answer Key'!$C$10&amp;""))),FALSE),"✔ Correct","✘ Not yet"))</f>
        <v/>
      </c>
    </row>
    <row r="12" ht="51" customHeight="1">
      <c r="A12" s="18" t="inlineStr">
        <is>
          <t>7</t>
        </is>
      </c>
      <c r="B12" s="19" t="inlineStr">
        <is>
          <t>Build the ID-badge label for provider PRV1054 (row 55 of the Providers sheet) in the form Dr. First Last, Credential. For example, provider PRV1001's label is Dr. Roy Ferguson, MD.</t>
        </is>
      </c>
      <c r="C12" s="20" t="inlineStr">
        <is>
          <t>Join pieces with &amp;; spaces and punctuation go inside quotes</t>
        </is>
      </c>
      <c r="D12" s="21" t="n"/>
      <c r="E12" s="22">
        <f>IF(IFERROR(D12="",FALSE),"",IF(IFERROR(OR(LOWER(TRIM(D12&amp;""))=LOWER(TRIM('Answer Key'!$C$11&amp;""))),FALSE),"✔ Correct","✘ Not yet"))</f>
        <v/>
      </c>
    </row>
    <row r="13" ht="51" customHeight="1">
      <c r="A13" s="18" t="inlineStr">
        <is>
          <t>8</t>
        </is>
      </c>
      <c r="B13" s="19" t="inlineStr">
        <is>
          <t>On the Patients sheet, fill the yellow HasDM column with TRUE when the patient's ChronicConditions list includes DM (diabetes) and FALSE otherwise. Blank lists should give FALSE. The gray cell counts the TRUEs.</t>
        </is>
      </c>
      <c r="C13" s="20" t="inlineStr">
        <is>
          <t>SEARCH returns a position or #VALUE!; ISNUMBER turns that into TRUE/FALSE</t>
        </is>
      </c>
      <c r="D13" cm="1" s="23">
        <f t="array" ref="D13">IF(COUNTA(Patients!I2:I401)=0,"",COUNTIF(Patients!I2:I401,TRUE))</f>
        <v/>
      </c>
      <c r="E13" s="22">
        <f>IF(IFERROR(D13="",FALSE),"",IF(IFERROR(AND(ISNUMBER(D13),OR(ABS(D13-'Answer Key'!$C$12)&lt;=0.0001)),FALSE),"✔ Correct","✘ Not yet"))</f>
        <v/>
      </c>
    </row>
    <row r="14" ht="36" customHeight="1">
      <c r="A14" s="18" t="inlineStr">
        <is>
          <t>9</t>
        </is>
      </c>
      <c r="B14" s="19" t="inlineStr">
        <is>
          <t>The patient portal username is the part of the email address before the @. Return the username for patient PT10123 (row 124).</t>
        </is>
      </c>
      <c r="C14" s="20" t="inlineStr">
        <is>
          <t>TEXTBEFORE (Microsoft 365), or LEFT + FIND</t>
        </is>
      </c>
      <c r="D14" s="21" t="n"/>
      <c r="E14" s="22">
        <f>IF(IFERROR(D14="",FALSE),"",IF(IFERROR(OR(LOWER(TRIM(D14&amp;""))=LOWER(TRIM('Answer Key'!$C$13&amp;""))),FALSE),"✔ Correct","✘ Not yet"))</f>
        <v/>
      </c>
    </row>
    <row r="15" ht="36" customHeight="1">
      <c r="A15" s="18" t="inlineStr">
        <is>
          <t>10</t>
        </is>
      </c>
      <c r="B15" s="19" t="inlineStr">
        <is>
          <t>How many chronic conditions does patient PT10101 (row 102) have? Split the semicolon-separated ChronicConditions list with TEXTSPLIT and count the pieces.</t>
        </is>
      </c>
      <c r="C15" s="20" t="inlineStr">
        <is>
          <t>COUNTA(TEXTSPLIT(…)) returns one number instead of a spill</t>
        </is>
      </c>
      <c r="D15" s="24" t="n"/>
      <c r="E15" s="22">
        <f>IF(IFERROR(D15="",FALSE),"",IF(IFERROR(AND(ISNUMBER(D15),OR(ABS(D15-'Answer Key'!$C$14)&lt;=0.0001)),FALSE),"✔ Correct","✘ Not yet"))</f>
        <v/>
      </c>
    </row>
    <row r="16" ht="66" customHeight="1">
      <c r="A16" s="18" t="inlineStr">
        <is>
          <t>11</t>
        </is>
      </c>
      <c r="B16" s="19" t="inlineStr">
        <is>
          <t>On the Patients sheet, fill the yellow ContactLine column with the phone and email joined by " | " (space, vertical bar, space), for example (555) 875-0698 | edward.abbott94@example.com. When there's no email, show just the phone, with no dangling separator. The gray cell counts lines that contain a |.</t>
        </is>
      </c>
      <c r="C16" s="20" t="inlineStr">
        <is>
          <t>TEXTJOIN(delimiter, ignore_empty, …)</t>
        </is>
      </c>
      <c r="D16" cm="1" s="23">
        <f t="array" ref="D16">IF(COUNTA(Patients!H2:H401)=0,"",COUNTIF(Patients!H2:H401,"*|*"))</f>
        <v/>
      </c>
      <c r="E16" s="22">
        <f>IF(IFERROR(D16="",FALSE),"",IF(IFERROR(AND(ISNUMBER(D16),OR(ABS(D16-'Answer Key'!$C$15)&lt;=0.0001)),FALSE),"✔ Correct","✘ Not yet"))</f>
        <v/>
      </c>
    </row>
    <row r="17" ht="96" customHeight="1">
      <c r="A17" s="18" t="inlineStr">
        <is>
          <t>12</t>
        </is>
      </c>
      <c r="B17" s="19" t="inlineStr">
        <is>
          <t>On the Patients sheet, fill the yellow FirstName column with each patient's first name: everything after the comma in PatientName, with no extra spaces. Watch out: some names have doubled, leading, or trailing spaces, and 28 were pasted from the patient portal with non-breaking spaces (UNICHAR(160)). Case doesn't matter here. The gray cell adds up the lengths of all your first names, so any leftover space changes the total.</t>
        </is>
      </c>
      <c r="C17" s="20" t="inlineStr">
        <is>
          <t>TRIM can't remove a non-breaking space; SUBSTITUTE it with a normal space first</t>
        </is>
      </c>
      <c r="D17" cm="1" s="23">
        <f t="array" ref="D17">IF(COUNTA(Patients!G2:G401)=0,"",SUMPRODUCT(LEN(Patients!G2:G401)))</f>
        <v/>
      </c>
      <c r="E17" s="22">
        <f>IF(IFERROR(D17="",FALSE),"",IF(IFERROR(AND(ISNUMBER(D17),OR(ABS(D17-'Answer Key'!$C$16)&lt;=0.0001)),FALSE),"✔ Correct","✘ Not yet"))</f>
        <v/>
      </c>
    </row>
    <row r="18" ht="51" customHeight="1">
      <c r="A18" s="18" t="inlineStr">
        <is>
          <t>13</t>
        </is>
      </c>
      <c r="B18" s="19" t="inlineStr">
        <is>
          <t>Patient PT10325's name was typed as "o'brien,hannah  " (row 326, with two trailing spaces). Return a clean display name in the form First Last, in Proper Case. This check is case-sensitive.</t>
        </is>
      </c>
      <c r="C18" s="20" t="inlineStr">
        <is>
          <t>Extract both parts, join them with " ", then wrap everything in PROPER</t>
        </is>
      </c>
      <c r="D18" s="24" t="n"/>
      <c r="E18" s="22">
        <f>IF(IFERROR(D18="",FALSE),"",IF(IFERROR(EXACT(D18,'Answer Key'!$C$17),FALSE),"✔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J401"/>
  <sheetViews>
    <sheetView tabSelected="0" workbookViewId="0">
      <pane ySplit="1" topLeftCell="A2" activePane="bottomLeft" state="frozen"/>
      <selection pane="bottomLeft" activeCell="A1" sqref="A1"/>
    </sheetView>
  </sheetViews>
  <sheetFormatPr baseColWidth="8" defaultRowHeight="15"/>
  <cols>
    <col width="11" customWidth="1" min="1" max="1"/>
    <col width="9" customWidth="1" min="2" max="2"/>
    <col width="26" customWidth="1" min="3" max="3"/>
    <col width="16" customWidth="1" min="4" max="4"/>
    <col width="34" customWidth="1" min="5" max="5"/>
    <col width="22" customWidth="1" min="6" max="6"/>
    <col width="14" customWidth="1" min="7" max="7"/>
    <col width="50" customWidth="1" min="8" max="8"/>
    <col width="10" customWidth="1" min="9" max="9"/>
    <col width="16" customWidth="1" min="10" max="10"/>
  </cols>
  <sheetData>
    <row r="1">
      <c r="A1" s="25" t="inlineStr">
        <is>
          <t>PatientID</t>
        </is>
      </c>
      <c r="B1" s="25" t="inlineStr">
        <is>
          <t>MRN</t>
        </is>
      </c>
      <c r="C1" s="25" t="inlineStr">
        <is>
          <t>PatientName</t>
        </is>
      </c>
      <c r="D1" s="25" t="inlineStr">
        <is>
          <t>Phone</t>
        </is>
      </c>
      <c r="E1" s="25" t="inlineStr">
        <is>
          <t>Email</t>
        </is>
      </c>
      <c r="F1" s="25" t="inlineStr">
        <is>
          <t>ChronicConditions</t>
        </is>
      </c>
      <c r="G1" s="26" t="inlineStr">
        <is>
          <t>FirstName</t>
        </is>
      </c>
      <c r="H1" s="26" t="inlineStr">
        <is>
          <t>ContactLine</t>
        </is>
      </c>
      <c r="I1" s="26" t="inlineStr">
        <is>
          <t>HasDM</t>
        </is>
      </c>
      <c r="J1" s="26" t="inlineStr">
        <is>
          <t>ConditionCount</t>
        </is>
      </c>
    </row>
    <row r="2">
      <c r="A2" t="inlineStr">
        <is>
          <t>PT10001</t>
        </is>
      </c>
      <c r="B2" t="n">
        <v>8293181</v>
      </c>
      <c r="C2" t="inlineStr">
        <is>
          <t>ABBOTT, Edward</t>
        </is>
      </c>
      <c r="D2" t="inlineStr">
        <is>
          <t>(555) 875-0698</t>
        </is>
      </c>
      <c r="E2" t="inlineStr">
        <is>
          <t>edward.abbott94@example.com</t>
        </is>
      </c>
      <c r="F2" t="inlineStr">
        <is>
          <t>HTN;DM</t>
        </is>
      </c>
      <c r="G2" s="27" t="n"/>
      <c r="H2" s="27" t="n"/>
      <c r="I2" s="27" t="n"/>
      <c r="J2" s="27" t="n"/>
    </row>
    <row r="3">
      <c r="A3" t="inlineStr">
        <is>
          <t>PT10002</t>
        </is>
      </c>
      <c r="B3" t="n">
        <v>897724</v>
      </c>
      <c r="C3" t="inlineStr">
        <is>
          <t>Peterson, Brenda</t>
        </is>
      </c>
      <c r="D3" t="inlineStr">
        <is>
          <t>(555) 373-1790</t>
        </is>
      </c>
      <c r="F3" t="inlineStr">
        <is>
          <t>HTN;DM</t>
        </is>
      </c>
      <c r="G3" s="27" t="n"/>
      <c r="H3" s="27" t="n"/>
      <c r="I3" s="27" t="n"/>
      <c r="J3" s="27" t="n"/>
    </row>
    <row r="4">
      <c r="A4" t="inlineStr">
        <is>
          <t>PT10003</t>
        </is>
      </c>
      <c r="B4" t="n">
        <v>9970254</v>
      </c>
      <c r="C4" t="inlineStr">
        <is>
          <t>CRUZ, CHRISTIAN</t>
        </is>
      </c>
      <c r="D4" t="inlineStr">
        <is>
          <t>(555) 853-8470</t>
        </is>
      </c>
      <c r="E4" t="inlineStr">
        <is>
          <t>christian.cruz12@example.com</t>
        </is>
      </c>
      <c r="F4" t="inlineStr">
        <is>
          <t>HTN;HF</t>
        </is>
      </c>
      <c r="G4" s="27" t="n"/>
      <c r="H4" s="27" t="n"/>
      <c r="I4" s="27" t="n"/>
      <c r="J4" s="27" t="n"/>
    </row>
    <row r="5">
      <c r="A5" t="inlineStr">
        <is>
          <t>PT10004</t>
        </is>
      </c>
      <c r="B5" t="n">
        <v>7139825</v>
      </c>
      <c r="C5" t="inlineStr">
        <is>
          <t xml:space="preserve">hamilton, george  </t>
        </is>
      </c>
      <c r="D5" t="inlineStr">
        <is>
          <t>(555) 327-5166</t>
        </is>
      </c>
      <c r="E5" t="inlineStr">
        <is>
          <t>george.hamilton90@example.com</t>
        </is>
      </c>
      <c r="G5" s="27" t="n"/>
      <c r="H5" s="27" t="n"/>
      <c r="I5" s="27" t="n"/>
      <c r="J5" s="27" t="n"/>
    </row>
    <row r="6">
      <c r="A6" t="inlineStr">
        <is>
          <t>PT10005</t>
        </is>
      </c>
      <c r="B6" t="n">
        <v>2312589</v>
      </c>
      <c r="C6" t="inlineStr">
        <is>
          <t>Romero,  Albert</t>
        </is>
      </c>
      <c r="D6" t="inlineStr">
        <is>
          <t>(555) 963-5969</t>
        </is>
      </c>
      <c r="F6" t="inlineStr">
        <is>
          <t>HTN</t>
        </is>
      </c>
      <c r="G6" s="27" t="n"/>
      <c r="H6" s="27" t="n"/>
      <c r="I6" s="27" t="n"/>
      <c r="J6" s="27" t="n"/>
    </row>
    <row r="7">
      <c r="A7" t="inlineStr">
        <is>
          <t>PT10006</t>
        </is>
      </c>
      <c r="B7" t="n">
        <v>5707071</v>
      </c>
      <c r="C7" t="inlineStr">
        <is>
          <t>YILMAZ, Alexis</t>
        </is>
      </c>
      <c r="D7" t="inlineStr">
        <is>
          <t>(555) 779-1083</t>
        </is>
      </c>
      <c r="G7" s="27" t="n"/>
      <c r="H7" s="27" t="n"/>
      <c r="I7" s="27" t="n"/>
      <c r="J7" s="27" t="n"/>
    </row>
    <row r="8">
      <c r="A8" t="inlineStr">
        <is>
          <t>PT10007</t>
        </is>
      </c>
      <c r="B8" t="n">
        <v>3029934</v>
      </c>
      <c r="C8" t="inlineStr">
        <is>
          <t xml:space="preserve"> Chavez, Carol</t>
        </is>
      </c>
      <c r="D8" t="inlineStr">
        <is>
          <t>(555) 981-0131</t>
        </is>
      </c>
      <c r="E8" t="inlineStr">
        <is>
          <t>carol.chavez85@example.com</t>
        </is>
      </c>
      <c r="F8" t="inlineStr">
        <is>
          <t>HTN</t>
        </is>
      </c>
      <c r="G8" s="27" t="n"/>
      <c r="H8" s="27" t="n"/>
      <c r="I8" s="27" t="n"/>
      <c r="J8" s="27" t="n"/>
    </row>
    <row r="9">
      <c r="A9" t="inlineStr">
        <is>
          <t>PT10008</t>
        </is>
      </c>
      <c r="B9" t="n">
        <v>4700089</v>
      </c>
      <c r="C9" t="inlineStr">
        <is>
          <t>CLARK,ARTHUR</t>
        </is>
      </c>
      <c r="D9" t="inlineStr">
        <is>
          <t>(555) 518-1637</t>
        </is>
      </c>
      <c r="G9" s="27" t="n"/>
      <c r="H9" s="27" t="n"/>
      <c r="I9" s="27" t="n"/>
      <c r="J9" s="27" t="n"/>
    </row>
    <row r="10">
      <c r="A10" t="inlineStr">
        <is>
          <t>PT10009</t>
        </is>
      </c>
      <c r="B10" t="n">
        <v>6171140</v>
      </c>
      <c r="C10" t="inlineStr">
        <is>
          <t>miller, wei</t>
        </is>
      </c>
      <c r="D10" t="inlineStr">
        <is>
          <t>(555) 729-4132</t>
        </is>
      </c>
      <c r="F10" t="inlineStr">
        <is>
          <t>ETOH</t>
        </is>
      </c>
      <c r="G10" s="27" t="n"/>
      <c r="H10" s="27" t="n"/>
      <c r="I10" s="27" t="n"/>
      <c r="J10" s="27" t="n"/>
    </row>
    <row r="11">
      <c r="A11" t="inlineStr">
        <is>
          <t>PT10010</t>
        </is>
      </c>
      <c r="B11" t="n">
        <v>158711</v>
      </c>
      <c r="C11" t="inlineStr">
        <is>
          <t>Hill, Gloria</t>
        </is>
      </c>
      <c r="D11" t="inlineStr">
        <is>
          <t>(555) 300-6504</t>
        </is>
      </c>
      <c r="G11" s="27" t="n"/>
      <c r="H11" s="27" t="n"/>
      <c r="I11" s="27" t="n"/>
      <c r="J11" s="27" t="n"/>
    </row>
    <row r="12">
      <c r="A12" t="inlineStr">
        <is>
          <t>PT10011</t>
        </is>
      </c>
      <c r="B12" t="n">
        <v>9871480</v>
      </c>
      <c r="C12" t="inlineStr">
        <is>
          <t>SULLIVAN, Russell</t>
        </is>
      </c>
      <c r="D12" t="inlineStr">
        <is>
          <t>(555) 470-5202</t>
        </is>
      </c>
      <c r="E12" t="inlineStr">
        <is>
          <t>russell.sullivan51@example.com</t>
        </is>
      </c>
      <c r="F12" t="inlineStr">
        <is>
          <t>HTN;CKD;OA</t>
        </is>
      </c>
      <c r="G12" s="27" t="n"/>
      <c r="H12" s="27" t="n"/>
      <c r="I12" s="27" t="n"/>
      <c r="J12" s="27" t="n"/>
    </row>
    <row r="13">
      <c r="A13" t="inlineStr">
        <is>
          <t>PT10012</t>
        </is>
      </c>
      <c r="B13" t="n">
        <v>7078263</v>
      </c>
      <c r="C13" t="inlineStr">
        <is>
          <t xml:space="preserve">Cruz, Theresa  </t>
        </is>
      </c>
      <c r="D13" t="inlineStr">
        <is>
          <t>(555) 393-0161</t>
        </is>
      </c>
      <c r="E13" t="inlineStr">
        <is>
          <t>theresa.cruz77@example.com</t>
        </is>
      </c>
      <c r="G13" s="27" t="n"/>
      <c r="H13" s="27" t="n"/>
      <c r="I13" s="27" t="n"/>
      <c r="J13" s="27" t="n"/>
    </row>
    <row r="14">
      <c r="A14" t="inlineStr">
        <is>
          <t>PT10013</t>
        </is>
      </c>
      <c r="B14" t="n">
        <v>324447</v>
      </c>
      <c r="C14" t="inlineStr">
        <is>
          <t>ANDREWS, BRIAN</t>
        </is>
      </c>
      <c r="D14" t="inlineStr">
        <is>
          <t>(555) 585-0021</t>
        </is>
      </c>
      <c r="E14" t="inlineStr">
        <is>
          <t>brian.andrews93@example.com</t>
        </is>
      </c>
      <c r="F14" t="inlineStr">
        <is>
          <t>HTN</t>
        </is>
      </c>
      <c r="G14" s="27" t="n"/>
      <c r="H14" s="27" t="n"/>
      <c r="I14" s="27" t="n"/>
      <c r="J14" s="27" t="n"/>
    </row>
    <row r="15">
      <c r="A15" t="inlineStr">
        <is>
          <t>PT10014</t>
        </is>
      </c>
      <c r="B15" t="n">
        <v>2589502</v>
      </c>
      <c r="C15" t="inlineStr">
        <is>
          <t>hudson,  walter</t>
        </is>
      </c>
      <c r="D15" t="inlineStr">
        <is>
          <t>(555) 916-0820</t>
        </is>
      </c>
      <c r="G15" s="27" t="n"/>
      <c r="H15" s="27" t="n"/>
      <c r="I15" s="27" t="n"/>
      <c r="J15" s="27" t="n"/>
    </row>
    <row r="16">
      <c r="A16" t="inlineStr">
        <is>
          <t>PT10015</t>
        </is>
      </c>
      <c r="B16" t="n">
        <v>2570260</v>
      </c>
      <c r="C16" t="inlineStr">
        <is>
          <t>Walker, Judith</t>
        </is>
      </c>
      <c r="D16" t="inlineStr">
        <is>
          <t>(555) 404-7258</t>
        </is>
      </c>
      <c r="E16" t="inlineStr">
        <is>
          <t>judith.walker43@example.com</t>
        </is>
      </c>
      <c r="G16" s="27" t="n"/>
      <c r="H16" s="27" t="n"/>
      <c r="I16" s="27" t="n"/>
      <c r="J16" s="27" t="n"/>
    </row>
    <row r="17">
      <c r="A17" t="inlineStr">
        <is>
          <t>PT10016</t>
        </is>
      </c>
      <c r="B17" t="n">
        <v>7426502</v>
      </c>
      <c r="C17" t="inlineStr">
        <is>
          <t>KENNEDY, Danielle</t>
        </is>
      </c>
      <c r="D17" t="inlineStr">
        <is>
          <t>(555) 476-8447</t>
        </is>
      </c>
      <c r="E17" t="inlineStr">
        <is>
          <t>danielle.kennedy84@example.com</t>
        </is>
      </c>
      <c r="G17" s="27" t="n"/>
      <c r="H17" s="27" t="n"/>
      <c r="I17" s="27" t="n"/>
      <c r="J17" s="27" t="n"/>
    </row>
    <row r="18">
      <c r="A18" t="inlineStr">
        <is>
          <t>PT10017</t>
        </is>
      </c>
      <c r="B18" t="n">
        <v>965645</v>
      </c>
      <c r="C18" t="inlineStr">
        <is>
          <t>Ramos, Albert</t>
        </is>
      </c>
      <c r="D18" t="inlineStr">
        <is>
          <t>(555) 288-5776</t>
        </is>
      </c>
      <c r="G18" s="27" t="n"/>
      <c r="H18" s="27" t="n"/>
      <c r="I18" s="27" t="n"/>
      <c r="J18" s="27" t="n"/>
    </row>
    <row r="19">
      <c r="A19" t="inlineStr">
        <is>
          <t>PT10018</t>
        </is>
      </c>
      <c r="B19" t="n">
        <v>2774533</v>
      </c>
      <c r="C19" t="inlineStr">
        <is>
          <t>HANSEN, NICHOLAS</t>
        </is>
      </c>
      <c r="D19" t="inlineStr">
        <is>
          <t>(555) 864-8575</t>
        </is>
      </c>
      <c r="E19" t="inlineStr">
        <is>
          <t>nicholas.hansen3@example.com</t>
        </is>
      </c>
      <c r="G19" s="27" t="n"/>
      <c r="H19" s="27" t="n"/>
      <c r="I19" s="27" t="n"/>
      <c r="J19" s="27" t="n"/>
    </row>
    <row r="20">
      <c r="A20" t="inlineStr">
        <is>
          <t>PT10019</t>
        </is>
      </c>
      <c r="B20" t="n">
        <v>4236785</v>
      </c>
      <c r="C20" t="inlineStr">
        <is>
          <t>clark,steven</t>
        </is>
      </c>
      <c r="D20" t="inlineStr">
        <is>
          <t>(555) 871-3637</t>
        </is>
      </c>
      <c r="F20" t="inlineStr">
        <is>
          <t>ASTHMA</t>
        </is>
      </c>
      <c r="G20" s="27" t="n"/>
      <c r="H20" s="27" t="n"/>
      <c r="I20" s="27" t="n"/>
      <c r="J20" s="27" t="n"/>
    </row>
    <row r="21">
      <c r="A21" t="inlineStr">
        <is>
          <t>PT10020</t>
        </is>
      </c>
      <c r="B21" t="n">
        <v>326186</v>
      </c>
      <c r="C21" t="inlineStr">
        <is>
          <t xml:space="preserve"> Freeman, Wayne  </t>
        </is>
      </c>
      <c r="D21" t="inlineStr">
        <is>
          <t>(555) 449-3334</t>
        </is>
      </c>
      <c r="G21" s="27" t="n"/>
      <c r="H21" s="27" t="n"/>
      <c r="I21" s="27" t="n"/>
      <c r="J21" s="27" t="n"/>
    </row>
    <row r="22">
      <c r="A22" t="inlineStr">
        <is>
          <t>PT10021</t>
        </is>
      </c>
      <c r="B22" t="n">
        <v>9635756</v>
      </c>
      <c r="C22" t="inlineStr">
        <is>
          <t xml:space="preserve">ALEXANDER, Emily </t>
        </is>
      </c>
      <c r="D22" t="inlineStr">
        <is>
          <t>(555) 721-2029</t>
        </is>
      </c>
      <c r="E22" t="inlineStr">
        <is>
          <t>emily.alexander38@example.com</t>
        </is>
      </c>
      <c r="F22" t="inlineStr">
        <is>
          <t>OA</t>
        </is>
      </c>
      <c r="G22" s="27" t="n"/>
      <c r="H22" s="27" t="n"/>
      <c r="I22" s="27" t="n"/>
      <c r="J22" s="27" t="n"/>
    </row>
    <row r="23">
      <c r="A23" t="inlineStr">
        <is>
          <t>PT10022</t>
        </is>
      </c>
      <c r="B23" t="n">
        <v>4683061</v>
      </c>
      <c r="C23" t="inlineStr">
        <is>
          <t>Lindqvist, Austin</t>
        </is>
      </c>
      <c r="D23" t="inlineStr">
        <is>
          <t>(555) 592-9434</t>
        </is>
      </c>
      <c r="E23" t="inlineStr">
        <is>
          <t>austin.lindqvist96@example.com</t>
        </is>
      </c>
      <c r="G23" s="27" t="n"/>
      <c r="H23" s="27" t="n"/>
      <c r="I23" s="27" t="n"/>
      <c r="J23" s="27" t="n"/>
    </row>
    <row r="24">
      <c r="A24" t="inlineStr">
        <is>
          <t>PT10023</t>
        </is>
      </c>
      <c r="B24" t="n">
        <v>9440135</v>
      </c>
      <c r="C24" t="inlineStr">
        <is>
          <t>WRIGHT,  ALEXIS</t>
        </is>
      </c>
      <c r="D24" t="inlineStr">
        <is>
          <t>(555) 445-0654</t>
        </is>
      </c>
      <c r="E24" t="inlineStr">
        <is>
          <t>alexis.wright39@example.com</t>
        </is>
      </c>
      <c r="G24" s="27" t="n"/>
      <c r="H24" s="27" t="n"/>
      <c r="I24" s="27" t="n"/>
      <c r="J24" s="27" t="n"/>
    </row>
    <row r="25">
      <c r="A25" t="inlineStr">
        <is>
          <t>PT10024</t>
        </is>
      </c>
      <c r="B25" t="n">
        <v>7685936</v>
      </c>
      <c r="C25" t="inlineStr">
        <is>
          <t>sandoval, priya</t>
        </is>
      </c>
      <c r="D25" t="inlineStr">
        <is>
          <t>(555) 481-8733</t>
        </is>
      </c>
      <c r="F25" t="inlineStr">
        <is>
          <t>HTN;HF</t>
        </is>
      </c>
      <c r="G25" s="27" t="n"/>
      <c r="H25" s="27" t="n"/>
      <c r="I25" s="27" t="n"/>
      <c r="J25" s="27" t="n"/>
    </row>
    <row r="26">
      <c r="A26" t="inlineStr">
        <is>
          <t>PT10025</t>
        </is>
      </c>
      <c r="B26" t="n">
        <v>2854098</v>
      </c>
      <c r="C26" t="inlineStr">
        <is>
          <t>Cox, Ana</t>
        </is>
      </c>
      <c r="D26" t="inlineStr">
        <is>
          <t>(555) 408-1898</t>
        </is>
      </c>
      <c r="E26" t="inlineStr">
        <is>
          <t>ana.cox52@example.com</t>
        </is>
      </c>
      <c r="G26" s="27" t="n"/>
      <c r="H26" s="27" t="n"/>
      <c r="I26" s="27" t="n"/>
      <c r="J26" s="27" t="n"/>
    </row>
    <row r="27">
      <c r="A27" t="inlineStr">
        <is>
          <t>PT10026</t>
        </is>
      </c>
      <c r="B27" t="n">
        <v>6109281</v>
      </c>
      <c r="C27" t="inlineStr">
        <is>
          <t>PETERS, Janice</t>
        </is>
      </c>
      <c r="D27" t="inlineStr">
        <is>
          <t>(555) 294-0043</t>
        </is>
      </c>
      <c r="E27" t="inlineStr">
        <is>
          <t>janice.peters55@example.com</t>
        </is>
      </c>
      <c r="G27" s="27" t="n"/>
      <c r="H27" s="27" t="n"/>
      <c r="I27" s="27" t="n"/>
      <c r="J27" s="27" t="n"/>
    </row>
    <row r="28">
      <c r="A28" t="inlineStr">
        <is>
          <t>PT10027</t>
        </is>
      </c>
      <c r="B28" t="n">
        <v>4383389</v>
      </c>
      <c r="C28" t="inlineStr">
        <is>
          <t>Green, Andrea</t>
        </is>
      </c>
      <c r="D28" t="inlineStr">
        <is>
          <t>(555) 463-4236</t>
        </is>
      </c>
      <c r="E28" t="inlineStr">
        <is>
          <t>andrea.green40@example.com</t>
        </is>
      </c>
      <c r="F28" t="inlineStr">
        <is>
          <t>ASTHMA</t>
        </is>
      </c>
      <c r="G28" s="27" t="n"/>
      <c r="H28" s="27" t="n"/>
      <c r="I28" s="27" t="n"/>
      <c r="J28" s="27" t="n"/>
    </row>
    <row r="29">
      <c r="A29" t="inlineStr">
        <is>
          <t>PT10028</t>
        </is>
      </c>
      <c r="B29" t="n">
        <v>6030962</v>
      </c>
      <c r="C29" t="inlineStr">
        <is>
          <t xml:space="preserve">MUNOZ, RYAN  </t>
        </is>
      </c>
      <c r="D29" t="inlineStr">
        <is>
          <t>(555) 824-9974</t>
        </is>
      </c>
      <c r="G29" s="27" t="n"/>
      <c r="H29" s="27" t="n"/>
      <c r="I29" s="27" t="n"/>
      <c r="J29" s="27" t="n"/>
    </row>
    <row r="30">
      <c r="A30" t="inlineStr">
        <is>
          <t>PT10029</t>
        </is>
      </c>
      <c r="B30" t="n">
        <v>2482556</v>
      </c>
      <c r="C30" t="inlineStr">
        <is>
          <t>kim, omar</t>
        </is>
      </c>
      <c r="D30" t="inlineStr">
        <is>
          <t>(555) 755-9188</t>
        </is>
      </c>
      <c r="E30" t="inlineStr">
        <is>
          <t>omar.kim28@example.com</t>
        </is>
      </c>
      <c r="G30" s="27" t="n"/>
      <c r="H30" s="27" t="n"/>
      <c r="I30" s="27" t="n"/>
      <c r="J30" s="27" t="n"/>
    </row>
    <row r="31">
      <c r="A31" t="inlineStr">
        <is>
          <t>PT10030</t>
        </is>
      </c>
      <c r="B31" t="n">
        <v>9030950</v>
      </c>
      <c r="C31" t="inlineStr">
        <is>
          <t>Thomas,Sarah</t>
        </is>
      </c>
      <c r="D31" t="inlineStr">
        <is>
          <t>(555) 549-4055</t>
        </is>
      </c>
      <c r="F31" t="inlineStr">
        <is>
          <t>HTN;DM;OA</t>
        </is>
      </c>
      <c r="G31" s="27" t="n"/>
      <c r="H31" s="27" t="n"/>
      <c r="I31" s="27" t="n"/>
      <c r="J31" s="27" t="n"/>
    </row>
    <row r="32">
      <c r="A32" t="inlineStr">
        <is>
          <t>PT10031</t>
        </is>
      </c>
      <c r="B32" t="n">
        <v>5797014</v>
      </c>
      <c r="C32" t="inlineStr">
        <is>
          <t>PETROV, Ana</t>
        </is>
      </c>
      <c r="D32" t="inlineStr">
        <is>
          <t>(555) 516-8754</t>
        </is>
      </c>
      <c r="E32" t="inlineStr">
        <is>
          <t>ana.petrov28@example.com</t>
        </is>
      </c>
      <c r="F32" t="inlineStr">
        <is>
          <t>HTN;PSYCH</t>
        </is>
      </c>
      <c r="G32" s="27" t="n"/>
      <c r="H32" s="27" t="n"/>
      <c r="I32" s="27" t="n"/>
      <c r="J32" s="27" t="n"/>
    </row>
    <row r="33">
      <c r="A33" t="inlineStr">
        <is>
          <t>PT10032</t>
        </is>
      </c>
      <c r="B33" t="n">
        <v>3929231</v>
      </c>
      <c r="C33" t="inlineStr">
        <is>
          <t>White,  Amber</t>
        </is>
      </c>
      <c r="D33" t="inlineStr">
        <is>
          <t>(555) 556-3833</t>
        </is>
      </c>
      <c r="E33" t="inlineStr">
        <is>
          <t>amber.white81@example.com</t>
        </is>
      </c>
      <c r="G33" s="27" t="n"/>
      <c r="H33" s="27" t="n"/>
      <c r="I33" s="27" t="n"/>
      <c r="J33" s="27" t="n"/>
    </row>
    <row r="34">
      <c r="A34" t="inlineStr">
        <is>
          <t>PT10033</t>
        </is>
      </c>
      <c r="B34" t="n">
        <v>6040014</v>
      </c>
      <c r="C34" t="inlineStr">
        <is>
          <t xml:space="preserve"> WRIGHT, BRADLEY</t>
        </is>
      </c>
      <c r="D34" t="inlineStr">
        <is>
          <t>(555) 941-0190</t>
        </is>
      </c>
      <c r="F34" t="inlineStr">
        <is>
          <t>ASTHMA</t>
        </is>
      </c>
      <c r="G34" s="27" t="n"/>
      <c r="H34" s="27" t="n"/>
      <c r="I34" s="27" t="n"/>
      <c r="J34" s="27" t="n"/>
    </row>
    <row r="35">
      <c r="A35" t="inlineStr">
        <is>
          <t>PT10034</t>
        </is>
      </c>
      <c r="B35" t="n">
        <v>1542628</v>
      </c>
      <c r="C35" t="inlineStr">
        <is>
          <t>stephens, ruth</t>
        </is>
      </c>
      <c r="D35" t="inlineStr">
        <is>
          <t>(555) 950-5408</t>
        </is>
      </c>
      <c r="E35" t="inlineStr">
        <is>
          <t>ruth.stephens42@example.com</t>
        </is>
      </c>
      <c r="F35" t="inlineStr">
        <is>
          <t>HTN;SEIZURE</t>
        </is>
      </c>
      <c r="G35" s="27" t="n"/>
      <c r="H35" s="27" t="n"/>
      <c r="I35" s="27" t="n"/>
      <c r="J35" s="27" t="n"/>
    </row>
    <row r="36">
      <c r="A36" t="inlineStr">
        <is>
          <t>PT10035</t>
        </is>
      </c>
      <c r="B36" t="n">
        <v>9174321</v>
      </c>
      <c r="C36" t="inlineStr">
        <is>
          <t>Bailey, Doris</t>
        </is>
      </c>
      <c r="D36" t="inlineStr">
        <is>
          <t>(555) 226-8764</t>
        </is>
      </c>
      <c r="F36" t="inlineStr">
        <is>
          <t>ASTHMA</t>
        </is>
      </c>
      <c r="G36" s="27" t="n"/>
      <c r="H36" s="27" t="n"/>
      <c r="I36" s="27" t="n"/>
      <c r="J36" s="27" t="n"/>
    </row>
    <row r="37">
      <c r="A37" t="inlineStr">
        <is>
          <t>PT10036</t>
        </is>
      </c>
      <c r="B37" t="n">
        <v>3624414</v>
      </c>
      <c r="C37" t="inlineStr">
        <is>
          <t xml:space="preserve">FOSTER, Mia  </t>
        </is>
      </c>
      <c r="D37" t="inlineStr">
        <is>
          <t>(555) 382-8064</t>
        </is>
      </c>
      <c r="E37" t="inlineStr">
        <is>
          <t>mia.foster11@example.com</t>
        </is>
      </c>
      <c r="G37" s="27" t="n"/>
      <c r="H37" s="27" t="n"/>
      <c r="I37" s="27" t="n"/>
      <c r="J37" s="27" t="n"/>
    </row>
    <row r="38">
      <c r="A38" t="inlineStr">
        <is>
          <t>PT10037</t>
        </is>
      </c>
      <c r="B38" t="n">
        <v>1744632</v>
      </c>
      <c r="C38" t="inlineStr">
        <is>
          <t>Hayes, Joseph</t>
        </is>
      </c>
      <c r="D38" t="inlineStr">
        <is>
          <t>(555) 738-5381</t>
        </is>
      </c>
      <c r="E38" t="inlineStr">
        <is>
          <t>joseph.hayes58@example.com</t>
        </is>
      </c>
      <c r="F38" t="inlineStr">
        <is>
          <t>HTN;COPD</t>
        </is>
      </c>
      <c r="G38" s="27" t="n"/>
      <c r="H38" s="27" t="n"/>
      <c r="I38" s="27" t="n"/>
      <c r="J38" s="27" t="n"/>
    </row>
    <row r="39">
      <c r="A39" t="inlineStr">
        <is>
          <t>PT10038</t>
        </is>
      </c>
      <c r="B39" t="n">
        <v>7466388</v>
      </c>
      <c r="C39" t="inlineStr">
        <is>
          <t>O'BRIEN, TERRY</t>
        </is>
      </c>
      <c r="D39" t="inlineStr">
        <is>
          <t>(555) 220-7977</t>
        </is>
      </c>
      <c r="E39" t="inlineStr">
        <is>
          <t>terry.obrien54@example.com</t>
        </is>
      </c>
      <c r="G39" s="27" t="n"/>
      <c r="H39" s="27" t="n"/>
      <c r="I39" s="27" t="n"/>
      <c r="J39" s="27" t="n"/>
    </row>
    <row r="40">
      <c r="A40" t="inlineStr">
        <is>
          <t>PT10039</t>
        </is>
      </c>
      <c r="B40" t="n">
        <v>6071518</v>
      </c>
      <c r="C40" t="inlineStr">
        <is>
          <t>cunningham, emma</t>
        </is>
      </c>
      <c r="D40" t="inlineStr">
        <is>
          <t>(555) 497-6103</t>
        </is>
      </c>
      <c r="G40" s="27" t="n"/>
      <c r="H40" s="27" t="n"/>
      <c r="I40" s="27" t="n"/>
      <c r="J40" s="27" t="n"/>
    </row>
    <row r="41">
      <c r="A41" t="inlineStr">
        <is>
          <t>PT10040</t>
        </is>
      </c>
      <c r="B41" t="n">
        <v>1627410</v>
      </c>
      <c r="C41" t="inlineStr">
        <is>
          <t>Carroll, Lucia</t>
        </is>
      </c>
      <c r="D41" t="inlineStr">
        <is>
          <t>(555) 661-2143</t>
        </is>
      </c>
      <c r="F41" t="inlineStr">
        <is>
          <t>HTN</t>
        </is>
      </c>
      <c r="G41" s="27" t="n"/>
      <c r="H41" s="27" t="n"/>
      <c r="I41" s="27" t="n"/>
      <c r="J41" s="27" t="n"/>
    </row>
    <row r="42">
      <c r="A42" t="inlineStr">
        <is>
          <t>PT10041</t>
        </is>
      </c>
      <c r="B42" t="n">
        <v>4973347</v>
      </c>
      <c r="C42" t="inlineStr">
        <is>
          <t>HENDERSON,Peter</t>
        </is>
      </c>
      <c r="D42" t="inlineStr">
        <is>
          <t>(555) 515-2846</t>
        </is>
      </c>
      <c r="G42" s="27" t="n"/>
      <c r="H42" s="27" t="n"/>
      <c r="I42" s="27" t="n"/>
      <c r="J42" s="27" t="n"/>
    </row>
    <row r="43">
      <c r="A43" t="inlineStr">
        <is>
          <t>PT10042</t>
        </is>
      </c>
      <c r="B43" t="n">
        <v>9762790</v>
      </c>
      <c r="C43" t="inlineStr">
        <is>
          <t>Washington, Emily</t>
        </is>
      </c>
      <c r="D43" t="inlineStr">
        <is>
          <t>(555) 977-1394</t>
        </is>
      </c>
      <c r="F43" t="inlineStr">
        <is>
          <t>HF;COPD</t>
        </is>
      </c>
      <c r="G43" s="27" t="n"/>
      <c r="H43" s="27" t="n"/>
      <c r="I43" s="27" t="n"/>
      <c r="J43" s="27" t="n"/>
    </row>
    <row r="44">
      <c r="A44" t="inlineStr">
        <is>
          <t>PT10043</t>
        </is>
      </c>
      <c r="B44" t="n">
        <v>5335385</v>
      </c>
      <c r="C44" t="inlineStr">
        <is>
          <t>RAMOS, LAWRENCE</t>
        </is>
      </c>
      <c r="D44" t="inlineStr">
        <is>
          <t>(555) 700-3931</t>
        </is>
      </c>
      <c r="E44" t="inlineStr">
        <is>
          <t>lawrence.ramos91@example.com</t>
        </is>
      </c>
      <c r="F44" t="inlineStr">
        <is>
          <t>COPD;ETOH</t>
        </is>
      </c>
      <c r="G44" s="27" t="n"/>
      <c r="H44" s="27" t="n"/>
      <c r="I44" s="27" t="n"/>
      <c r="J44" s="27" t="n"/>
    </row>
    <row r="45">
      <c r="A45" t="inlineStr">
        <is>
          <t>PT10044</t>
        </is>
      </c>
      <c r="B45" t="n">
        <v>645167</v>
      </c>
      <c r="C45" t="inlineStr">
        <is>
          <t xml:space="preserve">davis, melissa  </t>
        </is>
      </c>
      <c r="D45" t="inlineStr">
        <is>
          <t>(555) 706-3116</t>
        </is>
      </c>
      <c r="E45" t="inlineStr">
        <is>
          <t>melissa.davis19@example.com</t>
        </is>
      </c>
      <c r="F45" t="inlineStr">
        <is>
          <t>ASTHMA</t>
        </is>
      </c>
      <c r="G45" s="27" t="n"/>
      <c r="H45" s="27" t="n"/>
      <c r="I45" s="27" t="n"/>
      <c r="J45" s="27" t="n"/>
    </row>
    <row r="46">
      <c r="A46" t="inlineStr">
        <is>
          <t>PT10045</t>
        </is>
      </c>
      <c r="B46" t="n">
        <v>2366329</v>
      </c>
      <c r="C46" t="inlineStr">
        <is>
          <t>West, Jerry</t>
        </is>
      </c>
      <c r="D46" t="inlineStr">
        <is>
          <t>(555) 254-1296</t>
        </is>
      </c>
      <c r="E46" t="inlineStr">
        <is>
          <t>jerry.west87@example.com</t>
        </is>
      </c>
      <c r="F46" t="inlineStr">
        <is>
          <t>PSYCH</t>
        </is>
      </c>
      <c r="G46" s="27" t="n"/>
      <c r="H46" s="27" t="n"/>
      <c r="I46" s="27" t="n"/>
      <c r="J46" s="27" t="n"/>
    </row>
    <row r="47">
      <c r="A47" t="inlineStr">
        <is>
          <t>PT10046</t>
        </is>
      </c>
      <c r="B47" t="n">
        <v>5637996</v>
      </c>
      <c r="C47" t="inlineStr">
        <is>
          <t xml:space="preserve"> SIMPSON, Victoria</t>
        </is>
      </c>
      <c r="D47" t="inlineStr">
        <is>
          <t>(555) 912-4637</t>
        </is>
      </c>
      <c r="E47" t="inlineStr">
        <is>
          <t>victoria.simpson73@example.com</t>
        </is>
      </c>
      <c r="F47" t="inlineStr">
        <is>
          <t>ASTHMA</t>
        </is>
      </c>
      <c r="G47" s="27" t="n"/>
      <c r="H47" s="27" t="n"/>
      <c r="I47" s="27" t="n"/>
      <c r="J47" s="27" t="n"/>
    </row>
    <row r="48">
      <c r="A48" t="inlineStr">
        <is>
          <t>PT10047</t>
        </is>
      </c>
      <c r="B48" t="n">
        <v>2924318</v>
      </c>
      <c r="C48" t="inlineStr">
        <is>
          <t>Bradley, Wayne</t>
        </is>
      </c>
      <c r="D48" t="inlineStr">
        <is>
          <t>(555) 413-6249</t>
        </is>
      </c>
      <c r="G48" s="27" t="n"/>
      <c r="H48" s="27" t="n"/>
      <c r="I48" s="27" t="n"/>
      <c r="J48" s="27" t="n"/>
    </row>
    <row r="49">
      <c r="A49" t="inlineStr">
        <is>
          <t>PT10048</t>
        </is>
      </c>
      <c r="B49" t="n">
        <v>3647016</v>
      </c>
      <c r="C49" t="inlineStr">
        <is>
          <t>BOYD, TERESA</t>
        </is>
      </c>
      <c r="D49" t="inlineStr">
        <is>
          <t>(555) 678-0264</t>
        </is>
      </c>
      <c r="G49" s="27" t="n"/>
      <c r="H49" s="27" t="n"/>
      <c r="I49" s="27" t="n"/>
      <c r="J49" s="27" t="n"/>
    </row>
    <row r="50">
      <c r="A50" t="inlineStr">
        <is>
          <t>PT10049</t>
        </is>
      </c>
      <c r="B50" t="n">
        <v>6527217</v>
      </c>
      <c r="C50" t="inlineStr">
        <is>
          <t>hicks, danielle</t>
        </is>
      </c>
      <c r="D50" t="inlineStr">
        <is>
          <t>(555) 592-7650</t>
        </is>
      </c>
      <c r="E50" t="inlineStr">
        <is>
          <t>danielle.hicks91@example.com</t>
        </is>
      </c>
      <c r="G50" s="27" t="n"/>
      <c r="H50" s="27" t="n"/>
      <c r="I50" s="27" t="n"/>
      <c r="J50" s="27" t="n"/>
    </row>
    <row r="51">
      <c r="A51" t="inlineStr">
        <is>
          <t>PT10050</t>
        </is>
      </c>
      <c r="B51" t="n">
        <v>1987874</v>
      </c>
      <c r="C51" t="inlineStr">
        <is>
          <t>Kim,  Patrick</t>
        </is>
      </c>
      <c r="D51" t="inlineStr">
        <is>
          <t>(555) 438-2516</t>
        </is>
      </c>
      <c r="F51" t="inlineStr">
        <is>
          <t>HTN;OA</t>
        </is>
      </c>
      <c r="G51" s="27" t="n"/>
      <c r="H51" s="27" t="n"/>
      <c r="I51" s="27" t="n"/>
      <c r="J51" s="27" t="n"/>
    </row>
    <row r="52">
      <c r="A52" t="inlineStr">
        <is>
          <t>PT10051</t>
        </is>
      </c>
      <c r="B52" t="n">
        <v>3907779</v>
      </c>
      <c r="C52" t="inlineStr">
        <is>
          <t>LEWIS, Ronald</t>
        </is>
      </c>
      <c r="D52" t="inlineStr">
        <is>
          <t>(555) 981-6872</t>
        </is>
      </c>
      <c r="G52" s="27" t="n"/>
      <c r="H52" s="27" t="n"/>
      <c r="I52" s="27" t="n"/>
      <c r="J52" s="27" t="n"/>
    </row>
    <row r="53">
      <c r="A53" t="inlineStr">
        <is>
          <t>PT10052</t>
        </is>
      </c>
      <c r="B53" t="n">
        <v>2278852</v>
      </c>
      <c r="C53" t="inlineStr">
        <is>
          <t xml:space="preserve">Nakamura,Angela  </t>
        </is>
      </c>
      <c r="D53" t="inlineStr">
        <is>
          <t>(555) 273-2695</t>
        </is>
      </c>
      <c r="E53" t="inlineStr">
        <is>
          <t>angela.nakamura48@example.com</t>
        </is>
      </c>
      <c r="F53" t="inlineStr">
        <is>
          <t>HTN</t>
        </is>
      </c>
      <c r="G53" s="27" t="n"/>
      <c r="H53" s="27" t="n"/>
      <c r="I53" s="27" t="n"/>
      <c r="J53" s="27" t="n"/>
    </row>
    <row r="54">
      <c r="A54" t="inlineStr">
        <is>
          <t>PT10053</t>
        </is>
      </c>
      <c r="B54" t="n">
        <v>6384916</v>
      </c>
      <c r="C54" t="inlineStr">
        <is>
          <t>TURNER, BRIAN</t>
        </is>
      </c>
      <c r="D54" t="inlineStr">
        <is>
          <t>(555) 717-8986</t>
        </is>
      </c>
      <c r="G54" s="27" t="n"/>
      <c r="H54" s="27" t="n"/>
      <c r="I54" s="27" t="n"/>
      <c r="J54" s="27" t="n"/>
    </row>
    <row r="55">
      <c r="A55" t="inlineStr">
        <is>
          <t>PT10054</t>
        </is>
      </c>
      <c r="B55" t="n">
        <v>9029537</v>
      </c>
      <c r="C55" t="inlineStr">
        <is>
          <t>adams, catherine</t>
        </is>
      </c>
      <c r="D55" t="inlineStr">
        <is>
          <t>(555) 293-7465</t>
        </is>
      </c>
      <c r="E55" t="inlineStr">
        <is>
          <t>catherine.adams1@example.com</t>
        </is>
      </c>
      <c r="G55" s="27" t="n"/>
      <c r="H55" s="27" t="n"/>
      <c r="I55" s="27" t="n"/>
      <c r="J55" s="27" t="n"/>
    </row>
    <row r="56">
      <c r="A56" t="inlineStr">
        <is>
          <t>PT10055</t>
        </is>
      </c>
      <c r="B56" t="n">
        <v>4174690</v>
      </c>
      <c r="C56" t="inlineStr">
        <is>
          <t>Lewis, Evelyn</t>
        </is>
      </c>
      <c r="D56" t="inlineStr">
        <is>
          <t>(555) 734-2951</t>
        </is>
      </c>
      <c r="G56" s="27" t="n"/>
      <c r="H56" s="27" t="n"/>
      <c r="I56" s="27" t="n"/>
      <c r="J56" s="27" t="n"/>
    </row>
    <row r="57">
      <c r="A57" t="inlineStr">
        <is>
          <t>PT10056</t>
        </is>
      </c>
      <c r="B57" t="n">
        <v>5428930</v>
      </c>
      <c r="C57" t="inlineStr">
        <is>
          <t>SANCHEZ, Lisa</t>
        </is>
      </c>
      <c r="D57" t="inlineStr">
        <is>
          <t>(555) 200-2730</t>
        </is>
      </c>
      <c r="E57" t="inlineStr">
        <is>
          <t>lisa.sanchez44@example.com</t>
        </is>
      </c>
      <c r="F57" t="inlineStr">
        <is>
          <t>ETOH</t>
        </is>
      </c>
      <c r="G57" s="27" t="n"/>
      <c r="H57" s="27" t="n"/>
      <c r="I57" s="27" t="n"/>
      <c r="J57" s="27" t="n"/>
    </row>
    <row r="58">
      <c r="A58" t="inlineStr">
        <is>
          <t>PT10057</t>
        </is>
      </c>
      <c r="B58" t="n">
        <v>5362138</v>
      </c>
      <c r="C58" t="inlineStr">
        <is>
          <t>Hudson, Melissa</t>
        </is>
      </c>
      <c r="D58" t="inlineStr">
        <is>
          <t>(555) 876-2890</t>
        </is>
      </c>
      <c r="F58" t="inlineStr">
        <is>
          <t>COPD</t>
        </is>
      </c>
      <c r="G58" s="27" t="n"/>
      <c r="H58" s="27" t="n"/>
      <c r="I58" s="27" t="n"/>
      <c r="J58" s="27" t="n"/>
    </row>
    <row r="59">
      <c r="A59" t="inlineStr">
        <is>
          <t>PT10058</t>
        </is>
      </c>
      <c r="B59" t="n">
        <v>7973621</v>
      </c>
      <c r="C59" t="inlineStr">
        <is>
          <t>KIM, CHRISTINA</t>
        </is>
      </c>
      <c r="D59" t="inlineStr">
        <is>
          <t>(555) 529-7071</t>
        </is>
      </c>
      <c r="E59" t="inlineStr">
        <is>
          <t>christina.kim58@example.com</t>
        </is>
      </c>
      <c r="G59" s="27" t="n"/>
      <c r="H59" s="27" t="n"/>
      <c r="I59" s="27" t="n"/>
      <c r="J59" s="27" t="n"/>
    </row>
    <row r="60">
      <c r="A60" t="inlineStr">
        <is>
          <t>PT10059</t>
        </is>
      </c>
      <c r="B60" t="n">
        <v>1927734</v>
      </c>
      <c r="C60" t="inlineStr">
        <is>
          <t xml:space="preserve"> yilmaz, natalie</t>
        </is>
      </c>
      <c r="D60" t="inlineStr">
        <is>
          <t>(555) 967-1131</t>
        </is>
      </c>
      <c r="E60" t="inlineStr">
        <is>
          <t>natalie.yilmaz89@example.com</t>
        </is>
      </c>
      <c r="G60" s="27" t="n"/>
      <c r="H60" s="27" t="n"/>
      <c r="I60" s="27" t="n"/>
      <c r="J60" s="27" t="n"/>
    </row>
    <row r="61">
      <c r="A61" t="inlineStr">
        <is>
          <t>PT10060</t>
        </is>
      </c>
      <c r="B61" t="n">
        <v>5240385</v>
      </c>
      <c r="C61" t="inlineStr">
        <is>
          <t xml:space="preserve">Guzman, Donna  </t>
        </is>
      </c>
      <c r="D61" t="inlineStr">
        <is>
          <t>(555) 675-9847</t>
        </is>
      </c>
      <c r="E61" t="inlineStr">
        <is>
          <t>donna.guzman10@example.com</t>
        </is>
      </c>
      <c r="F61" t="inlineStr">
        <is>
          <t>HTN</t>
        </is>
      </c>
      <c r="G61" s="27" t="n"/>
      <c r="H61" s="27" t="n"/>
      <c r="I61" s="27" t="n"/>
      <c r="J61" s="27" t="n"/>
    </row>
    <row r="62">
      <c r="A62" t="inlineStr">
        <is>
          <t>PT10061</t>
        </is>
      </c>
      <c r="B62" t="n">
        <v>3046263</v>
      </c>
      <c r="C62" t="inlineStr">
        <is>
          <t>JOHNSTON, Mateo</t>
        </is>
      </c>
      <c r="D62" t="inlineStr">
        <is>
          <t>(555) 984-1407</t>
        </is>
      </c>
      <c r="E62" t="inlineStr">
        <is>
          <t>mateo.johnston17@example.com</t>
        </is>
      </c>
      <c r="F62" t="inlineStr">
        <is>
          <t>HTN;ETOH</t>
        </is>
      </c>
      <c r="G62" s="27" t="n"/>
      <c r="H62" s="27" t="n"/>
      <c r="I62" s="27" t="n"/>
      <c r="J62" s="27" t="n"/>
    </row>
    <row r="63">
      <c r="A63" t="inlineStr">
        <is>
          <t>PT10062</t>
        </is>
      </c>
      <c r="B63" t="n">
        <v>5871556</v>
      </c>
      <c r="C63" t="inlineStr">
        <is>
          <t>Meyer, Linh</t>
        </is>
      </c>
      <c r="D63" t="inlineStr">
        <is>
          <t>(555) 965-2854</t>
        </is>
      </c>
      <c r="E63" t="inlineStr">
        <is>
          <t>linh.meyer71@example.com</t>
        </is>
      </c>
      <c r="F63" t="inlineStr">
        <is>
          <t>HTN</t>
        </is>
      </c>
      <c r="G63" s="27" t="n"/>
      <c r="H63" s="27" t="n"/>
      <c r="I63" s="27" t="n"/>
      <c r="J63" s="27" t="n"/>
    </row>
    <row r="64">
      <c r="A64" t="inlineStr">
        <is>
          <t>PT10063</t>
        </is>
      </c>
      <c r="B64" t="n">
        <v>5788265</v>
      </c>
      <c r="C64" t="inlineStr">
        <is>
          <t>HAWKINS,ANDREA</t>
        </is>
      </c>
      <c r="D64" t="inlineStr">
        <is>
          <t>(555) 471-3634</t>
        </is>
      </c>
      <c r="E64" t="inlineStr">
        <is>
          <t>andrea.hawkins21@example.com</t>
        </is>
      </c>
      <c r="F64" t="inlineStr">
        <is>
          <t>HTN;DM;COPD</t>
        </is>
      </c>
      <c r="G64" s="27" t="n"/>
      <c r="H64" s="27" t="n"/>
      <c r="I64" s="27" t="n"/>
      <c r="J64" s="27" t="n"/>
    </row>
    <row r="65">
      <c r="A65" t="inlineStr">
        <is>
          <t>PT10064</t>
        </is>
      </c>
      <c r="B65" t="n">
        <v>8932643</v>
      </c>
      <c r="C65" t="inlineStr">
        <is>
          <t>grant, natalie</t>
        </is>
      </c>
      <c r="D65" t="inlineStr">
        <is>
          <t>(555) 959-1391</t>
        </is>
      </c>
      <c r="E65" t="inlineStr">
        <is>
          <t>natalie.grant52@example.com</t>
        </is>
      </c>
      <c r="G65" s="27" t="n"/>
      <c r="H65" s="27" t="n"/>
      <c r="I65" s="27" t="n"/>
      <c r="J65" s="27" t="n"/>
    </row>
    <row r="66">
      <c r="A66" t="inlineStr">
        <is>
          <t>PT10065</t>
        </is>
      </c>
      <c r="B66" t="n">
        <v>1729555</v>
      </c>
      <c r="C66" t="inlineStr">
        <is>
          <t>Henry, James</t>
        </is>
      </c>
      <c r="D66" t="inlineStr">
        <is>
          <t>(555) 720-6063</t>
        </is>
      </c>
      <c r="E66" t="inlineStr">
        <is>
          <t>james.henry98@example.com</t>
        </is>
      </c>
      <c r="F66" t="inlineStr">
        <is>
          <t>HTN;PSYCH</t>
        </is>
      </c>
      <c r="G66" s="27" t="n"/>
      <c r="H66" s="27" t="n"/>
      <c r="I66" s="27" t="n"/>
      <c r="J66" s="27" t="n"/>
    </row>
    <row r="67">
      <c r="A67" t="inlineStr">
        <is>
          <t>PT10066</t>
        </is>
      </c>
      <c r="B67" t="n">
        <v>6971544</v>
      </c>
      <c r="C67" t="inlineStr">
        <is>
          <t>LOPEZ, Hassan</t>
        </is>
      </c>
      <c r="D67" t="inlineStr">
        <is>
          <t>(555) 945-4688</t>
        </is>
      </c>
      <c r="E67" t="inlineStr">
        <is>
          <t>hassan.lopez28@example.com</t>
        </is>
      </c>
      <c r="G67" s="27" t="n"/>
      <c r="H67" s="27" t="n"/>
      <c r="I67" s="27" t="n"/>
      <c r="J67" s="27" t="n"/>
    </row>
    <row r="68">
      <c r="A68" t="inlineStr">
        <is>
          <t>PT10067</t>
        </is>
      </c>
      <c r="B68" t="n">
        <v>4779592</v>
      </c>
      <c r="C68" t="inlineStr">
        <is>
          <t>Elliott, Janice</t>
        </is>
      </c>
      <c r="D68" t="inlineStr">
        <is>
          <t>(555) 406-1015</t>
        </is>
      </c>
      <c r="G68" s="27" t="n"/>
      <c r="H68" s="27" t="n"/>
      <c r="I68" s="27" t="n"/>
      <c r="J68" s="27" t="n"/>
    </row>
    <row r="69">
      <c r="A69" t="inlineStr">
        <is>
          <t>PT10068</t>
        </is>
      </c>
      <c r="B69" t="n">
        <v>5725893</v>
      </c>
      <c r="C69" t="inlineStr">
        <is>
          <t xml:space="preserve">REYES,  LUIS  </t>
        </is>
      </c>
      <c r="D69" t="inlineStr">
        <is>
          <t>(555) 769-4402</t>
        </is>
      </c>
      <c r="E69" t="inlineStr">
        <is>
          <t>luis.reyes6@example.com</t>
        </is>
      </c>
      <c r="F69" t="inlineStr">
        <is>
          <t>HTN;HF;PSYCH</t>
        </is>
      </c>
      <c r="G69" s="27" t="n"/>
      <c r="H69" s="27" t="n"/>
      <c r="I69" s="27" t="n"/>
      <c r="J69" s="27" t="n"/>
    </row>
    <row r="70">
      <c r="A70" t="inlineStr">
        <is>
          <t>PT10069</t>
        </is>
      </c>
      <c r="B70" t="n">
        <v>8458358</v>
      </c>
      <c r="C70" t="inlineStr">
        <is>
          <t>ramirez, jordan</t>
        </is>
      </c>
      <c r="D70" t="inlineStr">
        <is>
          <t>(555) 532-3113</t>
        </is>
      </c>
      <c r="E70" t="inlineStr">
        <is>
          <t>jordan.ramirez92@example.com</t>
        </is>
      </c>
      <c r="F70" t="inlineStr">
        <is>
          <t>HF</t>
        </is>
      </c>
      <c r="G70" s="27" t="n"/>
      <c r="H70" s="27" t="n"/>
      <c r="I70" s="27" t="n"/>
      <c r="J70" s="27" t="n"/>
    </row>
    <row r="71">
      <c r="A71" t="inlineStr">
        <is>
          <t>PT10070</t>
        </is>
      </c>
      <c r="B71" t="n">
        <v>750668</v>
      </c>
      <c r="C71" t="inlineStr">
        <is>
          <t>Elliott, Carl</t>
        </is>
      </c>
      <c r="D71" t="inlineStr">
        <is>
          <t>(555) 930-7559</t>
        </is>
      </c>
      <c r="E71" t="inlineStr">
        <is>
          <t>carl.elliott19@example.com</t>
        </is>
      </c>
      <c r="F71" t="inlineStr">
        <is>
          <t>HTN;ETOH</t>
        </is>
      </c>
      <c r="G71" s="27" t="n"/>
      <c r="H71" s="27" t="n"/>
      <c r="I71" s="27" t="n"/>
      <c r="J71" s="27" t="n"/>
    </row>
    <row r="72">
      <c r="A72" t="inlineStr">
        <is>
          <t>PT10071</t>
        </is>
      </c>
      <c r="B72" t="n">
        <v>8812843</v>
      </c>
      <c r="C72" t="inlineStr">
        <is>
          <t>PEREZ, Lori</t>
        </is>
      </c>
      <c r="D72" t="inlineStr">
        <is>
          <t>(555) 510-5609</t>
        </is>
      </c>
      <c r="G72" s="27" t="n"/>
      <c r="H72" s="27" t="n"/>
      <c r="I72" s="27" t="n"/>
      <c r="J72" s="27" t="n"/>
    </row>
    <row r="73">
      <c r="A73" t="inlineStr">
        <is>
          <t>PT10072</t>
        </is>
      </c>
      <c r="B73" t="n">
        <v>8124000</v>
      </c>
      <c r="C73" t="inlineStr">
        <is>
          <t xml:space="preserve"> Romero, Alice</t>
        </is>
      </c>
      <c r="D73" t="inlineStr">
        <is>
          <t>(555) 625-3341</t>
        </is>
      </c>
      <c r="G73" s="27" t="n"/>
      <c r="H73" s="27" t="n"/>
      <c r="I73" s="27" t="n"/>
      <c r="J73" s="27" t="n"/>
    </row>
    <row r="74">
      <c r="A74" t="inlineStr">
        <is>
          <t>PT10073</t>
        </is>
      </c>
      <c r="B74" t="n">
        <v>3449108</v>
      </c>
      <c r="C74" t="inlineStr">
        <is>
          <t>CRUZ, ISABELLA</t>
        </is>
      </c>
      <c r="D74" t="inlineStr">
        <is>
          <t>(555) 372-4686</t>
        </is>
      </c>
      <c r="E74" t="inlineStr">
        <is>
          <t>isabella.cruz16@example.com</t>
        </is>
      </c>
      <c r="G74" s="27" t="n"/>
      <c r="H74" s="27" t="n"/>
      <c r="I74" s="27" t="n"/>
      <c r="J74" s="27" t="n"/>
    </row>
    <row r="75">
      <c r="A75" t="inlineStr">
        <is>
          <t>PT10074</t>
        </is>
      </c>
      <c r="B75" t="n">
        <v>8722173</v>
      </c>
      <c r="C75" t="inlineStr">
        <is>
          <t>aguilar,joseph</t>
        </is>
      </c>
      <c r="D75" t="inlineStr">
        <is>
          <t>(555) 624-1551</t>
        </is>
      </c>
      <c r="E75" t="inlineStr">
        <is>
          <t>joseph.aguilar93@example.com</t>
        </is>
      </c>
      <c r="F75" t="inlineStr">
        <is>
          <t>CKD</t>
        </is>
      </c>
      <c r="G75" s="27" t="n"/>
      <c r="H75" s="27" t="n"/>
      <c r="I75" s="27" t="n"/>
      <c r="J75" s="27" t="n"/>
    </row>
    <row r="76">
      <c r="A76" t="inlineStr">
        <is>
          <t>PT10075</t>
        </is>
      </c>
      <c r="B76" t="n">
        <v>1882309</v>
      </c>
      <c r="C76" t="inlineStr">
        <is>
          <t>Gordon, Albert</t>
        </is>
      </c>
      <c r="D76" t="inlineStr">
        <is>
          <t>(555) 874-1814</t>
        </is>
      </c>
      <c r="E76" t="inlineStr">
        <is>
          <t>albert.gordon77@example.com</t>
        </is>
      </c>
      <c r="F76" t="inlineStr">
        <is>
          <t>HTN;DM;ASTHMA</t>
        </is>
      </c>
      <c r="G76" s="27" t="n"/>
      <c r="H76" s="27" t="n"/>
      <c r="I76" s="27" t="n"/>
      <c r="J76" s="27" t="n"/>
    </row>
    <row r="77">
      <c r="A77" t="inlineStr">
        <is>
          <t>PT10076</t>
        </is>
      </c>
      <c r="B77" t="n">
        <v>9305159</v>
      </c>
      <c r="C77" t="inlineStr">
        <is>
          <t xml:space="preserve">GONZALEZ, Terry  </t>
        </is>
      </c>
      <c r="D77" t="inlineStr">
        <is>
          <t>(555) 768-7263</t>
        </is>
      </c>
      <c r="F77" t="inlineStr">
        <is>
          <t>HTN;PSYCH</t>
        </is>
      </c>
      <c r="G77" s="27" t="n"/>
      <c r="H77" s="27" t="n"/>
      <c r="I77" s="27" t="n"/>
      <c r="J77" s="27" t="n"/>
    </row>
    <row r="78">
      <c r="A78" t="inlineStr">
        <is>
          <t>PT10077</t>
        </is>
      </c>
      <c r="B78" t="n">
        <v>281981</v>
      </c>
      <c r="C78" t="inlineStr">
        <is>
          <t>Contreras,  Lucia</t>
        </is>
      </c>
      <c r="D78" t="inlineStr">
        <is>
          <t>(555) 318-1763</t>
        </is>
      </c>
      <c r="E78" t="inlineStr">
        <is>
          <t>lucia.contreras83@example.com</t>
        </is>
      </c>
      <c r="F78" t="inlineStr">
        <is>
          <t>PSYCH</t>
        </is>
      </c>
      <c r="G78" s="27" t="n"/>
      <c r="H78" s="27" t="n"/>
      <c r="I78" s="27" t="n"/>
      <c r="J78" s="27" t="n"/>
    </row>
    <row r="79">
      <c r="A79" t="inlineStr">
        <is>
          <t>PT10078</t>
        </is>
      </c>
      <c r="B79" t="n">
        <v>9449854</v>
      </c>
      <c r="C79" t="inlineStr">
        <is>
          <t>BURNS, ASHLEY</t>
        </is>
      </c>
      <c r="D79" t="inlineStr">
        <is>
          <t>(555) 350-2427</t>
        </is>
      </c>
      <c r="G79" s="27" t="n"/>
      <c r="H79" s="27" t="n"/>
      <c r="I79" s="27" t="n"/>
      <c r="J79" s="27" t="n"/>
    </row>
    <row r="80">
      <c r="A80" t="inlineStr">
        <is>
          <t>PT10079</t>
        </is>
      </c>
      <c r="B80" t="n">
        <v>1139994</v>
      </c>
      <c r="C80" t="inlineStr">
        <is>
          <t>mitchell, scott</t>
        </is>
      </c>
      <c r="D80" t="inlineStr">
        <is>
          <t>(555) 542-5567</t>
        </is>
      </c>
      <c r="E80" t="inlineStr">
        <is>
          <t>scott.mitchell24@example.com</t>
        </is>
      </c>
      <c r="G80" s="27" t="n"/>
      <c r="H80" s="27" t="n"/>
      <c r="I80" s="27" t="n"/>
      <c r="J80" s="27" t="n"/>
    </row>
    <row r="81">
      <c r="A81" t="inlineStr">
        <is>
          <t>PT10080</t>
        </is>
      </c>
      <c r="B81" t="n">
        <v>8943314</v>
      </c>
      <c r="C81" t="inlineStr">
        <is>
          <t>Taylor, Julie</t>
        </is>
      </c>
      <c r="D81" t="inlineStr">
        <is>
          <t>(555) 715-8462</t>
        </is>
      </c>
      <c r="F81" t="inlineStr">
        <is>
          <t>PSYCH</t>
        </is>
      </c>
      <c r="G81" s="27" t="n"/>
      <c r="H81" s="27" t="n"/>
      <c r="I81" s="27" t="n"/>
      <c r="J81" s="27" t="n"/>
    </row>
    <row r="82">
      <c r="A82" t="inlineStr">
        <is>
          <t>PT10081</t>
        </is>
      </c>
      <c r="B82" t="n">
        <v>5895716</v>
      </c>
      <c r="C82" t="inlineStr">
        <is>
          <t>FERNANDEZ, David</t>
        </is>
      </c>
      <c r="D82" t="inlineStr">
        <is>
          <t>(555) 213-1111</t>
        </is>
      </c>
      <c r="E82" t="inlineStr">
        <is>
          <t>david.fernandez34@example.com</t>
        </is>
      </c>
      <c r="F82" t="inlineStr">
        <is>
          <t>HTN;OA</t>
        </is>
      </c>
      <c r="G82" s="27" t="n"/>
      <c r="H82" s="27" t="n"/>
      <c r="I82" s="27" t="n"/>
      <c r="J82" s="27" t="n"/>
    </row>
    <row r="83">
      <c r="A83" t="inlineStr">
        <is>
          <t>PT10082</t>
        </is>
      </c>
      <c r="B83" t="n">
        <v>4601969</v>
      </c>
      <c r="C83" t="inlineStr">
        <is>
          <t>Garcia, Carolyn</t>
        </is>
      </c>
      <c r="D83" t="inlineStr">
        <is>
          <t>(555) 238-1718</t>
        </is>
      </c>
      <c r="E83" t="inlineStr">
        <is>
          <t>carolyn.garcia59@example.com</t>
        </is>
      </c>
      <c r="G83" s="27" t="n"/>
      <c r="H83" s="27" t="n"/>
      <c r="I83" s="27" t="n"/>
      <c r="J83" s="27" t="n"/>
    </row>
    <row r="84">
      <c r="A84" t="inlineStr">
        <is>
          <t>PT10083</t>
        </is>
      </c>
      <c r="B84" t="n">
        <v>5683338</v>
      </c>
      <c r="C84" t="inlineStr">
        <is>
          <t xml:space="preserve">PIERCE, VIRGINIA </t>
        </is>
      </c>
      <c r="D84" t="inlineStr">
        <is>
          <t>(555) 645-7604</t>
        </is>
      </c>
      <c r="E84" t="inlineStr">
        <is>
          <t>virginia.pierce96@example.com</t>
        </is>
      </c>
      <c r="F84" t="inlineStr">
        <is>
          <t>ASTHMA</t>
        </is>
      </c>
      <c r="G84" s="27" t="n"/>
      <c r="H84" s="27" t="n"/>
      <c r="I84" s="27" t="n"/>
      <c r="J84" s="27" t="n"/>
    </row>
    <row r="85">
      <c r="A85" t="inlineStr">
        <is>
          <t>PT10084</t>
        </is>
      </c>
      <c r="B85" t="n">
        <v>5752459</v>
      </c>
      <c r="C85" t="inlineStr">
        <is>
          <t xml:space="preserve">ramos, stephen  </t>
        </is>
      </c>
      <c r="D85" t="inlineStr">
        <is>
          <t>(555) 742-8502</t>
        </is>
      </c>
      <c r="F85" t="inlineStr">
        <is>
          <t>DM;AFIB</t>
        </is>
      </c>
      <c r="G85" s="27" t="n"/>
      <c r="H85" s="27" t="n"/>
      <c r="I85" s="27" t="n"/>
      <c r="J85" s="27" t="n"/>
    </row>
    <row r="86">
      <c r="A86" t="inlineStr">
        <is>
          <t>PT10085</t>
        </is>
      </c>
      <c r="B86" t="n">
        <v>6705511</v>
      </c>
      <c r="C86" t="inlineStr">
        <is>
          <t xml:space="preserve"> Hernandez,Andrew</t>
        </is>
      </c>
      <c r="D86" t="inlineStr">
        <is>
          <t>(555) 510-9448</t>
        </is>
      </c>
      <c r="E86" t="inlineStr">
        <is>
          <t>andrew.hernandez30@example.com</t>
        </is>
      </c>
      <c r="G86" s="27" t="n"/>
      <c r="H86" s="27" t="n"/>
      <c r="I86" s="27" t="n"/>
      <c r="J86" s="27" t="n"/>
    </row>
    <row r="87">
      <c r="A87" t="inlineStr">
        <is>
          <t>PT10086</t>
        </is>
      </c>
      <c r="B87" t="n">
        <v>3851413</v>
      </c>
      <c r="C87" t="inlineStr">
        <is>
          <t>MEYER,  Nancy</t>
        </is>
      </c>
      <c r="D87" t="inlineStr">
        <is>
          <t>(555) 202-6679</t>
        </is>
      </c>
      <c r="E87" t="inlineStr">
        <is>
          <t>nancy.meyer30@example.com</t>
        </is>
      </c>
      <c r="G87" s="27" t="n"/>
      <c r="H87" s="27" t="n"/>
      <c r="I87" s="27" t="n"/>
      <c r="J87" s="27" t="n"/>
    </row>
    <row r="88">
      <c r="A88" t="inlineStr">
        <is>
          <t>PT10087</t>
        </is>
      </c>
      <c r="B88" t="n">
        <v>8948043</v>
      </c>
      <c r="C88" t="inlineStr">
        <is>
          <t>Johnson, Nicole</t>
        </is>
      </c>
      <c r="D88" t="inlineStr">
        <is>
          <t>(555) 826-7141</t>
        </is>
      </c>
      <c r="G88" s="27" t="n"/>
      <c r="H88" s="27" t="n"/>
      <c r="I88" s="27" t="n"/>
      <c r="J88" s="27" t="n"/>
    </row>
    <row r="89">
      <c r="A89" t="inlineStr">
        <is>
          <t>PT10088</t>
        </is>
      </c>
      <c r="B89" t="n">
        <v>7430462</v>
      </c>
      <c r="C89" t="inlineStr">
        <is>
          <t>YILMAZ, NICHOLAS</t>
        </is>
      </c>
      <c r="D89" t="inlineStr">
        <is>
          <t>(555) 665-4621</t>
        </is>
      </c>
      <c r="E89" t="inlineStr">
        <is>
          <t>nicholas.yilmaz10@example.com</t>
        </is>
      </c>
      <c r="G89" s="27" t="n"/>
      <c r="H89" s="27" t="n"/>
      <c r="I89" s="27" t="n"/>
      <c r="J89" s="27" t="n"/>
    </row>
    <row r="90">
      <c r="A90" t="inlineStr">
        <is>
          <t>PT10089</t>
        </is>
      </c>
      <c r="B90" t="n">
        <v>6449902</v>
      </c>
      <c r="C90" t="inlineStr">
        <is>
          <t>carroll, mary</t>
        </is>
      </c>
      <c r="D90" t="inlineStr">
        <is>
          <t>(555) 558-9734</t>
        </is>
      </c>
      <c r="F90" t="inlineStr">
        <is>
          <t>DM</t>
        </is>
      </c>
      <c r="G90" s="27" t="n"/>
      <c r="H90" s="27" t="n"/>
      <c r="I90" s="27" t="n"/>
      <c r="J90" s="27" t="n"/>
    </row>
    <row r="91">
      <c r="A91" t="inlineStr">
        <is>
          <t>PT10090</t>
        </is>
      </c>
      <c r="B91" t="n">
        <v>2971051</v>
      </c>
      <c r="C91" t="inlineStr">
        <is>
          <t>Wright, Camila</t>
        </is>
      </c>
      <c r="D91" t="inlineStr">
        <is>
          <t>(555) 388-3269</t>
        </is>
      </c>
      <c r="F91" t="inlineStr">
        <is>
          <t>DM</t>
        </is>
      </c>
      <c r="G91" s="27" t="n"/>
      <c r="H91" s="27" t="n"/>
      <c r="I91" s="27" t="n"/>
      <c r="J91" s="27" t="n"/>
    </row>
    <row r="92">
      <c r="A92" t="inlineStr">
        <is>
          <t>PT10091</t>
        </is>
      </c>
      <c r="B92" t="n">
        <v>4461134</v>
      </c>
      <c r="C92" t="inlineStr">
        <is>
          <t>BOYD, Kayla</t>
        </is>
      </c>
      <c r="D92" t="inlineStr">
        <is>
          <t>(555) 583-8893</t>
        </is>
      </c>
      <c r="F92" t="inlineStr">
        <is>
          <t>ASTHMA;PSYCH</t>
        </is>
      </c>
      <c r="G92" s="27" t="n"/>
      <c r="H92" s="27" t="n"/>
      <c r="I92" s="27" t="n"/>
      <c r="J92" s="27" t="n"/>
    </row>
    <row r="93">
      <c r="A93" t="inlineStr">
        <is>
          <t>PT10092</t>
        </is>
      </c>
      <c r="B93" t="n">
        <v>7830968</v>
      </c>
      <c r="C93" t="inlineStr">
        <is>
          <t xml:space="preserve">Pierce, Harper  </t>
        </is>
      </c>
      <c r="D93" t="inlineStr">
        <is>
          <t>(555) 340-0868</t>
        </is>
      </c>
      <c r="E93" t="inlineStr">
        <is>
          <t>harper.pierce77@example.com</t>
        </is>
      </c>
      <c r="F93" t="inlineStr">
        <is>
          <t>HTN;DM</t>
        </is>
      </c>
      <c r="G93" s="27" t="n"/>
      <c r="H93" s="27" t="n"/>
      <c r="I93" s="27" t="n"/>
      <c r="J93" s="27" t="n"/>
    </row>
    <row r="94">
      <c r="A94" t="inlineStr">
        <is>
          <t>PT10093</t>
        </is>
      </c>
      <c r="B94" t="n">
        <v>1446475</v>
      </c>
      <c r="C94" t="inlineStr">
        <is>
          <t>MEYER, PRIYA</t>
        </is>
      </c>
      <c r="D94" t="inlineStr">
        <is>
          <t>(555) 401-8426</t>
        </is>
      </c>
      <c r="E94" t="inlineStr">
        <is>
          <t>priya.meyer6@example.com</t>
        </is>
      </c>
      <c r="F94" t="inlineStr">
        <is>
          <t>HTN;HF</t>
        </is>
      </c>
      <c r="G94" s="27" t="n"/>
      <c r="H94" s="27" t="n"/>
      <c r="I94" s="27" t="n"/>
      <c r="J94" s="27" t="n"/>
    </row>
    <row r="95">
      <c r="A95" t="inlineStr">
        <is>
          <t>PT10094</t>
        </is>
      </c>
      <c r="B95" t="n">
        <v>9750291</v>
      </c>
      <c r="C95" t="inlineStr">
        <is>
          <t>hall, janet</t>
        </is>
      </c>
      <c r="D95" t="inlineStr">
        <is>
          <t>(555) 241-4704</t>
        </is>
      </c>
      <c r="E95" t="inlineStr">
        <is>
          <t>janet.hall72@example.com</t>
        </is>
      </c>
      <c r="F95" t="inlineStr">
        <is>
          <t>CKD</t>
        </is>
      </c>
      <c r="G95" s="27" t="n"/>
      <c r="H95" s="27" t="n"/>
      <c r="I95" s="27" t="n"/>
      <c r="J95" s="27" t="n"/>
    </row>
    <row r="96">
      <c r="A96" t="inlineStr">
        <is>
          <t>PT10095</t>
        </is>
      </c>
      <c r="B96" t="n">
        <v>8001232</v>
      </c>
      <c r="C96" t="inlineStr">
        <is>
          <t>Jackson,  George</t>
        </is>
      </c>
      <c r="D96" t="inlineStr">
        <is>
          <t>(555) 299-5778</t>
        </is>
      </c>
      <c r="E96" t="inlineStr">
        <is>
          <t>george.jackson69@example.com</t>
        </is>
      </c>
      <c r="F96" t="inlineStr">
        <is>
          <t>HTN</t>
        </is>
      </c>
      <c r="G96" s="27" t="n"/>
      <c r="H96" s="27" t="n"/>
      <c r="I96" s="27" t="n"/>
      <c r="J96" s="27" t="n"/>
    </row>
    <row r="97">
      <c r="A97" t="inlineStr">
        <is>
          <t>PT10096</t>
        </is>
      </c>
      <c r="B97" t="n">
        <v>4307890</v>
      </c>
      <c r="C97" t="inlineStr">
        <is>
          <t>HARRIS,Elijah</t>
        </is>
      </c>
      <c r="D97" t="inlineStr">
        <is>
          <t>(555) 416-8448</t>
        </is>
      </c>
      <c r="F97" t="inlineStr">
        <is>
          <t>CANCER</t>
        </is>
      </c>
      <c r="G97" s="27" t="n"/>
      <c r="H97" s="27" t="n"/>
      <c r="I97" s="27" t="n"/>
      <c r="J97" s="27" t="n"/>
    </row>
    <row r="98">
      <c r="A98" t="inlineStr">
        <is>
          <t>PT10097</t>
        </is>
      </c>
      <c r="B98" t="n">
        <v>3415033</v>
      </c>
      <c r="C98" t="inlineStr">
        <is>
          <t>Garza, Ava</t>
        </is>
      </c>
      <c r="D98" t="inlineStr">
        <is>
          <t>(555) 704-5036</t>
        </is>
      </c>
      <c r="E98" t="inlineStr">
        <is>
          <t>ava.garza75@example.com</t>
        </is>
      </c>
      <c r="F98" t="inlineStr">
        <is>
          <t>PSYCH</t>
        </is>
      </c>
      <c r="G98" s="27" t="n"/>
      <c r="H98" s="27" t="n"/>
      <c r="I98" s="27" t="n"/>
      <c r="J98" s="27" t="n"/>
    </row>
    <row r="99">
      <c r="A99" t="inlineStr">
        <is>
          <t>PT10098</t>
        </is>
      </c>
      <c r="B99" t="n">
        <v>4427241</v>
      </c>
      <c r="C99" t="inlineStr">
        <is>
          <t xml:space="preserve"> JONES, MICHELLE</t>
        </is>
      </c>
      <c r="D99" t="inlineStr">
        <is>
          <t>(555) 543-4414</t>
        </is>
      </c>
      <c r="F99" t="inlineStr">
        <is>
          <t>DM</t>
        </is>
      </c>
      <c r="G99" s="27" t="n"/>
      <c r="H99" s="27" t="n"/>
      <c r="I99" s="27" t="n"/>
      <c r="J99" s="27" t="n"/>
    </row>
    <row r="100">
      <c r="A100" t="inlineStr">
        <is>
          <t>PT10099</t>
        </is>
      </c>
      <c r="B100" t="n">
        <v>6280335</v>
      </c>
      <c r="C100" t="inlineStr">
        <is>
          <t>gomez, helen</t>
        </is>
      </c>
      <c r="D100" t="inlineStr">
        <is>
          <t>(555) 656-7770</t>
        </is>
      </c>
      <c r="E100" t="inlineStr">
        <is>
          <t>helen.gomez14@example.com</t>
        </is>
      </c>
      <c r="G100" s="27" t="n"/>
      <c r="H100" s="27" t="n"/>
      <c r="I100" s="27" t="n"/>
      <c r="J100" s="27" t="n"/>
    </row>
    <row r="101">
      <c r="A101" t="inlineStr">
        <is>
          <t>PT10100</t>
        </is>
      </c>
      <c r="B101" t="n">
        <v>2063417</v>
      </c>
      <c r="C101" t="inlineStr">
        <is>
          <t xml:space="preserve">Hughes, Jeffrey  </t>
        </is>
      </c>
      <c r="D101" t="inlineStr">
        <is>
          <t>(555) 528-8561</t>
        </is>
      </c>
      <c r="G101" s="27" t="n"/>
      <c r="H101" s="27" t="n"/>
      <c r="I101" s="27" t="n"/>
      <c r="J101" s="27" t="n"/>
    </row>
    <row r="102">
      <c r="A102" t="inlineStr">
        <is>
          <t>PT10101</t>
        </is>
      </c>
      <c r="B102" t="n">
        <v>3669930</v>
      </c>
      <c r="C102" t="inlineStr">
        <is>
          <t>AGUILAR, Mateo</t>
        </is>
      </c>
      <c r="D102" t="inlineStr">
        <is>
          <t>(555) 331-4449</t>
        </is>
      </c>
      <c r="E102" t="inlineStr">
        <is>
          <t>mateo.aguilar78@example.com</t>
        </is>
      </c>
      <c r="F102" t="inlineStr">
        <is>
          <t>HTN;COPD;AFIB;OA</t>
        </is>
      </c>
      <c r="G102" s="27" t="n"/>
      <c r="H102" s="27" t="n"/>
      <c r="I102" s="27" t="n"/>
      <c r="J102" s="27" t="n"/>
    </row>
    <row r="103">
      <c r="A103" t="inlineStr">
        <is>
          <t>PT10102</t>
        </is>
      </c>
      <c r="B103" t="n">
        <v>6050927</v>
      </c>
      <c r="C103" t="inlineStr">
        <is>
          <t>Garza, Bradley</t>
        </is>
      </c>
      <c r="D103" t="inlineStr">
        <is>
          <t>(555) 421-2934</t>
        </is>
      </c>
      <c r="F103" t="inlineStr">
        <is>
          <t>AFIB;CKD;PSYCH;OA</t>
        </is>
      </c>
      <c r="G103" s="27" t="n"/>
      <c r="H103" s="27" t="n"/>
      <c r="I103" s="27" t="n"/>
      <c r="J103" s="27" t="n"/>
    </row>
    <row r="104">
      <c r="A104" t="inlineStr">
        <is>
          <t>PT10103</t>
        </is>
      </c>
      <c r="B104" t="n">
        <v>1509591</v>
      </c>
      <c r="C104" t="inlineStr">
        <is>
          <t>SNYDER, MINH</t>
        </is>
      </c>
      <c r="D104" t="inlineStr">
        <is>
          <t>(555) 297-5588</t>
        </is>
      </c>
      <c r="E104" t="inlineStr">
        <is>
          <t>minh.snyder96@example.com</t>
        </is>
      </c>
      <c r="F104" t="inlineStr">
        <is>
          <t>HTN</t>
        </is>
      </c>
      <c r="G104" s="27" t="n"/>
      <c r="H104" s="27" t="n"/>
      <c r="I104" s="27" t="n"/>
      <c r="J104" s="27" t="n"/>
    </row>
    <row r="105">
      <c r="A105" t="inlineStr">
        <is>
          <t>PT10104</t>
        </is>
      </c>
      <c r="B105" t="n">
        <v>9055529</v>
      </c>
      <c r="C105" t="inlineStr">
        <is>
          <t>pierce,  samuel</t>
        </is>
      </c>
      <c r="D105" t="inlineStr">
        <is>
          <t>(555) 268-4376</t>
        </is>
      </c>
      <c r="E105" t="inlineStr">
        <is>
          <t>samuel.pierce7@example.com</t>
        </is>
      </c>
      <c r="F105" t="inlineStr">
        <is>
          <t>DM;PSYCH</t>
        </is>
      </c>
      <c r="G105" s="27" t="n"/>
      <c r="H105" s="27" t="n"/>
      <c r="I105" s="27" t="n"/>
      <c r="J105" s="27" t="n"/>
    </row>
    <row r="106">
      <c r="A106" t="inlineStr">
        <is>
          <t>PT10105</t>
        </is>
      </c>
      <c r="B106" t="n">
        <v>4553336</v>
      </c>
      <c r="C106" t="inlineStr">
        <is>
          <t>Vasquez, Henry</t>
        </is>
      </c>
      <c r="D106" t="inlineStr">
        <is>
          <t>(555) 686-6591</t>
        </is>
      </c>
      <c r="E106" t="inlineStr">
        <is>
          <t>henry.vasquez69@example.com</t>
        </is>
      </c>
      <c r="F106" t="inlineStr">
        <is>
          <t>PSYCH</t>
        </is>
      </c>
      <c r="G106" s="27" t="n"/>
      <c r="H106" s="27" t="n"/>
      <c r="I106" s="27" t="n"/>
      <c r="J106" s="27" t="n"/>
    </row>
    <row r="107">
      <c r="A107" t="inlineStr">
        <is>
          <t>PT10106</t>
        </is>
      </c>
      <c r="B107" t="n">
        <v>7927796</v>
      </c>
      <c r="C107" t="inlineStr">
        <is>
          <t>ALVARADO, Madison</t>
        </is>
      </c>
      <c r="D107" t="inlineStr">
        <is>
          <t>(555) 905-0475</t>
        </is>
      </c>
      <c r="E107" t="inlineStr">
        <is>
          <t>madison.alvarado87@example.com</t>
        </is>
      </c>
      <c r="G107" s="27" t="n"/>
      <c r="H107" s="27" t="n"/>
      <c r="I107" s="27" t="n"/>
      <c r="J107" s="27" t="n"/>
    </row>
    <row r="108">
      <c r="A108" t="inlineStr">
        <is>
          <t>PT10107</t>
        </is>
      </c>
      <c r="B108" t="n">
        <v>2363916</v>
      </c>
      <c r="C108" t="inlineStr">
        <is>
          <t>Harrison,Mason</t>
        </is>
      </c>
      <c r="D108" t="inlineStr">
        <is>
          <t>(555) 880-3269</t>
        </is>
      </c>
      <c r="E108" t="inlineStr">
        <is>
          <t>mason.harrison17@example.com</t>
        </is>
      </c>
      <c r="G108" s="27" t="n"/>
      <c r="H108" s="27" t="n"/>
      <c r="I108" s="27" t="n"/>
      <c r="J108" s="27" t="n"/>
    </row>
    <row r="109">
      <c r="A109" t="inlineStr">
        <is>
          <t>PT10108</t>
        </is>
      </c>
      <c r="B109" t="n">
        <v>5208059</v>
      </c>
      <c r="C109" t="inlineStr">
        <is>
          <t xml:space="preserve">REYES, NANCY  </t>
        </is>
      </c>
      <c r="D109" t="inlineStr">
        <is>
          <t>(555) 473-3569</t>
        </is>
      </c>
      <c r="E109" t="inlineStr">
        <is>
          <t>nancy.reyes10@example.com</t>
        </is>
      </c>
      <c r="G109" s="27" t="n"/>
      <c r="H109" s="27" t="n"/>
      <c r="I109" s="27" t="n"/>
      <c r="J109" s="27" t="n"/>
    </row>
    <row r="110">
      <c r="A110" t="inlineStr">
        <is>
          <t>PT10109</t>
        </is>
      </c>
      <c r="B110" t="n">
        <v>4552128</v>
      </c>
      <c r="C110" t="inlineStr">
        <is>
          <t>hawkins, marie</t>
        </is>
      </c>
      <c r="D110" t="inlineStr">
        <is>
          <t>(555) 472-0186</t>
        </is>
      </c>
      <c r="G110" s="27" t="n"/>
      <c r="H110" s="27" t="n"/>
      <c r="I110" s="27" t="n"/>
      <c r="J110" s="27" t="n"/>
    </row>
    <row r="111">
      <c r="A111" t="inlineStr">
        <is>
          <t>PT10110</t>
        </is>
      </c>
      <c r="B111" t="n">
        <v>1785519</v>
      </c>
      <c r="C111" t="inlineStr">
        <is>
          <t>Castillo, Edward</t>
        </is>
      </c>
      <c r="D111" t="inlineStr">
        <is>
          <t>(555) 861-5722</t>
        </is>
      </c>
      <c r="G111" s="27" t="n"/>
      <c r="H111" s="27" t="n"/>
      <c r="I111" s="27" t="n"/>
      <c r="J111" s="27" t="n"/>
    </row>
    <row r="112">
      <c r="A112" t="inlineStr">
        <is>
          <t>PT10111</t>
        </is>
      </c>
      <c r="B112" t="n">
        <v>4282707</v>
      </c>
      <c r="C112" t="inlineStr">
        <is>
          <t xml:space="preserve"> MASON, Evelyn</t>
        </is>
      </c>
      <c r="D112" t="inlineStr">
        <is>
          <t>(555) 382-2219</t>
        </is>
      </c>
      <c r="F112" t="inlineStr">
        <is>
          <t>PSYCH</t>
        </is>
      </c>
      <c r="G112" s="27" t="n"/>
      <c r="H112" s="27" t="n"/>
      <c r="I112" s="27" t="n"/>
      <c r="J112" s="27" t="n"/>
    </row>
    <row r="113">
      <c r="A113" t="inlineStr">
        <is>
          <t>PT10112</t>
        </is>
      </c>
      <c r="B113" t="n">
        <v>1473420</v>
      </c>
      <c r="C113" t="inlineStr">
        <is>
          <t>Bailey, Elizabeth</t>
        </is>
      </c>
      <c r="D113" t="inlineStr">
        <is>
          <t>(555) 713-3477</t>
        </is>
      </c>
      <c r="E113" t="inlineStr">
        <is>
          <t>elizabeth.bailey48@example.com</t>
        </is>
      </c>
      <c r="G113" s="27" t="n"/>
      <c r="H113" s="27" t="n"/>
      <c r="I113" s="27" t="n"/>
      <c r="J113" s="27" t="n"/>
    </row>
    <row r="114">
      <c r="A114" t="inlineStr">
        <is>
          <t>PT10113</t>
        </is>
      </c>
      <c r="B114" t="n">
        <v>8688981</v>
      </c>
      <c r="C114" t="inlineStr">
        <is>
          <t>HAWKINS,  JACQUELINE</t>
        </is>
      </c>
      <c r="D114" t="inlineStr">
        <is>
          <t>(555) 508-7698</t>
        </is>
      </c>
      <c r="E114" t="inlineStr">
        <is>
          <t>jacqueline.hawkins48@example.com</t>
        </is>
      </c>
      <c r="F114" t="inlineStr">
        <is>
          <t>HTN;ETOH</t>
        </is>
      </c>
      <c r="G114" s="27" t="n"/>
      <c r="H114" s="27" t="n"/>
      <c r="I114" s="27" t="n"/>
      <c r="J114" s="27" t="n"/>
    </row>
    <row r="115">
      <c r="A115" t="inlineStr">
        <is>
          <t>PT10114</t>
        </is>
      </c>
      <c r="B115" t="n">
        <v>8638601</v>
      </c>
      <c r="C115" t="inlineStr">
        <is>
          <t xml:space="preserve">green, dylan </t>
        </is>
      </c>
      <c r="D115" t="inlineStr">
        <is>
          <t>(555) 612-3420</t>
        </is>
      </c>
      <c r="E115" t="inlineStr">
        <is>
          <t>dylan.green88@example.com</t>
        </is>
      </c>
      <c r="G115" s="27" t="n"/>
      <c r="H115" s="27" t="n"/>
      <c r="I115" s="27" t="n"/>
      <c r="J115" s="27" t="n"/>
    </row>
    <row r="116">
      <c r="A116" t="inlineStr">
        <is>
          <t>PT10115</t>
        </is>
      </c>
      <c r="B116" t="n">
        <v>9673832</v>
      </c>
      <c r="C116" t="inlineStr">
        <is>
          <t>Ray, Rosa</t>
        </is>
      </c>
      <c r="D116" t="inlineStr">
        <is>
          <t>(555) 845-9845</t>
        </is>
      </c>
      <c r="G116" s="27" t="n"/>
      <c r="H116" s="27" t="n"/>
      <c r="I116" s="27" t="n"/>
      <c r="J116" s="27" t="n"/>
    </row>
    <row r="117">
      <c r="A117" t="inlineStr">
        <is>
          <t>PT10116</t>
        </is>
      </c>
      <c r="B117" t="n">
        <v>4320480</v>
      </c>
      <c r="C117" t="inlineStr">
        <is>
          <t xml:space="preserve">JONES, Luis  </t>
        </is>
      </c>
      <c r="D117" t="inlineStr">
        <is>
          <t>(555) 758-4438</t>
        </is>
      </c>
      <c r="E117" t="inlineStr">
        <is>
          <t>luis.jones99@example.com</t>
        </is>
      </c>
      <c r="F117" t="inlineStr">
        <is>
          <t>HTN;HF;COPD;OA</t>
        </is>
      </c>
      <c r="G117" s="27" t="n"/>
      <c r="H117" s="27" t="n"/>
      <c r="I117" s="27" t="n"/>
      <c r="J117" s="27" t="n"/>
    </row>
    <row r="118">
      <c r="A118" t="inlineStr">
        <is>
          <t>PT10117</t>
        </is>
      </c>
      <c r="B118" t="n">
        <v>9505281</v>
      </c>
      <c r="C118" t="inlineStr">
        <is>
          <t>Kowalski, Evelyn</t>
        </is>
      </c>
      <c r="D118" t="inlineStr">
        <is>
          <t>(555) 487-3062</t>
        </is>
      </c>
      <c r="G118" s="27" t="n"/>
      <c r="H118" s="27" t="n"/>
      <c r="I118" s="27" t="n"/>
      <c r="J118" s="27" t="n"/>
    </row>
    <row r="119">
      <c r="A119" t="inlineStr">
        <is>
          <t>PT10118</t>
        </is>
      </c>
      <c r="B119" t="n">
        <v>397290</v>
      </c>
      <c r="C119" t="inlineStr">
        <is>
          <t>PETERSON,ERIC</t>
        </is>
      </c>
      <c r="D119" t="inlineStr">
        <is>
          <t>(555) 839-7372</t>
        </is>
      </c>
      <c r="F119" t="inlineStr">
        <is>
          <t>HTN</t>
        </is>
      </c>
      <c r="G119" s="27" t="n"/>
      <c r="H119" s="27" t="n"/>
      <c r="I119" s="27" t="n"/>
      <c r="J119" s="27" t="n"/>
    </row>
    <row r="120">
      <c r="A120" t="inlineStr">
        <is>
          <t>PT10119</t>
        </is>
      </c>
      <c r="B120" t="n">
        <v>1508745</v>
      </c>
      <c r="C120" t="inlineStr">
        <is>
          <t>harrison, catherine</t>
        </is>
      </c>
      <c r="D120" t="inlineStr">
        <is>
          <t>(555) 315-4437</t>
        </is>
      </c>
      <c r="F120" t="inlineStr">
        <is>
          <t>HTN;HF;OA</t>
        </is>
      </c>
      <c r="G120" s="27" t="n"/>
      <c r="H120" s="27" t="n"/>
      <c r="I120" s="27" t="n"/>
      <c r="J120" s="27" t="n"/>
    </row>
    <row r="121">
      <c r="A121" t="inlineStr">
        <is>
          <t>PT10120</t>
        </is>
      </c>
      <c r="B121" t="n">
        <v>1998299</v>
      </c>
      <c r="C121" t="inlineStr">
        <is>
          <t>Contreras, Joseph</t>
        </is>
      </c>
      <c r="D121" t="inlineStr">
        <is>
          <t>(555) 205-1626</t>
        </is>
      </c>
      <c r="E121" t="inlineStr">
        <is>
          <t>joseph.contreras19@example.com</t>
        </is>
      </c>
      <c r="F121" t="inlineStr">
        <is>
          <t>HTN;COPD;PSYCH</t>
        </is>
      </c>
      <c r="G121" s="27" t="n"/>
      <c r="H121" s="27" t="n"/>
      <c r="I121" s="27" t="n"/>
      <c r="J121" s="27" t="n"/>
    </row>
    <row r="122">
      <c r="A122" t="inlineStr">
        <is>
          <t>PT10121</t>
        </is>
      </c>
      <c r="B122" t="n">
        <v>1192756</v>
      </c>
      <c r="C122" t="inlineStr">
        <is>
          <t>ALEXANDER, Anna</t>
        </is>
      </c>
      <c r="D122" t="inlineStr">
        <is>
          <t>(555) 704-6071</t>
        </is>
      </c>
      <c r="F122" t="inlineStr">
        <is>
          <t>ASTHMA;OA</t>
        </is>
      </c>
      <c r="G122" s="27" t="n"/>
      <c r="H122" s="27" t="n"/>
      <c r="I122" s="27" t="n"/>
      <c r="J122" s="27" t="n"/>
    </row>
    <row r="123">
      <c r="A123" t="inlineStr">
        <is>
          <t>PT10122</t>
        </is>
      </c>
      <c r="B123" t="n">
        <v>3395010</v>
      </c>
      <c r="C123" t="inlineStr">
        <is>
          <t>West,  Harold</t>
        </is>
      </c>
      <c r="D123" t="inlineStr">
        <is>
          <t>(555) 610-5980</t>
        </is>
      </c>
      <c r="G123" s="27" t="n"/>
      <c r="H123" s="27" t="n"/>
      <c r="I123" s="27" t="n"/>
      <c r="J123" s="27" t="n"/>
    </row>
    <row r="124">
      <c r="A124" t="inlineStr">
        <is>
          <t>PT10123</t>
        </is>
      </c>
      <c r="B124" t="n">
        <v>8308336</v>
      </c>
      <c r="C124" t="inlineStr">
        <is>
          <t>SCOTT, SARA</t>
        </is>
      </c>
      <c r="D124" t="inlineStr">
        <is>
          <t>(555) 705-8610</t>
        </is>
      </c>
      <c r="E124" t="inlineStr">
        <is>
          <t>sara.scott36@example.com</t>
        </is>
      </c>
      <c r="G124" s="27" t="n"/>
      <c r="H124" s="27" t="n"/>
      <c r="I124" s="27" t="n"/>
      <c r="J124" s="27" t="n"/>
    </row>
    <row r="125">
      <c r="A125" t="inlineStr">
        <is>
          <t>PT10124</t>
        </is>
      </c>
      <c r="B125" t="n">
        <v>888439</v>
      </c>
      <c r="C125" t="inlineStr">
        <is>
          <t xml:space="preserve"> dixon, mei  </t>
        </is>
      </c>
      <c r="D125" t="inlineStr">
        <is>
          <t>(555) 972-0520</t>
        </is>
      </c>
      <c r="G125" s="27" t="n"/>
      <c r="H125" s="27" t="n"/>
      <c r="I125" s="27" t="n"/>
      <c r="J125" s="27" t="n"/>
    </row>
    <row r="126">
      <c r="A126" t="inlineStr">
        <is>
          <t>PT10125</t>
        </is>
      </c>
      <c r="B126" t="n">
        <v>8390143</v>
      </c>
      <c r="C126" t="inlineStr">
        <is>
          <t>Clark, Grace</t>
        </is>
      </c>
      <c r="D126" t="inlineStr">
        <is>
          <t>(555) 661-0442</t>
        </is>
      </c>
      <c r="G126" s="27" t="n"/>
      <c r="H126" s="27" t="n"/>
      <c r="I126" s="27" t="n"/>
      <c r="J126" s="27" t="n"/>
    </row>
    <row r="127">
      <c r="A127" t="inlineStr">
        <is>
          <t>PT10126</t>
        </is>
      </c>
      <c r="B127" t="n">
        <v>4925303</v>
      </c>
      <c r="C127" t="inlineStr">
        <is>
          <t>JACKSON, Diana</t>
        </is>
      </c>
      <c r="D127" t="inlineStr">
        <is>
          <t>(555) 247-2409</t>
        </is>
      </c>
      <c r="E127" t="inlineStr">
        <is>
          <t>diana.jackson34@example.com</t>
        </is>
      </c>
      <c r="F127" t="inlineStr">
        <is>
          <t>PSYCH</t>
        </is>
      </c>
      <c r="G127" s="27" t="n"/>
      <c r="H127" s="27" t="n"/>
      <c r="I127" s="27" t="n"/>
      <c r="J127" s="27" t="n"/>
    </row>
    <row r="128">
      <c r="A128" t="inlineStr">
        <is>
          <t>PT10127</t>
        </is>
      </c>
      <c r="B128" t="n">
        <v>2428409</v>
      </c>
      <c r="C128" t="inlineStr">
        <is>
          <t>Reynolds, Keith</t>
        </is>
      </c>
      <c r="D128" t="inlineStr">
        <is>
          <t>(555) 803-3225</t>
        </is>
      </c>
      <c r="E128" t="inlineStr">
        <is>
          <t>keith.reynolds78@example.com</t>
        </is>
      </c>
      <c r="F128" t="inlineStr">
        <is>
          <t>HF</t>
        </is>
      </c>
      <c r="G128" s="27" t="n"/>
      <c r="H128" s="27" t="n"/>
      <c r="I128" s="27" t="n"/>
      <c r="J128" s="27" t="n"/>
    </row>
    <row r="129">
      <c r="A129" t="inlineStr">
        <is>
          <t>PT10128</t>
        </is>
      </c>
      <c r="B129" t="n">
        <v>8149461</v>
      </c>
      <c r="C129" t="inlineStr">
        <is>
          <t>PRICE, EVELYN</t>
        </is>
      </c>
      <c r="D129" t="inlineStr">
        <is>
          <t>(555) 827-2489</t>
        </is>
      </c>
      <c r="G129" s="27" t="n"/>
      <c r="H129" s="27" t="n"/>
      <c r="I129" s="27" t="n"/>
      <c r="J129" s="27" t="n"/>
    </row>
    <row r="130">
      <c r="A130" t="inlineStr">
        <is>
          <t>PT10129</t>
        </is>
      </c>
      <c r="B130" t="n">
        <v>2291834</v>
      </c>
      <c r="C130" t="inlineStr">
        <is>
          <t>williams,amber</t>
        </is>
      </c>
      <c r="D130" t="inlineStr">
        <is>
          <t>(555) 225-5048</t>
        </is>
      </c>
      <c r="E130" t="inlineStr">
        <is>
          <t>amber.williams49@example.com</t>
        </is>
      </c>
      <c r="F130" t="inlineStr">
        <is>
          <t>HTN</t>
        </is>
      </c>
      <c r="G130" s="27" t="n"/>
      <c r="H130" s="27" t="n"/>
      <c r="I130" s="27" t="n"/>
      <c r="J130" s="27" t="n"/>
    </row>
    <row r="131">
      <c r="A131" t="inlineStr">
        <is>
          <t>PT10130</t>
        </is>
      </c>
      <c r="B131" t="n">
        <v>8690991</v>
      </c>
      <c r="C131" t="inlineStr">
        <is>
          <t>Romero, Maria</t>
        </is>
      </c>
      <c r="D131" t="inlineStr">
        <is>
          <t>(555) 280-1863</t>
        </is>
      </c>
      <c r="F131" t="inlineStr">
        <is>
          <t>HTN</t>
        </is>
      </c>
      <c r="G131" s="27" t="n"/>
      <c r="H131" s="27" t="n"/>
      <c r="I131" s="27" t="n"/>
      <c r="J131" s="27" t="n"/>
    </row>
    <row r="132">
      <c r="A132" t="inlineStr">
        <is>
          <t>PT10131</t>
        </is>
      </c>
      <c r="B132" t="n">
        <v>5272828</v>
      </c>
      <c r="C132" t="inlineStr">
        <is>
          <t>WATSON,  Alexander</t>
        </is>
      </c>
      <c r="D132" t="inlineStr">
        <is>
          <t>(555) 922-5718</t>
        </is>
      </c>
      <c r="E132" t="inlineStr">
        <is>
          <t>alexander.watson98@example.com</t>
        </is>
      </c>
      <c r="F132" t="inlineStr">
        <is>
          <t>DM</t>
        </is>
      </c>
      <c r="G132" s="27" t="n"/>
      <c r="H132" s="27" t="n"/>
      <c r="I132" s="27" t="n"/>
      <c r="J132" s="27" t="n"/>
    </row>
    <row r="133">
      <c r="A133" t="inlineStr">
        <is>
          <t>PT10132</t>
        </is>
      </c>
      <c r="B133" t="n">
        <v>6663463</v>
      </c>
      <c r="C133" t="inlineStr">
        <is>
          <t xml:space="preserve">Price, Liam  </t>
        </is>
      </c>
      <c r="D133" t="inlineStr">
        <is>
          <t>(555) 207-6973</t>
        </is>
      </c>
      <c r="E133" t="inlineStr">
        <is>
          <t>liam.price39@example.com</t>
        </is>
      </c>
      <c r="F133" t="inlineStr">
        <is>
          <t>COPD</t>
        </is>
      </c>
      <c r="G133" s="27" t="n"/>
      <c r="H133" s="27" t="n"/>
      <c r="I133" s="27" t="n"/>
      <c r="J133" s="27" t="n"/>
    </row>
    <row r="134">
      <c r="A134" t="inlineStr">
        <is>
          <t>PT10133</t>
        </is>
      </c>
      <c r="B134" t="n">
        <v>576034</v>
      </c>
      <c r="C134" t="inlineStr">
        <is>
          <t>GREEN, PATRICIA</t>
        </is>
      </c>
      <c r="D134" t="inlineStr">
        <is>
          <t>(555) 986-9428</t>
        </is>
      </c>
      <c r="E134" t="inlineStr">
        <is>
          <t>patricia.green84@example.com</t>
        </is>
      </c>
      <c r="F134" t="inlineStr">
        <is>
          <t>CANCER</t>
        </is>
      </c>
      <c r="G134" s="27" t="n"/>
      <c r="H134" s="27" t="n"/>
      <c r="I134" s="27" t="n"/>
      <c r="J134" s="27" t="n"/>
    </row>
    <row r="135">
      <c r="A135" t="inlineStr">
        <is>
          <t>PT10134</t>
        </is>
      </c>
      <c r="B135" t="n">
        <v>1646678</v>
      </c>
      <c r="C135" t="inlineStr">
        <is>
          <t>walker, patricia</t>
        </is>
      </c>
      <c r="D135" t="inlineStr">
        <is>
          <t>(555) 254-7667</t>
        </is>
      </c>
      <c r="E135" t="inlineStr">
        <is>
          <t>patricia.walker82@example.com</t>
        </is>
      </c>
      <c r="F135" t="inlineStr">
        <is>
          <t>DM</t>
        </is>
      </c>
      <c r="G135" s="27" t="n"/>
      <c r="H135" s="27" t="n"/>
      <c r="I135" s="27" t="n"/>
      <c r="J135" s="27" t="n"/>
    </row>
    <row r="136">
      <c r="A136" t="inlineStr">
        <is>
          <t>PT10135</t>
        </is>
      </c>
      <c r="B136" t="n">
        <v>7178765</v>
      </c>
      <c r="C136" t="inlineStr">
        <is>
          <t>Diaz, Sophia</t>
        </is>
      </c>
      <c r="D136" t="inlineStr">
        <is>
          <t>(555) 364-7002</t>
        </is>
      </c>
      <c r="F136" t="inlineStr">
        <is>
          <t>DM;PSYCH</t>
        </is>
      </c>
      <c r="G136" s="27" t="n"/>
      <c r="H136" s="27" t="n"/>
      <c r="I136" s="27" t="n"/>
      <c r="J136" s="27" t="n"/>
    </row>
    <row r="137">
      <c r="A137" t="inlineStr">
        <is>
          <t>PT10136</t>
        </is>
      </c>
      <c r="B137" t="n">
        <v>6020756</v>
      </c>
      <c r="C137" t="inlineStr">
        <is>
          <t>BUTLER, Amina</t>
        </is>
      </c>
      <c r="D137" t="inlineStr">
        <is>
          <t>(555) 398-2220</t>
        </is>
      </c>
      <c r="E137" t="inlineStr">
        <is>
          <t>amina.butler97@example.com</t>
        </is>
      </c>
      <c r="F137" t="inlineStr">
        <is>
          <t>ETOH</t>
        </is>
      </c>
      <c r="G137" s="27" t="n"/>
      <c r="H137" s="27" t="n"/>
      <c r="I137" s="27" t="n"/>
      <c r="J137" s="27" t="n"/>
    </row>
    <row r="138">
      <c r="A138" t="inlineStr">
        <is>
          <t>PT10137</t>
        </is>
      </c>
      <c r="B138" t="n">
        <v>7153976</v>
      </c>
      <c r="C138" t="inlineStr">
        <is>
          <t xml:space="preserve"> Stevens, Jack</t>
        </is>
      </c>
      <c r="D138" t="inlineStr">
        <is>
          <t>(555) 958-8816</t>
        </is>
      </c>
      <c r="E138" t="inlineStr">
        <is>
          <t>jack.stevens19@example.com</t>
        </is>
      </c>
      <c r="G138" s="27" t="n"/>
      <c r="H138" s="27" t="n"/>
      <c r="I138" s="27" t="n"/>
      <c r="J138" s="27" t="n"/>
    </row>
    <row r="139">
      <c r="A139" t="inlineStr">
        <is>
          <t>PT10138</t>
        </is>
      </c>
      <c r="B139" t="n">
        <v>8175409</v>
      </c>
      <c r="C139" t="inlineStr">
        <is>
          <t>OWENS, JUDY</t>
        </is>
      </c>
      <c r="D139" t="inlineStr">
        <is>
          <t>(555) 298-8942</t>
        </is>
      </c>
      <c r="E139" t="inlineStr">
        <is>
          <t>judy.owens96@example.com</t>
        </is>
      </c>
      <c r="F139" t="inlineStr">
        <is>
          <t>PSYCH</t>
        </is>
      </c>
      <c r="G139" s="27" t="n"/>
      <c r="H139" s="27" t="n"/>
      <c r="I139" s="27" t="n"/>
      <c r="J139" s="27" t="n"/>
    </row>
    <row r="140">
      <c r="A140" t="inlineStr">
        <is>
          <t>PT10139</t>
        </is>
      </c>
      <c r="B140" t="n">
        <v>3193264</v>
      </c>
      <c r="C140" t="inlineStr">
        <is>
          <t>daniels, brenda</t>
        </is>
      </c>
      <c r="D140" t="inlineStr">
        <is>
          <t>(555) 520-2578</t>
        </is>
      </c>
      <c r="E140" t="inlineStr">
        <is>
          <t>brenda.daniels3@example.com</t>
        </is>
      </c>
      <c r="G140" s="27" t="n"/>
      <c r="H140" s="27" t="n"/>
      <c r="I140" s="27" t="n"/>
      <c r="J140" s="27" t="n"/>
    </row>
    <row r="141">
      <c r="A141" t="inlineStr">
        <is>
          <t>PT10140</t>
        </is>
      </c>
      <c r="B141" t="n">
        <v>4446447</v>
      </c>
      <c r="C141" t="inlineStr">
        <is>
          <t xml:space="preserve">O'Brien,Timothy  </t>
        </is>
      </c>
      <c r="D141" t="inlineStr">
        <is>
          <t>(555) 425-7629</t>
        </is>
      </c>
      <c r="G141" s="27" t="n"/>
      <c r="H141" s="27" t="n"/>
      <c r="I141" s="27" t="n"/>
      <c r="J141" s="27" t="n"/>
    </row>
    <row r="142">
      <c r="A142" t="inlineStr">
        <is>
          <t>PT10141</t>
        </is>
      </c>
      <c r="B142" t="n">
        <v>5197371</v>
      </c>
      <c r="C142" t="inlineStr">
        <is>
          <t>ALLEN, Katherine</t>
        </is>
      </c>
      <c r="D142" t="inlineStr">
        <is>
          <t>(555) 948-5558</t>
        </is>
      </c>
      <c r="F142" t="inlineStr">
        <is>
          <t>COPD</t>
        </is>
      </c>
      <c r="G142" s="27" t="n"/>
      <c r="H142" s="27" t="n"/>
      <c r="I142" s="27" t="n"/>
      <c r="J142" s="27" t="n"/>
    </row>
    <row r="143">
      <c r="A143" t="inlineStr">
        <is>
          <t>PT10142</t>
        </is>
      </c>
      <c r="B143" t="n">
        <v>8713908</v>
      </c>
      <c r="C143" t="inlineStr">
        <is>
          <t>Stevens, Julia</t>
        </is>
      </c>
      <c r="D143" t="inlineStr">
        <is>
          <t>(555) 265-1793</t>
        </is>
      </c>
      <c r="F143" t="inlineStr">
        <is>
          <t>HTN;CKD;SEIZURE</t>
        </is>
      </c>
      <c r="G143" s="27" t="n"/>
      <c r="H143" s="27" t="n"/>
      <c r="I143" s="27" t="n"/>
      <c r="J143" s="27" t="n"/>
    </row>
    <row r="144">
      <c r="A144" t="inlineStr">
        <is>
          <t>PT10143</t>
        </is>
      </c>
      <c r="B144" t="n">
        <v>903866</v>
      </c>
      <c r="C144" t="inlineStr">
        <is>
          <t>PIERCE, BOBBY</t>
        </is>
      </c>
      <c r="D144" t="inlineStr">
        <is>
          <t>(555) 951-4351</t>
        </is>
      </c>
      <c r="F144" t="inlineStr">
        <is>
          <t>DM</t>
        </is>
      </c>
      <c r="G144" s="27" t="n"/>
      <c r="H144" s="27" t="n"/>
      <c r="I144" s="27" t="n"/>
      <c r="J144" s="27" t="n"/>
    </row>
    <row r="145">
      <c r="A145" t="inlineStr">
        <is>
          <t>PT10144</t>
        </is>
      </c>
      <c r="B145" t="n">
        <v>2454067</v>
      </c>
      <c r="C145" t="inlineStr">
        <is>
          <t>jones, betty</t>
        </is>
      </c>
      <c r="D145" t="inlineStr">
        <is>
          <t>(555) 216-4750</t>
        </is>
      </c>
      <c r="G145" s="27" t="n"/>
      <c r="H145" s="27" t="n"/>
      <c r="I145" s="27" t="n"/>
      <c r="J145" s="27" t="n"/>
    </row>
    <row r="146">
      <c r="A146" t="inlineStr">
        <is>
          <t>PT10145</t>
        </is>
      </c>
      <c r="B146" t="n">
        <v>9255038</v>
      </c>
      <c r="C146" t="inlineStr">
        <is>
          <t xml:space="preserve">Martinez, Bryan </t>
        </is>
      </c>
      <c r="D146" t="inlineStr">
        <is>
          <t>(555) 554-6210</t>
        </is>
      </c>
      <c r="E146" t="inlineStr">
        <is>
          <t>bryan.martinez83@example.com</t>
        </is>
      </c>
      <c r="G146" s="27" t="n"/>
      <c r="H146" s="27" t="n"/>
      <c r="I146" s="27" t="n"/>
      <c r="J146" s="27" t="n"/>
    </row>
    <row r="147">
      <c r="A147" t="inlineStr">
        <is>
          <t>PT10146</t>
        </is>
      </c>
      <c r="B147" t="n">
        <v>276506</v>
      </c>
      <c r="C147" t="inlineStr">
        <is>
          <t>RYAN, Rachel</t>
        </is>
      </c>
      <c r="D147" t="inlineStr">
        <is>
          <t>(555) 340-4686</t>
        </is>
      </c>
      <c r="E147" t="inlineStr">
        <is>
          <t>rachel.ryan16@example.com</t>
        </is>
      </c>
      <c r="F147" t="inlineStr">
        <is>
          <t>ASTHMA</t>
        </is>
      </c>
      <c r="G147" s="27" t="n"/>
      <c r="H147" s="27" t="n"/>
      <c r="I147" s="27" t="n"/>
      <c r="J147" s="27" t="n"/>
    </row>
    <row r="148">
      <c r="A148" t="inlineStr">
        <is>
          <t>PT10147</t>
        </is>
      </c>
      <c r="B148" t="n">
        <v>5303855</v>
      </c>
      <c r="C148" t="inlineStr">
        <is>
          <t>Campbell, Lisa</t>
        </is>
      </c>
      <c r="D148" t="inlineStr">
        <is>
          <t>(555) 952-9548</t>
        </is>
      </c>
      <c r="G148" s="27" t="n"/>
      <c r="H148" s="27" t="n"/>
      <c r="I148" s="27" t="n"/>
      <c r="J148" s="27" t="n"/>
    </row>
    <row r="149">
      <c r="A149" t="inlineStr">
        <is>
          <t>PT10148</t>
        </is>
      </c>
      <c r="B149" t="n">
        <v>3406318</v>
      </c>
      <c r="C149" t="inlineStr">
        <is>
          <t xml:space="preserve">YILMAZ, BENJAMIN  </t>
        </is>
      </c>
      <c r="D149" t="inlineStr">
        <is>
          <t>(555) 256-5962</t>
        </is>
      </c>
      <c r="E149" t="inlineStr">
        <is>
          <t>benjamin.yilmaz34@example.com</t>
        </is>
      </c>
      <c r="G149" s="27" t="n"/>
      <c r="H149" s="27" t="n"/>
      <c r="I149" s="27" t="n"/>
      <c r="J149" s="27" t="n"/>
    </row>
    <row r="150">
      <c r="A150" t="inlineStr">
        <is>
          <t>PT10149</t>
        </is>
      </c>
      <c r="B150" t="n">
        <v>8518688</v>
      </c>
      <c r="C150" t="inlineStr">
        <is>
          <t>peterson,  robert</t>
        </is>
      </c>
      <c r="D150" t="inlineStr">
        <is>
          <t>(555) 334-6487</t>
        </is>
      </c>
      <c r="E150" t="inlineStr">
        <is>
          <t>robert.peterson65@example.com</t>
        </is>
      </c>
      <c r="G150" s="27" t="n"/>
      <c r="H150" s="27" t="n"/>
      <c r="I150" s="27" t="n"/>
      <c r="J150" s="27" t="n"/>
    </row>
    <row r="151">
      <c r="A151" t="inlineStr">
        <is>
          <t>PT10150</t>
        </is>
      </c>
      <c r="B151" t="n">
        <v>2034264</v>
      </c>
      <c r="C151" t="inlineStr">
        <is>
          <t xml:space="preserve"> Allen, Ronald</t>
        </is>
      </c>
      <c r="D151" t="inlineStr">
        <is>
          <t>(555) 628-9676</t>
        </is>
      </c>
      <c r="F151" t="inlineStr">
        <is>
          <t>HTN</t>
        </is>
      </c>
      <c r="G151" s="27" t="n"/>
      <c r="H151" s="27" t="n"/>
      <c r="I151" s="27" t="n"/>
      <c r="J151" s="27" t="n"/>
    </row>
    <row r="152">
      <c r="A152" t="inlineStr">
        <is>
          <t>PT10151</t>
        </is>
      </c>
      <c r="B152" t="n">
        <v>5606995</v>
      </c>
      <c r="C152" t="inlineStr">
        <is>
          <t>MOORE, Zachary</t>
        </is>
      </c>
      <c r="D152" t="inlineStr">
        <is>
          <t>(555) 918-2585</t>
        </is>
      </c>
      <c r="G152" s="27" t="n"/>
      <c r="H152" s="27" t="n"/>
      <c r="I152" s="27" t="n"/>
      <c r="J152" s="27" t="n"/>
    </row>
    <row r="153">
      <c r="A153" t="inlineStr">
        <is>
          <t>PT10152</t>
        </is>
      </c>
      <c r="B153" t="n">
        <v>3219873</v>
      </c>
      <c r="C153" t="inlineStr">
        <is>
          <t>Alvarez, Sharon</t>
        </is>
      </c>
      <c r="D153" t="inlineStr">
        <is>
          <t>(555) 223-5532</t>
        </is>
      </c>
      <c r="G153" s="27" t="n"/>
      <c r="H153" s="27" t="n"/>
      <c r="I153" s="27" t="n"/>
      <c r="J153" s="27" t="n"/>
    </row>
    <row r="154">
      <c r="A154" t="inlineStr">
        <is>
          <t>PT10153</t>
        </is>
      </c>
      <c r="B154" t="n">
        <v>3839877</v>
      </c>
      <c r="C154" t="inlineStr">
        <is>
          <t>MENDEZ, JACQUELINE</t>
        </is>
      </c>
      <c r="D154" t="inlineStr">
        <is>
          <t>(555) 894-4722</t>
        </is>
      </c>
      <c r="E154" t="inlineStr">
        <is>
          <t>jacqueline.mendez53@example.com</t>
        </is>
      </c>
      <c r="G154" s="27" t="n"/>
      <c r="H154" s="27" t="n"/>
      <c r="I154" s="27" t="n"/>
      <c r="J154" s="27" t="n"/>
    </row>
    <row r="155">
      <c r="A155" t="inlineStr">
        <is>
          <t>PT10154</t>
        </is>
      </c>
      <c r="B155" t="n">
        <v>1316269</v>
      </c>
      <c r="C155" t="inlineStr">
        <is>
          <t>miller, william</t>
        </is>
      </c>
      <c r="D155" t="inlineStr">
        <is>
          <t>(555) 934-0768</t>
        </is>
      </c>
      <c r="G155" s="27" t="n"/>
      <c r="H155" s="27" t="n"/>
      <c r="I155" s="27" t="n"/>
      <c r="J155" s="27" t="n"/>
    </row>
    <row r="156">
      <c r="A156" t="inlineStr">
        <is>
          <t>PT10155</t>
        </is>
      </c>
      <c r="B156" t="n">
        <v>319618</v>
      </c>
      <c r="C156" t="inlineStr">
        <is>
          <t>Robertson, Ahmed</t>
        </is>
      </c>
      <c r="D156" t="inlineStr">
        <is>
          <t>(555) 547-7148</t>
        </is>
      </c>
      <c r="E156" t="inlineStr">
        <is>
          <t>ahmed.robertson5@example.com</t>
        </is>
      </c>
      <c r="G156" s="27" t="n"/>
      <c r="H156" s="27" t="n"/>
      <c r="I156" s="27" t="n"/>
      <c r="J156" s="27" t="n"/>
    </row>
    <row r="157">
      <c r="A157" t="inlineStr">
        <is>
          <t>PT10156</t>
        </is>
      </c>
      <c r="B157" t="n">
        <v>952633</v>
      </c>
      <c r="C157" t="inlineStr">
        <is>
          <t xml:space="preserve">GARZA, Henry  </t>
        </is>
      </c>
      <c r="D157" t="inlineStr">
        <is>
          <t>(555) 250-0086</t>
        </is>
      </c>
      <c r="E157" t="inlineStr">
        <is>
          <t>henry.garza30@example.com</t>
        </is>
      </c>
      <c r="G157" s="27" t="n"/>
      <c r="H157" s="27" t="n"/>
      <c r="I157" s="27" t="n"/>
      <c r="J157" s="27" t="n"/>
    </row>
    <row r="158">
      <c r="A158" t="inlineStr">
        <is>
          <t>PT10157</t>
        </is>
      </c>
      <c r="B158" t="n">
        <v>392769</v>
      </c>
      <c r="C158" t="inlineStr">
        <is>
          <t>Ortiz, Thomas</t>
        </is>
      </c>
      <c r="D158" t="inlineStr">
        <is>
          <t>(555) 331-1539</t>
        </is>
      </c>
      <c r="E158" t="inlineStr">
        <is>
          <t>thomas.ortiz31@example.com</t>
        </is>
      </c>
      <c r="F158" t="inlineStr">
        <is>
          <t>HTN</t>
        </is>
      </c>
      <c r="G158" s="27" t="n"/>
      <c r="H158" s="27" t="n"/>
      <c r="I158" s="27" t="n"/>
      <c r="J158" s="27" t="n"/>
    </row>
    <row r="159">
      <c r="A159" t="inlineStr">
        <is>
          <t>PT10158</t>
        </is>
      </c>
      <c r="B159" t="n">
        <v>4019239</v>
      </c>
      <c r="C159" t="inlineStr">
        <is>
          <t>KING,  DOUGLAS</t>
        </is>
      </c>
      <c r="D159" t="inlineStr">
        <is>
          <t>(555) 266-4443</t>
        </is>
      </c>
      <c r="E159" t="inlineStr">
        <is>
          <t>douglas.king25@example.com</t>
        </is>
      </c>
      <c r="G159" s="27" t="n"/>
      <c r="H159" s="27" t="n"/>
      <c r="I159" s="27" t="n"/>
      <c r="J159" s="27" t="n"/>
    </row>
    <row r="160">
      <c r="A160" t="inlineStr">
        <is>
          <t>PT10159</t>
        </is>
      </c>
      <c r="B160" t="n">
        <v>6103856</v>
      </c>
      <c r="C160" t="inlineStr">
        <is>
          <t>davis, randy</t>
        </is>
      </c>
      <c r="D160" t="inlineStr">
        <is>
          <t>(555) 552-8608</t>
        </is>
      </c>
      <c r="G160" s="27" t="n"/>
      <c r="H160" s="27" t="n"/>
      <c r="I160" s="27" t="n"/>
      <c r="J160" s="27" t="n"/>
    </row>
    <row r="161">
      <c r="A161" t="inlineStr">
        <is>
          <t>PT10160</t>
        </is>
      </c>
      <c r="B161" t="n">
        <v>4174427</v>
      </c>
      <c r="C161" t="inlineStr">
        <is>
          <t>Hansen, Susan</t>
        </is>
      </c>
      <c r="D161" t="inlineStr">
        <is>
          <t>(555) 863-0761</t>
        </is>
      </c>
      <c r="F161" t="inlineStr">
        <is>
          <t>AFIB</t>
        </is>
      </c>
      <c r="G161" s="27" t="n"/>
      <c r="H161" s="27" t="n"/>
      <c r="I161" s="27" t="n"/>
      <c r="J161" s="27" t="n"/>
    </row>
    <row r="162">
      <c r="A162" t="inlineStr">
        <is>
          <t>PT10161</t>
        </is>
      </c>
      <c r="B162" t="n">
        <v>3592850</v>
      </c>
      <c r="C162" t="inlineStr">
        <is>
          <t>BROOKS, Mia</t>
        </is>
      </c>
      <c r="D162" t="inlineStr">
        <is>
          <t>(555) 668-8349</t>
        </is>
      </c>
      <c r="G162" s="27" t="n"/>
      <c r="H162" s="27" t="n"/>
      <c r="I162" s="27" t="n"/>
      <c r="J162" s="27" t="n"/>
    </row>
    <row r="163">
      <c r="A163" t="inlineStr">
        <is>
          <t>PT10162</t>
        </is>
      </c>
      <c r="B163" t="n">
        <v>4428247</v>
      </c>
      <c r="C163" t="inlineStr">
        <is>
          <t>Boyd,Dylan</t>
        </is>
      </c>
      <c r="D163" t="inlineStr">
        <is>
          <t>(555) 771-4724</t>
        </is>
      </c>
      <c r="E163" t="inlineStr">
        <is>
          <t>dylan.boyd51@example.com</t>
        </is>
      </c>
      <c r="G163" s="27" t="n"/>
      <c r="H163" s="27" t="n"/>
      <c r="I163" s="27" t="n"/>
      <c r="J163" s="27" t="n"/>
    </row>
    <row r="164">
      <c r="A164" t="inlineStr">
        <is>
          <t>PT10163</t>
        </is>
      </c>
      <c r="B164" t="n">
        <v>236331</v>
      </c>
      <c r="C164" t="inlineStr">
        <is>
          <t xml:space="preserve"> WOODS, JACQUELINE</t>
        </is>
      </c>
      <c r="D164" t="inlineStr">
        <is>
          <t>(555) 608-4064</t>
        </is>
      </c>
      <c r="E164" t="inlineStr">
        <is>
          <t>jacqueline.woods62@example.com</t>
        </is>
      </c>
      <c r="F164" t="inlineStr">
        <is>
          <t>HTN</t>
        </is>
      </c>
      <c r="G164" s="27" t="n"/>
      <c r="H164" s="27" t="n"/>
      <c r="I164" s="27" t="n"/>
      <c r="J164" s="27" t="n"/>
    </row>
    <row r="165">
      <c r="A165" t="inlineStr">
        <is>
          <t>PT10164</t>
        </is>
      </c>
      <c r="B165" t="n">
        <v>2947345</v>
      </c>
      <c r="C165" t="inlineStr">
        <is>
          <t xml:space="preserve">ryan, amina  </t>
        </is>
      </c>
      <c r="D165" t="inlineStr">
        <is>
          <t>(555) 242-5480</t>
        </is>
      </c>
      <c r="E165" t="inlineStr">
        <is>
          <t>amina.ryan77@example.com</t>
        </is>
      </c>
      <c r="G165" s="27" t="n"/>
      <c r="H165" s="27" t="n"/>
      <c r="I165" s="27" t="n"/>
      <c r="J165" s="27" t="n"/>
    </row>
    <row r="166">
      <c r="A166" t="inlineStr">
        <is>
          <t>PT10165</t>
        </is>
      </c>
      <c r="B166" t="n">
        <v>7888238</v>
      </c>
      <c r="C166" t="inlineStr">
        <is>
          <t>Aguilar, Jordan</t>
        </is>
      </c>
      <c r="D166" t="inlineStr">
        <is>
          <t>(555) 824-1659</t>
        </is>
      </c>
      <c r="E166" t="inlineStr">
        <is>
          <t>jordan.aguilar9@example.com</t>
        </is>
      </c>
      <c r="F166" t="inlineStr">
        <is>
          <t>HTN</t>
        </is>
      </c>
      <c r="G166" s="27" t="n"/>
      <c r="H166" s="27" t="n"/>
      <c r="I166" s="27" t="n"/>
      <c r="J166" s="27" t="n"/>
    </row>
    <row r="167">
      <c r="A167" t="inlineStr">
        <is>
          <t>PT10166</t>
        </is>
      </c>
      <c r="B167" t="n">
        <v>2332190</v>
      </c>
      <c r="C167" t="inlineStr">
        <is>
          <t>JORDAN, Minh</t>
        </is>
      </c>
      <c r="D167" t="inlineStr">
        <is>
          <t>(555) 610-0486</t>
        </is>
      </c>
      <c r="E167" t="inlineStr">
        <is>
          <t>minh.jordan4@example.com</t>
        </is>
      </c>
      <c r="G167" s="27" t="n"/>
      <c r="H167" s="27" t="n"/>
      <c r="I167" s="27" t="n"/>
      <c r="J167" s="27" t="n"/>
    </row>
    <row r="168">
      <c r="A168" t="inlineStr">
        <is>
          <t>PT10167</t>
        </is>
      </c>
      <c r="B168" t="n">
        <v>1444107</v>
      </c>
      <c r="C168" t="inlineStr">
        <is>
          <t>Wood,  Aaliyah</t>
        </is>
      </c>
      <c r="D168" t="inlineStr">
        <is>
          <t>(555) 746-2827</t>
        </is>
      </c>
      <c r="E168" t="inlineStr">
        <is>
          <t>aaliyah.wood46@example.com</t>
        </is>
      </c>
      <c r="F168" t="inlineStr">
        <is>
          <t>HTN;DM;COPD</t>
        </is>
      </c>
      <c r="G168" s="27" t="n"/>
      <c r="H168" s="27" t="n"/>
      <c r="I168" s="27" t="n"/>
      <c r="J168" s="27" t="n"/>
    </row>
    <row r="169">
      <c r="A169" t="inlineStr">
        <is>
          <t>PT10168</t>
        </is>
      </c>
      <c r="B169" t="n">
        <v>2322826</v>
      </c>
      <c r="C169" t="inlineStr">
        <is>
          <t>PETROV, MEI</t>
        </is>
      </c>
      <c r="D169" t="inlineStr">
        <is>
          <t>(555) 527-1160</t>
        </is>
      </c>
      <c r="E169" t="inlineStr">
        <is>
          <t>mei.petrov46@example.com</t>
        </is>
      </c>
      <c r="G169" s="27" t="n"/>
      <c r="H169" s="27" t="n"/>
      <c r="I169" s="27" t="n"/>
      <c r="J169" s="27" t="n"/>
    </row>
    <row r="170">
      <c r="A170" t="inlineStr">
        <is>
          <t>PT10169</t>
        </is>
      </c>
      <c r="B170" t="n">
        <v>3025967</v>
      </c>
      <c r="C170" t="inlineStr">
        <is>
          <t>ray, noah</t>
        </is>
      </c>
      <c r="D170" t="inlineStr">
        <is>
          <t>(555) 820-2578</t>
        </is>
      </c>
      <c r="F170" t="inlineStr">
        <is>
          <t>HTN</t>
        </is>
      </c>
      <c r="G170" s="27" t="n"/>
      <c r="H170" s="27" t="n"/>
      <c r="I170" s="27" t="n"/>
      <c r="J170" s="27" t="n"/>
    </row>
    <row r="171">
      <c r="A171" t="inlineStr">
        <is>
          <t>PT10170</t>
        </is>
      </c>
      <c r="B171" t="n">
        <v>1766771</v>
      </c>
      <c r="C171" t="inlineStr">
        <is>
          <t>Crawford, Catherine</t>
        </is>
      </c>
      <c r="D171" t="inlineStr">
        <is>
          <t>(555) 371-1198</t>
        </is>
      </c>
      <c r="E171" t="inlineStr">
        <is>
          <t>catherine.crawford71@example.com</t>
        </is>
      </c>
      <c r="F171" t="inlineStr">
        <is>
          <t>HTN;HF;COPD</t>
        </is>
      </c>
      <c r="G171" s="27" t="n"/>
      <c r="H171" s="27" t="n"/>
      <c r="I171" s="27" t="n"/>
      <c r="J171" s="27" t="n"/>
    </row>
    <row r="172">
      <c r="A172" t="inlineStr">
        <is>
          <t>PT10171</t>
        </is>
      </c>
      <c r="B172" t="n">
        <v>8454666</v>
      </c>
      <c r="C172" t="inlineStr">
        <is>
          <t>RIVERA, Justin</t>
        </is>
      </c>
      <c r="D172" t="inlineStr">
        <is>
          <t>(555) 636-9044</t>
        </is>
      </c>
      <c r="E172" t="inlineStr">
        <is>
          <t>justin.rivera67@example.com</t>
        </is>
      </c>
      <c r="F172" t="inlineStr">
        <is>
          <t>HTN;COPD;AFIB</t>
        </is>
      </c>
      <c r="G172" s="27" t="n"/>
      <c r="H172" s="27" t="n"/>
      <c r="I172" s="27" t="n"/>
      <c r="J172" s="27" t="n"/>
    </row>
    <row r="173">
      <c r="A173" t="inlineStr">
        <is>
          <t>PT10172</t>
        </is>
      </c>
      <c r="B173" t="n">
        <v>7999579</v>
      </c>
      <c r="C173" t="inlineStr">
        <is>
          <t xml:space="preserve">Perez, Ethan  </t>
        </is>
      </c>
      <c r="D173" t="inlineStr">
        <is>
          <t>(555) 521-1074</t>
        </is>
      </c>
      <c r="E173" t="inlineStr">
        <is>
          <t>ethan.perez10@example.com</t>
        </is>
      </c>
      <c r="F173" t="inlineStr">
        <is>
          <t>HTN;DM</t>
        </is>
      </c>
      <c r="G173" s="27" t="n"/>
      <c r="H173" s="27" t="n"/>
      <c r="I173" s="27" t="n"/>
      <c r="J173" s="27" t="n"/>
    </row>
    <row r="174">
      <c r="A174" t="inlineStr">
        <is>
          <t>PT10173</t>
        </is>
      </c>
      <c r="B174" t="n">
        <v>3985229</v>
      </c>
      <c r="C174" t="inlineStr">
        <is>
          <t>EDWARDS,CATHERINE</t>
        </is>
      </c>
      <c r="D174" t="inlineStr">
        <is>
          <t>(555) 562-3136</t>
        </is>
      </c>
      <c r="E174" t="inlineStr">
        <is>
          <t>catherine.edwards94@example.com</t>
        </is>
      </c>
      <c r="F174" t="inlineStr">
        <is>
          <t>DM</t>
        </is>
      </c>
      <c r="G174" s="27" t="n"/>
      <c r="H174" s="27" t="n"/>
      <c r="I174" s="27" t="n"/>
      <c r="J174" s="27" t="n"/>
    </row>
    <row r="175">
      <c r="A175" t="inlineStr">
        <is>
          <t>PT10174</t>
        </is>
      </c>
      <c r="B175" t="n">
        <v>3514205</v>
      </c>
      <c r="C175" t="inlineStr">
        <is>
          <t>russell, scott</t>
        </is>
      </c>
      <c r="D175" t="inlineStr">
        <is>
          <t>(555) 864-0236</t>
        </is>
      </c>
      <c r="E175" t="inlineStr">
        <is>
          <t>scott.russell45@example.com</t>
        </is>
      </c>
      <c r="F175" t="inlineStr">
        <is>
          <t>OA</t>
        </is>
      </c>
      <c r="G175" s="27" t="n"/>
      <c r="H175" s="27" t="n"/>
      <c r="I175" s="27" t="n"/>
      <c r="J175" s="27" t="n"/>
    </row>
    <row r="176">
      <c r="A176" t="inlineStr">
        <is>
          <t>PT10175</t>
        </is>
      </c>
      <c r="B176" t="n">
        <v>789836</v>
      </c>
      <c r="C176" t="inlineStr">
        <is>
          <t>Munoz, Linh</t>
        </is>
      </c>
      <c r="D176" t="inlineStr">
        <is>
          <t>(555) 426-9521</t>
        </is>
      </c>
      <c r="E176" t="inlineStr">
        <is>
          <t>linh.munoz46@example.com</t>
        </is>
      </c>
      <c r="F176" t="inlineStr">
        <is>
          <t>ASTHMA</t>
        </is>
      </c>
      <c r="G176" s="27" t="n"/>
      <c r="H176" s="27" t="n"/>
      <c r="I176" s="27" t="n"/>
      <c r="J176" s="27" t="n"/>
    </row>
    <row r="177">
      <c r="A177" t="inlineStr">
        <is>
          <t>PT10176</t>
        </is>
      </c>
      <c r="B177" t="n">
        <v>1358460</v>
      </c>
      <c r="C177" t="inlineStr">
        <is>
          <t xml:space="preserve"> O'BRIEN,  Carl </t>
        </is>
      </c>
      <c r="D177" t="inlineStr">
        <is>
          <t>(555) 701-8677</t>
        </is>
      </c>
      <c r="E177" t="inlineStr">
        <is>
          <t>carl.obrien92@example.com</t>
        </is>
      </c>
      <c r="G177" s="27" t="n"/>
      <c r="H177" s="27" t="n"/>
      <c r="I177" s="27" t="n"/>
      <c r="J177" s="27" t="n"/>
    </row>
    <row r="178">
      <c r="A178" t="inlineStr">
        <is>
          <t>PT10177</t>
        </is>
      </c>
      <c r="B178" t="n">
        <v>8895382</v>
      </c>
      <c r="C178" t="inlineStr">
        <is>
          <t>Rivera, Mark</t>
        </is>
      </c>
      <c r="D178" t="inlineStr">
        <is>
          <t>(555) 206-1869</t>
        </is>
      </c>
      <c r="E178" t="inlineStr">
        <is>
          <t>mark.rivera24@example.com</t>
        </is>
      </c>
      <c r="F178" t="inlineStr">
        <is>
          <t>HTN</t>
        </is>
      </c>
      <c r="G178" s="27" t="n"/>
      <c r="H178" s="27" t="n"/>
      <c r="I178" s="27" t="n"/>
      <c r="J178" s="27" t="n"/>
    </row>
    <row r="179">
      <c r="A179" t="inlineStr">
        <is>
          <t>PT10178</t>
        </is>
      </c>
      <c r="B179" t="n">
        <v>846476</v>
      </c>
      <c r="C179" t="inlineStr">
        <is>
          <t>WRIGHT, AUSTIN</t>
        </is>
      </c>
      <c r="D179" t="inlineStr">
        <is>
          <t>(555) 963-5346</t>
        </is>
      </c>
      <c r="G179" s="27" t="n"/>
      <c r="H179" s="27" t="n"/>
      <c r="I179" s="27" t="n"/>
      <c r="J179" s="27" t="n"/>
    </row>
    <row r="180">
      <c r="A180" t="inlineStr">
        <is>
          <t>PT10179</t>
        </is>
      </c>
      <c r="B180" t="n">
        <v>7581282</v>
      </c>
      <c r="C180" t="inlineStr">
        <is>
          <t>woods, isabella</t>
        </is>
      </c>
      <c r="D180" t="inlineStr">
        <is>
          <t>(555) 949-2998</t>
        </is>
      </c>
      <c r="G180" s="27" t="n"/>
      <c r="H180" s="27" t="n"/>
      <c r="I180" s="27" t="n"/>
      <c r="J180" s="27" t="n"/>
    </row>
    <row r="181">
      <c r="A181" t="inlineStr">
        <is>
          <t>PT10180</t>
        </is>
      </c>
      <c r="B181" t="n">
        <v>4934207</v>
      </c>
      <c r="C181" t="inlineStr">
        <is>
          <t xml:space="preserve">Torres, Andrew  </t>
        </is>
      </c>
      <c r="D181" t="inlineStr">
        <is>
          <t>(555) 526-7791</t>
        </is>
      </c>
      <c r="F181" t="inlineStr">
        <is>
          <t>HTN;COPD</t>
        </is>
      </c>
      <c r="G181" s="27" t="n"/>
      <c r="H181" s="27" t="n"/>
      <c r="I181" s="27" t="n"/>
      <c r="J181" s="27" t="n"/>
    </row>
    <row r="182">
      <c r="A182" t="inlineStr">
        <is>
          <t>PT10181</t>
        </is>
      </c>
      <c r="B182" t="n">
        <v>8630211</v>
      </c>
      <c r="C182" t="inlineStr">
        <is>
          <t>MORALES, Julie</t>
        </is>
      </c>
      <c r="D182" t="inlineStr">
        <is>
          <t>(555) 477-8936</t>
        </is>
      </c>
      <c r="G182" s="27" t="n"/>
      <c r="H182" s="27" t="n"/>
      <c r="I182" s="27" t="n"/>
      <c r="J182" s="27" t="n"/>
    </row>
    <row r="183">
      <c r="A183" t="inlineStr">
        <is>
          <t>PT10182</t>
        </is>
      </c>
      <c r="B183" t="n">
        <v>9094783</v>
      </c>
      <c r="C183" t="inlineStr">
        <is>
          <t>Ortiz, Andrea</t>
        </is>
      </c>
      <c r="D183" t="inlineStr">
        <is>
          <t>(555) 578-7137</t>
        </is>
      </c>
      <c r="G183" s="27" t="n"/>
      <c r="H183" s="27" t="n"/>
      <c r="I183" s="27" t="n"/>
      <c r="J183" s="27" t="n"/>
    </row>
    <row r="184">
      <c r="A184" t="inlineStr">
        <is>
          <t>PT10183</t>
        </is>
      </c>
      <c r="B184" t="n">
        <v>3601518</v>
      </c>
      <c r="C184" t="inlineStr">
        <is>
          <t>COX, RONALD</t>
        </is>
      </c>
      <c r="D184" t="inlineStr">
        <is>
          <t>(555) 529-8330</t>
        </is>
      </c>
      <c r="G184" s="27" t="n"/>
      <c r="H184" s="27" t="n"/>
      <c r="I184" s="27" t="n"/>
      <c r="J184" s="27" t="n"/>
    </row>
    <row r="185">
      <c r="A185" t="inlineStr">
        <is>
          <t>PT10184</t>
        </is>
      </c>
      <c r="B185" t="n">
        <v>4439547</v>
      </c>
      <c r="C185" t="inlineStr">
        <is>
          <t>meyer,rebecca</t>
        </is>
      </c>
      <c r="D185" t="inlineStr">
        <is>
          <t>(555) 869-4100</t>
        </is>
      </c>
      <c r="G185" s="27" t="n"/>
      <c r="H185" s="27" t="n"/>
      <c r="I185" s="27" t="n"/>
      <c r="J185" s="27" t="n"/>
    </row>
    <row r="186">
      <c r="A186" t="inlineStr">
        <is>
          <t>PT10185</t>
        </is>
      </c>
      <c r="B186" t="n">
        <v>4316134</v>
      </c>
      <c r="C186" t="inlineStr">
        <is>
          <t>Pierce,  Joseph</t>
        </is>
      </c>
      <c r="D186" t="inlineStr">
        <is>
          <t>(555) 621-7378</t>
        </is>
      </c>
      <c r="E186" t="inlineStr">
        <is>
          <t>joseph.pierce74@example.com</t>
        </is>
      </c>
      <c r="F186" t="inlineStr">
        <is>
          <t>AFIB</t>
        </is>
      </c>
      <c r="G186" s="27" t="n"/>
      <c r="H186" s="27" t="n"/>
      <c r="I186" s="27" t="n"/>
      <c r="J186" s="27" t="n"/>
    </row>
    <row r="187">
      <c r="A187" t="inlineStr">
        <is>
          <t>PT10186</t>
        </is>
      </c>
      <c r="B187" t="n">
        <v>5707288</v>
      </c>
      <c r="C187" t="inlineStr">
        <is>
          <t>MOORE, Logan</t>
        </is>
      </c>
      <c r="D187" t="inlineStr">
        <is>
          <t>(555) 959-9920</t>
        </is>
      </c>
      <c r="E187" t="inlineStr">
        <is>
          <t>logan.moore4@example.com</t>
        </is>
      </c>
      <c r="F187" t="inlineStr">
        <is>
          <t>HTN;DM;OA</t>
        </is>
      </c>
      <c r="G187" s="27" t="n"/>
      <c r="H187" s="27" t="n"/>
      <c r="I187" s="27" t="n"/>
      <c r="J187" s="27" t="n"/>
    </row>
    <row r="188">
      <c r="A188" t="inlineStr">
        <is>
          <t>PT10187</t>
        </is>
      </c>
      <c r="B188" t="n">
        <v>8038549</v>
      </c>
      <c r="C188" t="inlineStr">
        <is>
          <t>Bailey, John</t>
        </is>
      </c>
      <c r="D188" t="inlineStr">
        <is>
          <t>(555) 284-9533</t>
        </is>
      </c>
      <c r="E188" t="inlineStr">
        <is>
          <t>john.bailey58@example.com</t>
        </is>
      </c>
      <c r="F188" t="inlineStr">
        <is>
          <t>DM</t>
        </is>
      </c>
      <c r="G188" s="27" t="n"/>
      <c r="H188" s="27" t="n"/>
      <c r="I188" s="27" t="n"/>
      <c r="J188" s="27" t="n"/>
    </row>
    <row r="189">
      <c r="A189" t="inlineStr">
        <is>
          <t>PT10188</t>
        </is>
      </c>
      <c r="B189" t="n">
        <v>896228</v>
      </c>
      <c r="C189" t="inlineStr">
        <is>
          <t xml:space="preserve">LEWIS, AMBER  </t>
        </is>
      </c>
      <c r="D189" t="inlineStr">
        <is>
          <t>(555) 489-6254</t>
        </is>
      </c>
      <c r="E189" t="inlineStr">
        <is>
          <t>amber.lewis92@example.com</t>
        </is>
      </c>
      <c r="G189" s="27" t="n"/>
      <c r="H189" s="27" t="n"/>
      <c r="I189" s="27" t="n"/>
      <c r="J189" s="27" t="n"/>
    </row>
    <row r="190">
      <c r="A190" t="inlineStr">
        <is>
          <t>PT10189</t>
        </is>
      </c>
      <c r="B190" t="n">
        <v>5279684</v>
      </c>
      <c r="C190" t="inlineStr">
        <is>
          <t xml:space="preserve"> fox, jordan</t>
        </is>
      </c>
      <c r="D190" t="inlineStr">
        <is>
          <t>(555) 887-4770</t>
        </is>
      </c>
      <c r="E190" t="inlineStr">
        <is>
          <t>jordan.fox18@example.com</t>
        </is>
      </c>
      <c r="G190" s="27" t="n"/>
      <c r="H190" s="27" t="n"/>
      <c r="I190" s="27" t="n"/>
      <c r="J190" s="27" t="n"/>
    </row>
    <row r="191">
      <c r="A191" t="inlineStr">
        <is>
          <t>PT10190</t>
        </is>
      </c>
      <c r="B191" t="n">
        <v>7405722</v>
      </c>
      <c r="C191" t="inlineStr">
        <is>
          <t>Burns, Wei</t>
        </is>
      </c>
      <c r="D191" t="inlineStr">
        <is>
          <t>(555) 817-3440</t>
        </is>
      </c>
      <c r="E191" t="inlineStr">
        <is>
          <t>wei.burns45@example.com</t>
        </is>
      </c>
      <c r="G191" s="27" t="n"/>
      <c r="H191" s="27" t="n"/>
      <c r="I191" s="27" t="n"/>
      <c r="J191" s="27" t="n"/>
    </row>
    <row r="192">
      <c r="A192" t="inlineStr">
        <is>
          <t>PT10191</t>
        </is>
      </c>
      <c r="B192" t="n">
        <v>5131975</v>
      </c>
      <c r="C192" t="inlineStr">
        <is>
          <t>DELGADO, Michael</t>
        </is>
      </c>
      <c r="D192" t="inlineStr">
        <is>
          <t>(555) 202-7579</t>
        </is>
      </c>
      <c r="F192" t="inlineStr">
        <is>
          <t>HTN</t>
        </is>
      </c>
      <c r="G192" s="27" t="n"/>
      <c r="H192" s="27" t="n"/>
      <c r="I192" s="27" t="n"/>
      <c r="J192" s="27" t="n"/>
    </row>
    <row r="193">
      <c r="A193" t="inlineStr">
        <is>
          <t>PT10192</t>
        </is>
      </c>
      <c r="B193" t="n">
        <v>863078</v>
      </c>
      <c r="C193" t="inlineStr">
        <is>
          <t>Jackson, Sharon</t>
        </is>
      </c>
      <c r="D193" t="inlineStr">
        <is>
          <t>(555) 466-5175</t>
        </is>
      </c>
      <c r="E193" t="inlineStr">
        <is>
          <t>sharon.jackson13@example.com</t>
        </is>
      </c>
      <c r="F193" t="inlineStr">
        <is>
          <t>HTN</t>
        </is>
      </c>
      <c r="G193" s="27" t="n"/>
      <c r="H193" s="27" t="n"/>
      <c r="I193" s="27" t="n"/>
      <c r="J193" s="27" t="n"/>
    </row>
    <row r="194">
      <c r="A194" t="inlineStr">
        <is>
          <t>PT10193</t>
        </is>
      </c>
      <c r="B194" t="n">
        <v>6432113</v>
      </c>
      <c r="C194" t="inlineStr">
        <is>
          <t>MOORE, SOPHIA</t>
        </is>
      </c>
      <c r="D194" t="inlineStr">
        <is>
          <t>(555) 876-4533</t>
        </is>
      </c>
      <c r="G194" s="27" t="n"/>
      <c r="H194" s="27" t="n"/>
      <c r="I194" s="27" t="n"/>
      <c r="J194" s="27" t="n"/>
    </row>
    <row r="195">
      <c r="A195" t="inlineStr">
        <is>
          <t>PT10194</t>
        </is>
      </c>
      <c r="B195" t="n">
        <v>6628048</v>
      </c>
      <c r="C195" t="inlineStr">
        <is>
          <t>clark,  nancy</t>
        </is>
      </c>
      <c r="D195" t="inlineStr">
        <is>
          <t>(555) 858-6413</t>
        </is>
      </c>
      <c r="E195" t="inlineStr">
        <is>
          <t>nancy.clark98@example.com</t>
        </is>
      </c>
      <c r="F195" t="inlineStr">
        <is>
          <t>PSYCH</t>
        </is>
      </c>
      <c r="G195" s="27" t="n"/>
      <c r="H195" s="27" t="n"/>
      <c r="I195" s="27" t="n"/>
      <c r="J195" s="27" t="n"/>
    </row>
    <row r="196">
      <c r="A196" t="inlineStr">
        <is>
          <t>PT10195</t>
        </is>
      </c>
      <c r="B196" t="n">
        <v>3581682</v>
      </c>
      <c r="C196" t="inlineStr">
        <is>
          <t>Fox,Lori</t>
        </is>
      </c>
      <c r="D196" t="inlineStr">
        <is>
          <t>(555) 332-8474</t>
        </is>
      </c>
      <c r="E196" t="inlineStr">
        <is>
          <t>lori.fox75@example.com</t>
        </is>
      </c>
      <c r="G196" s="27" t="n"/>
      <c r="H196" s="27" t="n"/>
      <c r="I196" s="27" t="n"/>
      <c r="J196" s="27" t="n"/>
    </row>
    <row r="197">
      <c r="A197" t="inlineStr">
        <is>
          <t>PT10196</t>
        </is>
      </c>
      <c r="B197" t="n">
        <v>5005700</v>
      </c>
      <c r="C197" t="inlineStr">
        <is>
          <t xml:space="preserve">YILMAZ, Jennifer  </t>
        </is>
      </c>
      <c r="D197" t="inlineStr">
        <is>
          <t>(555) 352-5581</t>
        </is>
      </c>
      <c r="E197" t="inlineStr">
        <is>
          <t>jennifer.yilmaz45@example.com</t>
        </is>
      </c>
      <c r="F197" t="inlineStr">
        <is>
          <t>CANCER</t>
        </is>
      </c>
      <c r="G197" s="27" t="n"/>
      <c r="H197" s="27" t="n"/>
      <c r="I197" s="27" t="n"/>
      <c r="J197" s="27" t="n"/>
    </row>
    <row r="198">
      <c r="A198" t="inlineStr">
        <is>
          <t>PT10197</t>
        </is>
      </c>
      <c r="B198" t="n">
        <v>8055947</v>
      </c>
      <c r="C198" t="inlineStr">
        <is>
          <t>Simmons, Aaron</t>
        </is>
      </c>
      <c r="D198" t="inlineStr">
        <is>
          <t>(555) 411-2205</t>
        </is>
      </c>
      <c r="G198" s="27" t="n"/>
      <c r="H198" s="27" t="n"/>
      <c r="I198" s="27" t="n"/>
      <c r="J198" s="27" t="n"/>
    </row>
    <row r="199">
      <c r="A199" t="inlineStr">
        <is>
          <t>PT10198</t>
        </is>
      </c>
      <c r="B199" t="n">
        <v>9182249</v>
      </c>
      <c r="C199" t="inlineStr">
        <is>
          <t>KELLEY, JUDY</t>
        </is>
      </c>
      <c r="D199" t="inlineStr">
        <is>
          <t>(555) 985-5746</t>
        </is>
      </c>
      <c r="E199" t="inlineStr">
        <is>
          <t>judy.kelley23@example.com</t>
        </is>
      </c>
      <c r="F199" t="inlineStr">
        <is>
          <t>HTN</t>
        </is>
      </c>
      <c r="G199" s="27" t="n"/>
      <c r="H199" s="27" t="n"/>
      <c r="I199" s="27" t="n"/>
      <c r="J199" s="27" t="n"/>
    </row>
    <row r="200">
      <c r="A200" t="inlineStr">
        <is>
          <t>PT10199</t>
        </is>
      </c>
      <c r="B200" t="n">
        <v>2645632</v>
      </c>
      <c r="C200" t="inlineStr">
        <is>
          <t>duncan, william</t>
        </is>
      </c>
      <c r="D200" t="inlineStr">
        <is>
          <t>(555) 486-0972</t>
        </is>
      </c>
      <c r="G200" s="27" t="n"/>
      <c r="H200" s="27" t="n"/>
      <c r="I200" s="27" t="n"/>
      <c r="J200" s="27" t="n"/>
    </row>
    <row r="201">
      <c r="A201" t="inlineStr">
        <is>
          <t>PT10200</t>
        </is>
      </c>
      <c r="B201" t="n">
        <v>4324932</v>
      </c>
      <c r="C201" t="inlineStr">
        <is>
          <t>Sullivan, Jeremy</t>
        </is>
      </c>
      <c r="D201" t="inlineStr">
        <is>
          <t>(555) 431-1956</t>
        </is>
      </c>
      <c r="E201" t="inlineStr">
        <is>
          <t>jeremy.sullivan79@example.com</t>
        </is>
      </c>
      <c r="G201" s="27" t="n"/>
      <c r="H201" s="27" t="n"/>
      <c r="I201" s="27" t="n"/>
      <c r="J201" s="27" t="n"/>
    </row>
    <row r="202">
      <c r="A202" t="inlineStr">
        <is>
          <t>PT10201</t>
        </is>
      </c>
      <c r="B202" t="n">
        <v>4676895</v>
      </c>
      <c r="C202" t="inlineStr">
        <is>
          <t>WOOD, Jack</t>
        </is>
      </c>
      <c r="D202" t="inlineStr">
        <is>
          <t>(555) 580-3036</t>
        </is>
      </c>
      <c r="F202" t="inlineStr">
        <is>
          <t>AFIB</t>
        </is>
      </c>
      <c r="G202" s="27" t="n"/>
      <c r="H202" s="27" t="n"/>
      <c r="I202" s="27" t="n"/>
      <c r="J202" s="27" t="n"/>
    </row>
    <row r="203">
      <c r="A203" t="inlineStr">
        <is>
          <t>PT10202</t>
        </is>
      </c>
      <c r="B203" t="n">
        <v>488484</v>
      </c>
      <c r="C203" t="inlineStr">
        <is>
          <t xml:space="preserve"> Stone, Frank</t>
        </is>
      </c>
      <c r="D203" t="inlineStr">
        <is>
          <t>(555) 392-9849</t>
        </is>
      </c>
      <c r="E203" t="inlineStr">
        <is>
          <t>frank.stone92@example.com</t>
        </is>
      </c>
      <c r="F203" t="inlineStr">
        <is>
          <t>HTN;OA</t>
        </is>
      </c>
      <c r="G203" s="27" t="n"/>
      <c r="H203" s="27" t="n"/>
      <c r="I203" s="27" t="n"/>
      <c r="J203" s="27" t="n"/>
    </row>
    <row r="204">
      <c r="A204" t="inlineStr">
        <is>
          <t>PT10203</t>
        </is>
      </c>
      <c r="B204" t="n">
        <v>2651075</v>
      </c>
      <c r="C204" t="inlineStr">
        <is>
          <t>SPENCER,  GERALD</t>
        </is>
      </c>
      <c r="D204" t="inlineStr">
        <is>
          <t>(555) 805-6914</t>
        </is>
      </c>
      <c r="E204" t="inlineStr">
        <is>
          <t>gerald.spencer79@example.com</t>
        </is>
      </c>
      <c r="G204" s="27" t="n"/>
      <c r="H204" s="27" t="n"/>
      <c r="I204" s="27" t="n"/>
      <c r="J204" s="27" t="n"/>
    </row>
    <row r="205">
      <c r="A205" t="inlineStr">
        <is>
          <t>PT10204</t>
        </is>
      </c>
      <c r="B205" t="n">
        <v>3411050</v>
      </c>
      <c r="C205" t="inlineStr">
        <is>
          <t xml:space="preserve">hawkins, andrew  </t>
        </is>
      </c>
      <c r="D205" t="inlineStr">
        <is>
          <t>(555) 512-1788</t>
        </is>
      </c>
      <c r="F205" t="inlineStr">
        <is>
          <t>DM</t>
        </is>
      </c>
      <c r="G205" s="27" t="n"/>
      <c r="H205" s="27" t="n"/>
      <c r="I205" s="27" t="n"/>
      <c r="J205" s="27" t="n"/>
    </row>
    <row r="206">
      <c r="A206" t="inlineStr">
        <is>
          <t>PT10205</t>
        </is>
      </c>
      <c r="B206" t="n">
        <v>3728820</v>
      </c>
      <c r="C206" t="inlineStr">
        <is>
          <t>Duncan, Christina</t>
        </is>
      </c>
      <c r="D206" t="inlineStr">
        <is>
          <t>(555) 682-7935</t>
        </is>
      </c>
      <c r="F206" t="inlineStr">
        <is>
          <t>HTN;DM;ASTHMA</t>
        </is>
      </c>
      <c r="G206" s="27" t="n"/>
      <c r="H206" s="27" t="n"/>
      <c r="I206" s="27" t="n"/>
      <c r="J206" s="27" t="n"/>
    </row>
    <row r="207">
      <c r="A207" t="inlineStr">
        <is>
          <t>PT10206</t>
        </is>
      </c>
      <c r="B207" t="n">
        <v>8947278</v>
      </c>
      <c r="C207" t="inlineStr">
        <is>
          <t>KIM,Christian</t>
        </is>
      </c>
      <c r="D207" t="inlineStr">
        <is>
          <t>(555) 714-8233</t>
        </is>
      </c>
      <c r="E207" t="inlineStr">
        <is>
          <t>christian.kim52@example.com</t>
        </is>
      </c>
      <c r="G207" s="27" t="n"/>
      <c r="H207" s="27" t="n"/>
      <c r="I207" s="27" t="n"/>
      <c r="J207" s="27" t="n"/>
    </row>
    <row r="208">
      <c r="A208" t="inlineStr">
        <is>
          <t>PT10207</t>
        </is>
      </c>
      <c r="B208" t="n">
        <v>7456876</v>
      </c>
      <c r="C208" t="inlineStr">
        <is>
          <t xml:space="preserve">Matthews, Brittany </t>
        </is>
      </c>
      <c r="D208" t="inlineStr">
        <is>
          <t>(555) 790-3886</t>
        </is>
      </c>
      <c r="G208" s="27" t="n"/>
      <c r="H208" s="27" t="n"/>
      <c r="I208" s="27" t="n"/>
      <c r="J208" s="27" t="n"/>
    </row>
    <row r="209">
      <c r="A209" t="inlineStr">
        <is>
          <t>PT10208</t>
        </is>
      </c>
      <c r="B209" t="n">
        <v>9507441</v>
      </c>
      <c r="C209" t="inlineStr">
        <is>
          <t>RIVERA, ROY</t>
        </is>
      </c>
      <c r="D209" t="inlineStr">
        <is>
          <t>(555) 305-7867</t>
        </is>
      </c>
      <c r="F209" t="inlineStr">
        <is>
          <t>SEIZURE</t>
        </is>
      </c>
      <c r="G209" s="27" t="n"/>
      <c r="H209" s="27" t="n"/>
      <c r="I209" s="27" t="n"/>
      <c r="J209" s="27" t="n"/>
    </row>
    <row r="210">
      <c r="A210" t="inlineStr">
        <is>
          <t>PT10209</t>
        </is>
      </c>
      <c r="B210" t="n">
        <v>2364235</v>
      </c>
      <c r="C210" t="inlineStr">
        <is>
          <t>hill, william</t>
        </is>
      </c>
      <c r="D210" t="inlineStr">
        <is>
          <t>(555) 608-2788</t>
        </is>
      </c>
      <c r="F210" t="inlineStr">
        <is>
          <t>HTN</t>
        </is>
      </c>
      <c r="G210" s="27" t="n"/>
      <c r="H210" s="27" t="n"/>
      <c r="I210" s="27" t="n"/>
      <c r="J210" s="27" t="n"/>
    </row>
    <row r="211">
      <c r="A211" t="inlineStr">
        <is>
          <t>PT10210</t>
        </is>
      </c>
      <c r="B211" t="n">
        <v>5109561</v>
      </c>
      <c r="C211" t="inlineStr">
        <is>
          <t>Scott, Michelle</t>
        </is>
      </c>
      <c r="D211" t="inlineStr">
        <is>
          <t>(555) 429-8146</t>
        </is>
      </c>
      <c r="E211" t="inlineStr">
        <is>
          <t>michelle.scott71@example.com</t>
        </is>
      </c>
      <c r="G211" s="27" t="n"/>
      <c r="H211" s="27" t="n"/>
      <c r="I211" s="27" t="n"/>
      <c r="J211" s="27" t="n"/>
    </row>
    <row r="212">
      <c r="A212" t="inlineStr">
        <is>
          <t>PT10211</t>
        </is>
      </c>
      <c r="B212" t="n">
        <v>6339784</v>
      </c>
      <c r="C212" t="inlineStr">
        <is>
          <t>DUNN, Angela</t>
        </is>
      </c>
      <c r="D212" t="inlineStr">
        <is>
          <t>(555) 345-8773</t>
        </is>
      </c>
      <c r="E212" t="inlineStr">
        <is>
          <t>angela.dunn98@example.com</t>
        </is>
      </c>
      <c r="G212" s="27" t="n"/>
      <c r="H212" s="27" t="n"/>
      <c r="I212" s="27" t="n"/>
      <c r="J212" s="27" t="n"/>
    </row>
    <row r="213">
      <c r="A213" t="inlineStr">
        <is>
          <t>PT10212</t>
        </is>
      </c>
      <c r="B213" t="n">
        <v>1901770</v>
      </c>
      <c r="C213" t="inlineStr">
        <is>
          <t xml:space="preserve">Wright,  Gloria  </t>
        </is>
      </c>
      <c r="D213" t="inlineStr">
        <is>
          <t>(555) 568-4390</t>
        </is>
      </c>
      <c r="F213" t="inlineStr">
        <is>
          <t>PSYCH</t>
        </is>
      </c>
      <c r="G213" s="27" t="n"/>
      <c r="H213" s="27" t="n"/>
      <c r="I213" s="27" t="n"/>
      <c r="J213" s="27" t="n"/>
    </row>
    <row r="214">
      <c r="A214" t="inlineStr">
        <is>
          <t>PT10213</t>
        </is>
      </c>
      <c r="B214" t="n">
        <v>4919204</v>
      </c>
      <c r="C214" t="inlineStr">
        <is>
          <t>JIMENEZ, LUCAS</t>
        </is>
      </c>
      <c r="D214" t="inlineStr">
        <is>
          <t>(555) 330-4995</t>
        </is>
      </c>
      <c r="E214" t="inlineStr">
        <is>
          <t>lucas.jimenez34@example.com</t>
        </is>
      </c>
      <c r="F214" t="inlineStr">
        <is>
          <t>AFIB</t>
        </is>
      </c>
      <c r="G214" s="27" t="n"/>
      <c r="H214" s="27" t="n"/>
      <c r="I214" s="27" t="n"/>
      <c r="J214" s="27" t="n"/>
    </row>
    <row r="215">
      <c r="A215" t="inlineStr">
        <is>
          <t>PT10214</t>
        </is>
      </c>
      <c r="B215" t="n">
        <v>8629648</v>
      </c>
      <c r="C215" t="inlineStr">
        <is>
          <t>vasquez, michael</t>
        </is>
      </c>
      <c r="D215" t="inlineStr">
        <is>
          <t>(555) 523-7427</t>
        </is>
      </c>
      <c r="E215" t="inlineStr">
        <is>
          <t>michael.vasquez38@example.com</t>
        </is>
      </c>
      <c r="G215" s="27" t="n"/>
      <c r="H215" s="27" t="n"/>
      <c r="I215" s="27" t="n"/>
      <c r="J215" s="27" t="n"/>
    </row>
    <row r="216">
      <c r="A216" t="inlineStr">
        <is>
          <t>PT10215</t>
        </is>
      </c>
      <c r="B216" t="n">
        <v>2718484</v>
      </c>
      <c r="C216" t="inlineStr">
        <is>
          <t xml:space="preserve"> King, Gerald</t>
        </is>
      </c>
      <c r="D216" t="inlineStr">
        <is>
          <t>(555) 608-5815</t>
        </is>
      </c>
      <c r="E216" t="inlineStr">
        <is>
          <t>gerald.king55@example.com</t>
        </is>
      </c>
      <c r="F216" t="inlineStr">
        <is>
          <t>HTN;DM</t>
        </is>
      </c>
      <c r="G216" s="27" t="n"/>
      <c r="H216" s="27" t="n"/>
      <c r="I216" s="27" t="n"/>
      <c r="J216" s="27" t="n"/>
    </row>
    <row r="217">
      <c r="A217" t="inlineStr">
        <is>
          <t>PT10216</t>
        </is>
      </c>
      <c r="B217" t="n">
        <v>5508401</v>
      </c>
      <c r="C217" t="inlineStr">
        <is>
          <t>MASON, Sophia</t>
        </is>
      </c>
      <c r="D217" t="inlineStr">
        <is>
          <t>(555) 291-2248</t>
        </is>
      </c>
      <c r="G217" s="27" t="n"/>
      <c r="H217" s="27" t="n"/>
      <c r="I217" s="27" t="n"/>
      <c r="J217" s="27" t="n"/>
    </row>
    <row r="218">
      <c r="A218" t="inlineStr">
        <is>
          <t>PT10217</t>
        </is>
      </c>
      <c r="B218" t="n">
        <v>3913557</v>
      </c>
      <c r="C218" t="inlineStr">
        <is>
          <t>Kennedy,Eric</t>
        </is>
      </c>
      <c r="D218" t="inlineStr">
        <is>
          <t>(555) 854-8160</t>
        </is>
      </c>
      <c r="E218" t="inlineStr">
        <is>
          <t>eric.kennedy25@example.com</t>
        </is>
      </c>
      <c r="F218" t="inlineStr">
        <is>
          <t>DM;CKD</t>
        </is>
      </c>
      <c r="G218" s="27" t="n"/>
      <c r="H218" s="27" t="n"/>
      <c r="I218" s="27" t="n"/>
      <c r="J218" s="27" t="n"/>
    </row>
    <row r="219">
      <c r="A219" t="inlineStr">
        <is>
          <t>PT10218</t>
        </is>
      </c>
      <c r="B219" t="n">
        <v>4033627</v>
      </c>
      <c r="C219" t="inlineStr">
        <is>
          <t>AGUILAR, BEVERLY</t>
        </is>
      </c>
      <c r="D219" t="inlineStr">
        <is>
          <t>(555) 701-8408</t>
        </is>
      </c>
      <c r="G219" s="27" t="n"/>
      <c r="H219" s="27" t="n"/>
      <c r="I219" s="27" t="n"/>
      <c r="J219" s="27" t="n"/>
    </row>
    <row r="220">
      <c r="A220" t="inlineStr">
        <is>
          <t>PT10219</t>
        </is>
      </c>
      <c r="B220" t="n">
        <v>3003084</v>
      </c>
      <c r="C220" t="inlineStr">
        <is>
          <t>ward, fatima</t>
        </is>
      </c>
      <c r="D220" t="inlineStr">
        <is>
          <t>(555) 246-3457</t>
        </is>
      </c>
      <c r="F220" t="inlineStr">
        <is>
          <t>HTN;COPD;OA</t>
        </is>
      </c>
      <c r="G220" s="27" t="n"/>
      <c r="H220" s="27" t="n"/>
      <c r="I220" s="27" t="n"/>
      <c r="J220" s="27" t="n"/>
    </row>
    <row r="221">
      <c r="A221" t="inlineStr">
        <is>
          <t>PT10220</t>
        </is>
      </c>
      <c r="B221" t="n">
        <v>8390953</v>
      </c>
      <c r="C221" t="inlineStr">
        <is>
          <t xml:space="preserve">Cunningham, Mia  </t>
        </is>
      </c>
      <c r="D221" t="inlineStr">
        <is>
          <t>(555) 966-4736</t>
        </is>
      </c>
      <c r="E221" t="inlineStr">
        <is>
          <t>mia.cunningham8@example.com</t>
        </is>
      </c>
      <c r="F221" t="inlineStr">
        <is>
          <t>COPD</t>
        </is>
      </c>
      <c r="G221" s="27" t="n"/>
      <c r="H221" s="27" t="n"/>
      <c r="I221" s="27" t="n"/>
      <c r="J221" s="27" t="n"/>
    </row>
    <row r="222">
      <c r="A222" t="inlineStr">
        <is>
          <t>PT10221</t>
        </is>
      </c>
      <c r="B222" t="n">
        <v>3932399</v>
      </c>
      <c r="C222" t="inlineStr">
        <is>
          <t>HUNTER,  Sandra</t>
        </is>
      </c>
      <c r="D222" t="inlineStr">
        <is>
          <t>(555) 864-2077</t>
        </is>
      </c>
      <c r="E222" t="inlineStr">
        <is>
          <t>sandra.hunter67@example.com</t>
        </is>
      </c>
      <c r="G222" s="27" t="n"/>
      <c r="H222" s="27" t="n"/>
      <c r="I222" s="27" t="n"/>
      <c r="J222" s="27" t="n"/>
    </row>
    <row r="223">
      <c r="A223" t="inlineStr">
        <is>
          <t>PT10222</t>
        </is>
      </c>
      <c r="B223" t="n">
        <v>2680255</v>
      </c>
      <c r="C223" t="inlineStr">
        <is>
          <t>Adams, Wei</t>
        </is>
      </c>
      <c r="D223" t="inlineStr">
        <is>
          <t>(555) 946-0100</t>
        </is>
      </c>
      <c r="F223" t="inlineStr">
        <is>
          <t>ASTHMA</t>
        </is>
      </c>
      <c r="G223" s="27" t="n"/>
      <c r="H223" s="27" t="n"/>
      <c r="I223" s="27" t="n"/>
      <c r="J223" s="27" t="n"/>
    </row>
    <row r="224">
      <c r="A224" t="inlineStr">
        <is>
          <t>PT10223</t>
        </is>
      </c>
      <c r="B224" t="n">
        <v>8958365</v>
      </c>
      <c r="C224" t="inlineStr">
        <is>
          <t>NICHOLS, STEVEN</t>
        </is>
      </c>
      <c r="D224" t="inlineStr">
        <is>
          <t>(555) 803-4959</t>
        </is>
      </c>
      <c r="G224" s="27" t="n"/>
      <c r="H224" s="27" t="n"/>
      <c r="I224" s="27" t="n"/>
      <c r="J224" s="27" t="n"/>
    </row>
    <row r="225">
      <c r="A225" t="inlineStr">
        <is>
          <t>PT10224</t>
        </is>
      </c>
      <c r="B225" t="n">
        <v>890329</v>
      </c>
      <c r="C225" t="inlineStr">
        <is>
          <t>foster, alice</t>
        </is>
      </c>
      <c r="D225" t="inlineStr">
        <is>
          <t>(555) 702-9750</t>
        </is>
      </c>
      <c r="F225" t="inlineStr">
        <is>
          <t>ASTHMA</t>
        </is>
      </c>
      <c r="G225" s="27" t="n"/>
      <c r="H225" s="27" t="n"/>
      <c r="I225" s="27" t="n"/>
      <c r="J225" s="27" t="n"/>
    </row>
    <row r="226">
      <c r="A226" t="inlineStr">
        <is>
          <t>PT10225</t>
        </is>
      </c>
      <c r="B226" t="n">
        <v>2378999</v>
      </c>
      <c r="C226" t="inlineStr">
        <is>
          <t>Stephens, Emily</t>
        </is>
      </c>
      <c r="D226" t="inlineStr">
        <is>
          <t>(555) 208-2743</t>
        </is>
      </c>
      <c r="F226" t="inlineStr">
        <is>
          <t>ASTHMA</t>
        </is>
      </c>
      <c r="G226" s="27" t="n"/>
      <c r="H226" s="27" t="n"/>
      <c r="I226" s="27" t="n"/>
      <c r="J226" s="27" t="n"/>
    </row>
    <row r="227">
      <c r="A227" t="inlineStr">
        <is>
          <t>PT10226</t>
        </is>
      </c>
      <c r="B227" t="n">
        <v>8459351</v>
      </c>
      <c r="C227" t="inlineStr">
        <is>
          <t>DIXON, Evelyn</t>
        </is>
      </c>
      <c r="D227" t="inlineStr">
        <is>
          <t>(555) 584-3853</t>
        </is>
      </c>
      <c r="E227" t="inlineStr">
        <is>
          <t>evelyn.dixon75@example.com</t>
        </is>
      </c>
      <c r="F227" t="inlineStr">
        <is>
          <t>ETOH</t>
        </is>
      </c>
      <c r="G227" s="27" t="n"/>
      <c r="H227" s="27" t="n"/>
      <c r="I227" s="27" t="n"/>
      <c r="J227" s="27" t="n"/>
    </row>
    <row r="228">
      <c r="A228" t="inlineStr">
        <is>
          <t>PT10227</t>
        </is>
      </c>
      <c r="B228" t="n">
        <v>8064958</v>
      </c>
      <c r="C228" t="inlineStr">
        <is>
          <t>Murphy, Isabella</t>
        </is>
      </c>
      <c r="D228" t="inlineStr">
        <is>
          <t>(555) 625-3724</t>
        </is>
      </c>
      <c r="E228" t="inlineStr">
        <is>
          <t>isabella.murphy6@example.com</t>
        </is>
      </c>
      <c r="F228" t="inlineStr">
        <is>
          <t>HTN</t>
        </is>
      </c>
      <c r="G228" s="27" t="n"/>
      <c r="H228" s="27" t="n"/>
      <c r="I228" s="27" t="n"/>
      <c r="J228" s="27" t="n"/>
    </row>
    <row r="229">
      <c r="A229" t="inlineStr">
        <is>
          <t>PT10228</t>
        </is>
      </c>
      <c r="B229" t="n">
        <v>9710134</v>
      </c>
      <c r="C229" t="inlineStr">
        <is>
          <t xml:space="preserve"> RYAN,DIANA  </t>
        </is>
      </c>
      <c r="D229" t="inlineStr">
        <is>
          <t>(555) 729-5603</t>
        </is>
      </c>
      <c r="E229" t="inlineStr">
        <is>
          <t>diana.ryan9@example.com</t>
        </is>
      </c>
      <c r="F229" t="inlineStr">
        <is>
          <t>HTN;DM</t>
        </is>
      </c>
      <c r="G229" s="27" t="n"/>
      <c r="H229" s="27" t="n"/>
      <c r="I229" s="27" t="n"/>
      <c r="J229" s="27" t="n"/>
    </row>
    <row r="230">
      <c r="A230" t="inlineStr">
        <is>
          <t>PT10229</t>
        </is>
      </c>
      <c r="B230" t="n">
        <v>259231</v>
      </c>
      <c r="C230" t="inlineStr">
        <is>
          <t>mason, stephanie</t>
        </is>
      </c>
      <c r="D230" t="inlineStr">
        <is>
          <t>(555) 879-9156</t>
        </is>
      </c>
      <c r="F230" t="inlineStr">
        <is>
          <t>HTN;DM</t>
        </is>
      </c>
      <c r="G230" s="27" t="n"/>
      <c r="H230" s="27" t="n"/>
      <c r="I230" s="27" t="n"/>
      <c r="J230" s="27" t="n"/>
    </row>
    <row r="231">
      <c r="A231" t="inlineStr">
        <is>
          <t>PT10230</t>
        </is>
      </c>
      <c r="B231" t="n">
        <v>3047975</v>
      </c>
      <c r="C231" t="inlineStr">
        <is>
          <t>Moore,  Nathan</t>
        </is>
      </c>
      <c r="D231" t="inlineStr">
        <is>
          <t>(555) 326-7264</t>
        </is>
      </c>
      <c r="E231" t="inlineStr">
        <is>
          <t>nathan.moore92@example.com</t>
        </is>
      </c>
      <c r="F231" t="inlineStr">
        <is>
          <t>HTN;DM</t>
        </is>
      </c>
      <c r="G231" s="27" t="n"/>
      <c r="H231" s="27" t="n"/>
      <c r="I231" s="27" t="n"/>
      <c r="J231" s="27" t="n"/>
    </row>
    <row r="232">
      <c r="A232" t="inlineStr">
        <is>
          <t>PT10231</t>
        </is>
      </c>
      <c r="B232" t="n">
        <v>1993409</v>
      </c>
      <c r="C232" t="inlineStr">
        <is>
          <t>WARREN, Susan</t>
        </is>
      </c>
      <c r="D232" t="inlineStr">
        <is>
          <t>(555) 964-6753</t>
        </is>
      </c>
      <c r="E232" t="inlineStr">
        <is>
          <t>susan.warren30@example.com</t>
        </is>
      </c>
      <c r="F232" t="inlineStr">
        <is>
          <t>HTN;AFIB;OA</t>
        </is>
      </c>
      <c r="G232" s="27" t="n"/>
      <c r="H232" s="27" t="n"/>
      <c r="I232" s="27" t="n"/>
      <c r="J232" s="27" t="n"/>
    </row>
    <row r="233">
      <c r="A233" t="inlineStr">
        <is>
          <t>PT10232</t>
        </is>
      </c>
      <c r="B233" t="n">
        <v>3521479</v>
      </c>
      <c r="C233" t="inlineStr">
        <is>
          <t>Garza, Jean</t>
        </is>
      </c>
      <c r="D233" t="inlineStr">
        <is>
          <t>(555) 384-4062</t>
        </is>
      </c>
      <c r="G233" s="27" t="n"/>
      <c r="H233" s="27" t="n"/>
      <c r="I233" s="27" t="n"/>
      <c r="J233" s="27" t="n"/>
    </row>
    <row r="234">
      <c r="A234" t="inlineStr">
        <is>
          <t>PT10233</t>
        </is>
      </c>
      <c r="B234" t="n">
        <v>9554295</v>
      </c>
      <c r="C234" t="inlineStr">
        <is>
          <t>KENNEDY, MATEO</t>
        </is>
      </c>
      <c r="D234" t="inlineStr">
        <is>
          <t>(555) 401-6618</t>
        </is>
      </c>
      <c r="E234" t="inlineStr">
        <is>
          <t>mateo.kennedy63@example.com</t>
        </is>
      </c>
      <c r="G234" s="27" t="n"/>
      <c r="H234" s="27" t="n"/>
      <c r="I234" s="27" t="n"/>
      <c r="J234" s="27" t="n"/>
    </row>
    <row r="235">
      <c r="A235" t="inlineStr">
        <is>
          <t>PT10234</t>
        </is>
      </c>
      <c r="B235" t="n">
        <v>6042637</v>
      </c>
      <c r="C235" t="inlineStr">
        <is>
          <t>williams, justin</t>
        </is>
      </c>
      <c r="D235" t="inlineStr">
        <is>
          <t>(555) 921-7819</t>
        </is>
      </c>
      <c r="F235" t="inlineStr">
        <is>
          <t>HTN</t>
        </is>
      </c>
      <c r="G235" s="27" t="n"/>
      <c r="H235" s="27" t="n"/>
      <c r="I235" s="27" t="n"/>
      <c r="J235" s="27" t="n"/>
    </row>
    <row r="236">
      <c r="A236" t="inlineStr">
        <is>
          <t>PT10235</t>
        </is>
      </c>
      <c r="B236" t="n">
        <v>5981353</v>
      </c>
      <c r="C236" t="inlineStr">
        <is>
          <t>Reynolds, Gregory</t>
        </is>
      </c>
      <c r="D236" t="inlineStr">
        <is>
          <t>(555) 973-6630</t>
        </is>
      </c>
      <c r="E236" t="inlineStr">
        <is>
          <t>gregory.reynolds40@example.com</t>
        </is>
      </c>
      <c r="F236" t="inlineStr">
        <is>
          <t>ASTHMA;OA</t>
        </is>
      </c>
      <c r="G236" s="27" t="n"/>
      <c r="H236" s="27" t="n"/>
      <c r="I236" s="27" t="n"/>
      <c r="J236" s="27" t="n"/>
    </row>
    <row r="237">
      <c r="A237" t="inlineStr">
        <is>
          <t>PT10236</t>
        </is>
      </c>
      <c r="B237" t="n">
        <v>3766377</v>
      </c>
      <c r="C237" t="inlineStr">
        <is>
          <t xml:space="preserve">ORTIZ, Natalie  </t>
        </is>
      </c>
      <c r="D237" t="inlineStr">
        <is>
          <t>(555) 343-9735</t>
        </is>
      </c>
      <c r="E237" t="inlineStr">
        <is>
          <t>natalie.ortiz89@example.com</t>
        </is>
      </c>
      <c r="G237" s="27" t="n"/>
      <c r="H237" s="27" t="n"/>
      <c r="I237" s="27" t="n"/>
      <c r="J237" s="27" t="n"/>
    </row>
    <row r="238">
      <c r="A238" t="inlineStr">
        <is>
          <t>PT10237</t>
        </is>
      </c>
      <c r="B238" t="n">
        <v>5176724</v>
      </c>
      <c r="C238" t="inlineStr">
        <is>
          <t>Nelson, Samantha</t>
        </is>
      </c>
      <c r="D238" t="inlineStr">
        <is>
          <t>(555) 747-3864</t>
        </is>
      </c>
      <c r="E238" t="inlineStr">
        <is>
          <t>samantha.nelson38@example.com</t>
        </is>
      </c>
      <c r="F238" t="inlineStr">
        <is>
          <t>HTN;DM</t>
        </is>
      </c>
      <c r="G238" s="27" t="n"/>
      <c r="H238" s="27" t="n"/>
      <c r="I238" s="27" t="n"/>
      <c r="J238" s="27" t="n"/>
    </row>
    <row r="239">
      <c r="A239" t="inlineStr">
        <is>
          <t>PT10238</t>
        </is>
      </c>
      <c r="B239" t="n">
        <v>369963</v>
      </c>
      <c r="C239" t="inlineStr">
        <is>
          <t xml:space="preserve">FLORES, KATHERINE </t>
        </is>
      </c>
      <c r="D239" t="inlineStr">
        <is>
          <t>(555) 751-0656</t>
        </is>
      </c>
      <c r="F239" t="inlineStr">
        <is>
          <t>HTN;PSYCH;OA</t>
        </is>
      </c>
      <c r="G239" s="27" t="n"/>
      <c r="H239" s="27" t="n"/>
      <c r="I239" s="27" t="n"/>
      <c r="J239" s="27" t="n"/>
    </row>
    <row r="240">
      <c r="A240" t="inlineStr">
        <is>
          <t>PT10239</t>
        </is>
      </c>
      <c r="B240" t="n">
        <v>6414784</v>
      </c>
      <c r="C240" t="inlineStr">
        <is>
          <t>marshall,gloria</t>
        </is>
      </c>
      <c r="D240" t="inlineStr">
        <is>
          <t>(555) 970-1063</t>
        </is>
      </c>
      <c r="F240" t="inlineStr">
        <is>
          <t>HTN</t>
        </is>
      </c>
      <c r="G240" s="27" t="n"/>
      <c r="H240" s="27" t="n"/>
      <c r="I240" s="27" t="n"/>
      <c r="J240" s="27" t="n"/>
    </row>
    <row r="241">
      <c r="A241" t="inlineStr">
        <is>
          <t>PT10240</t>
        </is>
      </c>
      <c r="B241" t="n">
        <v>3515282</v>
      </c>
      <c r="C241" t="inlineStr">
        <is>
          <t>Abdi, Abigail</t>
        </is>
      </c>
      <c r="D241" t="inlineStr">
        <is>
          <t>(555) 964-0827</t>
        </is>
      </c>
      <c r="G241" s="27" t="n"/>
      <c r="H241" s="27" t="n"/>
      <c r="I241" s="27" t="n"/>
      <c r="J241" s="27" t="n"/>
    </row>
    <row r="242">
      <c r="A242" t="inlineStr">
        <is>
          <t>PT10241</t>
        </is>
      </c>
      <c r="B242" t="n">
        <v>9432855</v>
      </c>
      <c r="C242" t="inlineStr">
        <is>
          <t xml:space="preserve"> CRAWFORD, Deborah</t>
        </is>
      </c>
      <c r="D242" t="inlineStr">
        <is>
          <t>(555) 691-8299</t>
        </is>
      </c>
      <c r="E242" t="inlineStr">
        <is>
          <t>deborah.crawford14@example.com</t>
        </is>
      </c>
      <c r="G242" s="27" t="n"/>
      <c r="H242" s="27" t="n"/>
      <c r="I242" s="27" t="n"/>
      <c r="J242" s="27" t="n"/>
    </row>
    <row r="243">
      <c r="A243" t="inlineStr">
        <is>
          <t>PT10242</t>
        </is>
      </c>
      <c r="B243" t="n">
        <v>8555976</v>
      </c>
      <c r="C243" t="inlineStr">
        <is>
          <t>Alvarez, David</t>
        </is>
      </c>
      <c r="D243" t="inlineStr">
        <is>
          <t>(555) 434-4250</t>
        </is>
      </c>
      <c r="E243" t="inlineStr">
        <is>
          <t>david.alvarez34@example.com</t>
        </is>
      </c>
      <c r="F243" t="inlineStr">
        <is>
          <t>HTN</t>
        </is>
      </c>
      <c r="G243" s="27" t="n"/>
      <c r="H243" s="27" t="n"/>
      <c r="I243" s="27" t="n"/>
      <c r="J243" s="27" t="n"/>
    </row>
    <row r="244">
      <c r="A244" t="inlineStr">
        <is>
          <t>PT10243</t>
        </is>
      </c>
      <c r="B244" t="n">
        <v>7224478</v>
      </c>
      <c r="C244" t="inlineStr">
        <is>
          <t>ALVARADO, DONALD</t>
        </is>
      </c>
      <c r="D244" t="inlineStr">
        <is>
          <t>(555) 825-8997</t>
        </is>
      </c>
      <c r="E244" t="inlineStr">
        <is>
          <t>donald.alvarado79@example.com</t>
        </is>
      </c>
      <c r="F244" t="inlineStr">
        <is>
          <t>DM</t>
        </is>
      </c>
      <c r="G244" s="27" t="n"/>
      <c r="H244" s="27" t="n"/>
      <c r="I244" s="27" t="n"/>
      <c r="J244" s="27" t="n"/>
    </row>
    <row r="245">
      <c r="A245" t="inlineStr">
        <is>
          <t>PT10244</t>
        </is>
      </c>
      <c r="B245" t="n">
        <v>3786321</v>
      </c>
      <c r="C245" t="inlineStr">
        <is>
          <t xml:space="preserve">daniels, grace  </t>
        </is>
      </c>
      <c r="D245" t="inlineStr">
        <is>
          <t>(555) 244-1648</t>
        </is>
      </c>
      <c r="G245" s="27" t="n"/>
      <c r="H245" s="27" t="n"/>
      <c r="I245" s="27" t="n"/>
      <c r="J245" s="27" t="n"/>
    </row>
    <row r="246">
      <c r="A246" t="inlineStr">
        <is>
          <t>PT10245</t>
        </is>
      </c>
      <c r="B246" t="n">
        <v>7903441</v>
      </c>
      <c r="C246" t="inlineStr">
        <is>
          <t>Allen, Christina</t>
        </is>
      </c>
      <c r="D246" t="inlineStr">
        <is>
          <t>(555) 458-0591</t>
        </is>
      </c>
      <c r="E246" t="inlineStr">
        <is>
          <t>christina.allen88@example.com</t>
        </is>
      </c>
      <c r="F246" t="inlineStr">
        <is>
          <t>HTN</t>
        </is>
      </c>
      <c r="G246" s="27" t="n"/>
      <c r="H246" s="27" t="n"/>
      <c r="I246" s="27" t="n"/>
      <c r="J246" s="27" t="n"/>
    </row>
    <row r="247">
      <c r="A247" t="inlineStr">
        <is>
          <t>PT10246</t>
        </is>
      </c>
      <c r="B247" t="n">
        <v>6411556</v>
      </c>
      <c r="C247" t="inlineStr">
        <is>
          <t>ANDREWS, Grace</t>
        </is>
      </c>
      <c r="D247" t="inlineStr">
        <is>
          <t>(555) 984-5544</t>
        </is>
      </c>
      <c r="E247" t="inlineStr">
        <is>
          <t>grace.andrews28@example.com</t>
        </is>
      </c>
      <c r="F247" t="inlineStr">
        <is>
          <t>HTN</t>
        </is>
      </c>
      <c r="G247" s="27" t="n"/>
      <c r="H247" s="27" t="n"/>
      <c r="I247" s="27" t="n"/>
      <c r="J247" s="27" t="n"/>
    </row>
    <row r="248">
      <c r="A248" t="inlineStr">
        <is>
          <t>PT10247</t>
        </is>
      </c>
      <c r="B248" t="n">
        <v>6225060</v>
      </c>
      <c r="C248" t="inlineStr">
        <is>
          <t>Bennett, Adam</t>
        </is>
      </c>
      <c r="D248" t="inlineStr">
        <is>
          <t>(555) 857-1732</t>
        </is>
      </c>
      <c r="E248" t="inlineStr">
        <is>
          <t>adam.bennett94@example.com</t>
        </is>
      </c>
      <c r="F248" t="inlineStr">
        <is>
          <t>HTN</t>
        </is>
      </c>
      <c r="G248" s="27" t="n"/>
      <c r="H248" s="27" t="n"/>
      <c r="I248" s="27" t="n"/>
      <c r="J248" s="27" t="n"/>
    </row>
    <row r="249">
      <c r="A249" t="inlineStr">
        <is>
          <t>PT10248</t>
        </is>
      </c>
      <c r="B249" t="n">
        <v>57585</v>
      </c>
      <c r="C249" t="inlineStr">
        <is>
          <t>RIVERA,  BRITTANY</t>
        </is>
      </c>
      <c r="D249" t="inlineStr">
        <is>
          <t>(555) 251-7339</t>
        </is>
      </c>
      <c r="G249" s="27" t="n"/>
      <c r="H249" s="27" t="n"/>
      <c r="I249" s="27" t="n"/>
      <c r="J249" s="27" t="n"/>
    </row>
    <row r="250">
      <c r="A250" t="inlineStr">
        <is>
          <t>PT10249</t>
        </is>
      </c>
      <c r="B250" t="n">
        <v>7050767</v>
      </c>
      <c r="C250" t="inlineStr">
        <is>
          <t>hunt, ann</t>
        </is>
      </c>
      <c r="D250" t="inlineStr">
        <is>
          <t>(555) 383-7898</t>
        </is>
      </c>
      <c r="F250" t="inlineStr">
        <is>
          <t>HTN</t>
        </is>
      </c>
      <c r="G250" s="27" t="n"/>
      <c r="H250" s="27" t="n"/>
      <c r="I250" s="27" t="n"/>
      <c r="J250" s="27" t="n"/>
    </row>
    <row r="251">
      <c r="A251" t="inlineStr">
        <is>
          <t>PT10250</t>
        </is>
      </c>
      <c r="B251" t="n">
        <v>5121957</v>
      </c>
      <c r="C251" t="inlineStr">
        <is>
          <t>White,Jack</t>
        </is>
      </c>
      <c r="D251" t="inlineStr">
        <is>
          <t>(555) 258-4028</t>
        </is>
      </c>
      <c r="G251" s="27" t="n"/>
      <c r="H251" s="27" t="n"/>
      <c r="I251" s="27" t="n"/>
      <c r="J251" s="27" t="n"/>
    </row>
    <row r="252">
      <c r="A252" t="inlineStr">
        <is>
          <t>PT10251</t>
        </is>
      </c>
      <c r="B252" t="n">
        <v>6589913</v>
      </c>
      <c r="C252" t="inlineStr">
        <is>
          <t>ELLIS, Grace</t>
        </is>
      </c>
      <c r="D252" t="inlineStr">
        <is>
          <t>(555) 987-1599</t>
        </is>
      </c>
      <c r="E252" t="inlineStr">
        <is>
          <t>grace.ellis27@example.com</t>
        </is>
      </c>
      <c r="F252" t="inlineStr">
        <is>
          <t>HTN;HF</t>
        </is>
      </c>
      <c r="G252" s="27" t="n"/>
      <c r="H252" s="27" t="n"/>
      <c r="I252" s="27" t="n"/>
      <c r="J252" s="27" t="n"/>
    </row>
    <row r="253">
      <c r="A253" t="inlineStr">
        <is>
          <t>PT10252</t>
        </is>
      </c>
      <c r="B253" t="n">
        <v>6209477</v>
      </c>
      <c r="C253" t="inlineStr">
        <is>
          <t xml:space="preserve">Howard, Margaret  </t>
        </is>
      </c>
      <c r="D253" t="inlineStr">
        <is>
          <t>(555) 962-4902</t>
        </is>
      </c>
      <c r="E253" t="inlineStr">
        <is>
          <t>margaret.howard49@example.com</t>
        </is>
      </c>
      <c r="F253" t="inlineStr">
        <is>
          <t>HTN;PSYCH;OA</t>
        </is>
      </c>
      <c r="G253" s="27" t="n"/>
      <c r="H253" s="27" t="n"/>
      <c r="I253" s="27" t="n"/>
      <c r="J253" s="27" t="n"/>
    </row>
    <row r="254">
      <c r="A254" t="inlineStr">
        <is>
          <t>PT10253</t>
        </is>
      </c>
      <c r="B254" t="n">
        <v>1664373</v>
      </c>
      <c r="C254" t="inlineStr">
        <is>
          <t>WOODS, HAROLD</t>
        </is>
      </c>
      <c r="D254" t="inlineStr">
        <is>
          <t>(555) 604-0798</t>
        </is>
      </c>
      <c r="F254" t="inlineStr">
        <is>
          <t>HTN</t>
        </is>
      </c>
      <c r="G254" s="27" t="n"/>
      <c r="H254" s="27" t="n"/>
      <c r="I254" s="27" t="n"/>
      <c r="J254" s="27" t="n"/>
    </row>
    <row r="255">
      <c r="A255" t="inlineStr">
        <is>
          <t>PT10254</t>
        </is>
      </c>
      <c r="B255" t="n">
        <v>2759594</v>
      </c>
      <c r="C255" t="inlineStr">
        <is>
          <t xml:space="preserve"> hall, deborah</t>
        </is>
      </c>
      <c r="D255" t="inlineStr">
        <is>
          <t>(555) 471-7515</t>
        </is>
      </c>
      <c r="G255" s="27" t="n"/>
      <c r="H255" s="27" t="n"/>
      <c r="I255" s="27" t="n"/>
      <c r="J255" s="27" t="n"/>
    </row>
    <row r="256">
      <c r="A256" t="inlineStr">
        <is>
          <t>PT10255</t>
        </is>
      </c>
      <c r="B256" t="n">
        <v>8193961</v>
      </c>
      <c r="C256" t="inlineStr">
        <is>
          <t>Ruiz, Aaliyah</t>
        </is>
      </c>
      <c r="D256" t="inlineStr">
        <is>
          <t>(555) 725-0233</t>
        </is>
      </c>
      <c r="E256" t="inlineStr">
        <is>
          <t>aaliyah.ruiz39@example.com</t>
        </is>
      </c>
      <c r="F256" t="inlineStr">
        <is>
          <t>DM;CKD</t>
        </is>
      </c>
      <c r="G256" s="27" t="n"/>
      <c r="H256" s="27" t="n"/>
      <c r="I256" s="27" t="n"/>
      <c r="J256" s="27" t="n"/>
    </row>
    <row r="257">
      <c r="A257" t="inlineStr">
        <is>
          <t>PT10256</t>
        </is>
      </c>
      <c r="B257" t="n">
        <v>3057839</v>
      </c>
      <c r="C257" t="inlineStr">
        <is>
          <t>NGUYEN, Brandon</t>
        </is>
      </c>
      <c r="D257" t="inlineStr">
        <is>
          <t>(555) 979-8588</t>
        </is>
      </c>
      <c r="G257" s="27" t="n"/>
      <c r="H257" s="27" t="n"/>
      <c r="I257" s="27" t="n"/>
      <c r="J257" s="27" t="n"/>
    </row>
    <row r="258">
      <c r="A258" t="inlineStr">
        <is>
          <t>PT10257</t>
        </is>
      </c>
      <c r="B258" t="n">
        <v>6080259</v>
      </c>
      <c r="C258" t="inlineStr">
        <is>
          <t>Munoz,  Susan</t>
        </is>
      </c>
      <c r="D258" t="inlineStr">
        <is>
          <t>(555) 654-4356</t>
        </is>
      </c>
      <c r="E258" t="inlineStr">
        <is>
          <t>susan.munoz99@example.com</t>
        </is>
      </c>
      <c r="F258" t="inlineStr">
        <is>
          <t>HTN</t>
        </is>
      </c>
      <c r="G258" s="27" t="n"/>
      <c r="H258" s="27" t="n"/>
      <c r="I258" s="27" t="n"/>
      <c r="J258" s="27" t="n"/>
    </row>
    <row r="259">
      <c r="A259" t="inlineStr">
        <is>
          <t>PT10258</t>
        </is>
      </c>
      <c r="B259" t="n">
        <v>2345363</v>
      </c>
      <c r="C259" t="inlineStr">
        <is>
          <t>BROOKS, DYLAN</t>
        </is>
      </c>
      <c r="D259" t="inlineStr">
        <is>
          <t>(555) 352-2189</t>
        </is>
      </c>
      <c r="F259" t="inlineStr">
        <is>
          <t>HTN;DM;COPD</t>
        </is>
      </c>
      <c r="G259" s="27" t="n"/>
      <c r="H259" s="27" t="n"/>
      <c r="I259" s="27" t="n"/>
      <c r="J259" s="27" t="n"/>
    </row>
    <row r="260">
      <c r="A260" t="inlineStr">
        <is>
          <t>PT10259</t>
        </is>
      </c>
      <c r="B260" t="n">
        <v>9397419</v>
      </c>
      <c r="C260" t="inlineStr">
        <is>
          <t>jackson, julia</t>
        </is>
      </c>
      <c r="D260" t="inlineStr">
        <is>
          <t>(555) 648-4609</t>
        </is>
      </c>
      <c r="F260" t="inlineStr">
        <is>
          <t>AFIB</t>
        </is>
      </c>
      <c r="G260" s="27" t="n"/>
      <c r="H260" s="27" t="n"/>
      <c r="I260" s="27" t="n"/>
      <c r="J260" s="27" t="n"/>
    </row>
    <row r="261">
      <c r="A261" t="inlineStr">
        <is>
          <t>PT10260</t>
        </is>
      </c>
      <c r="B261" t="n">
        <v>8242252</v>
      </c>
      <c r="C261" t="inlineStr">
        <is>
          <t xml:space="preserve">Cox, Logan  </t>
        </is>
      </c>
      <c r="D261" t="inlineStr">
        <is>
          <t>(555) 512-1261</t>
        </is>
      </c>
      <c r="E261" t="inlineStr">
        <is>
          <t>logan.cox7@example.com</t>
        </is>
      </c>
      <c r="F261" t="inlineStr">
        <is>
          <t>PSYCH</t>
        </is>
      </c>
      <c r="G261" s="27" t="n"/>
      <c r="H261" s="27" t="n"/>
      <c r="I261" s="27" t="n"/>
      <c r="J261" s="27" t="n"/>
    </row>
    <row r="262">
      <c r="A262" t="inlineStr">
        <is>
          <t>PT10261</t>
        </is>
      </c>
      <c r="B262" t="n">
        <v>3499421</v>
      </c>
      <c r="C262" t="inlineStr">
        <is>
          <t>HADDAD,Zachary</t>
        </is>
      </c>
      <c r="D262" t="inlineStr">
        <is>
          <t>(555) 829-8746</t>
        </is>
      </c>
      <c r="G262" s="27" t="n"/>
      <c r="H262" s="27" t="n"/>
      <c r="I262" s="27" t="n"/>
      <c r="J262" s="27" t="n"/>
    </row>
    <row r="263">
      <c r="A263" t="inlineStr">
        <is>
          <t>PT10262</t>
        </is>
      </c>
      <c r="B263" t="n">
        <v>2048708</v>
      </c>
      <c r="C263" t="inlineStr">
        <is>
          <t>Clark, Tyler</t>
        </is>
      </c>
      <c r="D263" t="inlineStr">
        <is>
          <t>(555) 759-6254</t>
        </is>
      </c>
      <c r="E263" t="inlineStr">
        <is>
          <t>tyler.clark65@example.com</t>
        </is>
      </c>
      <c r="F263" t="inlineStr">
        <is>
          <t>HTN</t>
        </is>
      </c>
      <c r="G263" s="27" t="n"/>
      <c r="H263" s="27" t="n"/>
      <c r="I263" s="27" t="n"/>
      <c r="J263" s="27" t="n"/>
    </row>
    <row r="264">
      <c r="A264" t="inlineStr">
        <is>
          <t>PT10263</t>
        </is>
      </c>
      <c r="B264" t="n">
        <v>8795707</v>
      </c>
      <c r="C264" t="inlineStr">
        <is>
          <t>GIBSON, WILLIE</t>
        </is>
      </c>
      <c r="D264" t="inlineStr">
        <is>
          <t>(555) 737-7496</t>
        </is>
      </c>
      <c r="F264" t="inlineStr">
        <is>
          <t>PSYCH</t>
        </is>
      </c>
      <c r="G264" s="27" t="n"/>
      <c r="H264" s="27" t="n"/>
      <c r="I264" s="27" t="n"/>
      <c r="J264" s="27" t="n"/>
    </row>
    <row r="265">
      <c r="A265" t="inlineStr">
        <is>
          <t>PT10264</t>
        </is>
      </c>
      <c r="B265" t="n">
        <v>6291850</v>
      </c>
      <c r="C265" t="inlineStr">
        <is>
          <t>robertson, diana</t>
        </is>
      </c>
      <c r="D265" t="inlineStr">
        <is>
          <t>(555) 343-4458</t>
        </is>
      </c>
      <c r="F265" t="inlineStr">
        <is>
          <t>ASTHMA</t>
        </is>
      </c>
      <c r="G265" s="27" t="n"/>
      <c r="H265" s="27" t="n"/>
      <c r="I265" s="27" t="n"/>
      <c r="J265" s="27" t="n"/>
    </row>
    <row r="266">
      <c r="A266" t="inlineStr">
        <is>
          <t>PT10265</t>
        </is>
      </c>
      <c r="B266" t="n">
        <v>5608133</v>
      </c>
      <c r="C266" t="inlineStr">
        <is>
          <t>Owens, Andrew</t>
        </is>
      </c>
      <c r="D266" t="inlineStr">
        <is>
          <t>(555) 717-8287</t>
        </is>
      </c>
      <c r="G266" s="27" t="n"/>
      <c r="H266" s="27" t="n"/>
      <c r="I266" s="27" t="n"/>
      <c r="J266" s="27" t="n"/>
    </row>
    <row r="267">
      <c r="A267" t="inlineStr">
        <is>
          <t>PT10266</t>
        </is>
      </c>
      <c r="B267" t="n">
        <v>2376724</v>
      </c>
      <c r="C267" t="inlineStr">
        <is>
          <t>COOPER, Brenda</t>
        </is>
      </c>
      <c r="D267" t="inlineStr">
        <is>
          <t>(555) 582-1047</t>
        </is>
      </c>
      <c r="F267" t="inlineStr">
        <is>
          <t>PSYCH</t>
        </is>
      </c>
      <c r="G267" s="27" t="n"/>
      <c r="H267" s="27" t="n"/>
      <c r="I267" s="27" t="n"/>
      <c r="J267" s="27" t="n"/>
    </row>
    <row r="268">
      <c r="A268" t="inlineStr">
        <is>
          <t>PT10267</t>
        </is>
      </c>
      <c r="B268" t="n">
        <v>1136344</v>
      </c>
      <c r="C268" t="inlineStr">
        <is>
          <t xml:space="preserve"> Lane, Margaret</t>
        </is>
      </c>
      <c r="D268" t="inlineStr">
        <is>
          <t>(555) 272-5746</t>
        </is>
      </c>
      <c r="F268" t="inlineStr">
        <is>
          <t>PSYCH</t>
        </is>
      </c>
      <c r="G268" s="27" t="n"/>
      <c r="H268" s="27" t="n"/>
      <c r="I268" s="27" t="n"/>
      <c r="J268" s="27" t="n"/>
    </row>
    <row r="269">
      <c r="A269" t="inlineStr">
        <is>
          <t>PT10268</t>
        </is>
      </c>
      <c r="B269" t="n">
        <v>4599840</v>
      </c>
      <c r="C269" t="inlineStr">
        <is>
          <t xml:space="preserve">OLSON, SARA  </t>
        </is>
      </c>
      <c r="D269" t="inlineStr">
        <is>
          <t>(555) 880-8112</t>
        </is>
      </c>
      <c r="G269" s="27" t="n"/>
      <c r="H269" s="27" t="n"/>
      <c r="I269" s="27" t="n"/>
      <c r="J269" s="27" t="n"/>
    </row>
    <row r="270">
      <c r="A270" t="inlineStr">
        <is>
          <t>PT10269</t>
        </is>
      </c>
      <c r="B270" t="n">
        <v>7645935</v>
      </c>
      <c r="C270" t="inlineStr">
        <is>
          <t xml:space="preserve">ramirez, mason </t>
        </is>
      </c>
      <c r="D270" t="inlineStr">
        <is>
          <t>(555) 827-5705</t>
        </is>
      </c>
      <c r="F270" t="inlineStr">
        <is>
          <t>ASTHMA</t>
        </is>
      </c>
      <c r="G270" s="27" t="n"/>
      <c r="H270" s="27" t="n"/>
      <c r="I270" s="27" t="n"/>
      <c r="J270" s="27" t="n"/>
    </row>
    <row r="271">
      <c r="A271" t="inlineStr">
        <is>
          <t>PT10270</t>
        </is>
      </c>
      <c r="B271" t="n">
        <v>314987</v>
      </c>
      <c r="C271" t="inlineStr">
        <is>
          <t>Chen, Susan</t>
        </is>
      </c>
      <c r="D271" t="inlineStr">
        <is>
          <t>(555) 439-6376</t>
        </is>
      </c>
      <c r="E271" t="inlineStr">
        <is>
          <t>susan.chen81@example.com</t>
        </is>
      </c>
      <c r="F271" t="inlineStr">
        <is>
          <t>HTN</t>
        </is>
      </c>
      <c r="G271" s="27" t="n"/>
      <c r="H271" s="27" t="n"/>
      <c r="I271" s="27" t="n"/>
      <c r="J271" s="27" t="n"/>
    </row>
    <row r="272">
      <c r="A272" t="inlineStr">
        <is>
          <t>PT10271</t>
        </is>
      </c>
      <c r="B272" t="n">
        <v>1695337</v>
      </c>
      <c r="C272" t="inlineStr">
        <is>
          <t>RUIZ, Lawrence</t>
        </is>
      </c>
      <c r="D272" t="inlineStr">
        <is>
          <t>(555) 326-8844</t>
        </is>
      </c>
      <c r="G272" s="27" t="n"/>
      <c r="H272" s="27" t="n"/>
      <c r="I272" s="27" t="n"/>
      <c r="J272" s="27" t="n"/>
    </row>
    <row r="273">
      <c r="A273" t="inlineStr">
        <is>
          <t>PT10272</t>
        </is>
      </c>
      <c r="B273" t="n">
        <v>443312</v>
      </c>
      <c r="C273" t="inlineStr">
        <is>
          <t>Hoffman,Judy</t>
        </is>
      </c>
      <c r="D273" t="inlineStr">
        <is>
          <t>(555) 795-8281</t>
        </is>
      </c>
      <c r="E273" t="inlineStr">
        <is>
          <t>judy.hoffman41@example.com</t>
        </is>
      </c>
      <c r="F273" t="inlineStr">
        <is>
          <t>DM</t>
        </is>
      </c>
      <c r="G273" s="27" t="n"/>
      <c r="H273" s="27" t="n"/>
      <c r="I273" s="27" t="n"/>
      <c r="J273" s="27" t="n"/>
    </row>
    <row r="274">
      <c r="A274" t="inlineStr">
        <is>
          <t>PT10273</t>
        </is>
      </c>
      <c r="B274" t="n">
        <v>6463852</v>
      </c>
      <c r="C274" t="inlineStr">
        <is>
          <t>DUNCAN, ALBERT</t>
        </is>
      </c>
      <c r="D274" t="inlineStr">
        <is>
          <t>(555) 493-7512</t>
        </is>
      </c>
      <c r="E274" t="inlineStr">
        <is>
          <t>albert.duncan63@example.com</t>
        </is>
      </c>
      <c r="G274" s="27" t="n"/>
      <c r="H274" s="27" t="n"/>
      <c r="I274" s="27" t="n"/>
      <c r="J274" s="27" t="n"/>
    </row>
    <row r="275">
      <c r="A275" t="inlineStr">
        <is>
          <t>PT10274</t>
        </is>
      </c>
      <c r="B275" t="n">
        <v>7280278</v>
      </c>
      <c r="C275" t="inlineStr">
        <is>
          <t>stewart, matthew</t>
        </is>
      </c>
      <c r="D275" t="inlineStr">
        <is>
          <t>(555) 596-2524</t>
        </is>
      </c>
      <c r="G275" s="27" t="n"/>
      <c r="H275" s="27" t="n"/>
      <c r="I275" s="27" t="n"/>
      <c r="J275" s="27" t="n"/>
    </row>
    <row r="276">
      <c r="A276" t="inlineStr">
        <is>
          <t>PT10275</t>
        </is>
      </c>
      <c r="B276" t="n">
        <v>1217740</v>
      </c>
      <c r="C276" t="inlineStr">
        <is>
          <t>James,  Julie</t>
        </is>
      </c>
      <c r="D276" t="inlineStr">
        <is>
          <t>(555) 250-0296</t>
        </is>
      </c>
      <c r="E276" t="inlineStr">
        <is>
          <t>julie.james10@example.com</t>
        </is>
      </c>
      <c r="G276" s="27" t="n"/>
      <c r="H276" s="27" t="n"/>
      <c r="I276" s="27" t="n"/>
      <c r="J276" s="27" t="n"/>
    </row>
    <row r="277">
      <c r="A277" t="inlineStr">
        <is>
          <t>PT10276</t>
        </is>
      </c>
      <c r="B277" t="n">
        <v>7580404</v>
      </c>
      <c r="C277" t="inlineStr">
        <is>
          <t xml:space="preserve">WARREN, Alexis  </t>
        </is>
      </c>
      <c r="D277" t="inlineStr">
        <is>
          <t>(555) 514-5379</t>
        </is>
      </c>
      <c r="E277" t="inlineStr">
        <is>
          <t>alexis.warren94@example.com</t>
        </is>
      </c>
      <c r="F277" t="inlineStr">
        <is>
          <t>DM;ETOH</t>
        </is>
      </c>
      <c r="G277" s="27" t="n"/>
      <c r="H277" s="27" t="n"/>
      <c r="I277" s="27" t="n"/>
      <c r="J277" s="27" t="n"/>
    </row>
    <row r="278">
      <c r="A278" t="inlineStr">
        <is>
          <t>PT10277</t>
        </is>
      </c>
      <c r="B278" t="n">
        <v>1519894</v>
      </c>
      <c r="C278" t="inlineStr">
        <is>
          <t>Kennedy, Madison</t>
        </is>
      </c>
      <c r="D278" t="inlineStr">
        <is>
          <t>(555) 781-5289</t>
        </is>
      </c>
      <c r="E278" t="inlineStr">
        <is>
          <t>madison.kennedy10@example.com</t>
        </is>
      </c>
      <c r="F278" t="inlineStr">
        <is>
          <t>HTN</t>
        </is>
      </c>
      <c r="G278" s="27" t="n"/>
      <c r="H278" s="27" t="n"/>
      <c r="I278" s="27" t="n"/>
      <c r="J278" s="27" t="n"/>
    </row>
    <row r="279">
      <c r="A279" t="inlineStr">
        <is>
          <t>PT10278</t>
        </is>
      </c>
      <c r="B279" t="n">
        <v>450585</v>
      </c>
      <c r="C279" t="inlineStr">
        <is>
          <t>WEAVER, MICHAEL</t>
        </is>
      </c>
      <c r="D279" t="inlineStr">
        <is>
          <t>(555) 989-8673</t>
        </is>
      </c>
      <c r="G279" s="27" t="n"/>
      <c r="H279" s="27" t="n"/>
      <c r="I279" s="27" t="n"/>
      <c r="J279" s="27" t="n"/>
    </row>
    <row r="280">
      <c r="A280" t="inlineStr">
        <is>
          <t>PT10279</t>
        </is>
      </c>
      <c r="B280" t="n">
        <v>7701978</v>
      </c>
      <c r="C280" t="inlineStr">
        <is>
          <t>young, lisa</t>
        </is>
      </c>
      <c r="D280" t="inlineStr">
        <is>
          <t>(555) 527-7962</t>
        </is>
      </c>
      <c r="G280" s="27" t="n"/>
      <c r="H280" s="27" t="n"/>
      <c r="I280" s="27" t="n"/>
      <c r="J280" s="27" t="n"/>
    </row>
    <row r="281">
      <c r="A281" t="inlineStr">
        <is>
          <t>PT10280</t>
        </is>
      </c>
      <c r="B281" t="n">
        <v>2758864</v>
      </c>
      <c r="C281" t="inlineStr">
        <is>
          <t xml:space="preserve"> Lee, Joan</t>
        </is>
      </c>
      <c r="D281" t="inlineStr">
        <is>
          <t>(555) 731-2249</t>
        </is>
      </c>
      <c r="E281" t="inlineStr">
        <is>
          <t>joan.lee32@example.com</t>
        </is>
      </c>
      <c r="F281" t="inlineStr">
        <is>
          <t>ETOH</t>
        </is>
      </c>
      <c r="G281" s="27" t="n"/>
      <c r="H281" s="27" t="n"/>
      <c r="I281" s="27" t="n"/>
      <c r="J281" s="27" t="n"/>
    </row>
    <row r="282">
      <c r="A282" t="inlineStr">
        <is>
          <t>PT10281</t>
        </is>
      </c>
      <c r="B282" t="n">
        <v>7174733</v>
      </c>
      <c r="C282" t="inlineStr">
        <is>
          <t>LOPEZ, James</t>
        </is>
      </c>
      <c r="D282" t="inlineStr">
        <is>
          <t>(555) 437-5639</t>
        </is>
      </c>
      <c r="F282" t="inlineStr">
        <is>
          <t>PSYCH</t>
        </is>
      </c>
      <c r="G282" s="27" t="n"/>
      <c r="H282" s="27" t="n"/>
      <c r="I282" s="27" t="n"/>
      <c r="J282" s="27" t="n"/>
    </row>
    <row r="283">
      <c r="A283" t="inlineStr">
        <is>
          <t>PT10282</t>
        </is>
      </c>
      <c r="B283" t="n">
        <v>602770</v>
      </c>
      <c r="C283" t="inlineStr">
        <is>
          <t>Harrison, Ahmed</t>
        </is>
      </c>
      <c r="D283" t="inlineStr">
        <is>
          <t>(555) 955-5539</t>
        </is>
      </c>
      <c r="G283" s="27" t="n"/>
      <c r="H283" s="27" t="n"/>
      <c r="I283" s="27" t="n"/>
      <c r="J283" s="27" t="n"/>
    </row>
    <row r="284">
      <c r="A284" t="inlineStr">
        <is>
          <t>PT10283</t>
        </is>
      </c>
      <c r="B284" t="n">
        <v>5340359</v>
      </c>
      <c r="C284" t="inlineStr">
        <is>
          <t>GARDNER,AMY</t>
        </is>
      </c>
      <c r="D284" t="inlineStr">
        <is>
          <t>(555) 497-0429</t>
        </is>
      </c>
      <c r="E284" t="inlineStr">
        <is>
          <t>amy.gardner71@example.com</t>
        </is>
      </c>
      <c r="F284" t="inlineStr">
        <is>
          <t>HTN</t>
        </is>
      </c>
      <c r="G284" s="27" t="n"/>
      <c r="H284" s="27" t="n"/>
      <c r="I284" s="27" t="n"/>
      <c r="J284" s="27" t="n"/>
    </row>
    <row r="285">
      <c r="A285" t="inlineStr">
        <is>
          <t>PT10284</t>
        </is>
      </c>
      <c r="B285" t="n">
        <v>7961173</v>
      </c>
      <c r="C285" t="inlineStr">
        <is>
          <t xml:space="preserve">sullivan,  alexis  </t>
        </is>
      </c>
      <c r="D285" t="inlineStr">
        <is>
          <t>(555) 355-2677</t>
        </is>
      </c>
      <c r="E285" t="inlineStr">
        <is>
          <t>alexis.sullivan25@example.com</t>
        </is>
      </c>
      <c r="F285" t="inlineStr">
        <is>
          <t>DM</t>
        </is>
      </c>
      <c r="G285" s="27" t="n"/>
      <c r="H285" s="27" t="n"/>
      <c r="I285" s="27" t="n"/>
      <c r="J285" s="27" t="n"/>
    </row>
    <row r="286">
      <c r="A286" t="inlineStr">
        <is>
          <t>PT10285</t>
        </is>
      </c>
      <c r="B286" t="n">
        <v>2743488</v>
      </c>
      <c r="C286" t="inlineStr">
        <is>
          <t>Diaz, Dorothy</t>
        </is>
      </c>
      <c r="D286" t="inlineStr">
        <is>
          <t>(555) 586-5719</t>
        </is>
      </c>
      <c r="E286" t="inlineStr">
        <is>
          <t>dorothy.diaz31@example.com</t>
        </is>
      </c>
      <c r="F286" t="inlineStr">
        <is>
          <t>CKD;ASTHMA</t>
        </is>
      </c>
      <c r="G286" s="27" t="n"/>
      <c r="H286" s="27" t="n"/>
      <c r="I286" s="27" t="n"/>
      <c r="J286" s="27" t="n"/>
    </row>
    <row r="287">
      <c r="A287" t="inlineStr">
        <is>
          <t>PT10286</t>
        </is>
      </c>
      <c r="B287" t="n">
        <v>6088733</v>
      </c>
      <c r="C287" t="inlineStr">
        <is>
          <t>PHILLIPS, Linh</t>
        </is>
      </c>
      <c r="D287" t="inlineStr">
        <is>
          <t>(555) 611-9389</t>
        </is>
      </c>
      <c r="G287" s="27" t="n"/>
      <c r="H287" s="27" t="n"/>
      <c r="I287" s="27" t="n"/>
      <c r="J287" s="27" t="n"/>
    </row>
    <row r="288">
      <c r="A288" t="inlineStr">
        <is>
          <t>PT10287</t>
        </is>
      </c>
      <c r="B288" t="n">
        <v>1903151</v>
      </c>
      <c r="C288" t="inlineStr">
        <is>
          <t>Hansen, Jean</t>
        </is>
      </c>
      <c r="D288" t="inlineStr">
        <is>
          <t>(555) 420-1275</t>
        </is>
      </c>
      <c r="E288" t="inlineStr">
        <is>
          <t>jean.hansen9@example.com</t>
        </is>
      </c>
      <c r="F288" t="inlineStr">
        <is>
          <t>PSYCH</t>
        </is>
      </c>
      <c r="G288" s="27" t="n"/>
      <c r="H288" s="27" t="n"/>
      <c r="I288" s="27" t="n"/>
      <c r="J288" s="27" t="n"/>
    </row>
    <row r="289">
      <c r="A289" t="inlineStr">
        <is>
          <t>PT10288</t>
        </is>
      </c>
      <c r="B289" t="n">
        <v>2406591</v>
      </c>
      <c r="C289" t="inlineStr">
        <is>
          <t>DANIELS, DIANE</t>
        </is>
      </c>
      <c r="D289" t="inlineStr">
        <is>
          <t>(555) 820-1143</t>
        </is>
      </c>
      <c r="G289" s="27" t="n"/>
      <c r="H289" s="27" t="n"/>
      <c r="I289" s="27" t="n"/>
      <c r="J289" s="27" t="n"/>
    </row>
    <row r="290">
      <c r="A290" t="inlineStr">
        <is>
          <t>PT10289</t>
        </is>
      </c>
      <c r="B290" t="n">
        <v>4987955</v>
      </c>
      <c r="C290" t="inlineStr">
        <is>
          <t>willis, evelyn</t>
        </is>
      </c>
      <c r="D290" t="inlineStr">
        <is>
          <t>(555) 553-6445</t>
        </is>
      </c>
      <c r="G290" s="27" t="n"/>
      <c r="H290" s="27" t="n"/>
      <c r="I290" s="27" t="n"/>
      <c r="J290" s="27" t="n"/>
    </row>
    <row r="291">
      <c r="A291" t="inlineStr">
        <is>
          <t>PT10290</t>
        </is>
      </c>
      <c r="B291" t="n">
        <v>6288542</v>
      </c>
      <c r="C291" t="inlineStr">
        <is>
          <t>Campbell, Lawrence</t>
        </is>
      </c>
      <c r="D291" t="inlineStr">
        <is>
          <t>(555) 462-5228</t>
        </is>
      </c>
      <c r="F291" t="inlineStr">
        <is>
          <t>HTN</t>
        </is>
      </c>
      <c r="G291" s="27" t="n"/>
      <c r="H291" s="27" t="n"/>
      <c r="I291" s="27" t="n"/>
      <c r="J291" s="27" t="n"/>
    </row>
    <row r="292">
      <c r="A292" t="inlineStr">
        <is>
          <t>PT10291</t>
        </is>
      </c>
      <c r="B292" t="n">
        <v>4475827</v>
      </c>
      <c r="C292" t="inlineStr">
        <is>
          <t>CAMPBELL, Elizabeth</t>
        </is>
      </c>
      <c r="D292" t="inlineStr">
        <is>
          <t>(555) 486-9663</t>
        </is>
      </c>
      <c r="E292" t="inlineStr">
        <is>
          <t>elizabeth.campbell47@example.com</t>
        </is>
      </c>
      <c r="G292" s="27" t="n"/>
      <c r="H292" s="27" t="n"/>
      <c r="I292" s="27" t="n"/>
      <c r="J292" s="27" t="n"/>
    </row>
    <row r="293">
      <c r="A293" t="inlineStr">
        <is>
          <t>PT10292</t>
        </is>
      </c>
      <c r="B293" t="n">
        <v>3781965</v>
      </c>
      <c r="C293" t="inlineStr">
        <is>
          <t xml:space="preserve">Santos, Betty  </t>
        </is>
      </c>
      <c r="D293" t="inlineStr">
        <is>
          <t>(555) 527-6275</t>
        </is>
      </c>
      <c r="E293" t="inlineStr">
        <is>
          <t>betty.santos23@example.com</t>
        </is>
      </c>
      <c r="G293" s="27" t="n"/>
      <c r="H293" s="27" t="n"/>
      <c r="I293" s="27" t="n"/>
      <c r="J293" s="27" t="n"/>
    </row>
    <row r="294">
      <c r="A294" t="inlineStr">
        <is>
          <t>PT10293</t>
        </is>
      </c>
      <c r="B294" t="n">
        <v>2758080</v>
      </c>
      <c r="C294" t="inlineStr">
        <is>
          <t xml:space="preserve"> MCDONALD,  VIRGINIA</t>
        </is>
      </c>
      <c r="D294" t="inlineStr">
        <is>
          <t>(555) 538-1027</t>
        </is>
      </c>
      <c r="E294" t="inlineStr">
        <is>
          <t>virginia.mcdonald84@example.com</t>
        </is>
      </c>
      <c r="F294" t="inlineStr">
        <is>
          <t>DM</t>
        </is>
      </c>
      <c r="G294" s="27" t="n"/>
      <c r="H294" s="27" t="n"/>
      <c r="I294" s="27" t="n"/>
      <c r="J294" s="27" t="n"/>
    </row>
    <row r="295">
      <c r="A295" t="inlineStr">
        <is>
          <t>PT10294</t>
        </is>
      </c>
      <c r="B295" t="n">
        <v>7745714</v>
      </c>
      <c r="C295" t="inlineStr">
        <is>
          <t>gardner,carlos</t>
        </is>
      </c>
      <c r="D295" t="inlineStr">
        <is>
          <t>(555) 591-3884</t>
        </is>
      </c>
      <c r="G295" s="27" t="n"/>
      <c r="H295" s="27" t="n"/>
      <c r="I295" s="27" t="n"/>
      <c r="J295" s="27" t="n"/>
    </row>
    <row r="296">
      <c r="A296" t="inlineStr">
        <is>
          <t>PT10295</t>
        </is>
      </c>
      <c r="B296" t="n">
        <v>4673937</v>
      </c>
      <c r="C296" t="inlineStr">
        <is>
          <t>James, Barbara</t>
        </is>
      </c>
      <c r="D296" t="inlineStr">
        <is>
          <t>(555) 901-7201</t>
        </is>
      </c>
      <c r="E296" t="inlineStr">
        <is>
          <t>barbara.james4@example.com</t>
        </is>
      </c>
      <c r="F296" t="inlineStr">
        <is>
          <t>DM</t>
        </is>
      </c>
      <c r="G296" s="27" t="n"/>
      <c r="H296" s="27" t="n"/>
      <c r="I296" s="27" t="n"/>
      <c r="J296" s="27" t="n"/>
    </row>
    <row r="297">
      <c r="A297" t="inlineStr">
        <is>
          <t>PT10296</t>
        </is>
      </c>
      <c r="B297" t="n">
        <v>6090552</v>
      </c>
      <c r="C297" t="inlineStr">
        <is>
          <t>ANDREWS, Madison</t>
        </is>
      </c>
      <c r="D297" t="inlineStr">
        <is>
          <t>(555) 895-9192</t>
        </is>
      </c>
      <c r="G297" s="27" t="n"/>
      <c r="H297" s="27" t="n"/>
      <c r="I297" s="27" t="n"/>
      <c r="J297" s="27" t="n"/>
    </row>
    <row r="298">
      <c r="A298" t="inlineStr">
        <is>
          <t>PT10297</t>
        </is>
      </c>
      <c r="B298" t="n">
        <v>5831264</v>
      </c>
      <c r="C298" t="inlineStr">
        <is>
          <t>Armstrong, Beverly</t>
        </is>
      </c>
      <c r="D298" t="inlineStr">
        <is>
          <t>(555) 566-9399</t>
        </is>
      </c>
      <c r="E298" t="inlineStr">
        <is>
          <t>beverly.armstrong76@example.com</t>
        </is>
      </c>
      <c r="F298" t="inlineStr">
        <is>
          <t>HTN;COPD</t>
        </is>
      </c>
      <c r="G298" s="27" t="n"/>
      <c r="H298" s="27" t="n"/>
      <c r="I298" s="27" t="n"/>
      <c r="J298" s="27" t="n"/>
    </row>
    <row r="299">
      <c r="A299" t="inlineStr">
        <is>
          <t>PT10298</t>
        </is>
      </c>
      <c r="B299" t="n">
        <v>2581409</v>
      </c>
      <c r="C299" t="inlineStr">
        <is>
          <t>CHAVEZ, SUSAN</t>
        </is>
      </c>
      <c r="D299" t="inlineStr">
        <is>
          <t>(555) 578-9845</t>
        </is>
      </c>
      <c r="E299" t="inlineStr">
        <is>
          <t>susan.chavez24@example.com</t>
        </is>
      </c>
      <c r="F299" t="inlineStr">
        <is>
          <t>HTN</t>
        </is>
      </c>
      <c r="G299" s="27" t="n"/>
      <c r="H299" s="27" t="n"/>
      <c r="I299" s="27" t="n"/>
      <c r="J299" s="27" t="n"/>
    </row>
    <row r="300">
      <c r="A300" t="inlineStr">
        <is>
          <t>PT10299</t>
        </is>
      </c>
      <c r="B300" t="n">
        <v>30828</v>
      </c>
      <c r="C300" t="inlineStr">
        <is>
          <t>simpson, leila</t>
        </is>
      </c>
      <c r="D300" t="inlineStr">
        <is>
          <t>(555) 455-3938</t>
        </is>
      </c>
      <c r="E300" t="inlineStr">
        <is>
          <t>leila.simpson41@example.com</t>
        </is>
      </c>
      <c r="F300" t="inlineStr">
        <is>
          <t>DM</t>
        </is>
      </c>
      <c r="G300" s="27" t="n"/>
      <c r="H300" s="27" t="n"/>
      <c r="I300" s="27" t="n"/>
      <c r="J300" s="27" t="n"/>
    </row>
    <row r="301">
      <c r="A301" t="inlineStr">
        <is>
          <t>PT10300</t>
        </is>
      </c>
      <c r="B301" t="n">
        <v>9849286</v>
      </c>
      <c r="C301" t="inlineStr">
        <is>
          <t xml:space="preserve">Campbell, Virginia  </t>
        </is>
      </c>
      <c r="D301" t="inlineStr">
        <is>
          <t>(555) 455-0735</t>
        </is>
      </c>
      <c r="E301" t="inlineStr">
        <is>
          <t>virginia.campbell86@example.com</t>
        </is>
      </c>
      <c r="G301" s="27" t="n"/>
      <c r="H301" s="27" t="n"/>
      <c r="I301" s="27" t="n"/>
      <c r="J301" s="27" t="n"/>
    </row>
    <row r="302">
      <c r="A302" t="inlineStr">
        <is>
          <t>PT10301</t>
        </is>
      </c>
      <c r="B302" t="n">
        <v>8793396</v>
      </c>
      <c r="C302" t="inlineStr">
        <is>
          <t>PENA, Fatima</t>
        </is>
      </c>
      <c r="D302" t="inlineStr">
        <is>
          <t>(555) 657-7520</t>
        </is>
      </c>
      <c r="F302" t="inlineStr">
        <is>
          <t>HTN</t>
        </is>
      </c>
      <c r="G302" s="27" t="n"/>
      <c r="H302" s="27" t="n"/>
      <c r="I302" s="27" t="n"/>
      <c r="J302" s="27" t="n"/>
    </row>
    <row r="303">
      <c r="A303" t="inlineStr">
        <is>
          <t>PT10302</t>
        </is>
      </c>
      <c r="B303" t="n">
        <v>4602138</v>
      </c>
      <c r="C303" t="inlineStr">
        <is>
          <t>Green,  Grace</t>
        </is>
      </c>
      <c r="D303" t="inlineStr">
        <is>
          <t>(555) 947-4357</t>
        </is>
      </c>
      <c r="E303" t="inlineStr">
        <is>
          <t>grace.green73@example.com</t>
        </is>
      </c>
      <c r="G303" s="27" t="n"/>
      <c r="H303" s="27" t="n"/>
      <c r="I303" s="27" t="n"/>
      <c r="J303" s="27" t="n"/>
    </row>
    <row r="304">
      <c r="A304" t="inlineStr">
        <is>
          <t>PT10303</t>
        </is>
      </c>
      <c r="B304" t="n">
        <v>5003613</v>
      </c>
      <c r="C304" t="inlineStr">
        <is>
          <t>RAMOS, SARA</t>
        </is>
      </c>
      <c r="D304" t="inlineStr">
        <is>
          <t>(555) 875-0267</t>
        </is>
      </c>
      <c r="F304" t="inlineStr">
        <is>
          <t>HTN</t>
        </is>
      </c>
      <c r="G304" s="27" t="n"/>
      <c r="H304" s="27" t="n"/>
      <c r="I304" s="27" t="n"/>
      <c r="J304" s="27" t="n"/>
    </row>
    <row r="305">
      <c r="A305" t="inlineStr">
        <is>
          <t>PT10304</t>
        </is>
      </c>
      <c r="B305" t="n">
        <v>49359</v>
      </c>
      <c r="C305" t="inlineStr">
        <is>
          <t>richards, robert</t>
        </is>
      </c>
      <c r="D305" t="inlineStr">
        <is>
          <t>(555) 559-8984</t>
        </is>
      </c>
      <c r="E305" t="inlineStr">
        <is>
          <t>robert.richards78@example.com</t>
        </is>
      </c>
      <c r="F305" t="inlineStr">
        <is>
          <t>HTN</t>
        </is>
      </c>
      <c r="G305" s="27" t="n"/>
      <c r="H305" s="27" t="n"/>
      <c r="I305" s="27" t="n"/>
      <c r="J305" s="27" t="n"/>
    </row>
    <row r="306">
      <c r="A306" t="inlineStr">
        <is>
          <t>PT10305</t>
        </is>
      </c>
      <c r="B306" t="n">
        <v>2457555</v>
      </c>
      <c r="C306" t="inlineStr">
        <is>
          <t>Sanchez,Carlos</t>
        </is>
      </c>
      <c r="D306" t="inlineStr">
        <is>
          <t>(555) 710-0781</t>
        </is>
      </c>
      <c r="E306" t="inlineStr">
        <is>
          <t>carlos.sanchez84@example.com</t>
        </is>
      </c>
      <c r="G306" s="27" t="n"/>
      <c r="H306" s="27" t="n"/>
      <c r="I306" s="27" t="n"/>
      <c r="J306" s="27" t="n"/>
    </row>
    <row r="307">
      <c r="A307" t="inlineStr">
        <is>
          <t>PT10306</t>
        </is>
      </c>
      <c r="B307" t="n">
        <v>4823186</v>
      </c>
      <c r="C307" t="inlineStr">
        <is>
          <t xml:space="preserve"> LONG, Alice</t>
        </is>
      </c>
      <c r="D307" t="inlineStr">
        <is>
          <t>(555) 379-8167</t>
        </is>
      </c>
      <c r="F307" t="inlineStr">
        <is>
          <t>PSYCH</t>
        </is>
      </c>
      <c r="G307" s="27" t="n"/>
      <c r="H307" s="27" t="n"/>
      <c r="I307" s="27" t="n"/>
      <c r="J307" s="27" t="n"/>
    </row>
    <row r="308">
      <c r="A308" t="inlineStr">
        <is>
          <t>PT10307</t>
        </is>
      </c>
      <c r="B308" t="n">
        <v>8286290</v>
      </c>
      <c r="C308" t="inlineStr">
        <is>
          <t>Marshall, Andrea</t>
        </is>
      </c>
      <c r="D308" t="inlineStr">
        <is>
          <t>(555) 258-8124</t>
        </is>
      </c>
      <c r="F308" t="inlineStr">
        <is>
          <t>HTN;COPD;OA</t>
        </is>
      </c>
      <c r="G308" s="27" t="n"/>
      <c r="H308" s="27" t="n"/>
      <c r="I308" s="27" t="n"/>
      <c r="J308" s="27" t="n"/>
    </row>
    <row r="309">
      <c r="A309" t="inlineStr">
        <is>
          <t>PT10308</t>
        </is>
      </c>
      <c r="B309" t="n">
        <v>2217215</v>
      </c>
      <c r="C309" t="inlineStr">
        <is>
          <t xml:space="preserve">CHAVEZ, GRACE  </t>
        </is>
      </c>
      <c r="D309" t="inlineStr">
        <is>
          <t>(555) 682-5793</t>
        </is>
      </c>
      <c r="E309" t="inlineStr">
        <is>
          <t>grace.chavez22@example.com</t>
        </is>
      </c>
      <c r="G309" s="27" t="n"/>
      <c r="H309" s="27" t="n"/>
      <c r="I309" s="27" t="n"/>
      <c r="J309" s="27" t="n"/>
    </row>
    <row r="310">
      <c r="A310" t="inlineStr">
        <is>
          <t>PT10309</t>
        </is>
      </c>
      <c r="B310" t="n">
        <v>8803845</v>
      </c>
      <c r="C310" t="inlineStr">
        <is>
          <t>spencer, douglas</t>
        </is>
      </c>
      <c r="D310" t="inlineStr">
        <is>
          <t>(555) 541-9357</t>
        </is>
      </c>
      <c r="E310" t="inlineStr">
        <is>
          <t>douglas.spencer36@example.com</t>
        </is>
      </c>
      <c r="G310" s="27" t="n"/>
      <c r="H310" s="27" t="n"/>
      <c r="I310" s="27" t="n"/>
      <c r="J310" s="27" t="n"/>
    </row>
    <row r="311">
      <c r="A311" t="inlineStr">
        <is>
          <t>PT10310</t>
        </is>
      </c>
      <c r="B311" t="n">
        <v>2605996</v>
      </c>
      <c r="C311" t="inlineStr">
        <is>
          <t>Kelly, Wei</t>
        </is>
      </c>
      <c r="D311" t="inlineStr">
        <is>
          <t>(555) 279-7652</t>
        </is>
      </c>
      <c r="G311" s="27" t="n"/>
      <c r="H311" s="27" t="n"/>
      <c r="I311" s="27" t="n"/>
      <c r="J311" s="27" t="n"/>
    </row>
    <row r="312">
      <c r="A312" t="inlineStr">
        <is>
          <t>PT10311</t>
        </is>
      </c>
      <c r="B312" t="n">
        <v>621699</v>
      </c>
      <c r="C312" t="inlineStr">
        <is>
          <t>WEAVER,  Elizabeth</t>
        </is>
      </c>
      <c r="D312" t="inlineStr">
        <is>
          <t>(555) 319-2431</t>
        </is>
      </c>
      <c r="E312" t="inlineStr">
        <is>
          <t>elizabeth.weaver84@example.com</t>
        </is>
      </c>
      <c r="G312" s="27" t="n"/>
      <c r="H312" s="27" t="n"/>
      <c r="I312" s="27" t="n"/>
      <c r="J312" s="27" t="n"/>
    </row>
    <row r="313">
      <c r="A313" t="inlineStr">
        <is>
          <t>PT10312</t>
        </is>
      </c>
      <c r="B313" t="n">
        <v>6265337</v>
      </c>
      <c r="C313" t="inlineStr">
        <is>
          <t>Davis, Jean</t>
        </is>
      </c>
      <c r="D313" t="inlineStr">
        <is>
          <t>(555) 692-3169</t>
        </is>
      </c>
      <c r="G313" s="27" t="n"/>
      <c r="H313" s="27" t="n"/>
      <c r="I313" s="27" t="n"/>
      <c r="J313" s="27" t="n"/>
    </row>
    <row r="314">
      <c r="A314" t="inlineStr">
        <is>
          <t>PT10313</t>
        </is>
      </c>
      <c r="B314" t="n">
        <v>8202657</v>
      </c>
      <c r="C314" t="inlineStr">
        <is>
          <t>CONTRERAS, MARILYN</t>
        </is>
      </c>
      <c r="D314" t="inlineStr">
        <is>
          <t>(555) 562-9374</t>
        </is>
      </c>
      <c r="G314" s="27" t="n"/>
      <c r="H314" s="27" t="n"/>
      <c r="I314" s="27" t="n"/>
      <c r="J314" s="27" t="n"/>
    </row>
    <row r="315">
      <c r="A315" t="inlineStr">
        <is>
          <t>PT10314</t>
        </is>
      </c>
      <c r="B315" t="n">
        <v>6336991</v>
      </c>
      <c r="C315" t="inlineStr">
        <is>
          <t>moreno, emma</t>
        </is>
      </c>
      <c r="D315" t="inlineStr">
        <is>
          <t>(555) 516-1335</t>
        </is>
      </c>
      <c r="E315" t="inlineStr">
        <is>
          <t>emma.moreno83@example.com</t>
        </is>
      </c>
      <c r="F315" t="inlineStr">
        <is>
          <t>HTN</t>
        </is>
      </c>
      <c r="G315" s="27" t="n"/>
      <c r="H315" s="27" t="n"/>
      <c r="I315" s="27" t="n"/>
      <c r="J315" s="27" t="n"/>
    </row>
    <row r="316">
      <c r="A316" t="inlineStr">
        <is>
          <t>PT10315</t>
        </is>
      </c>
      <c r="B316" t="n">
        <v>46977</v>
      </c>
      <c r="C316" t="inlineStr">
        <is>
          <t>Andrews, Amber</t>
        </is>
      </c>
      <c r="D316" t="inlineStr">
        <is>
          <t>(555) 634-4324</t>
        </is>
      </c>
      <c r="G316" s="27" t="n"/>
      <c r="H316" s="27" t="n"/>
      <c r="I316" s="27" t="n"/>
      <c r="J316" s="27" t="n"/>
    </row>
    <row r="317">
      <c r="A317" t="inlineStr">
        <is>
          <t>PT10316</t>
        </is>
      </c>
      <c r="B317" t="n">
        <v>8526555</v>
      </c>
      <c r="C317" t="inlineStr">
        <is>
          <t xml:space="preserve">CAMPBELL,Lucas  </t>
        </is>
      </c>
      <c r="D317" t="inlineStr">
        <is>
          <t>(555) 677-1681</t>
        </is>
      </c>
      <c r="E317" t="inlineStr">
        <is>
          <t>lucas.campbell27@example.com</t>
        </is>
      </c>
      <c r="G317" s="27" t="n"/>
      <c r="H317" s="27" t="n"/>
      <c r="I317" s="27" t="n"/>
      <c r="J317" s="27" t="n"/>
    </row>
    <row r="318">
      <c r="A318" t="inlineStr">
        <is>
          <t>PT10317</t>
        </is>
      </c>
      <c r="B318" t="n">
        <v>2695628</v>
      </c>
      <c r="C318" t="inlineStr">
        <is>
          <t>Johnson, Helen</t>
        </is>
      </c>
      <c r="D318" t="inlineStr">
        <is>
          <t>(555) 666-7948</t>
        </is>
      </c>
      <c r="E318" t="inlineStr">
        <is>
          <t>helen.johnson86@example.com</t>
        </is>
      </c>
      <c r="F318" t="inlineStr">
        <is>
          <t>DM;PSYCH</t>
        </is>
      </c>
      <c r="G318" s="27" t="n"/>
      <c r="H318" s="27" t="n"/>
      <c r="I318" s="27" t="n"/>
      <c r="J318" s="27" t="n"/>
    </row>
    <row r="319">
      <c r="A319" t="inlineStr">
        <is>
          <t>PT10318</t>
        </is>
      </c>
      <c r="B319" t="n">
        <v>7387038</v>
      </c>
      <c r="C319" t="inlineStr">
        <is>
          <t>SCHMIDT, NICOLE</t>
        </is>
      </c>
      <c r="D319" t="inlineStr">
        <is>
          <t>(555) 857-2054</t>
        </is>
      </c>
      <c r="E319" t="inlineStr">
        <is>
          <t>nicole.schmidt64@example.com</t>
        </is>
      </c>
      <c r="F319" t="inlineStr">
        <is>
          <t>DM</t>
        </is>
      </c>
      <c r="G319" s="27" t="n"/>
      <c r="H319" s="27" t="n"/>
      <c r="I319" s="27" t="n"/>
      <c r="J319" s="27" t="n"/>
    </row>
    <row r="320">
      <c r="A320" t="inlineStr">
        <is>
          <t>PT10319</t>
        </is>
      </c>
      <c r="B320" t="n">
        <v>8800568</v>
      </c>
      <c r="C320" t="inlineStr">
        <is>
          <t xml:space="preserve"> chavez, karen</t>
        </is>
      </c>
      <c r="D320" t="inlineStr">
        <is>
          <t>(555) 249-7450</t>
        </is>
      </c>
      <c r="E320" t="inlineStr">
        <is>
          <t>karen.chavez31@example.com</t>
        </is>
      </c>
      <c r="F320" t="inlineStr">
        <is>
          <t>HTN;DM;COPD;CANCER</t>
        </is>
      </c>
      <c r="G320" s="27" t="n"/>
      <c r="H320" s="27" t="n"/>
      <c r="I320" s="27" t="n"/>
      <c r="J320" s="27" t="n"/>
    </row>
    <row r="321">
      <c r="A321" t="inlineStr">
        <is>
          <t>PT10320</t>
        </is>
      </c>
      <c r="B321" t="n">
        <v>8733200</v>
      </c>
      <c r="C321" t="inlineStr">
        <is>
          <t>Simmons,  Elizabeth</t>
        </is>
      </c>
      <c r="D321" t="inlineStr">
        <is>
          <t>(555) 988-4808</t>
        </is>
      </c>
      <c r="E321" t="inlineStr">
        <is>
          <t>elizabeth.simmons87@example.com</t>
        </is>
      </c>
      <c r="F321" t="inlineStr">
        <is>
          <t>HTN;DM;PSYCH</t>
        </is>
      </c>
      <c r="G321" s="27" t="n"/>
      <c r="H321" s="27" t="n"/>
      <c r="I321" s="27" t="n"/>
      <c r="J321" s="27" t="n"/>
    </row>
    <row r="322">
      <c r="A322" t="inlineStr">
        <is>
          <t>PT10321</t>
        </is>
      </c>
      <c r="B322" t="n">
        <v>3558332</v>
      </c>
      <c r="C322" t="inlineStr">
        <is>
          <t>LOPEZ, Brenda</t>
        </is>
      </c>
      <c r="D322" t="inlineStr">
        <is>
          <t>(555) 653-2301</t>
        </is>
      </c>
      <c r="G322" s="27" t="n"/>
      <c r="H322" s="27" t="n"/>
      <c r="I322" s="27" t="n"/>
      <c r="J322" s="27" t="n"/>
    </row>
    <row r="323">
      <c r="A323" t="inlineStr">
        <is>
          <t>PT10322</t>
        </is>
      </c>
      <c r="B323" t="n">
        <v>9111456</v>
      </c>
      <c r="C323" t="inlineStr">
        <is>
          <t>Kennedy, Nicole</t>
        </is>
      </c>
      <c r="D323" t="inlineStr">
        <is>
          <t>(555) 608-6152</t>
        </is>
      </c>
      <c r="E323" t="inlineStr">
        <is>
          <t>nicole.kennedy11@example.com</t>
        </is>
      </c>
      <c r="F323" t="inlineStr">
        <is>
          <t>DM;HF;ASTHMA;CANCER</t>
        </is>
      </c>
      <c r="G323" s="27" t="n"/>
      <c r="H323" s="27" t="n"/>
      <c r="I323" s="27" t="n"/>
      <c r="J323" s="27" t="n"/>
    </row>
    <row r="324">
      <c r="A324" t="inlineStr">
        <is>
          <t>PT10323</t>
        </is>
      </c>
      <c r="B324" t="n">
        <v>2932229</v>
      </c>
      <c r="C324" t="inlineStr">
        <is>
          <t>DUNN, MARTHA</t>
        </is>
      </c>
      <c r="D324" t="inlineStr">
        <is>
          <t>(555) 614-5487</t>
        </is>
      </c>
      <c r="G324" s="27" t="n"/>
      <c r="H324" s="27" t="n"/>
      <c r="I324" s="27" t="n"/>
      <c r="J324" s="27" t="n"/>
    </row>
    <row r="325">
      <c r="A325" t="inlineStr">
        <is>
          <t>PT10324</t>
        </is>
      </c>
      <c r="B325" t="n">
        <v>7152988</v>
      </c>
      <c r="C325" t="inlineStr">
        <is>
          <t xml:space="preserve">silva, margaret  </t>
        </is>
      </c>
      <c r="D325" t="inlineStr">
        <is>
          <t>(555) 386-4183</t>
        </is>
      </c>
      <c r="G325" s="27" t="n"/>
      <c r="H325" s="27" t="n"/>
      <c r="I325" s="27" t="n"/>
      <c r="J325" s="27" t="n"/>
    </row>
    <row r="326">
      <c r="A326" t="inlineStr">
        <is>
          <t>PT10325</t>
        </is>
      </c>
      <c r="B326" t="n">
        <v>3331295</v>
      </c>
      <c r="C326" t="inlineStr">
        <is>
          <t xml:space="preserve">o'brien,hannah  </t>
        </is>
      </c>
      <c r="D326" t="inlineStr">
        <is>
          <t>(555) 404-2678</t>
        </is>
      </c>
      <c r="E326" t="inlineStr">
        <is>
          <t>hannah.obrien46@example.com</t>
        </is>
      </c>
      <c r="F326" t="inlineStr">
        <is>
          <t>HTN</t>
        </is>
      </c>
      <c r="G326" s="27" t="n"/>
      <c r="H326" s="27" t="n"/>
      <c r="I326" s="27" t="n"/>
      <c r="J326" s="27" t="n"/>
    </row>
    <row r="327">
      <c r="A327" t="inlineStr">
        <is>
          <t>PT10326</t>
        </is>
      </c>
      <c r="B327" t="n">
        <v>3035082</v>
      </c>
      <c r="C327" t="inlineStr">
        <is>
          <t>WILLIS, Sharon</t>
        </is>
      </c>
      <c r="D327" t="inlineStr">
        <is>
          <t>(555) 239-0815</t>
        </is>
      </c>
      <c r="G327" s="27" t="n"/>
      <c r="H327" s="27" t="n"/>
      <c r="I327" s="27" t="n"/>
      <c r="J327" s="27" t="n"/>
    </row>
    <row r="328">
      <c r="A328" t="inlineStr">
        <is>
          <t>PT10327</t>
        </is>
      </c>
      <c r="B328" t="n">
        <v>6898873</v>
      </c>
      <c r="C328" t="inlineStr">
        <is>
          <t>Rose,Lisa</t>
        </is>
      </c>
      <c r="D328" t="inlineStr">
        <is>
          <t>(555) 828-8940</t>
        </is>
      </c>
      <c r="E328" t="inlineStr">
        <is>
          <t>lisa.rose47@example.com</t>
        </is>
      </c>
      <c r="F328" t="inlineStr">
        <is>
          <t>HTN;HF</t>
        </is>
      </c>
      <c r="G328" s="27" t="n"/>
      <c r="H328" s="27" t="n"/>
      <c r="I328" s="27" t="n"/>
      <c r="J328" s="27" t="n"/>
    </row>
    <row r="329">
      <c r="A329" t="inlineStr">
        <is>
          <t>PT10328</t>
        </is>
      </c>
      <c r="B329" t="n">
        <v>893002</v>
      </c>
      <c r="C329" t="inlineStr">
        <is>
          <t>ELLIOTT, HELEN</t>
        </is>
      </c>
      <c r="D329" t="inlineStr">
        <is>
          <t>(555) 834-3931</t>
        </is>
      </c>
      <c r="E329" t="inlineStr">
        <is>
          <t>helen.elliott87@example.com</t>
        </is>
      </c>
      <c r="F329" t="inlineStr">
        <is>
          <t>DM</t>
        </is>
      </c>
      <c r="G329" s="27" t="n"/>
      <c r="H329" s="27" t="n"/>
      <c r="I329" s="27" t="n"/>
      <c r="J329" s="27" t="n"/>
    </row>
    <row r="330">
      <c r="A330" t="inlineStr">
        <is>
          <t>PT10329</t>
        </is>
      </c>
      <c r="B330" t="n">
        <v>5547556</v>
      </c>
      <c r="C330" t="inlineStr">
        <is>
          <t>ford,  gloria</t>
        </is>
      </c>
      <c r="D330" t="inlineStr">
        <is>
          <t>(555) 389-4675</t>
        </is>
      </c>
      <c r="F330" t="inlineStr">
        <is>
          <t>HTN</t>
        </is>
      </c>
      <c r="G330" s="27" t="n"/>
      <c r="H330" s="27" t="n"/>
      <c r="I330" s="27" t="n"/>
      <c r="J330" s="27" t="n"/>
    </row>
    <row r="331">
      <c r="A331" t="inlineStr">
        <is>
          <t>PT10330</t>
        </is>
      </c>
      <c r="B331" t="n">
        <v>881367</v>
      </c>
      <c r="C331" t="inlineStr">
        <is>
          <t>Duncan, Amy</t>
        </is>
      </c>
      <c r="D331" t="inlineStr">
        <is>
          <t>(555) 435-1119</t>
        </is>
      </c>
      <c r="E331" t="inlineStr">
        <is>
          <t>amy.duncan52@example.com</t>
        </is>
      </c>
      <c r="G331" s="27" t="n"/>
      <c r="H331" s="27" t="n"/>
      <c r="I331" s="27" t="n"/>
      <c r="J331" s="27" t="n"/>
    </row>
    <row r="332">
      <c r="A332" t="inlineStr">
        <is>
          <t>PT10331</t>
        </is>
      </c>
      <c r="B332" t="n">
        <v>1715298</v>
      </c>
      <c r="C332" t="inlineStr">
        <is>
          <t xml:space="preserve">WEBB, Olivia </t>
        </is>
      </c>
      <c r="D332" t="inlineStr">
        <is>
          <t>(555) 800-9787</t>
        </is>
      </c>
      <c r="E332" t="inlineStr">
        <is>
          <t>olivia.webb19@example.com</t>
        </is>
      </c>
      <c r="F332" t="inlineStr">
        <is>
          <t>HTN</t>
        </is>
      </c>
      <c r="G332" s="27" t="n"/>
      <c r="H332" s="27" t="n"/>
      <c r="I332" s="27" t="n"/>
      <c r="J332" s="27" t="n"/>
    </row>
    <row r="333">
      <c r="A333" t="inlineStr">
        <is>
          <t>PT10332</t>
        </is>
      </c>
      <c r="B333" t="n">
        <v>5548316</v>
      </c>
      <c r="C333" t="inlineStr">
        <is>
          <t xml:space="preserve"> Hughes, Christian  </t>
        </is>
      </c>
      <c r="D333" t="inlineStr">
        <is>
          <t>(555) 957-2011</t>
        </is>
      </c>
      <c r="E333" t="inlineStr">
        <is>
          <t>christian.hughes56@example.com</t>
        </is>
      </c>
      <c r="F333" t="inlineStr">
        <is>
          <t>HTN;DM;AFIB</t>
        </is>
      </c>
      <c r="G333" s="27" t="n"/>
      <c r="H333" s="27" t="n"/>
      <c r="I333" s="27" t="n"/>
      <c r="J333" s="27" t="n"/>
    </row>
    <row r="334">
      <c r="A334" t="inlineStr">
        <is>
          <t>PT10333</t>
        </is>
      </c>
      <c r="B334" t="n">
        <v>9580128</v>
      </c>
      <c r="C334" t="inlineStr">
        <is>
          <t>MATTHEWS, BETTY</t>
        </is>
      </c>
      <c r="D334" t="inlineStr">
        <is>
          <t>(555) 315-1691</t>
        </is>
      </c>
      <c r="F334" t="inlineStr">
        <is>
          <t>HTN</t>
        </is>
      </c>
      <c r="G334" s="27" t="n"/>
      <c r="H334" s="27" t="n"/>
      <c r="I334" s="27" t="n"/>
      <c r="J334" s="27" t="n"/>
    </row>
    <row r="335">
      <c r="A335" t="inlineStr">
        <is>
          <t>PT10334</t>
        </is>
      </c>
      <c r="B335" t="n">
        <v>9516979</v>
      </c>
      <c r="C335" t="inlineStr">
        <is>
          <t>snyder, roger</t>
        </is>
      </c>
      <c r="D335" t="inlineStr">
        <is>
          <t>(555) 570-1063</t>
        </is>
      </c>
      <c r="E335" t="inlineStr">
        <is>
          <t>roger.snyder41@example.com</t>
        </is>
      </c>
      <c r="F335" t="inlineStr">
        <is>
          <t>HTN;ASTHMA</t>
        </is>
      </c>
      <c r="G335" s="27" t="n"/>
      <c r="H335" s="27" t="n"/>
      <c r="I335" s="27" t="n"/>
      <c r="J335" s="27" t="n"/>
    </row>
    <row r="336">
      <c r="A336" t="inlineStr">
        <is>
          <t>PT10335</t>
        </is>
      </c>
      <c r="B336" t="n">
        <v>6631093</v>
      </c>
      <c r="C336" t="inlineStr">
        <is>
          <t>Santos, Samantha</t>
        </is>
      </c>
      <c r="D336" t="inlineStr">
        <is>
          <t>(555) 335-2141</t>
        </is>
      </c>
      <c r="E336" t="inlineStr">
        <is>
          <t>samantha.santos92@example.com</t>
        </is>
      </c>
      <c r="F336" t="inlineStr">
        <is>
          <t>HTN;OA</t>
        </is>
      </c>
      <c r="G336" s="27" t="n"/>
      <c r="H336" s="27" t="n"/>
      <c r="I336" s="27" t="n"/>
      <c r="J336" s="27" t="n"/>
    </row>
    <row r="337">
      <c r="A337" t="inlineStr">
        <is>
          <t>PT10336</t>
        </is>
      </c>
      <c r="B337" t="n">
        <v>6955109</v>
      </c>
      <c r="C337" t="inlineStr">
        <is>
          <t>BELL, Amina</t>
        </is>
      </c>
      <c r="D337" t="inlineStr">
        <is>
          <t>(555) 395-3278</t>
        </is>
      </c>
      <c r="F337" t="inlineStr">
        <is>
          <t>HTN</t>
        </is>
      </c>
      <c r="G337" s="27" t="n"/>
      <c r="H337" s="27" t="n"/>
      <c r="I337" s="27" t="n"/>
      <c r="J337" s="27" t="n"/>
    </row>
    <row r="338">
      <c r="A338" t="inlineStr">
        <is>
          <t>PT10337</t>
        </is>
      </c>
      <c r="B338" t="n">
        <v>876828</v>
      </c>
      <c r="C338" t="inlineStr">
        <is>
          <t>Castro, Kyle</t>
        </is>
      </c>
      <c r="D338" t="inlineStr">
        <is>
          <t>(555) 989-3609</t>
        </is>
      </c>
      <c r="E338" t="inlineStr">
        <is>
          <t>kyle.castro37@example.com</t>
        </is>
      </c>
      <c r="F338" t="inlineStr">
        <is>
          <t>HTN;OA</t>
        </is>
      </c>
      <c r="G338" s="27" t="n"/>
      <c r="H338" s="27" t="n"/>
      <c r="I338" s="27" t="n"/>
      <c r="J338" s="27" t="n"/>
    </row>
    <row r="339">
      <c r="A339" t="inlineStr">
        <is>
          <t>PT10338</t>
        </is>
      </c>
      <c r="B339" t="n">
        <v>4854720</v>
      </c>
      <c r="C339" t="inlineStr">
        <is>
          <t>GRAHAM,DAVID</t>
        </is>
      </c>
      <c r="D339" t="inlineStr">
        <is>
          <t>(555) 258-4308</t>
        </is>
      </c>
      <c r="E339" t="inlineStr">
        <is>
          <t>david.graham38@example.com</t>
        </is>
      </c>
      <c r="F339" t="inlineStr">
        <is>
          <t>DM;COPD;CANCER</t>
        </is>
      </c>
      <c r="G339" s="27" t="n"/>
      <c r="H339" s="27" t="n"/>
      <c r="I339" s="27" t="n"/>
      <c r="J339" s="27" t="n"/>
    </row>
    <row r="340">
      <c r="A340" t="inlineStr">
        <is>
          <t>PT10339</t>
        </is>
      </c>
      <c r="B340" t="n">
        <v>9549904</v>
      </c>
      <c r="C340" t="inlineStr">
        <is>
          <t>olson, joe</t>
        </is>
      </c>
      <c r="D340" t="inlineStr">
        <is>
          <t>(555) 867-0697</t>
        </is>
      </c>
      <c r="G340" s="27" t="n"/>
      <c r="H340" s="27" t="n"/>
      <c r="I340" s="27" t="n"/>
      <c r="J340" s="27" t="n"/>
    </row>
    <row r="341">
      <c r="A341" t="inlineStr">
        <is>
          <t>PT10340</t>
        </is>
      </c>
      <c r="B341" t="n">
        <v>8602948</v>
      </c>
      <c r="C341" t="inlineStr">
        <is>
          <t xml:space="preserve">Kelly, Paul  </t>
        </is>
      </c>
      <c r="D341" t="inlineStr">
        <is>
          <t>(555) 353-5255</t>
        </is>
      </c>
      <c r="G341" s="27" t="n"/>
      <c r="H341" s="27" t="n"/>
      <c r="I341" s="27" t="n"/>
      <c r="J341" s="27" t="n"/>
    </row>
    <row r="342">
      <c r="A342" t="inlineStr">
        <is>
          <t>PT10341</t>
        </is>
      </c>
      <c r="B342" t="n">
        <v>639494</v>
      </c>
      <c r="C342" t="inlineStr">
        <is>
          <t>ROBERTSON, Betty</t>
        </is>
      </c>
      <c r="D342" t="inlineStr">
        <is>
          <t>(555) 814-3199</t>
        </is>
      </c>
      <c r="E342" t="inlineStr">
        <is>
          <t>betty.robertson75@example.com</t>
        </is>
      </c>
      <c r="F342" t="inlineStr">
        <is>
          <t>HTN</t>
        </is>
      </c>
      <c r="G342" s="27" t="n"/>
      <c r="H342" s="27" t="n"/>
      <c r="I342" s="27" t="n"/>
      <c r="J342" s="27" t="n"/>
    </row>
    <row r="343">
      <c r="A343" t="inlineStr">
        <is>
          <t>PT10342</t>
        </is>
      </c>
      <c r="B343" t="n">
        <v>6078832</v>
      </c>
      <c r="C343" t="inlineStr">
        <is>
          <t>Richards, Kathleen</t>
        </is>
      </c>
      <c r="D343" t="inlineStr">
        <is>
          <t>(555) 513-0291</t>
        </is>
      </c>
      <c r="G343" s="27" t="n"/>
      <c r="H343" s="27" t="n"/>
      <c r="I343" s="27" t="n"/>
      <c r="J343" s="27" t="n"/>
    </row>
    <row r="344">
      <c r="A344" t="inlineStr">
        <is>
          <t>PT10343</t>
        </is>
      </c>
      <c r="B344" t="n">
        <v>5552424</v>
      </c>
      <c r="C344" t="inlineStr">
        <is>
          <t>JAMES, LOGAN</t>
        </is>
      </c>
      <c r="D344" t="inlineStr">
        <is>
          <t>(555) 331-5049</t>
        </is>
      </c>
      <c r="E344" t="inlineStr">
        <is>
          <t>logan.james87@example.com</t>
        </is>
      </c>
      <c r="G344" s="27" t="n"/>
      <c r="H344" s="27" t="n"/>
      <c r="I344" s="27" t="n"/>
      <c r="J344" s="27" t="n"/>
    </row>
    <row r="345">
      <c r="A345" t="inlineStr">
        <is>
          <t>PT10344</t>
        </is>
      </c>
      <c r="B345" t="n">
        <v>2252690</v>
      </c>
      <c r="C345" t="inlineStr">
        <is>
          <t>knight, susan</t>
        </is>
      </c>
      <c r="D345" t="inlineStr">
        <is>
          <t>(555) 632-9323</t>
        </is>
      </c>
      <c r="G345" s="27" t="n"/>
      <c r="H345" s="27" t="n"/>
      <c r="I345" s="27" t="n"/>
      <c r="J345" s="27" t="n"/>
    </row>
    <row r="346">
      <c r="A346" t="inlineStr">
        <is>
          <t>PT10345</t>
        </is>
      </c>
      <c r="B346" t="n">
        <v>5997002</v>
      </c>
      <c r="C346" t="inlineStr">
        <is>
          <t xml:space="preserve"> Lindqvist, Emily</t>
        </is>
      </c>
      <c r="D346" t="inlineStr">
        <is>
          <t>(555) 789-9151</t>
        </is>
      </c>
      <c r="E346" t="inlineStr">
        <is>
          <t>emily.lindqvist51@example.com</t>
        </is>
      </c>
      <c r="F346" t="inlineStr">
        <is>
          <t>AFIB</t>
        </is>
      </c>
      <c r="G346" s="27" t="n"/>
      <c r="H346" s="27" t="n"/>
      <c r="I346" s="27" t="n"/>
      <c r="J346" s="27" t="n"/>
    </row>
    <row r="347">
      <c r="A347" t="inlineStr">
        <is>
          <t>PT10346</t>
        </is>
      </c>
      <c r="B347" t="n">
        <v>9463933</v>
      </c>
      <c r="C347" t="inlineStr">
        <is>
          <t>BURNS, Donald</t>
        </is>
      </c>
      <c r="D347" t="inlineStr">
        <is>
          <t>(555) 362-2609</t>
        </is>
      </c>
      <c r="F347" t="inlineStr">
        <is>
          <t>HTN;AFIB;CKD</t>
        </is>
      </c>
      <c r="G347" s="27" t="n"/>
      <c r="H347" s="27" t="n"/>
      <c r="I347" s="27" t="n"/>
      <c r="J347" s="27" t="n"/>
    </row>
    <row r="348">
      <c r="A348" t="inlineStr">
        <is>
          <t>PT10347</t>
        </is>
      </c>
      <c r="B348" t="n">
        <v>9935129</v>
      </c>
      <c r="C348" t="inlineStr">
        <is>
          <t>Hernandez,  Mei</t>
        </is>
      </c>
      <c r="D348" t="inlineStr">
        <is>
          <t>(555) 798-5148</t>
        </is>
      </c>
      <c r="E348" t="inlineStr">
        <is>
          <t>mei.hernandez98@example.com</t>
        </is>
      </c>
      <c r="F348" t="inlineStr">
        <is>
          <t>HTN;COPD;CANCER</t>
        </is>
      </c>
      <c r="G348" s="27" t="n"/>
      <c r="H348" s="27" t="n"/>
      <c r="I348" s="27" t="n"/>
      <c r="J348" s="27" t="n"/>
    </row>
    <row r="349">
      <c r="A349" t="inlineStr">
        <is>
          <t>PT10348</t>
        </is>
      </c>
      <c r="B349" t="n">
        <v>10379</v>
      </c>
      <c r="C349" t="inlineStr">
        <is>
          <t xml:space="preserve">MORENO, LEILA  </t>
        </is>
      </c>
      <c r="D349" t="inlineStr">
        <is>
          <t>(555) 257-5513</t>
        </is>
      </c>
      <c r="E349" t="inlineStr">
        <is>
          <t>leila.moreno50@example.com</t>
        </is>
      </c>
      <c r="G349" s="27" t="n"/>
      <c r="H349" s="27" t="n"/>
      <c r="I349" s="27" t="n"/>
      <c r="J349" s="27" t="n"/>
    </row>
    <row r="350">
      <c r="A350" t="inlineStr">
        <is>
          <t>PT10349</t>
        </is>
      </c>
      <c r="B350" t="n">
        <v>7763790</v>
      </c>
      <c r="C350" t="inlineStr">
        <is>
          <t>ramos,abigail</t>
        </is>
      </c>
      <c r="D350" t="inlineStr">
        <is>
          <t>(555) 696-2760</t>
        </is>
      </c>
      <c r="G350" s="27" t="n"/>
      <c r="H350" s="27" t="n"/>
      <c r="I350" s="27" t="n"/>
      <c r="J350" s="27" t="n"/>
    </row>
    <row r="351">
      <c r="A351" t="inlineStr">
        <is>
          <t>PT10350</t>
        </is>
      </c>
      <c r="B351" t="n">
        <v>2492694</v>
      </c>
      <c r="C351" t="inlineStr">
        <is>
          <t>Gonzales, Christine</t>
        </is>
      </c>
      <c r="D351" t="inlineStr">
        <is>
          <t>(555) 792-8468</t>
        </is>
      </c>
      <c r="G351" s="27" t="n"/>
      <c r="H351" s="27" t="n"/>
      <c r="I351" s="27" t="n"/>
      <c r="J351" s="27" t="n"/>
    </row>
    <row r="352">
      <c r="A352" t="inlineStr">
        <is>
          <t>PT10351</t>
        </is>
      </c>
      <c r="B352" t="n">
        <v>9027798</v>
      </c>
      <c r="C352" t="inlineStr">
        <is>
          <t>PIERCE, Bradley</t>
        </is>
      </c>
      <c r="D352" t="inlineStr">
        <is>
          <t>(555) 763-0931</t>
        </is>
      </c>
      <c r="E352" t="inlineStr">
        <is>
          <t>bradley.pierce73@example.com</t>
        </is>
      </c>
      <c r="F352" t="inlineStr">
        <is>
          <t>HTN;AFIB</t>
        </is>
      </c>
      <c r="G352" s="27" t="n"/>
      <c r="H352" s="27" t="n"/>
      <c r="I352" s="27" t="n"/>
      <c r="J352" s="27" t="n"/>
    </row>
    <row r="353">
      <c r="A353" t="inlineStr">
        <is>
          <t>PT10352</t>
        </is>
      </c>
      <c r="B353" t="n">
        <v>2674886</v>
      </c>
      <c r="C353" t="inlineStr">
        <is>
          <t>Reyes, Brittany</t>
        </is>
      </c>
      <c r="D353" t="inlineStr">
        <is>
          <t>(555) 808-0043</t>
        </is>
      </c>
      <c r="F353" t="inlineStr">
        <is>
          <t>DM;HF;COPD</t>
        </is>
      </c>
      <c r="G353" s="27" t="n"/>
      <c r="H353" s="27" t="n"/>
      <c r="I353" s="27" t="n"/>
      <c r="J353" s="27" t="n"/>
    </row>
    <row r="354">
      <c r="A354" t="inlineStr">
        <is>
          <t>PT10353</t>
        </is>
      </c>
      <c r="B354" t="n">
        <v>9999578</v>
      </c>
      <c r="C354" t="inlineStr">
        <is>
          <t>HUDSON, GABRIEL</t>
        </is>
      </c>
      <c r="D354" t="inlineStr">
        <is>
          <t>(555) 329-5641</t>
        </is>
      </c>
      <c r="F354" t="inlineStr">
        <is>
          <t>HF</t>
        </is>
      </c>
      <c r="G354" s="27" t="n"/>
      <c r="H354" s="27" t="n"/>
      <c r="I354" s="27" t="n"/>
      <c r="J354" s="27" t="n"/>
    </row>
    <row r="355">
      <c r="A355" t="inlineStr">
        <is>
          <t>PT10354</t>
        </is>
      </c>
      <c r="B355" t="n">
        <v>5766438</v>
      </c>
      <c r="C355" t="inlineStr">
        <is>
          <t>bradley, christian</t>
        </is>
      </c>
      <c r="D355" t="inlineStr">
        <is>
          <t>(555) 901-7787</t>
        </is>
      </c>
      <c r="G355" s="27" t="n"/>
      <c r="H355" s="27" t="n"/>
      <c r="I355" s="27" t="n"/>
      <c r="J355" s="27" t="n"/>
    </row>
    <row r="356">
      <c r="A356" t="inlineStr">
        <is>
          <t>PT10355</t>
        </is>
      </c>
      <c r="B356" t="n">
        <v>3026415</v>
      </c>
      <c r="C356" t="inlineStr">
        <is>
          <t>Clark, Lori</t>
        </is>
      </c>
      <c r="D356" t="inlineStr">
        <is>
          <t>(555) 308-1506</t>
        </is>
      </c>
      <c r="G356" s="27" t="n"/>
      <c r="H356" s="27" t="n"/>
      <c r="I356" s="27" t="n"/>
      <c r="J356" s="27" t="n"/>
    </row>
    <row r="357">
      <c r="A357" t="inlineStr">
        <is>
          <t>PT10356</t>
        </is>
      </c>
      <c r="B357" t="n">
        <v>376608</v>
      </c>
      <c r="C357" t="inlineStr">
        <is>
          <t xml:space="preserve">ROBERTSON,  Nicole  </t>
        </is>
      </c>
      <c r="D357" t="inlineStr">
        <is>
          <t>(555) 598-8018</t>
        </is>
      </c>
      <c r="E357" t="inlineStr">
        <is>
          <t>nicole.robertson69@example.com</t>
        </is>
      </c>
      <c r="F357" t="inlineStr">
        <is>
          <t>HTN;CKD</t>
        </is>
      </c>
      <c r="G357" s="27" t="n"/>
      <c r="H357" s="27" t="n"/>
      <c r="I357" s="27" t="n"/>
      <c r="J357" s="27" t="n"/>
    </row>
    <row r="358">
      <c r="A358" t="inlineStr">
        <is>
          <t>PT10357</t>
        </is>
      </c>
      <c r="B358" t="n">
        <v>4700829</v>
      </c>
      <c r="C358" t="inlineStr">
        <is>
          <t>Castillo, Jose</t>
        </is>
      </c>
      <c r="D358" t="inlineStr">
        <is>
          <t>(555) 579-7315</t>
        </is>
      </c>
      <c r="E358" t="inlineStr">
        <is>
          <t>jose.castillo46@example.com</t>
        </is>
      </c>
      <c r="G358" s="27" t="n"/>
      <c r="H358" s="27" t="n"/>
      <c r="I358" s="27" t="n"/>
      <c r="J358" s="27" t="n"/>
    </row>
    <row r="359">
      <c r="A359" t="inlineStr">
        <is>
          <t>PT10358</t>
        </is>
      </c>
      <c r="B359" t="n">
        <v>7177807</v>
      </c>
      <c r="C359" t="inlineStr">
        <is>
          <t xml:space="preserve"> CUNNINGHAM, JONATHAN</t>
        </is>
      </c>
      <c r="D359" t="inlineStr">
        <is>
          <t>(555) 798-0800</t>
        </is>
      </c>
      <c r="G359" s="27" t="n"/>
      <c r="H359" s="27" t="n"/>
      <c r="I359" s="27" t="n"/>
      <c r="J359" s="27" t="n"/>
    </row>
    <row r="360">
      <c r="A360" t="inlineStr">
        <is>
          <t>PT10359</t>
        </is>
      </c>
      <c r="B360" t="n">
        <v>8444701</v>
      </c>
      <c r="C360" t="inlineStr">
        <is>
          <t>hamilton, aaliyah</t>
        </is>
      </c>
      <c r="D360" t="inlineStr">
        <is>
          <t>(555) 731-1577</t>
        </is>
      </c>
      <c r="G360" s="27" t="n"/>
      <c r="H360" s="27" t="n"/>
      <c r="I360" s="27" t="n"/>
      <c r="J360" s="27" t="n"/>
    </row>
    <row r="361">
      <c r="A361" t="inlineStr">
        <is>
          <t>PT10360</t>
        </is>
      </c>
      <c r="B361" t="n">
        <v>917213</v>
      </c>
      <c r="C361" t="inlineStr">
        <is>
          <t>Sandoval,Henry</t>
        </is>
      </c>
      <c r="D361" t="inlineStr">
        <is>
          <t>(555) 631-6945</t>
        </is>
      </c>
      <c r="E361" t="inlineStr">
        <is>
          <t>henry.sandoval32@example.com</t>
        </is>
      </c>
      <c r="G361" s="27" t="n"/>
      <c r="H361" s="27" t="n"/>
      <c r="I361" s="27" t="n"/>
      <c r="J361" s="27" t="n"/>
    </row>
    <row r="362">
      <c r="A362" t="inlineStr">
        <is>
          <t>PT10361</t>
        </is>
      </c>
      <c r="B362" t="n">
        <v>6395098</v>
      </c>
      <c r="C362" t="inlineStr">
        <is>
          <t>RUIZ, Cynthia</t>
        </is>
      </c>
      <c r="D362" t="inlineStr">
        <is>
          <t>(555) 879-3680</t>
        </is>
      </c>
      <c r="E362" t="inlineStr">
        <is>
          <t>cynthia.ruiz43@example.com</t>
        </is>
      </c>
      <c r="G362" s="27" t="n"/>
      <c r="H362" s="27" t="n"/>
      <c r="I362" s="27" t="n"/>
      <c r="J362" s="27" t="n"/>
    </row>
    <row r="363">
      <c r="A363" t="inlineStr">
        <is>
          <t>PT10362</t>
        </is>
      </c>
      <c r="B363" t="n">
        <v>8846851</v>
      </c>
      <c r="C363" t="inlineStr">
        <is>
          <t xml:space="preserve">Cooper, Peter </t>
        </is>
      </c>
      <c r="D363" t="inlineStr">
        <is>
          <t>(555) 526-6111</t>
        </is>
      </c>
      <c r="E363" t="inlineStr">
        <is>
          <t>peter.cooper99@example.com</t>
        </is>
      </c>
      <c r="G363" s="27" t="n"/>
      <c r="H363" s="27" t="n"/>
      <c r="I363" s="27" t="n"/>
      <c r="J363" s="27" t="n"/>
    </row>
    <row r="364">
      <c r="A364" t="inlineStr">
        <is>
          <t>PT10363</t>
        </is>
      </c>
      <c r="B364" t="n">
        <v>6892433</v>
      </c>
      <c r="C364" t="inlineStr">
        <is>
          <t>ROBERTS, ALEXANDER</t>
        </is>
      </c>
      <c r="D364" t="inlineStr">
        <is>
          <t>(555) 585-3562</t>
        </is>
      </c>
      <c r="G364" s="27" t="n"/>
      <c r="H364" s="27" t="n"/>
      <c r="I364" s="27" t="n"/>
      <c r="J364" s="27" t="n"/>
    </row>
    <row r="365">
      <c r="A365" t="inlineStr">
        <is>
          <t>PT10364</t>
        </is>
      </c>
      <c r="B365" t="n">
        <v>1623862</v>
      </c>
      <c r="C365" t="inlineStr">
        <is>
          <t xml:space="preserve">collins, joyce  </t>
        </is>
      </c>
      <c r="D365" t="inlineStr">
        <is>
          <t>(555) 457-5992</t>
        </is>
      </c>
      <c r="E365" t="inlineStr">
        <is>
          <t>joyce.collins61@example.com</t>
        </is>
      </c>
      <c r="F365" t="inlineStr">
        <is>
          <t>HTN;DM;AFIB</t>
        </is>
      </c>
      <c r="G365" s="27" t="n"/>
      <c r="H365" s="27" t="n"/>
      <c r="I365" s="27" t="n"/>
      <c r="J365" s="27" t="n"/>
    </row>
    <row r="366">
      <c r="A366" t="inlineStr">
        <is>
          <t>PT10365</t>
        </is>
      </c>
      <c r="B366" t="n">
        <v>5728292</v>
      </c>
      <c r="C366" t="inlineStr">
        <is>
          <t>Woods,  Douglas</t>
        </is>
      </c>
      <c r="D366" t="inlineStr">
        <is>
          <t>(555) 268-6333</t>
        </is>
      </c>
      <c r="G366" s="27" t="n"/>
      <c r="H366" s="27" t="n"/>
      <c r="I366" s="27" t="n"/>
      <c r="J366" s="27" t="n"/>
    </row>
    <row r="367">
      <c r="A367" t="inlineStr">
        <is>
          <t>PT10366</t>
        </is>
      </c>
      <c r="B367" t="n">
        <v>8695005</v>
      </c>
      <c r="C367" t="inlineStr">
        <is>
          <t>BAKER, Mason</t>
        </is>
      </c>
      <c r="D367" t="inlineStr">
        <is>
          <t>(555) 497-9481</t>
        </is>
      </c>
      <c r="F367" t="inlineStr">
        <is>
          <t>PSYCH;SEIZURE</t>
        </is>
      </c>
      <c r="G367" s="27" t="n"/>
      <c r="H367" s="27" t="n"/>
      <c r="I367" s="27" t="n"/>
      <c r="J367" s="27" t="n"/>
    </row>
    <row r="368">
      <c r="A368" t="inlineStr">
        <is>
          <t>PT10367</t>
        </is>
      </c>
      <c r="B368" t="n">
        <v>4736204</v>
      </c>
      <c r="C368" t="inlineStr">
        <is>
          <t>Riley, Walter</t>
        </is>
      </c>
      <c r="D368" t="inlineStr">
        <is>
          <t>(555) 671-6780</t>
        </is>
      </c>
      <c r="E368" t="inlineStr">
        <is>
          <t>walter.riley44@example.com</t>
        </is>
      </c>
      <c r="F368" t="inlineStr">
        <is>
          <t>HTN</t>
        </is>
      </c>
      <c r="G368" s="27" t="n"/>
      <c r="H368" s="27" t="n"/>
      <c r="I368" s="27" t="n"/>
      <c r="J368" s="27" t="n"/>
    </row>
    <row r="369">
      <c r="A369" t="inlineStr">
        <is>
          <t>PT10368</t>
        </is>
      </c>
      <c r="B369" t="n">
        <v>8339434</v>
      </c>
      <c r="C369" t="inlineStr">
        <is>
          <t>FISHER, LISA</t>
        </is>
      </c>
      <c r="D369" t="inlineStr">
        <is>
          <t>(555) 354-4869</t>
        </is>
      </c>
      <c r="E369" t="inlineStr">
        <is>
          <t>lisa.fisher37@example.com</t>
        </is>
      </c>
      <c r="F369" t="inlineStr">
        <is>
          <t>HTN;SEIZURE</t>
        </is>
      </c>
      <c r="G369" s="27" t="n"/>
      <c r="H369" s="27" t="n"/>
      <c r="I369" s="27" t="n"/>
      <c r="J369" s="27" t="n"/>
    </row>
    <row r="370">
      <c r="A370" t="inlineStr">
        <is>
          <t>PT10369</t>
        </is>
      </c>
      <c r="B370" t="n">
        <v>3298101</v>
      </c>
      <c r="C370" t="inlineStr">
        <is>
          <t>hunt, victoria</t>
        </is>
      </c>
      <c r="D370" t="inlineStr">
        <is>
          <t>(555) 337-2268</t>
        </is>
      </c>
      <c r="E370" t="inlineStr">
        <is>
          <t>victoria.hunt70@example.com</t>
        </is>
      </c>
      <c r="F370" t="inlineStr">
        <is>
          <t>DM;OA</t>
        </is>
      </c>
      <c r="G370" s="27" t="n"/>
      <c r="H370" s="27" t="n"/>
      <c r="I370" s="27" t="n"/>
      <c r="J370" s="27" t="n"/>
    </row>
    <row r="371">
      <c r="A371" t="inlineStr">
        <is>
          <t>PT10370</t>
        </is>
      </c>
      <c r="B371" t="n">
        <v>488396</v>
      </c>
      <c r="C371" t="inlineStr">
        <is>
          <t>Ryan, Justin</t>
        </is>
      </c>
      <c r="D371" t="inlineStr">
        <is>
          <t>(555) 269-1643</t>
        </is>
      </c>
      <c r="E371" t="inlineStr">
        <is>
          <t>justin.ryan19@example.com</t>
        </is>
      </c>
      <c r="F371" t="inlineStr">
        <is>
          <t>HTN;OA</t>
        </is>
      </c>
      <c r="G371" s="27" t="n"/>
      <c r="H371" s="27" t="n"/>
      <c r="I371" s="27" t="n"/>
      <c r="J371" s="27" t="n"/>
    </row>
    <row r="372">
      <c r="A372" t="inlineStr">
        <is>
          <t>PT10371</t>
        </is>
      </c>
      <c r="B372" t="n">
        <v>3542611</v>
      </c>
      <c r="C372" t="inlineStr">
        <is>
          <t xml:space="preserve"> SIMMONS,Philip</t>
        </is>
      </c>
      <c r="D372" t="inlineStr">
        <is>
          <t>(555) 767-2572</t>
        </is>
      </c>
      <c r="G372" s="27" t="n"/>
      <c r="H372" s="27" t="n"/>
      <c r="I372" s="27" t="n"/>
      <c r="J372" s="27" t="n"/>
    </row>
    <row r="373">
      <c r="A373" t="inlineStr">
        <is>
          <t>PT10372</t>
        </is>
      </c>
      <c r="B373" t="n">
        <v>2979992</v>
      </c>
      <c r="C373" t="inlineStr">
        <is>
          <t xml:space="preserve">Henderson, Christopher  </t>
        </is>
      </c>
      <c r="D373" t="inlineStr">
        <is>
          <t>(555) 443-5601</t>
        </is>
      </c>
      <c r="E373" t="inlineStr">
        <is>
          <t>christopher.henderson19@example.com</t>
        </is>
      </c>
      <c r="F373" t="inlineStr">
        <is>
          <t>HTN</t>
        </is>
      </c>
      <c r="G373" s="27" t="n"/>
      <c r="H373" s="27" t="n"/>
      <c r="I373" s="27" t="n"/>
      <c r="J373" s="27" t="n"/>
    </row>
    <row r="374">
      <c r="A374" t="inlineStr">
        <is>
          <t>PT10373</t>
        </is>
      </c>
      <c r="B374" t="n">
        <v>3933368</v>
      </c>
      <c r="C374" t="inlineStr">
        <is>
          <t>OSEI, SHIRLEY</t>
        </is>
      </c>
      <c r="D374" t="inlineStr">
        <is>
          <t>(555) 550-1357</t>
        </is>
      </c>
      <c r="E374" t="inlineStr">
        <is>
          <t>shirley.osei40@example.com</t>
        </is>
      </c>
      <c r="G374" s="27" t="n"/>
      <c r="H374" s="27" t="n"/>
      <c r="I374" s="27" t="n"/>
      <c r="J374" s="27" t="n"/>
    </row>
    <row r="375">
      <c r="A375" t="inlineStr">
        <is>
          <t>PT10374</t>
        </is>
      </c>
      <c r="B375" t="n">
        <v>3616124</v>
      </c>
      <c r="C375" t="inlineStr">
        <is>
          <t>reynolds,  ava</t>
        </is>
      </c>
      <c r="D375" t="inlineStr">
        <is>
          <t>(555) 482-7622</t>
        </is>
      </c>
      <c r="E375" t="inlineStr">
        <is>
          <t>ava.reynolds57@example.com</t>
        </is>
      </c>
      <c r="G375" s="27" t="n"/>
      <c r="H375" s="27" t="n"/>
      <c r="I375" s="27" t="n"/>
      <c r="J375" s="27" t="n"/>
    </row>
    <row r="376">
      <c r="A376" t="inlineStr">
        <is>
          <t>PT10375</t>
        </is>
      </c>
      <c r="B376" t="n">
        <v>731831</v>
      </c>
      <c r="C376" t="inlineStr">
        <is>
          <t>Romero, Terry</t>
        </is>
      </c>
      <c r="D376" t="inlineStr">
        <is>
          <t>(555) 281-2252</t>
        </is>
      </c>
      <c r="E376" t="inlineStr">
        <is>
          <t>terry.romero45@example.com</t>
        </is>
      </c>
      <c r="F376" t="inlineStr">
        <is>
          <t>COPD;CKD</t>
        </is>
      </c>
      <c r="G376" s="27" t="n"/>
      <c r="H376" s="27" t="n"/>
      <c r="I376" s="27" t="n"/>
      <c r="J376" s="27" t="n"/>
    </row>
    <row r="377">
      <c r="A377" t="inlineStr">
        <is>
          <t>PT10376</t>
        </is>
      </c>
      <c r="B377" t="n">
        <v>8459414</v>
      </c>
      <c r="C377" t="inlineStr">
        <is>
          <t>MURPHY, Robert</t>
        </is>
      </c>
      <c r="D377" t="inlineStr">
        <is>
          <t>(555) 586-3805</t>
        </is>
      </c>
      <c r="E377" t="inlineStr">
        <is>
          <t>robert.murphy95@example.com</t>
        </is>
      </c>
      <c r="F377" t="inlineStr">
        <is>
          <t>HTN</t>
        </is>
      </c>
      <c r="G377" s="27" t="n"/>
      <c r="H377" s="27" t="n"/>
      <c r="I377" s="27" t="n"/>
      <c r="J377" s="27" t="n"/>
    </row>
    <row r="378">
      <c r="A378" t="inlineStr">
        <is>
          <t>PT10377</t>
        </is>
      </c>
      <c r="B378" t="n">
        <v>9608379</v>
      </c>
      <c r="C378" t="inlineStr">
        <is>
          <t>Foster, Jessica</t>
        </is>
      </c>
      <c r="D378" t="inlineStr">
        <is>
          <t>(555) 889-2344</t>
        </is>
      </c>
      <c r="G378" s="27" t="n"/>
      <c r="H378" s="27" t="n"/>
      <c r="I378" s="27" t="n"/>
      <c r="J378" s="27" t="n"/>
    </row>
    <row r="379">
      <c r="A379" t="inlineStr">
        <is>
          <t>PT10378</t>
        </is>
      </c>
      <c r="B379" t="n">
        <v>4494376</v>
      </c>
      <c r="C379" t="inlineStr">
        <is>
          <t>SHAW, SCOTT</t>
        </is>
      </c>
      <c r="D379" t="inlineStr">
        <is>
          <t>(555) 978-0630</t>
        </is>
      </c>
      <c r="E379" t="inlineStr">
        <is>
          <t>scott.shaw27@example.com</t>
        </is>
      </c>
      <c r="G379" s="27" t="n"/>
      <c r="H379" s="27" t="n"/>
      <c r="I379" s="27" t="n"/>
      <c r="J379" s="27" t="n"/>
    </row>
    <row r="380">
      <c r="A380" t="inlineStr">
        <is>
          <t>PT10379</t>
        </is>
      </c>
      <c r="B380" t="n">
        <v>6833735</v>
      </c>
      <c r="C380" t="inlineStr">
        <is>
          <t>ray, isabella</t>
        </is>
      </c>
      <c r="D380" t="inlineStr">
        <is>
          <t>(555) 937-7350</t>
        </is>
      </c>
      <c r="G380" s="27" t="n"/>
      <c r="H380" s="27" t="n"/>
      <c r="I380" s="27" t="n"/>
      <c r="J380" s="27" t="n"/>
    </row>
    <row r="381">
      <c r="A381" t="inlineStr">
        <is>
          <t>PT10380</t>
        </is>
      </c>
      <c r="B381" t="n">
        <v>9063665</v>
      </c>
      <c r="C381" t="inlineStr">
        <is>
          <t xml:space="preserve">Sandoval, Lucia  </t>
        </is>
      </c>
      <c r="D381" t="inlineStr">
        <is>
          <t>(555) 544-5607</t>
        </is>
      </c>
      <c r="E381" t="inlineStr">
        <is>
          <t>lucia.sandoval18@example.com</t>
        </is>
      </c>
      <c r="G381" s="27" t="n"/>
      <c r="H381" s="27" t="n"/>
      <c r="I381" s="27" t="n"/>
      <c r="J381" s="27" t="n"/>
    </row>
    <row r="382">
      <c r="A382" t="inlineStr">
        <is>
          <t>PT10381</t>
        </is>
      </c>
      <c r="B382" t="n">
        <v>1427262</v>
      </c>
      <c r="C382" t="inlineStr">
        <is>
          <t>FLORES, Natalie</t>
        </is>
      </c>
      <c r="D382" t="inlineStr">
        <is>
          <t>(555) 480-6531</t>
        </is>
      </c>
      <c r="F382" t="inlineStr">
        <is>
          <t>HTN;OA</t>
        </is>
      </c>
      <c r="G382" s="27" t="n"/>
      <c r="H382" s="27" t="n"/>
      <c r="I382" s="27" t="n"/>
      <c r="J382" s="27" t="n"/>
    </row>
    <row r="383">
      <c r="A383" t="inlineStr">
        <is>
          <t>PT10382</t>
        </is>
      </c>
      <c r="B383" t="n">
        <v>9370273</v>
      </c>
      <c r="C383" t="inlineStr">
        <is>
          <t>Hernandez,Larry</t>
        </is>
      </c>
      <c r="D383" t="inlineStr">
        <is>
          <t>(555) 705-5790</t>
        </is>
      </c>
      <c r="G383" s="27" t="n"/>
      <c r="H383" s="27" t="n"/>
      <c r="I383" s="27" t="n"/>
      <c r="J383" s="27" t="n"/>
    </row>
    <row r="384">
      <c r="A384" t="inlineStr">
        <is>
          <t>PT10383</t>
        </is>
      </c>
      <c r="B384" t="n">
        <v>6196915</v>
      </c>
      <c r="C384" t="inlineStr">
        <is>
          <t>RUIZ,  KATHRYN</t>
        </is>
      </c>
      <c r="D384" t="inlineStr">
        <is>
          <t>(555) 433-0359</t>
        </is>
      </c>
      <c r="E384" t="inlineStr">
        <is>
          <t>kathryn.ruiz4@example.com</t>
        </is>
      </c>
      <c r="F384" t="inlineStr">
        <is>
          <t>DM;AFIB;OA</t>
        </is>
      </c>
      <c r="G384" s="27" t="n"/>
      <c r="H384" s="27" t="n"/>
      <c r="I384" s="27" t="n"/>
      <c r="J384" s="27" t="n"/>
    </row>
    <row r="385">
      <c r="A385" t="inlineStr">
        <is>
          <t>PT10384</t>
        </is>
      </c>
      <c r="B385" t="n">
        <v>4319243</v>
      </c>
      <c r="C385" t="inlineStr">
        <is>
          <t xml:space="preserve"> bryant, janice</t>
        </is>
      </c>
      <c r="D385" t="inlineStr">
        <is>
          <t>(555) 814-2657</t>
        </is>
      </c>
      <c r="E385" t="inlineStr">
        <is>
          <t>janice.bryant37@example.com</t>
        </is>
      </c>
      <c r="F385" t="inlineStr">
        <is>
          <t>HTN</t>
        </is>
      </c>
      <c r="G385" s="27" t="n"/>
      <c r="H385" s="27" t="n"/>
      <c r="I385" s="27" t="n"/>
      <c r="J385" s="27" t="n"/>
    </row>
    <row r="386">
      <c r="A386" t="inlineStr">
        <is>
          <t>PT10385</t>
        </is>
      </c>
      <c r="B386" t="n">
        <v>6188586</v>
      </c>
      <c r="C386" t="inlineStr">
        <is>
          <t>Smith, Dylan</t>
        </is>
      </c>
      <c r="D386" t="inlineStr">
        <is>
          <t>(555) 466-3923</t>
        </is>
      </c>
      <c r="E386" t="inlineStr">
        <is>
          <t>dylan.smith38@example.com</t>
        </is>
      </c>
      <c r="F386" t="inlineStr">
        <is>
          <t>HTN;PSYCH</t>
        </is>
      </c>
      <c r="G386" s="27" t="n"/>
      <c r="H386" s="27" t="n"/>
      <c r="I386" s="27" t="n"/>
      <c r="J386" s="27" t="n"/>
    </row>
    <row r="387">
      <c r="A387" t="inlineStr">
        <is>
          <t>PT10386</t>
        </is>
      </c>
      <c r="B387" t="n">
        <v>5206088</v>
      </c>
      <c r="C387" t="inlineStr">
        <is>
          <t>BAILEY, Ruth</t>
        </is>
      </c>
      <c r="D387" t="inlineStr">
        <is>
          <t>(555) 837-4471</t>
        </is>
      </c>
      <c r="G387" s="27" t="n"/>
      <c r="H387" s="27" t="n"/>
      <c r="I387" s="27" t="n"/>
      <c r="J387" s="27" t="n"/>
    </row>
    <row r="388">
      <c r="A388" t="inlineStr">
        <is>
          <t>PT10387</t>
        </is>
      </c>
      <c r="B388" t="n">
        <v>6751212</v>
      </c>
      <c r="C388" t="inlineStr">
        <is>
          <t>Black, Doris</t>
        </is>
      </c>
      <c r="D388" t="inlineStr">
        <is>
          <t>(555) 680-0490</t>
        </is>
      </c>
      <c r="F388" t="inlineStr">
        <is>
          <t>HF;AFIB</t>
        </is>
      </c>
      <c r="G388" s="27" t="n"/>
      <c r="H388" s="27" t="n"/>
      <c r="I388" s="27" t="n"/>
      <c r="J388" s="27" t="n"/>
    </row>
    <row r="389">
      <c r="A389" t="inlineStr">
        <is>
          <t>PT10388</t>
        </is>
      </c>
      <c r="B389" t="n">
        <v>8002972</v>
      </c>
      <c r="C389" t="inlineStr">
        <is>
          <t xml:space="preserve">RILEY, LIAM  </t>
        </is>
      </c>
      <c r="D389" t="inlineStr">
        <is>
          <t>(555) 492-4370</t>
        </is>
      </c>
      <c r="E389" t="inlineStr">
        <is>
          <t>liam.riley52@example.com</t>
        </is>
      </c>
      <c r="G389" s="27" t="n"/>
      <c r="H389" s="27" t="n"/>
      <c r="I389" s="27" t="n"/>
      <c r="J389" s="27" t="n"/>
    </row>
    <row r="390">
      <c r="A390" t="inlineStr">
        <is>
          <t>PT10389</t>
        </is>
      </c>
      <c r="B390" t="n">
        <v>9378606</v>
      </c>
      <c r="C390" t="inlineStr">
        <is>
          <t>alvarez, sandra</t>
        </is>
      </c>
      <c r="D390" t="inlineStr">
        <is>
          <t>(555) 257-2307</t>
        </is>
      </c>
      <c r="E390" t="inlineStr">
        <is>
          <t>sandra.alvarez70@example.com</t>
        </is>
      </c>
      <c r="F390" t="inlineStr">
        <is>
          <t>HTN;AFIB;OA</t>
        </is>
      </c>
      <c r="G390" s="27" t="n"/>
      <c r="H390" s="27" t="n"/>
      <c r="I390" s="27" t="n"/>
      <c r="J390" s="27" t="n"/>
    </row>
    <row r="391">
      <c r="A391" t="inlineStr">
        <is>
          <t>PT10390</t>
        </is>
      </c>
      <c r="B391" t="n">
        <v>7315735</v>
      </c>
      <c r="C391" t="inlineStr">
        <is>
          <t>Knight, Lori</t>
        </is>
      </c>
      <c r="D391" t="inlineStr">
        <is>
          <t>(555) 761-9743</t>
        </is>
      </c>
      <c r="E391" t="inlineStr">
        <is>
          <t>lori.knight90@example.com</t>
        </is>
      </c>
      <c r="F391" t="inlineStr">
        <is>
          <t>AFIB;OA</t>
        </is>
      </c>
      <c r="G391" s="27" t="n"/>
      <c r="H391" s="27" t="n"/>
      <c r="I391" s="27" t="n"/>
      <c r="J391" s="27" t="n"/>
    </row>
    <row r="392">
      <c r="A392" t="inlineStr">
        <is>
          <t>PT10391</t>
        </is>
      </c>
      <c r="B392" t="n">
        <v>9675592</v>
      </c>
      <c r="C392" t="inlineStr">
        <is>
          <t>PARKER, Jason</t>
        </is>
      </c>
      <c r="D392" t="inlineStr">
        <is>
          <t>(555) 883-4267</t>
        </is>
      </c>
      <c r="E392" t="inlineStr">
        <is>
          <t>jason.parker93@example.com</t>
        </is>
      </c>
      <c r="G392" s="27" t="n"/>
      <c r="H392" s="27" t="n"/>
      <c r="I392" s="27" t="n"/>
      <c r="J392" s="27" t="n"/>
    </row>
    <row r="393">
      <c r="A393" t="inlineStr">
        <is>
          <t>PT10392</t>
        </is>
      </c>
      <c r="B393" t="n">
        <v>1052980</v>
      </c>
      <c r="C393" t="inlineStr">
        <is>
          <t>Snyder,  Diane</t>
        </is>
      </c>
      <c r="D393" t="inlineStr">
        <is>
          <t>(555) 230-2031</t>
        </is>
      </c>
      <c r="E393" t="inlineStr">
        <is>
          <t>diane.snyder81@example.com</t>
        </is>
      </c>
      <c r="F393" t="inlineStr">
        <is>
          <t>PSYCH;ETOH</t>
        </is>
      </c>
      <c r="G393" s="27" t="n"/>
      <c r="H393" s="27" t="n"/>
      <c r="I393" s="27" t="n"/>
      <c r="J393" s="27" t="n"/>
    </row>
    <row r="394">
      <c r="A394" t="inlineStr">
        <is>
          <t>PT10393</t>
        </is>
      </c>
      <c r="B394" t="n">
        <v>9963775</v>
      </c>
      <c r="C394" t="inlineStr">
        <is>
          <t xml:space="preserve">ROBERTSON,LEILA </t>
        </is>
      </c>
      <c r="D394" t="inlineStr">
        <is>
          <t>(555) 923-8242</t>
        </is>
      </c>
      <c r="F394" t="inlineStr">
        <is>
          <t>SEIZURE</t>
        </is>
      </c>
      <c r="G394" s="27" t="n"/>
      <c r="H394" s="27" t="n"/>
      <c r="I394" s="27" t="n"/>
      <c r="J394" s="27" t="n"/>
    </row>
    <row r="395">
      <c r="A395" t="inlineStr">
        <is>
          <t>PT10394</t>
        </is>
      </c>
      <c r="B395" t="n">
        <v>7298291</v>
      </c>
      <c r="C395" t="inlineStr">
        <is>
          <t>schmidt, heather</t>
        </is>
      </c>
      <c r="D395" t="inlineStr">
        <is>
          <t>(555) 624-4651</t>
        </is>
      </c>
      <c r="G395" s="27" t="n"/>
      <c r="H395" s="27" t="n"/>
      <c r="I395" s="27" t="n"/>
      <c r="J395" s="27" t="n"/>
    </row>
    <row r="396">
      <c r="A396" t="inlineStr">
        <is>
          <t>PT10395</t>
        </is>
      </c>
      <c r="B396" t="n">
        <v>3470651</v>
      </c>
      <c r="C396" t="inlineStr">
        <is>
          <t>Petrov, Steven</t>
        </is>
      </c>
      <c r="D396" t="inlineStr">
        <is>
          <t>(555) 360-7665</t>
        </is>
      </c>
      <c r="E396" t="inlineStr">
        <is>
          <t>steven.petrov50@example.com</t>
        </is>
      </c>
      <c r="F396" t="inlineStr">
        <is>
          <t>HTN;DM;OA</t>
        </is>
      </c>
      <c r="G396" s="27" t="n"/>
      <c r="H396" s="27" t="n"/>
      <c r="I396" s="27" t="n"/>
      <c r="J396" s="27" t="n"/>
    </row>
    <row r="397">
      <c r="A397" t="inlineStr">
        <is>
          <t>PT10396</t>
        </is>
      </c>
      <c r="B397" t="n">
        <v>2413493</v>
      </c>
      <c r="C397" t="inlineStr">
        <is>
          <t xml:space="preserve">WARD, Jerry  </t>
        </is>
      </c>
      <c r="D397" t="inlineStr">
        <is>
          <t>(555) 944-2251</t>
        </is>
      </c>
      <c r="E397" t="inlineStr">
        <is>
          <t>jerry.ward69@example.com</t>
        </is>
      </c>
      <c r="G397" s="27" t="n"/>
      <c r="H397" s="27" t="n"/>
      <c r="I397" s="27" t="n"/>
      <c r="J397" s="27" t="n"/>
    </row>
    <row r="398">
      <c r="A398" t="inlineStr">
        <is>
          <t>PT10397</t>
        </is>
      </c>
      <c r="B398" t="n">
        <v>503245</v>
      </c>
      <c r="C398" t="inlineStr">
        <is>
          <t xml:space="preserve"> Andrews, Walter</t>
        </is>
      </c>
      <c r="D398" t="inlineStr">
        <is>
          <t>(555) 691-3156</t>
        </is>
      </c>
      <c r="G398" s="27" t="n"/>
      <c r="H398" s="27" t="n"/>
      <c r="I398" s="27" t="n"/>
      <c r="J398" s="27" t="n"/>
    </row>
    <row r="399">
      <c r="A399" t="inlineStr">
        <is>
          <t>PT10398</t>
        </is>
      </c>
      <c r="B399" t="n">
        <v>8824491</v>
      </c>
      <c r="C399" t="inlineStr">
        <is>
          <t>GONZALES, KATHERINE</t>
        </is>
      </c>
      <c r="D399" t="inlineStr">
        <is>
          <t>(555) 882-3340</t>
        </is>
      </c>
      <c r="E399" t="inlineStr">
        <is>
          <t>katherine.gonzales81@example.com</t>
        </is>
      </c>
      <c r="F399" t="inlineStr">
        <is>
          <t>DM;HF;ETOH;SEIZURE</t>
        </is>
      </c>
      <c r="G399" s="27" t="n"/>
      <c r="H399" s="27" t="n"/>
      <c r="I399" s="27" t="n"/>
      <c r="J399" s="27" t="n"/>
    </row>
    <row r="400">
      <c r="A400" t="inlineStr">
        <is>
          <t>PT10399</t>
        </is>
      </c>
      <c r="B400" t="n">
        <v>3718040</v>
      </c>
      <c r="C400" t="inlineStr">
        <is>
          <t>peterson, julie</t>
        </is>
      </c>
      <c r="D400" t="inlineStr">
        <is>
          <t>(555) 353-2100</t>
        </is>
      </c>
      <c r="F400" t="inlineStr">
        <is>
          <t>DM</t>
        </is>
      </c>
      <c r="G400" s="27" t="n"/>
      <c r="H400" s="27" t="n"/>
      <c r="I400" s="27" t="n"/>
      <c r="J400" s="27" t="n"/>
    </row>
    <row r="401">
      <c r="A401" t="inlineStr">
        <is>
          <t>PT10400</t>
        </is>
      </c>
      <c r="B401" t="n">
        <v>4148795</v>
      </c>
      <c r="C401" t="inlineStr">
        <is>
          <t>Perkins, Olivia</t>
        </is>
      </c>
      <c r="D401" t="inlineStr">
        <is>
          <t>(555) 553-9698</t>
        </is>
      </c>
      <c r="E401" t="inlineStr">
        <is>
          <t>olivia.perkins99@example.com</t>
        </is>
      </c>
      <c r="F401" t="inlineStr">
        <is>
          <t>CKD</t>
        </is>
      </c>
      <c r="G401" s="27" t="n"/>
      <c r="H401" s="27" t="n"/>
      <c r="I401" s="27" t="n"/>
      <c r="J401" s="27"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84"/>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5" customWidth="1" min="3" max="3"/>
    <col width="12" customWidth="1" min="4" max="4"/>
    <col width="15" customWidth="1" min="5" max="5"/>
    <col width="52" customWidth="1" min="6" max="6"/>
    <col width="13" customWidth="1" min="7" max="7"/>
  </cols>
  <sheetData>
    <row r="1">
      <c r="A1" s="25" t="inlineStr">
        <is>
          <t>EncounterID</t>
        </is>
      </c>
      <c r="B1" s="25" t="inlineStr">
        <is>
          <t>PatientID</t>
        </is>
      </c>
      <c r="C1" s="25" t="inlineStr">
        <is>
          <t>EncounterType</t>
        </is>
      </c>
      <c r="D1" s="25" t="inlineStr">
        <is>
          <t>AdmitDate</t>
        </is>
      </c>
      <c r="E1" s="25" t="inlineStr">
        <is>
          <t>PrimaryDxCode</t>
        </is>
      </c>
      <c r="F1" s="25" t="inlineStr">
        <is>
          <t>DxDescription</t>
        </is>
      </c>
      <c r="G1" s="26" t="inlineStr">
        <is>
          <t>DxCategory</t>
        </is>
      </c>
    </row>
    <row r="2">
      <c r="A2" t="inlineStr">
        <is>
          <t>ENC118912</t>
        </is>
      </c>
      <c r="B2" t="inlineStr">
        <is>
          <t>PT10335</t>
        </is>
      </c>
      <c r="C2" t="inlineStr">
        <is>
          <t>Observation</t>
        </is>
      </c>
      <c r="D2" s="28" t="n">
        <v>45931</v>
      </c>
      <c r="E2" t="inlineStr">
        <is>
          <t>R07.9</t>
        </is>
      </c>
      <c r="F2" t="inlineStr">
        <is>
          <t>Chest pain, unspecified</t>
        </is>
      </c>
      <c r="G2" s="27" t="n"/>
    </row>
    <row r="3">
      <c r="A3" t="inlineStr">
        <is>
          <t>ENC118915</t>
        </is>
      </c>
      <c r="B3" t="inlineStr">
        <is>
          <t>PT10196</t>
        </is>
      </c>
      <c r="C3" t="inlineStr">
        <is>
          <t>Inpatient</t>
        </is>
      </c>
      <c r="D3" s="28" t="n">
        <v>45931</v>
      </c>
      <c r="E3" t="inlineStr">
        <is>
          <t>J44.1</t>
        </is>
      </c>
      <c r="F3" t="inlineStr">
        <is>
          <t>Chronic obstructive pulmonary disease with (acute) exacerbation</t>
        </is>
      </c>
      <c r="G3" s="27" t="n"/>
    </row>
    <row r="4">
      <c r="A4" t="inlineStr">
        <is>
          <t>ENC118935</t>
        </is>
      </c>
      <c r="B4" t="inlineStr">
        <is>
          <t>PT10147</t>
        </is>
      </c>
      <c r="C4" t="inlineStr">
        <is>
          <t>Outpatient</t>
        </is>
      </c>
      <c r="D4" s="28" t="n">
        <v>45932</v>
      </c>
      <c r="E4" t="inlineStr">
        <is>
          <t>H66.90</t>
        </is>
      </c>
      <c r="F4" t="inlineStr">
        <is>
          <t>Otitis media, unspecified, unspecified ear</t>
        </is>
      </c>
      <c r="G4" s="27" t="n"/>
    </row>
    <row r="5">
      <c r="A5" t="inlineStr">
        <is>
          <t>ENC118945</t>
        </is>
      </c>
      <c r="B5" t="inlineStr">
        <is>
          <t>PT10171</t>
        </is>
      </c>
      <c r="C5" t="inlineStr">
        <is>
          <t>Emergency</t>
        </is>
      </c>
      <c r="D5" s="28" t="n">
        <v>45932</v>
      </c>
      <c r="E5" t="inlineStr">
        <is>
          <t>S93.401A</t>
        </is>
      </c>
      <c r="F5" t="inlineStr">
        <is>
          <t>Sprain of unspecified ligament of right ankle, initial encounter</t>
        </is>
      </c>
      <c r="G5" s="27" t="n"/>
    </row>
    <row r="6">
      <c r="A6" t="inlineStr">
        <is>
          <t>ENC118991</t>
        </is>
      </c>
      <c r="B6" t="inlineStr">
        <is>
          <t>PT10119</t>
        </is>
      </c>
      <c r="C6" t="inlineStr">
        <is>
          <t>Inpatient</t>
        </is>
      </c>
      <c r="D6" s="28" t="n">
        <v>45934</v>
      </c>
      <c r="E6" t="inlineStr">
        <is>
          <t>I63.9</t>
        </is>
      </c>
      <c r="F6" t="inlineStr">
        <is>
          <t>Cerebral infarction, unspecified</t>
        </is>
      </c>
      <c r="G6" s="27" t="n"/>
    </row>
    <row r="7">
      <c r="A7" t="inlineStr">
        <is>
          <t>ENC118999</t>
        </is>
      </c>
      <c r="B7" t="inlineStr">
        <is>
          <t>PT10095</t>
        </is>
      </c>
      <c r="C7" t="inlineStr">
        <is>
          <t>Emergency</t>
        </is>
      </c>
      <c r="D7" s="28" t="n">
        <v>45934</v>
      </c>
      <c r="E7" t="inlineStr">
        <is>
          <t>M54.50</t>
        </is>
      </c>
      <c r="F7" t="inlineStr">
        <is>
          <t>Low back pain, unspecified</t>
        </is>
      </c>
      <c r="G7" s="27" t="n"/>
    </row>
    <row r="8">
      <c r="A8" t="inlineStr">
        <is>
          <t>ENC119011</t>
        </is>
      </c>
      <c r="B8" t="inlineStr">
        <is>
          <t>PT10367</t>
        </is>
      </c>
      <c r="C8" t="inlineStr">
        <is>
          <t>Emergency</t>
        </is>
      </c>
      <c r="D8" s="28" t="n">
        <v>45935</v>
      </c>
      <c r="E8" t="inlineStr">
        <is>
          <t>I10</t>
        </is>
      </c>
      <c r="F8" t="inlineStr">
        <is>
          <t>Essential (primary) hypertension</t>
        </is>
      </c>
      <c r="G8" s="27" t="n"/>
    </row>
    <row r="9">
      <c r="A9" t="inlineStr">
        <is>
          <t>ENC119023</t>
        </is>
      </c>
      <c r="B9" t="inlineStr">
        <is>
          <t>PT10002</t>
        </is>
      </c>
      <c r="C9" t="inlineStr">
        <is>
          <t>Outpatient</t>
        </is>
      </c>
      <c r="D9" s="28" t="n">
        <v>45936</v>
      </c>
      <c r="E9" t="inlineStr">
        <is>
          <t>C50.911</t>
        </is>
      </c>
      <c r="F9" t="inlineStr">
        <is>
          <t>Malignant neoplasm of unspecified site of right female breast</t>
        </is>
      </c>
      <c r="G9" s="27" t="n"/>
    </row>
    <row r="10">
      <c r="A10" t="inlineStr">
        <is>
          <t>ENC119025</t>
        </is>
      </c>
      <c r="B10" t="inlineStr">
        <is>
          <t>PT10142</t>
        </is>
      </c>
      <c r="C10" t="inlineStr">
        <is>
          <t>Emergency</t>
        </is>
      </c>
      <c r="D10" s="28" t="n">
        <v>45936</v>
      </c>
      <c r="E10" t="inlineStr">
        <is>
          <t>L03.115</t>
        </is>
      </c>
      <c r="F10" t="inlineStr">
        <is>
          <t>Cellulitis of right lower limb</t>
        </is>
      </c>
      <c r="G10" s="27" t="n"/>
    </row>
    <row r="11">
      <c r="A11" t="inlineStr">
        <is>
          <t>ENC119038</t>
        </is>
      </c>
      <c r="B11" t="inlineStr">
        <is>
          <t>PT10239</t>
        </is>
      </c>
      <c r="C11" t="inlineStr">
        <is>
          <t>Outpatient</t>
        </is>
      </c>
      <c r="D11" s="28" t="n">
        <v>45936</v>
      </c>
      <c r="E11" t="inlineStr">
        <is>
          <t>I10</t>
        </is>
      </c>
      <c r="F11" t="inlineStr">
        <is>
          <t>Essential (primary) hypertension</t>
        </is>
      </c>
      <c r="G11" s="27" t="n"/>
    </row>
    <row r="12">
      <c r="A12" t="inlineStr">
        <is>
          <t>ENC119053</t>
        </is>
      </c>
      <c r="B12" t="inlineStr">
        <is>
          <t>PT10307</t>
        </is>
      </c>
      <c r="C12" t="inlineStr">
        <is>
          <t>Emergency</t>
        </is>
      </c>
      <c r="D12" s="28" t="n">
        <v>45936</v>
      </c>
      <c r="E12" t="inlineStr">
        <is>
          <t>F32.9</t>
        </is>
      </c>
      <c r="F12" t="inlineStr">
        <is>
          <t>Major depressive disorder, single episode, unspecified</t>
        </is>
      </c>
      <c r="G12" s="27" t="n"/>
    </row>
    <row r="13">
      <c r="A13" t="inlineStr">
        <is>
          <t>ENC119059</t>
        </is>
      </c>
      <c r="B13" t="inlineStr">
        <is>
          <t>PT10291</t>
        </is>
      </c>
      <c r="C13" t="inlineStr">
        <is>
          <t>Emergency</t>
        </is>
      </c>
      <c r="D13" s="28" t="n">
        <v>45937</v>
      </c>
      <c r="E13" t="inlineStr">
        <is>
          <t>J06.9</t>
        </is>
      </c>
      <c r="F13" t="inlineStr">
        <is>
          <t>Acute upper respiratory infection, unspecified</t>
        </is>
      </c>
      <c r="G13" s="27" t="n"/>
    </row>
    <row r="14">
      <c r="A14" t="inlineStr">
        <is>
          <t>ENC119068</t>
        </is>
      </c>
      <c r="B14" t="inlineStr">
        <is>
          <t>PT10043</t>
        </is>
      </c>
      <c r="C14" t="inlineStr">
        <is>
          <t>Inpatient</t>
        </is>
      </c>
      <c r="D14" s="28" t="n">
        <v>45937</v>
      </c>
      <c r="E14" t="inlineStr">
        <is>
          <t>E86.0</t>
        </is>
      </c>
      <c r="F14" t="inlineStr">
        <is>
          <t>Dehydration</t>
        </is>
      </c>
      <c r="G14" s="27" t="n"/>
    </row>
    <row r="15">
      <c r="A15" t="inlineStr">
        <is>
          <t>ENC119069</t>
        </is>
      </c>
      <c r="B15" t="inlineStr">
        <is>
          <t>PT10146</t>
        </is>
      </c>
      <c r="C15" t="inlineStr">
        <is>
          <t>Outpatient</t>
        </is>
      </c>
      <c r="D15" s="28" t="n">
        <v>45937</v>
      </c>
      <c r="E15" t="inlineStr">
        <is>
          <t>J45.909</t>
        </is>
      </c>
      <c r="F15" t="inlineStr">
        <is>
          <t>Unspecified asthma, uncomplicated</t>
        </is>
      </c>
      <c r="G15" s="27" t="n"/>
    </row>
    <row r="16">
      <c r="A16" t="inlineStr">
        <is>
          <t>ENC119075</t>
        </is>
      </c>
      <c r="B16" t="inlineStr">
        <is>
          <t>PT10328</t>
        </is>
      </c>
      <c r="C16" t="inlineStr">
        <is>
          <t>Outpatient</t>
        </is>
      </c>
      <c r="D16" s="28" t="n">
        <v>45937</v>
      </c>
      <c r="E16" t="inlineStr">
        <is>
          <t>C50.911</t>
        </is>
      </c>
      <c r="F16" t="inlineStr">
        <is>
          <t>Malignant neoplasm of unspecified site of right female breast</t>
        </is>
      </c>
      <c r="G16" s="27" t="n"/>
    </row>
    <row r="17">
      <c r="A17" t="inlineStr">
        <is>
          <t>ENC119079</t>
        </is>
      </c>
      <c r="B17" t="inlineStr">
        <is>
          <t>PT10126</t>
        </is>
      </c>
      <c r="C17" t="inlineStr">
        <is>
          <t>Emergency</t>
        </is>
      </c>
      <c r="D17" s="28" t="n">
        <v>45937</v>
      </c>
      <c r="E17" t="inlineStr">
        <is>
          <t>F32.9</t>
        </is>
      </c>
      <c r="F17" t="inlineStr">
        <is>
          <t>Major depressive disorder, single episode, unspecified</t>
        </is>
      </c>
      <c r="G17" s="27" t="n"/>
    </row>
    <row r="18">
      <c r="A18" t="inlineStr">
        <is>
          <t>ENC119092</t>
        </is>
      </c>
      <c r="B18" t="inlineStr">
        <is>
          <t>PT10194</t>
        </is>
      </c>
      <c r="C18" t="inlineStr">
        <is>
          <t>Inpatient</t>
        </is>
      </c>
      <c r="D18" s="28" t="n">
        <v>45938</v>
      </c>
      <c r="E18" t="inlineStr">
        <is>
          <t>F32.9</t>
        </is>
      </c>
      <c r="F18" t="inlineStr">
        <is>
          <t>Major depressive disorder, single episode, unspecified</t>
        </is>
      </c>
      <c r="G18" s="27" t="n"/>
    </row>
    <row r="19">
      <c r="A19" t="inlineStr">
        <is>
          <t>ENC119120</t>
        </is>
      </c>
      <c r="B19" t="inlineStr">
        <is>
          <t>PT10148</t>
        </is>
      </c>
      <c r="C19" t="inlineStr">
        <is>
          <t>Inpatient</t>
        </is>
      </c>
      <c r="D19" s="28" t="n">
        <v>45938</v>
      </c>
      <c r="E19" t="inlineStr">
        <is>
          <t>A41.9</t>
        </is>
      </c>
      <c r="F19" t="inlineStr">
        <is>
          <t>Sepsis, unspecified organism</t>
        </is>
      </c>
      <c r="G19" s="27" t="n"/>
    </row>
    <row r="20">
      <c r="A20" t="inlineStr">
        <is>
          <t>ENC119132</t>
        </is>
      </c>
      <c r="B20" t="inlineStr">
        <is>
          <t>PT10064</t>
        </is>
      </c>
      <c r="C20" t="inlineStr">
        <is>
          <t>Outpatient</t>
        </is>
      </c>
      <c r="D20" s="28" t="n">
        <v>45939</v>
      </c>
      <c r="E20" t="inlineStr">
        <is>
          <t>I10</t>
        </is>
      </c>
      <c r="F20" t="inlineStr">
        <is>
          <t>Essential (primary) hypertension</t>
        </is>
      </c>
      <c r="G20" s="27" t="n"/>
    </row>
    <row r="21">
      <c r="A21" t="inlineStr">
        <is>
          <t>ENC119136</t>
        </is>
      </c>
      <c r="B21" t="inlineStr">
        <is>
          <t>PT10317</t>
        </is>
      </c>
      <c r="C21" t="inlineStr">
        <is>
          <t>Outpatient</t>
        </is>
      </c>
      <c r="D21" s="28" t="n">
        <v>45939</v>
      </c>
      <c r="E21" t="inlineStr">
        <is>
          <t>F32.9</t>
        </is>
      </c>
      <c r="F21" t="inlineStr">
        <is>
          <t>Major depressive disorder, single episode, unspecified</t>
        </is>
      </c>
      <c r="G21" s="27" t="n"/>
    </row>
    <row r="22">
      <c r="A22" t="inlineStr">
        <is>
          <t>ENC119174</t>
        </is>
      </c>
      <c r="B22" t="inlineStr">
        <is>
          <t>PT10075</t>
        </is>
      </c>
      <c r="C22" t="inlineStr">
        <is>
          <t>Inpatient</t>
        </is>
      </c>
      <c r="D22" s="28" t="n">
        <v>45940</v>
      </c>
      <c r="E22" t="inlineStr">
        <is>
          <t>E11.65</t>
        </is>
      </c>
      <c r="F22" t="inlineStr">
        <is>
          <t>Type 2 diabetes mellitus with hyperglycemia</t>
        </is>
      </c>
      <c r="G22" s="27" t="n"/>
    </row>
    <row r="23">
      <c r="A23" t="inlineStr">
        <is>
          <t>ENC119209</t>
        </is>
      </c>
      <c r="B23" t="inlineStr">
        <is>
          <t>PT10375</t>
        </is>
      </c>
      <c r="C23" t="inlineStr">
        <is>
          <t>Inpatient</t>
        </is>
      </c>
      <c r="D23" s="28" t="n">
        <v>45942</v>
      </c>
      <c r="E23" t="inlineStr">
        <is>
          <t>I63.9</t>
        </is>
      </c>
      <c r="F23" t="inlineStr">
        <is>
          <t>Cerebral infarction, unspecified</t>
        </is>
      </c>
      <c r="G23" s="27" t="n"/>
    </row>
    <row r="24">
      <c r="A24" t="inlineStr">
        <is>
          <t>ENC119230</t>
        </is>
      </c>
      <c r="B24" t="inlineStr">
        <is>
          <t>PT10226</t>
        </is>
      </c>
      <c r="C24" t="inlineStr">
        <is>
          <t>Outpatient</t>
        </is>
      </c>
      <c r="D24" s="28" t="n">
        <v>45943</v>
      </c>
      <c r="E24" t="inlineStr">
        <is>
          <t>M16.11</t>
        </is>
      </c>
      <c r="F24" t="inlineStr">
        <is>
          <t>Unilateral primary osteoarthritis, right hip</t>
        </is>
      </c>
      <c r="G24" s="27" t="n"/>
    </row>
    <row r="25">
      <c r="A25" t="inlineStr">
        <is>
          <t>ENC119239</t>
        </is>
      </c>
      <c r="B25" t="inlineStr">
        <is>
          <t>PT10386</t>
        </is>
      </c>
      <c r="C25" t="inlineStr">
        <is>
          <t>Emergency</t>
        </is>
      </c>
      <c r="D25" s="28" t="n">
        <v>45943</v>
      </c>
      <c r="E25" t="inlineStr">
        <is>
          <t>N39.0</t>
        </is>
      </c>
      <c r="F25" t="inlineStr">
        <is>
          <t>Urinary tract infection, site not specified</t>
        </is>
      </c>
      <c r="G25" s="27" t="n"/>
    </row>
    <row r="26">
      <c r="A26" t="inlineStr">
        <is>
          <t>ENC119244</t>
        </is>
      </c>
      <c r="B26" t="inlineStr">
        <is>
          <t>PT10172</t>
        </is>
      </c>
      <c r="C26" t="inlineStr">
        <is>
          <t>Emergency</t>
        </is>
      </c>
      <c r="D26" s="28" t="n">
        <v>45943</v>
      </c>
      <c r="E26" t="inlineStr">
        <is>
          <t>E11.65</t>
        </is>
      </c>
      <c r="F26" t="inlineStr">
        <is>
          <t>Type 2 diabetes mellitus with hyperglycemia</t>
        </is>
      </c>
      <c r="G26" s="27" t="n"/>
    </row>
    <row r="27">
      <c r="A27" t="inlineStr">
        <is>
          <t>ENC119276</t>
        </is>
      </c>
      <c r="B27" t="inlineStr">
        <is>
          <t>PT10028</t>
        </is>
      </c>
      <c r="C27" t="inlineStr">
        <is>
          <t>Emergency</t>
        </is>
      </c>
      <c r="D27" s="28" t="n">
        <v>45944</v>
      </c>
      <c r="E27" t="inlineStr">
        <is>
          <t>H66.90</t>
        </is>
      </c>
      <c r="F27" t="inlineStr">
        <is>
          <t>Otitis media, unspecified, unspecified ear</t>
        </is>
      </c>
      <c r="G27" s="27" t="n"/>
    </row>
    <row r="28">
      <c r="A28" t="inlineStr">
        <is>
          <t>ENC119291</t>
        </is>
      </c>
      <c r="B28" t="inlineStr">
        <is>
          <t>PT10083</t>
        </is>
      </c>
      <c r="C28" t="inlineStr">
        <is>
          <t>Emergency</t>
        </is>
      </c>
      <c r="D28" s="28" t="n">
        <v>45945</v>
      </c>
      <c r="E28" t="inlineStr">
        <is>
          <t>S06.0X0A</t>
        </is>
      </c>
      <c r="F28" t="inlineStr">
        <is>
          <t>Concussion without loss of consciousness, initial encounter</t>
        </is>
      </c>
      <c r="G28" s="27" t="n"/>
    </row>
    <row r="29">
      <c r="A29" t="inlineStr">
        <is>
          <t>ENC119292</t>
        </is>
      </c>
      <c r="B29" t="inlineStr">
        <is>
          <t>PT10203</t>
        </is>
      </c>
      <c r="C29" t="inlineStr">
        <is>
          <t>Emergency</t>
        </is>
      </c>
      <c r="D29" s="28" t="n">
        <v>45945</v>
      </c>
      <c r="E29" t="inlineStr">
        <is>
          <t>G43.909</t>
        </is>
      </c>
      <c r="F29" t="inlineStr">
        <is>
          <t>Migraine, unspecified, not intractable, without status migrainosus</t>
        </is>
      </c>
      <c r="G29" s="27" t="n"/>
    </row>
    <row r="30">
      <c r="A30" t="inlineStr">
        <is>
          <t>ENC119301</t>
        </is>
      </c>
      <c r="B30" t="inlineStr">
        <is>
          <t>PT10113</t>
        </is>
      </c>
      <c r="C30" t="inlineStr">
        <is>
          <t>Inpatient</t>
        </is>
      </c>
      <c r="D30" s="28" t="n">
        <v>45945</v>
      </c>
      <c r="E30" t="inlineStr">
        <is>
          <t>I48.91</t>
        </is>
      </c>
      <c r="F30" t="inlineStr">
        <is>
          <t>Unspecified atrial fibrillation</t>
        </is>
      </c>
      <c r="G30" s="27" t="n"/>
    </row>
    <row r="31">
      <c r="A31" t="inlineStr">
        <is>
          <t>ENC119330</t>
        </is>
      </c>
      <c r="B31" t="inlineStr">
        <is>
          <t>PT10252</t>
        </is>
      </c>
      <c r="C31" t="inlineStr">
        <is>
          <t>Outpatient</t>
        </is>
      </c>
      <c r="D31" s="28" t="n">
        <v>45946</v>
      </c>
      <c r="E31" t="inlineStr">
        <is>
          <t>I10</t>
        </is>
      </c>
      <c r="F31" t="inlineStr">
        <is>
          <t>Essential (primary) hypertension</t>
        </is>
      </c>
      <c r="G31" s="27" t="n"/>
    </row>
    <row r="32">
      <c r="A32" t="inlineStr">
        <is>
          <t>ENC119333</t>
        </is>
      </c>
      <c r="B32" t="inlineStr">
        <is>
          <t>PT10151</t>
        </is>
      </c>
      <c r="C32" t="inlineStr">
        <is>
          <t>Outpatient</t>
        </is>
      </c>
      <c r="D32" s="28" t="n">
        <v>45946</v>
      </c>
      <c r="E32" t="inlineStr">
        <is>
          <t>A08.4</t>
        </is>
      </c>
      <c r="F32" t="inlineStr">
        <is>
          <t>Viral intestinal infection, unspecified</t>
        </is>
      </c>
      <c r="G32" s="27" t="n"/>
    </row>
    <row r="33">
      <c r="A33" t="inlineStr">
        <is>
          <t>ENC119341</t>
        </is>
      </c>
      <c r="B33" t="inlineStr">
        <is>
          <t>PT10240</t>
        </is>
      </c>
      <c r="C33" t="inlineStr">
        <is>
          <t>Outpatient</t>
        </is>
      </c>
      <c r="D33" s="28" t="n">
        <v>45946</v>
      </c>
      <c r="E33" t="inlineStr">
        <is>
          <t>Z00.129</t>
        </is>
      </c>
      <c r="F33" t="inlineStr">
        <is>
          <t>Encounter for routine child health examination without abnormal findings</t>
        </is>
      </c>
      <c r="G33" s="27" t="n"/>
    </row>
    <row r="34">
      <c r="A34" t="inlineStr">
        <is>
          <t>ENC119358</t>
        </is>
      </c>
      <c r="B34" t="inlineStr">
        <is>
          <t>PT10131</t>
        </is>
      </c>
      <c r="C34" t="inlineStr">
        <is>
          <t>Outpatient</t>
        </is>
      </c>
      <c r="D34" s="28" t="n">
        <v>45947</v>
      </c>
      <c r="E34" t="inlineStr">
        <is>
          <t>E11.9</t>
        </is>
      </c>
      <c r="F34" t="inlineStr">
        <is>
          <t>Type 2 diabetes mellitus without complications</t>
        </is>
      </c>
      <c r="G34" s="27" t="n"/>
    </row>
    <row r="35">
      <c r="A35" t="inlineStr">
        <is>
          <t>ENC119382</t>
        </is>
      </c>
      <c r="B35" t="inlineStr">
        <is>
          <t>PT10011</t>
        </is>
      </c>
      <c r="C35" t="inlineStr">
        <is>
          <t>Inpatient</t>
        </is>
      </c>
      <c r="D35" s="28" t="n">
        <v>45948</v>
      </c>
      <c r="E35" t="inlineStr">
        <is>
          <t>K56.609</t>
        </is>
      </c>
      <c r="F35" t="inlineStr">
        <is>
          <t>Unspecified intestinal obstruction</t>
        </is>
      </c>
      <c r="G35" s="27" t="n"/>
    </row>
    <row r="36">
      <c r="A36" t="inlineStr">
        <is>
          <t>ENC119396</t>
        </is>
      </c>
      <c r="B36" t="inlineStr">
        <is>
          <t>PT10119</t>
        </is>
      </c>
      <c r="C36" t="inlineStr">
        <is>
          <t>Emergency</t>
        </is>
      </c>
      <c r="D36" s="28" t="n">
        <v>45948</v>
      </c>
      <c r="E36" t="inlineStr">
        <is>
          <t>A08.4</t>
        </is>
      </c>
      <c r="F36" t="inlineStr">
        <is>
          <t>Viral intestinal infection, unspecified</t>
        </is>
      </c>
      <c r="G36" s="27" t="n"/>
    </row>
    <row r="37">
      <c r="A37" t="inlineStr">
        <is>
          <t>ENC119397</t>
        </is>
      </c>
      <c r="B37" t="inlineStr">
        <is>
          <t>PT10035</t>
        </is>
      </c>
      <c r="C37" t="inlineStr">
        <is>
          <t>Emergency</t>
        </is>
      </c>
      <c r="D37" s="28" t="n">
        <v>45948</v>
      </c>
      <c r="E37" t="inlineStr">
        <is>
          <t>N39.0</t>
        </is>
      </c>
      <c r="F37" t="inlineStr">
        <is>
          <t>Urinary tract infection, site not specified</t>
        </is>
      </c>
      <c r="G37" s="27" t="n"/>
    </row>
    <row r="38">
      <c r="A38" t="inlineStr">
        <is>
          <t>ENC119401</t>
        </is>
      </c>
      <c r="B38" t="inlineStr">
        <is>
          <t>PT10099</t>
        </is>
      </c>
      <c r="C38" t="inlineStr">
        <is>
          <t>Inpatient</t>
        </is>
      </c>
      <c r="D38" s="28" t="n">
        <v>45949</v>
      </c>
      <c r="E38" t="inlineStr">
        <is>
          <t>O80</t>
        </is>
      </c>
      <c r="F38" t="inlineStr">
        <is>
          <t>Encounter for full-term uncomplicated delivery</t>
        </is>
      </c>
      <c r="G38" s="27" t="n"/>
    </row>
    <row r="39">
      <c r="A39" t="inlineStr">
        <is>
          <t>ENC119418</t>
        </is>
      </c>
      <c r="B39" t="inlineStr">
        <is>
          <t>PT10285</t>
        </is>
      </c>
      <c r="C39" t="inlineStr">
        <is>
          <t>Observation</t>
        </is>
      </c>
      <c r="D39" s="28" t="n">
        <v>45950</v>
      </c>
      <c r="E39" t="inlineStr">
        <is>
          <t>R07.9</t>
        </is>
      </c>
      <c r="F39" t="inlineStr">
        <is>
          <t>Chest pain, unspecified</t>
        </is>
      </c>
      <c r="G39" s="27" t="n"/>
    </row>
    <row r="40">
      <c r="A40" t="inlineStr">
        <is>
          <t>ENC119420</t>
        </is>
      </c>
      <c r="B40" t="inlineStr">
        <is>
          <t>PT10366</t>
        </is>
      </c>
      <c r="C40" t="inlineStr">
        <is>
          <t>Inpatient</t>
        </is>
      </c>
      <c r="D40" s="28" t="n">
        <v>45950</v>
      </c>
      <c r="E40" t="inlineStr">
        <is>
          <t>E11.65</t>
        </is>
      </c>
      <c r="F40" t="inlineStr">
        <is>
          <t>Type 2 diabetes mellitus with hyperglycemia</t>
        </is>
      </c>
      <c r="G40" s="27" t="n"/>
    </row>
    <row r="41">
      <c r="A41" t="inlineStr">
        <is>
          <t>ENC119427</t>
        </is>
      </c>
      <c r="B41" t="inlineStr">
        <is>
          <t>PT10288</t>
        </is>
      </c>
      <c r="C41" t="inlineStr">
        <is>
          <t>Outpatient</t>
        </is>
      </c>
      <c r="D41" s="28" t="n">
        <v>45950</v>
      </c>
      <c r="E41" t="inlineStr">
        <is>
          <t>Z00.00</t>
        </is>
      </c>
      <c r="F41" t="inlineStr">
        <is>
          <t>Encounter for general adult medical examination without abnormal findings</t>
        </is>
      </c>
      <c r="G41" s="27" t="n"/>
    </row>
    <row r="42">
      <c r="A42" t="inlineStr">
        <is>
          <t>ENC119439</t>
        </is>
      </c>
      <c r="B42" t="inlineStr">
        <is>
          <t>PT10367</t>
        </is>
      </c>
      <c r="C42" t="inlineStr">
        <is>
          <t>Observation</t>
        </is>
      </c>
      <c r="D42" s="28" t="n">
        <v>45950</v>
      </c>
      <c r="E42" t="inlineStr">
        <is>
          <t>R10.9</t>
        </is>
      </c>
      <c r="F42" t="inlineStr">
        <is>
          <t>Unspecified abdominal pain</t>
        </is>
      </c>
      <c r="G42" s="27" t="n"/>
    </row>
    <row r="43">
      <c r="A43" t="inlineStr">
        <is>
          <t>ENC119446</t>
        </is>
      </c>
      <c r="B43" t="inlineStr">
        <is>
          <t>PT10063</t>
        </is>
      </c>
      <c r="C43" t="inlineStr">
        <is>
          <t>Inpatient</t>
        </is>
      </c>
      <c r="D43" s="28" t="n">
        <v>45950</v>
      </c>
      <c r="E43" t="inlineStr">
        <is>
          <t>J44.1</t>
        </is>
      </c>
      <c r="F43" t="inlineStr">
        <is>
          <t>Chronic obstructive pulmonary disease with (acute) exacerbation</t>
        </is>
      </c>
      <c r="G43" s="27" t="n"/>
    </row>
    <row r="44">
      <c r="A44" t="inlineStr">
        <is>
          <t>ENC119449</t>
        </is>
      </c>
      <c r="B44" t="inlineStr">
        <is>
          <t>PT10095</t>
        </is>
      </c>
      <c r="C44" t="inlineStr">
        <is>
          <t>Inpatient</t>
        </is>
      </c>
      <c r="D44" s="28" t="n">
        <v>45951</v>
      </c>
      <c r="E44" t="inlineStr">
        <is>
          <t>K92.2</t>
        </is>
      </c>
      <c r="F44" t="inlineStr">
        <is>
          <t>Gastrointestinal hemorrhage, unspecified</t>
        </is>
      </c>
      <c r="G44" s="27" t="n"/>
    </row>
    <row r="45">
      <c r="A45" t="inlineStr">
        <is>
          <t>ENC119481</t>
        </is>
      </c>
      <c r="B45" t="inlineStr">
        <is>
          <t>PT10059</t>
        </is>
      </c>
      <c r="C45" t="inlineStr">
        <is>
          <t>Inpatient</t>
        </is>
      </c>
      <c r="D45" s="28" t="n">
        <v>45952</v>
      </c>
      <c r="E45" t="inlineStr">
        <is>
          <t>O80</t>
        </is>
      </c>
      <c r="F45" t="inlineStr">
        <is>
          <t>Encounter for full-term uncomplicated delivery</t>
        </is>
      </c>
      <c r="G45" s="27" t="n"/>
    </row>
    <row r="46">
      <c r="A46" t="inlineStr">
        <is>
          <t>ENC119484</t>
        </is>
      </c>
      <c r="B46" t="inlineStr">
        <is>
          <t>PT10116</t>
        </is>
      </c>
      <c r="C46" t="inlineStr">
        <is>
          <t>Outpatient</t>
        </is>
      </c>
      <c r="D46" s="28" t="n">
        <v>45952</v>
      </c>
      <c r="E46" t="inlineStr">
        <is>
          <t>I10</t>
        </is>
      </c>
      <c r="F46" t="inlineStr">
        <is>
          <t>Essential (primary) hypertension</t>
        </is>
      </c>
      <c r="G46" s="27" t="n"/>
    </row>
    <row r="47">
      <c r="A47" t="inlineStr">
        <is>
          <t>ENC119505</t>
        </is>
      </c>
      <c r="B47" t="inlineStr">
        <is>
          <t>PT10030</t>
        </is>
      </c>
      <c r="C47" t="inlineStr">
        <is>
          <t>Outpatient</t>
        </is>
      </c>
      <c r="D47" s="28" t="n">
        <v>45952</v>
      </c>
      <c r="E47" t="inlineStr">
        <is>
          <t>F32.9</t>
        </is>
      </c>
      <c r="F47" t="inlineStr">
        <is>
          <t>Major depressive disorder, single episode, unspecified</t>
        </is>
      </c>
      <c r="G47" s="27" t="n"/>
    </row>
    <row r="48">
      <c r="A48" t="inlineStr">
        <is>
          <t>ENC119508</t>
        </is>
      </c>
      <c r="B48" t="inlineStr">
        <is>
          <t>PT10254</t>
        </is>
      </c>
      <c r="C48" t="inlineStr">
        <is>
          <t>Emergency</t>
        </is>
      </c>
      <c r="D48" s="28" t="n">
        <v>45952</v>
      </c>
      <c r="E48" t="inlineStr">
        <is>
          <t>R10.9</t>
        </is>
      </c>
      <c r="F48" t="inlineStr">
        <is>
          <t>Unspecified abdominal pain</t>
        </is>
      </c>
      <c r="G48" s="27" t="n"/>
    </row>
    <row r="49">
      <c r="A49" t="inlineStr">
        <is>
          <t>ENC119502</t>
        </is>
      </c>
      <c r="B49" t="inlineStr">
        <is>
          <t>PT10132</t>
        </is>
      </c>
      <c r="C49" t="inlineStr">
        <is>
          <t>Inpatient</t>
        </is>
      </c>
      <c r="D49" s="28" t="n">
        <v>45952</v>
      </c>
      <c r="E49" t="inlineStr">
        <is>
          <t>E11.65</t>
        </is>
      </c>
      <c r="F49" t="inlineStr">
        <is>
          <t>Type 2 diabetes mellitus with hyperglycemia</t>
        </is>
      </c>
      <c r="G49" s="27" t="n"/>
    </row>
    <row r="50">
      <c r="A50" t="inlineStr">
        <is>
          <t>ENC119521</t>
        </is>
      </c>
      <c r="B50" t="inlineStr">
        <is>
          <t>PT10025</t>
        </is>
      </c>
      <c r="C50" t="inlineStr">
        <is>
          <t>Inpatient</t>
        </is>
      </c>
      <c r="D50" s="28" t="n">
        <v>45953</v>
      </c>
      <c r="E50" t="inlineStr">
        <is>
          <t>F10.239</t>
        </is>
      </c>
      <c r="F50" t="inlineStr">
        <is>
          <t>Alcohol dependence with withdrawal, unspecified</t>
        </is>
      </c>
      <c r="G50" s="27" t="n"/>
    </row>
    <row r="51">
      <c r="A51" t="inlineStr">
        <is>
          <t>ENC119526</t>
        </is>
      </c>
      <c r="B51" t="inlineStr">
        <is>
          <t>PT10057</t>
        </is>
      </c>
      <c r="C51" t="inlineStr">
        <is>
          <t>Inpatient</t>
        </is>
      </c>
      <c r="D51" s="28" t="n">
        <v>45953</v>
      </c>
      <c r="E51" t="inlineStr">
        <is>
          <t>K35.80</t>
        </is>
      </c>
      <c r="F51" t="inlineStr">
        <is>
          <t>Unspecified acute appendicitis</t>
        </is>
      </c>
      <c r="G51" s="27" t="n"/>
    </row>
    <row r="52">
      <c r="A52" t="inlineStr">
        <is>
          <t>ENC119536</t>
        </is>
      </c>
      <c r="B52" t="inlineStr">
        <is>
          <t>PT10082</t>
        </is>
      </c>
      <c r="C52" t="inlineStr">
        <is>
          <t>Outpatient</t>
        </is>
      </c>
      <c r="D52" s="28" t="n">
        <v>45953</v>
      </c>
      <c r="E52" t="inlineStr">
        <is>
          <t>G43.909</t>
        </is>
      </c>
      <c r="F52" t="inlineStr">
        <is>
          <t>Migraine, unspecified, not intractable, without status migrainosus</t>
        </is>
      </c>
      <c r="G52" s="27" t="n"/>
    </row>
    <row r="53">
      <c r="A53" t="inlineStr">
        <is>
          <t>ENC119544</t>
        </is>
      </c>
      <c r="B53" t="inlineStr">
        <is>
          <t>PT10033</t>
        </is>
      </c>
      <c r="C53" t="inlineStr">
        <is>
          <t>Outpatient</t>
        </is>
      </c>
      <c r="D53" s="28" t="n">
        <v>45953</v>
      </c>
      <c r="E53" t="inlineStr">
        <is>
          <t>J45.909</t>
        </is>
      </c>
      <c r="F53" t="inlineStr">
        <is>
          <t>Unspecified asthma, uncomplicated</t>
        </is>
      </c>
      <c r="G53" s="27" t="n"/>
    </row>
    <row r="54">
      <c r="A54" t="inlineStr">
        <is>
          <t>ENC119547</t>
        </is>
      </c>
      <c r="B54" t="inlineStr">
        <is>
          <t>PT10319</t>
        </is>
      </c>
      <c r="C54" t="inlineStr">
        <is>
          <t>Emergency</t>
        </is>
      </c>
      <c r="D54" s="28" t="n">
        <v>45953</v>
      </c>
      <c r="E54" t="inlineStr">
        <is>
          <t>N39.0</t>
        </is>
      </c>
      <c r="F54" t="inlineStr">
        <is>
          <t>Urinary tract infection, site not specified</t>
        </is>
      </c>
      <c r="G54" s="27" t="n"/>
    </row>
    <row r="55">
      <c r="A55" t="inlineStr">
        <is>
          <t>ENC119548</t>
        </is>
      </c>
      <c r="B55" t="inlineStr">
        <is>
          <t>PT10370</t>
        </is>
      </c>
      <c r="C55" t="inlineStr">
        <is>
          <t>Emergency</t>
        </is>
      </c>
      <c r="D55" s="28" t="n">
        <v>45953</v>
      </c>
      <c r="E55" t="inlineStr">
        <is>
          <t>R07.9</t>
        </is>
      </c>
      <c r="F55" t="inlineStr">
        <is>
          <t>Chest pain, unspecified</t>
        </is>
      </c>
      <c r="G55" s="27" t="n"/>
    </row>
    <row r="56">
      <c r="A56" t="inlineStr">
        <is>
          <t>ENC119556</t>
        </is>
      </c>
      <c r="B56" t="inlineStr">
        <is>
          <t>PT10245</t>
        </is>
      </c>
      <c r="C56" t="inlineStr">
        <is>
          <t>Outpatient</t>
        </is>
      </c>
      <c r="D56" s="28" t="n">
        <v>45954</v>
      </c>
      <c r="E56" t="inlineStr">
        <is>
          <t>I10</t>
        </is>
      </c>
      <c r="F56" t="inlineStr">
        <is>
          <t>Essential (primary) hypertension</t>
        </is>
      </c>
      <c r="G56" s="27" t="n"/>
    </row>
    <row r="57">
      <c r="A57" t="inlineStr">
        <is>
          <t>ENC119557</t>
        </is>
      </c>
      <c r="B57" t="inlineStr">
        <is>
          <t>PT10142</t>
        </is>
      </c>
      <c r="C57" t="inlineStr">
        <is>
          <t>Outpatient</t>
        </is>
      </c>
      <c r="D57" s="28" t="n">
        <v>45954</v>
      </c>
      <c r="E57" t="inlineStr">
        <is>
          <t>M54.50</t>
        </is>
      </c>
      <c r="F57" t="inlineStr">
        <is>
          <t>Low back pain, unspecified</t>
        </is>
      </c>
      <c r="G57" s="27" t="n"/>
    </row>
    <row r="58">
      <c r="A58" t="inlineStr">
        <is>
          <t>ENC119567</t>
        </is>
      </c>
      <c r="B58" t="inlineStr">
        <is>
          <t>PT10163</t>
        </is>
      </c>
      <c r="C58" t="inlineStr">
        <is>
          <t>Outpatient</t>
        </is>
      </c>
      <c r="D58" s="28" t="n">
        <v>45954</v>
      </c>
      <c r="E58" t="inlineStr">
        <is>
          <t>F41.9</t>
        </is>
      </c>
      <c r="F58" t="inlineStr">
        <is>
          <t>Anxiety disorder, unspecified</t>
        </is>
      </c>
      <c r="G58" s="27" t="n"/>
    </row>
    <row r="59">
      <c r="A59" t="inlineStr">
        <is>
          <t>ENC119572</t>
        </is>
      </c>
      <c r="B59" t="inlineStr">
        <is>
          <t>PT10101</t>
        </is>
      </c>
      <c r="C59" t="inlineStr">
        <is>
          <t>Emergency</t>
        </is>
      </c>
      <c r="D59" s="28" t="n">
        <v>45954</v>
      </c>
      <c r="E59" t="inlineStr">
        <is>
          <t>M54.50</t>
        </is>
      </c>
      <c r="F59" t="inlineStr">
        <is>
          <t>Low back pain, unspecified</t>
        </is>
      </c>
      <c r="G59" s="27" t="n"/>
    </row>
    <row r="60">
      <c r="A60" t="inlineStr">
        <is>
          <t>ENC119579</t>
        </is>
      </c>
      <c r="B60" t="inlineStr">
        <is>
          <t>PT10116</t>
        </is>
      </c>
      <c r="C60" t="inlineStr">
        <is>
          <t>Emergency</t>
        </is>
      </c>
      <c r="D60" s="28" t="n">
        <v>45954</v>
      </c>
      <c r="E60" t="inlineStr">
        <is>
          <t>J06.9</t>
        </is>
      </c>
      <c r="F60" t="inlineStr">
        <is>
          <t>Acute upper respiratory infection, unspecified</t>
        </is>
      </c>
      <c r="G60" s="27" t="n"/>
    </row>
    <row r="61">
      <c r="A61" t="inlineStr">
        <is>
          <t>ENC119580</t>
        </is>
      </c>
      <c r="B61" t="inlineStr">
        <is>
          <t>PT10327</t>
        </is>
      </c>
      <c r="C61" t="inlineStr">
        <is>
          <t>Inpatient</t>
        </is>
      </c>
      <c r="D61" s="28" t="n">
        <v>45954</v>
      </c>
      <c r="E61" t="inlineStr">
        <is>
          <t>S72.001A</t>
        </is>
      </c>
      <c r="F61" t="inlineStr">
        <is>
          <t>Fracture of unspecified part of neck of right femur, initial encounter</t>
        </is>
      </c>
      <c r="G61" s="27" t="n"/>
    </row>
    <row r="62">
      <c r="A62" t="inlineStr">
        <is>
          <t>ENC119575</t>
        </is>
      </c>
      <c r="B62" t="inlineStr">
        <is>
          <t>PT10191</t>
        </is>
      </c>
      <c r="C62" t="inlineStr">
        <is>
          <t>Observation</t>
        </is>
      </c>
      <c r="D62" s="28" t="n">
        <v>45954</v>
      </c>
      <c r="E62" t="inlineStr">
        <is>
          <t>R55</t>
        </is>
      </c>
      <c r="F62" t="inlineStr">
        <is>
          <t>Syncope and collapse</t>
        </is>
      </c>
      <c r="G62" s="27" t="n"/>
    </row>
    <row r="63">
      <c r="A63" t="inlineStr">
        <is>
          <t>ENC119583</t>
        </is>
      </c>
      <c r="B63" t="inlineStr">
        <is>
          <t>PT10135</t>
        </is>
      </c>
      <c r="C63" t="inlineStr">
        <is>
          <t>Inpatient</t>
        </is>
      </c>
      <c r="D63" s="28" t="n">
        <v>45954</v>
      </c>
      <c r="E63" t="inlineStr">
        <is>
          <t>E87.1</t>
        </is>
      </c>
      <c r="F63" t="inlineStr">
        <is>
          <t>Hypo-osmolality and hyponatremia</t>
        </is>
      </c>
      <c r="G63" s="27" t="n"/>
    </row>
    <row r="64">
      <c r="A64" t="inlineStr">
        <is>
          <t>ENC119601</t>
        </is>
      </c>
      <c r="B64" t="inlineStr">
        <is>
          <t>PT10095</t>
        </is>
      </c>
      <c r="C64" t="inlineStr">
        <is>
          <t>Inpatient</t>
        </is>
      </c>
      <c r="D64" s="28" t="n">
        <v>45956</v>
      </c>
      <c r="E64" t="inlineStr">
        <is>
          <t>K92.2</t>
        </is>
      </c>
      <c r="F64" t="inlineStr">
        <is>
          <t>Gastrointestinal hemorrhage, unspecified</t>
        </is>
      </c>
      <c r="G64" s="27" t="n"/>
    </row>
    <row r="65">
      <c r="A65" t="inlineStr">
        <is>
          <t>ENC119617</t>
        </is>
      </c>
      <c r="B65" t="inlineStr">
        <is>
          <t>PT10045</t>
        </is>
      </c>
      <c r="C65" t="inlineStr">
        <is>
          <t>Emergency</t>
        </is>
      </c>
      <c r="D65" s="28" t="n">
        <v>45957</v>
      </c>
      <c r="E65" t="inlineStr">
        <is>
          <t>S93.401A</t>
        </is>
      </c>
      <c r="F65" t="inlineStr">
        <is>
          <t>Sprain of unspecified ligament of right ankle, initial encounter</t>
        </is>
      </c>
      <c r="G65" s="27" t="n"/>
    </row>
    <row r="66">
      <c r="A66" t="inlineStr">
        <is>
          <t>ENC119641</t>
        </is>
      </c>
      <c r="B66" t="inlineStr">
        <is>
          <t>PT10062</t>
        </is>
      </c>
      <c r="C66" t="inlineStr">
        <is>
          <t>Emergency</t>
        </is>
      </c>
      <c r="D66" s="28" t="n">
        <v>45957</v>
      </c>
      <c r="E66" t="inlineStr">
        <is>
          <t>L03.115</t>
        </is>
      </c>
      <c r="F66" t="inlineStr">
        <is>
          <t>Cellulitis of right lower limb</t>
        </is>
      </c>
      <c r="G66" s="27" t="n"/>
    </row>
    <row r="67">
      <c r="A67" t="inlineStr">
        <is>
          <t>ENC119640</t>
        </is>
      </c>
      <c r="B67" t="inlineStr">
        <is>
          <t>PT10058</t>
        </is>
      </c>
      <c r="C67" t="inlineStr">
        <is>
          <t>Observation</t>
        </is>
      </c>
      <c r="D67" s="28" t="n">
        <v>45957</v>
      </c>
      <c r="E67" t="inlineStr">
        <is>
          <t>M54.50</t>
        </is>
      </c>
      <c r="F67" t="inlineStr">
        <is>
          <t>Low back pain, unspecified</t>
        </is>
      </c>
      <c r="G67" s="27" t="n"/>
    </row>
    <row r="68">
      <c r="A68" t="inlineStr">
        <is>
          <t>ENC119650</t>
        </is>
      </c>
      <c r="B68" t="inlineStr">
        <is>
          <t>PT10335</t>
        </is>
      </c>
      <c r="C68" t="inlineStr">
        <is>
          <t>Outpatient</t>
        </is>
      </c>
      <c r="D68" s="28" t="n">
        <v>45958</v>
      </c>
      <c r="E68" t="inlineStr">
        <is>
          <t>M17.11</t>
        </is>
      </c>
      <c r="F68" t="inlineStr">
        <is>
          <t>Unilateral primary osteoarthritis, right knee</t>
        </is>
      </c>
      <c r="G68" s="27" t="n"/>
    </row>
    <row r="69">
      <c r="A69" t="inlineStr">
        <is>
          <t>ENC119668</t>
        </is>
      </c>
      <c r="B69" t="inlineStr">
        <is>
          <t>PT10389</t>
        </is>
      </c>
      <c r="C69" t="inlineStr">
        <is>
          <t>Outpatient</t>
        </is>
      </c>
      <c r="D69" s="28" t="n">
        <v>45958</v>
      </c>
      <c r="E69" t="inlineStr">
        <is>
          <t>I10</t>
        </is>
      </c>
      <c r="F69" t="inlineStr">
        <is>
          <t>Essential (primary) hypertension</t>
        </is>
      </c>
      <c r="G69" s="27" t="n"/>
    </row>
    <row r="70">
      <c r="A70" t="inlineStr">
        <is>
          <t>ENC119669</t>
        </is>
      </c>
      <c r="B70" t="inlineStr">
        <is>
          <t>PT10242</t>
        </is>
      </c>
      <c r="C70" t="inlineStr">
        <is>
          <t>Observation</t>
        </is>
      </c>
      <c r="D70" s="28" t="n">
        <v>45958</v>
      </c>
      <c r="E70" t="inlineStr">
        <is>
          <t>I10</t>
        </is>
      </c>
      <c r="F70" t="inlineStr">
        <is>
          <t>Essential (primary) hypertension</t>
        </is>
      </c>
      <c r="G70" s="27" t="n"/>
    </row>
    <row r="71">
      <c r="A71" t="inlineStr">
        <is>
          <t>ENC119675</t>
        </is>
      </c>
      <c r="B71" t="inlineStr">
        <is>
          <t>PT10359</t>
        </is>
      </c>
      <c r="C71" t="inlineStr">
        <is>
          <t>Outpatient</t>
        </is>
      </c>
      <c r="D71" s="28" t="n">
        <v>45958</v>
      </c>
      <c r="E71" t="inlineStr">
        <is>
          <t>Z00.129</t>
        </is>
      </c>
      <c r="F71" t="inlineStr">
        <is>
          <t>Encounter for routine child health examination without abnormal findings</t>
        </is>
      </c>
      <c r="G71" s="27" t="n"/>
    </row>
    <row r="72">
      <c r="A72" t="inlineStr">
        <is>
          <t>ENC119679</t>
        </is>
      </c>
      <c r="B72" t="inlineStr">
        <is>
          <t>PT10014</t>
        </is>
      </c>
      <c r="C72" t="inlineStr">
        <is>
          <t>Emergency</t>
        </is>
      </c>
      <c r="D72" s="28" t="n">
        <v>45958</v>
      </c>
      <c r="E72" t="inlineStr">
        <is>
          <t>E86.0</t>
        </is>
      </c>
      <c r="F72" t="inlineStr">
        <is>
          <t>Dehydration</t>
        </is>
      </c>
      <c r="G72" s="27" t="n"/>
    </row>
    <row r="73">
      <c r="A73" t="inlineStr">
        <is>
          <t>ENC119684</t>
        </is>
      </c>
      <c r="B73" t="inlineStr">
        <is>
          <t>PT10258</t>
        </is>
      </c>
      <c r="C73" t="inlineStr">
        <is>
          <t>Inpatient</t>
        </is>
      </c>
      <c r="D73" s="28" t="n">
        <v>45958</v>
      </c>
      <c r="E73" t="inlineStr">
        <is>
          <t>I48.91</t>
        </is>
      </c>
      <c r="F73" t="inlineStr">
        <is>
          <t>Unspecified atrial fibrillation</t>
        </is>
      </c>
      <c r="G73" s="27" t="n"/>
    </row>
    <row r="74">
      <c r="A74" t="inlineStr">
        <is>
          <t>ENC119691</t>
        </is>
      </c>
      <c r="B74" t="inlineStr">
        <is>
          <t>PT10320</t>
        </is>
      </c>
      <c r="C74" t="inlineStr">
        <is>
          <t>Inpatient</t>
        </is>
      </c>
      <c r="D74" s="28" t="n">
        <v>45959</v>
      </c>
      <c r="E74" t="inlineStr">
        <is>
          <t>I48.91</t>
        </is>
      </c>
      <c r="F74" t="inlineStr">
        <is>
          <t>Unspecified atrial fibrillation</t>
        </is>
      </c>
      <c r="G74" s="27" t="n"/>
    </row>
    <row r="75">
      <c r="A75" t="inlineStr">
        <is>
          <t>ENC119700</t>
        </is>
      </c>
      <c r="B75" t="inlineStr">
        <is>
          <t>PT10155</t>
        </is>
      </c>
      <c r="C75" t="inlineStr">
        <is>
          <t>Outpatient</t>
        </is>
      </c>
      <c r="D75" s="28" t="n">
        <v>45959</v>
      </c>
      <c r="E75" t="inlineStr">
        <is>
          <t>I10</t>
        </is>
      </c>
      <c r="F75" t="inlineStr">
        <is>
          <t>Essential (primary) hypertension</t>
        </is>
      </c>
      <c r="G75" s="27" t="n"/>
    </row>
    <row r="76">
      <c r="A76" t="inlineStr">
        <is>
          <t>ENC119703</t>
        </is>
      </c>
      <c r="B76" t="inlineStr">
        <is>
          <t>PT10025</t>
        </is>
      </c>
      <c r="C76" t="inlineStr">
        <is>
          <t>Inpatient</t>
        </is>
      </c>
      <c r="D76" s="28" t="n">
        <v>45959</v>
      </c>
      <c r="E76" t="inlineStr">
        <is>
          <t>N39.0</t>
        </is>
      </c>
      <c r="F76" t="inlineStr">
        <is>
          <t>Urinary tract infection, site not specified</t>
        </is>
      </c>
      <c r="G76" s="27" t="n"/>
    </row>
    <row r="77">
      <c r="A77" t="inlineStr">
        <is>
          <t>ENC119704</t>
        </is>
      </c>
      <c r="B77" t="inlineStr">
        <is>
          <t>PT10132</t>
        </is>
      </c>
      <c r="C77" t="inlineStr">
        <is>
          <t>Inpatient</t>
        </is>
      </c>
      <c r="D77" s="28" t="n">
        <v>45959</v>
      </c>
      <c r="E77" t="inlineStr">
        <is>
          <t>J44.1</t>
        </is>
      </c>
      <c r="F77" t="inlineStr">
        <is>
          <t>Chronic obstructive pulmonary disease with (acute) exacerbation</t>
        </is>
      </c>
      <c r="G77" s="27" t="n"/>
    </row>
    <row r="78">
      <c r="A78" t="inlineStr">
        <is>
          <t>ENC119723</t>
        </is>
      </c>
      <c r="B78" t="inlineStr">
        <is>
          <t>PT10236</t>
        </is>
      </c>
      <c r="C78" t="inlineStr">
        <is>
          <t>Emergency</t>
        </is>
      </c>
      <c r="D78" s="28" t="n">
        <v>45959</v>
      </c>
      <c r="E78" t="inlineStr">
        <is>
          <t>A08.4</t>
        </is>
      </c>
      <c r="F78" t="inlineStr">
        <is>
          <t>Viral intestinal infection, unspecified</t>
        </is>
      </c>
      <c r="G78" s="27" t="n"/>
    </row>
    <row r="79">
      <c r="A79" t="inlineStr">
        <is>
          <t>ENC119725</t>
        </is>
      </c>
      <c r="B79" t="inlineStr">
        <is>
          <t>PT10230</t>
        </is>
      </c>
      <c r="C79" t="inlineStr">
        <is>
          <t>Outpatient</t>
        </is>
      </c>
      <c r="D79" s="28" t="n">
        <v>45960</v>
      </c>
      <c r="E79" t="inlineStr">
        <is>
          <t>Z00.00</t>
        </is>
      </c>
      <c r="F79" t="inlineStr">
        <is>
          <t>Encounter for general adult medical examination without abnormal findings</t>
        </is>
      </c>
      <c r="G79" s="27" t="n"/>
    </row>
    <row r="80">
      <c r="A80" t="inlineStr">
        <is>
          <t>ENC119733</t>
        </is>
      </c>
      <c r="B80" t="inlineStr">
        <is>
          <t>PT10023</t>
        </is>
      </c>
      <c r="C80" t="inlineStr">
        <is>
          <t>Emergency</t>
        </is>
      </c>
      <c r="D80" s="28" t="n">
        <v>45960</v>
      </c>
      <c r="E80" t="inlineStr">
        <is>
          <t>R10.9</t>
        </is>
      </c>
      <c r="F80" t="inlineStr">
        <is>
          <t>Unspecified abdominal pain</t>
        </is>
      </c>
      <c r="G80" s="27" t="n"/>
    </row>
    <row r="81">
      <c r="A81" t="inlineStr">
        <is>
          <t>ENC119735</t>
        </is>
      </c>
      <c r="B81" t="inlineStr">
        <is>
          <t>PT10140</t>
        </is>
      </c>
      <c r="C81" t="inlineStr">
        <is>
          <t>Emergency</t>
        </is>
      </c>
      <c r="D81" s="28" t="n">
        <v>45960</v>
      </c>
      <c r="E81" t="inlineStr">
        <is>
          <t>J21.9</t>
        </is>
      </c>
      <c r="F81" t="inlineStr">
        <is>
          <t>Acute bronchiolitis, unspecified</t>
        </is>
      </c>
      <c r="G81" s="27" t="n"/>
    </row>
    <row r="82">
      <c r="A82" t="inlineStr">
        <is>
          <t>ENC119746</t>
        </is>
      </c>
      <c r="B82" t="inlineStr">
        <is>
          <t>PT10383</t>
        </is>
      </c>
      <c r="C82" t="inlineStr">
        <is>
          <t>Outpatient</t>
        </is>
      </c>
      <c r="D82" s="28" t="n">
        <v>45960</v>
      </c>
      <c r="E82" t="inlineStr">
        <is>
          <t>I48.91</t>
        </is>
      </c>
      <c r="F82" t="inlineStr">
        <is>
          <t>Unspecified atrial fibrillation</t>
        </is>
      </c>
      <c r="G82" s="27" t="n"/>
    </row>
    <row r="83">
      <c r="A83" t="inlineStr">
        <is>
          <t>ENC119778</t>
        </is>
      </c>
      <c r="B83" t="inlineStr">
        <is>
          <t>PT10055</t>
        </is>
      </c>
      <c r="C83" t="inlineStr">
        <is>
          <t>Inpatient</t>
        </is>
      </c>
      <c r="D83" s="28" t="n">
        <v>45961</v>
      </c>
      <c r="E83" t="inlineStr">
        <is>
          <t>F10.239</t>
        </is>
      </c>
      <c r="F83" t="inlineStr">
        <is>
          <t>Alcohol dependence with withdrawal, unspecified</t>
        </is>
      </c>
      <c r="G83" s="27" t="n"/>
    </row>
    <row r="84">
      <c r="A84" t="inlineStr">
        <is>
          <t>ENC119779</t>
        </is>
      </c>
      <c r="B84" t="inlineStr">
        <is>
          <t>PT10260</t>
        </is>
      </c>
      <c r="C84" t="inlineStr">
        <is>
          <t>Outpatient</t>
        </is>
      </c>
      <c r="D84" s="28" t="n">
        <v>45961</v>
      </c>
      <c r="E84" t="inlineStr">
        <is>
          <t>Z00.00</t>
        </is>
      </c>
      <c r="F84" t="inlineStr">
        <is>
          <t>Encounter for general adult medical examination without abnormal findings</t>
        </is>
      </c>
      <c r="G84" s="27" t="n"/>
    </row>
    <row r="85">
      <c r="A85" t="inlineStr">
        <is>
          <t>ENC119781</t>
        </is>
      </c>
      <c r="B85" t="inlineStr">
        <is>
          <t>PT10007</t>
        </is>
      </c>
      <c r="C85" t="inlineStr">
        <is>
          <t>Emergency</t>
        </is>
      </c>
      <c r="D85" s="28" t="n">
        <v>45961</v>
      </c>
      <c r="E85" t="inlineStr">
        <is>
          <t>K80.20</t>
        </is>
      </c>
      <c r="F85" t="inlineStr">
        <is>
          <t>Calculus of gallbladder without cholecystitis without obstruction</t>
        </is>
      </c>
      <c r="G85" s="27" t="n"/>
    </row>
    <row r="86">
      <c r="A86" t="inlineStr">
        <is>
          <t>ENC119791</t>
        </is>
      </c>
      <c r="B86" t="inlineStr">
        <is>
          <t>PT10383</t>
        </is>
      </c>
      <c r="C86" t="inlineStr">
        <is>
          <t>Outpatient</t>
        </is>
      </c>
      <c r="D86" s="28" t="n">
        <v>45961</v>
      </c>
      <c r="E86" t="inlineStr">
        <is>
          <t>E11.9</t>
        </is>
      </c>
      <c r="F86" t="inlineStr">
        <is>
          <t>Type 2 diabetes mellitus without complications</t>
        </is>
      </c>
      <c r="G86" s="27" t="n"/>
    </row>
    <row r="87">
      <c r="A87" t="inlineStr">
        <is>
          <t>ENC119790</t>
        </is>
      </c>
      <c r="B87" t="inlineStr">
        <is>
          <t>PT10369</t>
        </is>
      </c>
      <c r="C87" t="inlineStr">
        <is>
          <t>Inpatient</t>
        </is>
      </c>
      <c r="D87" s="28" t="n">
        <v>45961</v>
      </c>
      <c r="E87" t="inlineStr">
        <is>
          <t>S72.001A</t>
        </is>
      </c>
      <c r="F87" t="inlineStr">
        <is>
          <t>Fracture of unspecified part of neck of right femur, initial encounter</t>
        </is>
      </c>
      <c r="G87" s="27" t="n"/>
    </row>
    <row r="88">
      <c r="A88" t="inlineStr">
        <is>
          <t>ENC119793</t>
        </is>
      </c>
      <c r="B88" t="inlineStr">
        <is>
          <t>PT10329</t>
        </is>
      </c>
      <c r="C88" t="inlineStr">
        <is>
          <t>Observation</t>
        </is>
      </c>
      <c r="D88" s="28" t="n">
        <v>45961</v>
      </c>
      <c r="E88" t="inlineStr">
        <is>
          <t>R55</t>
        </is>
      </c>
      <c r="F88" t="inlineStr">
        <is>
          <t>Syncope and collapse</t>
        </is>
      </c>
      <c r="G88" s="27" t="n"/>
    </row>
    <row r="89">
      <c r="A89" t="inlineStr">
        <is>
          <t>ENC119803</t>
        </is>
      </c>
      <c r="B89" t="inlineStr">
        <is>
          <t>PT10174</t>
        </is>
      </c>
      <c r="C89" t="inlineStr">
        <is>
          <t>Emergency</t>
        </is>
      </c>
      <c r="D89" s="28" t="n">
        <v>45961</v>
      </c>
      <c r="E89" t="inlineStr">
        <is>
          <t>J06.9</t>
        </is>
      </c>
      <c r="F89" t="inlineStr">
        <is>
          <t>Acute upper respiratory infection, unspecified</t>
        </is>
      </c>
      <c r="G89" s="27" t="n"/>
    </row>
    <row r="90">
      <c r="A90" t="inlineStr">
        <is>
          <t>ENC119807</t>
        </is>
      </c>
      <c r="B90" t="inlineStr">
        <is>
          <t>PT10140</t>
        </is>
      </c>
      <c r="C90" t="inlineStr">
        <is>
          <t>Emergency</t>
        </is>
      </c>
      <c r="D90" s="28" t="n">
        <v>45962</v>
      </c>
      <c r="E90" t="inlineStr">
        <is>
          <t>J21.9</t>
        </is>
      </c>
      <c r="F90" t="inlineStr">
        <is>
          <t>Acute bronchiolitis, unspecified</t>
        </is>
      </c>
      <c r="G90" s="27" t="n"/>
    </row>
    <row r="91">
      <c r="A91" t="inlineStr">
        <is>
          <t>ENC119806</t>
        </is>
      </c>
      <c r="B91" t="inlineStr">
        <is>
          <t>PT10005</t>
        </is>
      </c>
      <c r="C91" t="inlineStr">
        <is>
          <t>Inpatient</t>
        </is>
      </c>
      <c r="D91" s="28" t="n">
        <v>45962</v>
      </c>
      <c r="E91" t="inlineStr">
        <is>
          <t>K56.609</t>
        </is>
      </c>
      <c r="F91" t="inlineStr">
        <is>
          <t>Unspecified intestinal obstruction</t>
        </is>
      </c>
      <c r="G91" s="27" t="n"/>
    </row>
    <row r="92">
      <c r="A92" t="inlineStr">
        <is>
          <t>ENC119815</t>
        </is>
      </c>
      <c r="B92" t="inlineStr">
        <is>
          <t>PT10048</t>
        </is>
      </c>
      <c r="C92" t="inlineStr">
        <is>
          <t>Emergency</t>
        </is>
      </c>
      <c r="D92" s="28" t="n">
        <v>45962</v>
      </c>
      <c r="E92" t="inlineStr">
        <is>
          <t>J06.9</t>
        </is>
      </c>
      <c r="F92" t="inlineStr">
        <is>
          <t>Acute upper respiratory infection, unspecified</t>
        </is>
      </c>
      <c r="G92" s="27" t="n"/>
    </row>
    <row r="93">
      <c r="A93" t="inlineStr">
        <is>
          <t>ENC119846</t>
        </is>
      </c>
      <c r="B93" t="inlineStr">
        <is>
          <t>PT10075</t>
        </is>
      </c>
      <c r="C93" t="inlineStr">
        <is>
          <t>Emergency</t>
        </is>
      </c>
      <c r="D93" s="28" t="n">
        <v>45964</v>
      </c>
      <c r="E93" t="inlineStr">
        <is>
          <t>E11.9</t>
        </is>
      </c>
      <c r="F93" t="inlineStr">
        <is>
          <t>Type 2 diabetes mellitus without complications</t>
        </is>
      </c>
      <c r="G93" s="27" t="n"/>
    </row>
    <row r="94">
      <c r="A94" t="inlineStr">
        <is>
          <t>ENC119852</t>
        </is>
      </c>
      <c r="B94" t="inlineStr">
        <is>
          <t>PT10029</t>
        </is>
      </c>
      <c r="C94" t="inlineStr">
        <is>
          <t>Outpatient</t>
        </is>
      </c>
      <c r="D94" s="28" t="n">
        <v>45964</v>
      </c>
      <c r="E94" t="inlineStr">
        <is>
          <t>Z51.11</t>
        </is>
      </c>
      <c r="F94" t="inlineStr">
        <is>
          <t>Encounter for antineoplastic chemotherapy</t>
        </is>
      </c>
      <c r="G94" s="27" t="n"/>
    </row>
    <row r="95">
      <c r="A95" t="inlineStr">
        <is>
          <t>ENC119854</t>
        </is>
      </c>
      <c r="B95" t="inlineStr">
        <is>
          <t>PT10039</t>
        </is>
      </c>
      <c r="C95" t="inlineStr">
        <is>
          <t>Outpatient</t>
        </is>
      </c>
      <c r="D95" s="28" t="n">
        <v>45964</v>
      </c>
      <c r="E95" t="inlineStr">
        <is>
          <t>J06.9</t>
        </is>
      </c>
      <c r="F95" t="inlineStr">
        <is>
          <t>Acute upper respiratory infection, unspecified</t>
        </is>
      </c>
      <c r="G95" s="27" t="n"/>
    </row>
    <row r="96">
      <c r="A96" t="inlineStr">
        <is>
          <t>ENC119855</t>
        </is>
      </c>
      <c r="B96" t="inlineStr">
        <is>
          <t>PT10138</t>
        </is>
      </c>
      <c r="C96" t="inlineStr">
        <is>
          <t>Outpatient</t>
        </is>
      </c>
      <c r="D96" s="28" t="n">
        <v>45964</v>
      </c>
      <c r="E96" t="inlineStr">
        <is>
          <t>K80.20</t>
        </is>
      </c>
      <c r="F96" t="inlineStr">
        <is>
          <t>Calculus of gallbladder without cholecystitis without obstruction</t>
        </is>
      </c>
      <c r="G96" s="27" t="n"/>
    </row>
    <row r="97">
      <c r="A97" t="inlineStr">
        <is>
          <t>ENC119862</t>
        </is>
      </c>
      <c r="B97" t="inlineStr">
        <is>
          <t>PT10285</t>
        </is>
      </c>
      <c r="C97" t="inlineStr">
        <is>
          <t>Inpatient</t>
        </is>
      </c>
      <c r="D97" s="28" t="n">
        <v>45964</v>
      </c>
      <c r="E97" t="inlineStr">
        <is>
          <t>N17.9</t>
        </is>
      </c>
      <c r="F97" t="inlineStr">
        <is>
          <t>Acute kidney failure, unspecified</t>
        </is>
      </c>
      <c r="G97" s="27" t="n"/>
    </row>
    <row r="98">
      <c r="A98" t="inlineStr">
        <is>
          <t>ENC119878</t>
        </is>
      </c>
      <c r="B98" t="inlineStr">
        <is>
          <t>PT10364</t>
        </is>
      </c>
      <c r="C98" t="inlineStr">
        <is>
          <t>Emergency</t>
        </is>
      </c>
      <c r="D98" s="28" t="n">
        <v>45965</v>
      </c>
      <c r="E98" t="inlineStr">
        <is>
          <t>L03.115</t>
        </is>
      </c>
      <c r="F98" t="inlineStr">
        <is>
          <t>Cellulitis of right lower limb</t>
        </is>
      </c>
      <c r="G98" s="27" t="n"/>
    </row>
    <row r="99">
      <c r="A99" t="inlineStr">
        <is>
          <t>ENC119885</t>
        </is>
      </c>
      <c r="B99" t="inlineStr">
        <is>
          <t>PT10075</t>
        </is>
      </c>
      <c r="C99" t="inlineStr">
        <is>
          <t>Outpatient</t>
        </is>
      </c>
      <c r="D99" s="28" t="n">
        <v>45965</v>
      </c>
      <c r="E99" t="inlineStr">
        <is>
          <t>E11.9</t>
        </is>
      </c>
      <c r="F99" t="inlineStr">
        <is>
          <t>Type 2 diabetes mellitus without complications</t>
        </is>
      </c>
      <c r="G99" s="27" t="n"/>
    </row>
    <row r="100">
      <c r="A100" t="inlineStr">
        <is>
          <t>ENC119893</t>
        </is>
      </c>
      <c r="B100" t="inlineStr">
        <is>
          <t>PT10273</t>
        </is>
      </c>
      <c r="C100" t="inlineStr">
        <is>
          <t>Outpatient</t>
        </is>
      </c>
      <c r="D100" s="28" t="n">
        <v>45965</v>
      </c>
      <c r="E100" t="inlineStr">
        <is>
          <t>J06.9</t>
        </is>
      </c>
      <c r="F100" t="inlineStr">
        <is>
          <t>Acute upper respiratory infection, unspecified</t>
        </is>
      </c>
      <c r="G100" s="27" t="n"/>
    </row>
    <row r="101">
      <c r="A101" t="inlineStr">
        <is>
          <t>ENC119920</t>
        </is>
      </c>
      <c r="B101" t="inlineStr">
        <is>
          <t>PT10223</t>
        </is>
      </c>
      <c r="C101" t="inlineStr">
        <is>
          <t>Inpatient</t>
        </is>
      </c>
      <c r="D101" s="28" t="n">
        <v>45966</v>
      </c>
      <c r="E101" t="inlineStr">
        <is>
          <t>A41.9</t>
        </is>
      </c>
      <c r="F101" t="inlineStr">
        <is>
          <t>Sepsis, unspecified organism</t>
        </is>
      </c>
      <c r="G101" s="27" t="n"/>
    </row>
    <row r="102">
      <c r="A102" t="inlineStr">
        <is>
          <t>ENC119934</t>
        </is>
      </c>
      <c r="B102" t="inlineStr">
        <is>
          <t>PT10096</t>
        </is>
      </c>
      <c r="C102" t="inlineStr">
        <is>
          <t>Outpatient</t>
        </is>
      </c>
      <c r="D102" s="28" t="n">
        <v>45966</v>
      </c>
      <c r="E102" t="inlineStr">
        <is>
          <t>Z51.11</t>
        </is>
      </c>
      <c r="F102" t="inlineStr">
        <is>
          <t>Encounter for antineoplastic chemotherapy</t>
        </is>
      </c>
      <c r="G102" s="27" t="n"/>
    </row>
    <row r="103">
      <c r="A103" t="inlineStr">
        <is>
          <t>ENC119940</t>
        </is>
      </c>
      <c r="B103" t="inlineStr">
        <is>
          <t>PT10011</t>
        </is>
      </c>
      <c r="C103" t="inlineStr">
        <is>
          <t>Outpatient</t>
        </is>
      </c>
      <c r="D103" s="28" t="n">
        <v>45966</v>
      </c>
      <c r="E103" t="inlineStr">
        <is>
          <t>Z23</t>
        </is>
      </c>
      <c r="F103" t="inlineStr">
        <is>
          <t>Encounter for immunization</t>
        </is>
      </c>
      <c r="G103" s="27" t="n"/>
    </row>
    <row r="104">
      <c r="A104" t="inlineStr">
        <is>
          <t>ENC119954</t>
        </is>
      </c>
      <c r="B104" t="inlineStr">
        <is>
          <t>PT10200</t>
        </is>
      </c>
      <c r="C104" t="inlineStr">
        <is>
          <t>Emergency</t>
        </is>
      </c>
      <c r="D104" s="28" t="n">
        <v>45966</v>
      </c>
      <c r="E104" t="inlineStr">
        <is>
          <t>J18.9</t>
        </is>
      </c>
      <c r="F104" t="inlineStr">
        <is>
          <t>Pneumonia, unspecified organism</t>
        </is>
      </c>
      <c r="G104" s="27" t="n"/>
    </row>
    <row r="105">
      <c r="A105" t="inlineStr">
        <is>
          <t>ENC119958</t>
        </is>
      </c>
      <c r="B105" t="inlineStr">
        <is>
          <t>PT10397</t>
        </is>
      </c>
      <c r="C105" t="inlineStr">
        <is>
          <t>Inpatient</t>
        </is>
      </c>
      <c r="D105" s="28" t="n">
        <v>45966</v>
      </c>
      <c r="E105" t="inlineStr">
        <is>
          <t>F32.9</t>
        </is>
      </c>
      <c r="F105" t="inlineStr">
        <is>
          <t>Major depressive disorder, single episode, unspecified</t>
        </is>
      </c>
      <c r="G105" s="27" t="n"/>
    </row>
    <row r="106">
      <c r="A106" t="inlineStr">
        <is>
          <t>ENC119957</t>
        </is>
      </c>
      <c r="B106" t="inlineStr">
        <is>
          <t>PT10331</t>
        </is>
      </c>
      <c r="C106" t="inlineStr">
        <is>
          <t>Observation</t>
        </is>
      </c>
      <c r="D106" s="28" t="n">
        <v>45966</v>
      </c>
      <c r="E106" t="inlineStr">
        <is>
          <t>J45.909</t>
        </is>
      </c>
      <c r="F106" t="inlineStr">
        <is>
          <t>Unspecified asthma, uncomplicated</t>
        </is>
      </c>
      <c r="G106" s="27" t="n"/>
    </row>
    <row r="107">
      <c r="A107" t="inlineStr">
        <is>
          <t>ENC119984</t>
        </is>
      </c>
      <c r="B107" t="inlineStr">
        <is>
          <t>PT10398</t>
        </is>
      </c>
      <c r="C107" t="inlineStr">
        <is>
          <t>Emergency</t>
        </is>
      </c>
      <c r="D107" s="28" t="n">
        <v>45967</v>
      </c>
      <c r="E107" t="inlineStr">
        <is>
          <t>U07.1</t>
        </is>
      </c>
      <c r="F107" t="inlineStr">
        <is>
          <t>COVID-19</t>
        </is>
      </c>
      <c r="G107" s="27" t="n"/>
    </row>
    <row r="108">
      <c r="A108" t="inlineStr">
        <is>
          <t>ENC120021</t>
        </is>
      </c>
      <c r="B108" t="inlineStr">
        <is>
          <t>PT10263</t>
        </is>
      </c>
      <c r="C108" t="inlineStr">
        <is>
          <t>Emergency</t>
        </is>
      </c>
      <c r="D108" s="28" t="n">
        <v>45969</v>
      </c>
      <c r="E108" t="inlineStr">
        <is>
          <t>F41.9</t>
        </is>
      </c>
      <c r="F108" t="inlineStr">
        <is>
          <t>Anxiety disorder, unspecified</t>
        </is>
      </c>
      <c r="G108" s="27" t="n"/>
    </row>
    <row r="109">
      <c r="A109" t="inlineStr">
        <is>
          <t>ENC120027</t>
        </is>
      </c>
      <c r="B109" t="inlineStr">
        <is>
          <t>PT10214</t>
        </is>
      </c>
      <c r="C109" t="inlineStr">
        <is>
          <t>Inpatient</t>
        </is>
      </c>
      <c r="D109" s="28" t="n">
        <v>45969</v>
      </c>
      <c r="E109" t="inlineStr">
        <is>
          <t>K80.20</t>
        </is>
      </c>
      <c r="F109" t="inlineStr">
        <is>
          <t>Calculus of gallbladder without cholecystitis without obstruction</t>
        </is>
      </c>
      <c r="G109" s="27" t="n"/>
    </row>
    <row r="110">
      <c r="A110" t="inlineStr">
        <is>
          <t>ENC120031</t>
        </is>
      </c>
      <c r="B110" t="inlineStr">
        <is>
          <t>PT10372</t>
        </is>
      </c>
      <c r="C110" t="inlineStr">
        <is>
          <t>Emergency</t>
        </is>
      </c>
      <c r="D110" s="28" t="n">
        <v>45969</v>
      </c>
      <c r="E110" t="inlineStr">
        <is>
          <t>R07.9</t>
        </is>
      </c>
      <c r="F110" t="inlineStr">
        <is>
          <t>Chest pain, unspecified</t>
        </is>
      </c>
      <c r="G110" s="27" t="n"/>
    </row>
    <row r="111">
      <c r="A111" t="inlineStr">
        <is>
          <t>ENC120040</t>
        </is>
      </c>
      <c r="B111" t="inlineStr">
        <is>
          <t>PT10030</t>
        </is>
      </c>
      <c r="C111" t="inlineStr">
        <is>
          <t>Emergency</t>
        </is>
      </c>
      <c r="D111" s="28" t="n">
        <v>45970</v>
      </c>
      <c r="E111" t="inlineStr">
        <is>
          <t>J06.9</t>
        </is>
      </c>
      <c r="F111" t="inlineStr">
        <is>
          <t>Acute upper respiratory infection, unspecified</t>
        </is>
      </c>
      <c r="G111" s="27" t="n"/>
    </row>
    <row r="112">
      <c r="A112" t="inlineStr">
        <is>
          <t>ENC120048</t>
        </is>
      </c>
      <c r="B112" t="inlineStr">
        <is>
          <t>PT10321</t>
        </is>
      </c>
      <c r="C112" t="inlineStr">
        <is>
          <t>Emergency</t>
        </is>
      </c>
      <c r="D112" s="28" t="n">
        <v>45970</v>
      </c>
      <c r="E112" t="inlineStr">
        <is>
          <t>J21.9</t>
        </is>
      </c>
      <c r="F112" t="inlineStr">
        <is>
          <t>Acute bronchiolitis, unspecified</t>
        </is>
      </c>
      <c r="G112" s="27" t="n"/>
    </row>
    <row r="113">
      <c r="A113" t="inlineStr">
        <is>
          <t>ENC120058</t>
        </is>
      </c>
      <c r="B113" t="inlineStr">
        <is>
          <t>PT10347</t>
        </is>
      </c>
      <c r="C113" t="inlineStr">
        <is>
          <t>Outpatient</t>
        </is>
      </c>
      <c r="D113" s="28" t="n">
        <v>45971</v>
      </c>
      <c r="E113" t="inlineStr">
        <is>
          <t>C50.911</t>
        </is>
      </c>
      <c r="F113" t="inlineStr">
        <is>
          <t>Malignant neoplasm of unspecified site of right female breast</t>
        </is>
      </c>
      <c r="G113" s="27" t="n"/>
    </row>
    <row r="114">
      <c r="A114" t="inlineStr">
        <is>
          <t>ENC120060</t>
        </is>
      </c>
      <c r="B114" t="inlineStr">
        <is>
          <t>PT10204</t>
        </is>
      </c>
      <c r="C114" t="inlineStr">
        <is>
          <t>Emergency</t>
        </is>
      </c>
      <c r="D114" s="28" t="n">
        <v>45971</v>
      </c>
      <c r="E114" t="inlineStr">
        <is>
          <t>R10.9</t>
        </is>
      </c>
      <c r="F114" t="inlineStr">
        <is>
          <t>Unspecified abdominal pain</t>
        </is>
      </c>
      <c r="G114" s="27" t="n"/>
    </row>
    <row r="115">
      <c r="A115" t="inlineStr">
        <is>
          <t>ENC120066</t>
        </is>
      </c>
      <c r="B115" t="inlineStr">
        <is>
          <t>PT10173</t>
        </is>
      </c>
      <c r="C115" t="inlineStr">
        <is>
          <t>Outpatient</t>
        </is>
      </c>
      <c r="D115" s="28" t="n">
        <v>45971</v>
      </c>
      <c r="E115" t="inlineStr">
        <is>
          <t>E11.65</t>
        </is>
      </c>
      <c r="F115" t="inlineStr">
        <is>
          <t>Type 2 diabetes mellitus with hyperglycemia</t>
        </is>
      </c>
      <c r="G115" s="27" t="n"/>
    </row>
    <row r="116">
      <c r="A116" t="inlineStr">
        <is>
          <t>ENC120088</t>
        </is>
      </c>
      <c r="B116" t="inlineStr">
        <is>
          <t>PT10288</t>
        </is>
      </c>
      <c r="C116" t="inlineStr">
        <is>
          <t>Inpatient</t>
        </is>
      </c>
      <c r="D116" s="28" t="n">
        <v>45971</v>
      </c>
      <c r="E116" t="inlineStr">
        <is>
          <t>J18.9</t>
        </is>
      </c>
      <c r="F116" t="inlineStr">
        <is>
          <t>Pneumonia, unspecified organism</t>
        </is>
      </c>
      <c r="G116" s="27" t="n"/>
    </row>
    <row r="117">
      <c r="A117" t="inlineStr">
        <is>
          <t>ENC120131</t>
        </is>
      </c>
      <c r="B117" t="inlineStr">
        <is>
          <t>PT10196</t>
        </is>
      </c>
      <c r="C117" t="inlineStr">
        <is>
          <t>Outpatient</t>
        </is>
      </c>
      <c r="D117" s="28" t="n">
        <v>45972</v>
      </c>
      <c r="E117" t="inlineStr">
        <is>
          <t>Z51.11</t>
        </is>
      </c>
      <c r="F117" t="inlineStr">
        <is>
          <t>Encounter for antineoplastic chemotherapy</t>
        </is>
      </c>
      <c r="G117" s="27" t="n"/>
    </row>
    <row r="118">
      <c r="A118" t="inlineStr">
        <is>
          <t>ENC120133</t>
        </is>
      </c>
      <c r="B118" t="inlineStr">
        <is>
          <t>PT10157</t>
        </is>
      </c>
      <c r="C118" t="inlineStr">
        <is>
          <t>Emergency</t>
        </is>
      </c>
      <c r="D118" s="28" t="n">
        <v>45972</v>
      </c>
      <c r="E118" t="inlineStr">
        <is>
          <t>J45.909</t>
        </is>
      </c>
      <c r="F118" t="inlineStr">
        <is>
          <t>Unspecified asthma, uncomplicated</t>
        </is>
      </c>
      <c r="G118" s="27" t="n"/>
    </row>
    <row r="119">
      <c r="A119" t="inlineStr">
        <is>
          <t>ENC120139</t>
        </is>
      </c>
      <c r="B119" t="inlineStr">
        <is>
          <t>PT10112</t>
        </is>
      </c>
      <c r="C119" t="inlineStr">
        <is>
          <t>Inpatient</t>
        </is>
      </c>
      <c r="D119" s="28" t="n">
        <v>45973</v>
      </c>
      <c r="E119" t="inlineStr">
        <is>
          <t>J18.9</t>
        </is>
      </c>
      <c r="F119" t="inlineStr">
        <is>
          <t>Pneumonia, unspecified organism</t>
        </is>
      </c>
      <c r="G119" s="27" t="n"/>
    </row>
    <row r="120">
      <c r="A120" t="inlineStr">
        <is>
          <t>ENC120151</t>
        </is>
      </c>
      <c r="B120" t="inlineStr">
        <is>
          <t>PT10307</t>
        </is>
      </c>
      <c r="C120" t="inlineStr">
        <is>
          <t>Emergency</t>
        </is>
      </c>
      <c r="D120" s="28" t="n">
        <v>45973</v>
      </c>
      <c r="E120" t="inlineStr">
        <is>
          <t>J44.1</t>
        </is>
      </c>
      <c r="F120" t="inlineStr">
        <is>
          <t>Chronic obstructive pulmonary disease with (acute) exacerbation</t>
        </is>
      </c>
      <c r="G120" s="27" t="n"/>
    </row>
    <row r="121">
      <c r="A121" t="inlineStr">
        <is>
          <t>ENC120159</t>
        </is>
      </c>
      <c r="B121" t="inlineStr">
        <is>
          <t>PT10099</t>
        </is>
      </c>
      <c r="C121" t="inlineStr">
        <is>
          <t>Outpatient</t>
        </is>
      </c>
      <c r="D121" s="28" t="n">
        <v>45973</v>
      </c>
      <c r="E121" t="inlineStr">
        <is>
          <t>J06.9</t>
        </is>
      </c>
      <c r="F121" t="inlineStr">
        <is>
          <t>Acute upper respiratory infection, unspecified</t>
        </is>
      </c>
      <c r="G121" s="27" t="n"/>
    </row>
    <row r="122">
      <c r="A122" t="inlineStr">
        <is>
          <t>ENC120175</t>
        </is>
      </c>
      <c r="B122" t="inlineStr">
        <is>
          <t>PT10148</t>
        </is>
      </c>
      <c r="C122" t="inlineStr">
        <is>
          <t>Inpatient</t>
        </is>
      </c>
      <c r="D122" s="28" t="n">
        <v>45974</v>
      </c>
      <c r="E122" t="inlineStr">
        <is>
          <t>J18.9</t>
        </is>
      </c>
      <c r="F122" t="inlineStr">
        <is>
          <t>Pneumonia, unspecified organism</t>
        </is>
      </c>
      <c r="G122" s="27" t="n"/>
    </row>
    <row r="123">
      <c r="A123" t="inlineStr">
        <is>
          <t>ENC120184</t>
        </is>
      </c>
      <c r="B123" t="inlineStr">
        <is>
          <t>PT10204</t>
        </is>
      </c>
      <c r="C123" t="inlineStr">
        <is>
          <t>Outpatient</t>
        </is>
      </c>
      <c r="D123" s="28" t="n">
        <v>45974</v>
      </c>
      <c r="E123" t="inlineStr">
        <is>
          <t>E11.65</t>
        </is>
      </c>
      <c r="F123" t="inlineStr">
        <is>
          <t>Type 2 diabetes mellitus with hyperglycemia</t>
        </is>
      </c>
      <c r="G123" s="27" t="n"/>
    </row>
    <row r="124">
      <c r="A124" t="inlineStr">
        <is>
          <t>ENC120190</t>
        </is>
      </c>
      <c r="B124" t="inlineStr">
        <is>
          <t>PT10215</t>
        </is>
      </c>
      <c r="C124" t="inlineStr">
        <is>
          <t>Outpatient</t>
        </is>
      </c>
      <c r="D124" s="28" t="n">
        <v>45974</v>
      </c>
      <c r="E124" t="inlineStr">
        <is>
          <t>I10</t>
        </is>
      </c>
      <c r="F124" t="inlineStr">
        <is>
          <t>Essential (primary) hypertension</t>
        </is>
      </c>
      <c r="G124" s="27" t="n"/>
    </row>
    <row r="125">
      <c r="A125" t="inlineStr">
        <is>
          <t>ENC120200</t>
        </is>
      </c>
      <c r="B125" t="inlineStr">
        <is>
          <t>PT10383</t>
        </is>
      </c>
      <c r="C125" t="inlineStr">
        <is>
          <t>Emergency</t>
        </is>
      </c>
      <c r="D125" s="28" t="n">
        <v>45974</v>
      </c>
      <c r="E125" t="inlineStr">
        <is>
          <t>J44.1</t>
        </is>
      </c>
      <c r="F125" t="inlineStr">
        <is>
          <t>Chronic obstructive pulmonary disease with (acute) exacerbation</t>
        </is>
      </c>
      <c r="G125" s="27" t="n"/>
    </row>
    <row r="126">
      <c r="A126" t="inlineStr">
        <is>
          <t>ENC120204</t>
        </is>
      </c>
      <c r="B126" t="inlineStr">
        <is>
          <t>PT10369</t>
        </is>
      </c>
      <c r="C126" t="inlineStr">
        <is>
          <t>Outpatient</t>
        </is>
      </c>
      <c r="D126" s="28" t="n">
        <v>45974</v>
      </c>
      <c r="E126" t="inlineStr">
        <is>
          <t>J06.9</t>
        </is>
      </c>
      <c r="F126" t="inlineStr">
        <is>
          <t>Acute upper respiratory infection, unspecified</t>
        </is>
      </c>
      <c r="G126" s="27" t="n"/>
    </row>
    <row r="127">
      <c r="A127" t="inlineStr">
        <is>
          <t>ENC120197</t>
        </is>
      </c>
      <c r="B127" t="inlineStr">
        <is>
          <t>PT10155</t>
        </is>
      </c>
      <c r="C127" t="inlineStr">
        <is>
          <t>Inpatient</t>
        </is>
      </c>
      <c r="D127" s="28" t="n">
        <v>45974</v>
      </c>
      <c r="E127" t="inlineStr">
        <is>
          <t>J18.9</t>
        </is>
      </c>
      <c r="F127" t="inlineStr">
        <is>
          <t>Pneumonia, unspecified organism</t>
        </is>
      </c>
      <c r="G127" s="27" t="n"/>
    </row>
    <row r="128">
      <c r="A128" t="inlineStr">
        <is>
          <t>ENC120217</t>
        </is>
      </c>
      <c r="B128" t="inlineStr">
        <is>
          <t>PT10031</t>
        </is>
      </c>
      <c r="C128" t="inlineStr">
        <is>
          <t>Outpatient</t>
        </is>
      </c>
      <c r="D128" s="28" t="n">
        <v>45975</v>
      </c>
      <c r="E128" t="inlineStr">
        <is>
          <t>I10</t>
        </is>
      </c>
      <c r="F128" t="inlineStr">
        <is>
          <t>Essential (primary) hypertension</t>
        </is>
      </c>
      <c r="G128" s="27" t="n"/>
    </row>
    <row r="129">
      <c r="A129" t="inlineStr">
        <is>
          <t>ENC120236</t>
        </is>
      </c>
      <c r="B129" t="inlineStr">
        <is>
          <t>PT10161</t>
        </is>
      </c>
      <c r="C129" t="inlineStr">
        <is>
          <t>Emergency</t>
        </is>
      </c>
      <c r="D129" s="28" t="n">
        <v>45975</v>
      </c>
      <c r="E129" t="inlineStr">
        <is>
          <t>U07.1</t>
        </is>
      </c>
      <c r="F129" t="inlineStr">
        <is>
          <t>COVID-19</t>
        </is>
      </c>
      <c r="G129" s="27" t="n"/>
    </row>
    <row r="130">
      <c r="A130" t="inlineStr">
        <is>
          <t>ENC120238</t>
        </is>
      </c>
      <c r="B130" t="inlineStr">
        <is>
          <t>PT10044</t>
        </is>
      </c>
      <c r="C130" t="inlineStr">
        <is>
          <t>Emergency</t>
        </is>
      </c>
      <c r="D130" s="28" t="n">
        <v>45976</v>
      </c>
      <c r="E130" t="inlineStr">
        <is>
          <t>A08.4</t>
        </is>
      </c>
      <c r="F130" t="inlineStr">
        <is>
          <t>Viral intestinal infection, unspecified</t>
        </is>
      </c>
      <c r="G130" s="27" t="n"/>
    </row>
    <row r="131">
      <c r="A131" t="inlineStr">
        <is>
          <t>ENC120240</t>
        </is>
      </c>
      <c r="B131" t="inlineStr">
        <is>
          <t>PT10062</t>
        </is>
      </c>
      <c r="C131" t="inlineStr">
        <is>
          <t>Emergency</t>
        </is>
      </c>
      <c r="D131" s="28" t="n">
        <v>45976</v>
      </c>
      <c r="E131" t="inlineStr">
        <is>
          <t>R10.9</t>
        </is>
      </c>
      <c r="F131" t="inlineStr">
        <is>
          <t>Unspecified abdominal pain</t>
        </is>
      </c>
      <c r="G131" s="27" t="n"/>
    </row>
    <row r="132">
      <c r="A132" t="inlineStr">
        <is>
          <t>ENC120247</t>
        </is>
      </c>
      <c r="B132" t="inlineStr">
        <is>
          <t>PT10267</t>
        </is>
      </c>
      <c r="C132" t="inlineStr">
        <is>
          <t>Emergency</t>
        </is>
      </c>
      <c r="D132" s="28" t="n">
        <v>45976</v>
      </c>
      <c r="E132" t="inlineStr">
        <is>
          <t>J18.9</t>
        </is>
      </c>
      <c r="F132" t="inlineStr">
        <is>
          <t>Pneumonia, unspecified organism</t>
        </is>
      </c>
      <c r="G132" s="27" t="n"/>
    </row>
    <row r="133">
      <c r="A133" t="inlineStr">
        <is>
          <t>ENC120268</t>
        </is>
      </c>
      <c r="B133" t="inlineStr">
        <is>
          <t>PT10275</t>
        </is>
      </c>
      <c r="C133" t="inlineStr">
        <is>
          <t>Inpatient</t>
        </is>
      </c>
      <c r="D133" s="28" t="n">
        <v>45977</v>
      </c>
      <c r="E133" t="inlineStr">
        <is>
          <t>J18.9</t>
        </is>
      </c>
      <c r="F133" t="inlineStr">
        <is>
          <t>Pneumonia, unspecified organism</t>
        </is>
      </c>
      <c r="G133" s="27" t="n"/>
    </row>
    <row r="134">
      <c r="A134" t="inlineStr">
        <is>
          <t>ENC120278</t>
        </is>
      </c>
      <c r="B134" t="inlineStr">
        <is>
          <t>PT10371</t>
        </is>
      </c>
      <c r="C134" t="inlineStr">
        <is>
          <t>Emergency</t>
        </is>
      </c>
      <c r="D134" s="28" t="n">
        <v>45977</v>
      </c>
      <c r="E134" t="inlineStr">
        <is>
          <t>N39.0</t>
        </is>
      </c>
      <c r="F134" t="inlineStr">
        <is>
          <t>Urinary tract infection, site not specified</t>
        </is>
      </c>
      <c r="G134" s="27" t="n"/>
    </row>
    <row r="135">
      <c r="A135" t="inlineStr">
        <is>
          <t>ENC120308</t>
        </is>
      </c>
      <c r="B135" t="inlineStr">
        <is>
          <t>PT10074</t>
        </is>
      </c>
      <c r="C135" t="inlineStr">
        <is>
          <t>Emergency</t>
        </is>
      </c>
      <c r="D135" s="28" t="n">
        <v>45978</v>
      </c>
      <c r="E135" t="inlineStr">
        <is>
          <t>R07.9</t>
        </is>
      </c>
      <c r="F135" t="inlineStr">
        <is>
          <t>Chest pain, unspecified</t>
        </is>
      </c>
      <c r="G135" s="27" t="n"/>
    </row>
    <row r="136">
      <c r="A136" t="inlineStr">
        <is>
          <t>ENC120333</t>
        </is>
      </c>
      <c r="B136" t="inlineStr">
        <is>
          <t>PT10035</t>
        </is>
      </c>
      <c r="C136" t="inlineStr">
        <is>
          <t>Emergency</t>
        </is>
      </c>
      <c r="D136" s="28" t="n">
        <v>45979</v>
      </c>
      <c r="E136" t="inlineStr">
        <is>
          <t>J45.909</t>
        </is>
      </c>
      <c r="F136" t="inlineStr">
        <is>
          <t>Unspecified asthma, uncomplicated</t>
        </is>
      </c>
      <c r="G136" s="27" t="n"/>
    </row>
    <row r="137">
      <c r="A137" t="inlineStr">
        <is>
          <t>ENC120348</t>
        </is>
      </c>
      <c r="B137" t="inlineStr">
        <is>
          <t>PT10243</t>
        </is>
      </c>
      <c r="C137" t="inlineStr">
        <is>
          <t>Inpatient</t>
        </is>
      </c>
      <c r="D137" s="28" t="n">
        <v>45979</v>
      </c>
      <c r="E137" t="inlineStr">
        <is>
          <t>J44.1</t>
        </is>
      </c>
      <c r="F137" t="inlineStr">
        <is>
          <t>Chronic obstructive pulmonary disease with (acute) exacerbation</t>
        </is>
      </c>
      <c r="G137" s="27" t="n"/>
    </row>
    <row r="138">
      <c r="A138" t="inlineStr">
        <is>
          <t>ENC120350</t>
        </is>
      </c>
      <c r="B138" t="inlineStr">
        <is>
          <t>PT10177</t>
        </is>
      </c>
      <c r="C138" t="inlineStr">
        <is>
          <t>Emergency</t>
        </is>
      </c>
      <c r="D138" s="28" t="n">
        <v>45979</v>
      </c>
      <c r="E138" t="inlineStr">
        <is>
          <t>F10.239</t>
        </is>
      </c>
      <c r="F138" t="inlineStr">
        <is>
          <t>Alcohol dependence with withdrawal, unspecified</t>
        </is>
      </c>
      <c r="G138" s="27" t="n"/>
    </row>
    <row r="139">
      <c r="A139" t="inlineStr">
        <is>
          <t>ENC120366</t>
        </is>
      </c>
      <c r="B139" t="inlineStr">
        <is>
          <t>PT10367</t>
        </is>
      </c>
      <c r="C139" t="inlineStr">
        <is>
          <t>Inpatient</t>
        </is>
      </c>
      <c r="D139" s="28" t="n">
        <v>45980</v>
      </c>
      <c r="E139" t="inlineStr">
        <is>
          <t>J44.1</t>
        </is>
      </c>
      <c r="F139" t="inlineStr">
        <is>
          <t>Chronic obstructive pulmonary disease with (acute) exacerbation</t>
        </is>
      </c>
      <c r="G139" s="27" t="n"/>
    </row>
    <row r="140">
      <c r="A140" t="inlineStr">
        <is>
          <t>ENC120369</t>
        </is>
      </c>
      <c r="B140" t="inlineStr">
        <is>
          <t>PT10188</t>
        </is>
      </c>
      <c r="C140" t="inlineStr">
        <is>
          <t>Emergency</t>
        </is>
      </c>
      <c r="D140" s="28" t="n">
        <v>45980</v>
      </c>
      <c r="E140" t="inlineStr">
        <is>
          <t>J06.9</t>
        </is>
      </c>
      <c r="F140" t="inlineStr">
        <is>
          <t>Acute upper respiratory infection, unspecified</t>
        </is>
      </c>
      <c r="G140" s="27" t="n"/>
    </row>
    <row r="141">
      <c r="A141" t="inlineStr">
        <is>
          <t>ENC120375</t>
        </is>
      </c>
      <c r="B141" t="inlineStr">
        <is>
          <t>PT10242</t>
        </is>
      </c>
      <c r="C141" t="inlineStr">
        <is>
          <t>Emergency</t>
        </is>
      </c>
      <c r="D141" s="28" t="n">
        <v>45980</v>
      </c>
      <c r="E141" t="inlineStr">
        <is>
          <t>J45.909</t>
        </is>
      </c>
      <c r="F141" t="inlineStr">
        <is>
          <t>Unspecified asthma, uncomplicated</t>
        </is>
      </c>
      <c r="G141" s="27" t="n"/>
    </row>
    <row r="142">
      <c r="A142" t="inlineStr">
        <is>
          <t>ENC120379</t>
        </is>
      </c>
      <c r="B142" t="inlineStr">
        <is>
          <t>PT10346</t>
        </is>
      </c>
      <c r="C142" t="inlineStr">
        <is>
          <t>Outpatient</t>
        </is>
      </c>
      <c r="D142" s="28" t="n">
        <v>45980</v>
      </c>
      <c r="E142" t="inlineStr">
        <is>
          <t>I10</t>
        </is>
      </c>
      <c r="F142" t="inlineStr">
        <is>
          <t>Essential (primary) hypertension</t>
        </is>
      </c>
      <c r="G142" s="27" t="n"/>
    </row>
    <row r="143">
      <c r="A143" t="inlineStr">
        <is>
          <t>ENC120398</t>
        </is>
      </c>
      <c r="B143" t="inlineStr">
        <is>
          <t>PT10196</t>
        </is>
      </c>
      <c r="C143" t="inlineStr">
        <is>
          <t>Emergency</t>
        </is>
      </c>
      <c r="D143" s="28" t="n">
        <v>45980</v>
      </c>
      <c r="E143" t="inlineStr">
        <is>
          <t>J06.9</t>
        </is>
      </c>
      <c r="F143" t="inlineStr">
        <is>
          <t>Acute upper respiratory infection, unspecified</t>
        </is>
      </c>
      <c r="G143" s="27" t="n"/>
    </row>
    <row r="144">
      <c r="A144" t="inlineStr">
        <is>
          <t>ENC120419</t>
        </is>
      </c>
      <c r="B144" t="inlineStr">
        <is>
          <t>PT10121</t>
        </is>
      </c>
      <c r="C144" t="inlineStr">
        <is>
          <t>Emergency</t>
        </is>
      </c>
      <c r="D144" s="28" t="n">
        <v>45981</v>
      </c>
      <c r="E144" t="inlineStr">
        <is>
          <t>G43.909</t>
        </is>
      </c>
      <c r="F144" t="inlineStr">
        <is>
          <t>Migraine, unspecified, not intractable, without status migrainosus</t>
        </is>
      </c>
      <c r="G144" s="27" t="n"/>
    </row>
    <row r="145">
      <c r="A145" t="inlineStr">
        <is>
          <t>ENC120420</t>
        </is>
      </c>
      <c r="B145" t="inlineStr">
        <is>
          <t>PT10340</t>
        </is>
      </c>
      <c r="C145" t="inlineStr">
        <is>
          <t>Emergency</t>
        </is>
      </c>
      <c r="D145" s="28" t="n">
        <v>45981</v>
      </c>
      <c r="E145" t="inlineStr">
        <is>
          <t>R10.9</t>
        </is>
      </c>
      <c r="F145" t="inlineStr">
        <is>
          <t>Unspecified abdominal pain</t>
        </is>
      </c>
      <c r="G145" s="27" t="n"/>
    </row>
    <row r="146">
      <c r="A146" t="inlineStr">
        <is>
          <t>ENC120407</t>
        </is>
      </c>
      <c r="B146" t="inlineStr">
        <is>
          <t>PT10252</t>
        </is>
      </c>
      <c r="C146" t="inlineStr">
        <is>
          <t>Inpatient</t>
        </is>
      </c>
      <c r="D146" s="28" t="n">
        <v>45981</v>
      </c>
      <c r="E146" t="inlineStr">
        <is>
          <t>J18.9</t>
        </is>
      </c>
      <c r="F146" t="inlineStr">
        <is>
          <t>Pneumonia, unspecified organism</t>
        </is>
      </c>
      <c r="G146" s="27" t="n"/>
    </row>
    <row r="147">
      <c r="A147" t="inlineStr">
        <is>
          <t>ENC120426</t>
        </is>
      </c>
      <c r="B147" t="inlineStr">
        <is>
          <t>PT10133</t>
        </is>
      </c>
      <c r="C147" t="inlineStr">
        <is>
          <t>Emergency</t>
        </is>
      </c>
      <c r="D147" s="28" t="n">
        <v>45981</v>
      </c>
      <c r="E147" t="inlineStr">
        <is>
          <t>J06.9</t>
        </is>
      </c>
      <c r="F147" t="inlineStr">
        <is>
          <t>Acute upper respiratory infection, unspecified</t>
        </is>
      </c>
      <c r="G147" s="27" t="n"/>
    </row>
    <row r="148">
      <c r="A148" t="inlineStr">
        <is>
          <t>ENC120428</t>
        </is>
      </c>
      <c r="B148" t="inlineStr">
        <is>
          <t>PT10364</t>
        </is>
      </c>
      <c r="C148" t="inlineStr">
        <is>
          <t>Outpatient</t>
        </is>
      </c>
      <c r="D148" s="28" t="n">
        <v>45981</v>
      </c>
      <c r="E148" t="inlineStr">
        <is>
          <t>J06.9</t>
        </is>
      </c>
      <c r="F148" t="inlineStr">
        <is>
          <t>Acute upper respiratory infection, unspecified</t>
        </is>
      </c>
      <c r="G148" s="27" t="n"/>
    </row>
    <row r="149">
      <c r="A149" t="inlineStr">
        <is>
          <t>ENC120438</t>
        </is>
      </c>
      <c r="B149" t="inlineStr">
        <is>
          <t>PT10153</t>
        </is>
      </c>
      <c r="C149" t="inlineStr">
        <is>
          <t>Inpatient</t>
        </is>
      </c>
      <c r="D149" s="28" t="n">
        <v>45981</v>
      </c>
      <c r="E149" t="inlineStr">
        <is>
          <t>E11.65</t>
        </is>
      </c>
      <c r="F149" t="inlineStr">
        <is>
          <t>Type 2 diabetes mellitus with hyperglycemia</t>
        </is>
      </c>
      <c r="G149" s="27" t="n"/>
    </row>
    <row r="150">
      <c r="A150" t="inlineStr">
        <is>
          <t>ENC120458</t>
        </is>
      </c>
      <c r="B150" t="inlineStr">
        <is>
          <t>PT10213</t>
        </is>
      </c>
      <c r="C150" t="inlineStr">
        <is>
          <t>Outpatient</t>
        </is>
      </c>
      <c r="D150" s="28" t="n">
        <v>45982</v>
      </c>
      <c r="E150" t="inlineStr">
        <is>
          <t>M17.11</t>
        </is>
      </c>
      <c r="F150" t="inlineStr">
        <is>
          <t>Unilateral primary osteoarthritis, right knee</t>
        </is>
      </c>
      <c r="G150" s="27" t="n"/>
    </row>
    <row r="151">
      <c r="A151" t="inlineStr">
        <is>
          <t>ENC120499</t>
        </is>
      </c>
      <c r="B151" t="inlineStr">
        <is>
          <t>PT10386</t>
        </is>
      </c>
      <c r="C151" t="inlineStr">
        <is>
          <t>Inpatient</t>
        </is>
      </c>
      <c r="D151" s="28" t="n">
        <v>45984</v>
      </c>
      <c r="E151" t="inlineStr">
        <is>
          <t>J21.9</t>
        </is>
      </c>
      <c r="F151" t="inlineStr">
        <is>
          <t>Acute bronchiolitis, unspecified</t>
        </is>
      </c>
      <c r="G151" s="27" t="n"/>
    </row>
    <row r="152">
      <c r="A152" t="inlineStr">
        <is>
          <t>ENC120503</t>
        </is>
      </c>
      <c r="B152" t="inlineStr">
        <is>
          <t>PT10290</t>
        </is>
      </c>
      <c r="C152" t="inlineStr">
        <is>
          <t>Inpatient</t>
        </is>
      </c>
      <c r="D152" s="28" t="n">
        <v>45984</v>
      </c>
      <c r="E152" t="inlineStr">
        <is>
          <t>I50.9</t>
        </is>
      </c>
      <c r="F152" t="inlineStr">
        <is>
          <t>Heart failure, unspecified</t>
        </is>
      </c>
      <c r="G152" s="27" t="n"/>
    </row>
    <row r="153">
      <c r="A153" t="inlineStr">
        <is>
          <t>ENC120510</t>
        </is>
      </c>
      <c r="B153" t="inlineStr">
        <is>
          <t>PT10080</t>
        </is>
      </c>
      <c r="C153" t="inlineStr">
        <is>
          <t>Inpatient</t>
        </is>
      </c>
      <c r="D153" s="28" t="n">
        <v>45984</v>
      </c>
      <c r="E153" t="inlineStr">
        <is>
          <t>J18.9</t>
        </is>
      </c>
      <c r="F153" t="inlineStr">
        <is>
          <t>Pneumonia, unspecified organism</t>
        </is>
      </c>
      <c r="G153" s="27" t="n"/>
    </row>
    <row r="154">
      <c r="A154" t="inlineStr">
        <is>
          <t>ENC120514</t>
        </is>
      </c>
      <c r="B154" t="inlineStr">
        <is>
          <t>PT10037</t>
        </is>
      </c>
      <c r="C154" t="inlineStr">
        <is>
          <t>Emergency</t>
        </is>
      </c>
      <c r="D154" s="28" t="n">
        <v>45985</v>
      </c>
      <c r="E154" t="inlineStr">
        <is>
          <t>J44.1</t>
        </is>
      </c>
      <c r="F154" t="inlineStr">
        <is>
          <t>Chronic obstructive pulmonary disease with (acute) exacerbation</t>
        </is>
      </c>
      <c r="G154" s="27" t="n"/>
    </row>
    <row r="155">
      <c r="A155" t="inlineStr">
        <is>
          <t>ENC120542</t>
        </is>
      </c>
      <c r="B155" t="inlineStr">
        <is>
          <t>PT10104</t>
        </is>
      </c>
      <c r="C155" t="inlineStr">
        <is>
          <t>Outpatient</t>
        </is>
      </c>
      <c r="D155" s="28" t="n">
        <v>45985</v>
      </c>
      <c r="E155" t="inlineStr">
        <is>
          <t>Z51.11</t>
        </is>
      </c>
      <c r="F155" t="inlineStr">
        <is>
          <t>Encounter for antineoplastic chemotherapy</t>
        </is>
      </c>
      <c r="G155" s="27" t="n"/>
    </row>
    <row r="156">
      <c r="A156" t="inlineStr">
        <is>
          <t>ENC120534</t>
        </is>
      </c>
      <c r="B156" t="inlineStr">
        <is>
          <t>PT10387</t>
        </is>
      </c>
      <c r="C156" t="inlineStr">
        <is>
          <t>Inpatient</t>
        </is>
      </c>
      <c r="D156" s="28" t="n">
        <v>45985</v>
      </c>
      <c r="E156" t="inlineStr">
        <is>
          <t>A41.9</t>
        </is>
      </c>
      <c r="F156" t="inlineStr">
        <is>
          <t>Sepsis, unspecified organism</t>
        </is>
      </c>
      <c r="G156" s="27" t="n"/>
    </row>
    <row r="157">
      <c r="A157" t="inlineStr">
        <is>
          <t>ENC120550</t>
        </is>
      </c>
      <c r="B157" t="inlineStr">
        <is>
          <t>PT10181</t>
        </is>
      </c>
      <c r="C157" t="inlineStr">
        <is>
          <t>Emergency</t>
        </is>
      </c>
      <c r="D157" s="28" t="n">
        <v>45985</v>
      </c>
      <c r="E157" t="inlineStr">
        <is>
          <t>G43.909</t>
        </is>
      </c>
      <c r="F157" t="inlineStr">
        <is>
          <t>Migraine, unspecified, not intractable, without status migrainosus</t>
        </is>
      </c>
      <c r="G157" s="27" t="n"/>
    </row>
    <row r="158">
      <c r="A158" t="inlineStr">
        <is>
          <t>ENC120551</t>
        </is>
      </c>
      <c r="B158" t="inlineStr">
        <is>
          <t>PT10097</t>
        </is>
      </c>
      <c r="C158" t="inlineStr">
        <is>
          <t>Inpatient</t>
        </is>
      </c>
      <c r="D158" s="28" t="n">
        <v>45985</v>
      </c>
      <c r="E158" t="inlineStr">
        <is>
          <t>J44.1</t>
        </is>
      </c>
      <c r="F158" t="inlineStr">
        <is>
          <t>Chronic obstructive pulmonary disease with (acute) exacerbation</t>
        </is>
      </c>
      <c r="G158" s="27" t="n"/>
    </row>
    <row r="159">
      <c r="A159" t="inlineStr">
        <is>
          <t>ENC120553</t>
        </is>
      </c>
      <c r="B159" t="inlineStr">
        <is>
          <t>PT10219</t>
        </is>
      </c>
      <c r="C159" t="inlineStr">
        <is>
          <t>Inpatient</t>
        </is>
      </c>
      <c r="D159" s="28" t="n">
        <v>45985</v>
      </c>
      <c r="E159" t="inlineStr">
        <is>
          <t>I48.91</t>
        </is>
      </c>
      <c r="F159" t="inlineStr">
        <is>
          <t>Unspecified atrial fibrillation</t>
        </is>
      </c>
      <c r="G159" s="27" t="n"/>
    </row>
    <row r="160">
      <c r="A160" t="inlineStr">
        <is>
          <t>ENC120558</t>
        </is>
      </c>
      <c r="B160" t="inlineStr">
        <is>
          <t>PT10235</t>
        </is>
      </c>
      <c r="C160" t="inlineStr">
        <is>
          <t>Observation</t>
        </is>
      </c>
      <c r="D160" s="28" t="n">
        <v>45986</v>
      </c>
      <c r="E160" t="inlineStr">
        <is>
          <t>R10.9</t>
        </is>
      </c>
      <c r="F160" t="inlineStr">
        <is>
          <t>Unspecified abdominal pain</t>
        </is>
      </c>
      <c r="G160" s="27" t="n"/>
    </row>
    <row r="161">
      <c r="A161" t="inlineStr">
        <is>
          <t>ENC120572</t>
        </is>
      </c>
      <c r="B161" t="inlineStr">
        <is>
          <t>PT10065</t>
        </is>
      </c>
      <c r="C161" t="inlineStr">
        <is>
          <t>Emergency</t>
        </is>
      </c>
      <c r="D161" s="28" t="n">
        <v>45986</v>
      </c>
      <c r="E161" t="inlineStr">
        <is>
          <t>F32.9</t>
        </is>
      </c>
      <c r="F161" t="inlineStr">
        <is>
          <t>Major depressive disorder, single episode, unspecified</t>
        </is>
      </c>
      <c r="G161" s="27" t="n"/>
    </row>
    <row r="162">
      <c r="A162" t="inlineStr">
        <is>
          <t>ENC120579</t>
        </is>
      </c>
      <c r="B162" t="inlineStr">
        <is>
          <t>PT10331</t>
        </is>
      </c>
      <c r="C162" t="inlineStr">
        <is>
          <t>Outpatient</t>
        </is>
      </c>
      <c r="D162" s="28" t="n">
        <v>45986</v>
      </c>
      <c r="E162" t="inlineStr">
        <is>
          <t>F32.9</t>
        </is>
      </c>
      <c r="F162" t="inlineStr">
        <is>
          <t>Major depressive disorder, single episode, unspecified</t>
        </is>
      </c>
      <c r="G162" s="27" t="n"/>
    </row>
    <row r="163">
      <c r="A163" t="inlineStr">
        <is>
          <t>ENC120584</t>
        </is>
      </c>
      <c r="B163" t="inlineStr">
        <is>
          <t>PT10364</t>
        </is>
      </c>
      <c r="C163" t="inlineStr">
        <is>
          <t>Inpatient</t>
        </is>
      </c>
      <c r="D163" s="28" t="n">
        <v>45986</v>
      </c>
      <c r="E163" t="inlineStr">
        <is>
          <t>J44.1</t>
        </is>
      </c>
      <c r="F163" t="inlineStr">
        <is>
          <t>Chronic obstructive pulmonary disease with (acute) exacerbation</t>
        </is>
      </c>
      <c r="G163" s="27" t="n"/>
    </row>
    <row r="164">
      <c r="A164" t="inlineStr">
        <is>
          <t>ENC120608</t>
        </is>
      </c>
      <c r="B164" t="inlineStr">
        <is>
          <t>PT10279</t>
        </is>
      </c>
      <c r="C164" t="inlineStr">
        <is>
          <t>Outpatient</t>
        </is>
      </c>
      <c r="D164" s="28" t="n">
        <v>45987</v>
      </c>
      <c r="E164" t="inlineStr">
        <is>
          <t>H66.90</t>
        </is>
      </c>
      <c r="F164" t="inlineStr">
        <is>
          <t>Otitis media, unspecified, unspecified ear</t>
        </is>
      </c>
      <c r="G164" s="27" t="n"/>
    </row>
    <row r="165">
      <c r="A165" t="inlineStr">
        <is>
          <t>ENC120635</t>
        </is>
      </c>
      <c r="B165" t="inlineStr">
        <is>
          <t>PT10010</t>
        </is>
      </c>
      <c r="C165" t="inlineStr">
        <is>
          <t>Emergency</t>
        </is>
      </c>
      <c r="D165" s="28" t="n">
        <v>45988</v>
      </c>
      <c r="E165" t="inlineStr">
        <is>
          <t>S93.401A</t>
        </is>
      </c>
      <c r="F165" t="inlineStr">
        <is>
          <t>Sprain of unspecified ligament of right ankle, initial encounter</t>
        </is>
      </c>
      <c r="G165" s="27" t="n"/>
    </row>
    <row r="166">
      <c r="A166" t="inlineStr">
        <is>
          <t>ENC120643</t>
        </is>
      </c>
      <c r="B166" t="inlineStr">
        <is>
          <t>PT10153</t>
        </is>
      </c>
      <c r="C166" t="inlineStr">
        <is>
          <t>Inpatient</t>
        </is>
      </c>
      <c r="D166" s="28" t="n">
        <v>45988</v>
      </c>
      <c r="E166" t="inlineStr">
        <is>
          <t>J18.9</t>
        </is>
      </c>
      <c r="F166" t="inlineStr">
        <is>
          <t>Pneumonia, unspecified organism</t>
        </is>
      </c>
      <c r="G166" s="27" t="n"/>
    </row>
    <row r="167">
      <c r="A167" t="inlineStr">
        <is>
          <t>ENC120664</t>
        </is>
      </c>
      <c r="B167" t="inlineStr">
        <is>
          <t>PT10373</t>
        </is>
      </c>
      <c r="C167" t="inlineStr">
        <is>
          <t>Emergency</t>
        </is>
      </c>
      <c r="D167" s="28" t="n">
        <v>45989</v>
      </c>
      <c r="E167" t="inlineStr">
        <is>
          <t>J18.9</t>
        </is>
      </c>
      <c r="F167" t="inlineStr">
        <is>
          <t>Pneumonia, unspecified organism</t>
        </is>
      </c>
      <c r="G167" s="27" t="n"/>
    </row>
    <row r="168">
      <c r="A168" t="inlineStr">
        <is>
          <t>ENC120668</t>
        </is>
      </c>
      <c r="B168" t="inlineStr">
        <is>
          <t>PT10209</t>
        </is>
      </c>
      <c r="C168" t="inlineStr">
        <is>
          <t>Outpatient</t>
        </is>
      </c>
      <c r="D168" s="28" t="n">
        <v>45989</v>
      </c>
      <c r="E168" t="inlineStr">
        <is>
          <t>Z23</t>
        </is>
      </c>
      <c r="F168" t="inlineStr">
        <is>
          <t>Encounter for immunization</t>
        </is>
      </c>
      <c r="G168" s="27" t="n"/>
    </row>
    <row r="169">
      <c r="A169" t="inlineStr">
        <is>
          <t>ENC120701</t>
        </is>
      </c>
      <c r="B169" t="inlineStr">
        <is>
          <t>PT10270</t>
        </is>
      </c>
      <c r="C169" t="inlineStr">
        <is>
          <t>Inpatient</t>
        </is>
      </c>
      <c r="D169" s="28" t="n">
        <v>45990</v>
      </c>
      <c r="E169" t="inlineStr">
        <is>
          <t>K92.2</t>
        </is>
      </c>
      <c r="F169" t="inlineStr">
        <is>
          <t>Gastrointestinal hemorrhage, unspecified</t>
        </is>
      </c>
      <c r="G169" s="27" t="n"/>
    </row>
    <row r="170">
      <c r="A170" t="inlineStr">
        <is>
          <t>ENC120716</t>
        </is>
      </c>
      <c r="B170" t="inlineStr">
        <is>
          <t>PT10111</t>
        </is>
      </c>
      <c r="C170" t="inlineStr">
        <is>
          <t>Emergency</t>
        </is>
      </c>
      <c r="D170" s="28" t="n">
        <v>45991</v>
      </c>
      <c r="E170" t="inlineStr">
        <is>
          <t>H66.90</t>
        </is>
      </c>
      <c r="F170" t="inlineStr">
        <is>
          <t>Otitis media, unspecified, unspecified ear</t>
        </is>
      </c>
      <c r="G170" s="27" t="n"/>
    </row>
    <row r="171">
      <c r="A171" t="inlineStr">
        <is>
          <t>ENC120726</t>
        </is>
      </c>
      <c r="B171" t="inlineStr">
        <is>
          <t>PT10080</t>
        </is>
      </c>
      <c r="C171" t="inlineStr">
        <is>
          <t>Inpatient</t>
        </is>
      </c>
      <c r="D171" s="28" t="n">
        <v>45991</v>
      </c>
      <c r="E171" t="inlineStr">
        <is>
          <t>J18.9</t>
        </is>
      </c>
      <c r="F171" t="inlineStr">
        <is>
          <t>Pneumonia, unspecified organism</t>
        </is>
      </c>
      <c r="G171" s="27" t="n"/>
    </row>
    <row r="172">
      <c r="A172" t="inlineStr">
        <is>
          <t>ENC120731</t>
        </is>
      </c>
      <c r="B172" t="inlineStr">
        <is>
          <t>PT10243</t>
        </is>
      </c>
      <c r="C172" t="inlineStr">
        <is>
          <t>Emergency</t>
        </is>
      </c>
      <c r="D172" s="28" t="n">
        <v>45991</v>
      </c>
      <c r="E172" t="inlineStr">
        <is>
          <t>G43.909</t>
        </is>
      </c>
      <c r="F172" t="inlineStr">
        <is>
          <t>Migraine, unspecified, not intractable, without status migrainosus</t>
        </is>
      </c>
      <c r="G172" s="27" t="n"/>
    </row>
    <row r="173">
      <c r="A173" t="inlineStr">
        <is>
          <t>ENC120734</t>
        </is>
      </c>
      <c r="B173" t="inlineStr">
        <is>
          <t>PT10001</t>
        </is>
      </c>
      <c r="C173" t="inlineStr">
        <is>
          <t>Observation</t>
        </is>
      </c>
      <c r="D173" s="28" t="n">
        <v>45992</v>
      </c>
      <c r="E173" t="inlineStr">
        <is>
          <t>J18.9</t>
        </is>
      </c>
      <c r="F173" t="inlineStr">
        <is>
          <t>Pneumonia, unspecified organism</t>
        </is>
      </c>
      <c r="G173" s="27" t="n"/>
    </row>
    <row r="174">
      <c r="A174" t="inlineStr">
        <is>
          <t>ENC120757</t>
        </is>
      </c>
      <c r="B174" t="inlineStr">
        <is>
          <t>PT10373</t>
        </is>
      </c>
      <c r="C174" t="inlineStr">
        <is>
          <t>Outpatient</t>
        </is>
      </c>
      <c r="D174" s="28" t="n">
        <v>45992</v>
      </c>
      <c r="E174" t="inlineStr">
        <is>
          <t>E78.5</t>
        </is>
      </c>
      <c r="F174" t="inlineStr">
        <is>
          <t>Hyperlipidemia, unspecified</t>
        </is>
      </c>
      <c r="G174" s="27" t="n"/>
    </row>
    <row r="175">
      <c r="A175" t="inlineStr">
        <is>
          <t>ENC120759</t>
        </is>
      </c>
      <c r="B175" t="inlineStr">
        <is>
          <t>PT10120</t>
        </is>
      </c>
      <c r="C175" t="inlineStr">
        <is>
          <t>Inpatient</t>
        </is>
      </c>
      <c r="D175" s="28" t="n">
        <v>45992</v>
      </c>
      <c r="E175" t="inlineStr">
        <is>
          <t>F32.9</t>
        </is>
      </c>
      <c r="F175" t="inlineStr">
        <is>
          <t>Major depressive disorder, single episode, unspecified</t>
        </is>
      </c>
      <c r="G175" s="27" t="n"/>
    </row>
    <row r="176">
      <c r="A176" t="inlineStr">
        <is>
          <t>ENC120766</t>
        </is>
      </c>
      <c r="B176" t="inlineStr">
        <is>
          <t>PT10370</t>
        </is>
      </c>
      <c r="C176" t="inlineStr">
        <is>
          <t>Outpatient</t>
        </is>
      </c>
      <c r="D176" s="28" t="n">
        <v>45992</v>
      </c>
      <c r="E176" t="inlineStr">
        <is>
          <t>A08.4</t>
        </is>
      </c>
      <c r="F176" t="inlineStr">
        <is>
          <t>Viral intestinal infection, unspecified</t>
        </is>
      </c>
      <c r="G176" s="27" t="n"/>
    </row>
    <row r="177">
      <c r="A177" t="inlineStr">
        <is>
          <t>ENC120773</t>
        </is>
      </c>
      <c r="B177" t="inlineStr">
        <is>
          <t>PT10261</t>
        </is>
      </c>
      <c r="C177" t="inlineStr">
        <is>
          <t>Inpatient</t>
        </is>
      </c>
      <c r="D177" s="28" t="n">
        <v>45992</v>
      </c>
      <c r="E177" t="inlineStr">
        <is>
          <t>J21.9</t>
        </is>
      </c>
      <c r="F177" t="inlineStr">
        <is>
          <t>Acute bronchiolitis, unspecified</t>
        </is>
      </c>
      <c r="G177" s="27" t="n"/>
    </row>
    <row r="178">
      <c r="A178" t="inlineStr">
        <is>
          <t>ENC120777</t>
        </is>
      </c>
      <c r="B178" t="inlineStr">
        <is>
          <t>PT10271</t>
        </is>
      </c>
      <c r="C178" t="inlineStr">
        <is>
          <t>Emergency</t>
        </is>
      </c>
      <c r="D178" s="28" t="n">
        <v>45992</v>
      </c>
      <c r="E178" t="inlineStr">
        <is>
          <t>J06.9</t>
        </is>
      </c>
      <c r="F178" t="inlineStr">
        <is>
          <t>Acute upper respiratory infection, unspecified</t>
        </is>
      </c>
      <c r="G178" s="27" t="n"/>
    </row>
    <row r="179">
      <c r="A179" t="inlineStr">
        <is>
          <t>ENC120784</t>
        </is>
      </c>
      <c r="B179" t="inlineStr">
        <is>
          <t>PT10007</t>
        </is>
      </c>
      <c r="C179" t="inlineStr">
        <is>
          <t>Emergency</t>
        </is>
      </c>
      <c r="D179" s="28" t="n">
        <v>45993</v>
      </c>
      <c r="E179" t="inlineStr">
        <is>
          <t>J06.9</t>
        </is>
      </c>
      <c r="F179" t="inlineStr">
        <is>
          <t>Acute upper respiratory infection, unspecified</t>
        </is>
      </c>
      <c r="G179" s="27" t="n"/>
    </row>
    <row r="180">
      <c r="A180" t="inlineStr">
        <is>
          <t>ENC120796</t>
        </is>
      </c>
      <c r="B180" t="inlineStr">
        <is>
          <t>PT10047</t>
        </is>
      </c>
      <c r="C180" t="inlineStr">
        <is>
          <t>Outpatient</t>
        </is>
      </c>
      <c r="D180" s="28" t="n">
        <v>45993</v>
      </c>
      <c r="E180" t="inlineStr">
        <is>
          <t>Z00.129</t>
        </is>
      </c>
      <c r="F180" t="inlineStr">
        <is>
          <t>Encounter for routine child health examination without abnormal findings</t>
        </is>
      </c>
      <c r="G180" s="27" t="n"/>
    </row>
    <row r="181">
      <c r="A181" t="inlineStr">
        <is>
          <t>ENC120799</t>
        </is>
      </c>
      <c r="B181" t="inlineStr">
        <is>
          <t>PT10011</t>
        </is>
      </c>
      <c r="C181" t="inlineStr">
        <is>
          <t>Outpatient</t>
        </is>
      </c>
      <c r="D181" s="28" t="n">
        <v>45993</v>
      </c>
      <c r="E181" t="inlineStr">
        <is>
          <t>I48.91</t>
        </is>
      </c>
      <c r="F181" t="inlineStr">
        <is>
          <t>Unspecified atrial fibrillation</t>
        </is>
      </c>
      <c r="G181" s="27" t="n"/>
    </row>
    <row r="182">
      <c r="A182" t="inlineStr">
        <is>
          <t>ENC120798</t>
        </is>
      </c>
      <c r="B182" t="inlineStr">
        <is>
          <t>PT10243</t>
        </is>
      </c>
      <c r="C182" t="inlineStr">
        <is>
          <t>Inpatient</t>
        </is>
      </c>
      <c r="D182" s="28" t="n">
        <v>45993</v>
      </c>
      <c r="E182" t="inlineStr">
        <is>
          <t>E11.65</t>
        </is>
      </c>
      <c r="F182" t="inlineStr">
        <is>
          <t>Type 2 diabetes mellitus with hyperglycemia</t>
        </is>
      </c>
      <c r="G182" s="27" t="n"/>
    </row>
    <row r="183">
      <c r="A183" t="inlineStr">
        <is>
          <t>ENC120817</t>
        </is>
      </c>
      <c r="B183" t="inlineStr">
        <is>
          <t>PT10282</t>
        </is>
      </c>
      <c r="C183" t="inlineStr">
        <is>
          <t>Emergency</t>
        </is>
      </c>
      <c r="D183" s="28" t="n">
        <v>45993</v>
      </c>
      <c r="E183" t="inlineStr">
        <is>
          <t>N39.0</t>
        </is>
      </c>
      <c r="F183" t="inlineStr">
        <is>
          <t>Urinary tract infection, site not specified</t>
        </is>
      </c>
      <c r="G183" s="27" t="n"/>
    </row>
    <row r="184">
      <c r="A184" t="inlineStr">
        <is>
          <t>ENC120814</t>
        </is>
      </c>
      <c r="B184" t="inlineStr">
        <is>
          <t>PT10141</t>
        </is>
      </c>
      <c r="C184" t="inlineStr">
        <is>
          <t>Inpatient</t>
        </is>
      </c>
      <c r="D184" s="28" t="n">
        <v>45993</v>
      </c>
      <c r="E184" t="inlineStr">
        <is>
          <t>E87.1</t>
        </is>
      </c>
      <c r="F184" t="inlineStr">
        <is>
          <t>Hypo-osmolality and hyponatremia</t>
        </is>
      </c>
      <c r="G184" s="27" t="n"/>
    </row>
    <row r="185">
      <c r="A185" t="inlineStr">
        <is>
          <t>ENC120826</t>
        </is>
      </c>
      <c r="B185" t="inlineStr">
        <is>
          <t>PT10268</t>
        </is>
      </c>
      <c r="C185" t="inlineStr">
        <is>
          <t>Observation</t>
        </is>
      </c>
      <c r="D185" s="28" t="n">
        <v>45994</v>
      </c>
      <c r="E185" t="inlineStr">
        <is>
          <t>N39.0</t>
        </is>
      </c>
      <c r="F185" t="inlineStr">
        <is>
          <t>Urinary tract infection, site not specified</t>
        </is>
      </c>
      <c r="G185" s="27" t="n"/>
    </row>
    <row r="186">
      <c r="A186" t="inlineStr">
        <is>
          <t>ENC120836</t>
        </is>
      </c>
      <c r="B186" t="inlineStr">
        <is>
          <t>PT10385</t>
        </is>
      </c>
      <c r="C186" t="inlineStr">
        <is>
          <t>Outpatient</t>
        </is>
      </c>
      <c r="D186" s="28" t="n">
        <v>45994</v>
      </c>
      <c r="E186" t="inlineStr">
        <is>
          <t>E11.9</t>
        </is>
      </c>
      <c r="F186" t="inlineStr">
        <is>
          <t>Type 2 diabetes mellitus without complications</t>
        </is>
      </c>
      <c r="G186" s="27" t="n"/>
    </row>
    <row r="187">
      <c r="A187" t="inlineStr">
        <is>
          <t>ENC120859</t>
        </is>
      </c>
      <c r="B187" t="inlineStr">
        <is>
          <t>PT10213</t>
        </is>
      </c>
      <c r="C187" t="inlineStr">
        <is>
          <t>Inpatient</t>
        </is>
      </c>
      <c r="D187" s="28" t="n">
        <v>45994</v>
      </c>
      <c r="E187" t="inlineStr">
        <is>
          <t>K56.609</t>
        </is>
      </c>
      <c r="F187" t="inlineStr">
        <is>
          <t>Unspecified intestinal obstruction</t>
        </is>
      </c>
      <c r="G187" s="27" t="n"/>
    </row>
    <row r="188">
      <c r="A188" t="inlineStr">
        <is>
          <t>ENC120867</t>
        </is>
      </c>
      <c r="B188" t="inlineStr">
        <is>
          <t>PT10306</t>
        </is>
      </c>
      <c r="C188" t="inlineStr">
        <is>
          <t>Inpatient</t>
        </is>
      </c>
      <c r="D188" s="28" t="n">
        <v>45995</v>
      </c>
      <c r="E188" t="inlineStr">
        <is>
          <t>U07.1</t>
        </is>
      </c>
      <c r="F188" t="inlineStr">
        <is>
          <t>COVID-19</t>
        </is>
      </c>
      <c r="G188" s="27" t="n"/>
    </row>
    <row r="189">
      <c r="A189" t="inlineStr">
        <is>
          <t>ENC120876</t>
        </is>
      </c>
      <c r="B189" t="inlineStr">
        <is>
          <t>PT10184</t>
        </is>
      </c>
      <c r="C189" t="inlineStr">
        <is>
          <t>Outpatient</t>
        </is>
      </c>
      <c r="D189" s="28" t="n">
        <v>45995</v>
      </c>
      <c r="E189" t="inlineStr">
        <is>
          <t>J06.9</t>
        </is>
      </c>
      <c r="F189" t="inlineStr">
        <is>
          <t>Acute upper respiratory infection, unspecified</t>
        </is>
      </c>
      <c r="G189" s="27" t="n"/>
    </row>
    <row r="190">
      <c r="A190" t="inlineStr">
        <is>
          <t>ENC120878</t>
        </is>
      </c>
      <c r="B190" t="inlineStr">
        <is>
          <t>PT10032</t>
        </is>
      </c>
      <c r="C190" t="inlineStr">
        <is>
          <t>Emergency</t>
        </is>
      </c>
      <c r="D190" s="28" t="n">
        <v>45995</v>
      </c>
      <c r="E190" t="inlineStr">
        <is>
          <t>S93.401A</t>
        </is>
      </c>
      <c r="F190" t="inlineStr">
        <is>
          <t>Sprain of unspecified ligament of right ankle, initial encounter</t>
        </is>
      </c>
      <c r="G190" s="27" t="n"/>
    </row>
    <row r="191">
      <c r="A191" t="inlineStr">
        <is>
          <t>ENC120899</t>
        </is>
      </c>
      <c r="B191" t="inlineStr">
        <is>
          <t>PT10345</t>
        </is>
      </c>
      <c r="C191" t="inlineStr">
        <is>
          <t>Observation</t>
        </is>
      </c>
      <c r="D191" s="28" t="n">
        <v>45995</v>
      </c>
      <c r="E191" t="inlineStr">
        <is>
          <t>R10.9</t>
        </is>
      </c>
      <c r="F191" t="inlineStr">
        <is>
          <t>Unspecified abdominal pain</t>
        </is>
      </c>
      <c r="G191" s="27" t="n"/>
    </row>
    <row r="192">
      <c r="A192" t="inlineStr">
        <is>
          <t>ENC120905</t>
        </is>
      </c>
      <c r="B192" t="inlineStr">
        <is>
          <t>PT10067</t>
        </is>
      </c>
      <c r="C192" t="inlineStr">
        <is>
          <t>Observation</t>
        </is>
      </c>
      <c r="D192" s="28" t="n">
        <v>45995</v>
      </c>
      <c r="E192" t="inlineStr">
        <is>
          <t>A08.4</t>
        </is>
      </c>
      <c r="F192" t="inlineStr">
        <is>
          <t>Viral intestinal infection, unspecified</t>
        </is>
      </c>
      <c r="G192" s="27" t="n"/>
    </row>
    <row r="193">
      <c r="A193" t="inlineStr">
        <is>
          <t>ENC120913</t>
        </is>
      </c>
      <c r="B193" t="inlineStr">
        <is>
          <t>PT10221</t>
        </is>
      </c>
      <c r="C193" t="inlineStr">
        <is>
          <t>Emergency</t>
        </is>
      </c>
      <c r="D193" s="28" t="n">
        <v>45996</v>
      </c>
      <c r="E193" t="inlineStr">
        <is>
          <t>G43.909</t>
        </is>
      </c>
      <c r="F193" t="inlineStr">
        <is>
          <t>Migraine, unspecified, not intractable, without status migrainosus</t>
        </is>
      </c>
      <c r="G193" s="27" t="n"/>
    </row>
    <row r="194">
      <c r="A194" t="inlineStr">
        <is>
          <t>ENC120918</t>
        </is>
      </c>
      <c r="B194" t="inlineStr">
        <is>
          <t>PT10046</t>
        </is>
      </c>
      <c r="C194" t="inlineStr">
        <is>
          <t>Outpatient</t>
        </is>
      </c>
      <c r="D194" s="28" t="n">
        <v>45996</v>
      </c>
      <c r="E194" t="inlineStr">
        <is>
          <t>J06.9</t>
        </is>
      </c>
      <c r="F194" t="inlineStr">
        <is>
          <t>Acute upper respiratory infection, unspecified</t>
        </is>
      </c>
      <c r="G194" s="27" t="n"/>
    </row>
    <row r="195">
      <c r="A195" t="inlineStr">
        <is>
          <t>ENC120927</t>
        </is>
      </c>
      <c r="B195" t="inlineStr">
        <is>
          <t>PT10323</t>
        </is>
      </c>
      <c r="C195" t="inlineStr">
        <is>
          <t>Emergency</t>
        </is>
      </c>
      <c r="D195" s="28" t="n">
        <v>45996</v>
      </c>
      <c r="E195" t="inlineStr">
        <is>
          <t>H66.90</t>
        </is>
      </c>
      <c r="F195" t="inlineStr">
        <is>
          <t>Otitis media, unspecified, unspecified ear</t>
        </is>
      </c>
      <c r="G195" s="27" t="n"/>
    </row>
    <row r="196">
      <c r="A196" t="inlineStr">
        <is>
          <t>ENC120940</t>
        </is>
      </c>
      <c r="B196" t="inlineStr">
        <is>
          <t>PT10150</t>
        </is>
      </c>
      <c r="C196" t="inlineStr">
        <is>
          <t>Outpatient</t>
        </is>
      </c>
      <c r="D196" s="28" t="n">
        <v>45996</v>
      </c>
      <c r="E196" t="inlineStr">
        <is>
          <t>I10</t>
        </is>
      </c>
      <c r="F196" t="inlineStr">
        <is>
          <t>Essential (primary) hypertension</t>
        </is>
      </c>
      <c r="G196" s="27" t="n"/>
    </row>
    <row r="197">
      <c r="A197" t="inlineStr">
        <is>
          <t>ENC120965</t>
        </is>
      </c>
      <c r="B197" t="inlineStr">
        <is>
          <t>PT10101</t>
        </is>
      </c>
      <c r="C197" t="inlineStr">
        <is>
          <t>Emergency</t>
        </is>
      </c>
      <c r="D197" s="28" t="n">
        <v>45997</v>
      </c>
      <c r="E197" t="inlineStr">
        <is>
          <t>J06.9</t>
        </is>
      </c>
      <c r="F197" t="inlineStr">
        <is>
          <t>Acute upper respiratory infection, unspecified</t>
        </is>
      </c>
      <c r="G197" s="27" t="n"/>
    </row>
    <row r="198">
      <c r="A198" t="inlineStr">
        <is>
          <t>ENC120971</t>
        </is>
      </c>
      <c r="B198" t="inlineStr">
        <is>
          <t>PT10399</t>
        </is>
      </c>
      <c r="C198" t="inlineStr">
        <is>
          <t>Emergency</t>
        </is>
      </c>
      <c r="D198" s="28" t="n">
        <v>45997</v>
      </c>
      <c r="E198" t="inlineStr">
        <is>
          <t>U07.1</t>
        </is>
      </c>
      <c r="F198" t="inlineStr">
        <is>
          <t>COVID-19</t>
        </is>
      </c>
      <c r="G198" s="27" t="n"/>
    </row>
    <row r="199">
      <c r="A199" t="inlineStr">
        <is>
          <t>ENC120974</t>
        </is>
      </c>
      <c r="B199" t="inlineStr">
        <is>
          <t>PT10196</t>
        </is>
      </c>
      <c r="C199" t="inlineStr">
        <is>
          <t>Inpatient</t>
        </is>
      </c>
      <c r="D199" s="28" t="n">
        <v>45997</v>
      </c>
      <c r="E199" t="inlineStr">
        <is>
          <t>J96.01</t>
        </is>
      </c>
      <c r="F199" t="inlineStr">
        <is>
          <t>Acute respiratory failure with hypoxia</t>
        </is>
      </c>
      <c r="G199" s="27" t="n"/>
    </row>
    <row r="200">
      <c r="A200" t="inlineStr">
        <is>
          <t>ENC120995</t>
        </is>
      </c>
      <c r="B200" t="inlineStr">
        <is>
          <t>PT10299</t>
        </is>
      </c>
      <c r="C200" t="inlineStr">
        <is>
          <t>Emergency</t>
        </is>
      </c>
      <c r="D200" s="28" t="n">
        <v>45999</v>
      </c>
      <c r="E200" t="inlineStr">
        <is>
          <t>R10.9</t>
        </is>
      </c>
      <c r="F200" t="inlineStr">
        <is>
          <t>Unspecified abdominal pain</t>
        </is>
      </c>
      <c r="G200" s="27" t="n"/>
    </row>
    <row r="201">
      <c r="A201" t="inlineStr">
        <is>
          <t>ENC121001</t>
        </is>
      </c>
      <c r="B201" t="inlineStr">
        <is>
          <t>PT10136</t>
        </is>
      </c>
      <c r="C201" t="inlineStr">
        <is>
          <t>Outpatient</t>
        </is>
      </c>
      <c r="D201" s="28" t="n">
        <v>45999</v>
      </c>
      <c r="E201" t="inlineStr">
        <is>
          <t>I48.91</t>
        </is>
      </c>
      <c r="F201" t="inlineStr">
        <is>
          <t>Unspecified atrial fibrillation</t>
        </is>
      </c>
      <c r="G201" s="27" t="n"/>
    </row>
    <row r="202">
      <c r="A202" t="inlineStr">
        <is>
          <t>ENC121048</t>
        </is>
      </c>
      <c r="B202" t="inlineStr">
        <is>
          <t>PT10307</t>
        </is>
      </c>
      <c r="C202" t="inlineStr">
        <is>
          <t>Inpatient</t>
        </is>
      </c>
      <c r="D202" s="28" t="n">
        <v>46000</v>
      </c>
      <c r="E202" t="inlineStr">
        <is>
          <t>J18.9</t>
        </is>
      </c>
      <c r="F202" t="inlineStr">
        <is>
          <t>Pneumonia, unspecified organism</t>
        </is>
      </c>
      <c r="G202" s="27" t="n"/>
    </row>
    <row r="203">
      <c r="A203" t="inlineStr">
        <is>
          <t>ENC121055</t>
        </is>
      </c>
      <c r="B203" t="inlineStr">
        <is>
          <t>PT10010</t>
        </is>
      </c>
      <c r="C203" t="inlineStr">
        <is>
          <t>Inpatient</t>
        </is>
      </c>
      <c r="D203" s="28" t="n">
        <v>46000</v>
      </c>
      <c r="E203" t="inlineStr">
        <is>
          <t>O80</t>
        </is>
      </c>
      <c r="F203" t="inlineStr">
        <is>
          <t>Encounter for full-term uncomplicated delivery</t>
        </is>
      </c>
      <c r="G203" s="27" t="n"/>
    </row>
    <row r="204">
      <c r="A204" t="inlineStr">
        <is>
          <t>ENC121065</t>
        </is>
      </c>
      <c r="B204" t="inlineStr">
        <is>
          <t>PT10205</t>
        </is>
      </c>
      <c r="C204" t="inlineStr">
        <is>
          <t>Outpatient</t>
        </is>
      </c>
      <c r="D204" s="28" t="n">
        <v>46000</v>
      </c>
      <c r="E204" t="inlineStr">
        <is>
          <t>Z00.00</t>
        </is>
      </c>
      <c r="F204" t="inlineStr">
        <is>
          <t>Encounter for general adult medical examination without abnormal findings</t>
        </is>
      </c>
      <c r="G204" s="27" t="n"/>
    </row>
    <row r="205">
      <c r="A205" t="inlineStr">
        <is>
          <t>ENC121089</t>
        </is>
      </c>
      <c r="B205" t="inlineStr">
        <is>
          <t>PT10270</t>
        </is>
      </c>
      <c r="C205" t="inlineStr">
        <is>
          <t>Inpatient</t>
        </is>
      </c>
      <c r="D205" s="28" t="n">
        <v>46000</v>
      </c>
      <c r="E205" t="inlineStr">
        <is>
          <t>K92.2</t>
        </is>
      </c>
      <c r="F205" t="inlineStr">
        <is>
          <t>Gastrointestinal hemorrhage, unspecified</t>
        </is>
      </c>
      <c r="G205" s="27" t="n"/>
    </row>
    <row r="206">
      <c r="A206" t="inlineStr">
        <is>
          <t>ENC121081</t>
        </is>
      </c>
      <c r="B206" t="inlineStr">
        <is>
          <t>PT10351</t>
        </is>
      </c>
      <c r="C206" t="inlineStr">
        <is>
          <t>Inpatient</t>
        </is>
      </c>
      <c r="D206" s="28" t="n">
        <v>46000</v>
      </c>
      <c r="E206" t="inlineStr">
        <is>
          <t>A41.9</t>
        </is>
      </c>
      <c r="F206" t="inlineStr">
        <is>
          <t>Sepsis, unspecified organism</t>
        </is>
      </c>
      <c r="G206" s="27" t="n"/>
    </row>
    <row r="207">
      <c r="A207" t="inlineStr">
        <is>
          <t>ENC121096</t>
        </is>
      </c>
      <c r="B207" t="inlineStr">
        <is>
          <t>PT10177</t>
        </is>
      </c>
      <c r="C207" t="inlineStr">
        <is>
          <t>Inpatient</t>
        </is>
      </c>
      <c r="D207" s="28" t="n">
        <v>46001</v>
      </c>
      <c r="E207" t="inlineStr">
        <is>
          <t>I21.4</t>
        </is>
      </c>
      <c r="F207" t="inlineStr">
        <is>
          <t>Non-ST elevation (NSTEMI) myocardial infarction</t>
        </is>
      </c>
      <c r="G207" s="27" t="n"/>
    </row>
    <row r="208">
      <c r="A208" t="inlineStr">
        <is>
          <t>ENC121111</t>
        </is>
      </c>
      <c r="B208" t="inlineStr">
        <is>
          <t>PT10267</t>
        </is>
      </c>
      <c r="C208" t="inlineStr">
        <is>
          <t>Emergency</t>
        </is>
      </c>
      <c r="D208" s="28" t="n">
        <v>46001</v>
      </c>
      <c r="E208" t="inlineStr">
        <is>
          <t>U07.1</t>
        </is>
      </c>
      <c r="F208" t="inlineStr">
        <is>
          <t>COVID-19</t>
        </is>
      </c>
      <c r="G208" s="27" t="n"/>
    </row>
    <row r="209">
      <c r="A209" t="inlineStr">
        <is>
          <t>ENC121118</t>
        </is>
      </c>
      <c r="B209" t="inlineStr">
        <is>
          <t>PT10039</t>
        </is>
      </c>
      <c r="C209" t="inlineStr">
        <is>
          <t>Outpatient</t>
        </is>
      </c>
      <c r="D209" s="28" t="n">
        <v>46001</v>
      </c>
      <c r="E209" t="inlineStr">
        <is>
          <t>Z00.129</t>
        </is>
      </c>
      <c r="F209" t="inlineStr">
        <is>
          <t>Encounter for routine child health examination without abnormal findings</t>
        </is>
      </c>
      <c r="G209" s="27" t="n"/>
    </row>
    <row r="210">
      <c r="A210" t="inlineStr">
        <is>
          <t>ENC121128</t>
        </is>
      </c>
      <c r="B210" t="inlineStr">
        <is>
          <t>PT10138</t>
        </is>
      </c>
      <c r="C210" t="inlineStr">
        <is>
          <t>Emergency</t>
        </is>
      </c>
      <c r="D210" s="28" t="n">
        <v>46001</v>
      </c>
      <c r="E210" t="inlineStr">
        <is>
          <t>F41.9</t>
        </is>
      </c>
      <c r="F210" t="inlineStr">
        <is>
          <t>Anxiety disorder, unspecified</t>
        </is>
      </c>
      <c r="G210" s="27" t="n"/>
    </row>
    <row r="211">
      <c r="A211" t="inlineStr">
        <is>
          <t>ENC121135</t>
        </is>
      </c>
      <c r="B211" t="inlineStr">
        <is>
          <t>PT10357</t>
        </is>
      </c>
      <c r="C211" t="inlineStr">
        <is>
          <t>Emergency</t>
        </is>
      </c>
      <c r="D211" s="28" t="n">
        <v>46001</v>
      </c>
      <c r="E211" t="inlineStr">
        <is>
          <t>S93.401A</t>
        </is>
      </c>
      <c r="F211" t="inlineStr">
        <is>
          <t>Sprain of unspecified ligament of right ankle, initial encounter</t>
        </is>
      </c>
      <c r="G211" s="27" t="n"/>
    </row>
    <row r="212">
      <c r="A212" t="inlineStr">
        <is>
          <t>ENC121139</t>
        </is>
      </c>
      <c r="B212" t="inlineStr">
        <is>
          <t>PT10391</t>
        </is>
      </c>
      <c r="C212" t="inlineStr">
        <is>
          <t>Emergency</t>
        </is>
      </c>
      <c r="D212" s="28" t="n">
        <v>46001</v>
      </c>
      <c r="E212" t="inlineStr">
        <is>
          <t>J06.9</t>
        </is>
      </c>
      <c r="F212" t="inlineStr">
        <is>
          <t>Acute upper respiratory infection, unspecified</t>
        </is>
      </c>
      <c r="G212" s="27" t="n"/>
    </row>
    <row r="213">
      <c r="A213" t="inlineStr">
        <is>
          <t>ENC121151</t>
        </is>
      </c>
      <c r="B213" t="inlineStr">
        <is>
          <t>PT10337</t>
        </is>
      </c>
      <c r="C213" t="inlineStr">
        <is>
          <t>Outpatient</t>
        </is>
      </c>
      <c r="D213" s="28" t="n">
        <v>46002</v>
      </c>
      <c r="E213" t="inlineStr">
        <is>
          <t>M17.11</t>
        </is>
      </c>
      <c r="F213" t="inlineStr">
        <is>
          <t>Unilateral primary osteoarthritis, right knee</t>
        </is>
      </c>
      <c r="G213" s="27" t="n"/>
    </row>
    <row r="214">
      <c r="A214" t="inlineStr">
        <is>
          <t>ENC121146</t>
        </is>
      </c>
      <c r="B214" t="inlineStr">
        <is>
          <t>PT10283</t>
        </is>
      </c>
      <c r="C214" t="inlineStr">
        <is>
          <t>Inpatient</t>
        </is>
      </c>
      <c r="D214" s="28" t="n">
        <v>46002</v>
      </c>
      <c r="E214" t="inlineStr">
        <is>
          <t>J96.01</t>
        </is>
      </c>
      <c r="F214" t="inlineStr">
        <is>
          <t>Acute respiratory failure with hypoxia</t>
        </is>
      </c>
      <c r="G214" s="27" t="n"/>
    </row>
    <row r="215">
      <c r="A215" t="inlineStr">
        <is>
          <t>ENC121166</t>
        </is>
      </c>
      <c r="B215" t="inlineStr">
        <is>
          <t>PT10019</t>
        </is>
      </c>
      <c r="C215" t="inlineStr">
        <is>
          <t>Emergency</t>
        </is>
      </c>
      <c r="D215" s="28" t="n">
        <v>46002</v>
      </c>
      <c r="E215" t="inlineStr">
        <is>
          <t>H66.90</t>
        </is>
      </c>
      <c r="F215" t="inlineStr">
        <is>
          <t>Otitis media, unspecified, unspecified ear</t>
        </is>
      </c>
      <c r="G215" s="27" t="n"/>
    </row>
    <row r="216">
      <c r="A216" t="inlineStr">
        <is>
          <t>ENC121164</t>
        </is>
      </c>
      <c r="B216" t="inlineStr">
        <is>
          <t>PT10180</t>
        </is>
      </c>
      <c r="C216" t="inlineStr">
        <is>
          <t>Inpatient</t>
        </is>
      </c>
      <c r="D216" s="28" t="n">
        <v>46002</v>
      </c>
      <c r="E216" t="inlineStr">
        <is>
          <t>A41.9</t>
        </is>
      </c>
      <c r="F216" t="inlineStr">
        <is>
          <t>Sepsis, unspecified organism</t>
        </is>
      </c>
      <c r="G216" s="27" t="n"/>
    </row>
    <row r="217">
      <c r="A217" t="inlineStr">
        <is>
          <t>ENC121173</t>
        </is>
      </c>
      <c r="B217" t="inlineStr">
        <is>
          <t>PT10184</t>
        </is>
      </c>
      <c r="C217" t="inlineStr">
        <is>
          <t>Emergency</t>
        </is>
      </c>
      <c r="D217" s="28" t="n">
        <v>46002</v>
      </c>
      <c r="E217" t="inlineStr">
        <is>
          <t>J45.909</t>
        </is>
      </c>
      <c r="F217" t="inlineStr">
        <is>
          <t>Unspecified asthma, uncomplicated</t>
        </is>
      </c>
      <c r="G217" s="27" t="n"/>
    </row>
    <row r="218">
      <c r="A218" t="inlineStr">
        <is>
          <t>ENC121180</t>
        </is>
      </c>
      <c r="B218" t="inlineStr">
        <is>
          <t>PT10395</t>
        </is>
      </c>
      <c r="C218" t="inlineStr">
        <is>
          <t>Outpatient</t>
        </is>
      </c>
      <c r="D218" s="28" t="n">
        <v>46003</v>
      </c>
      <c r="E218" t="inlineStr">
        <is>
          <t>J06.9</t>
        </is>
      </c>
      <c r="F218" t="inlineStr">
        <is>
          <t>Acute upper respiratory infection, unspecified</t>
        </is>
      </c>
      <c r="G218" s="27" t="n"/>
    </row>
    <row r="219">
      <c r="A219" t="inlineStr">
        <is>
          <t>ENC121182</t>
        </is>
      </c>
      <c r="B219" t="inlineStr">
        <is>
          <t>PT10111</t>
        </is>
      </c>
      <c r="C219" t="inlineStr">
        <is>
          <t>Outpatient</t>
        </is>
      </c>
      <c r="D219" s="28" t="n">
        <v>46003</v>
      </c>
      <c r="E219" t="inlineStr">
        <is>
          <t>Z00.129</t>
        </is>
      </c>
      <c r="F219" t="inlineStr">
        <is>
          <t>Encounter for routine child health examination without abnormal findings</t>
        </is>
      </c>
      <c r="G219" s="27" t="n"/>
    </row>
    <row r="220">
      <c r="A220" t="inlineStr">
        <is>
          <t>ENC121184</t>
        </is>
      </c>
      <c r="B220" t="inlineStr">
        <is>
          <t>PT10267</t>
        </is>
      </c>
      <c r="C220" t="inlineStr">
        <is>
          <t>Outpatient</t>
        </is>
      </c>
      <c r="D220" s="28" t="n">
        <v>46003</v>
      </c>
      <c r="E220" t="inlineStr">
        <is>
          <t>F41.9</t>
        </is>
      </c>
      <c r="F220" t="inlineStr">
        <is>
          <t>Anxiety disorder, unspecified</t>
        </is>
      </c>
      <c r="G220" s="27" t="n"/>
    </row>
    <row r="221">
      <c r="A221" t="inlineStr">
        <is>
          <t>ENC121191</t>
        </is>
      </c>
      <c r="B221" t="inlineStr">
        <is>
          <t>PT10280</t>
        </is>
      </c>
      <c r="C221" t="inlineStr">
        <is>
          <t>Outpatient</t>
        </is>
      </c>
      <c r="D221" s="28" t="n">
        <v>46003</v>
      </c>
      <c r="E221" t="inlineStr">
        <is>
          <t>Z00.00</t>
        </is>
      </c>
      <c r="F221" t="inlineStr">
        <is>
          <t>Encounter for general adult medical examination without abnormal findings</t>
        </is>
      </c>
      <c r="G221" s="27" t="n"/>
    </row>
    <row r="222">
      <c r="A222" t="inlineStr">
        <is>
          <t>ENC121215</t>
        </is>
      </c>
      <c r="B222" t="inlineStr">
        <is>
          <t>PT10054</t>
        </is>
      </c>
      <c r="C222" t="inlineStr">
        <is>
          <t>Inpatient</t>
        </is>
      </c>
      <c r="D222" s="28" t="n">
        <v>46003</v>
      </c>
      <c r="E222" t="inlineStr">
        <is>
          <t>O80</t>
        </is>
      </c>
      <c r="F222" t="inlineStr">
        <is>
          <t>Encounter for full-term uncomplicated delivery</t>
        </is>
      </c>
      <c r="G222" s="27" t="n"/>
    </row>
    <row r="223">
      <c r="A223" t="inlineStr">
        <is>
          <t>ENC121234</t>
        </is>
      </c>
      <c r="B223" t="inlineStr">
        <is>
          <t>PT10235</t>
        </is>
      </c>
      <c r="C223" t="inlineStr">
        <is>
          <t>Emergency</t>
        </is>
      </c>
      <c r="D223" s="28" t="n">
        <v>46004</v>
      </c>
      <c r="E223" t="inlineStr">
        <is>
          <t>J18.9</t>
        </is>
      </c>
      <c r="F223" t="inlineStr">
        <is>
          <t>Pneumonia, unspecified organism</t>
        </is>
      </c>
      <c r="G223" s="27" t="n"/>
    </row>
    <row r="224">
      <c r="A224" t="inlineStr">
        <is>
          <t>ENC121235</t>
        </is>
      </c>
      <c r="B224" t="inlineStr">
        <is>
          <t>PT10026</t>
        </is>
      </c>
      <c r="C224" t="inlineStr">
        <is>
          <t>Emergency</t>
        </is>
      </c>
      <c r="D224" s="28" t="n">
        <v>46005</v>
      </c>
      <c r="E224" t="inlineStr">
        <is>
          <t>R07.9</t>
        </is>
      </c>
      <c r="F224" t="inlineStr">
        <is>
          <t>Chest pain, unspecified</t>
        </is>
      </c>
      <c r="G224" s="27" t="n"/>
    </row>
    <row r="225">
      <c r="A225" t="inlineStr">
        <is>
          <t>ENC121236</t>
        </is>
      </c>
      <c r="B225" t="inlineStr">
        <is>
          <t>PT10267</t>
        </is>
      </c>
      <c r="C225" t="inlineStr">
        <is>
          <t>Inpatient</t>
        </is>
      </c>
      <c r="D225" s="28" t="n">
        <v>46005</v>
      </c>
      <c r="E225" t="inlineStr">
        <is>
          <t>A41.9</t>
        </is>
      </c>
      <c r="F225" t="inlineStr">
        <is>
          <t>Sepsis, unspecified organism</t>
        </is>
      </c>
      <c r="G225" s="27" t="n"/>
    </row>
    <row r="226">
      <c r="A226" t="inlineStr">
        <is>
          <t>ENC121244</t>
        </is>
      </c>
      <c r="B226" t="inlineStr">
        <is>
          <t>PT10347</t>
        </is>
      </c>
      <c r="C226" t="inlineStr">
        <is>
          <t>Emergency</t>
        </is>
      </c>
      <c r="D226" s="28" t="n">
        <v>46005</v>
      </c>
      <c r="E226" t="inlineStr">
        <is>
          <t>I10</t>
        </is>
      </c>
      <c r="F226" t="inlineStr">
        <is>
          <t>Essential (primary) hypertension</t>
        </is>
      </c>
      <c r="G226" s="27" t="n"/>
    </row>
    <row r="227">
      <c r="A227" t="inlineStr">
        <is>
          <t>ENC121271</t>
        </is>
      </c>
      <c r="B227" t="inlineStr">
        <is>
          <t>PT10364</t>
        </is>
      </c>
      <c r="C227" t="inlineStr">
        <is>
          <t>Emergency</t>
        </is>
      </c>
      <c r="D227" s="28" t="n">
        <v>46006</v>
      </c>
      <c r="E227" t="inlineStr">
        <is>
          <t>R10.9</t>
        </is>
      </c>
      <c r="F227" t="inlineStr">
        <is>
          <t>Unspecified abdominal pain</t>
        </is>
      </c>
      <c r="G227" s="27" t="n"/>
    </row>
    <row r="228">
      <c r="A228" t="inlineStr">
        <is>
          <t>ENC121293</t>
        </is>
      </c>
      <c r="B228" t="inlineStr">
        <is>
          <t>PT10027</t>
        </is>
      </c>
      <c r="C228" t="inlineStr">
        <is>
          <t>Inpatient</t>
        </is>
      </c>
      <c r="D228" s="28" t="n">
        <v>46006</v>
      </c>
      <c r="E228" t="inlineStr">
        <is>
          <t>O80</t>
        </is>
      </c>
      <c r="F228" t="inlineStr">
        <is>
          <t>Encounter for full-term uncomplicated delivery</t>
        </is>
      </c>
      <c r="G228" s="27" t="n"/>
    </row>
    <row r="229">
      <c r="A229" t="inlineStr">
        <is>
          <t>ENC121298</t>
        </is>
      </c>
      <c r="B229" t="inlineStr">
        <is>
          <t>PT10070</t>
        </is>
      </c>
      <c r="C229" t="inlineStr">
        <is>
          <t>Inpatient</t>
        </is>
      </c>
      <c r="D229" s="28" t="n">
        <v>46007</v>
      </c>
      <c r="E229" t="inlineStr">
        <is>
          <t>F10.239</t>
        </is>
      </c>
      <c r="F229" t="inlineStr">
        <is>
          <t>Alcohol dependence with withdrawal, unspecified</t>
        </is>
      </c>
      <c r="G229" s="27" t="n"/>
    </row>
    <row r="230">
      <c r="A230" t="inlineStr">
        <is>
          <t>ENC121303</t>
        </is>
      </c>
      <c r="B230" t="inlineStr">
        <is>
          <t>PT10011</t>
        </is>
      </c>
      <c r="C230" t="inlineStr">
        <is>
          <t>Emergency</t>
        </is>
      </c>
      <c r="D230" s="28" t="n">
        <v>46007</v>
      </c>
      <c r="E230" t="inlineStr">
        <is>
          <t>S06.0X0A</t>
        </is>
      </c>
      <c r="F230" t="inlineStr">
        <is>
          <t>Concussion without loss of consciousness, initial encounter</t>
        </is>
      </c>
      <c r="G230" s="27" t="n"/>
    </row>
    <row r="231">
      <c r="A231" t="inlineStr">
        <is>
          <t>ENC121307</t>
        </is>
      </c>
      <c r="B231" t="inlineStr">
        <is>
          <t>PT10050</t>
        </is>
      </c>
      <c r="C231" t="inlineStr">
        <is>
          <t>Outpatient</t>
        </is>
      </c>
      <c r="D231" s="28" t="n">
        <v>46007</v>
      </c>
      <c r="E231" t="inlineStr">
        <is>
          <t>M16.11</t>
        </is>
      </c>
      <c r="F231" t="inlineStr">
        <is>
          <t>Unilateral primary osteoarthritis, right hip</t>
        </is>
      </c>
      <c r="G231" s="27" t="n"/>
    </row>
    <row r="232">
      <c r="A232" t="inlineStr">
        <is>
          <t>ENC121313</t>
        </is>
      </c>
      <c r="B232" t="inlineStr">
        <is>
          <t>PT10081</t>
        </is>
      </c>
      <c r="C232" t="inlineStr">
        <is>
          <t>Outpatient</t>
        </is>
      </c>
      <c r="D232" s="28" t="n">
        <v>46007</v>
      </c>
      <c r="E232" t="inlineStr">
        <is>
          <t>M17.11</t>
        </is>
      </c>
      <c r="F232" t="inlineStr">
        <is>
          <t>Unilateral primary osteoarthritis, right knee</t>
        </is>
      </c>
      <c r="G232" s="27" t="n"/>
    </row>
    <row r="233">
      <c r="A233" t="inlineStr">
        <is>
          <t>ENC121326</t>
        </is>
      </c>
      <c r="B233" t="inlineStr">
        <is>
          <t>PT10335</t>
        </is>
      </c>
      <c r="C233" t="inlineStr">
        <is>
          <t>Outpatient</t>
        </is>
      </c>
      <c r="D233" s="28" t="n">
        <v>46007</v>
      </c>
      <c r="E233" t="inlineStr">
        <is>
          <t>E78.5</t>
        </is>
      </c>
      <c r="F233" t="inlineStr">
        <is>
          <t>Hyperlipidemia, unspecified</t>
        </is>
      </c>
      <c r="G233" s="27" t="n"/>
    </row>
    <row r="234">
      <c r="A234" t="inlineStr">
        <is>
          <t>ENC121339</t>
        </is>
      </c>
      <c r="B234" t="inlineStr">
        <is>
          <t>PT10337</t>
        </is>
      </c>
      <c r="C234" t="inlineStr">
        <is>
          <t>Observation</t>
        </is>
      </c>
      <c r="D234" s="28" t="n">
        <v>46008</v>
      </c>
      <c r="E234" t="inlineStr">
        <is>
          <t>R55</t>
        </is>
      </c>
      <c r="F234" t="inlineStr">
        <is>
          <t>Syncope and collapse</t>
        </is>
      </c>
      <c r="G234" s="27" t="n"/>
    </row>
    <row r="235">
      <c r="A235" t="inlineStr">
        <is>
          <t>ENC121347</t>
        </is>
      </c>
      <c r="B235" t="inlineStr">
        <is>
          <t>PT10365</t>
        </is>
      </c>
      <c r="C235" t="inlineStr">
        <is>
          <t>Emergency</t>
        </is>
      </c>
      <c r="D235" s="28" t="n">
        <v>46008</v>
      </c>
      <c r="E235" t="inlineStr">
        <is>
          <t>S93.401A</t>
        </is>
      </c>
      <c r="F235" t="inlineStr">
        <is>
          <t>Sprain of unspecified ligament of right ankle, initial encounter</t>
        </is>
      </c>
      <c r="G235" s="27" t="n"/>
    </row>
    <row r="236">
      <c r="A236" t="inlineStr">
        <is>
          <t>ENC121362</t>
        </is>
      </c>
      <c r="B236" t="inlineStr">
        <is>
          <t>PT10135</t>
        </is>
      </c>
      <c r="C236" t="inlineStr">
        <is>
          <t>Outpatient</t>
        </is>
      </c>
      <c r="D236" s="28" t="n">
        <v>46008</v>
      </c>
      <c r="E236" t="inlineStr">
        <is>
          <t>E11.9</t>
        </is>
      </c>
      <c r="F236" t="inlineStr">
        <is>
          <t>Type 2 diabetes mellitus without complications</t>
        </is>
      </c>
      <c r="G236" s="27" t="n"/>
    </row>
    <row r="237">
      <c r="A237" t="inlineStr">
        <is>
          <t>ENC121394</t>
        </is>
      </c>
      <c r="B237" t="inlineStr">
        <is>
          <t>PT10033</t>
        </is>
      </c>
      <c r="C237" t="inlineStr">
        <is>
          <t>Inpatient</t>
        </is>
      </c>
      <c r="D237" s="28" t="n">
        <v>46009</v>
      </c>
      <c r="E237" t="inlineStr">
        <is>
          <t>I50.9</t>
        </is>
      </c>
      <c r="F237" t="inlineStr">
        <is>
          <t>Heart failure, unspecified</t>
        </is>
      </c>
      <c r="G237" s="27" t="n"/>
    </row>
    <row r="238">
      <c r="A238" t="inlineStr">
        <is>
          <t>ENC121404</t>
        </is>
      </c>
      <c r="B238" t="inlineStr">
        <is>
          <t>PT10129</t>
        </is>
      </c>
      <c r="C238" t="inlineStr">
        <is>
          <t>Emergency</t>
        </is>
      </c>
      <c r="D238" s="28" t="n">
        <v>46009</v>
      </c>
      <c r="E238" t="inlineStr">
        <is>
          <t>J44.1</t>
        </is>
      </c>
      <c r="F238" t="inlineStr">
        <is>
          <t>Chronic obstructive pulmonary disease with (acute) exacerbation</t>
        </is>
      </c>
      <c r="G238" s="27" t="n"/>
    </row>
    <row r="239">
      <c r="A239" t="inlineStr">
        <is>
          <t>ENC121405</t>
        </is>
      </c>
      <c r="B239" t="inlineStr">
        <is>
          <t>PT10230</t>
        </is>
      </c>
      <c r="C239" t="inlineStr">
        <is>
          <t>Outpatient</t>
        </is>
      </c>
      <c r="D239" s="28" t="n">
        <v>46009</v>
      </c>
      <c r="E239" t="inlineStr">
        <is>
          <t>F32.9</t>
        </is>
      </c>
      <c r="F239" t="inlineStr">
        <is>
          <t>Major depressive disorder, single episode, unspecified</t>
        </is>
      </c>
      <c r="G239" s="27" t="n"/>
    </row>
    <row r="240">
      <c r="A240" t="inlineStr">
        <is>
          <t>ENC121415</t>
        </is>
      </c>
      <c r="B240" t="inlineStr">
        <is>
          <t>PT10117</t>
        </is>
      </c>
      <c r="C240" t="inlineStr">
        <is>
          <t>Outpatient</t>
        </is>
      </c>
      <c r="D240" s="28" t="n">
        <v>46009</v>
      </c>
      <c r="E240" t="inlineStr">
        <is>
          <t>Z00.129</t>
        </is>
      </c>
      <c r="F240" t="inlineStr">
        <is>
          <t>Encounter for routine child health examination without abnormal findings</t>
        </is>
      </c>
      <c r="G240" s="27" t="n"/>
    </row>
    <row r="241">
      <c r="A241" t="inlineStr">
        <is>
          <t>ENC121423</t>
        </is>
      </c>
      <c r="B241" t="inlineStr">
        <is>
          <t>PT10170</t>
        </is>
      </c>
      <c r="C241" t="inlineStr">
        <is>
          <t>Inpatient</t>
        </is>
      </c>
      <c r="D241" s="28" t="n">
        <v>46010</v>
      </c>
      <c r="E241" t="inlineStr">
        <is>
          <t>J44.1</t>
        </is>
      </c>
      <c r="F241" t="inlineStr">
        <is>
          <t>Chronic obstructive pulmonary disease with (acute) exacerbation</t>
        </is>
      </c>
      <c r="G241" s="27" t="n"/>
    </row>
    <row r="242">
      <c r="A242" t="inlineStr">
        <is>
          <t>ENC121440</t>
        </is>
      </c>
      <c r="B242" t="inlineStr">
        <is>
          <t>PT10112</t>
        </is>
      </c>
      <c r="C242" t="inlineStr">
        <is>
          <t>Emergency</t>
        </is>
      </c>
      <c r="D242" s="28" t="n">
        <v>46010</v>
      </c>
      <c r="E242" t="inlineStr">
        <is>
          <t>J06.9</t>
        </is>
      </c>
      <c r="F242" t="inlineStr">
        <is>
          <t>Acute upper respiratory infection, unspecified</t>
        </is>
      </c>
      <c r="G242" s="27" t="n"/>
    </row>
    <row r="243">
      <c r="A243" t="inlineStr">
        <is>
          <t>ENC121442</t>
        </is>
      </c>
      <c r="B243" t="inlineStr">
        <is>
          <t>PT10318</t>
        </is>
      </c>
      <c r="C243" t="inlineStr">
        <is>
          <t>Outpatient</t>
        </is>
      </c>
      <c r="D243" s="28" t="n">
        <v>46010</v>
      </c>
      <c r="E243" t="inlineStr">
        <is>
          <t>E11.9</t>
        </is>
      </c>
      <c r="F243" t="inlineStr">
        <is>
          <t>Type 2 diabetes mellitus without complications</t>
        </is>
      </c>
      <c r="G243" s="27" t="n"/>
    </row>
    <row r="244">
      <c r="A244" t="inlineStr">
        <is>
          <t>ENC121447</t>
        </is>
      </c>
      <c r="B244" t="inlineStr">
        <is>
          <t>PT10079</t>
        </is>
      </c>
      <c r="C244" t="inlineStr">
        <is>
          <t>Emergency</t>
        </is>
      </c>
      <c r="D244" s="28" t="n">
        <v>46010</v>
      </c>
      <c r="E244" t="inlineStr">
        <is>
          <t>R07.9</t>
        </is>
      </c>
      <c r="F244" t="inlineStr">
        <is>
          <t>Chest pain, unspecified</t>
        </is>
      </c>
      <c r="G244" s="27" t="n"/>
    </row>
    <row r="245">
      <c r="A245" t="inlineStr">
        <is>
          <t>ENC121454</t>
        </is>
      </c>
      <c r="B245" t="inlineStr">
        <is>
          <t>PT10261</t>
        </is>
      </c>
      <c r="C245" t="inlineStr">
        <is>
          <t>Outpatient</t>
        </is>
      </c>
      <c r="D245" s="28" t="n">
        <v>46010</v>
      </c>
      <c r="E245" t="inlineStr">
        <is>
          <t>Z00.129</t>
        </is>
      </c>
      <c r="F245" t="inlineStr">
        <is>
          <t>Encounter for routine child health examination without abnormal findings</t>
        </is>
      </c>
      <c r="G245" s="27" t="n"/>
    </row>
    <row r="246">
      <c r="A246" t="inlineStr">
        <is>
          <t>ENC121462</t>
        </is>
      </c>
      <c r="B246" t="inlineStr">
        <is>
          <t>PT10384</t>
        </is>
      </c>
      <c r="C246" t="inlineStr">
        <is>
          <t>Emergency</t>
        </is>
      </c>
      <c r="D246" s="28" t="n">
        <v>46010</v>
      </c>
      <c r="E246" t="inlineStr">
        <is>
          <t>A08.4</t>
        </is>
      </c>
      <c r="F246" t="inlineStr">
        <is>
          <t>Viral intestinal infection, unspecified</t>
        </is>
      </c>
      <c r="G246" s="27" t="n"/>
    </row>
    <row r="247">
      <c r="A247" t="inlineStr">
        <is>
          <t>ENC121469</t>
        </is>
      </c>
      <c r="B247" t="inlineStr">
        <is>
          <t>PT10052</t>
        </is>
      </c>
      <c r="C247" t="inlineStr">
        <is>
          <t>Emergency</t>
        </is>
      </c>
      <c r="D247" s="28" t="n">
        <v>46011</v>
      </c>
      <c r="E247" t="inlineStr">
        <is>
          <t>R07.9</t>
        </is>
      </c>
      <c r="F247" t="inlineStr">
        <is>
          <t>Chest pain, unspecified</t>
        </is>
      </c>
      <c r="G247" s="27" t="n"/>
    </row>
    <row r="248">
      <c r="A248" t="inlineStr">
        <is>
          <t>ENC121484</t>
        </is>
      </c>
      <c r="B248" t="inlineStr">
        <is>
          <t>PT10333</t>
        </is>
      </c>
      <c r="C248" t="inlineStr">
        <is>
          <t>Emergency</t>
        </is>
      </c>
      <c r="D248" s="28" t="n">
        <v>46011</v>
      </c>
      <c r="E248" t="inlineStr">
        <is>
          <t>J06.9</t>
        </is>
      </c>
      <c r="F248" t="inlineStr">
        <is>
          <t>Acute upper respiratory infection, unspecified</t>
        </is>
      </c>
      <c r="G248" s="27" t="n"/>
    </row>
    <row r="249">
      <c r="A249" t="inlineStr">
        <is>
          <t>ENC121488</t>
        </is>
      </c>
      <c r="B249" t="inlineStr">
        <is>
          <t>PT10197</t>
        </is>
      </c>
      <c r="C249" t="inlineStr">
        <is>
          <t>Emergency</t>
        </is>
      </c>
      <c r="D249" s="28" t="n">
        <v>46012</v>
      </c>
      <c r="E249" t="inlineStr">
        <is>
          <t>J18.9</t>
        </is>
      </c>
      <c r="F249" t="inlineStr">
        <is>
          <t>Pneumonia, unspecified organism</t>
        </is>
      </c>
      <c r="G249" s="27" t="n"/>
    </row>
    <row r="250">
      <c r="A250" t="inlineStr">
        <is>
          <t>ENC121496</t>
        </is>
      </c>
      <c r="B250" t="inlineStr">
        <is>
          <t>PT10032</t>
        </is>
      </c>
      <c r="C250" t="inlineStr">
        <is>
          <t>Emergency</t>
        </is>
      </c>
      <c r="D250" s="28" t="n">
        <v>46012</v>
      </c>
      <c r="E250" t="inlineStr">
        <is>
          <t>J06.9</t>
        </is>
      </c>
      <c r="F250" t="inlineStr">
        <is>
          <t>Acute upper respiratory infection, unspecified</t>
        </is>
      </c>
      <c r="G250" s="27" t="n"/>
    </row>
    <row r="251">
      <c r="A251" t="inlineStr">
        <is>
          <t>ENC121495</t>
        </is>
      </c>
      <c r="B251" t="inlineStr">
        <is>
          <t>PT10297</t>
        </is>
      </c>
      <c r="C251" t="inlineStr">
        <is>
          <t>Inpatient</t>
        </is>
      </c>
      <c r="D251" s="28" t="n">
        <v>46012</v>
      </c>
      <c r="E251" t="inlineStr">
        <is>
          <t>I50.9</t>
        </is>
      </c>
      <c r="F251" t="inlineStr">
        <is>
          <t>Heart failure, unspecified</t>
        </is>
      </c>
      <c r="G251" s="27" t="n"/>
    </row>
    <row r="252">
      <c r="A252" t="inlineStr">
        <is>
          <t>ENC121516</t>
        </is>
      </c>
      <c r="B252" t="inlineStr">
        <is>
          <t>PT10213</t>
        </is>
      </c>
      <c r="C252" t="inlineStr">
        <is>
          <t>Outpatient</t>
        </is>
      </c>
      <c r="D252" s="28" t="n">
        <v>46013</v>
      </c>
      <c r="E252" t="inlineStr">
        <is>
          <t>I10</t>
        </is>
      </c>
      <c r="F252" t="inlineStr">
        <is>
          <t>Essential (primary) hypertension</t>
        </is>
      </c>
      <c r="G252" s="27" t="n"/>
    </row>
    <row r="253">
      <c r="A253" t="inlineStr">
        <is>
          <t>ENC121524</t>
        </is>
      </c>
      <c r="B253" t="inlineStr">
        <is>
          <t>PT10118</t>
        </is>
      </c>
      <c r="C253" t="inlineStr">
        <is>
          <t>Outpatient</t>
        </is>
      </c>
      <c r="D253" s="28" t="n">
        <v>46013</v>
      </c>
      <c r="E253" t="inlineStr">
        <is>
          <t>Z00.00</t>
        </is>
      </c>
      <c r="F253" t="inlineStr">
        <is>
          <t>Encounter for general adult medical examination without abnormal findings</t>
        </is>
      </c>
      <c r="G253" s="27" t="n"/>
    </row>
    <row r="254">
      <c r="A254" t="inlineStr">
        <is>
          <t>ENC121539</t>
        </is>
      </c>
      <c r="B254" t="inlineStr">
        <is>
          <t>PT10124</t>
        </is>
      </c>
      <c r="C254" t="inlineStr">
        <is>
          <t>Emergency</t>
        </is>
      </c>
      <c r="D254" s="28" t="n">
        <v>46013</v>
      </c>
      <c r="E254" t="inlineStr">
        <is>
          <t>H66.90</t>
        </is>
      </c>
      <c r="F254" t="inlineStr">
        <is>
          <t>Otitis media, unspecified, unspecified ear</t>
        </is>
      </c>
      <c r="G254" s="27" t="n"/>
    </row>
    <row r="255">
      <c r="A255" t="inlineStr">
        <is>
          <t>ENC121540</t>
        </is>
      </c>
      <c r="B255" t="inlineStr">
        <is>
          <t>PT10285</t>
        </is>
      </c>
      <c r="C255" t="inlineStr">
        <is>
          <t>Outpatient</t>
        </is>
      </c>
      <c r="D255" s="28" t="n">
        <v>46013</v>
      </c>
      <c r="E255" t="inlineStr">
        <is>
          <t>Z00.00</t>
        </is>
      </c>
      <c r="F255" t="inlineStr">
        <is>
          <t>Encounter for general adult medical examination without abnormal findings</t>
        </is>
      </c>
      <c r="G255" s="27" t="n"/>
    </row>
    <row r="256">
      <c r="A256" t="inlineStr">
        <is>
          <t>ENC121607</t>
        </is>
      </c>
      <c r="B256" t="inlineStr">
        <is>
          <t>PT10132</t>
        </is>
      </c>
      <c r="C256" t="inlineStr">
        <is>
          <t>Emergency</t>
        </is>
      </c>
      <c r="D256" s="28" t="n">
        <v>46014</v>
      </c>
      <c r="E256" t="inlineStr">
        <is>
          <t>R10.9</t>
        </is>
      </c>
      <c r="F256" t="inlineStr">
        <is>
          <t>Unspecified abdominal pain</t>
        </is>
      </c>
      <c r="G256" s="27" t="n"/>
    </row>
    <row r="257">
      <c r="A257" t="inlineStr">
        <is>
          <t>ENC121624</t>
        </is>
      </c>
      <c r="B257" t="inlineStr">
        <is>
          <t>PT10317</t>
        </is>
      </c>
      <c r="C257" t="inlineStr">
        <is>
          <t>Outpatient</t>
        </is>
      </c>
      <c r="D257" s="28" t="n">
        <v>46015</v>
      </c>
      <c r="E257" t="inlineStr">
        <is>
          <t>J06.9</t>
        </is>
      </c>
      <c r="F257" t="inlineStr">
        <is>
          <t>Acute upper respiratory infection, unspecified</t>
        </is>
      </c>
      <c r="G257" s="27" t="n"/>
    </row>
    <row r="258">
      <c r="A258" t="inlineStr">
        <is>
          <t>ENC121626</t>
        </is>
      </c>
      <c r="B258" t="inlineStr">
        <is>
          <t>PT10319</t>
        </is>
      </c>
      <c r="C258" t="inlineStr">
        <is>
          <t>Outpatient</t>
        </is>
      </c>
      <c r="D258" s="28" t="n">
        <v>46015</v>
      </c>
      <c r="E258" t="inlineStr">
        <is>
          <t>I10</t>
        </is>
      </c>
      <c r="F258" t="inlineStr">
        <is>
          <t>Essential (primary) hypertension</t>
        </is>
      </c>
      <c r="G258" s="27" t="n"/>
    </row>
    <row r="259">
      <c r="A259" t="inlineStr">
        <is>
          <t>ENC121627</t>
        </is>
      </c>
      <c r="B259" t="inlineStr">
        <is>
          <t>PT10150</t>
        </is>
      </c>
      <c r="C259" t="inlineStr">
        <is>
          <t>Outpatient</t>
        </is>
      </c>
      <c r="D259" s="28" t="n">
        <v>46015</v>
      </c>
      <c r="E259" t="inlineStr">
        <is>
          <t>I10</t>
        </is>
      </c>
      <c r="F259" t="inlineStr">
        <is>
          <t>Essential (primary) hypertension</t>
        </is>
      </c>
      <c r="G259" s="27" t="n"/>
    </row>
    <row r="260">
      <c r="A260" t="inlineStr">
        <is>
          <t>ENC121638</t>
        </is>
      </c>
      <c r="B260" t="inlineStr">
        <is>
          <t>PT10051</t>
        </is>
      </c>
      <c r="C260" t="inlineStr">
        <is>
          <t>Observation</t>
        </is>
      </c>
      <c r="D260" s="28" t="n">
        <v>46015</v>
      </c>
      <c r="E260" t="inlineStr">
        <is>
          <t>J45.909</t>
        </is>
      </c>
      <c r="F260" t="inlineStr">
        <is>
          <t>Unspecified asthma, uncomplicated</t>
        </is>
      </c>
      <c r="G260" s="27" t="n"/>
    </row>
    <row r="261">
      <c r="A261" t="inlineStr">
        <is>
          <t>ENC121643</t>
        </is>
      </c>
      <c r="B261" t="inlineStr">
        <is>
          <t>PT10384</t>
        </is>
      </c>
      <c r="C261" t="inlineStr">
        <is>
          <t>Observation</t>
        </is>
      </c>
      <c r="D261" s="28" t="n">
        <v>46015</v>
      </c>
      <c r="E261" t="inlineStr">
        <is>
          <t>R07.9</t>
        </is>
      </c>
      <c r="F261" t="inlineStr">
        <is>
          <t>Chest pain, unspecified</t>
        </is>
      </c>
      <c r="G261" s="27" t="n"/>
    </row>
    <row r="262">
      <c r="A262" t="inlineStr">
        <is>
          <t>ENC121642</t>
        </is>
      </c>
      <c r="B262" t="inlineStr">
        <is>
          <t>PT10129</t>
        </is>
      </c>
      <c r="C262" t="inlineStr">
        <is>
          <t>Inpatient</t>
        </is>
      </c>
      <c r="D262" s="28" t="n">
        <v>46016</v>
      </c>
      <c r="E262" t="inlineStr">
        <is>
          <t>A41.9</t>
        </is>
      </c>
      <c r="F262" t="inlineStr">
        <is>
          <t>Sepsis, unspecified organism</t>
        </is>
      </c>
      <c r="G262" s="27" t="n"/>
    </row>
    <row r="263">
      <c r="A263" t="inlineStr">
        <is>
          <t>ENC121648</t>
        </is>
      </c>
      <c r="B263" t="inlineStr">
        <is>
          <t>PT10004</t>
        </is>
      </c>
      <c r="C263" t="inlineStr">
        <is>
          <t>Inpatient</t>
        </is>
      </c>
      <c r="D263" s="28" t="n">
        <v>46016</v>
      </c>
      <c r="E263" t="inlineStr">
        <is>
          <t>K80.20</t>
        </is>
      </c>
      <c r="F263" t="inlineStr">
        <is>
          <t>Calculus of gallbladder without cholecystitis without obstruction</t>
        </is>
      </c>
      <c r="G263" s="27" t="n"/>
    </row>
    <row r="264">
      <c r="A264" t="inlineStr">
        <is>
          <t>ENC121661</t>
        </is>
      </c>
      <c r="B264" t="inlineStr">
        <is>
          <t>PT10224</t>
        </is>
      </c>
      <c r="C264" t="inlineStr">
        <is>
          <t>Outpatient</t>
        </is>
      </c>
      <c r="D264" s="28" t="n">
        <v>46016</v>
      </c>
      <c r="E264" t="inlineStr">
        <is>
          <t>J45.909</t>
        </is>
      </c>
      <c r="F264" t="inlineStr">
        <is>
          <t>Unspecified asthma, uncomplicated</t>
        </is>
      </c>
      <c r="G264" s="27" t="n"/>
    </row>
    <row r="265">
      <c r="A265" t="inlineStr">
        <is>
          <t>ENC121653</t>
        </is>
      </c>
      <c r="B265" t="inlineStr">
        <is>
          <t>PT10169</t>
        </is>
      </c>
      <c r="C265" t="inlineStr">
        <is>
          <t>Inpatient</t>
        </is>
      </c>
      <c r="D265" s="28" t="n">
        <v>46016</v>
      </c>
      <c r="E265" t="inlineStr">
        <is>
          <t>A41.9</t>
        </is>
      </c>
      <c r="F265" t="inlineStr">
        <is>
          <t>Sepsis, unspecified organism</t>
        </is>
      </c>
      <c r="G265" s="27" t="n"/>
    </row>
    <row r="266">
      <c r="A266" t="inlineStr">
        <is>
          <t>ENC121668</t>
        </is>
      </c>
      <c r="B266" t="inlineStr">
        <is>
          <t>PT10156</t>
        </is>
      </c>
      <c r="C266" t="inlineStr">
        <is>
          <t>Outpatient</t>
        </is>
      </c>
      <c r="D266" s="28" t="n">
        <v>46016</v>
      </c>
      <c r="E266" t="inlineStr">
        <is>
          <t>Z51.11</t>
        </is>
      </c>
      <c r="F266" t="inlineStr">
        <is>
          <t>Encounter for antineoplastic chemotherapy</t>
        </is>
      </c>
      <c r="G266" s="27" t="n"/>
    </row>
    <row r="267">
      <c r="A267" t="inlineStr">
        <is>
          <t>ENC121672</t>
        </is>
      </c>
      <c r="B267" t="inlineStr">
        <is>
          <t>PT10275</t>
        </is>
      </c>
      <c r="C267" t="inlineStr">
        <is>
          <t>Outpatient</t>
        </is>
      </c>
      <c r="D267" s="28" t="n">
        <v>46016</v>
      </c>
      <c r="E267" t="inlineStr">
        <is>
          <t>N39.0</t>
        </is>
      </c>
      <c r="F267" t="inlineStr">
        <is>
          <t>Urinary tract infection, site not specified</t>
        </is>
      </c>
      <c r="G267" s="27" t="n"/>
    </row>
    <row r="268">
      <c r="A268" t="inlineStr">
        <is>
          <t>ENC121704</t>
        </is>
      </c>
      <c r="B268" t="inlineStr">
        <is>
          <t>PT10191</t>
        </is>
      </c>
      <c r="C268" t="inlineStr">
        <is>
          <t>Outpatient</t>
        </is>
      </c>
      <c r="D268" s="28" t="n">
        <v>46017</v>
      </c>
      <c r="E268" t="inlineStr">
        <is>
          <t>Z00.00</t>
        </is>
      </c>
      <c r="F268" t="inlineStr">
        <is>
          <t>Encounter for general adult medical examination without abnormal findings</t>
        </is>
      </c>
      <c r="G268" s="27" t="n"/>
    </row>
    <row r="269">
      <c r="A269" t="inlineStr">
        <is>
          <t>ENC121705</t>
        </is>
      </c>
      <c r="B269" t="inlineStr">
        <is>
          <t>PT10058</t>
        </is>
      </c>
      <c r="C269" t="inlineStr">
        <is>
          <t>Inpatient</t>
        </is>
      </c>
      <c r="D269" s="28" t="n">
        <v>46017</v>
      </c>
      <c r="E269" t="inlineStr">
        <is>
          <t>A41.9</t>
        </is>
      </c>
      <c r="F269" t="inlineStr">
        <is>
          <t>Sepsis, unspecified organism</t>
        </is>
      </c>
      <c r="G269" s="27" t="n"/>
    </row>
    <row r="270">
      <c r="A270" t="inlineStr">
        <is>
          <t>ENC121729</t>
        </is>
      </c>
      <c r="B270" t="inlineStr">
        <is>
          <t>PT10339</t>
        </is>
      </c>
      <c r="C270" t="inlineStr">
        <is>
          <t>Emergency</t>
        </is>
      </c>
      <c r="D270" s="28" t="n">
        <v>46018</v>
      </c>
      <c r="E270" t="inlineStr">
        <is>
          <t>J06.9</t>
        </is>
      </c>
      <c r="F270" t="inlineStr">
        <is>
          <t>Acute upper respiratory infection, unspecified</t>
        </is>
      </c>
      <c r="G270" s="27" t="n"/>
    </row>
    <row r="271">
      <c r="A271" t="inlineStr">
        <is>
          <t>ENC121732</t>
        </is>
      </c>
      <c r="B271" t="inlineStr">
        <is>
          <t>PT10197</t>
        </is>
      </c>
      <c r="C271" t="inlineStr">
        <is>
          <t>Emergency</t>
        </is>
      </c>
      <c r="D271" s="28" t="n">
        <v>46018</v>
      </c>
      <c r="E271" t="inlineStr">
        <is>
          <t>J06.9</t>
        </is>
      </c>
      <c r="F271" t="inlineStr">
        <is>
          <t>Acute upper respiratory infection, unspecified</t>
        </is>
      </c>
      <c r="G271" s="27" t="n"/>
    </row>
    <row r="272">
      <c r="A272" t="inlineStr">
        <is>
          <t>ENC121735</t>
        </is>
      </c>
      <c r="B272" t="inlineStr">
        <is>
          <t>PT10163</t>
        </is>
      </c>
      <c r="C272" t="inlineStr">
        <is>
          <t>Observation</t>
        </is>
      </c>
      <c r="D272" s="28" t="n">
        <v>46018</v>
      </c>
      <c r="E272" t="inlineStr">
        <is>
          <t>M54.50</t>
        </is>
      </c>
      <c r="F272" t="inlineStr">
        <is>
          <t>Low back pain, unspecified</t>
        </is>
      </c>
      <c r="G272" s="27" t="n"/>
    </row>
    <row r="273">
      <c r="A273" t="inlineStr">
        <is>
          <t>ENC121739</t>
        </is>
      </c>
      <c r="B273" t="inlineStr">
        <is>
          <t>PT10399</t>
        </is>
      </c>
      <c r="C273" t="inlineStr">
        <is>
          <t>Inpatient</t>
        </is>
      </c>
      <c r="D273" s="28" t="n">
        <v>46019</v>
      </c>
      <c r="E273" t="inlineStr">
        <is>
          <t>D70.1</t>
        </is>
      </c>
      <c r="F273" t="inlineStr">
        <is>
          <t>Agranulocytosis secondary to cancer chemotherapy</t>
        </is>
      </c>
      <c r="G273" s="27" t="n"/>
    </row>
    <row r="274">
      <c r="A274" t="inlineStr">
        <is>
          <t>ENC121757</t>
        </is>
      </c>
      <c r="B274" t="inlineStr">
        <is>
          <t>PT10075</t>
        </is>
      </c>
      <c r="C274" t="inlineStr">
        <is>
          <t>Outpatient</t>
        </is>
      </c>
      <c r="D274" s="28" t="n">
        <v>46020</v>
      </c>
      <c r="E274" t="inlineStr">
        <is>
          <t>J45.909</t>
        </is>
      </c>
      <c r="F274" t="inlineStr">
        <is>
          <t>Unspecified asthma, uncomplicated</t>
        </is>
      </c>
      <c r="G274" s="27" t="n"/>
    </row>
    <row r="275">
      <c r="A275" t="inlineStr">
        <is>
          <t>ENC121768</t>
        </is>
      </c>
      <c r="B275" t="inlineStr">
        <is>
          <t>PT10028</t>
        </is>
      </c>
      <c r="C275" t="inlineStr">
        <is>
          <t>Outpatient</t>
        </is>
      </c>
      <c r="D275" s="28" t="n">
        <v>46020</v>
      </c>
      <c r="E275" t="inlineStr">
        <is>
          <t>H66.90</t>
        </is>
      </c>
      <c r="F275" t="inlineStr">
        <is>
          <t>Otitis media, unspecified, unspecified ear</t>
        </is>
      </c>
      <c r="G275" s="27" t="n"/>
    </row>
    <row r="276">
      <c r="A276" t="inlineStr">
        <is>
          <t>ENC121787</t>
        </is>
      </c>
      <c r="B276" t="inlineStr">
        <is>
          <t>PT10240</t>
        </is>
      </c>
      <c r="C276" t="inlineStr">
        <is>
          <t>Emergency</t>
        </is>
      </c>
      <c r="D276" s="28" t="n">
        <v>46020</v>
      </c>
      <c r="E276" t="inlineStr">
        <is>
          <t>J06.9</t>
        </is>
      </c>
      <c r="F276" t="inlineStr">
        <is>
          <t>Acute upper respiratory infection, unspecified</t>
        </is>
      </c>
      <c r="G276" s="27" t="n"/>
    </row>
    <row r="277">
      <c r="A277" t="inlineStr">
        <is>
          <t>ENC121794</t>
        </is>
      </c>
      <c r="B277" t="inlineStr">
        <is>
          <t>PT10117</t>
        </is>
      </c>
      <c r="C277" t="inlineStr">
        <is>
          <t>Emergency</t>
        </is>
      </c>
      <c r="D277" s="28" t="n">
        <v>46020</v>
      </c>
      <c r="E277" t="inlineStr">
        <is>
          <t>J21.9</t>
        </is>
      </c>
      <c r="F277" t="inlineStr">
        <is>
          <t>Acute bronchiolitis, unspecified</t>
        </is>
      </c>
      <c r="G277" s="27" t="n"/>
    </row>
    <row r="278">
      <c r="A278" t="inlineStr">
        <is>
          <t>ENC121795</t>
        </is>
      </c>
      <c r="B278" t="inlineStr">
        <is>
          <t>PT10183</t>
        </is>
      </c>
      <c r="C278" t="inlineStr">
        <is>
          <t>Emergency</t>
        </is>
      </c>
      <c r="D278" s="28" t="n">
        <v>46021</v>
      </c>
      <c r="E278" t="inlineStr">
        <is>
          <t>R07.9</t>
        </is>
      </c>
      <c r="F278" t="inlineStr">
        <is>
          <t>Chest pain, unspecified</t>
        </is>
      </c>
      <c r="G278" s="27" t="n"/>
    </row>
    <row r="279">
      <c r="A279" t="inlineStr">
        <is>
          <t>ENC121799</t>
        </is>
      </c>
      <c r="B279" t="inlineStr">
        <is>
          <t>PT10059</t>
        </is>
      </c>
      <c r="C279" t="inlineStr">
        <is>
          <t>Emergency</t>
        </is>
      </c>
      <c r="D279" s="28" t="n">
        <v>46021</v>
      </c>
      <c r="E279" t="inlineStr">
        <is>
          <t>G43.909</t>
        </is>
      </c>
      <c r="F279" t="inlineStr">
        <is>
          <t>Migraine, unspecified, not intractable, without status migrainosus</t>
        </is>
      </c>
      <c r="G279" s="27" t="n"/>
    </row>
    <row r="280">
      <c r="A280" t="inlineStr">
        <is>
          <t>ENC121803</t>
        </is>
      </c>
      <c r="B280" t="inlineStr">
        <is>
          <t>PT10170</t>
        </is>
      </c>
      <c r="C280" t="inlineStr">
        <is>
          <t>Outpatient</t>
        </is>
      </c>
      <c r="D280" s="28" t="n">
        <v>46021</v>
      </c>
      <c r="E280" t="inlineStr">
        <is>
          <t>J44.1</t>
        </is>
      </c>
      <c r="F280" t="inlineStr">
        <is>
          <t>Chronic obstructive pulmonary disease with (acute) exacerbation</t>
        </is>
      </c>
      <c r="G280" s="27" t="n"/>
    </row>
    <row r="281">
      <c r="A281" t="inlineStr">
        <is>
          <t>ENC121828</t>
        </is>
      </c>
      <c r="B281" t="inlineStr">
        <is>
          <t>PT10217</t>
        </is>
      </c>
      <c r="C281" t="inlineStr">
        <is>
          <t>Outpatient</t>
        </is>
      </c>
      <c r="D281" s="28" t="n">
        <v>46022</v>
      </c>
      <c r="E281" t="inlineStr">
        <is>
          <t>M54.50</t>
        </is>
      </c>
      <c r="F281" t="inlineStr">
        <is>
          <t>Low back pain, unspecified</t>
        </is>
      </c>
      <c r="G281" s="27" t="n"/>
    </row>
    <row r="282">
      <c r="A282" t="inlineStr">
        <is>
          <t>ENC121831</t>
        </is>
      </c>
      <c r="B282" t="inlineStr">
        <is>
          <t>PT10284</t>
        </is>
      </c>
      <c r="C282" t="inlineStr">
        <is>
          <t>Outpatient</t>
        </is>
      </c>
      <c r="D282" s="28" t="n">
        <v>46022</v>
      </c>
      <c r="E282" t="inlineStr">
        <is>
          <t>K80.20</t>
        </is>
      </c>
      <c r="F282" t="inlineStr">
        <is>
          <t>Calculus of gallbladder without cholecystitis without obstruction</t>
        </is>
      </c>
      <c r="G282" s="27" t="n"/>
    </row>
    <row r="283">
      <c r="A283" t="inlineStr">
        <is>
          <t>ENC121836</t>
        </is>
      </c>
      <c r="B283" t="inlineStr">
        <is>
          <t>PT10215</t>
        </is>
      </c>
      <c r="C283" t="inlineStr">
        <is>
          <t>Emergency</t>
        </is>
      </c>
      <c r="D283" s="28" t="n">
        <v>46022</v>
      </c>
      <c r="E283" t="inlineStr">
        <is>
          <t>E86.0</t>
        </is>
      </c>
      <c r="F283" t="inlineStr">
        <is>
          <t>Dehydration</t>
        </is>
      </c>
      <c r="G283" s="27" t="n"/>
    </row>
    <row r="284">
      <c r="A284" t="inlineStr">
        <is>
          <t>ENC121857</t>
        </is>
      </c>
      <c r="B284" t="inlineStr">
        <is>
          <t>PT10119</t>
        </is>
      </c>
      <c r="C284" t="inlineStr">
        <is>
          <t>Emergency</t>
        </is>
      </c>
      <c r="D284" s="28" t="n">
        <v>46022</v>
      </c>
      <c r="E284" t="inlineStr">
        <is>
          <t>N39.0</t>
        </is>
      </c>
      <c r="F284" t="inlineStr">
        <is>
          <t>Urinary tract infection, site not specified</t>
        </is>
      </c>
      <c r="G284" s="27"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48"/>
  <sheetViews>
    <sheetView tabSelected="0"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12" customWidth="1" min="4" max="4"/>
    <col width="28" customWidth="1" min="5" max="5"/>
  </cols>
  <sheetData>
    <row r="1">
      <c r="A1" s="25" t="inlineStr">
        <is>
          <t>ProviderID</t>
        </is>
      </c>
      <c r="B1" s="25" t="inlineStr">
        <is>
          <t>FirstName</t>
        </is>
      </c>
      <c r="C1" s="25" t="inlineStr">
        <is>
          <t>LastName</t>
        </is>
      </c>
      <c r="D1" s="25" t="inlineStr">
        <is>
          <t>Credential</t>
        </is>
      </c>
      <c r="E1" s="25" t="inlineStr">
        <is>
          <t>Specialty</t>
        </is>
      </c>
    </row>
    <row r="2">
      <c r="A2" t="inlineStr">
        <is>
          <t>PRV1001</t>
        </is>
      </c>
      <c r="B2" t="inlineStr">
        <is>
          <t>Roy</t>
        </is>
      </c>
      <c r="C2" t="inlineStr">
        <is>
          <t>Ferguson</t>
        </is>
      </c>
      <c r="D2" t="inlineStr">
        <is>
          <t>MD</t>
        </is>
      </c>
      <c r="E2" t="inlineStr">
        <is>
          <t>Emergency Medicine</t>
        </is>
      </c>
    </row>
    <row r="3">
      <c r="A3" t="inlineStr">
        <is>
          <t>PRV1002</t>
        </is>
      </c>
      <c r="B3" t="inlineStr">
        <is>
          <t>Mia</t>
        </is>
      </c>
      <c r="C3" t="inlineStr">
        <is>
          <t>Cruz</t>
        </is>
      </c>
      <c r="D3" t="inlineStr">
        <is>
          <t>MD</t>
        </is>
      </c>
      <c r="E3" t="inlineStr">
        <is>
          <t>Emergency Medicine</t>
        </is>
      </c>
    </row>
    <row r="4">
      <c r="A4" t="inlineStr">
        <is>
          <t>PRV1003</t>
        </is>
      </c>
      <c r="B4" t="inlineStr">
        <is>
          <t>Jordan</t>
        </is>
      </c>
      <c r="C4" t="inlineStr">
        <is>
          <t>Morris</t>
        </is>
      </c>
      <c r="D4" t="inlineStr">
        <is>
          <t>MD</t>
        </is>
      </c>
      <c r="E4" t="inlineStr">
        <is>
          <t>Emergency Medicine</t>
        </is>
      </c>
    </row>
    <row r="5">
      <c r="A5" t="inlineStr">
        <is>
          <t>PRV1004</t>
        </is>
      </c>
      <c r="B5" t="inlineStr">
        <is>
          <t>Jesse</t>
        </is>
      </c>
      <c r="C5" t="inlineStr">
        <is>
          <t>Elliott</t>
        </is>
      </c>
      <c r="D5" t="inlineStr">
        <is>
          <t>MD</t>
        </is>
      </c>
      <c r="E5" t="inlineStr">
        <is>
          <t>Emergency Medicine</t>
        </is>
      </c>
    </row>
    <row r="6">
      <c r="A6" t="inlineStr">
        <is>
          <t>PRV1005</t>
        </is>
      </c>
      <c r="B6" t="inlineStr">
        <is>
          <t>Christian</t>
        </is>
      </c>
      <c r="C6" t="inlineStr">
        <is>
          <t>Olson</t>
        </is>
      </c>
      <c r="D6" t="inlineStr">
        <is>
          <t>DO</t>
        </is>
      </c>
      <c r="E6" t="inlineStr">
        <is>
          <t>Emergency Medicine</t>
        </is>
      </c>
    </row>
    <row r="7">
      <c r="A7" t="inlineStr">
        <is>
          <t>PRV1006</t>
        </is>
      </c>
      <c r="B7" t="inlineStr">
        <is>
          <t>James</t>
        </is>
      </c>
      <c r="C7" t="inlineStr">
        <is>
          <t>Kowalski</t>
        </is>
      </c>
      <c r="D7" t="inlineStr">
        <is>
          <t>MD</t>
        </is>
      </c>
      <c r="E7" t="inlineStr">
        <is>
          <t>Emergency Medicine</t>
        </is>
      </c>
    </row>
    <row r="8">
      <c r="A8" t="inlineStr">
        <is>
          <t>PRV1007</t>
        </is>
      </c>
      <c r="B8" t="inlineStr">
        <is>
          <t>Alexander</t>
        </is>
      </c>
      <c r="C8" t="inlineStr">
        <is>
          <t>Mendoza</t>
        </is>
      </c>
      <c r="D8" t="inlineStr">
        <is>
          <t>MD</t>
        </is>
      </c>
      <c r="E8" t="inlineStr">
        <is>
          <t>Emergency Medicine</t>
        </is>
      </c>
    </row>
    <row r="9">
      <c r="A9" t="inlineStr">
        <is>
          <t>PRV1008</t>
        </is>
      </c>
      <c r="B9" t="inlineStr">
        <is>
          <t>Jacob</t>
        </is>
      </c>
      <c r="C9" t="inlineStr">
        <is>
          <t>Sullivan</t>
        </is>
      </c>
      <c r="D9" t="inlineStr">
        <is>
          <t>DO</t>
        </is>
      </c>
      <c r="E9" t="inlineStr">
        <is>
          <t>Emergency Medicine</t>
        </is>
      </c>
    </row>
    <row r="10">
      <c r="A10" t="inlineStr">
        <is>
          <t>PRV1009</t>
        </is>
      </c>
      <c r="B10" t="inlineStr">
        <is>
          <t>Patrick</t>
        </is>
      </c>
      <c r="C10" t="inlineStr">
        <is>
          <t>Foster</t>
        </is>
      </c>
      <c r="D10" t="inlineStr">
        <is>
          <t>DO</t>
        </is>
      </c>
      <c r="E10" t="inlineStr">
        <is>
          <t>Emergency Medicine</t>
        </is>
      </c>
    </row>
    <row r="11">
      <c r="A11" t="inlineStr">
        <is>
          <t>PRV1010</t>
        </is>
      </c>
      <c r="B11" t="inlineStr">
        <is>
          <t>Nancy</t>
        </is>
      </c>
      <c r="C11" t="inlineStr">
        <is>
          <t>Payne</t>
        </is>
      </c>
      <c r="D11" t="inlineStr">
        <is>
          <t>MD</t>
        </is>
      </c>
      <c r="E11" t="inlineStr">
        <is>
          <t>Emergency Medicine</t>
        </is>
      </c>
    </row>
    <row r="12">
      <c r="A12" t="inlineStr">
        <is>
          <t>PRV1011</t>
        </is>
      </c>
      <c r="B12" t="inlineStr">
        <is>
          <t>Mia</t>
        </is>
      </c>
      <c r="C12" t="inlineStr">
        <is>
          <t>Gonzales</t>
        </is>
      </c>
      <c r="D12" t="inlineStr">
        <is>
          <t>PA</t>
        </is>
      </c>
      <c r="E12" t="inlineStr">
        <is>
          <t>Emergency Medicine</t>
        </is>
      </c>
    </row>
    <row r="13">
      <c r="A13" t="inlineStr">
        <is>
          <t>PRV1012</t>
        </is>
      </c>
      <c r="B13" t="inlineStr">
        <is>
          <t>Bruce</t>
        </is>
      </c>
      <c r="C13" t="inlineStr">
        <is>
          <t>Vasquez</t>
        </is>
      </c>
      <c r="D13" t="inlineStr">
        <is>
          <t>NP</t>
        </is>
      </c>
      <c r="E13" t="inlineStr">
        <is>
          <t>Emergency Medicine</t>
        </is>
      </c>
    </row>
    <row r="14">
      <c r="A14" t="inlineStr">
        <is>
          <t>PRV1013</t>
        </is>
      </c>
      <c r="B14" t="inlineStr">
        <is>
          <t>Doris</t>
        </is>
      </c>
      <c r="C14" t="inlineStr">
        <is>
          <t>Myers</t>
        </is>
      </c>
      <c r="D14" t="inlineStr">
        <is>
          <t>PA</t>
        </is>
      </c>
      <c r="E14" t="inlineStr">
        <is>
          <t>Emergency Medicine</t>
        </is>
      </c>
    </row>
    <row r="15">
      <c r="A15" t="inlineStr">
        <is>
          <t>PRV1014</t>
        </is>
      </c>
      <c r="B15" t="inlineStr">
        <is>
          <t>Wayne</t>
        </is>
      </c>
      <c r="C15" t="inlineStr">
        <is>
          <t>Jordan</t>
        </is>
      </c>
      <c r="D15" t="inlineStr">
        <is>
          <t>PA</t>
        </is>
      </c>
      <c r="E15" t="inlineStr">
        <is>
          <t>Emergency Medicine</t>
        </is>
      </c>
    </row>
    <row r="16">
      <c r="A16" t="inlineStr">
        <is>
          <t>PRV1015</t>
        </is>
      </c>
      <c r="B16" t="inlineStr">
        <is>
          <t>Margaret</t>
        </is>
      </c>
      <c r="C16" t="inlineStr">
        <is>
          <t>Walker</t>
        </is>
      </c>
      <c r="D16" t="inlineStr">
        <is>
          <t>MD</t>
        </is>
      </c>
      <c r="E16" t="inlineStr">
        <is>
          <t>Emergency Medicine</t>
        </is>
      </c>
    </row>
    <row r="17">
      <c r="A17" t="inlineStr">
        <is>
          <t>PRV1016</t>
        </is>
      </c>
      <c r="B17" t="inlineStr">
        <is>
          <t>Mei</t>
        </is>
      </c>
      <c r="C17" t="inlineStr">
        <is>
          <t>Richardson</t>
        </is>
      </c>
      <c r="D17" t="inlineStr">
        <is>
          <t>MD</t>
        </is>
      </c>
      <c r="E17" t="inlineStr">
        <is>
          <t>Emergency Medicine</t>
        </is>
      </c>
    </row>
    <row r="18">
      <c r="A18" t="inlineStr">
        <is>
          <t>PRV1017</t>
        </is>
      </c>
      <c r="B18" t="inlineStr">
        <is>
          <t>Bruce</t>
        </is>
      </c>
      <c r="C18" t="inlineStr">
        <is>
          <t>Wright</t>
        </is>
      </c>
      <c r="D18" t="inlineStr">
        <is>
          <t>MD</t>
        </is>
      </c>
      <c r="E18" t="inlineStr">
        <is>
          <t>Emergency Medicine</t>
        </is>
      </c>
    </row>
    <row r="19">
      <c r="A19" t="inlineStr">
        <is>
          <t>PRV1018</t>
        </is>
      </c>
      <c r="B19" t="inlineStr">
        <is>
          <t>Frank</t>
        </is>
      </c>
      <c r="C19" t="inlineStr">
        <is>
          <t>Collins</t>
        </is>
      </c>
      <c r="D19" t="inlineStr">
        <is>
          <t>MD</t>
        </is>
      </c>
      <c r="E19" t="inlineStr">
        <is>
          <t>Emergency Medicine</t>
        </is>
      </c>
    </row>
    <row r="20">
      <c r="A20" t="inlineStr">
        <is>
          <t>PRV1019</t>
        </is>
      </c>
      <c r="B20" t="inlineStr">
        <is>
          <t>Lisa</t>
        </is>
      </c>
      <c r="C20" t="inlineStr">
        <is>
          <t>Marshall</t>
        </is>
      </c>
      <c r="D20" t="inlineStr">
        <is>
          <t>DO</t>
        </is>
      </c>
      <c r="E20" t="inlineStr">
        <is>
          <t>Emergency Medicine</t>
        </is>
      </c>
    </row>
    <row r="21">
      <c r="A21" t="inlineStr">
        <is>
          <t>PRV1020</t>
        </is>
      </c>
      <c r="B21" t="inlineStr">
        <is>
          <t>Megan</t>
        </is>
      </c>
      <c r="C21" t="inlineStr">
        <is>
          <t>Peters</t>
        </is>
      </c>
      <c r="D21" t="inlineStr">
        <is>
          <t>NP</t>
        </is>
      </c>
      <c r="E21" t="inlineStr">
        <is>
          <t>Emergency Medicine</t>
        </is>
      </c>
    </row>
    <row r="22">
      <c r="A22" t="inlineStr">
        <is>
          <t>PRV1021</t>
        </is>
      </c>
      <c r="B22" t="inlineStr">
        <is>
          <t>Brenda</t>
        </is>
      </c>
      <c r="C22" t="inlineStr">
        <is>
          <t>Henry</t>
        </is>
      </c>
      <c r="D22" t="inlineStr">
        <is>
          <t>MD</t>
        </is>
      </c>
      <c r="E22" t="inlineStr">
        <is>
          <t>Emergency Medicine</t>
        </is>
      </c>
    </row>
    <row r="23">
      <c r="A23" t="inlineStr">
        <is>
          <t>PRV1022</t>
        </is>
      </c>
      <c r="B23" t="inlineStr">
        <is>
          <t>Anna</t>
        </is>
      </c>
      <c r="C23" t="inlineStr">
        <is>
          <t>Schmidt</t>
        </is>
      </c>
      <c r="D23" t="inlineStr">
        <is>
          <t>MD</t>
        </is>
      </c>
      <c r="E23" t="inlineStr">
        <is>
          <t>Emergency Medicine</t>
        </is>
      </c>
    </row>
    <row r="24">
      <c r="A24" t="inlineStr">
        <is>
          <t>PRV1023</t>
        </is>
      </c>
      <c r="B24" t="inlineStr">
        <is>
          <t>Gary</t>
        </is>
      </c>
      <c r="C24" t="inlineStr">
        <is>
          <t>Barnes</t>
        </is>
      </c>
      <c r="D24" t="inlineStr">
        <is>
          <t>DO</t>
        </is>
      </c>
      <c r="E24" t="inlineStr">
        <is>
          <t>Emergency Medicine</t>
        </is>
      </c>
    </row>
    <row r="25">
      <c r="A25" t="inlineStr">
        <is>
          <t>PRV1024</t>
        </is>
      </c>
      <c r="B25" t="inlineStr">
        <is>
          <t>Michael</t>
        </is>
      </c>
      <c r="C25" t="inlineStr">
        <is>
          <t>Andrews</t>
        </is>
      </c>
      <c r="D25" t="inlineStr">
        <is>
          <t>DO</t>
        </is>
      </c>
      <c r="E25" t="inlineStr">
        <is>
          <t>Emergency Medicine</t>
        </is>
      </c>
    </row>
    <row r="26">
      <c r="A26" t="inlineStr">
        <is>
          <t>PRV1025</t>
        </is>
      </c>
      <c r="B26" t="inlineStr">
        <is>
          <t>Victoria</t>
        </is>
      </c>
      <c r="C26" t="inlineStr">
        <is>
          <t>Warren</t>
        </is>
      </c>
      <c r="D26" t="inlineStr">
        <is>
          <t>MD</t>
        </is>
      </c>
      <c r="E26" t="inlineStr">
        <is>
          <t>Emergency Medicine</t>
        </is>
      </c>
    </row>
    <row r="27">
      <c r="A27" t="inlineStr">
        <is>
          <t>PRV1026</t>
        </is>
      </c>
      <c r="B27" t="inlineStr">
        <is>
          <t>Linda</t>
        </is>
      </c>
      <c r="C27" t="inlineStr">
        <is>
          <t>Munoz</t>
        </is>
      </c>
      <c r="D27" t="inlineStr">
        <is>
          <t>DO</t>
        </is>
      </c>
      <c r="E27" t="inlineStr">
        <is>
          <t>Emergency Medicine</t>
        </is>
      </c>
    </row>
    <row r="28">
      <c r="A28" t="inlineStr">
        <is>
          <t>PRV1027</t>
        </is>
      </c>
      <c r="B28" t="inlineStr">
        <is>
          <t>Wayne</t>
        </is>
      </c>
      <c r="C28" t="inlineStr">
        <is>
          <t>Pena</t>
        </is>
      </c>
      <c r="D28" t="inlineStr">
        <is>
          <t>NP</t>
        </is>
      </c>
      <c r="E28" t="inlineStr">
        <is>
          <t>Emergency Medicine</t>
        </is>
      </c>
    </row>
    <row r="29">
      <c r="A29" t="inlineStr">
        <is>
          <t>PRV1028</t>
        </is>
      </c>
      <c r="B29" t="inlineStr">
        <is>
          <t>Shirley</t>
        </is>
      </c>
      <c r="C29" t="inlineStr">
        <is>
          <t>Riley</t>
        </is>
      </c>
      <c r="D29" t="inlineStr">
        <is>
          <t>PA</t>
        </is>
      </c>
      <c r="E29" t="inlineStr">
        <is>
          <t>Emergency Medicine</t>
        </is>
      </c>
    </row>
    <row r="30">
      <c r="A30" t="inlineStr">
        <is>
          <t>PRV1029</t>
        </is>
      </c>
      <c r="B30" t="inlineStr">
        <is>
          <t>Kelly</t>
        </is>
      </c>
      <c r="C30" t="inlineStr">
        <is>
          <t>Simpson</t>
        </is>
      </c>
      <c r="D30" t="inlineStr">
        <is>
          <t>MD</t>
        </is>
      </c>
      <c r="E30" t="inlineStr">
        <is>
          <t>Hospital Medicine</t>
        </is>
      </c>
    </row>
    <row r="31">
      <c r="A31" t="inlineStr">
        <is>
          <t>PRV1030</t>
        </is>
      </c>
      <c r="B31" t="inlineStr">
        <is>
          <t>Judith</t>
        </is>
      </c>
      <c r="C31" t="inlineStr">
        <is>
          <t>Cox</t>
        </is>
      </c>
      <c r="D31" t="inlineStr">
        <is>
          <t>DO</t>
        </is>
      </c>
      <c r="E31" t="inlineStr">
        <is>
          <t>Hospital Medicine</t>
        </is>
      </c>
    </row>
    <row r="32">
      <c r="A32" t="inlineStr">
        <is>
          <t>PRV1031</t>
        </is>
      </c>
      <c r="B32" t="inlineStr">
        <is>
          <t>Tyler</t>
        </is>
      </c>
      <c r="C32" t="inlineStr">
        <is>
          <t>Alvarado</t>
        </is>
      </c>
      <c r="D32" t="inlineStr">
        <is>
          <t>MD</t>
        </is>
      </c>
      <c r="E32" t="inlineStr">
        <is>
          <t>Hospital Medicine</t>
        </is>
      </c>
    </row>
    <row r="33">
      <c r="A33" t="inlineStr">
        <is>
          <t>PRV1032</t>
        </is>
      </c>
      <c r="B33" t="inlineStr">
        <is>
          <t>Roger</t>
        </is>
      </c>
      <c r="C33" t="inlineStr">
        <is>
          <t>Cruz</t>
        </is>
      </c>
      <c r="D33" t="inlineStr">
        <is>
          <t>MD</t>
        </is>
      </c>
      <c r="E33" t="inlineStr">
        <is>
          <t>Hospital Medicine</t>
        </is>
      </c>
    </row>
    <row r="34">
      <c r="A34" t="inlineStr">
        <is>
          <t>PRV1033</t>
        </is>
      </c>
      <c r="B34" t="inlineStr">
        <is>
          <t>Hassan</t>
        </is>
      </c>
      <c r="C34" t="inlineStr">
        <is>
          <t>Abdi</t>
        </is>
      </c>
      <c r="D34" t="inlineStr">
        <is>
          <t>DO</t>
        </is>
      </c>
      <c r="E34" t="inlineStr">
        <is>
          <t>Hospital Medicine</t>
        </is>
      </c>
    </row>
    <row r="35">
      <c r="A35" t="inlineStr">
        <is>
          <t>PRV1034</t>
        </is>
      </c>
      <c r="B35" t="inlineStr">
        <is>
          <t>Alan</t>
        </is>
      </c>
      <c r="C35" t="inlineStr">
        <is>
          <t>Wallace</t>
        </is>
      </c>
      <c r="D35" t="inlineStr">
        <is>
          <t>MD</t>
        </is>
      </c>
      <c r="E35" t="inlineStr">
        <is>
          <t>Hospital Medicine</t>
        </is>
      </c>
    </row>
    <row r="36">
      <c r="A36" t="inlineStr">
        <is>
          <t>PRV1035</t>
        </is>
      </c>
      <c r="B36" t="inlineStr">
        <is>
          <t>Juan</t>
        </is>
      </c>
      <c r="C36" t="inlineStr">
        <is>
          <t>Price</t>
        </is>
      </c>
      <c r="D36" t="inlineStr">
        <is>
          <t>MD</t>
        </is>
      </c>
      <c r="E36" t="inlineStr">
        <is>
          <t>Hospital Medicine</t>
        </is>
      </c>
    </row>
    <row r="37">
      <c r="A37" t="inlineStr">
        <is>
          <t>PRV1036</t>
        </is>
      </c>
      <c r="B37" t="inlineStr">
        <is>
          <t>Emma</t>
        </is>
      </c>
      <c r="C37" t="inlineStr">
        <is>
          <t>Ramirez</t>
        </is>
      </c>
      <c r="D37" t="inlineStr">
        <is>
          <t>MD</t>
        </is>
      </c>
      <c r="E37" t="inlineStr">
        <is>
          <t>Hospital Medicine</t>
        </is>
      </c>
    </row>
    <row r="38">
      <c r="A38" t="inlineStr">
        <is>
          <t>PRV1037</t>
        </is>
      </c>
      <c r="B38" t="inlineStr">
        <is>
          <t>Joe</t>
        </is>
      </c>
      <c r="C38" t="inlineStr">
        <is>
          <t>Yilmaz</t>
        </is>
      </c>
      <c r="D38" t="inlineStr">
        <is>
          <t>MD</t>
        </is>
      </c>
      <c r="E38" t="inlineStr">
        <is>
          <t>Hospital Medicine</t>
        </is>
      </c>
    </row>
    <row r="39">
      <c r="A39" t="inlineStr">
        <is>
          <t>PRV1038</t>
        </is>
      </c>
      <c r="B39" t="inlineStr">
        <is>
          <t>Jose</t>
        </is>
      </c>
      <c r="C39" t="inlineStr">
        <is>
          <t>Vasquez</t>
        </is>
      </c>
      <c r="D39" t="inlineStr">
        <is>
          <t>MD</t>
        </is>
      </c>
      <c r="E39" t="inlineStr">
        <is>
          <t>Hospital Medicine</t>
        </is>
      </c>
    </row>
    <row r="40">
      <c r="A40" t="inlineStr">
        <is>
          <t>PRV1039</t>
        </is>
      </c>
      <c r="B40" t="inlineStr">
        <is>
          <t>Richard</t>
        </is>
      </c>
      <c r="C40" t="inlineStr">
        <is>
          <t>Hunt</t>
        </is>
      </c>
      <c r="D40" t="inlineStr">
        <is>
          <t>MD</t>
        </is>
      </c>
      <c r="E40" t="inlineStr">
        <is>
          <t>Hospital Medicine</t>
        </is>
      </c>
    </row>
    <row r="41">
      <c r="A41" t="inlineStr">
        <is>
          <t>PRV1040</t>
        </is>
      </c>
      <c r="B41" t="inlineStr">
        <is>
          <t>Jean</t>
        </is>
      </c>
      <c r="C41" t="inlineStr">
        <is>
          <t>Allen</t>
        </is>
      </c>
      <c r="D41" t="inlineStr">
        <is>
          <t>DO</t>
        </is>
      </c>
      <c r="E41" t="inlineStr">
        <is>
          <t>Hospital Medicine</t>
        </is>
      </c>
    </row>
    <row r="42">
      <c r="A42" t="inlineStr">
        <is>
          <t>PRV1041</t>
        </is>
      </c>
      <c r="B42" t="inlineStr">
        <is>
          <t>Larry</t>
        </is>
      </c>
      <c r="C42" t="inlineStr">
        <is>
          <t>Russell</t>
        </is>
      </c>
      <c r="D42" t="inlineStr">
        <is>
          <t>MD</t>
        </is>
      </c>
      <c r="E42" t="inlineStr">
        <is>
          <t>Hospital Medicine</t>
        </is>
      </c>
    </row>
    <row r="43">
      <c r="A43" t="inlineStr">
        <is>
          <t>PRV1042</t>
        </is>
      </c>
      <c r="B43" t="inlineStr">
        <is>
          <t>Kathleen</t>
        </is>
      </c>
      <c r="C43" t="inlineStr">
        <is>
          <t>Abbott</t>
        </is>
      </c>
      <c r="D43" t="inlineStr">
        <is>
          <t>NP</t>
        </is>
      </c>
      <c r="E43" t="inlineStr">
        <is>
          <t>Hospital Medicine</t>
        </is>
      </c>
    </row>
    <row r="44">
      <c r="A44" t="inlineStr">
        <is>
          <t>PRV1043</t>
        </is>
      </c>
      <c r="B44" t="inlineStr">
        <is>
          <t>Ashley</t>
        </is>
      </c>
      <c r="C44" t="inlineStr">
        <is>
          <t>Watson</t>
        </is>
      </c>
      <c r="D44" t="inlineStr">
        <is>
          <t>NP</t>
        </is>
      </c>
      <c r="E44" t="inlineStr">
        <is>
          <t>Hospital Medicine</t>
        </is>
      </c>
    </row>
    <row r="45">
      <c r="A45" t="inlineStr">
        <is>
          <t>PRV1044</t>
        </is>
      </c>
      <c r="B45" t="inlineStr">
        <is>
          <t>Melissa</t>
        </is>
      </c>
      <c r="C45" t="inlineStr">
        <is>
          <t>Moreno</t>
        </is>
      </c>
      <c r="D45" t="inlineStr">
        <is>
          <t>MD</t>
        </is>
      </c>
      <c r="E45" t="inlineStr">
        <is>
          <t>Hospital Medicine</t>
        </is>
      </c>
    </row>
    <row r="46">
      <c r="A46" t="inlineStr">
        <is>
          <t>PRV1045</t>
        </is>
      </c>
      <c r="B46" t="inlineStr">
        <is>
          <t>Philip</t>
        </is>
      </c>
      <c r="C46" t="inlineStr">
        <is>
          <t>Carroll</t>
        </is>
      </c>
      <c r="D46" t="inlineStr">
        <is>
          <t>DO</t>
        </is>
      </c>
      <c r="E46" t="inlineStr">
        <is>
          <t>Hospital Medicine</t>
        </is>
      </c>
    </row>
    <row r="47">
      <c r="A47" t="inlineStr">
        <is>
          <t>PRV1046</t>
        </is>
      </c>
      <c r="B47" t="inlineStr">
        <is>
          <t>Stephanie</t>
        </is>
      </c>
      <c r="C47" t="inlineStr">
        <is>
          <t>Murray</t>
        </is>
      </c>
      <c r="D47" t="inlineStr">
        <is>
          <t>DO</t>
        </is>
      </c>
      <c r="E47" t="inlineStr">
        <is>
          <t>Hospital Medicine</t>
        </is>
      </c>
    </row>
    <row r="48">
      <c r="A48" t="inlineStr">
        <is>
          <t>PRV1047</t>
        </is>
      </c>
      <c r="B48" t="inlineStr">
        <is>
          <t>Karen</t>
        </is>
      </c>
      <c r="C48" t="inlineStr">
        <is>
          <t>Carter</t>
        </is>
      </c>
      <c r="D48" t="inlineStr">
        <is>
          <t>MD</t>
        </is>
      </c>
      <c r="E48" t="inlineStr">
        <is>
          <t>Hospital Medicine</t>
        </is>
      </c>
    </row>
    <row r="49">
      <c r="A49" t="inlineStr">
        <is>
          <t>PRV1048</t>
        </is>
      </c>
      <c r="B49" t="inlineStr">
        <is>
          <t>Doris</t>
        </is>
      </c>
      <c r="C49" t="inlineStr">
        <is>
          <t>Hall</t>
        </is>
      </c>
      <c r="D49" t="inlineStr">
        <is>
          <t>DO</t>
        </is>
      </c>
      <c r="E49" t="inlineStr">
        <is>
          <t>Hospital Medicine</t>
        </is>
      </c>
    </row>
    <row r="50">
      <c r="A50" t="inlineStr">
        <is>
          <t>PRV1049</t>
        </is>
      </c>
      <c r="B50" t="inlineStr">
        <is>
          <t>Minh</t>
        </is>
      </c>
      <c r="C50" t="inlineStr">
        <is>
          <t>Berry</t>
        </is>
      </c>
      <c r="D50" t="inlineStr">
        <is>
          <t>MD</t>
        </is>
      </c>
      <c r="E50" t="inlineStr">
        <is>
          <t>Hospital Medicine</t>
        </is>
      </c>
    </row>
    <row r="51">
      <c r="A51" t="inlineStr">
        <is>
          <t>PRV1050</t>
        </is>
      </c>
      <c r="B51" t="inlineStr">
        <is>
          <t>Wei</t>
        </is>
      </c>
      <c r="C51" t="inlineStr">
        <is>
          <t>Hansen</t>
        </is>
      </c>
      <c r="D51" t="inlineStr">
        <is>
          <t>MD</t>
        </is>
      </c>
      <c r="E51" t="inlineStr">
        <is>
          <t>Hospital Medicine</t>
        </is>
      </c>
    </row>
    <row r="52">
      <c r="A52" t="inlineStr">
        <is>
          <t>PRV1051</t>
        </is>
      </c>
      <c r="B52" t="inlineStr">
        <is>
          <t>Frank</t>
        </is>
      </c>
      <c r="C52" t="inlineStr">
        <is>
          <t>Peters</t>
        </is>
      </c>
      <c r="D52" t="inlineStr">
        <is>
          <t>MD</t>
        </is>
      </c>
      <c r="E52" t="inlineStr">
        <is>
          <t>Hospital Medicine</t>
        </is>
      </c>
    </row>
    <row r="53">
      <c r="A53" t="inlineStr">
        <is>
          <t>PRV1052</t>
        </is>
      </c>
      <c r="B53" t="inlineStr">
        <is>
          <t>Harper</t>
        </is>
      </c>
      <c r="C53" t="inlineStr">
        <is>
          <t>Reyes</t>
        </is>
      </c>
      <c r="D53" t="inlineStr">
        <is>
          <t>MD</t>
        </is>
      </c>
      <c r="E53" t="inlineStr">
        <is>
          <t>Hospital Medicine</t>
        </is>
      </c>
    </row>
    <row r="54">
      <c r="A54" t="inlineStr">
        <is>
          <t>PRV1053</t>
        </is>
      </c>
      <c r="B54" t="inlineStr">
        <is>
          <t>Tyler</t>
        </is>
      </c>
      <c r="C54" t="inlineStr">
        <is>
          <t>Payne</t>
        </is>
      </c>
      <c r="D54" t="inlineStr">
        <is>
          <t>MD</t>
        </is>
      </c>
      <c r="E54" t="inlineStr">
        <is>
          <t>Hospital Medicine</t>
        </is>
      </c>
    </row>
    <row r="55">
      <c r="A55" t="inlineStr">
        <is>
          <t>PRV1054</t>
        </is>
      </c>
      <c r="B55" t="inlineStr">
        <is>
          <t>Jonathan</t>
        </is>
      </c>
      <c r="C55" t="inlineStr">
        <is>
          <t>Taylor</t>
        </is>
      </c>
      <c r="D55" t="inlineStr">
        <is>
          <t>MD</t>
        </is>
      </c>
      <c r="E55" t="inlineStr">
        <is>
          <t>Cardiology</t>
        </is>
      </c>
    </row>
    <row r="56">
      <c r="A56" t="inlineStr">
        <is>
          <t>PRV1055</t>
        </is>
      </c>
      <c r="B56" t="inlineStr">
        <is>
          <t>Michelle</t>
        </is>
      </c>
      <c r="C56" t="inlineStr">
        <is>
          <t>Guzman</t>
        </is>
      </c>
      <c r="D56" t="inlineStr">
        <is>
          <t>MD</t>
        </is>
      </c>
      <c r="E56" t="inlineStr">
        <is>
          <t>Cardiology</t>
        </is>
      </c>
    </row>
    <row r="57">
      <c r="A57" t="inlineStr">
        <is>
          <t>PRV1056</t>
        </is>
      </c>
      <c r="B57" t="inlineStr">
        <is>
          <t>Shirley</t>
        </is>
      </c>
      <c r="C57" t="inlineStr">
        <is>
          <t>Boyd</t>
        </is>
      </c>
      <c r="D57" t="inlineStr">
        <is>
          <t>MD</t>
        </is>
      </c>
      <c r="E57" t="inlineStr">
        <is>
          <t>Cardiology</t>
        </is>
      </c>
    </row>
    <row r="58">
      <c r="A58" t="inlineStr">
        <is>
          <t>PRV1057</t>
        </is>
      </c>
      <c r="B58" t="inlineStr">
        <is>
          <t>Charles</t>
        </is>
      </c>
      <c r="C58" t="inlineStr">
        <is>
          <t>Evans</t>
        </is>
      </c>
      <c r="D58" t="inlineStr">
        <is>
          <t>MD</t>
        </is>
      </c>
      <c r="E58" t="inlineStr">
        <is>
          <t>Cardiology</t>
        </is>
      </c>
    </row>
    <row r="59">
      <c r="A59" t="inlineStr">
        <is>
          <t>PRV1058</t>
        </is>
      </c>
      <c r="B59" t="inlineStr">
        <is>
          <t>Edward</t>
        </is>
      </c>
      <c r="C59" t="inlineStr">
        <is>
          <t>Gonzales</t>
        </is>
      </c>
      <c r="D59" t="inlineStr">
        <is>
          <t>MD</t>
        </is>
      </c>
      <c r="E59" t="inlineStr">
        <is>
          <t>Cardiology</t>
        </is>
      </c>
    </row>
    <row r="60">
      <c r="A60" t="inlineStr">
        <is>
          <t>PRV1059</t>
        </is>
      </c>
      <c r="B60" t="inlineStr">
        <is>
          <t>Leila</t>
        </is>
      </c>
      <c r="C60" t="inlineStr">
        <is>
          <t>Vazquez</t>
        </is>
      </c>
      <c r="D60" t="inlineStr">
        <is>
          <t>MD</t>
        </is>
      </c>
      <c r="E60" t="inlineStr">
        <is>
          <t>Cardiology</t>
        </is>
      </c>
    </row>
    <row r="61">
      <c r="A61" t="inlineStr">
        <is>
          <t>PRV1060</t>
        </is>
      </c>
      <c r="B61" t="inlineStr">
        <is>
          <t>Edward</t>
        </is>
      </c>
      <c r="C61" t="inlineStr">
        <is>
          <t>Brooks</t>
        </is>
      </c>
      <c r="D61" t="inlineStr">
        <is>
          <t>MD</t>
        </is>
      </c>
      <c r="E61" t="inlineStr">
        <is>
          <t>Cardiology</t>
        </is>
      </c>
    </row>
    <row r="62">
      <c r="A62" t="inlineStr">
        <is>
          <t>PRV1061</t>
        </is>
      </c>
      <c r="B62" t="inlineStr">
        <is>
          <t>Mateo</t>
        </is>
      </c>
      <c r="C62" t="inlineStr">
        <is>
          <t>Gomez</t>
        </is>
      </c>
      <c r="D62" t="inlineStr">
        <is>
          <t>MD</t>
        </is>
      </c>
      <c r="E62" t="inlineStr">
        <is>
          <t>Cardiology</t>
        </is>
      </c>
    </row>
    <row r="63">
      <c r="A63" t="inlineStr">
        <is>
          <t>PRV1062</t>
        </is>
      </c>
      <c r="B63" t="inlineStr">
        <is>
          <t>Brittany</t>
        </is>
      </c>
      <c r="C63" t="inlineStr">
        <is>
          <t>Jenkins</t>
        </is>
      </c>
      <c r="D63" t="inlineStr">
        <is>
          <t>DO</t>
        </is>
      </c>
      <c r="E63" t="inlineStr">
        <is>
          <t>Cardiology</t>
        </is>
      </c>
    </row>
    <row r="64">
      <c r="A64" t="inlineStr">
        <is>
          <t>PRV1063</t>
        </is>
      </c>
      <c r="B64" t="inlineStr">
        <is>
          <t>Grace</t>
        </is>
      </c>
      <c r="C64" t="inlineStr">
        <is>
          <t>Allen</t>
        </is>
      </c>
      <c r="D64" t="inlineStr">
        <is>
          <t>MD</t>
        </is>
      </c>
      <c r="E64" t="inlineStr">
        <is>
          <t>Pulmonary &amp; Critical Care</t>
        </is>
      </c>
    </row>
    <row r="65">
      <c r="A65" t="inlineStr">
        <is>
          <t>PRV1064</t>
        </is>
      </c>
      <c r="B65" t="inlineStr">
        <is>
          <t>Bruce</t>
        </is>
      </c>
      <c r="C65" t="inlineStr">
        <is>
          <t>Hawkins</t>
        </is>
      </c>
      <c r="D65" t="inlineStr">
        <is>
          <t>MD</t>
        </is>
      </c>
      <c r="E65" t="inlineStr">
        <is>
          <t>Pulmonary &amp; Critical Care</t>
        </is>
      </c>
    </row>
    <row r="66">
      <c r="A66" t="inlineStr">
        <is>
          <t>PRV1065</t>
        </is>
      </c>
      <c r="B66" t="inlineStr">
        <is>
          <t>Janet</t>
        </is>
      </c>
      <c r="C66" t="inlineStr">
        <is>
          <t>Bryant</t>
        </is>
      </c>
      <c r="D66" t="inlineStr">
        <is>
          <t>DO</t>
        </is>
      </c>
      <c r="E66" t="inlineStr">
        <is>
          <t>Pulmonary &amp; Critical Care</t>
        </is>
      </c>
    </row>
    <row r="67">
      <c r="A67" t="inlineStr">
        <is>
          <t>PRV1066</t>
        </is>
      </c>
      <c r="B67" t="inlineStr">
        <is>
          <t>Adam</t>
        </is>
      </c>
      <c r="C67" t="inlineStr">
        <is>
          <t>Diaz</t>
        </is>
      </c>
      <c r="D67" t="inlineStr">
        <is>
          <t>MD</t>
        </is>
      </c>
      <c r="E67" t="inlineStr">
        <is>
          <t>Pulmonary &amp; Critical Care</t>
        </is>
      </c>
    </row>
    <row r="68">
      <c r="A68" t="inlineStr">
        <is>
          <t>PRV1067</t>
        </is>
      </c>
      <c r="B68" t="inlineStr">
        <is>
          <t>Leila</t>
        </is>
      </c>
      <c r="C68" t="inlineStr">
        <is>
          <t>Hamilton</t>
        </is>
      </c>
      <c r="D68" t="inlineStr">
        <is>
          <t>DO</t>
        </is>
      </c>
      <c r="E68" t="inlineStr">
        <is>
          <t>Pulmonary &amp; Critical Care</t>
        </is>
      </c>
    </row>
    <row r="69">
      <c r="A69" t="inlineStr">
        <is>
          <t>PRV1068</t>
        </is>
      </c>
      <c r="B69" t="inlineStr">
        <is>
          <t>Donald</t>
        </is>
      </c>
      <c r="C69" t="inlineStr">
        <is>
          <t>Gutierrez</t>
        </is>
      </c>
      <c r="D69" t="inlineStr">
        <is>
          <t>MD</t>
        </is>
      </c>
      <c r="E69" t="inlineStr">
        <is>
          <t>Pulmonary &amp; Critical Care</t>
        </is>
      </c>
    </row>
    <row r="70">
      <c r="A70" t="inlineStr">
        <is>
          <t>PRV1069</t>
        </is>
      </c>
      <c r="B70" t="inlineStr">
        <is>
          <t>Frank</t>
        </is>
      </c>
      <c r="C70" t="inlineStr">
        <is>
          <t>Wallace</t>
        </is>
      </c>
      <c r="D70" t="inlineStr">
        <is>
          <t>DO</t>
        </is>
      </c>
      <c r="E70" t="inlineStr">
        <is>
          <t>Pulmonary &amp; Critical Care</t>
        </is>
      </c>
    </row>
    <row r="71">
      <c r="A71" t="inlineStr">
        <is>
          <t>PRV1070</t>
        </is>
      </c>
      <c r="B71" t="inlineStr">
        <is>
          <t>Leila</t>
        </is>
      </c>
      <c r="C71" t="inlineStr">
        <is>
          <t>Abbott</t>
        </is>
      </c>
      <c r="D71" t="inlineStr">
        <is>
          <t>MD</t>
        </is>
      </c>
      <c r="E71" t="inlineStr">
        <is>
          <t>Pulmonary &amp; Critical Care</t>
        </is>
      </c>
    </row>
    <row r="72">
      <c r="A72" t="inlineStr">
        <is>
          <t>PRV1071</t>
        </is>
      </c>
      <c r="B72" t="inlineStr">
        <is>
          <t>Danielle</t>
        </is>
      </c>
      <c r="C72" t="inlineStr">
        <is>
          <t>White</t>
        </is>
      </c>
      <c r="D72" t="inlineStr">
        <is>
          <t>MD</t>
        </is>
      </c>
      <c r="E72" t="inlineStr">
        <is>
          <t>Pulmonary &amp; Critical Care</t>
        </is>
      </c>
    </row>
    <row r="73">
      <c r="A73" t="inlineStr">
        <is>
          <t>PRV1072</t>
        </is>
      </c>
      <c r="B73" t="inlineStr">
        <is>
          <t>Beverly</t>
        </is>
      </c>
      <c r="C73" t="inlineStr">
        <is>
          <t>Guzman</t>
        </is>
      </c>
      <c r="D73" t="inlineStr">
        <is>
          <t>DO</t>
        </is>
      </c>
      <c r="E73" t="inlineStr">
        <is>
          <t>Pulmonary &amp; Critical Care</t>
        </is>
      </c>
    </row>
    <row r="74">
      <c r="A74" t="inlineStr">
        <is>
          <t>PRV1073</t>
        </is>
      </c>
      <c r="B74" t="inlineStr">
        <is>
          <t>Pamela</t>
        </is>
      </c>
      <c r="C74" t="inlineStr">
        <is>
          <t>Woods</t>
        </is>
      </c>
      <c r="D74" t="inlineStr">
        <is>
          <t>DO</t>
        </is>
      </c>
      <c r="E74" t="inlineStr">
        <is>
          <t>Orthopedic Surgery</t>
        </is>
      </c>
    </row>
    <row r="75">
      <c r="A75" t="inlineStr">
        <is>
          <t>PRV1074</t>
        </is>
      </c>
      <c r="B75" t="inlineStr">
        <is>
          <t>Grace</t>
        </is>
      </c>
      <c r="C75" t="inlineStr">
        <is>
          <t>Santos</t>
        </is>
      </c>
      <c r="D75" t="inlineStr">
        <is>
          <t>DO</t>
        </is>
      </c>
      <c r="E75" t="inlineStr">
        <is>
          <t>Orthopedic Surgery</t>
        </is>
      </c>
    </row>
    <row r="76">
      <c r="A76" t="inlineStr">
        <is>
          <t>PRV1075</t>
        </is>
      </c>
      <c r="B76" t="inlineStr">
        <is>
          <t>Leila</t>
        </is>
      </c>
      <c r="C76" t="inlineStr">
        <is>
          <t>King</t>
        </is>
      </c>
      <c r="D76" t="inlineStr">
        <is>
          <t>DO</t>
        </is>
      </c>
      <c r="E76" t="inlineStr">
        <is>
          <t>Orthopedic Surgery</t>
        </is>
      </c>
    </row>
    <row r="77">
      <c r="A77" t="inlineStr">
        <is>
          <t>PRV1076</t>
        </is>
      </c>
      <c r="B77" t="inlineStr">
        <is>
          <t>Anthony</t>
        </is>
      </c>
      <c r="C77" t="inlineStr">
        <is>
          <t>Richards</t>
        </is>
      </c>
      <c r="D77" t="inlineStr">
        <is>
          <t>DO</t>
        </is>
      </c>
      <c r="E77" t="inlineStr">
        <is>
          <t>Orthopedic Surgery</t>
        </is>
      </c>
    </row>
    <row r="78">
      <c r="A78" t="inlineStr">
        <is>
          <t>PRV1077</t>
        </is>
      </c>
      <c r="B78" t="inlineStr">
        <is>
          <t>Brittany</t>
        </is>
      </c>
      <c r="C78" t="inlineStr">
        <is>
          <t>Yilmaz</t>
        </is>
      </c>
      <c r="D78" t="inlineStr">
        <is>
          <t>MD</t>
        </is>
      </c>
      <c r="E78" t="inlineStr">
        <is>
          <t>Orthopedic Surgery</t>
        </is>
      </c>
    </row>
    <row r="79">
      <c r="A79" t="inlineStr">
        <is>
          <t>PRV1078</t>
        </is>
      </c>
      <c r="B79" t="inlineStr">
        <is>
          <t>Billy</t>
        </is>
      </c>
      <c r="C79" t="inlineStr">
        <is>
          <t>Hudson</t>
        </is>
      </c>
      <c r="D79" t="inlineStr">
        <is>
          <t>MD</t>
        </is>
      </c>
      <c r="E79" t="inlineStr">
        <is>
          <t>Orthopedic Surgery</t>
        </is>
      </c>
    </row>
    <row r="80">
      <c r="A80" t="inlineStr">
        <is>
          <t>PRV1079</t>
        </is>
      </c>
      <c r="B80" t="inlineStr">
        <is>
          <t>Carlos</t>
        </is>
      </c>
      <c r="C80" t="inlineStr">
        <is>
          <t>Wagner</t>
        </is>
      </c>
      <c r="D80" t="inlineStr">
        <is>
          <t>MD</t>
        </is>
      </c>
      <c r="E80" t="inlineStr">
        <is>
          <t>Orthopedic Surgery</t>
        </is>
      </c>
    </row>
    <row r="81">
      <c r="A81" t="inlineStr">
        <is>
          <t>PRV1080</t>
        </is>
      </c>
      <c r="B81" t="inlineStr">
        <is>
          <t>Kyle</t>
        </is>
      </c>
      <c r="C81" t="inlineStr">
        <is>
          <t>Hernandez</t>
        </is>
      </c>
      <c r="D81" t="inlineStr">
        <is>
          <t>MD</t>
        </is>
      </c>
      <c r="E81" t="inlineStr">
        <is>
          <t>Orthopedic Surgery</t>
        </is>
      </c>
    </row>
    <row r="82">
      <c r="A82" t="inlineStr">
        <is>
          <t>PRV1081</t>
        </is>
      </c>
      <c r="B82" t="inlineStr">
        <is>
          <t>Jonathan</t>
        </is>
      </c>
      <c r="C82" t="inlineStr">
        <is>
          <t>Lewis</t>
        </is>
      </c>
      <c r="D82" t="inlineStr">
        <is>
          <t>PA</t>
        </is>
      </c>
      <c r="E82" t="inlineStr">
        <is>
          <t>Orthopedic Surgery</t>
        </is>
      </c>
    </row>
    <row r="83">
      <c r="A83" t="inlineStr">
        <is>
          <t>PRV1082</t>
        </is>
      </c>
      <c r="B83" t="inlineStr">
        <is>
          <t>Lori</t>
        </is>
      </c>
      <c r="C83" t="inlineStr">
        <is>
          <t>Cox</t>
        </is>
      </c>
      <c r="D83" t="inlineStr">
        <is>
          <t>PA</t>
        </is>
      </c>
      <c r="E83" t="inlineStr">
        <is>
          <t>Orthopedic Surgery</t>
        </is>
      </c>
    </row>
    <row r="84">
      <c r="A84" t="inlineStr">
        <is>
          <t>PRV1083</t>
        </is>
      </c>
      <c r="B84" t="inlineStr">
        <is>
          <t>Kathleen</t>
        </is>
      </c>
      <c r="C84" t="inlineStr">
        <is>
          <t>White</t>
        </is>
      </c>
      <c r="D84" t="inlineStr">
        <is>
          <t>MD</t>
        </is>
      </c>
      <c r="E84" t="inlineStr">
        <is>
          <t>General Surgery</t>
        </is>
      </c>
    </row>
    <row r="85">
      <c r="A85" t="inlineStr">
        <is>
          <t>PRV1084</t>
        </is>
      </c>
      <c r="B85" t="inlineStr">
        <is>
          <t>Teresa</t>
        </is>
      </c>
      <c r="C85" t="inlineStr">
        <is>
          <t>Lopez</t>
        </is>
      </c>
      <c r="D85" t="inlineStr">
        <is>
          <t>MD</t>
        </is>
      </c>
      <c r="E85" t="inlineStr">
        <is>
          <t>General Surgery</t>
        </is>
      </c>
    </row>
    <row r="86">
      <c r="A86" t="inlineStr">
        <is>
          <t>PRV1085</t>
        </is>
      </c>
      <c r="B86" t="inlineStr">
        <is>
          <t>Jordan</t>
        </is>
      </c>
      <c r="C86" t="inlineStr">
        <is>
          <t>Ramirez</t>
        </is>
      </c>
      <c r="D86" t="inlineStr">
        <is>
          <t>MD</t>
        </is>
      </c>
      <c r="E86" t="inlineStr">
        <is>
          <t>General Surgery</t>
        </is>
      </c>
    </row>
    <row r="87">
      <c r="A87" t="inlineStr">
        <is>
          <t>PRV1086</t>
        </is>
      </c>
      <c r="B87" t="inlineStr">
        <is>
          <t>David</t>
        </is>
      </c>
      <c r="C87" t="inlineStr">
        <is>
          <t>Haddad</t>
        </is>
      </c>
      <c r="D87" t="inlineStr">
        <is>
          <t>MD</t>
        </is>
      </c>
      <c r="E87" t="inlineStr">
        <is>
          <t>General Surgery</t>
        </is>
      </c>
    </row>
    <row r="88">
      <c r="A88" t="inlineStr">
        <is>
          <t>PRV1087</t>
        </is>
      </c>
      <c r="B88" t="inlineStr">
        <is>
          <t>Jeffrey</t>
        </is>
      </c>
      <c r="C88" t="inlineStr">
        <is>
          <t>Kim</t>
        </is>
      </c>
      <c r="D88" t="inlineStr">
        <is>
          <t>DO</t>
        </is>
      </c>
      <c r="E88" t="inlineStr">
        <is>
          <t>General Surgery</t>
        </is>
      </c>
    </row>
    <row r="89">
      <c r="A89" t="inlineStr">
        <is>
          <t>PRV1088</t>
        </is>
      </c>
      <c r="B89" t="inlineStr">
        <is>
          <t>Stephen</t>
        </is>
      </c>
      <c r="C89" t="inlineStr">
        <is>
          <t>Perkins</t>
        </is>
      </c>
      <c r="D89" t="inlineStr">
        <is>
          <t>MD</t>
        </is>
      </c>
      <c r="E89" t="inlineStr">
        <is>
          <t>General Surgery</t>
        </is>
      </c>
    </row>
    <row r="90">
      <c r="A90" t="inlineStr">
        <is>
          <t>PRV1089</t>
        </is>
      </c>
      <c r="B90" t="inlineStr">
        <is>
          <t>Dylan</t>
        </is>
      </c>
      <c r="C90" t="inlineStr">
        <is>
          <t>Lane</t>
        </is>
      </c>
      <c r="D90" t="inlineStr">
        <is>
          <t>DO</t>
        </is>
      </c>
      <c r="E90" t="inlineStr">
        <is>
          <t>General Surgery</t>
        </is>
      </c>
    </row>
    <row r="91">
      <c r="A91" t="inlineStr">
        <is>
          <t>PRV1090</t>
        </is>
      </c>
      <c r="B91" t="inlineStr">
        <is>
          <t>Carol</t>
        </is>
      </c>
      <c r="C91" t="inlineStr">
        <is>
          <t>Price</t>
        </is>
      </c>
      <c r="D91" t="inlineStr">
        <is>
          <t>MD</t>
        </is>
      </c>
      <c r="E91" t="inlineStr">
        <is>
          <t>General Surgery</t>
        </is>
      </c>
    </row>
    <row r="92">
      <c r="A92" t="inlineStr">
        <is>
          <t>PRV1091</t>
        </is>
      </c>
      <c r="B92" t="inlineStr">
        <is>
          <t>Frank</t>
        </is>
      </c>
      <c r="C92" t="inlineStr">
        <is>
          <t>Watson</t>
        </is>
      </c>
      <c r="D92" t="inlineStr">
        <is>
          <t>MD</t>
        </is>
      </c>
      <c r="E92" t="inlineStr">
        <is>
          <t>Obstetrics &amp; Gynecology</t>
        </is>
      </c>
    </row>
    <row r="93">
      <c r="A93" t="inlineStr">
        <is>
          <t>PRV1092</t>
        </is>
      </c>
      <c r="B93" t="inlineStr">
        <is>
          <t>Nicole</t>
        </is>
      </c>
      <c r="C93" t="inlineStr">
        <is>
          <t>Bradley</t>
        </is>
      </c>
      <c r="D93" t="inlineStr">
        <is>
          <t>MD</t>
        </is>
      </c>
      <c r="E93" t="inlineStr">
        <is>
          <t>Obstetrics &amp; Gynecology</t>
        </is>
      </c>
    </row>
    <row r="94">
      <c r="A94" t="inlineStr">
        <is>
          <t>PRV1093</t>
        </is>
      </c>
      <c r="B94" t="inlineStr">
        <is>
          <t>Pamela</t>
        </is>
      </c>
      <c r="C94" t="inlineStr">
        <is>
          <t>James</t>
        </is>
      </c>
      <c r="D94" t="inlineStr">
        <is>
          <t>DO</t>
        </is>
      </c>
      <c r="E94" t="inlineStr">
        <is>
          <t>Obstetrics &amp; Gynecology</t>
        </is>
      </c>
    </row>
    <row r="95">
      <c r="A95" t="inlineStr">
        <is>
          <t>PRV1094</t>
        </is>
      </c>
      <c r="B95" t="inlineStr">
        <is>
          <t>Andrea</t>
        </is>
      </c>
      <c r="C95" t="inlineStr">
        <is>
          <t>Hill</t>
        </is>
      </c>
      <c r="D95" t="inlineStr">
        <is>
          <t>DO</t>
        </is>
      </c>
      <c r="E95" t="inlineStr">
        <is>
          <t>Obstetrics &amp; Gynecology</t>
        </is>
      </c>
    </row>
    <row r="96">
      <c r="A96" t="inlineStr">
        <is>
          <t>PRV1095</t>
        </is>
      </c>
      <c r="B96" t="inlineStr">
        <is>
          <t>Lauren</t>
        </is>
      </c>
      <c r="C96" t="inlineStr">
        <is>
          <t>Taylor</t>
        </is>
      </c>
      <c r="D96" t="inlineStr">
        <is>
          <t>MD</t>
        </is>
      </c>
      <c r="E96" t="inlineStr">
        <is>
          <t>Obstetrics &amp; Gynecology</t>
        </is>
      </c>
    </row>
    <row r="97">
      <c r="A97" t="inlineStr">
        <is>
          <t>PRV1096</t>
        </is>
      </c>
      <c r="B97" t="inlineStr">
        <is>
          <t>Marie</t>
        </is>
      </c>
      <c r="C97" t="inlineStr">
        <is>
          <t>Arnold</t>
        </is>
      </c>
      <c r="D97" t="inlineStr">
        <is>
          <t>CNM</t>
        </is>
      </c>
      <c r="E97" t="inlineStr">
        <is>
          <t>Obstetrics &amp; Gynecology</t>
        </is>
      </c>
    </row>
    <row r="98">
      <c r="A98" t="inlineStr">
        <is>
          <t>PRV1097</t>
        </is>
      </c>
      <c r="B98" t="inlineStr">
        <is>
          <t>Sophia</t>
        </is>
      </c>
      <c r="C98" t="inlineStr">
        <is>
          <t>Phillips</t>
        </is>
      </c>
      <c r="D98" t="inlineStr">
        <is>
          <t>CNM</t>
        </is>
      </c>
      <c r="E98" t="inlineStr">
        <is>
          <t>Obstetrics &amp; Gynecology</t>
        </is>
      </c>
    </row>
    <row r="99">
      <c r="A99" t="inlineStr">
        <is>
          <t>PRV1098</t>
        </is>
      </c>
      <c r="B99" t="inlineStr">
        <is>
          <t>Frances</t>
        </is>
      </c>
      <c r="C99" t="inlineStr">
        <is>
          <t>Rivera</t>
        </is>
      </c>
      <c r="D99" t="inlineStr">
        <is>
          <t>MD</t>
        </is>
      </c>
      <c r="E99" t="inlineStr">
        <is>
          <t>Obstetrics &amp; Gynecology</t>
        </is>
      </c>
    </row>
    <row r="100">
      <c r="A100" t="inlineStr">
        <is>
          <t>PRV1099</t>
        </is>
      </c>
      <c r="B100" t="inlineStr">
        <is>
          <t>Jeremy</t>
        </is>
      </c>
      <c r="C100" t="inlineStr">
        <is>
          <t>Gardner</t>
        </is>
      </c>
      <c r="D100" t="inlineStr">
        <is>
          <t>MD</t>
        </is>
      </c>
      <c r="E100" t="inlineStr">
        <is>
          <t>Obstetrics &amp; Gynecology</t>
        </is>
      </c>
    </row>
    <row r="101">
      <c r="A101" t="inlineStr">
        <is>
          <t>PRV1100</t>
        </is>
      </c>
      <c r="B101" t="inlineStr">
        <is>
          <t>Michael</t>
        </is>
      </c>
      <c r="C101" t="inlineStr">
        <is>
          <t>Soto</t>
        </is>
      </c>
      <c r="D101" t="inlineStr">
        <is>
          <t>MD</t>
        </is>
      </c>
      <c r="E101" t="inlineStr">
        <is>
          <t>Pediatrics</t>
        </is>
      </c>
    </row>
    <row r="102">
      <c r="A102" t="inlineStr">
        <is>
          <t>PRV1101</t>
        </is>
      </c>
      <c r="B102" t="inlineStr">
        <is>
          <t>Emma</t>
        </is>
      </c>
      <c r="C102" t="inlineStr">
        <is>
          <t>Soto</t>
        </is>
      </c>
      <c r="D102" t="inlineStr">
        <is>
          <t>MD</t>
        </is>
      </c>
      <c r="E102" t="inlineStr">
        <is>
          <t>Pediatrics</t>
        </is>
      </c>
    </row>
    <row r="103">
      <c r="A103" t="inlineStr">
        <is>
          <t>PRV1102</t>
        </is>
      </c>
      <c r="B103" t="inlineStr">
        <is>
          <t>Sara</t>
        </is>
      </c>
      <c r="C103" t="inlineStr">
        <is>
          <t>Wagner</t>
        </is>
      </c>
      <c r="D103" t="inlineStr">
        <is>
          <t>MD</t>
        </is>
      </c>
      <c r="E103" t="inlineStr">
        <is>
          <t>Pediatrics</t>
        </is>
      </c>
    </row>
    <row r="104">
      <c r="A104" t="inlineStr">
        <is>
          <t>PRV1103</t>
        </is>
      </c>
      <c r="B104" t="inlineStr">
        <is>
          <t>Jose</t>
        </is>
      </c>
      <c r="C104" t="inlineStr">
        <is>
          <t>Osei</t>
        </is>
      </c>
      <c r="D104" t="inlineStr">
        <is>
          <t>MD</t>
        </is>
      </c>
      <c r="E104" t="inlineStr">
        <is>
          <t>Pediatrics</t>
        </is>
      </c>
    </row>
    <row r="105">
      <c r="A105" t="inlineStr">
        <is>
          <t>PRV1104</t>
        </is>
      </c>
      <c r="B105" t="inlineStr">
        <is>
          <t>Christian</t>
        </is>
      </c>
      <c r="C105" t="inlineStr">
        <is>
          <t>Herrera</t>
        </is>
      </c>
      <c r="D105" t="inlineStr">
        <is>
          <t>MD</t>
        </is>
      </c>
      <c r="E105" t="inlineStr">
        <is>
          <t>Pediatrics</t>
        </is>
      </c>
    </row>
    <row r="106">
      <c r="A106" t="inlineStr">
        <is>
          <t>PRV1105</t>
        </is>
      </c>
      <c r="B106" t="inlineStr">
        <is>
          <t>Kevin</t>
        </is>
      </c>
      <c r="C106" t="inlineStr">
        <is>
          <t>Wallace</t>
        </is>
      </c>
      <c r="D106" t="inlineStr">
        <is>
          <t>MD</t>
        </is>
      </c>
      <c r="E106" t="inlineStr">
        <is>
          <t>Pediatrics</t>
        </is>
      </c>
    </row>
    <row r="107">
      <c r="A107" t="inlineStr">
        <is>
          <t>PRV1106</t>
        </is>
      </c>
      <c r="B107" t="inlineStr">
        <is>
          <t>Susan</t>
        </is>
      </c>
      <c r="C107" t="inlineStr">
        <is>
          <t>Alvarez</t>
        </is>
      </c>
      <c r="D107" t="inlineStr">
        <is>
          <t>DO</t>
        </is>
      </c>
      <c r="E107" t="inlineStr">
        <is>
          <t>Pediatrics</t>
        </is>
      </c>
    </row>
    <row r="108">
      <c r="A108" t="inlineStr">
        <is>
          <t>PRV1107</t>
        </is>
      </c>
      <c r="B108" t="inlineStr">
        <is>
          <t>Linh</t>
        </is>
      </c>
      <c r="C108" t="inlineStr">
        <is>
          <t>Aguilar</t>
        </is>
      </c>
      <c r="D108" t="inlineStr">
        <is>
          <t>MD</t>
        </is>
      </c>
      <c r="E108" t="inlineStr">
        <is>
          <t>Pediatrics</t>
        </is>
      </c>
    </row>
    <row r="109">
      <c r="A109" t="inlineStr">
        <is>
          <t>PRV1108</t>
        </is>
      </c>
      <c r="B109" t="inlineStr">
        <is>
          <t>Stephanie</t>
        </is>
      </c>
      <c r="C109" t="inlineStr">
        <is>
          <t>Brown</t>
        </is>
      </c>
      <c r="D109" t="inlineStr">
        <is>
          <t>NP</t>
        </is>
      </c>
      <c r="E109" t="inlineStr">
        <is>
          <t>Pediatrics</t>
        </is>
      </c>
    </row>
    <row r="110">
      <c r="A110" t="inlineStr">
        <is>
          <t>PRV1109</t>
        </is>
      </c>
      <c r="B110" t="inlineStr">
        <is>
          <t>Eric</t>
        </is>
      </c>
      <c r="C110" t="inlineStr">
        <is>
          <t>Robertson</t>
        </is>
      </c>
      <c r="D110" t="inlineStr">
        <is>
          <t>MD</t>
        </is>
      </c>
      <c r="E110" t="inlineStr">
        <is>
          <t>Hematology &amp; Oncology</t>
        </is>
      </c>
    </row>
    <row r="111">
      <c r="A111" t="inlineStr">
        <is>
          <t>PRV1110</t>
        </is>
      </c>
      <c r="B111" t="inlineStr">
        <is>
          <t>Larry</t>
        </is>
      </c>
      <c r="C111" t="inlineStr">
        <is>
          <t>Hughes</t>
        </is>
      </c>
      <c r="D111" t="inlineStr">
        <is>
          <t>MD</t>
        </is>
      </c>
      <c r="E111" t="inlineStr">
        <is>
          <t>Hematology &amp; Oncology</t>
        </is>
      </c>
    </row>
    <row r="112">
      <c r="A112" t="inlineStr">
        <is>
          <t>PRV1111</t>
        </is>
      </c>
      <c r="B112" t="inlineStr">
        <is>
          <t>Fatima</t>
        </is>
      </c>
      <c r="C112" t="inlineStr">
        <is>
          <t>Gray</t>
        </is>
      </c>
      <c r="D112" t="inlineStr">
        <is>
          <t>MD</t>
        </is>
      </c>
      <c r="E112" t="inlineStr">
        <is>
          <t>Hematology &amp; Oncology</t>
        </is>
      </c>
    </row>
    <row r="113">
      <c r="A113" t="inlineStr">
        <is>
          <t>PRV1112</t>
        </is>
      </c>
      <c r="B113" t="inlineStr">
        <is>
          <t>Zachary</t>
        </is>
      </c>
      <c r="C113" t="inlineStr">
        <is>
          <t>Hicks</t>
        </is>
      </c>
      <c r="D113" t="inlineStr">
        <is>
          <t>MD</t>
        </is>
      </c>
      <c r="E113" t="inlineStr">
        <is>
          <t>Hematology &amp; Oncology</t>
        </is>
      </c>
    </row>
    <row r="114">
      <c r="A114" t="inlineStr">
        <is>
          <t>PRV1113</t>
        </is>
      </c>
      <c r="B114" t="inlineStr">
        <is>
          <t>Fatima</t>
        </is>
      </c>
      <c r="C114" t="inlineStr">
        <is>
          <t>Long</t>
        </is>
      </c>
      <c r="D114" t="inlineStr">
        <is>
          <t>MD</t>
        </is>
      </c>
      <c r="E114" t="inlineStr">
        <is>
          <t>Hematology &amp; Oncology</t>
        </is>
      </c>
    </row>
    <row r="115">
      <c r="A115" t="inlineStr">
        <is>
          <t>PRV1114</t>
        </is>
      </c>
      <c r="B115" t="inlineStr">
        <is>
          <t>Logan</t>
        </is>
      </c>
      <c r="C115" t="inlineStr">
        <is>
          <t>Cooper</t>
        </is>
      </c>
      <c r="D115" t="inlineStr">
        <is>
          <t>MD</t>
        </is>
      </c>
      <c r="E115" t="inlineStr">
        <is>
          <t>Hematology &amp; Oncology</t>
        </is>
      </c>
    </row>
    <row r="116">
      <c r="A116" t="inlineStr">
        <is>
          <t>PRV1115</t>
        </is>
      </c>
      <c r="B116" t="inlineStr">
        <is>
          <t>Bradley</t>
        </is>
      </c>
      <c r="C116" t="inlineStr">
        <is>
          <t>Robinson</t>
        </is>
      </c>
      <c r="D116" t="inlineStr">
        <is>
          <t>NP</t>
        </is>
      </c>
      <c r="E116" t="inlineStr">
        <is>
          <t>Hematology &amp; Oncology</t>
        </is>
      </c>
    </row>
    <row r="117">
      <c r="A117" t="inlineStr">
        <is>
          <t>PRV1116</t>
        </is>
      </c>
      <c r="B117" t="inlineStr">
        <is>
          <t>Isabella</t>
        </is>
      </c>
      <c r="C117" t="inlineStr">
        <is>
          <t>Abbott</t>
        </is>
      </c>
      <c r="D117" t="inlineStr">
        <is>
          <t>MD</t>
        </is>
      </c>
      <c r="E117" t="inlineStr">
        <is>
          <t>Neurology</t>
        </is>
      </c>
    </row>
    <row r="118">
      <c r="A118" t="inlineStr">
        <is>
          <t>PRV1117</t>
        </is>
      </c>
      <c r="B118" t="inlineStr">
        <is>
          <t>Alexis</t>
        </is>
      </c>
      <c r="C118" t="inlineStr">
        <is>
          <t>Garcia</t>
        </is>
      </c>
      <c r="D118" t="inlineStr">
        <is>
          <t>MD</t>
        </is>
      </c>
      <c r="E118" t="inlineStr">
        <is>
          <t>Neurology</t>
        </is>
      </c>
    </row>
    <row r="119">
      <c r="A119" t="inlineStr">
        <is>
          <t>PRV1118</t>
        </is>
      </c>
      <c r="B119" t="inlineStr">
        <is>
          <t>Frank</t>
        </is>
      </c>
      <c r="C119" t="inlineStr">
        <is>
          <t>Stone</t>
        </is>
      </c>
      <c r="D119" t="inlineStr">
        <is>
          <t>MD</t>
        </is>
      </c>
      <c r="E119" t="inlineStr">
        <is>
          <t>Neurology</t>
        </is>
      </c>
    </row>
    <row r="120">
      <c r="A120" t="inlineStr">
        <is>
          <t>PRV1119</t>
        </is>
      </c>
      <c r="B120" t="inlineStr">
        <is>
          <t>Joe</t>
        </is>
      </c>
      <c r="C120" t="inlineStr">
        <is>
          <t>Lindqvist</t>
        </is>
      </c>
      <c r="D120" t="inlineStr">
        <is>
          <t>MD</t>
        </is>
      </c>
      <c r="E120" t="inlineStr">
        <is>
          <t>Psychiatry</t>
        </is>
      </c>
    </row>
    <row r="121">
      <c r="A121" t="inlineStr">
        <is>
          <t>PRV1120</t>
        </is>
      </c>
      <c r="B121" t="inlineStr">
        <is>
          <t>Emma</t>
        </is>
      </c>
      <c r="C121" t="inlineStr">
        <is>
          <t>Elliott</t>
        </is>
      </c>
      <c r="D121" t="inlineStr">
        <is>
          <t>MD</t>
        </is>
      </c>
      <c r="E121" t="inlineStr">
        <is>
          <t>Psychiatry</t>
        </is>
      </c>
    </row>
    <row r="122">
      <c r="A122" t="inlineStr">
        <is>
          <t>PRV1121</t>
        </is>
      </c>
      <c r="B122" t="inlineStr">
        <is>
          <t>Ivan</t>
        </is>
      </c>
      <c r="C122" t="inlineStr">
        <is>
          <t>Herrera</t>
        </is>
      </c>
      <c r="D122" t="inlineStr">
        <is>
          <t>MD</t>
        </is>
      </c>
      <c r="E122" t="inlineStr">
        <is>
          <t>Psychiatry</t>
        </is>
      </c>
    </row>
    <row r="123">
      <c r="A123" t="inlineStr">
        <is>
          <t>PRV1122</t>
        </is>
      </c>
      <c r="B123" t="inlineStr">
        <is>
          <t>Frank</t>
        </is>
      </c>
      <c r="C123" t="inlineStr">
        <is>
          <t>Clark</t>
        </is>
      </c>
      <c r="D123" t="inlineStr">
        <is>
          <t>DO</t>
        </is>
      </c>
      <c r="E123" t="inlineStr">
        <is>
          <t>Psychiatry</t>
        </is>
      </c>
    </row>
    <row r="124">
      <c r="A124" t="inlineStr">
        <is>
          <t>PRV1123</t>
        </is>
      </c>
      <c r="B124" t="inlineStr">
        <is>
          <t>Amina</t>
        </is>
      </c>
      <c r="C124" t="inlineStr">
        <is>
          <t>Delgado</t>
        </is>
      </c>
      <c r="D124" t="inlineStr">
        <is>
          <t>NP</t>
        </is>
      </c>
      <c r="E124" t="inlineStr">
        <is>
          <t>Psychiatry</t>
        </is>
      </c>
    </row>
    <row r="125">
      <c r="A125" t="inlineStr">
        <is>
          <t>PRV1124</t>
        </is>
      </c>
      <c r="B125" t="inlineStr">
        <is>
          <t>Rebecca</t>
        </is>
      </c>
      <c r="C125" t="inlineStr">
        <is>
          <t>Torres</t>
        </is>
      </c>
      <c r="D125" t="inlineStr">
        <is>
          <t>MD</t>
        </is>
      </c>
      <c r="E125" t="inlineStr">
        <is>
          <t>Family Medicine</t>
        </is>
      </c>
    </row>
    <row r="126">
      <c r="A126" t="inlineStr">
        <is>
          <t>PRV1125</t>
        </is>
      </c>
      <c r="B126" t="inlineStr">
        <is>
          <t>Julie</t>
        </is>
      </c>
      <c r="C126" t="inlineStr">
        <is>
          <t>Osei</t>
        </is>
      </c>
      <c r="D126" t="inlineStr">
        <is>
          <t>MD</t>
        </is>
      </c>
      <c r="E126" t="inlineStr">
        <is>
          <t>Family Medicine</t>
        </is>
      </c>
    </row>
    <row r="127">
      <c r="A127" t="inlineStr">
        <is>
          <t>PRV1126</t>
        </is>
      </c>
      <c r="B127" t="inlineStr">
        <is>
          <t>Brandon</t>
        </is>
      </c>
      <c r="C127" t="inlineStr">
        <is>
          <t>Fisher</t>
        </is>
      </c>
      <c r="D127" t="inlineStr">
        <is>
          <t>MD</t>
        </is>
      </c>
      <c r="E127" t="inlineStr">
        <is>
          <t>Family Medicine</t>
        </is>
      </c>
    </row>
    <row r="128">
      <c r="A128" t="inlineStr">
        <is>
          <t>PRV1127</t>
        </is>
      </c>
      <c r="B128" t="inlineStr">
        <is>
          <t>Mei</t>
        </is>
      </c>
      <c r="C128" t="inlineStr">
        <is>
          <t>Chen</t>
        </is>
      </c>
      <c r="D128" t="inlineStr">
        <is>
          <t>DO</t>
        </is>
      </c>
      <c r="E128" t="inlineStr">
        <is>
          <t>Family Medicine</t>
        </is>
      </c>
    </row>
    <row r="129">
      <c r="A129" t="inlineStr">
        <is>
          <t>PRV1128</t>
        </is>
      </c>
      <c r="B129" t="inlineStr">
        <is>
          <t>Catherine</t>
        </is>
      </c>
      <c r="C129" t="inlineStr">
        <is>
          <t>Arnold</t>
        </is>
      </c>
      <c r="D129" t="inlineStr">
        <is>
          <t>DO</t>
        </is>
      </c>
      <c r="E129" t="inlineStr">
        <is>
          <t>Family Medicine</t>
        </is>
      </c>
    </row>
    <row r="130">
      <c r="A130" t="inlineStr">
        <is>
          <t>PRV1129</t>
        </is>
      </c>
      <c r="B130" t="inlineStr">
        <is>
          <t>Nancy</t>
        </is>
      </c>
      <c r="C130" t="inlineStr">
        <is>
          <t>Black</t>
        </is>
      </c>
      <c r="D130" t="inlineStr">
        <is>
          <t>MD</t>
        </is>
      </c>
      <c r="E130" t="inlineStr">
        <is>
          <t>Family Medicine</t>
        </is>
      </c>
    </row>
    <row r="131">
      <c r="A131" t="inlineStr">
        <is>
          <t>PRV1130</t>
        </is>
      </c>
      <c r="B131" t="inlineStr">
        <is>
          <t>Brenda</t>
        </is>
      </c>
      <c r="C131" t="inlineStr">
        <is>
          <t>Sullivan</t>
        </is>
      </c>
      <c r="D131" t="inlineStr">
        <is>
          <t>MD</t>
        </is>
      </c>
      <c r="E131" t="inlineStr">
        <is>
          <t>Family Medicine</t>
        </is>
      </c>
    </row>
    <row r="132">
      <c r="A132" t="inlineStr">
        <is>
          <t>PRV1131</t>
        </is>
      </c>
      <c r="B132" t="inlineStr">
        <is>
          <t>Douglas</t>
        </is>
      </c>
      <c r="C132" t="inlineStr">
        <is>
          <t>Elliott</t>
        </is>
      </c>
      <c r="D132" t="inlineStr">
        <is>
          <t>DO</t>
        </is>
      </c>
      <c r="E132" t="inlineStr">
        <is>
          <t>Family Medicine</t>
        </is>
      </c>
    </row>
    <row r="133">
      <c r="A133" t="inlineStr">
        <is>
          <t>PRV1132</t>
        </is>
      </c>
      <c r="B133" t="inlineStr">
        <is>
          <t>George</t>
        </is>
      </c>
      <c r="C133" t="inlineStr">
        <is>
          <t>Alvarado</t>
        </is>
      </c>
      <c r="D133" t="inlineStr">
        <is>
          <t>NP</t>
        </is>
      </c>
      <c r="E133" t="inlineStr">
        <is>
          <t>Family Medicine</t>
        </is>
      </c>
    </row>
    <row r="134">
      <c r="A134" t="inlineStr">
        <is>
          <t>PRV1133</t>
        </is>
      </c>
      <c r="B134" t="inlineStr">
        <is>
          <t>Edward</t>
        </is>
      </c>
      <c r="C134" t="inlineStr">
        <is>
          <t>Santos</t>
        </is>
      </c>
      <c r="D134" t="inlineStr">
        <is>
          <t>NP</t>
        </is>
      </c>
      <c r="E134" t="inlineStr">
        <is>
          <t>Family Medicine</t>
        </is>
      </c>
    </row>
    <row r="135">
      <c r="A135" t="inlineStr">
        <is>
          <t>PRV1134</t>
        </is>
      </c>
      <c r="B135" t="inlineStr">
        <is>
          <t>Carolyn</t>
        </is>
      </c>
      <c r="C135" t="inlineStr">
        <is>
          <t>Vazquez</t>
        </is>
      </c>
      <c r="D135" t="inlineStr">
        <is>
          <t>NP</t>
        </is>
      </c>
      <c r="E135" t="inlineStr">
        <is>
          <t>Family Medicine</t>
        </is>
      </c>
    </row>
    <row r="136">
      <c r="A136" t="inlineStr">
        <is>
          <t>PRV1135</t>
        </is>
      </c>
      <c r="B136" t="inlineStr">
        <is>
          <t>Doris</t>
        </is>
      </c>
      <c r="C136" t="inlineStr">
        <is>
          <t>Petrov</t>
        </is>
      </c>
      <c r="D136" t="inlineStr">
        <is>
          <t>PA</t>
        </is>
      </c>
      <c r="E136" t="inlineStr">
        <is>
          <t>Family Medicine</t>
        </is>
      </c>
    </row>
    <row r="137">
      <c r="A137" t="inlineStr">
        <is>
          <t>PRV1136</t>
        </is>
      </c>
      <c r="B137" t="inlineStr">
        <is>
          <t>Lucia</t>
        </is>
      </c>
      <c r="C137" t="inlineStr">
        <is>
          <t>Myers</t>
        </is>
      </c>
      <c r="D137" t="inlineStr">
        <is>
          <t>PA</t>
        </is>
      </c>
      <c r="E137" t="inlineStr">
        <is>
          <t>Family Medicine</t>
        </is>
      </c>
    </row>
    <row r="138">
      <c r="A138" t="inlineStr">
        <is>
          <t>PRV1137</t>
        </is>
      </c>
      <c r="B138" t="inlineStr">
        <is>
          <t>Isabella</t>
        </is>
      </c>
      <c r="C138" t="inlineStr">
        <is>
          <t>Nguyen</t>
        </is>
      </c>
      <c r="D138" t="inlineStr">
        <is>
          <t>MD</t>
        </is>
      </c>
      <c r="E138" t="inlineStr">
        <is>
          <t>Internal Medicine</t>
        </is>
      </c>
    </row>
    <row r="139">
      <c r="A139" t="inlineStr">
        <is>
          <t>PRV1138</t>
        </is>
      </c>
      <c r="B139" t="inlineStr">
        <is>
          <t>Randy</t>
        </is>
      </c>
      <c r="C139" t="inlineStr">
        <is>
          <t>Bennett</t>
        </is>
      </c>
      <c r="D139" t="inlineStr">
        <is>
          <t>DO</t>
        </is>
      </c>
      <c r="E139" t="inlineStr">
        <is>
          <t>Internal Medicine</t>
        </is>
      </c>
    </row>
    <row r="140">
      <c r="A140" t="inlineStr">
        <is>
          <t>PRV1139</t>
        </is>
      </c>
      <c r="B140" t="inlineStr">
        <is>
          <t>Richard</t>
        </is>
      </c>
      <c r="C140" t="inlineStr">
        <is>
          <t>Yilmaz</t>
        </is>
      </c>
      <c r="D140" t="inlineStr">
        <is>
          <t>MD</t>
        </is>
      </c>
      <c r="E140" t="inlineStr">
        <is>
          <t>Internal Medicine</t>
        </is>
      </c>
    </row>
    <row r="141">
      <c r="A141" t="inlineStr">
        <is>
          <t>PRV1140</t>
        </is>
      </c>
      <c r="B141" t="inlineStr">
        <is>
          <t>Kelly</t>
        </is>
      </c>
      <c r="C141" t="inlineStr">
        <is>
          <t>Black</t>
        </is>
      </c>
      <c r="D141" t="inlineStr">
        <is>
          <t>MD</t>
        </is>
      </c>
      <c r="E141" t="inlineStr">
        <is>
          <t>Internal Medicine</t>
        </is>
      </c>
    </row>
    <row r="142">
      <c r="A142" t="inlineStr">
        <is>
          <t>PRV1141</t>
        </is>
      </c>
      <c r="B142" t="inlineStr">
        <is>
          <t>Scott</t>
        </is>
      </c>
      <c r="C142" t="inlineStr">
        <is>
          <t>Rivera</t>
        </is>
      </c>
      <c r="D142" t="inlineStr">
        <is>
          <t>MD</t>
        </is>
      </c>
      <c r="E142" t="inlineStr">
        <is>
          <t>Endocrinology</t>
        </is>
      </c>
    </row>
    <row r="143">
      <c r="A143" t="inlineStr">
        <is>
          <t>PRV1142</t>
        </is>
      </c>
      <c r="B143" t="inlineStr">
        <is>
          <t>Larry</t>
        </is>
      </c>
      <c r="C143" t="inlineStr">
        <is>
          <t>Woods</t>
        </is>
      </c>
      <c r="D143" t="inlineStr">
        <is>
          <t>MD</t>
        </is>
      </c>
      <c r="E143" t="inlineStr">
        <is>
          <t>Endocrinology</t>
        </is>
      </c>
    </row>
    <row r="144">
      <c r="A144" t="inlineStr">
        <is>
          <t>PRV1143</t>
        </is>
      </c>
      <c r="B144" t="inlineStr">
        <is>
          <t>Amber</t>
        </is>
      </c>
      <c r="C144" t="inlineStr">
        <is>
          <t>Lee</t>
        </is>
      </c>
      <c r="D144" t="inlineStr">
        <is>
          <t>NP</t>
        </is>
      </c>
      <c r="E144" t="inlineStr">
        <is>
          <t>Endocrinology</t>
        </is>
      </c>
    </row>
    <row r="145">
      <c r="A145" t="inlineStr">
        <is>
          <t>PRV1144</t>
        </is>
      </c>
      <c r="B145" t="inlineStr">
        <is>
          <t>Helen</t>
        </is>
      </c>
      <c r="C145" t="inlineStr">
        <is>
          <t>Hoffman</t>
        </is>
      </c>
      <c r="D145" t="inlineStr">
        <is>
          <t>MD</t>
        </is>
      </c>
      <c r="E145" t="inlineStr">
        <is>
          <t>Radiology</t>
        </is>
      </c>
    </row>
    <row r="146">
      <c r="A146" t="inlineStr">
        <is>
          <t>PRV1145</t>
        </is>
      </c>
      <c r="B146" t="inlineStr">
        <is>
          <t>Roger</t>
        </is>
      </c>
      <c r="C146" t="inlineStr">
        <is>
          <t>Henry</t>
        </is>
      </c>
      <c r="D146" t="inlineStr">
        <is>
          <t>MD</t>
        </is>
      </c>
      <c r="E146" t="inlineStr">
        <is>
          <t>Radiology</t>
        </is>
      </c>
    </row>
    <row r="147">
      <c r="A147" t="inlineStr">
        <is>
          <t>PRV1146</t>
        </is>
      </c>
      <c r="B147" t="inlineStr">
        <is>
          <t>Joan</t>
        </is>
      </c>
      <c r="C147" t="inlineStr">
        <is>
          <t>Walker</t>
        </is>
      </c>
      <c r="D147" t="inlineStr">
        <is>
          <t>MD</t>
        </is>
      </c>
      <c r="E147" t="inlineStr">
        <is>
          <t>Radiology</t>
        </is>
      </c>
    </row>
    <row r="148">
      <c r="A148" t="inlineStr">
        <is>
          <t>PRV1147</t>
        </is>
      </c>
      <c r="B148" t="inlineStr">
        <is>
          <t>Natalie</t>
        </is>
      </c>
      <c r="C148" t="inlineStr">
        <is>
          <t>Wagner</t>
        </is>
      </c>
      <c r="D148" t="inlineStr">
        <is>
          <t>MD</t>
        </is>
      </c>
      <c r="E148" t="inlineStr">
        <is>
          <t>Pathology</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2.2 · Bonus: Mailing list for the new diabetes education clinic</t>
        </is>
      </c>
    </row>
    <row r="2" ht="79" customHeight="1">
      <c r="A2" s="14" t="inlineStr">
        <is>
          <t>Bluestone is opening a diabetes education clinic in Cedar Ridge. Marketing wants a clean mailing list from the legacy registration export (the Registrations sheet), and care management wants to know how many current patients are 'complex' (three or more chronic conditions). The export crams city, state, and ZIP into one CityStateZip column in several styles: Cedar Ridge, OH 45720 · CEDAR RIDGE, OH 45720 · Cedar Ridge OH 45720 (no comma) · Cedar Ridge, OH 45720-1280 (ZIP+4). Some city names are two words. (The export also has duplicate records. Removing those is a Lesson 3.3 job, so leave them in.)</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66" customHeight="1">
      <c r="A6" s="18" t="inlineStr">
        <is>
          <t>B1</t>
        </is>
      </c>
      <c r="B6" s="19" t="inlineStr">
        <is>
          <t>On the Registrations sheet, fill the yellow City column with just the city name in Proper Case, with no comma, state, or ZIP (for example Lakeview Heights). The gray cell counts rows whose City is exactly Lakeview Heights (case-sensitive). That town appears in every messy style, so it's a good test.</t>
        </is>
      </c>
      <c r="C6" s="20" t="inlineStr">
        <is>
          <t>The city is everything before the second-to-last space. TEXTBEFORE accepts a negative instance_num</t>
        </is>
      </c>
      <c r="D6" cm="1" s="23">
        <f t="array" ref="D6">IF(COUNTA(Registrations!D2:D651)=0,"",SUMPRODUCT(--EXACT(Registrations!D2:D651,"Lakeview Heights")))</f>
        <v/>
      </c>
      <c r="E6" s="22">
        <f>IF(IFERROR(D6="",FALSE),"",IF(IFERROR(AND(ISNUMBER(D6),OR(ABS(D6-'Bonus Key'!$C$5)&lt;=0.0001)),FALSE),"✔ Correct","✘ Not yet"))</f>
        <v/>
      </c>
    </row>
    <row r="7" ht="51" customHeight="1">
      <c r="A7" s="18" t="inlineStr">
        <is>
          <t>B2</t>
        </is>
      </c>
      <c r="B7" s="19" t="inlineStr">
        <is>
          <t>Fill the yellow ZIP5 column with the 5-digit ZIP code as text. ZIP+4 codes like 45720-1280 must become 45720. The gray cell counts rows in ZIP 45501 (downtown Bluestone).</t>
        </is>
      </c>
      <c r="C7" s="20" t="inlineStr">
        <is>
          <t>The ZIP is the last word; keep only its first 5 characters</t>
        </is>
      </c>
      <c r="D7" cm="1" s="23">
        <f t="array" ref="D7">IF(COUNTA(Registrations!E2:E651)=0,"",COUNTIF(Registrations!E2:E651,"45501"))</f>
        <v/>
      </c>
      <c r="E7" s="22">
        <f>IF(IFERROR(D7="",FALSE),"",IF(IFERROR(AND(ISNUMBER(D7),OR(ABS(D7-'Bonus Key'!$C$6)&lt;=0.0001)),FALSE),"✔ Correct","✘ Not yet"))</f>
        <v/>
      </c>
    </row>
    <row r="8" ht="66" customHeight="1">
      <c r="A8" s="18" t="inlineStr">
        <is>
          <t>B3</t>
        </is>
      </c>
      <c r="B8" s="19" t="inlineStr">
        <is>
          <t>Write one formula that turns record R1002's CityStateZip (row 3, "CEDAR RIDGE, OH 45720") into the mailing-label line City, ST 12345: city in Proper Case, a comma and a space, the 2-letter state in capitals, a space, and the 5-digit ZIP. This check is case-sensitive.</t>
        </is>
      </c>
      <c r="C8" s="20" t="inlineStr">
        <is>
          <t>Build city, state, and ZIP separately, then join them with &amp;. Which piece needs PROPER?</t>
        </is>
      </c>
      <c r="D8" s="24" t="n"/>
      <c r="E8" s="22">
        <f>IF(IFERROR(D8="",FALSE),"",IF(IFERROR(EXACT(D8,'Bonus Key'!$C$7),FALSE),"✔ Correct","✘ Not yet"))</f>
        <v/>
      </c>
    </row>
    <row r="9" ht="66" customHeight="1">
      <c r="A9" s="18" t="inlineStr">
        <is>
          <t>B4</t>
        </is>
      </c>
      <c r="B9" s="19" t="inlineStr">
        <is>
          <t>Back on the Patients sheet, fill the yellow ConditionCount column with the number of chronic conditions each patient has: 0 when ChronicConditions is blank, 1 for HTN, 2 for HTN;DM, and so on. The gray cell counts 'complex' patients with 3 or more conditions.</t>
        </is>
      </c>
      <c r="C9" s="20" t="inlineStr">
        <is>
          <t>Items = semicolons + 1. How many semicolons? Compare LEN before and after removing them</t>
        </is>
      </c>
      <c r="D9" cm="1" s="23">
        <f t="array" ref="D9">IF(COUNTA(Patients!J2:J401)=0,"",COUNTIF(Patients!J2:J401,"&gt;=3"))</f>
        <v/>
      </c>
      <c r="E9" s="22">
        <f>IF(IFERROR(D9="",FALSE),"",IF(IFERROR(AND(ISNUMBER(D9),OR(ABS(D9-'Bonus Key'!$C$8)&lt;=0.0001)),FALSE),"✔ Correct","✘ Not yet"))</f>
        <v/>
      </c>
    </row>
    <row r="10" ht="51" customHeight="1">
      <c r="A10" s="18" t="inlineStr">
        <is>
          <t>B5</t>
        </is>
      </c>
      <c r="B10" s="19" t="inlineStr">
        <is>
          <t>What is the average number of chronic conditions per patient across all 400 patients, including those with none? Use your ConditionCount column. (The check accepts 2 decimal places.)</t>
        </is>
      </c>
      <c r="C10" s="20" t="inlineStr">
        <is>
          <t>AVERAGE of the column you just filled</t>
        </is>
      </c>
      <c r="D10" s="29" t="n"/>
      <c r="E10" s="22">
        <f>IF(IFERROR(D10="",FALSE),"",IF(IFERROR(AND(ISNUMBER(D10),OR(ABS(D10-'Bonus Key'!$C$9)&lt;=0.0051)),FALSE),"✔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BF9000"/>
    <outlinePr summaryBelow="1" summaryRight="1"/>
    <pageSetUpPr/>
  </sheetPr>
  <dimension ref="A1:E651"/>
  <sheetViews>
    <sheetView tabSelected="0" workbookViewId="0">
      <pane ySplit="1" topLeftCell="A2" activePane="bottomLeft" state="frozen"/>
      <selection pane="bottomLeft" activeCell="A1" sqref="A1"/>
    </sheetView>
  </sheetViews>
  <sheetFormatPr baseColWidth="8" defaultRowHeight="15"/>
  <cols>
    <col width="10" customWidth="1" min="1" max="1"/>
    <col width="26" customWidth="1" min="2" max="2"/>
    <col width="32" customWidth="1" min="3" max="3"/>
    <col width="18" customWidth="1" min="4" max="4"/>
    <col width="9" customWidth="1" min="5" max="5"/>
  </cols>
  <sheetData>
    <row r="1">
      <c r="A1" s="25" t="inlineStr">
        <is>
          <t>RecordID</t>
        </is>
      </c>
      <c r="B1" s="25" t="inlineStr">
        <is>
          <t>PatientName</t>
        </is>
      </c>
      <c r="C1" s="25" t="inlineStr">
        <is>
          <t>CityStateZip</t>
        </is>
      </c>
      <c r="D1" s="26" t="inlineStr">
        <is>
          <t>City</t>
        </is>
      </c>
      <c r="E1" s="26" t="inlineStr">
        <is>
          <t>ZIP5</t>
        </is>
      </c>
    </row>
    <row r="2">
      <c r="A2" t="inlineStr">
        <is>
          <t>R1001</t>
        </is>
      </c>
      <c r="B2" t="inlineStr">
        <is>
          <t>Haddad, Jonathan</t>
        </is>
      </c>
      <c r="C2" t="inlineStr">
        <is>
          <t>Bluestone OH 45501</t>
        </is>
      </c>
      <c r="D2" s="27" t="n"/>
      <c r="E2" s="27" t="n"/>
    </row>
    <row r="3">
      <c r="A3" t="inlineStr">
        <is>
          <t>R1002</t>
        </is>
      </c>
      <c r="B3" t="inlineStr">
        <is>
          <t>Powell, Wei</t>
        </is>
      </c>
      <c r="C3" t="inlineStr">
        <is>
          <t>CEDAR RIDGE, OH 45720</t>
        </is>
      </c>
      <c r="D3" s="27" t="n"/>
      <c r="E3" s="27" t="n"/>
    </row>
    <row r="4">
      <c r="A4" t="inlineStr">
        <is>
          <t>R1003</t>
        </is>
      </c>
      <c r="B4" t="inlineStr">
        <is>
          <t>Campbell, Virginia</t>
        </is>
      </c>
      <c r="C4" t="inlineStr">
        <is>
          <t>Riverbend, OH 45545</t>
        </is>
      </c>
      <c r="D4" s="27" t="n"/>
      <c r="E4" s="27" t="n"/>
    </row>
    <row r="5">
      <c r="A5" t="inlineStr">
        <is>
          <t>R1004</t>
        </is>
      </c>
      <c r="B5" t="inlineStr">
        <is>
          <t>MURRAY, MARGARET</t>
        </is>
      </c>
      <c r="C5" t="inlineStr">
        <is>
          <t>Bluestone, OH 45501</t>
        </is>
      </c>
      <c r="D5" s="27" t="n"/>
      <c r="E5" s="27" t="n"/>
    </row>
    <row r="6">
      <c r="A6" t="inlineStr">
        <is>
          <t>R1005</t>
        </is>
      </c>
      <c r="B6" t="inlineStr">
        <is>
          <t>ELLIS, JOSEPH</t>
        </is>
      </c>
      <c r="C6" t="inlineStr">
        <is>
          <t>LAKEVIEW HEIGHTS, OH 45510</t>
        </is>
      </c>
      <c r="D6" s="27" t="n"/>
      <c r="E6" s="27" t="n"/>
    </row>
    <row r="7">
      <c r="A7" t="inlineStr">
        <is>
          <t>R1006</t>
        </is>
      </c>
      <c r="B7" t="inlineStr">
        <is>
          <t>BOYD, DOUGLAS</t>
        </is>
      </c>
      <c r="C7" t="inlineStr">
        <is>
          <t>Granite Springs OH 45750</t>
        </is>
      </c>
      <c r="D7" s="27" t="n"/>
      <c r="E7" s="27" t="n"/>
    </row>
    <row r="8">
      <c r="A8" t="inlineStr">
        <is>
          <t>R1007</t>
        </is>
      </c>
      <c r="B8" t="inlineStr">
        <is>
          <t>perry, janet</t>
        </is>
      </c>
      <c r="C8" t="inlineStr">
        <is>
          <t>Granite Springs, OH 45750</t>
        </is>
      </c>
      <c r="D8" s="27" t="n"/>
      <c r="E8" s="27" t="n"/>
    </row>
    <row r="9">
      <c r="A9" t="inlineStr">
        <is>
          <t>R1008</t>
        </is>
      </c>
      <c r="B9" t="inlineStr">
        <is>
          <t>Hunter, Austin</t>
        </is>
      </c>
      <c r="C9" t="inlineStr">
        <is>
          <t>BLUESTONE, OH 45502</t>
        </is>
      </c>
      <c r="D9" s="27" t="n"/>
      <c r="E9" s="27" t="n"/>
    </row>
    <row r="10">
      <c r="A10" t="inlineStr">
        <is>
          <t>R1009</t>
        </is>
      </c>
      <c r="B10" t="inlineStr">
        <is>
          <t xml:space="preserve">  Alexander ,  Gary </t>
        </is>
      </c>
      <c r="C10" t="inlineStr">
        <is>
          <t>Bluestone, OH 45501</t>
        </is>
      </c>
      <c r="D10" s="27" t="n"/>
      <c r="E10" s="27" t="n"/>
    </row>
    <row r="11">
      <c r="A11" t="inlineStr">
        <is>
          <t>R1010</t>
        </is>
      </c>
      <c r="B11" t="inlineStr">
        <is>
          <t xml:space="preserve">  Watson ,  Amy </t>
        </is>
      </c>
      <c r="C11" t="inlineStr">
        <is>
          <t>Bluestone, OH 45501-8106</t>
        </is>
      </c>
      <c r="D11" s="27" t="n"/>
      <c r="E11" s="27" t="n"/>
    </row>
    <row r="12">
      <c r="A12" t="inlineStr">
        <is>
          <t>R1011</t>
        </is>
      </c>
      <c r="B12" t="inlineStr">
        <is>
          <t xml:space="preserve">  Ferguson ,  Carolyn </t>
        </is>
      </c>
      <c r="C12" t="inlineStr">
        <is>
          <t>Oak Glen OH 45730</t>
        </is>
      </c>
      <c r="D12" s="27" t="n"/>
      <c r="E12" s="27" t="n"/>
    </row>
    <row r="13">
      <c r="A13" t="inlineStr">
        <is>
          <t>R1012</t>
        </is>
      </c>
      <c r="B13" t="inlineStr">
        <is>
          <t>Gomez, Walter</t>
        </is>
      </c>
      <c r="C13" t="inlineStr">
        <is>
          <t>ASHBY FALLS, OH 45610</t>
        </is>
      </c>
      <c r="D13" s="27" t="n"/>
      <c r="E13" s="27" t="n"/>
    </row>
    <row r="14">
      <c r="A14" t="inlineStr">
        <is>
          <t>R1013</t>
        </is>
      </c>
      <c r="B14" t="inlineStr">
        <is>
          <t>Diaz, Angela</t>
        </is>
      </c>
      <c r="C14" t="inlineStr">
        <is>
          <t>Millbrook, OH 45530</t>
        </is>
      </c>
      <c r="D14" s="27" t="n"/>
      <c r="E14" s="27" t="n"/>
    </row>
    <row r="15">
      <c r="A15" t="inlineStr">
        <is>
          <t>R1014</t>
        </is>
      </c>
      <c r="B15" t="inlineStr">
        <is>
          <t>O'Brien, Virginia</t>
        </is>
      </c>
      <c r="C15" t="inlineStr">
        <is>
          <t>Bluestone, OH 45501-2106</t>
        </is>
      </c>
      <c r="D15" s="27" t="n"/>
      <c r="E15" s="27" t="n"/>
    </row>
    <row r="16">
      <c r="A16" t="inlineStr">
        <is>
          <t>R1015</t>
        </is>
      </c>
      <c r="B16" t="inlineStr">
        <is>
          <t>Stone, Frank</t>
        </is>
      </c>
      <c r="C16" t="inlineStr">
        <is>
          <t>Fairhaven, OH 45620</t>
        </is>
      </c>
      <c r="D16" s="27" t="n"/>
      <c r="E16" s="27" t="n"/>
    </row>
    <row r="17">
      <c r="A17" t="inlineStr">
        <is>
          <t>R1016</t>
        </is>
      </c>
      <c r="B17" t="inlineStr">
        <is>
          <t>Ryan, Theresa</t>
        </is>
      </c>
      <c r="C17" t="inlineStr">
        <is>
          <t>ASHBY FALLS, OH 45610</t>
        </is>
      </c>
      <c r="D17" s="27" t="n"/>
      <c r="E17" s="27" t="n"/>
    </row>
    <row r="18">
      <c r="A18" t="inlineStr">
        <is>
          <t>R1017</t>
        </is>
      </c>
      <c r="B18" t="inlineStr">
        <is>
          <t>Amber White</t>
        </is>
      </c>
      <c r="C18" t="inlineStr">
        <is>
          <t>Cedar Ridge OH 45720</t>
        </is>
      </c>
      <c r="D18" s="27" t="n"/>
      <c r="E18" s="27" t="n"/>
    </row>
    <row r="19">
      <c r="A19" t="inlineStr">
        <is>
          <t>R1018</t>
        </is>
      </c>
      <c r="B19" t="inlineStr">
        <is>
          <t>Janet Carter</t>
        </is>
      </c>
      <c r="C19" t="inlineStr">
        <is>
          <t>ASHBY FALLS, OH 45610</t>
        </is>
      </c>
      <c r="D19" s="27" t="n"/>
      <c r="E19" s="27" t="n"/>
    </row>
    <row r="20">
      <c r="A20" t="inlineStr">
        <is>
          <t>R1019</t>
        </is>
      </c>
      <c r="B20" t="inlineStr">
        <is>
          <t>OSEI, ROY</t>
        </is>
      </c>
      <c r="C20" t="inlineStr">
        <is>
          <t>BLUESTONE, OH 45503</t>
        </is>
      </c>
      <c r="D20" s="27" t="n"/>
      <c r="E20" s="27" t="n"/>
    </row>
    <row r="21">
      <c r="A21" t="inlineStr">
        <is>
          <t>R1020</t>
        </is>
      </c>
      <c r="B21" t="inlineStr">
        <is>
          <t>jimenez, bobby</t>
        </is>
      </c>
      <c r="C21" t="inlineStr">
        <is>
          <t>Millbrook, OH 45530-1433</t>
        </is>
      </c>
      <c r="D21" s="27" t="n"/>
      <c r="E21" s="27" t="n"/>
    </row>
    <row r="22">
      <c r="A22" t="inlineStr">
        <is>
          <t>R1021</t>
        </is>
      </c>
      <c r="B22" t="inlineStr">
        <is>
          <t>O'Brien, Madison</t>
        </is>
      </c>
      <c r="C22" t="inlineStr">
        <is>
          <t>Bluestone, OH 45502</t>
        </is>
      </c>
      <c r="D22" s="27" t="n"/>
      <c r="E22" s="27" t="n"/>
    </row>
    <row r="23">
      <c r="A23" t="inlineStr">
        <is>
          <t>R1022</t>
        </is>
      </c>
      <c r="B23" t="inlineStr">
        <is>
          <t>Ray, Michael</t>
        </is>
      </c>
      <c r="C23" t="inlineStr">
        <is>
          <t>Cedar Ridge, OH 45720</t>
        </is>
      </c>
      <c r="D23" s="27" t="n"/>
      <c r="E23" s="27" t="n"/>
    </row>
    <row r="24">
      <c r="A24" t="inlineStr">
        <is>
          <t>R1023</t>
        </is>
      </c>
      <c r="B24" t="inlineStr">
        <is>
          <t>Robinson, Angela</t>
        </is>
      </c>
      <c r="C24" t="inlineStr">
        <is>
          <t>Bluestone OH 45502</t>
        </is>
      </c>
      <c r="D24" s="27" t="n"/>
      <c r="E24" s="27" t="n"/>
    </row>
    <row r="25">
      <c r="A25" t="inlineStr">
        <is>
          <t>R1024</t>
        </is>
      </c>
      <c r="B25" t="inlineStr">
        <is>
          <t>Vargas, Betty</t>
        </is>
      </c>
      <c r="C25" t="inlineStr">
        <is>
          <t>BLUESTONE, OH 45503</t>
        </is>
      </c>
      <c r="D25" s="27" t="n"/>
      <c r="E25" s="27" t="n"/>
    </row>
    <row r="26">
      <c r="A26" t="inlineStr">
        <is>
          <t>R1025</t>
        </is>
      </c>
      <c r="B26" t="inlineStr">
        <is>
          <t>Harris, Doris</t>
        </is>
      </c>
      <c r="C26" t="inlineStr">
        <is>
          <t>Bluestone, OH 45503</t>
        </is>
      </c>
      <c r="D26" s="27" t="n"/>
      <c r="E26" s="27" t="n"/>
    </row>
    <row r="27">
      <c r="A27" t="inlineStr">
        <is>
          <t>R1026</t>
        </is>
      </c>
      <c r="B27" t="inlineStr">
        <is>
          <t>SPENCER, GERALD</t>
        </is>
      </c>
      <c r="C27" t="inlineStr">
        <is>
          <t>Ashby Falls, OH 45610-7699</t>
        </is>
      </c>
      <c r="D27" s="27" t="n"/>
      <c r="E27" s="27" t="n"/>
    </row>
    <row r="28">
      <c r="A28" t="inlineStr">
        <is>
          <t>R1027</t>
        </is>
      </c>
      <c r="B28" t="inlineStr">
        <is>
          <t>Paul Simmons</t>
        </is>
      </c>
      <c r="C28" t="inlineStr">
        <is>
          <t>LAKEVIEW HEIGHTS, OH 45510</t>
        </is>
      </c>
      <c r="D28" s="27" t="n"/>
      <c r="E28" s="27" t="n"/>
    </row>
    <row r="29">
      <c r="A29" t="inlineStr">
        <is>
          <t>R1028</t>
        </is>
      </c>
      <c r="B29" t="inlineStr">
        <is>
          <t>SOTO, DORIS</t>
        </is>
      </c>
      <c r="C29" t="inlineStr">
        <is>
          <t>Ashby Falls, OH 45610</t>
        </is>
      </c>
      <c r="D29" s="27" t="n"/>
      <c r="E29" s="27" t="n"/>
    </row>
    <row r="30">
      <c r="A30" t="inlineStr">
        <is>
          <t>R1029</t>
        </is>
      </c>
      <c r="B30" t="inlineStr">
        <is>
          <t>Wei Burns</t>
        </is>
      </c>
      <c r="C30" t="inlineStr">
        <is>
          <t>Granite Springs, OH 45750</t>
        </is>
      </c>
      <c r="D30" s="27" t="n"/>
      <c r="E30" s="27" t="n"/>
    </row>
    <row r="31">
      <c r="A31" t="inlineStr">
        <is>
          <t>R1030</t>
        </is>
      </c>
      <c r="B31" t="inlineStr">
        <is>
          <t>SANTOS, CARLOS</t>
        </is>
      </c>
      <c r="C31" t="inlineStr">
        <is>
          <t>Bluestone, OH 45502</t>
        </is>
      </c>
      <c r="D31" s="27" t="n"/>
      <c r="E31" s="27" t="n"/>
    </row>
    <row r="32">
      <c r="A32" t="inlineStr">
        <is>
          <t>R1031</t>
        </is>
      </c>
      <c r="B32" t="inlineStr">
        <is>
          <t xml:space="preserve">  Ellis ,  Jean </t>
        </is>
      </c>
      <c r="C32" t="inlineStr">
        <is>
          <t>Bluestone, OH 45502</t>
        </is>
      </c>
      <c r="D32" s="27" t="n"/>
      <c r="E32" s="27" t="n"/>
    </row>
    <row r="33">
      <c r="A33" t="inlineStr">
        <is>
          <t>R1032</t>
        </is>
      </c>
      <c r="B33" t="inlineStr">
        <is>
          <t>Freeman, Matthew</t>
        </is>
      </c>
      <c r="C33" t="inlineStr">
        <is>
          <t>Ashby Falls, OH 45610</t>
        </is>
      </c>
      <c r="D33" s="27" t="n"/>
      <c r="E33" s="27" t="n"/>
    </row>
    <row r="34">
      <c r="A34" t="inlineStr">
        <is>
          <t>R1033</t>
        </is>
      </c>
      <c r="B34" t="inlineStr">
        <is>
          <t xml:space="preserve">  Baker ,  Ava </t>
        </is>
      </c>
      <c r="C34" t="inlineStr">
        <is>
          <t>Pine Hollow, OH 45640</t>
        </is>
      </c>
      <c r="D34" s="27" t="n"/>
      <c r="E34" s="27" t="n"/>
    </row>
    <row r="35">
      <c r="A35" t="inlineStr">
        <is>
          <t>R1034</t>
        </is>
      </c>
      <c r="B35" t="inlineStr">
        <is>
          <t>meyer, nancy</t>
        </is>
      </c>
      <c r="C35" t="inlineStr">
        <is>
          <t>Bluestone, OH 45503</t>
        </is>
      </c>
      <c r="D35" s="27" t="n"/>
      <c r="E35" s="27" t="n"/>
    </row>
    <row r="36">
      <c r="A36" t="inlineStr">
        <is>
          <t>R1035</t>
        </is>
      </c>
      <c r="B36" t="inlineStr">
        <is>
          <t>GARZA, DONNA</t>
        </is>
      </c>
      <c r="C36" t="inlineStr">
        <is>
          <t>Cedar Ridge, OH 45720</t>
        </is>
      </c>
      <c r="D36" s="27" t="n"/>
      <c r="E36" s="27" t="n"/>
    </row>
    <row r="37">
      <c r="A37" t="inlineStr">
        <is>
          <t>R1036</t>
        </is>
      </c>
      <c r="B37" t="inlineStr">
        <is>
          <t>Abdi, Gregory</t>
        </is>
      </c>
      <c r="C37" t="inlineStr">
        <is>
          <t>Lakeview Heights, OH 45510</t>
        </is>
      </c>
      <c r="D37" s="27" t="n"/>
      <c r="E37" s="27" t="n"/>
    </row>
    <row r="38">
      <c r="A38" t="inlineStr">
        <is>
          <t>R1037</t>
        </is>
      </c>
      <c r="B38" t="inlineStr">
        <is>
          <t>Cooper, Nancy</t>
        </is>
      </c>
      <c r="C38" t="inlineStr">
        <is>
          <t>Bluestone, OH 45501</t>
        </is>
      </c>
      <c r="D38" s="27" t="n"/>
      <c r="E38" s="27" t="n"/>
    </row>
    <row r="39">
      <c r="A39" t="inlineStr">
        <is>
          <t>R1038</t>
        </is>
      </c>
      <c r="B39" t="inlineStr">
        <is>
          <t>Weaver, Justin</t>
        </is>
      </c>
      <c r="C39" t="inlineStr">
        <is>
          <t>Bluestone, OH 45503-2144</t>
        </is>
      </c>
      <c r="D39" s="27" t="n"/>
      <c r="E39" s="27" t="n"/>
    </row>
    <row r="40">
      <c r="A40" t="inlineStr">
        <is>
          <t>R1039</t>
        </is>
      </c>
      <c r="B40" t="inlineStr">
        <is>
          <t>GARCIA, PAMELA</t>
        </is>
      </c>
      <c r="C40" t="inlineStr">
        <is>
          <t>Bluestone, OH 45501-5610</t>
        </is>
      </c>
      <c r="D40" s="27" t="n"/>
      <c r="E40" s="27" t="n"/>
    </row>
    <row r="41">
      <c r="A41" t="inlineStr">
        <is>
          <t>R1040</t>
        </is>
      </c>
      <c r="B41" t="inlineStr">
        <is>
          <t>Stone, Charles</t>
        </is>
      </c>
      <c r="C41" t="inlineStr">
        <is>
          <t>Bluestone, OH 45501</t>
        </is>
      </c>
      <c r="D41" s="27" t="n"/>
      <c r="E41" s="27" t="n"/>
    </row>
    <row r="42">
      <c r="A42" t="inlineStr">
        <is>
          <t>R1041</t>
        </is>
      </c>
      <c r="B42" t="inlineStr">
        <is>
          <t>Riley, Liam</t>
        </is>
      </c>
      <c r="C42" t="inlineStr">
        <is>
          <t>Bluestone, OH 45503-4898</t>
        </is>
      </c>
      <c r="D42" s="27" t="n"/>
      <c r="E42" s="27" t="n"/>
    </row>
    <row r="43">
      <c r="A43" t="inlineStr">
        <is>
          <t>R1042</t>
        </is>
      </c>
      <c r="B43" t="inlineStr">
        <is>
          <t>Novak, Patricia</t>
        </is>
      </c>
      <c r="C43" t="inlineStr">
        <is>
          <t>Cedar Ridge, OH 45720</t>
        </is>
      </c>
      <c r="D43" s="27" t="n"/>
      <c r="E43" s="27" t="n"/>
    </row>
    <row r="44">
      <c r="A44" t="inlineStr">
        <is>
          <t>R1043</t>
        </is>
      </c>
      <c r="B44" t="inlineStr">
        <is>
          <t>Perkins, Mark</t>
        </is>
      </c>
      <c r="C44" t="inlineStr">
        <is>
          <t>Bluestone, OH 45502</t>
        </is>
      </c>
      <c r="D44" s="27" t="n"/>
      <c r="E44" s="27" t="n"/>
    </row>
    <row r="45">
      <c r="A45" t="inlineStr">
        <is>
          <t>R1044</t>
        </is>
      </c>
      <c r="B45" t="inlineStr">
        <is>
          <t>Dixon, Lawrence</t>
        </is>
      </c>
      <c r="C45" t="inlineStr">
        <is>
          <t>Granite Springs, OH 45750</t>
        </is>
      </c>
      <c r="D45" s="27" t="n"/>
      <c r="E45" s="27" t="n"/>
    </row>
    <row r="46">
      <c r="A46" t="inlineStr">
        <is>
          <t>R1045</t>
        </is>
      </c>
      <c r="B46" t="inlineStr">
        <is>
          <t>okafor, russell</t>
        </is>
      </c>
      <c r="C46" t="inlineStr">
        <is>
          <t>Bluestone, OH 45501</t>
        </is>
      </c>
      <c r="D46" s="27" t="n"/>
      <c r="E46" s="27" t="n"/>
    </row>
    <row r="47">
      <c r="A47" t="inlineStr">
        <is>
          <t>R1046</t>
        </is>
      </c>
      <c r="B47" t="inlineStr">
        <is>
          <t>BAKER, ROY</t>
        </is>
      </c>
      <c r="C47" t="inlineStr">
        <is>
          <t>ASHBY FALLS, OH 45610</t>
        </is>
      </c>
      <c r="D47" s="27" t="n"/>
      <c r="E47" s="27" t="n"/>
    </row>
    <row r="48">
      <c r="A48" t="inlineStr">
        <is>
          <t>R1047</t>
        </is>
      </c>
      <c r="B48" t="inlineStr">
        <is>
          <t>Dixon, Melissa</t>
        </is>
      </c>
      <c r="C48" t="inlineStr">
        <is>
          <t>Lakeview Heights, OH 45510-8399</t>
        </is>
      </c>
      <c r="D48" s="27" t="n"/>
      <c r="E48" s="27" t="n"/>
    </row>
    <row r="49">
      <c r="A49" t="inlineStr">
        <is>
          <t>R1048</t>
        </is>
      </c>
      <c r="B49" t="inlineStr">
        <is>
          <t>vasquez, michael</t>
        </is>
      </c>
      <c r="C49" t="inlineStr">
        <is>
          <t>BLUESTONE, OH 45501</t>
        </is>
      </c>
      <c r="D49" s="27" t="n"/>
      <c r="E49" s="27" t="n"/>
    </row>
    <row r="50">
      <c r="A50" t="inlineStr">
        <is>
          <t>R1049</t>
        </is>
      </c>
      <c r="B50" t="inlineStr">
        <is>
          <t>FISHER, ELIJAH</t>
        </is>
      </c>
      <c r="C50" t="inlineStr">
        <is>
          <t>Bluestone, OH 45503</t>
        </is>
      </c>
      <c r="D50" s="27" t="n"/>
      <c r="E50" s="27" t="n"/>
    </row>
    <row r="51">
      <c r="A51" t="inlineStr">
        <is>
          <t>R1050</t>
        </is>
      </c>
      <c r="B51" t="inlineStr">
        <is>
          <t>Marshall, Mei</t>
        </is>
      </c>
      <c r="C51" t="inlineStr">
        <is>
          <t>FAIRHAVEN, OH 45620</t>
        </is>
      </c>
      <c r="D51" s="27" t="n"/>
      <c r="E51" s="27" t="n"/>
    </row>
    <row r="52">
      <c r="A52" t="inlineStr">
        <is>
          <t>R1051</t>
        </is>
      </c>
      <c r="B52" t="inlineStr">
        <is>
          <t>GARCIA, SHARON</t>
        </is>
      </c>
      <c r="C52" t="inlineStr">
        <is>
          <t>Bluestone, OH 45501-3837</t>
        </is>
      </c>
      <c r="D52" s="27" t="n"/>
      <c r="E52" s="27" t="n"/>
    </row>
    <row r="53">
      <c r="A53" t="inlineStr">
        <is>
          <t>R1052</t>
        </is>
      </c>
      <c r="B53" t="inlineStr">
        <is>
          <t>Mason Riley</t>
        </is>
      </c>
      <c r="C53" t="inlineStr">
        <is>
          <t>Bluestone, OH 45502</t>
        </is>
      </c>
      <c r="D53" s="27" t="n"/>
      <c r="E53" s="27" t="n"/>
    </row>
    <row r="54">
      <c r="A54" t="inlineStr">
        <is>
          <t>R1053</t>
        </is>
      </c>
      <c r="B54" t="inlineStr">
        <is>
          <t>Mason Riley</t>
        </is>
      </c>
      <c r="C54" t="inlineStr">
        <is>
          <t>Bluestone, OH 45502</t>
        </is>
      </c>
      <c r="D54" s="27" t="n"/>
      <c r="E54" s="27" t="n"/>
    </row>
    <row r="55">
      <c r="A55" t="inlineStr">
        <is>
          <t>R1054</t>
        </is>
      </c>
      <c r="B55" t="inlineStr">
        <is>
          <t>Ramos, Christina</t>
        </is>
      </c>
      <c r="C55" t="inlineStr">
        <is>
          <t>Bluestone OH 45502</t>
        </is>
      </c>
      <c r="D55" s="27" t="n"/>
      <c r="E55" s="27" t="n"/>
    </row>
    <row r="56">
      <c r="A56" t="inlineStr">
        <is>
          <t>R1055</t>
        </is>
      </c>
      <c r="B56" t="inlineStr">
        <is>
          <t>Bailey, Zachary</t>
        </is>
      </c>
      <c r="C56" t="inlineStr">
        <is>
          <t>Ashby Falls, OH 45610</t>
        </is>
      </c>
      <c r="D56" s="27" t="n"/>
      <c r="E56" s="27" t="n"/>
    </row>
    <row r="57">
      <c r="A57" t="inlineStr">
        <is>
          <t>R1056</t>
        </is>
      </c>
      <c r="B57" t="inlineStr">
        <is>
          <t>Webb, Emma</t>
        </is>
      </c>
      <c r="C57" t="inlineStr">
        <is>
          <t>Bluestone OH 45501</t>
        </is>
      </c>
      <c r="D57" s="27" t="n"/>
      <c r="E57" s="27" t="n"/>
    </row>
    <row r="58">
      <c r="A58" t="inlineStr">
        <is>
          <t>R1057</t>
        </is>
      </c>
      <c r="B58" t="inlineStr">
        <is>
          <t>James West</t>
        </is>
      </c>
      <c r="C58" t="inlineStr">
        <is>
          <t>Bluestone, OH 45501</t>
        </is>
      </c>
      <c r="D58" s="27" t="n"/>
      <c r="E58" s="27" t="n"/>
    </row>
    <row r="59">
      <c r="A59" t="inlineStr">
        <is>
          <t>R1058</t>
        </is>
      </c>
      <c r="B59" t="inlineStr">
        <is>
          <t>Kim, Ethan</t>
        </is>
      </c>
      <c r="C59" t="inlineStr">
        <is>
          <t>Ashby Falls, OH 45610-1593</t>
        </is>
      </c>
      <c r="D59" s="27" t="n"/>
      <c r="E59" s="27" t="n"/>
    </row>
    <row r="60">
      <c r="A60" t="inlineStr">
        <is>
          <t>R1059</t>
        </is>
      </c>
      <c r="B60" t="inlineStr">
        <is>
          <t>SIMPSON, BRENDA</t>
        </is>
      </c>
      <c r="C60" t="inlineStr">
        <is>
          <t>Riverbend, OH 45545</t>
        </is>
      </c>
      <c r="D60" s="27" t="n"/>
      <c r="E60" s="27" t="n"/>
    </row>
    <row r="61">
      <c r="A61" t="inlineStr">
        <is>
          <t>R1060</t>
        </is>
      </c>
      <c r="B61" t="inlineStr">
        <is>
          <t xml:space="preserve">  Nguyen ,  Joyce </t>
        </is>
      </c>
      <c r="C61" t="inlineStr">
        <is>
          <t>Bluestone, OH 45503</t>
        </is>
      </c>
      <c r="D61" s="27" t="n"/>
      <c r="E61" s="27" t="n"/>
    </row>
    <row r="62">
      <c r="A62" t="inlineStr">
        <is>
          <t>R1061</t>
        </is>
      </c>
      <c r="B62" t="inlineStr">
        <is>
          <t>graham, madison</t>
        </is>
      </c>
      <c r="C62" t="inlineStr">
        <is>
          <t>Pine Hollow OH 45640</t>
        </is>
      </c>
      <c r="D62" s="27" t="n"/>
      <c r="E62" s="27" t="n"/>
    </row>
    <row r="63">
      <c r="A63" t="inlineStr">
        <is>
          <t>R1062</t>
        </is>
      </c>
      <c r="B63" t="inlineStr">
        <is>
          <t>Yilmaz, Russell</t>
        </is>
      </c>
      <c r="C63" t="inlineStr">
        <is>
          <t>Bluestone, OH 45501</t>
        </is>
      </c>
      <c r="D63" s="27" t="n"/>
      <c r="E63" s="27" t="n"/>
    </row>
    <row r="64">
      <c r="A64" t="inlineStr">
        <is>
          <t>R1063</t>
        </is>
      </c>
      <c r="B64" t="inlineStr">
        <is>
          <t>MITCHELL, AUSTIN</t>
        </is>
      </c>
      <c r="C64" t="inlineStr">
        <is>
          <t>Bluestone, OH 45503-3104</t>
        </is>
      </c>
      <c r="D64" s="27" t="n"/>
      <c r="E64" s="27" t="n"/>
    </row>
    <row r="65">
      <c r="A65" t="inlineStr">
        <is>
          <t>R1064</t>
        </is>
      </c>
      <c r="B65" t="inlineStr">
        <is>
          <t>Woods, Rebecca</t>
        </is>
      </c>
      <c r="C65" t="inlineStr">
        <is>
          <t>Fairhaven OH 45620</t>
        </is>
      </c>
      <c r="D65" s="27" t="n"/>
      <c r="E65" s="27" t="n"/>
    </row>
    <row r="66">
      <c r="A66" t="inlineStr">
        <is>
          <t>R1065</t>
        </is>
      </c>
      <c r="B66" t="inlineStr">
        <is>
          <t>Vazquez, Raymond</t>
        </is>
      </c>
      <c r="C66" t="inlineStr">
        <is>
          <t>Granite Springs, OH 45750</t>
        </is>
      </c>
      <c r="D66" s="27" t="n"/>
      <c r="E66" s="27" t="n"/>
    </row>
    <row r="67">
      <c r="A67" t="inlineStr">
        <is>
          <t>R1066</t>
        </is>
      </c>
      <c r="B67" t="inlineStr">
        <is>
          <t>RIVERA, JANICE</t>
        </is>
      </c>
      <c r="C67" t="inlineStr">
        <is>
          <t>Bluestone OH 45502</t>
        </is>
      </c>
      <c r="D67" s="27" t="n"/>
      <c r="E67" s="27" t="n"/>
    </row>
    <row r="68">
      <c r="A68" t="inlineStr">
        <is>
          <t>R1067</t>
        </is>
      </c>
      <c r="B68" t="inlineStr">
        <is>
          <t>Baker, Harold</t>
        </is>
      </c>
      <c r="C68" t="inlineStr">
        <is>
          <t>Bluestone, OH 45503</t>
        </is>
      </c>
      <c r="D68" s="27" t="n"/>
      <c r="E68" s="27" t="n"/>
    </row>
    <row r="69">
      <c r="A69" t="inlineStr">
        <is>
          <t>R1068</t>
        </is>
      </c>
      <c r="B69" t="inlineStr">
        <is>
          <t>Webb, Carol</t>
        </is>
      </c>
      <c r="C69" t="inlineStr">
        <is>
          <t>Millbrook, OH 45530</t>
        </is>
      </c>
      <c r="D69" s="27" t="n"/>
      <c r="E69" s="27" t="n"/>
    </row>
    <row r="70">
      <c r="A70" t="inlineStr">
        <is>
          <t>R1069</t>
        </is>
      </c>
      <c r="B70" t="inlineStr">
        <is>
          <t>Boyd, Kayla</t>
        </is>
      </c>
      <c r="C70" t="inlineStr">
        <is>
          <t>Bluestone, OH 45503-7785</t>
        </is>
      </c>
      <c r="D70" s="27" t="n"/>
      <c r="E70" s="27" t="n"/>
    </row>
    <row r="71">
      <c r="A71" t="inlineStr">
        <is>
          <t>R1070</t>
        </is>
      </c>
      <c r="B71" t="inlineStr">
        <is>
          <t>GRIFFIN, AARON</t>
        </is>
      </c>
      <c r="C71" t="inlineStr">
        <is>
          <t>Millbrook, OH 45530-1254</t>
        </is>
      </c>
      <c r="D71" s="27" t="n"/>
      <c r="E71" s="27" t="n"/>
    </row>
    <row r="72">
      <c r="A72" t="inlineStr">
        <is>
          <t>R1071</t>
        </is>
      </c>
      <c r="B72" t="inlineStr">
        <is>
          <t>Graham, Kelly</t>
        </is>
      </c>
      <c r="C72" t="inlineStr">
        <is>
          <t>Bluestone OH 45502</t>
        </is>
      </c>
      <c r="D72" s="27" t="n"/>
      <c r="E72" s="27" t="n"/>
    </row>
    <row r="73">
      <c r="A73" t="inlineStr">
        <is>
          <t>R1072</t>
        </is>
      </c>
      <c r="B73" t="inlineStr">
        <is>
          <t>Lawrence, James</t>
        </is>
      </c>
      <c r="C73" t="inlineStr">
        <is>
          <t>Fairhaven, OH 45620</t>
        </is>
      </c>
      <c r="D73" s="27" t="n"/>
      <c r="E73" s="27" t="n"/>
    </row>
    <row r="74">
      <c r="A74" t="inlineStr">
        <is>
          <t>R1073</t>
        </is>
      </c>
      <c r="B74" t="inlineStr">
        <is>
          <t>FORD, GLORIA</t>
        </is>
      </c>
      <c r="C74" t="inlineStr">
        <is>
          <t>Bluestone, OH 45501</t>
        </is>
      </c>
      <c r="D74" s="27" t="n"/>
      <c r="E74" s="27" t="n"/>
    </row>
    <row r="75">
      <c r="A75" t="inlineStr">
        <is>
          <t>R1074</t>
        </is>
      </c>
      <c r="B75" t="inlineStr">
        <is>
          <t>MORRIS, JOYCE</t>
        </is>
      </c>
      <c r="C75" t="inlineStr">
        <is>
          <t>BLUESTONE, OH 45501</t>
        </is>
      </c>
      <c r="D75" s="27" t="n"/>
      <c r="E75" s="27" t="n"/>
    </row>
    <row r="76">
      <c r="A76" t="inlineStr">
        <is>
          <t>R1075</t>
        </is>
      </c>
      <c r="B76" t="inlineStr">
        <is>
          <t xml:space="preserve">  Mills ,  Rebecca </t>
        </is>
      </c>
      <c r="C76" t="inlineStr">
        <is>
          <t>ASHBY FALLS, OH 45610</t>
        </is>
      </c>
      <c r="D76" s="27" t="n"/>
      <c r="E76" s="27" t="n"/>
    </row>
    <row r="77">
      <c r="A77" t="inlineStr">
        <is>
          <t>R1076</t>
        </is>
      </c>
      <c r="B77" t="inlineStr">
        <is>
          <t>carroll, lori</t>
        </is>
      </c>
      <c r="C77" t="inlineStr">
        <is>
          <t>Fairhaven OH 45620</t>
        </is>
      </c>
      <c r="D77" s="27" t="n"/>
      <c r="E77" s="27" t="n"/>
    </row>
    <row r="78">
      <c r="A78" t="inlineStr">
        <is>
          <t>R1077</t>
        </is>
      </c>
      <c r="B78" t="inlineStr">
        <is>
          <t>Cheryl Nichols</t>
        </is>
      </c>
      <c r="C78" t="inlineStr">
        <is>
          <t>Cedar Ridge OH 45720</t>
        </is>
      </c>
      <c r="D78" s="27" t="n"/>
      <c r="E78" s="27" t="n"/>
    </row>
    <row r="79">
      <c r="A79" t="inlineStr">
        <is>
          <t>R1078</t>
        </is>
      </c>
      <c r="B79" t="inlineStr">
        <is>
          <t>black, kyle</t>
        </is>
      </c>
      <c r="C79" t="inlineStr">
        <is>
          <t>Granite Springs, OH 45750-8153</t>
        </is>
      </c>
      <c r="D79" s="27" t="n"/>
      <c r="E79" s="27" t="n"/>
    </row>
    <row r="80">
      <c r="A80" t="inlineStr">
        <is>
          <t>R1079</t>
        </is>
      </c>
      <c r="B80" t="inlineStr">
        <is>
          <t>Joan Rogers</t>
        </is>
      </c>
      <c r="C80" t="inlineStr">
        <is>
          <t>Oak Glen OH 45730</t>
        </is>
      </c>
      <c r="D80" s="27" t="n"/>
      <c r="E80" s="27" t="n"/>
    </row>
    <row r="81">
      <c r="A81" t="inlineStr">
        <is>
          <t>R1080</t>
        </is>
      </c>
      <c r="B81" t="inlineStr">
        <is>
          <t xml:space="preserve">  Hall ,  Elizabeth </t>
        </is>
      </c>
      <c r="C81" t="inlineStr">
        <is>
          <t>Cedar Ridge, OH 45720</t>
        </is>
      </c>
      <c r="D81" s="27" t="n"/>
      <c r="E81" s="27" t="n"/>
    </row>
    <row r="82">
      <c r="A82" t="inlineStr">
        <is>
          <t>R1081</t>
        </is>
      </c>
      <c r="B82" t="inlineStr">
        <is>
          <t>hill, olivia</t>
        </is>
      </c>
      <c r="C82" t="inlineStr">
        <is>
          <t>Ashby Falls, OH 45610</t>
        </is>
      </c>
      <c r="D82" s="27" t="n"/>
      <c r="E82" s="27" t="n"/>
    </row>
    <row r="83">
      <c r="A83" t="inlineStr">
        <is>
          <t>R1082</t>
        </is>
      </c>
      <c r="B83" t="inlineStr">
        <is>
          <t>MILLS, JUDITH</t>
        </is>
      </c>
      <c r="C83" t="inlineStr">
        <is>
          <t>Cedar Ridge OH 45720</t>
        </is>
      </c>
      <c r="D83" s="27" t="n"/>
      <c r="E83" s="27" t="n"/>
    </row>
    <row r="84">
      <c r="A84" t="inlineStr">
        <is>
          <t>R1083</t>
        </is>
      </c>
      <c r="B84" t="inlineStr">
        <is>
          <t>Brian Duncan</t>
        </is>
      </c>
      <c r="C84" t="inlineStr">
        <is>
          <t>Bluestone, OH 45501-2072</t>
        </is>
      </c>
      <c r="D84" s="27" t="n"/>
      <c r="E84" s="27" t="n"/>
    </row>
    <row r="85">
      <c r="A85" t="inlineStr">
        <is>
          <t>R1084</t>
        </is>
      </c>
      <c r="B85" t="inlineStr">
        <is>
          <t>Alice Gordon</t>
        </is>
      </c>
      <c r="C85" t="inlineStr">
        <is>
          <t>Oak Glen, OH 45730</t>
        </is>
      </c>
      <c r="D85" s="27" t="n"/>
      <c r="E85" s="27" t="n"/>
    </row>
    <row r="86">
      <c r="A86" t="inlineStr">
        <is>
          <t>R1085</t>
        </is>
      </c>
      <c r="B86" t="inlineStr">
        <is>
          <t>guzman, scott</t>
        </is>
      </c>
      <c r="C86" t="inlineStr">
        <is>
          <t>Bluestone, OH 45503</t>
        </is>
      </c>
      <c r="D86" s="27" t="n"/>
      <c r="E86" s="27" t="n"/>
    </row>
    <row r="87">
      <c r="A87" t="inlineStr">
        <is>
          <t>R1086</t>
        </is>
      </c>
      <c r="B87" t="inlineStr">
        <is>
          <t>Hicks, Ruth</t>
        </is>
      </c>
      <c r="C87" t="inlineStr">
        <is>
          <t>Bluestone, OH 45501-3043</t>
        </is>
      </c>
      <c r="D87" s="27" t="n"/>
      <c r="E87" s="27" t="n"/>
    </row>
    <row r="88">
      <c r="A88" t="inlineStr">
        <is>
          <t>R1087</t>
        </is>
      </c>
      <c r="B88" t="inlineStr">
        <is>
          <t>myers, kenneth</t>
        </is>
      </c>
      <c r="C88" t="inlineStr">
        <is>
          <t>Ashby Falls, OH 45610</t>
        </is>
      </c>
      <c r="D88" s="27" t="n"/>
      <c r="E88" s="27" t="n"/>
    </row>
    <row r="89">
      <c r="A89" t="inlineStr">
        <is>
          <t>R1088</t>
        </is>
      </c>
      <c r="B89" t="inlineStr">
        <is>
          <t>wright, joe</t>
        </is>
      </c>
      <c r="C89" t="inlineStr">
        <is>
          <t>Lakeview Heights OH 45510</t>
        </is>
      </c>
      <c r="D89" s="27" t="n"/>
      <c r="E89" s="27" t="n"/>
    </row>
    <row r="90">
      <c r="A90" t="inlineStr">
        <is>
          <t>R1089</t>
        </is>
      </c>
      <c r="B90" t="inlineStr">
        <is>
          <t>Hill, Evelyn</t>
        </is>
      </c>
      <c r="C90" t="inlineStr">
        <is>
          <t>Cedar Ridge OH 45720</t>
        </is>
      </c>
      <c r="D90" s="27" t="n"/>
      <c r="E90" s="27" t="n"/>
    </row>
    <row r="91">
      <c r="A91" t="inlineStr">
        <is>
          <t>R1090</t>
        </is>
      </c>
      <c r="B91" t="inlineStr">
        <is>
          <t>CHEN, CHRISTINE</t>
        </is>
      </c>
      <c r="C91" t="inlineStr">
        <is>
          <t>PINE HOLLOW, OH 45640</t>
        </is>
      </c>
      <c r="D91" s="27" t="n"/>
      <c r="E91" s="27" t="n"/>
    </row>
    <row r="92">
      <c r="A92" t="inlineStr">
        <is>
          <t>R1091</t>
        </is>
      </c>
      <c r="B92" t="inlineStr">
        <is>
          <t>Nancy Garcia</t>
        </is>
      </c>
      <c r="C92" t="inlineStr">
        <is>
          <t>MILLBROOK, OH 45530</t>
        </is>
      </c>
      <c r="D92" s="27" t="n"/>
      <c r="E92" s="27" t="n"/>
    </row>
    <row r="93">
      <c r="A93" t="inlineStr">
        <is>
          <t>R1092</t>
        </is>
      </c>
      <c r="B93" t="inlineStr">
        <is>
          <t>Webb, Cynthia</t>
        </is>
      </c>
      <c r="C93" t="inlineStr">
        <is>
          <t>Granite Springs, OH 45750</t>
        </is>
      </c>
      <c r="D93" s="27" t="n"/>
      <c r="E93" s="27" t="n"/>
    </row>
    <row r="94">
      <c r="A94" t="inlineStr">
        <is>
          <t>R1093</t>
        </is>
      </c>
      <c r="B94" t="inlineStr">
        <is>
          <t>Kennedy, Larry</t>
        </is>
      </c>
      <c r="C94" t="inlineStr">
        <is>
          <t>Bluestone, OH 45501</t>
        </is>
      </c>
      <c r="D94" s="27" t="n"/>
      <c r="E94" s="27" t="n"/>
    </row>
    <row r="95">
      <c r="A95" t="inlineStr">
        <is>
          <t>R1094</t>
        </is>
      </c>
      <c r="B95" t="inlineStr">
        <is>
          <t xml:space="preserve">  Jenkins ,  Jordan </t>
        </is>
      </c>
      <c r="C95" t="inlineStr">
        <is>
          <t>Riverbend, OH 45545</t>
        </is>
      </c>
      <c r="D95" s="27" t="n"/>
      <c r="E95" s="27" t="n"/>
    </row>
    <row r="96">
      <c r="A96" t="inlineStr">
        <is>
          <t>R1095</t>
        </is>
      </c>
      <c r="B96" t="inlineStr">
        <is>
          <t>James Ward</t>
        </is>
      </c>
      <c r="C96" t="inlineStr">
        <is>
          <t>Pine Hollow, OH 45640</t>
        </is>
      </c>
      <c r="D96" s="27" t="n"/>
      <c r="E96" s="27" t="n"/>
    </row>
    <row r="97">
      <c r="A97" t="inlineStr">
        <is>
          <t>R1096</t>
        </is>
      </c>
      <c r="B97" t="inlineStr">
        <is>
          <t>Gary Butler</t>
        </is>
      </c>
      <c r="C97" t="inlineStr">
        <is>
          <t>Lakeview Heights, OH 45510</t>
        </is>
      </c>
      <c r="D97" s="27" t="n"/>
      <c r="E97" s="27" t="n"/>
    </row>
    <row r="98">
      <c r="A98" t="inlineStr">
        <is>
          <t>R1097</t>
        </is>
      </c>
      <c r="B98" t="inlineStr">
        <is>
          <t>Lewis, Justin</t>
        </is>
      </c>
      <c r="C98" t="inlineStr">
        <is>
          <t>Bluestone, OH 45501</t>
        </is>
      </c>
      <c r="D98" s="27" t="n"/>
      <c r="E98" s="27" t="n"/>
    </row>
    <row r="99">
      <c r="A99" t="inlineStr">
        <is>
          <t>R1098</t>
        </is>
      </c>
      <c r="B99" t="inlineStr">
        <is>
          <t>Stephens, Thomas</t>
        </is>
      </c>
      <c r="C99" t="inlineStr">
        <is>
          <t>Bluestone, OH 45501-7876</t>
        </is>
      </c>
      <c r="D99" s="27" t="n"/>
      <c r="E99" s="27" t="n"/>
    </row>
    <row r="100">
      <c r="A100" t="inlineStr">
        <is>
          <t>R1099</t>
        </is>
      </c>
      <c r="B100" t="inlineStr">
        <is>
          <t xml:space="preserve">  Pierce ,  Donald </t>
        </is>
      </c>
      <c r="C100" t="inlineStr">
        <is>
          <t>Bluestone, OH 45502</t>
        </is>
      </c>
      <c r="D100" s="27" t="n"/>
      <c r="E100" s="27" t="n"/>
    </row>
    <row r="101">
      <c r="A101" t="inlineStr">
        <is>
          <t>R1100</t>
        </is>
      </c>
      <c r="B101" t="inlineStr">
        <is>
          <t>WEBB, OLIVIA</t>
        </is>
      </c>
      <c r="C101" t="inlineStr">
        <is>
          <t>Lakeview Heights, OH 45510</t>
        </is>
      </c>
      <c r="D101" s="27" t="n"/>
      <c r="E101" s="27" t="n"/>
    </row>
    <row r="102">
      <c r="A102" t="inlineStr">
        <is>
          <t>R1101</t>
        </is>
      </c>
      <c r="B102" t="inlineStr">
        <is>
          <t>Kim, Bruce</t>
        </is>
      </c>
      <c r="C102" t="inlineStr">
        <is>
          <t>Cedar Ridge, OH 45720</t>
        </is>
      </c>
      <c r="D102" s="27" t="n"/>
      <c r="E102" s="27" t="n"/>
    </row>
    <row r="103">
      <c r="A103" t="inlineStr">
        <is>
          <t>R1102</t>
        </is>
      </c>
      <c r="B103" t="inlineStr">
        <is>
          <t>HART, LAUREN</t>
        </is>
      </c>
      <c r="C103" t="inlineStr">
        <is>
          <t>Oak Glen, OH 45730</t>
        </is>
      </c>
      <c r="D103" s="27" t="n"/>
      <c r="E103" s="27" t="n"/>
    </row>
    <row r="104">
      <c r="A104" t="inlineStr">
        <is>
          <t>R1103</t>
        </is>
      </c>
      <c r="B104" t="inlineStr">
        <is>
          <t>Shaw, Michael</t>
        </is>
      </c>
      <c r="C104" t="inlineStr">
        <is>
          <t>Ashby Falls, OH 45610</t>
        </is>
      </c>
      <c r="D104" s="27" t="n"/>
      <c r="E104" s="27" t="n"/>
    </row>
    <row r="105">
      <c r="A105" t="inlineStr">
        <is>
          <t>R1104</t>
        </is>
      </c>
      <c r="B105" t="inlineStr">
        <is>
          <t>LEWIS, STEPHEN</t>
        </is>
      </c>
      <c r="C105" t="inlineStr">
        <is>
          <t>Cedar Ridge OH 45720</t>
        </is>
      </c>
      <c r="D105" s="27" t="n"/>
      <c r="E105" s="27" t="n"/>
    </row>
    <row r="106">
      <c r="A106" t="inlineStr">
        <is>
          <t>R1105</t>
        </is>
      </c>
      <c r="B106" t="inlineStr">
        <is>
          <t>Brenda Richards</t>
        </is>
      </c>
      <c r="C106" t="inlineStr">
        <is>
          <t>Bluestone, OH 45503</t>
        </is>
      </c>
      <c r="D106" s="27" t="n"/>
      <c r="E106" s="27" t="n"/>
    </row>
    <row r="107">
      <c r="A107" t="inlineStr">
        <is>
          <t>R1106</t>
        </is>
      </c>
      <c r="B107" t="inlineStr">
        <is>
          <t>Evans, Megan</t>
        </is>
      </c>
      <c r="C107" t="inlineStr">
        <is>
          <t>Bluestone, OH 45502-6220</t>
        </is>
      </c>
      <c r="D107" s="27" t="n"/>
      <c r="E107" s="27" t="n"/>
    </row>
    <row r="108">
      <c r="A108" t="inlineStr">
        <is>
          <t>R1107</t>
        </is>
      </c>
      <c r="B108" t="inlineStr">
        <is>
          <t xml:space="preserve">  Lawrence ,  James </t>
        </is>
      </c>
      <c r="C108" t="inlineStr">
        <is>
          <t>Fairhaven OH 45620</t>
        </is>
      </c>
      <c r="D108" s="27" t="n"/>
      <c r="E108" s="27" t="n"/>
    </row>
    <row r="109">
      <c r="A109" t="inlineStr">
        <is>
          <t>R1108</t>
        </is>
      </c>
      <c r="B109" t="inlineStr">
        <is>
          <t>Cole, Ivan</t>
        </is>
      </c>
      <c r="C109" t="inlineStr">
        <is>
          <t>Bluestone, OH 45501</t>
        </is>
      </c>
      <c r="D109" s="27" t="n"/>
      <c r="E109" s="27" t="n"/>
    </row>
    <row r="110">
      <c r="A110" t="inlineStr">
        <is>
          <t>R1109</t>
        </is>
      </c>
      <c r="B110" t="inlineStr">
        <is>
          <t>Vargas, Alexis</t>
        </is>
      </c>
      <c r="C110" t="inlineStr">
        <is>
          <t>Lakeview Heights, OH 45510</t>
        </is>
      </c>
      <c r="D110" s="27" t="n"/>
      <c r="E110" s="27" t="n"/>
    </row>
    <row r="111">
      <c r="A111" t="inlineStr">
        <is>
          <t>R1110</t>
        </is>
      </c>
      <c r="B111" t="inlineStr">
        <is>
          <t>Berry, Larry</t>
        </is>
      </c>
      <c r="C111" t="inlineStr">
        <is>
          <t>Lakeview Heights, OH 45510</t>
        </is>
      </c>
      <c r="D111" s="27" t="n"/>
      <c r="E111" s="27" t="n"/>
    </row>
    <row r="112">
      <c r="A112" t="inlineStr">
        <is>
          <t>R1111</t>
        </is>
      </c>
      <c r="B112" t="inlineStr">
        <is>
          <t>Abdi, Jack</t>
        </is>
      </c>
      <c r="C112" t="inlineStr">
        <is>
          <t>Bluestone, OH 45502</t>
        </is>
      </c>
      <c r="D112" s="27" t="n"/>
      <c r="E112" s="27" t="n"/>
    </row>
    <row r="113">
      <c r="A113" t="inlineStr">
        <is>
          <t>R1112</t>
        </is>
      </c>
      <c r="B113" t="inlineStr">
        <is>
          <t>Reynolds, Isabella</t>
        </is>
      </c>
      <c r="C113" t="inlineStr">
        <is>
          <t>Granite Springs, OH 45750-6869</t>
        </is>
      </c>
      <c r="D113" s="27" t="n"/>
      <c r="E113" s="27" t="n"/>
    </row>
    <row r="114">
      <c r="A114" t="inlineStr">
        <is>
          <t>R1113</t>
        </is>
      </c>
      <c r="B114" t="inlineStr">
        <is>
          <t>REYES, GEORGE</t>
        </is>
      </c>
      <c r="C114" t="inlineStr">
        <is>
          <t>Bluestone OH 45502</t>
        </is>
      </c>
      <c r="D114" s="27" t="n"/>
      <c r="E114" s="27" t="n"/>
    </row>
    <row r="115">
      <c r="A115" t="inlineStr">
        <is>
          <t>R1114</t>
        </is>
      </c>
      <c r="B115" t="inlineStr">
        <is>
          <t>Garza, Brenda</t>
        </is>
      </c>
      <c r="C115" t="inlineStr">
        <is>
          <t>Millbrook, OH 45530</t>
        </is>
      </c>
      <c r="D115" s="27" t="n"/>
      <c r="E115" s="27" t="n"/>
    </row>
    <row r="116">
      <c r="A116" t="inlineStr">
        <is>
          <t>R1115</t>
        </is>
      </c>
      <c r="B116" t="inlineStr">
        <is>
          <t>Martinez, Julie</t>
        </is>
      </c>
      <c r="C116" t="inlineStr">
        <is>
          <t>ASHBY FALLS, OH 45610</t>
        </is>
      </c>
      <c r="D116" s="27" t="n"/>
      <c r="E116" s="27" t="n"/>
    </row>
    <row r="117">
      <c r="A117" t="inlineStr">
        <is>
          <t>R1116</t>
        </is>
      </c>
      <c r="B117" t="inlineStr">
        <is>
          <t>Rodriguez, Natalie</t>
        </is>
      </c>
      <c r="C117" t="inlineStr">
        <is>
          <t>Riverbend, OH 45545</t>
        </is>
      </c>
      <c r="D117" s="27" t="n"/>
      <c r="E117" s="27" t="n"/>
    </row>
    <row r="118">
      <c r="A118" t="inlineStr">
        <is>
          <t>R1117</t>
        </is>
      </c>
      <c r="B118" t="inlineStr">
        <is>
          <t>Petrov, Steven</t>
        </is>
      </c>
      <c r="C118" t="inlineStr">
        <is>
          <t>Fairhaven, OH 45620</t>
        </is>
      </c>
      <c r="D118" s="27" t="n"/>
      <c r="E118" s="27" t="n"/>
    </row>
    <row r="119">
      <c r="A119" t="inlineStr">
        <is>
          <t>R1118</t>
        </is>
      </c>
      <c r="B119" t="inlineStr">
        <is>
          <t xml:space="preserve">  Fisher ,  Jordan </t>
        </is>
      </c>
      <c r="C119" t="inlineStr">
        <is>
          <t>Millbrook OH 45530</t>
        </is>
      </c>
      <c r="D119" s="27" t="n"/>
      <c r="E119" s="27" t="n"/>
    </row>
    <row r="120">
      <c r="A120" t="inlineStr">
        <is>
          <t>R1119</t>
        </is>
      </c>
      <c r="B120" t="inlineStr">
        <is>
          <t>Romero, Ronald</t>
        </is>
      </c>
      <c r="C120" t="inlineStr">
        <is>
          <t>Fairhaven, OH 45620</t>
        </is>
      </c>
      <c r="D120" s="27" t="n"/>
      <c r="E120" s="27" t="n"/>
    </row>
    <row r="121">
      <c r="A121" t="inlineStr">
        <is>
          <t>R1120</t>
        </is>
      </c>
      <c r="B121" t="inlineStr">
        <is>
          <t>HAYES, ROGER</t>
        </is>
      </c>
      <c r="C121" t="inlineStr">
        <is>
          <t>Lakeview Heights OH 45510</t>
        </is>
      </c>
      <c r="D121" s="27" t="n"/>
      <c r="E121" s="27" t="n"/>
    </row>
    <row r="122">
      <c r="A122" t="inlineStr">
        <is>
          <t>R1121</t>
        </is>
      </c>
      <c r="B122" t="inlineStr">
        <is>
          <t>Okafor, Julie</t>
        </is>
      </c>
      <c r="C122" t="inlineStr">
        <is>
          <t>Bluestone, OH 45501-6520</t>
        </is>
      </c>
      <c r="D122" s="27" t="n"/>
      <c r="E122" s="27" t="n"/>
    </row>
    <row r="123">
      <c r="A123" t="inlineStr">
        <is>
          <t>R1122</t>
        </is>
      </c>
      <c r="B123" t="inlineStr">
        <is>
          <t>MENDEZ, AHMED</t>
        </is>
      </c>
      <c r="C123" t="inlineStr">
        <is>
          <t>Oak Glen, OH 45730</t>
        </is>
      </c>
      <c r="D123" s="27" t="n"/>
      <c r="E123" s="27" t="n"/>
    </row>
    <row r="124">
      <c r="A124" t="inlineStr">
        <is>
          <t>R1123</t>
        </is>
      </c>
      <c r="B124" t="inlineStr">
        <is>
          <t>Torres, Jason</t>
        </is>
      </c>
      <c r="C124" t="inlineStr">
        <is>
          <t>Cedar Ridge, OH 45720</t>
        </is>
      </c>
      <c r="D124" s="27" t="n"/>
      <c r="E124" s="27" t="n"/>
    </row>
    <row r="125">
      <c r="A125" t="inlineStr">
        <is>
          <t>R1124</t>
        </is>
      </c>
      <c r="B125" t="inlineStr">
        <is>
          <t>KIM, RONALD</t>
        </is>
      </c>
      <c r="C125" t="inlineStr">
        <is>
          <t>Bluestone OH 45503</t>
        </is>
      </c>
      <c r="D125" s="27" t="n"/>
      <c r="E125" s="27" t="n"/>
    </row>
    <row r="126">
      <c r="A126" t="inlineStr">
        <is>
          <t>R1125</t>
        </is>
      </c>
      <c r="B126" t="inlineStr">
        <is>
          <t>HICKS, LIAM</t>
        </is>
      </c>
      <c r="C126" t="inlineStr">
        <is>
          <t>Bluestone, OH 45502</t>
        </is>
      </c>
      <c r="D126" s="27" t="n"/>
      <c r="E126" s="27" t="n"/>
    </row>
    <row r="127">
      <c r="A127" t="inlineStr">
        <is>
          <t>R1126</t>
        </is>
      </c>
      <c r="B127" t="inlineStr">
        <is>
          <t>Barnes, Alice</t>
        </is>
      </c>
      <c r="C127" t="inlineStr">
        <is>
          <t>Ashby Falls, OH 45610</t>
        </is>
      </c>
      <c r="D127" s="27" t="n"/>
      <c r="E127" s="27" t="n"/>
    </row>
    <row r="128">
      <c r="A128" t="inlineStr">
        <is>
          <t>R1127</t>
        </is>
      </c>
      <c r="B128" t="inlineStr">
        <is>
          <t>Camila Abbott</t>
        </is>
      </c>
      <c r="C128" t="inlineStr">
        <is>
          <t>Bluestone, OH 45501</t>
        </is>
      </c>
      <c r="D128" s="27" t="n"/>
      <c r="E128" s="27" t="n"/>
    </row>
    <row r="129">
      <c r="A129" t="inlineStr">
        <is>
          <t>R1128</t>
        </is>
      </c>
      <c r="B129" t="inlineStr">
        <is>
          <t>Martin, Ruth</t>
        </is>
      </c>
      <c r="C129" t="inlineStr">
        <is>
          <t>Pine Hollow, OH 45640</t>
        </is>
      </c>
      <c r="D129" s="27" t="n"/>
      <c r="E129" s="27" t="n"/>
    </row>
    <row r="130">
      <c r="A130" t="inlineStr">
        <is>
          <t>R1129</t>
        </is>
      </c>
      <c r="B130" t="inlineStr">
        <is>
          <t>Gomez, Kenneth</t>
        </is>
      </c>
      <c r="C130" t="inlineStr">
        <is>
          <t>Bluestone, OH 45502</t>
        </is>
      </c>
      <c r="D130" s="27" t="n"/>
      <c r="E130" s="27" t="n"/>
    </row>
    <row r="131">
      <c r="A131" t="inlineStr">
        <is>
          <t>R1130</t>
        </is>
      </c>
      <c r="B131" t="inlineStr">
        <is>
          <t>FERNANDEZ, OLIVIA</t>
        </is>
      </c>
      <c r="C131" t="inlineStr">
        <is>
          <t>Bluestone, OH 45501</t>
        </is>
      </c>
      <c r="D131" s="27" t="n"/>
      <c r="E131" s="27" t="n"/>
    </row>
    <row r="132">
      <c r="A132" t="inlineStr">
        <is>
          <t>R1131</t>
        </is>
      </c>
      <c r="B132" t="inlineStr">
        <is>
          <t>PALMER, JEREMY</t>
        </is>
      </c>
      <c r="C132" t="inlineStr">
        <is>
          <t>BLUESTONE, OH 45502</t>
        </is>
      </c>
      <c r="D132" s="27" t="n"/>
      <c r="E132" s="27" t="n"/>
    </row>
    <row r="133">
      <c r="A133" t="inlineStr">
        <is>
          <t>R1132</t>
        </is>
      </c>
      <c r="B133" t="inlineStr">
        <is>
          <t>O'BRIEN, GERALD</t>
        </is>
      </c>
      <c r="C133" t="inlineStr">
        <is>
          <t>Ashby Falls, OH 45610</t>
        </is>
      </c>
      <c r="D133" s="27" t="n"/>
      <c r="E133" s="27" t="n"/>
    </row>
    <row r="134">
      <c r="A134" t="inlineStr">
        <is>
          <t>R1133</t>
        </is>
      </c>
      <c r="B134" t="inlineStr">
        <is>
          <t>Cruz, Sarah</t>
        </is>
      </c>
      <c r="C134" t="inlineStr">
        <is>
          <t>Bluestone, OH 45503-7960</t>
        </is>
      </c>
      <c r="D134" s="27" t="n"/>
      <c r="E134" s="27" t="n"/>
    </row>
    <row r="135">
      <c r="A135" t="inlineStr">
        <is>
          <t>R1134</t>
        </is>
      </c>
      <c r="B135" t="inlineStr">
        <is>
          <t>Simpson, Charlotte</t>
        </is>
      </c>
      <c r="C135" t="inlineStr">
        <is>
          <t>Ashby Falls OH 45610</t>
        </is>
      </c>
      <c r="D135" s="27" t="n"/>
      <c r="E135" s="27" t="n"/>
    </row>
    <row r="136">
      <c r="A136" t="inlineStr">
        <is>
          <t>R1135</t>
        </is>
      </c>
      <c r="B136" t="inlineStr">
        <is>
          <t>Ryan, Betty</t>
        </is>
      </c>
      <c r="C136" t="inlineStr">
        <is>
          <t>Oak Glen, OH 45730</t>
        </is>
      </c>
      <c r="D136" s="27" t="n"/>
      <c r="E136" s="27" t="n"/>
    </row>
    <row r="137">
      <c r="A137" t="inlineStr">
        <is>
          <t>R1136</t>
        </is>
      </c>
      <c r="B137" t="inlineStr">
        <is>
          <t>Marshall, Gloria</t>
        </is>
      </c>
      <c r="C137" t="inlineStr">
        <is>
          <t>Bluestone OH 45502</t>
        </is>
      </c>
      <c r="D137" s="27" t="n"/>
      <c r="E137" s="27" t="n"/>
    </row>
    <row r="138">
      <c r="A138" t="inlineStr">
        <is>
          <t>R1137</t>
        </is>
      </c>
      <c r="B138" t="inlineStr">
        <is>
          <t>Susan Warren</t>
        </is>
      </c>
      <c r="C138" t="inlineStr">
        <is>
          <t>Oak Glen, OH 45730-6968</t>
        </is>
      </c>
      <c r="D138" s="27" t="n"/>
      <c r="E138" s="27" t="n"/>
    </row>
    <row r="139">
      <c r="A139" t="inlineStr">
        <is>
          <t>R1138</t>
        </is>
      </c>
      <c r="B139" t="inlineStr">
        <is>
          <t>okafor, elizabeth</t>
        </is>
      </c>
      <c r="C139" t="inlineStr">
        <is>
          <t>LAKEVIEW HEIGHTS, OH 45510</t>
        </is>
      </c>
      <c r="D139" s="27" t="n"/>
      <c r="E139" s="27" t="n"/>
    </row>
    <row r="140">
      <c r="A140" t="inlineStr">
        <is>
          <t>R1139</t>
        </is>
      </c>
      <c r="B140" t="inlineStr">
        <is>
          <t>Moore, Vincent</t>
        </is>
      </c>
      <c r="C140" t="inlineStr">
        <is>
          <t>Millbrook, OH 45530</t>
        </is>
      </c>
      <c r="D140" s="27" t="n"/>
      <c r="E140" s="27" t="n"/>
    </row>
    <row r="141">
      <c r="A141" t="inlineStr">
        <is>
          <t>R1140</t>
        </is>
      </c>
      <c r="B141" t="inlineStr">
        <is>
          <t>Myers, Deborah</t>
        </is>
      </c>
      <c r="C141" t="inlineStr">
        <is>
          <t>Bluestone OH 45502</t>
        </is>
      </c>
      <c r="D141" s="27" t="n"/>
      <c r="E141" s="27" t="n"/>
    </row>
    <row r="142">
      <c r="A142" t="inlineStr">
        <is>
          <t>R1141</t>
        </is>
      </c>
      <c r="B142" t="inlineStr">
        <is>
          <t>Myers, Mei</t>
        </is>
      </c>
      <c r="C142" t="inlineStr">
        <is>
          <t>GRANITE SPRINGS, OH 45750</t>
        </is>
      </c>
      <c r="D142" s="27" t="n"/>
      <c r="E142" s="27" t="n"/>
    </row>
    <row r="143">
      <c r="A143" t="inlineStr">
        <is>
          <t>R1142</t>
        </is>
      </c>
      <c r="B143" t="inlineStr">
        <is>
          <t>Cox, Anthony</t>
        </is>
      </c>
      <c r="C143" t="inlineStr">
        <is>
          <t>Bluestone, OH 45502</t>
        </is>
      </c>
      <c r="D143" s="27" t="n"/>
      <c r="E143" s="27" t="n"/>
    </row>
    <row r="144">
      <c r="A144" t="inlineStr">
        <is>
          <t>R1143</t>
        </is>
      </c>
      <c r="B144" t="inlineStr">
        <is>
          <t xml:space="preserve">  Yilmaz ,  Hannah </t>
        </is>
      </c>
      <c r="C144" t="inlineStr">
        <is>
          <t>BLUESTONE, OH 45502</t>
        </is>
      </c>
      <c r="D144" s="27" t="n"/>
      <c r="E144" s="27" t="n"/>
    </row>
    <row r="145">
      <c r="A145" t="inlineStr">
        <is>
          <t>R1144</t>
        </is>
      </c>
      <c r="B145" t="inlineStr">
        <is>
          <t>gonzalez, frank</t>
        </is>
      </c>
      <c r="C145" t="inlineStr">
        <is>
          <t>BLUESTONE, OH 45501</t>
        </is>
      </c>
      <c r="D145" s="27" t="n"/>
      <c r="E145" s="27" t="n"/>
    </row>
    <row r="146">
      <c r="A146" t="inlineStr">
        <is>
          <t>R1145</t>
        </is>
      </c>
      <c r="B146" t="inlineStr">
        <is>
          <t>Jason Armstrong</t>
        </is>
      </c>
      <c r="C146" t="inlineStr">
        <is>
          <t>Ashby Falls OH 45610</t>
        </is>
      </c>
      <c r="D146" s="27" t="n"/>
      <c r="E146" s="27" t="n"/>
    </row>
    <row r="147">
      <c r="A147" t="inlineStr">
        <is>
          <t>R1146</t>
        </is>
      </c>
      <c r="B147" t="inlineStr">
        <is>
          <t>Young, Carl</t>
        </is>
      </c>
      <c r="C147" t="inlineStr">
        <is>
          <t>BLUESTONE, OH 45503</t>
        </is>
      </c>
      <c r="D147" s="27" t="n"/>
      <c r="E147" s="27" t="n"/>
    </row>
    <row r="148">
      <c r="A148" t="inlineStr">
        <is>
          <t>R1147</t>
        </is>
      </c>
      <c r="B148" t="inlineStr">
        <is>
          <t xml:space="preserve">  Sanders ,  Gabriel </t>
        </is>
      </c>
      <c r="C148" t="inlineStr">
        <is>
          <t>Bluestone OH 45501</t>
        </is>
      </c>
      <c r="D148" s="27" t="n"/>
      <c r="E148" s="27" t="n"/>
    </row>
    <row r="149">
      <c r="A149" t="inlineStr">
        <is>
          <t>R1148</t>
        </is>
      </c>
      <c r="B149" t="inlineStr">
        <is>
          <t>KELLY, PAUL</t>
        </is>
      </c>
      <c r="C149" t="inlineStr">
        <is>
          <t>Pine Hollow, OH 45640-6806</t>
        </is>
      </c>
      <c r="D149" s="27" t="n"/>
      <c r="E149" s="27" t="n"/>
    </row>
    <row r="150">
      <c r="A150" t="inlineStr">
        <is>
          <t>R1149</t>
        </is>
      </c>
      <c r="B150" t="inlineStr">
        <is>
          <t>BAILEY, SARA</t>
        </is>
      </c>
      <c r="C150" t="inlineStr">
        <is>
          <t>Granite Springs, OH 45750</t>
        </is>
      </c>
      <c r="D150" s="27" t="n"/>
      <c r="E150" s="27" t="n"/>
    </row>
    <row r="151">
      <c r="A151" t="inlineStr">
        <is>
          <t>R1150</t>
        </is>
      </c>
      <c r="B151" t="inlineStr">
        <is>
          <t>KIM, ISABELLA</t>
        </is>
      </c>
      <c r="C151" t="inlineStr">
        <is>
          <t>Bluestone OH 45501</t>
        </is>
      </c>
      <c r="D151" s="27" t="n"/>
      <c r="E151" s="27" t="n"/>
    </row>
    <row r="152">
      <c r="A152" t="inlineStr">
        <is>
          <t>R1151</t>
        </is>
      </c>
      <c r="B152" t="inlineStr">
        <is>
          <t>Rodriguez, Walter</t>
        </is>
      </c>
      <c r="C152" t="inlineStr">
        <is>
          <t>CEDAR RIDGE, OH 45720</t>
        </is>
      </c>
      <c r="D152" s="27" t="n"/>
      <c r="E152" s="27" t="n"/>
    </row>
    <row r="153">
      <c r="A153" t="inlineStr">
        <is>
          <t>R1152</t>
        </is>
      </c>
      <c r="B153" t="inlineStr">
        <is>
          <t>James White</t>
        </is>
      </c>
      <c r="C153" t="inlineStr">
        <is>
          <t>Bluestone, OH 45503</t>
        </is>
      </c>
      <c r="D153" s="27" t="n"/>
      <c r="E153" s="27" t="n"/>
    </row>
    <row r="154">
      <c r="A154" t="inlineStr">
        <is>
          <t>R1153</t>
        </is>
      </c>
      <c r="B154" t="inlineStr">
        <is>
          <t>Gonzalez, Hannah</t>
        </is>
      </c>
      <c r="C154" t="inlineStr">
        <is>
          <t>Cedar Ridge, OH 45720</t>
        </is>
      </c>
      <c r="D154" s="27" t="n"/>
      <c r="E154" s="27" t="n"/>
    </row>
    <row r="155">
      <c r="A155" t="inlineStr">
        <is>
          <t>R1154</t>
        </is>
      </c>
      <c r="B155" t="inlineStr">
        <is>
          <t>Kelley, Kimberly</t>
        </is>
      </c>
      <c r="C155" t="inlineStr">
        <is>
          <t>Bluestone, OH 45501</t>
        </is>
      </c>
      <c r="D155" s="27" t="n"/>
      <c r="E155" s="27" t="n"/>
    </row>
    <row r="156">
      <c r="A156" t="inlineStr">
        <is>
          <t>R1155</t>
        </is>
      </c>
      <c r="B156" t="inlineStr">
        <is>
          <t>WILLIAMS, SANDRA</t>
        </is>
      </c>
      <c r="C156" t="inlineStr">
        <is>
          <t>Bluestone, OH 45501</t>
        </is>
      </c>
      <c r="D156" s="27" t="n"/>
      <c r="E156" s="27" t="n"/>
    </row>
    <row r="157">
      <c r="A157" t="inlineStr">
        <is>
          <t>R1156</t>
        </is>
      </c>
      <c r="B157" t="inlineStr">
        <is>
          <t>Ford, Steven</t>
        </is>
      </c>
      <c r="C157" t="inlineStr">
        <is>
          <t>Bluestone, OH 45501</t>
        </is>
      </c>
      <c r="D157" s="27" t="n"/>
      <c r="E157" s="27" t="n"/>
    </row>
    <row r="158">
      <c r="A158" t="inlineStr">
        <is>
          <t>R1157</t>
        </is>
      </c>
      <c r="B158" t="inlineStr">
        <is>
          <t>Daniels, Mei</t>
        </is>
      </c>
      <c r="C158" t="inlineStr">
        <is>
          <t>Ashby Falls, OH 45610</t>
        </is>
      </c>
      <c r="D158" s="27" t="n"/>
      <c r="E158" s="27" t="n"/>
    </row>
    <row r="159">
      <c r="A159" t="inlineStr">
        <is>
          <t>R1158</t>
        </is>
      </c>
      <c r="B159" t="inlineStr">
        <is>
          <t>Herrera, Rachel</t>
        </is>
      </c>
      <c r="C159" t="inlineStr">
        <is>
          <t>Oak Glen, OH 45730</t>
        </is>
      </c>
      <c r="D159" s="27" t="n"/>
      <c r="E159" s="27" t="n"/>
    </row>
    <row r="160">
      <c r="A160" t="inlineStr">
        <is>
          <t>R1159</t>
        </is>
      </c>
      <c r="B160" t="inlineStr">
        <is>
          <t>Russell Edwards</t>
        </is>
      </c>
      <c r="C160" t="inlineStr">
        <is>
          <t>Bluestone, OH 45503-6066</t>
        </is>
      </c>
      <c r="D160" s="27" t="n"/>
      <c r="E160" s="27" t="n"/>
    </row>
    <row r="161">
      <c r="A161" t="inlineStr">
        <is>
          <t>R1160</t>
        </is>
      </c>
      <c r="B161" t="inlineStr">
        <is>
          <t>Tucker, Rebecca</t>
        </is>
      </c>
      <c r="C161" t="inlineStr">
        <is>
          <t>Bluestone, OH 45503</t>
        </is>
      </c>
      <c r="D161" s="27" t="n"/>
      <c r="E161" s="27" t="n"/>
    </row>
    <row r="162">
      <c r="A162" t="inlineStr">
        <is>
          <t>R1161</t>
        </is>
      </c>
      <c r="B162" t="inlineStr">
        <is>
          <t>Edwards, Catherine</t>
        </is>
      </c>
      <c r="C162" t="inlineStr">
        <is>
          <t>Bluestone, OH 45503-1618</t>
        </is>
      </c>
      <c r="D162" s="27" t="n"/>
      <c r="E162" s="27" t="n"/>
    </row>
    <row r="163">
      <c r="A163" t="inlineStr">
        <is>
          <t>R1162</t>
        </is>
      </c>
      <c r="B163" t="inlineStr">
        <is>
          <t>Guzman, Donna</t>
        </is>
      </c>
      <c r="C163" t="inlineStr">
        <is>
          <t>Bluestone, OH 45501</t>
        </is>
      </c>
      <c r="D163" s="27" t="n"/>
      <c r="E163" s="27" t="n"/>
    </row>
    <row r="164">
      <c r="A164" t="inlineStr">
        <is>
          <t>R1163</t>
        </is>
      </c>
      <c r="B164" t="inlineStr">
        <is>
          <t>Hill, Frank</t>
        </is>
      </c>
      <c r="C164" t="inlineStr">
        <is>
          <t>Cedar Ridge, OH 45720</t>
        </is>
      </c>
      <c r="D164" s="27" t="n"/>
      <c r="E164" s="27" t="n"/>
    </row>
    <row r="165">
      <c r="A165" t="inlineStr">
        <is>
          <t>R1164</t>
        </is>
      </c>
      <c r="B165" t="inlineStr">
        <is>
          <t>MILLER, DAVID</t>
        </is>
      </c>
      <c r="C165" t="inlineStr">
        <is>
          <t>Oak Glen, OH 45730</t>
        </is>
      </c>
      <c r="D165" s="27" t="n"/>
      <c r="E165" s="27" t="n"/>
    </row>
    <row r="166">
      <c r="A166" t="inlineStr">
        <is>
          <t>R1165</t>
        </is>
      </c>
      <c r="B166" t="inlineStr">
        <is>
          <t>Cruz, Isabella</t>
        </is>
      </c>
      <c r="C166" t="inlineStr">
        <is>
          <t>RIVERBEND, OH 45545</t>
        </is>
      </c>
      <c r="D166" s="27" t="n"/>
      <c r="E166" s="27" t="n"/>
    </row>
    <row r="167">
      <c r="A167" t="inlineStr">
        <is>
          <t>R1166</t>
        </is>
      </c>
      <c r="B167" t="inlineStr">
        <is>
          <t>Novak, Larry</t>
        </is>
      </c>
      <c r="C167" t="inlineStr">
        <is>
          <t>Cedar Ridge, OH 45720-1280</t>
        </is>
      </c>
      <c r="D167" s="27" t="n"/>
      <c r="E167" s="27" t="n"/>
    </row>
    <row r="168">
      <c r="A168" t="inlineStr">
        <is>
          <t>R1167</t>
        </is>
      </c>
      <c r="B168" t="inlineStr">
        <is>
          <t>Amy Gardner</t>
        </is>
      </c>
      <c r="C168" t="inlineStr">
        <is>
          <t>Lakeview Heights, OH 45510-2939</t>
        </is>
      </c>
      <c r="D168" s="27" t="n"/>
      <c r="E168" s="27" t="n"/>
    </row>
    <row r="169">
      <c r="A169" t="inlineStr">
        <is>
          <t>R1168</t>
        </is>
      </c>
      <c r="B169" t="inlineStr">
        <is>
          <t>CRUZ, BENJAMIN</t>
        </is>
      </c>
      <c r="C169" t="inlineStr">
        <is>
          <t>Bluestone OH 45501</t>
        </is>
      </c>
      <c r="D169" s="27" t="n"/>
      <c r="E169" s="27" t="n"/>
    </row>
    <row r="170">
      <c r="A170" t="inlineStr">
        <is>
          <t>R1169</t>
        </is>
      </c>
      <c r="B170" t="inlineStr">
        <is>
          <t>Hernandez, Mia</t>
        </is>
      </c>
      <c r="C170" t="inlineStr">
        <is>
          <t>Bluestone OH 45502</t>
        </is>
      </c>
      <c r="D170" s="27" t="n"/>
      <c r="E170" s="27" t="n"/>
    </row>
    <row r="171">
      <c r="A171" t="inlineStr">
        <is>
          <t>R1170</t>
        </is>
      </c>
      <c r="B171" t="inlineStr">
        <is>
          <t>Jerry Holmes</t>
        </is>
      </c>
      <c r="C171" t="inlineStr">
        <is>
          <t>Fairhaven, OH 45620-5704</t>
        </is>
      </c>
      <c r="D171" s="27" t="n"/>
      <c r="E171" s="27" t="n"/>
    </row>
    <row r="172">
      <c r="A172" t="inlineStr">
        <is>
          <t>R1171</t>
        </is>
      </c>
      <c r="B172" t="inlineStr">
        <is>
          <t>TAYLOR, EMILY</t>
        </is>
      </c>
      <c r="C172" t="inlineStr">
        <is>
          <t>Fairhaven, OH 45620</t>
        </is>
      </c>
      <c r="D172" s="27" t="n"/>
      <c r="E172" s="27" t="n"/>
    </row>
    <row r="173">
      <c r="A173" t="inlineStr">
        <is>
          <t>R1172</t>
        </is>
      </c>
      <c r="B173" t="inlineStr">
        <is>
          <t>GRANT, CAROL</t>
        </is>
      </c>
      <c r="C173" t="inlineStr">
        <is>
          <t>BLUESTONE, OH 45501</t>
        </is>
      </c>
      <c r="D173" s="27" t="n"/>
      <c r="E173" s="27" t="n"/>
    </row>
    <row r="174">
      <c r="A174" t="inlineStr">
        <is>
          <t>R1173</t>
        </is>
      </c>
      <c r="B174" t="inlineStr">
        <is>
          <t>Jimenez, Marie</t>
        </is>
      </c>
      <c r="C174" t="inlineStr">
        <is>
          <t>PINE HOLLOW, OH 45640</t>
        </is>
      </c>
      <c r="D174" s="27" t="n"/>
      <c r="E174" s="27" t="n"/>
    </row>
    <row r="175">
      <c r="A175" t="inlineStr">
        <is>
          <t>R1174</t>
        </is>
      </c>
      <c r="B175" t="inlineStr">
        <is>
          <t>Brittany Wood</t>
        </is>
      </c>
      <c r="C175" t="inlineStr">
        <is>
          <t>Bluestone, OH 45503-6953</t>
        </is>
      </c>
      <c r="D175" s="27" t="n"/>
      <c r="E175" s="27" t="n"/>
    </row>
    <row r="176">
      <c r="A176" t="inlineStr">
        <is>
          <t>R1175</t>
        </is>
      </c>
      <c r="B176" t="inlineStr">
        <is>
          <t>HAMILTON, VIRGINIA</t>
        </is>
      </c>
      <c r="C176" t="inlineStr">
        <is>
          <t>Cedar Ridge, OH 45720</t>
        </is>
      </c>
      <c r="D176" s="27" t="n"/>
      <c r="E176" s="27" t="n"/>
    </row>
    <row r="177">
      <c r="A177" t="inlineStr">
        <is>
          <t>R1176</t>
        </is>
      </c>
      <c r="B177" t="inlineStr">
        <is>
          <t>REYES, PAUL</t>
        </is>
      </c>
      <c r="C177" t="inlineStr">
        <is>
          <t>ASHBY FALLS, OH 45610</t>
        </is>
      </c>
      <c r="D177" s="27" t="n"/>
      <c r="E177" s="27" t="n"/>
    </row>
    <row r="178">
      <c r="A178" t="inlineStr">
        <is>
          <t>R1177</t>
        </is>
      </c>
      <c r="B178" t="inlineStr">
        <is>
          <t xml:space="preserve">  Ramos ,  Albert </t>
        </is>
      </c>
      <c r="C178" t="inlineStr">
        <is>
          <t>Bluestone, OH 45503</t>
        </is>
      </c>
      <c r="D178" s="27" t="n"/>
      <c r="E178" s="27" t="n"/>
    </row>
    <row r="179">
      <c r="A179" t="inlineStr">
        <is>
          <t>R1178</t>
        </is>
      </c>
      <c r="B179" t="inlineStr">
        <is>
          <t>THOMPSON, LAURA</t>
        </is>
      </c>
      <c r="C179" t="inlineStr">
        <is>
          <t>Bluestone, OH 45501</t>
        </is>
      </c>
      <c r="D179" s="27" t="n"/>
      <c r="E179" s="27" t="n"/>
    </row>
    <row r="180">
      <c r="A180" t="inlineStr">
        <is>
          <t>R1179</t>
        </is>
      </c>
      <c r="B180" t="inlineStr">
        <is>
          <t>John Fisher</t>
        </is>
      </c>
      <c r="C180" t="inlineStr">
        <is>
          <t>Lakeview Heights, OH 45510</t>
        </is>
      </c>
      <c r="D180" s="27" t="n"/>
      <c r="E180" s="27" t="n"/>
    </row>
    <row r="181">
      <c r="A181" t="inlineStr">
        <is>
          <t>R1180</t>
        </is>
      </c>
      <c r="B181" t="inlineStr">
        <is>
          <t>Sullivan, Carlos</t>
        </is>
      </c>
      <c r="C181" t="inlineStr">
        <is>
          <t>BLUESTONE, OH 45502</t>
        </is>
      </c>
      <c r="D181" s="27" t="n"/>
      <c r="E181" s="27" t="n"/>
    </row>
    <row r="182">
      <c r="A182" t="inlineStr">
        <is>
          <t>R1181</t>
        </is>
      </c>
      <c r="B182" t="inlineStr">
        <is>
          <t>William Barnes</t>
        </is>
      </c>
      <c r="C182" t="inlineStr">
        <is>
          <t>Bluestone, OH 45503-5772</t>
        </is>
      </c>
      <c r="D182" s="27" t="n"/>
      <c r="E182" s="27" t="n"/>
    </row>
    <row r="183">
      <c r="A183" t="inlineStr">
        <is>
          <t>R1182</t>
        </is>
      </c>
      <c r="B183" t="inlineStr">
        <is>
          <t>Rivera, Rachel</t>
        </is>
      </c>
      <c r="C183" t="inlineStr">
        <is>
          <t>Pine Hollow, OH 45640</t>
        </is>
      </c>
      <c r="D183" s="27" t="n"/>
      <c r="E183" s="27" t="n"/>
    </row>
    <row r="184">
      <c r="A184" t="inlineStr">
        <is>
          <t>R1183</t>
        </is>
      </c>
      <c r="B184" t="inlineStr">
        <is>
          <t>Willis, Tyler</t>
        </is>
      </c>
      <c r="C184" t="inlineStr">
        <is>
          <t>Bluestone, OH 45503</t>
        </is>
      </c>
      <c r="D184" s="27" t="n"/>
      <c r="E184" s="27" t="n"/>
    </row>
    <row r="185">
      <c r="A185" t="inlineStr">
        <is>
          <t>R1184</t>
        </is>
      </c>
      <c r="B185" t="inlineStr">
        <is>
          <t>Silva, Kimberly</t>
        </is>
      </c>
      <c r="C185" t="inlineStr">
        <is>
          <t>Cedar Ridge, OH 45720-3025</t>
        </is>
      </c>
      <c r="D185" s="27" t="n"/>
      <c r="E185" s="27" t="n"/>
    </row>
    <row r="186">
      <c r="A186" t="inlineStr">
        <is>
          <t>R1185</t>
        </is>
      </c>
      <c r="B186" t="inlineStr">
        <is>
          <t>Lewis, Evelyn</t>
        </is>
      </c>
      <c r="C186" t="inlineStr">
        <is>
          <t>Bluestone, OH 45503-4320</t>
        </is>
      </c>
      <c r="D186" s="27" t="n"/>
      <c r="E186" s="27" t="n"/>
    </row>
    <row r="187">
      <c r="A187" t="inlineStr">
        <is>
          <t>R1186</t>
        </is>
      </c>
      <c r="B187" t="inlineStr">
        <is>
          <t>Gordon, Alice</t>
        </is>
      </c>
      <c r="C187" t="inlineStr">
        <is>
          <t>Oak Glen, OH 45730</t>
        </is>
      </c>
      <c r="D187" s="27" t="n"/>
      <c r="E187" s="27" t="n"/>
    </row>
    <row r="188">
      <c r="A188" t="inlineStr">
        <is>
          <t>R1187</t>
        </is>
      </c>
      <c r="B188" t="inlineStr">
        <is>
          <t>HARRISON, JERRY</t>
        </is>
      </c>
      <c r="C188" t="inlineStr">
        <is>
          <t>Bluestone, OH 45501</t>
        </is>
      </c>
      <c r="D188" s="27" t="n"/>
      <c r="E188" s="27" t="n"/>
    </row>
    <row r="189">
      <c r="A189" t="inlineStr">
        <is>
          <t>R1188</t>
        </is>
      </c>
      <c r="B189" t="inlineStr">
        <is>
          <t>Joan Vasquez</t>
        </is>
      </c>
      <c r="C189" t="inlineStr">
        <is>
          <t>Granite Springs, OH 45750</t>
        </is>
      </c>
      <c r="D189" s="27" t="n"/>
      <c r="E189" s="27" t="n"/>
    </row>
    <row r="190">
      <c r="A190" t="inlineStr">
        <is>
          <t>R1189</t>
        </is>
      </c>
      <c r="B190" t="inlineStr">
        <is>
          <t>Bennett, Lori</t>
        </is>
      </c>
      <c r="C190" t="inlineStr">
        <is>
          <t>Bluestone, OH 45502</t>
        </is>
      </c>
      <c r="D190" s="27" t="n"/>
      <c r="E190" s="27" t="n"/>
    </row>
    <row r="191">
      <c r="A191" t="inlineStr">
        <is>
          <t>R1190</t>
        </is>
      </c>
      <c r="B191" t="inlineStr">
        <is>
          <t>GRANT, LEILA</t>
        </is>
      </c>
      <c r="C191" t="inlineStr">
        <is>
          <t>Bluestone, OH 45501</t>
        </is>
      </c>
      <c r="D191" s="27" t="n"/>
      <c r="E191" s="27" t="n"/>
    </row>
    <row r="192">
      <c r="A192" t="inlineStr">
        <is>
          <t>R1191</t>
        </is>
      </c>
      <c r="B192" t="inlineStr">
        <is>
          <t>Grace Andrews</t>
        </is>
      </c>
      <c r="C192" t="inlineStr">
        <is>
          <t>Bluestone OH 45501</t>
        </is>
      </c>
      <c r="D192" s="27" t="n"/>
      <c r="E192" s="27" t="n"/>
    </row>
    <row r="193">
      <c r="A193" t="inlineStr">
        <is>
          <t>R1192</t>
        </is>
      </c>
      <c r="B193" t="inlineStr">
        <is>
          <t xml:space="preserve">  Porter ,  Wei </t>
        </is>
      </c>
      <c r="C193" t="inlineStr">
        <is>
          <t>Cedar Ridge, OH 45720</t>
        </is>
      </c>
      <c r="D193" s="27" t="n"/>
      <c r="E193" s="27" t="n"/>
    </row>
    <row r="194">
      <c r="A194" t="inlineStr">
        <is>
          <t>R1193</t>
        </is>
      </c>
      <c r="B194" t="inlineStr">
        <is>
          <t>Chen, Betty</t>
        </is>
      </c>
      <c r="C194" t="inlineStr">
        <is>
          <t>Pine Hollow, OH 45640</t>
        </is>
      </c>
      <c r="D194" s="27" t="n"/>
      <c r="E194" s="27" t="n"/>
    </row>
    <row r="195">
      <c r="A195" t="inlineStr">
        <is>
          <t>R1194</t>
        </is>
      </c>
      <c r="B195" t="inlineStr">
        <is>
          <t>Charles Stone</t>
        </is>
      </c>
      <c r="C195" t="inlineStr">
        <is>
          <t>BLUESTONE, OH 45501</t>
        </is>
      </c>
      <c r="D195" s="27" t="n"/>
      <c r="E195" s="27" t="n"/>
    </row>
    <row r="196">
      <c r="A196" t="inlineStr">
        <is>
          <t>R1195</t>
        </is>
      </c>
      <c r="B196" t="inlineStr">
        <is>
          <t>ramos, sarah</t>
        </is>
      </c>
      <c r="C196" t="inlineStr">
        <is>
          <t>Bluestone OH 45501</t>
        </is>
      </c>
      <c r="D196" s="27" t="n"/>
      <c r="E196" s="27" t="n"/>
    </row>
    <row r="197">
      <c r="A197" t="inlineStr">
        <is>
          <t>R1196</t>
        </is>
      </c>
      <c r="B197" t="inlineStr">
        <is>
          <t>Hill, Wayne</t>
        </is>
      </c>
      <c r="C197" t="inlineStr">
        <is>
          <t>Riverbend OH 45545</t>
        </is>
      </c>
      <c r="D197" s="27" t="n"/>
      <c r="E197" s="27" t="n"/>
    </row>
    <row r="198">
      <c r="A198" t="inlineStr">
        <is>
          <t>R1197</t>
        </is>
      </c>
      <c r="B198" t="inlineStr">
        <is>
          <t>HILL, FRANK</t>
        </is>
      </c>
      <c r="C198" t="inlineStr">
        <is>
          <t>Cedar Ridge, OH 45720</t>
        </is>
      </c>
      <c r="D198" s="27" t="n"/>
      <c r="E198" s="27" t="n"/>
    </row>
    <row r="199">
      <c r="A199" t="inlineStr">
        <is>
          <t>R1198</t>
        </is>
      </c>
      <c r="B199" t="inlineStr">
        <is>
          <t>gomez, walter</t>
        </is>
      </c>
      <c r="C199" t="inlineStr">
        <is>
          <t>ASHBY FALLS, OH 45610</t>
        </is>
      </c>
      <c r="D199" s="27" t="n"/>
      <c r="E199" s="27" t="n"/>
    </row>
    <row r="200">
      <c r="A200" t="inlineStr">
        <is>
          <t>R1199</t>
        </is>
      </c>
      <c r="B200" t="inlineStr">
        <is>
          <t>ELLIOTT, JUAN</t>
        </is>
      </c>
      <c r="C200" t="inlineStr">
        <is>
          <t>Bluestone, OH 45501</t>
        </is>
      </c>
      <c r="D200" s="27" t="n"/>
      <c r="E200" s="27" t="n"/>
    </row>
    <row r="201">
      <c r="A201" t="inlineStr">
        <is>
          <t>R1200</t>
        </is>
      </c>
      <c r="B201" t="inlineStr">
        <is>
          <t xml:space="preserve">  McDonald ,  Mark </t>
        </is>
      </c>
      <c r="C201" t="inlineStr">
        <is>
          <t>Ashby Falls, OH 45610-5591</t>
        </is>
      </c>
      <c r="D201" s="27" t="n"/>
      <c r="E201" s="27" t="n"/>
    </row>
    <row r="202">
      <c r="A202" t="inlineStr">
        <is>
          <t>R1201</t>
        </is>
      </c>
      <c r="B202" t="inlineStr">
        <is>
          <t>Ramos, Denise</t>
        </is>
      </c>
      <c r="C202" t="inlineStr">
        <is>
          <t>Pine Hollow OH 45640</t>
        </is>
      </c>
      <c r="D202" s="27" t="n"/>
      <c r="E202" s="27" t="n"/>
    </row>
    <row r="203">
      <c r="A203" t="inlineStr">
        <is>
          <t>R1202</t>
        </is>
      </c>
      <c r="B203" t="inlineStr">
        <is>
          <t xml:space="preserve">  Harris ,  Ana </t>
        </is>
      </c>
      <c r="C203" t="inlineStr">
        <is>
          <t>Bluestone OH 45501</t>
        </is>
      </c>
      <c r="D203" s="27" t="n"/>
      <c r="E203" s="27" t="n"/>
    </row>
    <row r="204">
      <c r="A204" t="inlineStr">
        <is>
          <t>R1203</t>
        </is>
      </c>
      <c r="B204" t="inlineStr">
        <is>
          <t>carroll, charles</t>
        </is>
      </c>
      <c r="C204" t="inlineStr">
        <is>
          <t>Riverbend OH 45545</t>
        </is>
      </c>
      <c r="D204" s="27" t="n"/>
      <c r="E204" s="27" t="n"/>
    </row>
    <row r="205">
      <c r="A205" t="inlineStr">
        <is>
          <t>R1204</t>
        </is>
      </c>
      <c r="B205" t="inlineStr">
        <is>
          <t>Stone, Pamela</t>
        </is>
      </c>
      <c r="C205" t="inlineStr">
        <is>
          <t>Lakeview Heights, OH 45510-2432</t>
        </is>
      </c>
      <c r="D205" s="27" t="n"/>
      <c r="E205" s="27" t="n"/>
    </row>
    <row r="206">
      <c r="A206" t="inlineStr">
        <is>
          <t>R1205</t>
        </is>
      </c>
      <c r="B206" t="inlineStr">
        <is>
          <t>Garza, Henry</t>
        </is>
      </c>
      <c r="C206" t="inlineStr">
        <is>
          <t>Bluestone, OH 45501-7783</t>
        </is>
      </c>
      <c r="D206" s="27" t="n"/>
      <c r="E206" s="27" t="n"/>
    </row>
    <row r="207">
      <c r="A207" t="inlineStr">
        <is>
          <t>R1206</t>
        </is>
      </c>
      <c r="B207" t="inlineStr">
        <is>
          <t>Payne, Amina</t>
        </is>
      </c>
      <c r="C207" t="inlineStr">
        <is>
          <t>Oak Glen OH 45730</t>
        </is>
      </c>
      <c r="D207" s="27" t="n"/>
      <c r="E207" s="27" t="n"/>
    </row>
    <row r="208">
      <c r="A208" t="inlineStr">
        <is>
          <t>R1207</t>
        </is>
      </c>
      <c r="B208" t="inlineStr">
        <is>
          <t>Bailey, Zachary</t>
        </is>
      </c>
      <c r="C208" t="inlineStr">
        <is>
          <t>Ashby Falls, OH 45610</t>
        </is>
      </c>
      <c r="D208" s="27" t="n"/>
      <c r="E208" s="27" t="n"/>
    </row>
    <row r="209">
      <c r="A209" t="inlineStr">
        <is>
          <t>R1208</t>
        </is>
      </c>
      <c r="B209" t="inlineStr">
        <is>
          <t>Laura Bailey</t>
        </is>
      </c>
      <c r="C209" t="inlineStr">
        <is>
          <t>RIVERBEND, OH 45545</t>
        </is>
      </c>
      <c r="D209" s="27" t="n"/>
      <c r="E209" s="27" t="n"/>
    </row>
    <row r="210">
      <c r="A210" t="inlineStr">
        <is>
          <t>R1209</t>
        </is>
      </c>
      <c r="B210" t="inlineStr">
        <is>
          <t>Gutierrez, Harper</t>
        </is>
      </c>
      <c r="C210" t="inlineStr">
        <is>
          <t>Bluestone, OH 45501</t>
        </is>
      </c>
      <c r="D210" s="27" t="n"/>
      <c r="E210" s="27" t="n"/>
    </row>
    <row r="211">
      <c r="A211" t="inlineStr">
        <is>
          <t>R1210</t>
        </is>
      </c>
      <c r="B211" t="inlineStr">
        <is>
          <t>TUCKER, TIMOTHY</t>
        </is>
      </c>
      <c r="C211" t="inlineStr">
        <is>
          <t>Bluestone, OH 45501</t>
        </is>
      </c>
      <c r="D211" s="27" t="n"/>
      <c r="E211" s="27" t="n"/>
    </row>
    <row r="212">
      <c r="A212" t="inlineStr">
        <is>
          <t>R1211</t>
        </is>
      </c>
      <c r="B212" t="inlineStr">
        <is>
          <t>Jimenez, Victoria</t>
        </is>
      </c>
      <c r="C212" t="inlineStr">
        <is>
          <t>Bluestone, OH 45502-3496</t>
        </is>
      </c>
      <c r="D212" s="27" t="n"/>
      <c r="E212" s="27" t="n"/>
    </row>
    <row r="213">
      <c r="A213" t="inlineStr">
        <is>
          <t>R1212</t>
        </is>
      </c>
      <c r="B213" t="inlineStr">
        <is>
          <t>Arnold, Alice</t>
        </is>
      </c>
      <c r="C213" t="inlineStr">
        <is>
          <t>BLUESTONE, OH 45502</t>
        </is>
      </c>
      <c r="D213" s="27" t="n"/>
      <c r="E213" s="27" t="n"/>
    </row>
    <row r="214">
      <c r="A214" t="inlineStr">
        <is>
          <t>R1213</t>
        </is>
      </c>
      <c r="B214" t="inlineStr">
        <is>
          <t>Rogers, Natalie</t>
        </is>
      </c>
      <c r="C214" t="inlineStr">
        <is>
          <t>Granite Springs, OH 45750</t>
        </is>
      </c>
      <c r="D214" s="27" t="n"/>
      <c r="E214" s="27" t="n"/>
    </row>
    <row r="215">
      <c r="A215" t="inlineStr">
        <is>
          <t>R1214</t>
        </is>
      </c>
      <c r="B215" t="inlineStr">
        <is>
          <t>BAILEY, HELEN</t>
        </is>
      </c>
      <c r="C215" t="inlineStr">
        <is>
          <t>Bluestone, OH 45503</t>
        </is>
      </c>
      <c r="D215" s="27" t="n"/>
      <c r="E215" s="27" t="n"/>
    </row>
    <row r="216">
      <c r="A216" t="inlineStr">
        <is>
          <t>R1215</t>
        </is>
      </c>
      <c r="B216" t="inlineStr">
        <is>
          <t>Kennedy, Ashley</t>
        </is>
      </c>
      <c r="C216" t="inlineStr">
        <is>
          <t>Bluestone, OH 45501-4147</t>
        </is>
      </c>
      <c r="D216" s="27" t="n"/>
      <c r="E216" s="27" t="n"/>
    </row>
    <row r="217">
      <c r="A217" t="inlineStr">
        <is>
          <t>R1216</t>
        </is>
      </c>
      <c r="B217" t="inlineStr">
        <is>
          <t>Long, Alice</t>
        </is>
      </c>
      <c r="C217" t="inlineStr">
        <is>
          <t>Riverbend, OH 45545-2266</t>
        </is>
      </c>
      <c r="D217" s="27" t="n"/>
      <c r="E217" s="27" t="n"/>
    </row>
    <row r="218">
      <c r="A218" t="inlineStr">
        <is>
          <t>R1217</t>
        </is>
      </c>
      <c r="B218" t="inlineStr">
        <is>
          <t>Mason Contreras</t>
        </is>
      </c>
      <c r="C218" t="inlineStr">
        <is>
          <t>ASHBY FALLS, OH 45610</t>
        </is>
      </c>
      <c r="D218" s="27" t="n"/>
      <c r="E218" s="27" t="n"/>
    </row>
    <row r="219">
      <c r="A219" t="inlineStr">
        <is>
          <t>R1218</t>
        </is>
      </c>
      <c r="B219" t="inlineStr">
        <is>
          <t>Gomez, Elizabeth</t>
        </is>
      </c>
      <c r="C219" t="inlineStr">
        <is>
          <t>Millbrook, OH 45530</t>
        </is>
      </c>
      <c r="D219" s="27" t="n"/>
      <c r="E219" s="27" t="n"/>
    </row>
    <row r="220">
      <c r="A220" t="inlineStr">
        <is>
          <t>R1219</t>
        </is>
      </c>
      <c r="B220" t="inlineStr">
        <is>
          <t>WATSON, DIEGO</t>
        </is>
      </c>
      <c r="C220" t="inlineStr">
        <is>
          <t>Bluestone OH 45501</t>
        </is>
      </c>
      <c r="D220" s="27" t="n"/>
      <c r="E220" s="27" t="n"/>
    </row>
    <row r="221">
      <c r="A221" t="inlineStr">
        <is>
          <t>R1220</t>
        </is>
      </c>
      <c r="B221" t="inlineStr">
        <is>
          <t>Noah Kowalski</t>
        </is>
      </c>
      <c r="C221" t="inlineStr">
        <is>
          <t>Cedar Ridge, OH 45720</t>
        </is>
      </c>
      <c r="D221" s="27" t="n"/>
      <c r="E221" s="27" t="n"/>
    </row>
    <row r="222">
      <c r="A222" t="inlineStr">
        <is>
          <t>R1221</t>
        </is>
      </c>
      <c r="B222" t="inlineStr">
        <is>
          <t>TUCKER, SOPHIA</t>
        </is>
      </c>
      <c r="C222" t="inlineStr">
        <is>
          <t>Bluestone, OH 45502</t>
        </is>
      </c>
      <c r="D222" s="27" t="n"/>
      <c r="E222" s="27" t="n"/>
    </row>
    <row r="223">
      <c r="A223" t="inlineStr">
        <is>
          <t>R1222</t>
        </is>
      </c>
      <c r="B223" t="inlineStr">
        <is>
          <t>Kelly, Paul</t>
        </is>
      </c>
      <c r="C223" t="inlineStr">
        <is>
          <t>Pine Hollow, OH 45640</t>
        </is>
      </c>
      <c r="D223" s="27" t="n"/>
      <c r="E223" s="27" t="n"/>
    </row>
    <row r="224">
      <c r="A224" t="inlineStr">
        <is>
          <t>R1223</t>
        </is>
      </c>
      <c r="B224" t="inlineStr">
        <is>
          <t>Soto, Diego</t>
        </is>
      </c>
      <c r="C224" t="inlineStr">
        <is>
          <t>Bluestone, OH 45501</t>
        </is>
      </c>
      <c r="D224" s="27" t="n"/>
      <c r="E224" s="27" t="n"/>
    </row>
    <row r="225">
      <c r="A225" t="inlineStr">
        <is>
          <t>R1224</t>
        </is>
      </c>
      <c r="B225" t="inlineStr">
        <is>
          <t>MENDOZA, BARBARA</t>
        </is>
      </c>
      <c r="C225" t="inlineStr">
        <is>
          <t>Pine Hollow OH 45640</t>
        </is>
      </c>
      <c r="D225" s="27" t="n"/>
      <c r="E225" s="27" t="n"/>
    </row>
    <row r="226">
      <c r="A226" t="inlineStr">
        <is>
          <t>R1225</t>
        </is>
      </c>
      <c r="B226" t="inlineStr">
        <is>
          <t>Tran, Carl</t>
        </is>
      </c>
      <c r="C226" t="inlineStr">
        <is>
          <t>Bluestone, OH 45502</t>
        </is>
      </c>
      <c r="D226" s="27" t="n"/>
      <c r="E226" s="27" t="n"/>
    </row>
    <row r="227">
      <c r="A227" t="inlineStr">
        <is>
          <t>R1226</t>
        </is>
      </c>
      <c r="B227" t="inlineStr">
        <is>
          <t>Daniels, Amanda</t>
        </is>
      </c>
      <c r="C227" t="inlineStr">
        <is>
          <t>Bluestone OH 45502</t>
        </is>
      </c>
      <c r="D227" s="27" t="n"/>
      <c r="E227" s="27" t="n"/>
    </row>
    <row r="228">
      <c r="A228" t="inlineStr">
        <is>
          <t>R1227</t>
        </is>
      </c>
      <c r="B228" t="inlineStr">
        <is>
          <t>Brittany Stevens</t>
        </is>
      </c>
      <c r="C228" t="inlineStr">
        <is>
          <t>Bluestone, OH 45502</t>
        </is>
      </c>
      <c r="D228" s="27" t="n"/>
      <c r="E228" s="27" t="n"/>
    </row>
    <row r="229">
      <c r="A229" t="inlineStr">
        <is>
          <t>R1228</t>
        </is>
      </c>
      <c r="B229" t="inlineStr">
        <is>
          <t>Watson, Bryan</t>
        </is>
      </c>
      <c r="C229" t="inlineStr">
        <is>
          <t>Ashby Falls OH 45610</t>
        </is>
      </c>
      <c r="D229" s="27" t="n"/>
      <c r="E229" s="27" t="n"/>
    </row>
    <row r="230">
      <c r="A230" t="inlineStr">
        <is>
          <t>R1229</t>
        </is>
      </c>
      <c r="B230" t="inlineStr">
        <is>
          <t xml:space="preserve">  Owens ,  Mark </t>
        </is>
      </c>
      <c r="C230" t="inlineStr">
        <is>
          <t>Lakeview Heights, OH 45510</t>
        </is>
      </c>
      <c r="D230" s="27" t="n"/>
      <c r="E230" s="27" t="n"/>
    </row>
    <row r="231">
      <c r="A231" t="inlineStr">
        <is>
          <t>R1230</t>
        </is>
      </c>
      <c r="B231" t="inlineStr">
        <is>
          <t xml:space="preserve">  Stone ,  Amber </t>
        </is>
      </c>
      <c r="C231" t="inlineStr">
        <is>
          <t>Bluestone, OH 45501</t>
        </is>
      </c>
      <c r="D231" s="27" t="n"/>
      <c r="E231" s="27" t="n"/>
    </row>
    <row r="232">
      <c r="A232" t="inlineStr">
        <is>
          <t>R1231</t>
        </is>
      </c>
      <c r="B232" t="inlineStr">
        <is>
          <t xml:space="preserve">  Kennedy ,  Mateo </t>
        </is>
      </c>
      <c r="C232" t="inlineStr">
        <is>
          <t>Bluestone, OH 45502</t>
        </is>
      </c>
      <c r="D232" s="27" t="n"/>
      <c r="E232" s="27" t="n"/>
    </row>
    <row r="233">
      <c r="A233" t="inlineStr">
        <is>
          <t>R1232</t>
        </is>
      </c>
      <c r="B233" t="inlineStr">
        <is>
          <t>RAMOS, BILLY</t>
        </is>
      </c>
      <c r="C233" t="inlineStr">
        <is>
          <t>Bluestone, OH 45502</t>
        </is>
      </c>
      <c r="D233" s="27" t="n"/>
      <c r="E233" s="27" t="n"/>
    </row>
    <row r="234">
      <c r="A234" t="inlineStr">
        <is>
          <t>R1233</t>
        </is>
      </c>
      <c r="B234" t="inlineStr">
        <is>
          <t>rice, jennifer</t>
        </is>
      </c>
      <c r="C234" t="inlineStr">
        <is>
          <t>Lakeview Heights, OH 45510</t>
        </is>
      </c>
      <c r="D234" s="27" t="n"/>
      <c r="E234" s="27" t="n"/>
    </row>
    <row r="235">
      <c r="A235" t="inlineStr">
        <is>
          <t>R1234</t>
        </is>
      </c>
      <c r="B235" t="inlineStr">
        <is>
          <t xml:space="preserve">  Torres ,  Dorothy </t>
        </is>
      </c>
      <c r="C235" t="inlineStr">
        <is>
          <t>Bluestone, OH 45503</t>
        </is>
      </c>
      <c r="D235" s="27" t="n"/>
      <c r="E235" s="27" t="n"/>
    </row>
    <row r="236">
      <c r="A236" t="inlineStr">
        <is>
          <t>R1235</t>
        </is>
      </c>
      <c r="B236" t="inlineStr">
        <is>
          <t>Bell, Amina</t>
        </is>
      </c>
      <c r="C236" t="inlineStr">
        <is>
          <t>Bluestone, OH 45503-6022</t>
        </is>
      </c>
      <c r="D236" s="27" t="n"/>
      <c r="E236" s="27" t="n"/>
    </row>
    <row r="237">
      <c r="A237" t="inlineStr">
        <is>
          <t>R1236</t>
        </is>
      </c>
      <c r="B237" t="inlineStr">
        <is>
          <t>PATTERSON, SHIRLEY</t>
        </is>
      </c>
      <c r="C237" t="inlineStr">
        <is>
          <t>Fairhaven, OH 45620</t>
        </is>
      </c>
      <c r="D237" s="27" t="n"/>
      <c r="E237" s="27" t="n"/>
    </row>
    <row r="238">
      <c r="A238" t="inlineStr">
        <is>
          <t>R1237</t>
        </is>
      </c>
      <c r="B238" t="inlineStr">
        <is>
          <t xml:space="preserve">  Bailey ,  Ethan </t>
        </is>
      </c>
      <c r="C238" t="inlineStr">
        <is>
          <t>LAKEVIEW HEIGHTS, OH 45510</t>
        </is>
      </c>
      <c r="D238" s="27" t="n"/>
      <c r="E238" s="27" t="n"/>
    </row>
    <row r="239">
      <c r="A239" t="inlineStr">
        <is>
          <t>R1238</t>
        </is>
      </c>
      <c r="B239" t="inlineStr">
        <is>
          <t>Hill, Debra</t>
        </is>
      </c>
      <c r="C239" t="inlineStr">
        <is>
          <t>Bluestone, OH 45502</t>
        </is>
      </c>
      <c r="D239" s="27" t="n"/>
      <c r="E239" s="27" t="n"/>
    </row>
    <row r="240">
      <c r="A240" t="inlineStr">
        <is>
          <t>R1239</t>
        </is>
      </c>
      <c r="B240" t="inlineStr">
        <is>
          <t>Gregory Washington</t>
        </is>
      </c>
      <c r="C240" t="inlineStr">
        <is>
          <t>Bluestone OH 45501</t>
        </is>
      </c>
      <c r="D240" s="27" t="n"/>
      <c r="E240" s="27" t="n"/>
    </row>
    <row r="241">
      <c r="A241" t="inlineStr">
        <is>
          <t>R1240</t>
        </is>
      </c>
      <c r="B241" t="inlineStr">
        <is>
          <t>Alvarez, Andrew</t>
        </is>
      </c>
      <c r="C241" t="inlineStr">
        <is>
          <t>Millbrook, OH 45530</t>
        </is>
      </c>
      <c r="D241" s="27" t="n"/>
      <c r="E241" s="27" t="n"/>
    </row>
    <row r="242">
      <c r="A242" t="inlineStr">
        <is>
          <t>R1241</t>
        </is>
      </c>
      <c r="B242" t="inlineStr">
        <is>
          <t>BERRY, MARIE</t>
        </is>
      </c>
      <c r="C242" t="inlineStr">
        <is>
          <t>BLUESTONE, OH 45501</t>
        </is>
      </c>
      <c r="D242" s="27" t="n"/>
      <c r="E242" s="27" t="n"/>
    </row>
    <row r="243">
      <c r="A243" t="inlineStr">
        <is>
          <t>R1242</t>
        </is>
      </c>
      <c r="B243" t="inlineStr">
        <is>
          <t>DELGADO, KIMBERLY</t>
        </is>
      </c>
      <c r="C243" t="inlineStr">
        <is>
          <t>BLUESTONE, OH 45501</t>
        </is>
      </c>
      <c r="D243" s="27" t="n"/>
      <c r="E243" s="27" t="n"/>
    </row>
    <row r="244">
      <c r="A244" t="inlineStr">
        <is>
          <t>R1243</t>
        </is>
      </c>
      <c r="B244" t="inlineStr">
        <is>
          <t>Tran, Carl</t>
        </is>
      </c>
      <c r="C244" t="inlineStr">
        <is>
          <t>Bluestone, OH 45502</t>
        </is>
      </c>
      <c r="D244" s="27" t="n"/>
      <c r="E244" s="27" t="n"/>
    </row>
    <row r="245">
      <c r="A245" t="inlineStr">
        <is>
          <t>R1244</t>
        </is>
      </c>
      <c r="B245" t="inlineStr">
        <is>
          <t>cruz, paul</t>
        </is>
      </c>
      <c r="C245" t="inlineStr">
        <is>
          <t>Riverbend, OH 45545</t>
        </is>
      </c>
      <c r="D245" s="27" t="n"/>
      <c r="E245" s="27" t="n"/>
    </row>
    <row r="246">
      <c r="A246" t="inlineStr">
        <is>
          <t>R1245</t>
        </is>
      </c>
      <c r="B246" t="inlineStr">
        <is>
          <t>Martin, Katherine</t>
        </is>
      </c>
      <c r="C246" t="inlineStr">
        <is>
          <t>BLUESTONE, OH 45502</t>
        </is>
      </c>
      <c r="D246" s="27" t="n"/>
      <c r="E246" s="27" t="n"/>
    </row>
    <row r="247">
      <c r="A247" t="inlineStr">
        <is>
          <t>R1246</t>
        </is>
      </c>
      <c r="B247" t="inlineStr">
        <is>
          <t>cox, stephen</t>
        </is>
      </c>
      <c r="C247" t="inlineStr">
        <is>
          <t>Millbrook, OH 45530</t>
        </is>
      </c>
      <c r="D247" s="27" t="n"/>
      <c r="E247" s="27" t="n"/>
    </row>
    <row r="248">
      <c r="A248" t="inlineStr">
        <is>
          <t>R1247</t>
        </is>
      </c>
      <c r="B248" t="inlineStr">
        <is>
          <t>Meyer, Scott</t>
        </is>
      </c>
      <c r="C248" t="inlineStr">
        <is>
          <t>Lakeview Heights, OH 45510</t>
        </is>
      </c>
      <c r="D248" s="27" t="n"/>
      <c r="E248" s="27" t="n"/>
    </row>
    <row r="249">
      <c r="A249" t="inlineStr">
        <is>
          <t>R1248</t>
        </is>
      </c>
      <c r="B249" t="inlineStr">
        <is>
          <t>Baker, Gerald</t>
        </is>
      </c>
      <c r="C249" t="inlineStr">
        <is>
          <t>Bluestone OH 45501</t>
        </is>
      </c>
      <c r="D249" s="27" t="n"/>
      <c r="E249" s="27" t="n"/>
    </row>
    <row r="250">
      <c r="A250" t="inlineStr">
        <is>
          <t>R1249</t>
        </is>
      </c>
      <c r="B250" t="inlineStr">
        <is>
          <t>Williams, Adam</t>
        </is>
      </c>
      <c r="C250" t="inlineStr">
        <is>
          <t>Bluestone, OH 45503</t>
        </is>
      </c>
      <c r="D250" s="27" t="n"/>
      <c r="E250" s="27" t="n"/>
    </row>
    <row r="251">
      <c r="A251" t="inlineStr">
        <is>
          <t>R1250</t>
        </is>
      </c>
      <c r="B251" t="inlineStr">
        <is>
          <t>guzman, scott</t>
        </is>
      </c>
      <c r="C251" t="inlineStr">
        <is>
          <t>Bluestone, OH 45503</t>
        </is>
      </c>
      <c r="D251" s="27" t="n"/>
      <c r="E251" s="27" t="n"/>
    </row>
    <row r="252">
      <c r="A252" t="inlineStr">
        <is>
          <t>R1251</t>
        </is>
      </c>
      <c r="B252" t="inlineStr">
        <is>
          <t>Douglas Santos</t>
        </is>
      </c>
      <c r="C252" t="inlineStr">
        <is>
          <t>Bluestone, OH 45502-3490</t>
        </is>
      </c>
      <c r="D252" s="27" t="n"/>
      <c r="E252" s="27" t="n"/>
    </row>
    <row r="253">
      <c r="A253" t="inlineStr">
        <is>
          <t>R1252</t>
        </is>
      </c>
      <c r="B253" t="inlineStr">
        <is>
          <t>lindqvist, stephen</t>
        </is>
      </c>
      <c r="C253" t="inlineStr">
        <is>
          <t>Bluestone, OH 45502</t>
        </is>
      </c>
      <c r="D253" s="27" t="n"/>
      <c r="E253" s="27" t="n"/>
    </row>
    <row r="254">
      <c r="A254" t="inlineStr">
        <is>
          <t>R1253</t>
        </is>
      </c>
      <c r="B254" t="inlineStr">
        <is>
          <t>Ray, Diego</t>
        </is>
      </c>
      <c r="C254" t="inlineStr">
        <is>
          <t>Oak Glen OH 45730</t>
        </is>
      </c>
      <c r="D254" s="27" t="n"/>
      <c r="E254" s="27" t="n"/>
    </row>
    <row r="255">
      <c r="A255" t="inlineStr">
        <is>
          <t>R1254</t>
        </is>
      </c>
      <c r="B255" t="inlineStr">
        <is>
          <t>Woods, Rebecca</t>
        </is>
      </c>
      <c r="C255" t="inlineStr">
        <is>
          <t>Fairhaven OH 45620</t>
        </is>
      </c>
      <c r="D255" s="27" t="n"/>
      <c r="E255" s="27" t="n"/>
    </row>
    <row r="256">
      <c r="A256" t="inlineStr">
        <is>
          <t>R1255</t>
        </is>
      </c>
      <c r="B256" t="inlineStr">
        <is>
          <t xml:space="preserve">  Fisher ,  Elijah </t>
        </is>
      </c>
      <c r="C256" t="inlineStr">
        <is>
          <t>Bluestone, OH 45503</t>
        </is>
      </c>
      <c r="D256" s="27" t="n"/>
      <c r="E256" s="27" t="n"/>
    </row>
    <row r="257">
      <c r="A257" t="inlineStr">
        <is>
          <t>R1256</t>
        </is>
      </c>
      <c r="B257" t="inlineStr">
        <is>
          <t xml:space="preserve">  Ramos ,  Mark </t>
        </is>
      </c>
      <c r="C257" t="inlineStr">
        <is>
          <t>Bluestone, OH 45501</t>
        </is>
      </c>
      <c r="D257" s="27" t="n"/>
      <c r="E257" s="27" t="n"/>
    </row>
    <row r="258">
      <c r="A258" t="inlineStr">
        <is>
          <t>R1257</t>
        </is>
      </c>
      <c r="B258" t="inlineStr">
        <is>
          <t xml:space="preserve">  Allen ,  Lucia </t>
        </is>
      </c>
      <c r="C258" t="inlineStr">
        <is>
          <t>Bluestone OH 45501</t>
        </is>
      </c>
      <c r="D258" s="27" t="n"/>
      <c r="E258" s="27" t="n"/>
    </row>
    <row r="259">
      <c r="A259" t="inlineStr">
        <is>
          <t>R1258</t>
        </is>
      </c>
      <c r="B259" t="inlineStr">
        <is>
          <t>MATTHEWS, JEREMY</t>
        </is>
      </c>
      <c r="C259" t="inlineStr">
        <is>
          <t>BLUESTONE, OH 45501</t>
        </is>
      </c>
      <c r="D259" s="27" t="n"/>
      <c r="E259" s="27" t="n"/>
    </row>
    <row r="260">
      <c r="A260" t="inlineStr">
        <is>
          <t>R1259</t>
        </is>
      </c>
      <c r="B260" t="inlineStr">
        <is>
          <t>Clark, Lori</t>
        </is>
      </c>
      <c r="C260" t="inlineStr">
        <is>
          <t>Riverbend, OH 45545</t>
        </is>
      </c>
      <c r="D260" s="27" t="n"/>
      <c r="E260" s="27" t="n"/>
    </row>
    <row r="261">
      <c r="A261" t="inlineStr">
        <is>
          <t>R1260</t>
        </is>
      </c>
      <c r="B261" t="inlineStr">
        <is>
          <t>Christine Tucker</t>
        </is>
      </c>
      <c r="C261" t="inlineStr">
        <is>
          <t>Ashby Falls, OH 45610-7516</t>
        </is>
      </c>
      <c r="D261" s="27" t="n"/>
      <c r="E261" s="27" t="n"/>
    </row>
    <row r="262">
      <c r="A262" t="inlineStr">
        <is>
          <t>R1261</t>
        </is>
      </c>
      <c r="B262" t="inlineStr">
        <is>
          <t>Wallace, Lori</t>
        </is>
      </c>
      <c r="C262" t="inlineStr">
        <is>
          <t>Bluestone, OH 45501</t>
        </is>
      </c>
      <c r="D262" s="27" t="n"/>
      <c r="E262" s="27" t="n"/>
    </row>
    <row r="263">
      <c r="A263" t="inlineStr">
        <is>
          <t>R1262</t>
        </is>
      </c>
      <c r="B263" t="inlineStr">
        <is>
          <t>Robinson, Gary</t>
        </is>
      </c>
      <c r="C263" t="inlineStr">
        <is>
          <t>Oak Glen, OH 45730</t>
        </is>
      </c>
      <c r="D263" s="27" t="n"/>
      <c r="E263" s="27" t="n"/>
    </row>
    <row r="264">
      <c r="A264" t="inlineStr">
        <is>
          <t>R1263</t>
        </is>
      </c>
      <c r="B264" t="inlineStr">
        <is>
          <t>Isabella Turner</t>
        </is>
      </c>
      <c r="C264" t="inlineStr">
        <is>
          <t>MILLBROOK, OH 45530</t>
        </is>
      </c>
      <c r="D264" s="27" t="n"/>
      <c r="E264" s="27" t="n"/>
    </row>
    <row r="265">
      <c r="A265" t="inlineStr">
        <is>
          <t>R1264</t>
        </is>
      </c>
      <c r="B265" t="inlineStr">
        <is>
          <t>Rodriguez, Matthew</t>
        </is>
      </c>
      <c r="C265" t="inlineStr">
        <is>
          <t>Cedar Ridge, OH 45720</t>
        </is>
      </c>
      <c r="D265" s="27" t="n"/>
      <c r="E265" s="27" t="n"/>
    </row>
    <row r="266">
      <c r="A266" t="inlineStr">
        <is>
          <t>R1265</t>
        </is>
      </c>
      <c r="B266" t="inlineStr">
        <is>
          <t>Susan Osei</t>
        </is>
      </c>
      <c r="C266" t="inlineStr">
        <is>
          <t>Lakeview Heights, OH 45510</t>
        </is>
      </c>
      <c r="D266" s="27" t="n"/>
      <c r="E266" s="27" t="n"/>
    </row>
    <row r="267">
      <c r="A267" t="inlineStr">
        <is>
          <t>R1266</t>
        </is>
      </c>
      <c r="B267" t="inlineStr">
        <is>
          <t>GARCIA, PAMELA</t>
        </is>
      </c>
      <c r="C267" t="inlineStr">
        <is>
          <t>Bluestone, OH 45501-5610</t>
        </is>
      </c>
      <c r="D267" s="27" t="n"/>
      <c r="E267" s="27" t="n"/>
    </row>
    <row r="268">
      <c r="A268" t="inlineStr">
        <is>
          <t>R1267</t>
        </is>
      </c>
      <c r="B268" t="inlineStr">
        <is>
          <t>Hawkins, Marie</t>
        </is>
      </c>
      <c r="C268" t="inlineStr">
        <is>
          <t>Granite Springs, OH 45750</t>
        </is>
      </c>
      <c r="D268" s="27" t="n"/>
      <c r="E268" s="27" t="n"/>
    </row>
    <row r="269">
      <c r="A269" t="inlineStr">
        <is>
          <t>R1268</t>
        </is>
      </c>
      <c r="B269" t="inlineStr">
        <is>
          <t>Brenda Daniels</t>
        </is>
      </c>
      <c r="C269" t="inlineStr">
        <is>
          <t>Bluestone, OH 45502-3567</t>
        </is>
      </c>
      <c r="D269" s="27" t="n"/>
      <c r="E269" s="27" t="n"/>
    </row>
    <row r="270">
      <c r="A270" t="inlineStr">
        <is>
          <t>R1269</t>
        </is>
      </c>
      <c r="B270" t="inlineStr">
        <is>
          <t>Hawkins, Peter</t>
        </is>
      </c>
      <c r="C270" t="inlineStr">
        <is>
          <t>Cedar Ridge OH 45720</t>
        </is>
      </c>
      <c r="D270" s="27" t="n"/>
      <c r="E270" s="27" t="n"/>
    </row>
    <row r="271">
      <c r="A271" t="inlineStr">
        <is>
          <t>R1270</t>
        </is>
      </c>
      <c r="B271" t="inlineStr">
        <is>
          <t>Charles Hudson</t>
        </is>
      </c>
      <c r="C271" t="inlineStr">
        <is>
          <t>Riverbend, OH 45545-9414</t>
        </is>
      </c>
      <c r="D271" s="27" t="n"/>
      <c r="E271" s="27" t="n"/>
    </row>
    <row r="272">
      <c r="A272" t="inlineStr">
        <is>
          <t>R1271</t>
        </is>
      </c>
      <c r="B272" t="inlineStr">
        <is>
          <t>ELLIS, JOSEPH</t>
        </is>
      </c>
      <c r="C272" t="inlineStr">
        <is>
          <t>LAKEVIEW HEIGHTS, OH 45510</t>
        </is>
      </c>
      <c r="D272" s="27" t="n"/>
      <c r="E272" s="27" t="n"/>
    </row>
    <row r="273">
      <c r="A273" t="inlineStr">
        <is>
          <t>R1272</t>
        </is>
      </c>
      <c r="B273" t="inlineStr">
        <is>
          <t>garcia, karen</t>
        </is>
      </c>
      <c r="C273" t="inlineStr">
        <is>
          <t>Millbrook OH 45530</t>
        </is>
      </c>
      <c r="D273" s="27" t="n"/>
      <c r="E273" s="27" t="n"/>
    </row>
    <row r="274">
      <c r="A274" t="inlineStr">
        <is>
          <t>R1273</t>
        </is>
      </c>
      <c r="B274" t="inlineStr">
        <is>
          <t xml:space="preserve">  Rivera ,  Joshua </t>
        </is>
      </c>
      <c r="C274" t="inlineStr">
        <is>
          <t>Pine Hollow, OH 45640</t>
        </is>
      </c>
      <c r="D274" s="27" t="n"/>
      <c r="E274" s="27" t="n"/>
    </row>
    <row r="275">
      <c r="A275" t="inlineStr">
        <is>
          <t>R1274</t>
        </is>
      </c>
      <c r="B275" t="inlineStr">
        <is>
          <t>SULLIVAN, JEREMY</t>
        </is>
      </c>
      <c r="C275" t="inlineStr">
        <is>
          <t>Millbrook, OH 45530</t>
        </is>
      </c>
      <c r="D275" s="27" t="n"/>
      <c r="E275" s="27" t="n"/>
    </row>
    <row r="276">
      <c r="A276" t="inlineStr">
        <is>
          <t>R1275</t>
        </is>
      </c>
      <c r="B276" t="inlineStr">
        <is>
          <t>Jose Castillo</t>
        </is>
      </c>
      <c r="C276" t="inlineStr">
        <is>
          <t>Cedar Ridge OH 45720</t>
        </is>
      </c>
      <c r="D276" s="27" t="n"/>
      <c r="E276" s="27" t="n"/>
    </row>
    <row r="277">
      <c r="A277" t="inlineStr">
        <is>
          <t>R1276</t>
        </is>
      </c>
      <c r="B277" t="inlineStr">
        <is>
          <t>Joyce Myers</t>
        </is>
      </c>
      <c r="C277" t="inlineStr">
        <is>
          <t>Lakeview Heights OH 45510</t>
        </is>
      </c>
      <c r="D277" s="27" t="n"/>
      <c r="E277" s="27" t="n"/>
    </row>
    <row r="278">
      <c r="A278" t="inlineStr">
        <is>
          <t>R1277</t>
        </is>
      </c>
      <c r="B278" t="inlineStr">
        <is>
          <t>Morris, Lisa</t>
        </is>
      </c>
      <c r="C278" t="inlineStr">
        <is>
          <t>Bluestone, OH 45501</t>
        </is>
      </c>
      <c r="D278" s="27" t="n"/>
      <c r="E278" s="27" t="n"/>
    </row>
    <row r="279">
      <c r="A279" t="inlineStr">
        <is>
          <t>R1278</t>
        </is>
      </c>
      <c r="B279" t="inlineStr">
        <is>
          <t>MITCHELL, AUSTIN</t>
        </is>
      </c>
      <c r="C279" t="inlineStr">
        <is>
          <t>Bluestone OH 45503</t>
        </is>
      </c>
      <c r="D279" s="27" t="n"/>
      <c r="E279" s="27" t="n"/>
    </row>
    <row r="280">
      <c r="A280" t="inlineStr">
        <is>
          <t>R1279</t>
        </is>
      </c>
      <c r="B280" t="inlineStr">
        <is>
          <t>Diana Garcia</t>
        </is>
      </c>
      <c r="C280" t="inlineStr">
        <is>
          <t>Bluestone, OH 45503</t>
        </is>
      </c>
      <c r="D280" s="27" t="n"/>
      <c r="E280" s="27" t="n"/>
    </row>
    <row r="281">
      <c r="A281" t="inlineStr">
        <is>
          <t>R1280</t>
        </is>
      </c>
      <c r="B281" t="inlineStr">
        <is>
          <t>Lawrence Campbell</t>
        </is>
      </c>
      <c r="C281" t="inlineStr">
        <is>
          <t>Fairhaven, OH 45620</t>
        </is>
      </c>
      <c r="D281" s="27" t="n"/>
      <c r="E281" s="27" t="n"/>
    </row>
    <row r="282">
      <c r="A282" t="inlineStr">
        <is>
          <t>R1281</t>
        </is>
      </c>
      <c r="B282" t="inlineStr">
        <is>
          <t>anderson, kathryn</t>
        </is>
      </c>
      <c r="C282" t="inlineStr">
        <is>
          <t>Pine Hollow, OH 45640</t>
        </is>
      </c>
      <c r="D282" s="27" t="n"/>
      <c r="E282" s="27" t="n"/>
    </row>
    <row r="283">
      <c r="A283" t="inlineStr">
        <is>
          <t>R1282</t>
        </is>
      </c>
      <c r="B283" t="inlineStr">
        <is>
          <t>WARD, KIMBERLY</t>
        </is>
      </c>
      <c r="C283" t="inlineStr">
        <is>
          <t>Cedar Ridge, OH 45720</t>
        </is>
      </c>
      <c r="D283" s="27" t="n"/>
      <c r="E283" s="27" t="n"/>
    </row>
    <row r="284">
      <c r="A284" t="inlineStr">
        <is>
          <t>R1283</t>
        </is>
      </c>
      <c r="B284" t="inlineStr">
        <is>
          <t xml:space="preserve">  Rogers ,  Wei </t>
        </is>
      </c>
      <c r="C284" t="inlineStr">
        <is>
          <t>Bluestone, OH 45501-9586</t>
        </is>
      </c>
      <c r="D284" s="27" t="n"/>
      <c r="E284" s="27" t="n"/>
    </row>
    <row r="285">
      <c r="A285" t="inlineStr">
        <is>
          <t>R1284</t>
        </is>
      </c>
      <c r="B285" t="inlineStr">
        <is>
          <t>PORTER, GABRIEL</t>
        </is>
      </c>
      <c r="C285" t="inlineStr">
        <is>
          <t>Pine Hollow, OH 45640</t>
        </is>
      </c>
      <c r="D285" s="27" t="n"/>
      <c r="E285" s="27" t="n"/>
    </row>
    <row r="286">
      <c r="A286" t="inlineStr">
        <is>
          <t>R1285</t>
        </is>
      </c>
      <c r="B286" t="inlineStr">
        <is>
          <t>Davis, Julie</t>
        </is>
      </c>
      <c r="C286" t="inlineStr">
        <is>
          <t>Bluestone, OH 45501-2185</t>
        </is>
      </c>
      <c r="D286" s="27" t="n"/>
      <c r="E286" s="27" t="n"/>
    </row>
    <row r="287">
      <c r="A287" t="inlineStr">
        <is>
          <t>R1286</t>
        </is>
      </c>
      <c r="B287" t="inlineStr">
        <is>
          <t>WAGNER, JUSTIN</t>
        </is>
      </c>
      <c r="C287" t="inlineStr">
        <is>
          <t>Bluestone OH 45501</t>
        </is>
      </c>
      <c r="D287" s="27" t="n"/>
      <c r="E287" s="27" t="n"/>
    </row>
    <row r="288">
      <c r="A288" t="inlineStr">
        <is>
          <t>R1287</t>
        </is>
      </c>
      <c r="B288" t="inlineStr">
        <is>
          <t>Price, Jordan</t>
        </is>
      </c>
      <c r="C288" t="inlineStr">
        <is>
          <t>Bluestone, OH 45502</t>
        </is>
      </c>
      <c r="D288" s="27" t="n"/>
      <c r="E288" s="27" t="n"/>
    </row>
    <row r="289">
      <c r="A289" t="inlineStr">
        <is>
          <t>R1288</t>
        </is>
      </c>
      <c r="B289" t="inlineStr">
        <is>
          <t>Richardson, Philip</t>
        </is>
      </c>
      <c r="C289" t="inlineStr">
        <is>
          <t>Bluestone, OH 45503</t>
        </is>
      </c>
      <c r="D289" s="27" t="n"/>
      <c r="E289" s="27" t="n"/>
    </row>
    <row r="290">
      <c r="A290" t="inlineStr">
        <is>
          <t>R1289</t>
        </is>
      </c>
      <c r="B290" t="inlineStr">
        <is>
          <t>Nelson, Noah</t>
        </is>
      </c>
      <c r="C290" t="inlineStr">
        <is>
          <t>Bluestone, OH 45501</t>
        </is>
      </c>
      <c r="D290" s="27" t="n"/>
      <c r="E290" s="27" t="n"/>
    </row>
    <row r="291">
      <c r="A291" t="inlineStr">
        <is>
          <t>R1290</t>
        </is>
      </c>
      <c r="B291" t="inlineStr">
        <is>
          <t>Peters, Janice</t>
        </is>
      </c>
      <c r="C291" t="inlineStr">
        <is>
          <t>Lakeview Heights, OH 45510-2717</t>
        </is>
      </c>
      <c r="D291" s="27" t="n"/>
      <c r="E291" s="27" t="n"/>
    </row>
    <row r="292">
      <c r="A292" t="inlineStr">
        <is>
          <t>R1291</t>
        </is>
      </c>
      <c r="B292" t="inlineStr">
        <is>
          <t>Hill, Debra</t>
        </is>
      </c>
      <c r="C292" t="inlineStr">
        <is>
          <t>Bluestone, OH 45502</t>
        </is>
      </c>
      <c r="D292" s="27" t="n"/>
      <c r="E292" s="27" t="n"/>
    </row>
    <row r="293">
      <c r="A293" t="inlineStr">
        <is>
          <t>R1292</t>
        </is>
      </c>
      <c r="B293" t="inlineStr">
        <is>
          <t>Teresa Green</t>
        </is>
      </c>
      <c r="C293" t="inlineStr">
        <is>
          <t>BLUESTONE, OH 45502</t>
        </is>
      </c>
      <c r="D293" s="27" t="n"/>
      <c r="E293" s="27" t="n"/>
    </row>
    <row r="294">
      <c r="A294" t="inlineStr">
        <is>
          <t>R1293</t>
        </is>
      </c>
      <c r="B294" t="inlineStr">
        <is>
          <t>MENDEZ, AHMED</t>
        </is>
      </c>
      <c r="C294" t="inlineStr">
        <is>
          <t>Oak Glen, OH 45730</t>
        </is>
      </c>
      <c r="D294" s="27" t="n"/>
      <c r="E294" s="27" t="n"/>
    </row>
    <row r="295">
      <c r="A295" t="inlineStr">
        <is>
          <t>R1294</t>
        </is>
      </c>
      <c r="B295" t="inlineStr">
        <is>
          <t>Payne, Diane</t>
        </is>
      </c>
      <c r="C295" t="inlineStr">
        <is>
          <t>Riverbend, OH 45545</t>
        </is>
      </c>
      <c r="D295" s="27" t="n"/>
      <c r="E295" s="27" t="n"/>
    </row>
    <row r="296">
      <c r="A296" t="inlineStr">
        <is>
          <t>R1295</t>
        </is>
      </c>
      <c r="B296" t="inlineStr">
        <is>
          <t>Roberts, Shirley</t>
        </is>
      </c>
      <c r="C296" t="inlineStr">
        <is>
          <t>Bluestone, OH 45502</t>
        </is>
      </c>
      <c r="D296" s="27" t="n"/>
      <c r="E296" s="27" t="n"/>
    </row>
    <row r="297">
      <c r="A297" t="inlineStr">
        <is>
          <t>R1296</t>
        </is>
      </c>
      <c r="B297" t="inlineStr">
        <is>
          <t>Wright, Joe</t>
        </is>
      </c>
      <c r="C297" t="inlineStr">
        <is>
          <t>Lakeview Heights OH 45510</t>
        </is>
      </c>
      <c r="D297" s="27" t="n"/>
      <c r="E297" s="27" t="n"/>
    </row>
    <row r="298">
      <c r="A298" t="inlineStr">
        <is>
          <t>R1297</t>
        </is>
      </c>
      <c r="B298" t="inlineStr">
        <is>
          <t>Willis, Jordan</t>
        </is>
      </c>
      <c r="C298" t="inlineStr">
        <is>
          <t>Bluestone, OH 45503</t>
        </is>
      </c>
      <c r="D298" s="27" t="n"/>
      <c r="E298" s="27" t="n"/>
    </row>
    <row r="299">
      <c r="A299" t="inlineStr">
        <is>
          <t>R1298</t>
        </is>
      </c>
      <c r="B299" t="inlineStr">
        <is>
          <t>Lori Clark</t>
        </is>
      </c>
      <c r="C299" t="inlineStr">
        <is>
          <t>Riverbend, OH 45545-9539</t>
        </is>
      </c>
      <c r="D299" s="27" t="n"/>
      <c r="E299" s="27" t="n"/>
    </row>
    <row r="300">
      <c r="A300" t="inlineStr">
        <is>
          <t>R1299</t>
        </is>
      </c>
      <c r="B300" t="inlineStr">
        <is>
          <t>West, Jessica</t>
        </is>
      </c>
      <c r="C300" t="inlineStr">
        <is>
          <t>LAKEVIEW HEIGHTS, OH 45510</t>
        </is>
      </c>
      <c r="D300" s="27" t="n"/>
      <c r="E300" s="27" t="n"/>
    </row>
    <row r="301">
      <c r="A301" t="inlineStr">
        <is>
          <t>R1300</t>
        </is>
      </c>
      <c r="B301" t="inlineStr">
        <is>
          <t>Ramirez, Wayne</t>
        </is>
      </c>
      <c r="C301" t="inlineStr">
        <is>
          <t>Riverbend, OH 45545</t>
        </is>
      </c>
      <c r="D301" s="27" t="n"/>
      <c r="E301" s="27" t="n"/>
    </row>
    <row r="302">
      <c r="A302" t="inlineStr">
        <is>
          <t>R1301</t>
        </is>
      </c>
      <c r="B302" t="inlineStr">
        <is>
          <t>CARPENTER, ANN</t>
        </is>
      </c>
      <c r="C302" t="inlineStr">
        <is>
          <t>Bluestone, OH 45501</t>
        </is>
      </c>
      <c r="D302" s="27" t="n"/>
      <c r="E302" s="27" t="n"/>
    </row>
    <row r="303">
      <c r="A303" t="inlineStr">
        <is>
          <t>R1302</t>
        </is>
      </c>
      <c r="B303" t="inlineStr">
        <is>
          <t>WALKER, JESSE</t>
        </is>
      </c>
      <c r="C303" t="inlineStr">
        <is>
          <t>Bluestone, OH 45502</t>
        </is>
      </c>
      <c r="D303" s="27" t="n"/>
      <c r="E303" s="27" t="n"/>
    </row>
    <row r="304">
      <c r="A304" t="inlineStr">
        <is>
          <t>R1303</t>
        </is>
      </c>
      <c r="B304" t="inlineStr">
        <is>
          <t>Tran, Russell</t>
        </is>
      </c>
      <c r="C304" t="inlineStr">
        <is>
          <t>Lakeview Heights, OH 45510</t>
        </is>
      </c>
      <c r="D304" s="27" t="n"/>
      <c r="E304" s="27" t="n"/>
    </row>
    <row r="305">
      <c r="A305" t="inlineStr">
        <is>
          <t>R1304</t>
        </is>
      </c>
      <c r="B305" t="inlineStr">
        <is>
          <t>Matthews, Isabella</t>
        </is>
      </c>
      <c r="C305" t="inlineStr">
        <is>
          <t>Bluestone OH 45503</t>
        </is>
      </c>
      <c r="D305" s="27" t="n"/>
      <c r="E305" s="27" t="n"/>
    </row>
    <row r="306">
      <c r="A306" t="inlineStr">
        <is>
          <t>R1305</t>
        </is>
      </c>
      <c r="B306" t="inlineStr">
        <is>
          <t>Marshall, Helen</t>
        </is>
      </c>
      <c r="C306" t="inlineStr">
        <is>
          <t>Bluestone, OH 45502</t>
        </is>
      </c>
      <c r="D306" s="27" t="n"/>
      <c r="E306" s="27" t="n"/>
    </row>
    <row r="307">
      <c r="A307" t="inlineStr">
        <is>
          <t>R1306</t>
        </is>
      </c>
      <c r="B307" t="inlineStr">
        <is>
          <t>COLEMAN, SHARON</t>
        </is>
      </c>
      <c r="C307" t="inlineStr">
        <is>
          <t>CEDAR RIDGE, OH 45720</t>
        </is>
      </c>
      <c r="D307" s="27" t="n"/>
      <c r="E307" s="27" t="n"/>
    </row>
    <row r="308">
      <c r="A308" t="inlineStr">
        <is>
          <t>R1307</t>
        </is>
      </c>
      <c r="B308" t="inlineStr">
        <is>
          <t>sullivan, kayla</t>
        </is>
      </c>
      <c r="C308" t="inlineStr">
        <is>
          <t>Bluestone, OH 45501</t>
        </is>
      </c>
      <c r="D308" s="27" t="n"/>
      <c r="E308" s="27" t="n"/>
    </row>
    <row r="309">
      <c r="A309" t="inlineStr">
        <is>
          <t>R1308</t>
        </is>
      </c>
      <c r="B309" t="inlineStr">
        <is>
          <t>Adams, Kathleen</t>
        </is>
      </c>
      <c r="C309" t="inlineStr">
        <is>
          <t>ASHBY FALLS, OH 45610</t>
        </is>
      </c>
      <c r="D309" s="27" t="n"/>
      <c r="E309" s="27" t="n"/>
    </row>
    <row r="310">
      <c r="A310" t="inlineStr">
        <is>
          <t>R1309</t>
        </is>
      </c>
      <c r="B310" t="inlineStr">
        <is>
          <t>Wayne Freeman</t>
        </is>
      </c>
      <c r="C310" t="inlineStr">
        <is>
          <t>Granite Springs, OH 45750-1949</t>
        </is>
      </c>
      <c r="D310" s="27" t="n"/>
      <c r="E310" s="27" t="n"/>
    </row>
    <row r="311">
      <c r="A311" t="inlineStr">
        <is>
          <t>R1310</t>
        </is>
      </c>
      <c r="B311" t="inlineStr">
        <is>
          <t>Davis, Danielle</t>
        </is>
      </c>
      <c r="C311" t="inlineStr">
        <is>
          <t>Cedar Ridge, OH 45720</t>
        </is>
      </c>
      <c r="D311" s="27" t="n"/>
      <c r="E311" s="27" t="n"/>
    </row>
    <row r="312">
      <c r="A312" t="inlineStr">
        <is>
          <t>R1311</t>
        </is>
      </c>
      <c r="B312" t="inlineStr">
        <is>
          <t>Frank Guzman</t>
        </is>
      </c>
      <c r="C312" t="inlineStr">
        <is>
          <t>Riverbend, OH 45545-4433</t>
        </is>
      </c>
      <c r="D312" s="27" t="n"/>
      <c r="E312" s="27" t="n"/>
    </row>
    <row r="313">
      <c r="A313" t="inlineStr">
        <is>
          <t>R1312</t>
        </is>
      </c>
      <c r="B313" t="inlineStr">
        <is>
          <t>RIVERA, SHARON</t>
        </is>
      </c>
      <c r="C313" t="inlineStr">
        <is>
          <t>Bluestone OH 45502</t>
        </is>
      </c>
      <c r="D313" s="27" t="n"/>
      <c r="E313" s="27" t="n"/>
    </row>
    <row r="314">
      <c r="A314" t="inlineStr">
        <is>
          <t>R1313</t>
        </is>
      </c>
      <c r="B314" t="inlineStr">
        <is>
          <t>Kimberly Ray</t>
        </is>
      </c>
      <c r="C314" t="inlineStr">
        <is>
          <t>Ashby Falls, OH 45610</t>
        </is>
      </c>
      <c r="D314" s="27" t="n"/>
      <c r="E314" s="27" t="n"/>
    </row>
    <row r="315">
      <c r="A315" t="inlineStr">
        <is>
          <t>R1314</t>
        </is>
      </c>
      <c r="B315" t="inlineStr">
        <is>
          <t>Keith Holmes</t>
        </is>
      </c>
      <c r="C315" t="inlineStr">
        <is>
          <t>Cedar Ridge, OH 45720</t>
        </is>
      </c>
      <c r="D315" s="27" t="n"/>
      <c r="E315" s="27" t="n"/>
    </row>
    <row r="316">
      <c r="A316" t="inlineStr">
        <is>
          <t>R1315</t>
        </is>
      </c>
      <c r="B316" t="inlineStr">
        <is>
          <t>FISHER, KAYLA</t>
        </is>
      </c>
      <c r="C316" t="inlineStr">
        <is>
          <t>Ashby Falls OH 45610</t>
        </is>
      </c>
      <c r="D316" s="27" t="n"/>
      <c r="E316" s="27" t="n"/>
    </row>
    <row r="317">
      <c r="A317" t="inlineStr">
        <is>
          <t>R1316</t>
        </is>
      </c>
      <c r="B317" t="inlineStr">
        <is>
          <t>Tran, Martha</t>
        </is>
      </c>
      <c r="C317" t="inlineStr">
        <is>
          <t>Riverbend, OH 45545</t>
        </is>
      </c>
      <c r="D317" s="27" t="n"/>
      <c r="E317" s="27" t="n"/>
    </row>
    <row r="318">
      <c r="A318" t="inlineStr">
        <is>
          <t>R1317</t>
        </is>
      </c>
      <c r="B318" t="inlineStr">
        <is>
          <t>TUCKER, SOPHIA</t>
        </is>
      </c>
      <c r="C318" t="inlineStr">
        <is>
          <t>Bluestone, OH 45502</t>
        </is>
      </c>
      <c r="D318" s="27" t="n"/>
      <c r="E318" s="27" t="n"/>
    </row>
    <row r="319">
      <c r="A319" t="inlineStr">
        <is>
          <t>R1318</t>
        </is>
      </c>
      <c r="B319" t="inlineStr">
        <is>
          <t>Marshall, Diane</t>
        </is>
      </c>
      <c r="C319" t="inlineStr">
        <is>
          <t>Bluestone, OH 45502</t>
        </is>
      </c>
      <c r="D319" s="27" t="n"/>
      <c r="E319" s="27" t="n"/>
    </row>
    <row r="320">
      <c r="A320" t="inlineStr">
        <is>
          <t>R1319</t>
        </is>
      </c>
      <c r="B320" t="inlineStr">
        <is>
          <t xml:space="preserve">  Harrison ,  Jerry </t>
        </is>
      </c>
      <c r="C320" t="inlineStr">
        <is>
          <t>Bluestone, OH 45501-9344</t>
        </is>
      </c>
      <c r="D320" s="27" t="n"/>
      <c r="E320" s="27" t="n"/>
    </row>
    <row r="321">
      <c r="A321" t="inlineStr">
        <is>
          <t>R1320</t>
        </is>
      </c>
      <c r="B321" t="inlineStr">
        <is>
          <t>FOX, KAYLA</t>
        </is>
      </c>
      <c r="C321" t="inlineStr">
        <is>
          <t>Bluestone, OH 45501</t>
        </is>
      </c>
      <c r="D321" s="27" t="n"/>
      <c r="E321" s="27" t="n"/>
    </row>
    <row r="322">
      <c r="A322" t="inlineStr">
        <is>
          <t>R1321</t>
        </is>
      </c>
      <c r="B322" t="inlineStr">
        <is>
          <t>Snyder, Doris</t>
        </is>
      </c>
      <c r="C322" t="inlineStr">
        <is>
          <t>Bluestone OH 45501</t>
        </is>
      </c>
      <c r="D322" s="27" t="n"/>
      <c r="E322" s="27" t="n"/>
    </row>
    <row r="323">
      <c r="A323" t="inlineStr">
        <is>
          <t>R1322</t>
        </is>
      </c>
      <c r="B323" t="inlineStr">
        <is>
          <t>Adams, Ronald</t>
        </is>
      </c>
      <c r="C323" t="inlineStr">
        <is>
          <t>MILLBROOK, OH 45530</t>
        </is>
      </c>
      <c r="D323" s="27" t="n"/>
      <c r="E323" s="27" t="n"/>
    </row>
    <row r="324">
      <c r="A324" t="inlineStr">
        <is>
          <t>R1323</t>
        </is>
      </c>
      <c r="B324" t="inlineStr">
        <is>
          <t>Romero, James</t>
        </is>
      </c>
      <c r="C324" t="inlineStr">
        <is>
          <t>Lakeview Heights, OH 45510</t>
        </is>
      </c>
      <c r="D324" s="27" t="n"/>
      <c r="E324" s="27" t="n"/>
    </row>
    <row r="325">
      <c r="A325" t="inlineStr">
        <is>
          <t>R1324</t>
        </is>
      </c>
      <c r="B325" t="inlineStr">
        <is>
          <t>WELLS, OLIVIA</t>
        </is>
      </c>
      <c r="C325" t="inlineStr">
        <is>
          <t>ASHBY FALLS, OH 45610</t>
        </is>
      </c>
      <c r="D325" s="27" t="n"/>
      <c r="E325" s="27" t="n"/>
    </row>
    <row r="326">
      <c r="A326" t="inlineStr">
        <is>
          <t>R1325</t>
        </is>
      </c>
      <c r="B326" t="inlineStr">
        <is>
          <t>Kim, Ethan</t>
        </is>
      </c>
      <c r="C326" t="inlineStr">
        <is>
          <t>Ashby Falls, OH 45610-1593</t>
        </is>
      </c>
      <c r="D326" s="27" t="n"/>
      <c r="E326" s="27" t="n"/>
    </row>
    <row r="327">
      <c r="A327" t="inlineStr">
        <is>
          <t>R1326</t>
        </is>
      </c>
      <c r="B327" t="inlineStr">
        <is>
          <t>Contreras, Aaliyah</t>
        </is>
      </c>
      <c r="C327" t="inlineStr">
        <is>
          <t>Cedar Ridge, OH 45720</t>
        </is>
      </c>
      <c r="D327" s="27" t="n"/>
      <c r="E327" s="27" t="n"/>
    </row>
    <row r="328">
      <c r="A328" t="inlineStr">
        <is>
          <t>R1327</t>
        </is>
      </c>
      <c r="B328" t="inlineStr">
        <is>
          <t>Haddad, Charles</t>
        </is>
      </c>
      <c r="C328" t="inlineStr">
        <is>
          <t>Bluestone, OH 45503</t>
        </is>
      </c>
      <c r="D328" s="27" t="n"/>
      <c r="E328" s="27" t="n"/>
    </row>
    <row r="329">
      <c r="A329" t="inlineStr">
        <is>
          <t>R1328</t>
        </is>
      </c>
      <c r="B329" t="inlineStr">
        <is>
          <t>Cunningham, Denise</t>
        </is>
      </c>
      <c r="C329" t="inlineStr">
        <is>
          <t>Millbrook, OH 45530</t>
        </is>
      </c>
      <c r="D329" s="27" t="n"/>
      <c r="E329" s="27" t="n"/>
    </row>
    <row r="330">
      <c r="A330" t="inlineStr">
        <is>
          <t>R1329</t>
        </is>
      </c>
      <c r="B330" t="inlineStr">
        <is>
          <t>Ellis, Willie</t>
        </is>
      </c>
      <c r="C330" t="inlineStr">
        <is>
          <t>ASHBY FALLS, OH 45610</t>
        </is>
      </c>
      <c r="D330" s="27" t="n"/>
      <c r="E330" s="27" t="n"/>
    </row>
    <row r="331">
      <c r="A331" t="inlineStr">
        <is>
          <t>R1330</t>
        </is>
      </c>
      <c r="B331" t="inlineStr">
        <is>
          <t>Snyder, Lori</t>
        </is>
      </c>
      <c r="C331" t="inlineStr">
        <is>
          <t>Oak Glen, OH 45730</t>
        </is>
      </c>
      <c r="D331" s="27" t="n"/>
      <c r="E331" s="27" t="n"/>
    </row>
    <row r="332">
      <c r="A332" t="inlineStr">
        <is>
          <t>R1331</t>
        </is>
      </c>
      <c r="B332" t="inlineStr">
        <is>
          <t>Murray, Roger</t>
        </is>
      </c>
      <c r="C332" t="inlineStr">
        <is>
          <t>Oak Glen, OH 45730</t>
        </is>
      </c>
      <c r="D332" s="27" t="n"/>
      <c r="E332" s="27" t="n"/>
    </row>
    <row r="333">
      <c r="A333" t="inlineStr">
        <is>
          <t>R1332</t>
        </is>
      </c>
      <c r="B333" t="inlineStr">
        <is>
          <t>Ronald Cox</t>
        </is>
      </c>
      <c r="C333" t="inlineStr">
        <is>
          <t>Cedar Ridge OH 45720</t>
        </is>
      </c>
      <c r="D333" s="27" t="n"/>
      <c r="E333" s="27" t="n"/>
    </row>
    <row r="334">
      <c r="A334" t="inlineStr">
        <is>
          <t>R1333</t>
        </is>
      </c>
      <c r="B334" t="inlineStr">
        <is>
          <t>RIVERA, KELLY</t>
        </is>
      </c>
      <c r="C334" t="inlineStr">
        <is>
          <t>Cedar Ridge OH 45720</t>
        </is>
      </c>
      <c r="D334" s="27" t="n"/>
      <c r="E334" s="27" t="n"/>
    </row>
    <row r="335">
      <c r="A335" t="inlineStr">
        <is>
          <t>R1334</t>
        </is>
      </c>
      <c r="B335" t="inlineStr">
        <is>
          <t>gomez, elizabeth</t>
        </is>
      </c>
      <c r="C335" t="inlineStr">
        <is>
          <t>Millbrook OH 45530</t>
        </is>
      </c>
      <c r="D335" s="27" t="n"/>
      <c r="E335" s="27" t="n"/>
    </row>
    <row r="336">
      <c r="A336" t="inlineStr">
        <is>
          <t>R1335</t>
        </is>
      </c>
      <c r="B336" t="inlineStr">
        <is>
          <t>Campbell, Luis</t>
        </is>
      </c>
      <c r="C336" t="inlineStr">
        <is>
          <t>BLUESTONE, OH 45501</t>
        </is>
      </c>
      <c r="D336" s="27" t="n"/>
      <c r="E336" s="27" t="n"/>
    </row>
    <row r="337">
      <c r="A337" t="inlineStr">
        <is>
          <t>R1336</t>
        </is>
      </c>
      <c r="B337" t="inlineStr">
        <is>
          <t>Gutierrez, Angela</t>
        </is>
      </c>
      <c r="C337" t="inlineStr">
        <is>
          <t>Bluestone, OH 45502</t>
        </is>
      </c>
      <c r="D337" s="27" t="n"/>
      <c r="E337" s="27" t="n"/>
    </row>
    <row r="338">
      <c r="A338" t="inlineStr">
        <is>
          <t>R1337</t>
        </is>
      </c>
      <c r="B338" t="inlineStr">
        <is>
          <t>Rice, Omar</t>
        </is>
      </c>
      <c r="C338" t="inlineStr">
        <is>
          <t>Oak Glen, OH 45730</t>
        </is>
      </c>
      <c r="D338" s="27" t="n"/>
      <c r="E338" s="27" t="n"/>
    </row>
    <row r="339">
      <c r="A339" t="inlineStr">
        <is>
          <t>R1338</t>
        </is>
      </c>
      <c r="B339" t="inlineStr">
        <is>
          <t>Contreras, Timothy</t>
        </is>
      </c>
      <c r="C339" t="inlineStr">
        <is>
          <t>Millbrook, OH 45530</t>
        </is>
      </c>
      <c r="D339" s="27" t="n"/>
      <c r="E339" s="27" t="n"/>
    </row>
    <row r="340">
      <c r="A340" t="inlineStr">
        <is>
          <t>R1339</t>
        </is>
      </c>
      <c r="B340" t="inlineStr">
        <is>
          <t>Jeffrey Nelson</t>
        </is>
      </c>
      <c r="C340" t="inlineStr">
        <is>
          <t>MILLBROOK, OH 45530</t>
        </is>
      </c>
      <c r="D340" s="27" t="n"/>
      <c r="E340" s="27" t="n"/>
    </row>
    <row r="341">
      <c r="A341" t="inlineStr">
        <is>
          <t>R1340</t>
        </is>
      </c>
      <c r="B341" t="inlineStr">
        <is>
          <t>WEST, DYLAN</t>
        </is>
      </c>
      <c r="C341" t="inlineStr">
        <is>
          <t>Bluestone, OH 45502</t>
        </is>
      </c>
      <c r="D341" s="27" t="n"/>
      <c r="E341" s="27" t="n"/>
    </row>
    <row r="342">
      <c r="A342" t="inlineStr">
        <is>
          <t>R1341</t>
        </is>
      </c>
      <c r="B342" t="inlineStr">
        <is>
          <t>Donna Robertson</t>
        </is>
      </c>
      <c r="C342" t="inlineStr">
        <is>
          <t>RIVERBEND, OH 45545</t>
        </is>
      </c>
      <c r="D342" s="27" t="n"/>
      <c r="E342" s="27" t="n"/>
    </row>
    <row r="343">
      <c r="A343" t="inlineStr">
        <is>
          <t>R1342</t>
        </is>
      </c>
      <c r="B343" t="inlineStr">
        <is>
          <t>Ortiz, George</t>
        </is>
      </c>
      <c r="C343" t="inlineStr">
        <is>
          <t>Bluestone OH 45502</t>
        </is>
      </c>
      <c r="D343" s="27" t="n"/>
      <c r="E343" s="27" t="n"/>
    </row>
    <row r="344">
      <c r="A344" t="inlineStr">
        <is>
          <t>R1343</t>
        </is>
      </c>
      <c r="B344" t="inlineStr">
        <is>
          <t>ROGERS, JEAN</t>
        </is>
      </c>
      <c r="C344" t="inlineStr">
        <is>
          <t>Bluestone, OH 45503</t>
        </is>
      </c>
      <c r="D344" s="27" t="n"/>
      <c r="E344" s="27" t="n"/>
    </row>
    <row r="345">
      <c r="A345" t="inlineStr">
        <is>
          <t>R1344</t>
        </is>
      </c>
      <c r="B345" t="inlineStr">
        <is>
          <t>Ryan, Ruth</t>
        </is>
      </c>
      <c r="C345" t="inlineStr">
        <is>
          <t>Riverbend, OH 45545-5318</t>
        </is>
      </c>
      <c r="D345" s="27" t="n"/>
      <c r="E345" s="27" t="n"/>
    </row>
    <row r="346">
      <c r="A346" t="inlineStr">
        <is>
          <t>R1345</t>
        </is>
      </c>
      <c r="B346" t="inlineStr">
        <is>
          <t>Davis, Anthony</t>
        </is>
      </c>
      <c r="C346" t="inlineStr">
        <is>
          <t>Lakeview Heights OH 45510</t>
        </is>
      </c>
      <c r="D346" s="27" t="n"/>
      <c r="E346" s="27" t="n"/>
    </row>
    <row r="347">
      <c r="A347" t="inlineStr">
        <is>
          <t>R1346</t>
        </is>
      </c>
      <c r="B347" t="inlineStr">
        <is>
          <t>Bryant, Aaron</t>
        </is>
      </c>
      <c r="C347" t="inlineStr">
        <is>
          <t>Bluestone, OH 45501-3915</t>
        </is>
      </c>
      <c r="D347" s="27" t="n"/>
      <c r="E347" s="27" t="n"/>
    </row>
    <row r="348">
      <c r="A348" t="inlineStr">
        <is>
          <t>R1347</t>
        </is>
      </c>
      <c r="B348" t="inlineStr">
        <is>
          <t>sanders, jeremy</t>
        </is>
      </c>
      <c r="C348" t="inlineStr">
        <is>
          <t>Bluestone, OH 45501-4876</t>
        </is>
      </c>
      <c r="D348" s="27" t="n"/>
      <c r="E348" s="27" t="n"/>
    </row>
    <row r="349">
      <c r="A349" t="inlineStr">
        <is>
          <t>R1348</t>
        </is>
      </c>
      <c r="B349" t="inlineStr">
        <is>
          <t>Medina, Abigail</t>
        </is>
      </c>
      <c r="C349" t="inlineStr">
        <is>
          <t>Millbrook, OH 45530</t>
        </is>
      </c>
      <c r="D349" s="27" t="n"/>
      <c r="E349" s="27" t="n"/>
    </row>
    <row r="350">
      <c r="A350" t="inlineStr">
        <is>
          <t>R1349</t>
        </is>
      </c>
      <c r="B350" t="inlineStr">
        <is>
          <t>Shaw, Michael</t>
        </is>
      </c>
      <c r="C350" t="inlineStr">
        <is>
          <t>Ashby Falls, OH 45610</t>
        </is>
      </c>
      <c r="D350" s="27" t="n"/>
      <c r="E350" s="27" t="n"/>
    </row>
    <row r="351">
      <c r="A351" t="inlineStr">
        <is>
          <t>R1350</t>
        </is>
      </c>
      <c r="B351" t="inlineStr">
        <is>
          <t>Kowalski, Robert</t>
        </is>
      </c>
      <c r="C351" t="inlineStr">
        <is>
          <t>Fairhaven, OH 45620</t>
        </is>
      </c>
      <c r="D351" s="27" t="n"/>
      <c r="E351" s="27" t="n"/>
    </row>
    <row r="352">
      <c r="A352" t="inlineStr">
        <is>
          <t>R1351</t>
        </is>
      </c>
      <c r="B352" t="inlineStr">
        <is>
          <t>Shaw, Eugene</t>
        </is>
      </c>
      <c r="C352" t="inlineStr">
        <is>
          <t>BLUESTONE, OH 45501</t>
        </is>
      </c>
      <c r="D352" s="27" t="n"/>
      <c r="E352" s="27" t="n"/>
    </row>
    <row r="353">
      <c r="A353" t="inlineStr">
        <is>
          <t>R1352</t>
        </is>
      </c>
      <c r="B353" t="inlineStr">
        <is>
          <t>Bradley Johnston</t>
        </is>
      </c>
      <c r="C353" t="inlineStr">
        <is>
          <t>Pine Hollow, OH 45640-9632</t>
        </is>
      </c>
      <c r="D353" s="27" t="n"/>
      <c r="E353" s="27" t="n"/>
    </row>
    <row r="354">
      <c r="A354" t="inlineStr">
        <is>
          <t>R1353</t>
        </is>
      </c>
      <c r="B354" t="inlineStr">
        <is>
          <t xml:space="preserve">  Gardner ,  Debra </t>
        </is>
      </c>
      <c r="C354" t="inlineStr">
        <is>
          <t>Granite Springs, OH 45750</t>
        </is>
      </c>
      <c r="D354" s="27" t="n"/>
      <c r="E354" s="27" t="n"/>
    </row>
    <row r="355">
      <c r="A355" t="inlineStr">
        <is>
          <t>R1354</t>
        </is>
      </c>
      <c r="B355" t="inlineStr">
        <is>
          <t>Wright, Jerry</t>
        </is>
      </c>
      <c r="C355" t="inlineStr">
        <is>
          <t>BLUESTONE, OH 45502</t>
        </is>
      </c>
      <c r="D355" s="27" t="n"/>
      <c r="E355" s="27" t="n"/>
    </row>
    <row r="356">
      <c r="A356" t="inlineStr">
        <is>
          <t>R1355</t>
        </is>
      </c>
      <c r="B356" t="inlineStr">
        <is>
          <t>GONZALES, VICTORIA</t>
        </is>
      </c>
      <c r="C356" t="inlineStr">
        <is>
          <t>Riverbend, OH 45545</t>
        </is>
      </c>
      <c r="D356" s="27" t="n"/>
      <c r="E356" s="27" t="n"/>
    </row>
    <row r="357">
      <c r="A357" t="inlineStr">
        <is>
          <t>R1356</t>
        </is>
      </c>
      <c r="B357" t="inlineStr">
        <is>
          <t>Chavez, Ava</t>
        </is>
      </c>
      <c r="C357" t="inlineStr">
        <is>
          <t>Bluestone, OH 45501-9622</t>
        </is>
      </c>
      <c r="D357" s="27" t="n"/>
      <c r="E357" s="27" t="n"/>
    </row>
    <row r="358">
      <c r="A358" t="inlineStr">
        <is>
          <t>R1357</t>
        </is>
      </c>
      <c r="B358" t="inlineStr">
        <is>
          <t>Turner, Lucia</t>
        </is>
      </c>
      <c r="C358" t="inlineStr">
        <is>
          <t>Bluestone, OH 45502</t>
        </is>
      </c>
      <c r="D358" s="27" t="n"/>
      <c r="E358" s="27" t="n"/>
    </row>
    <row r="359">
      <c r="A359" t="inlineStr">
        <is>
          <t>R1358</t>
        </is>
      </c>
      <c r="B359" t="inlineStr">
        <is>
          <t>Cooper, Abigail</t>
        </is>
      </c>
      <c r="C359" t="inlineStr">
        <is>
          <t>Bluestone, OH 45501-9319</t>
        </is>
      </c>
      <c r="D359" s="27" t="n"/>
      <c r="E359" s="27" t="n"/>
    </row>
    <row r="360">
      <c r="A360" t="inlineStr">
        <is>
          <t>R1359</t>
        </is>
      </c>
      <c r="B360" t="inlineStr">
        <is>
          <t>Marshall, Diane</t>
        </is>
      </c>
      <c r="C360" t="inlineStr">
        <is>
          <t>Bluestone, OH 45502</t>
        </is>
      </c>
      <c r="D360" s="27" t="n"/>
      <c r="E360" s="27" t="n"/>
    </row>
    <row r="361">
      <c r="A361" t="inlineStr">
        <is>
          <t>R1360</t>
        </is>
      </c>
      <c r="B361" t="inlineStr">
        <is>
          <t>wilson, rebecca</t>
        </is>
      </c>
      <c r="C361" t="inlineStr">
        <is>
          <t>FAIRHAVEN, OH 45620</t>
        </is>
      </c>
      <c r="D361" s="27" t="n"/>
      <c r="E361" s="27" t="n"/>
    </row>
    <row r="362">
      <c r="A362" t="inlineStr">
        <is>
          <t>R1361</t>
        </is>
      </c>
      <c r="B362" t="inlineStr">
        <is>
          <t>myers, mei</t>
        </is>
      </c>
      <c r="C362" t="inlineStr">
        <is>
          <t>Lakeview Heights OH 45510</t>
        </is>
      </c>
      <c r="D362" s="27" t="n"/>
      <c r="E362" s="27" t="n"/>
    </row>
    <row r="363">
      <c r="A363" t="inlineStr">
        <is>
          <t>R1362</t>
        </is>
      </c>
      <c r="B363" t="inlineStr">
        <is>
          <t>Castro, Evelyn</t>
        </is>
      </c>
      <c r="C363" t="inlineStr">
        <is>
          <t>Millbrook, OH 45530</t>
        </is>
      </c>
      <c r="D363" s="27" t="n"/>
      <c r="E363" s="27" t="n"/>
    </row>
    <row r="364">
      <c r="A364" t="inlineStr">
        <is>
          <t>R1363</t>
        </is>
      </c>
      <c r="B364" t="inlineStr">
        <is>
          <t>Holmes, Samuel</t>
        </is>
      </c>
      <c r="C364" t="inlineStr">
        <is>
          <t>Bluestone OH 45502</t>
        </is>
      </c>
      <c r="D364" s="27" t="n"/>
      <c r="E364" s="27" t="n"/>
    </row>
    <row r="365">
      <c r="A365" t="inlineStr">
        <is>
          <t>R1364</t>
        </is>
      </c>
      <c r="B365" t="inlineStr">
        <is>
          <t>Randy Vazquez</t>
        </is>
      </c>
      <c r="C365" t="inlineStr">
        <is>
          <t>Cedar Ridge OH 45720</t>
        </is>
      </c>
      <c r="D365" s="27" t="n"/>
      <c r="E365" s="27" t="n"/>
    </row>
    <row r="366">
      <c r="A366" t="inlineStr">
        <is>
          <t>R1365</t>
        </is>
      </c>
      <c r="B366" t="inlineStr">
        <is>
          <t>Jacqueline Wright</t>
        </is>
      </c>
      <c r="C366" t="inlineStr">
        <is>
          <t>Fairhaven, OH 45620-9009</t>
        </is>
      </c>
      <c r="D366" s="27" t="n"/>
      <c r="E366" s="27" t="n"/>
    </row>
    <row r="367">
      <c r="A367" t="inlineStr">
        <is>
          <t>R1366</t>
        </is>
      </c>
      <c r="B367" t="inlineStr">
        <is>
          <t>Jeffrey Gomez</t>
        </is>
      </c>
      <c r="C367" t="inlineStr">
        <is>
          <t>Cedar Ridge, OH 45720</t>
        </is>
      </c>
      <c r="D367" s="27" t="n"/>
      <c r="E367" s="27" t="n"/>
    </row>
    <row r="368">
      <c r="A368" t="inlineStr">
        <is>
          <t>R1367</t>
        </is>
      </c>
      <c r="B368" t="inlineStr">
        <is>
          <t xml:space="preserve">  Sanders ,  Jeremy </t>
        </is>
      </c>
      <c r="C368" t="inlineStr">
        <is>
          <t>Bluestone, OH 45501</t>
        </is>
      </c>
      <c r="D368" s="27" t="n"/>
      <c r="E368" s="27" t="n"/>
    </row>
    <row r="369">
      <c r="A369" t="inlineStr">
        <is>
          <t>R1368</t>
        </is>
      </c>
      <c r="B369" t="inlineStr">
        <is>
          <t>coleman, shirley</t>
        </is>
      </c>
      <c r="C369" t="inlineStr">
        <is>
          <t>Bluestone, OH 45503</t>
        </is>
      </c>
      <c r="D369" s="27" t="n"/>
      <c r="E369" s="27" t="n"/>
    </row>
    <row r="370">
      <c r="A370" t="inlineStr">
        <is>
          <t>R1369</t>
        </is>
      </c>
      <c r="B370" t="inlineStr">
        <is>
          <t>RYAN, RUTH</t>
        </is>
      </c>
      <c r="C370" t="inlineStr">
        <is>
          <t>Riverbend, OH 45545-7729</t>
        </is>
      </c>
      <c r="D370" s="27" t="n"/>
      <c r="E370" s="27" t="n"/>
    </row>
    <row r="371">
      <c r="A371" t="inlineStr">
        <is>
          <t>R1370</t>
        </is>
      </c>
      <c r="B371" t="inlineStr">
        <is>
          <t>Mateo Lawrence</t>
        </is>
      </c>
      <c r="C371" t="inlineStr">
        <is>
          <t>Ashby Falls, OH 45610</t>
        </is>
      </c>
      <c r="D371" s="27" t="n"/>
      <c r="E371" s="27" t="n"/>
    </row>
    <row r="372">
      <c r="A372" t="inlineStr">
        <is>
          <t>R1371</t>
        </is>
      </c>
      <c r="B372" t="inlineStr">
        <is>
          <t>FLORES, JANICE</t>
        </is>
      </c>
      <c r="C372" t="inlineStr">
        <is>
          <t>Bluestone OH 45502</t>
        </is>
      </c>
      <c r="D372" s="27" t="n"/>
      <c r="E372" s="27" t="n"/>
    </row>
    <row r="373">
      <c r="A373" t="inlineStr">
        <is>
          <t>R1372</t>
        </is>
      </c>
      <c r="B373" t="inlineStr">
        <is>
          <t>Novak, Larry</t>
        </is>
      </c>
      <c r="C373" t="inlineStr">
        <is>
          <t>Cedar Ridge, OH 45720</t>
        </is>
      </c>
      <c r="D373" s="27" t="n"/>
      <c r="E373" s="27" t="n"/>
    </row>
    <row r="374">
      <c r="A374" t="inlineStr">
        <is>
          <t>R1373</t>
        </is>
      </c>
      <c r="B374" t="inlineStr">
        <is>
          <t>Flores, Doris</t>
        </is>
      </c>
      <c r="C374" t="inlineStr">
        <is>
          <t>Fairhaven, OH 45620-4177</t>
        </is>
      </c>
      <c r="D374" s="27" t="n"/>
      <c r="E374" s="27" t="n"/>
    </row>
    <row r="375">
      <c r="A375" t="inlineStr">
        <is>
          <t>R1374</t>
        </is>
      </c>
      <c r="B375" t="inlineStr">
        <is>
          <t>Roberts, Aaron</t>
        </is>
      </c>
      <c r="C375" t="inlineStr">
        <is>
          <t>Bluestone, OH 45502</t>
        </is>
      </c>
      <c r="D375" s="27" t="n"/>
      <c r="E375" s="27" t="n"/>
    </row>
    <row r="376">
      <c r="A376" t="inlineStr">
        <is>
          <t>R1375</t>
        </is>
      </c>
      <c r="B376" t="inlineStr">
        <is>
          <t>CLARK, HENRY</t>
        </is>
      </c>
      <c r="C376" t="inlineStr">
        <is>
          <t>Riverbend, OH 45545</t>
        </is>
      </c>
      <c r="D376" s="27" t="n"/>
      <c r="E376" s="27" t="n"/>
    </row>
    <row r="377">
      <c r="A377" t="inlineStr">
        <is>
          <t>R1376</t>
        </is>
      </c>
      <c r="B377" t="inlineStr">
        <is>
          <t>cruz, paul</t>
        </is>
      </c>
      <c r="C377" t="inlineStr">
        <is>
          <t>Riverbend, OH 45545</t>
        </is>
      </c>
      <c r="D377" s="27" t="n"/>
      <c r="E377" s="27" t="n"/>
    </row>
    <row r="378">
      <c r="A378" t="inlineStr">
        <is>
          <t>R1377</t>
        </is>
      </c>
      <c r="B378" t="inlineStr">
        <is>
          <t>Aguilar, George</t>
        </is>
      </c>
      <c r="C378" t="inlineStr">
        <is>
          <t>BLUESTONE, OH 45503</t>
        </is>
      </c>
      <c r="D378" s="27" t="n"/>
      <c r="E378" s="27" t="n"/>
    </row>
    <row r="379">
      <c r="A379" t="inlineStr">
        <is>
          <t>R1378</t>
        </is>
      </c>
      <c r="B379" t="inlineStr">
        <is>
          <t>hernandez, aaliyah</t>
        </is>
      </c>
      <c r="C379" t="inlineStr">
        <is>
          <t>Bluestone, OH 45501</t>
        </is>
      </c>
      <c r="D379" s="27" t="n"/>
      <c r="E379" s="27" t="n"/>
    </row>
    <row r="380">
      <c r="A380" t="inlineStr">
        <is>
          <t>R1379</t>
        </is>
      </c>
      <c r="B380" t="inlineStr">
        <is>
          <t>jenkins, cynthia</t>
        </is>
      </c>
      <c r="C380" t="inlineStr">
        <is>
          <t>Oak Glen, OH 45730</t>
        </is>
      </c>
      <c r="D380" s="27" t="n"/>
      <c r="E380" s="27" t="n"/>
    </row>
    <row r="381">
      <c r="A381" t="inlineStr">
        <is>
          <t>R1380</t>
        </is>
      </c>
      <c r="B381" t="inlineStr">
        <is>
          <t>Fisher, Henry</t>
        </is>
      </c>
      <c r="C381" t="inlineStr">
        <is>
          <t>Bluestone, OH 45503-7959</t>
        </is>
      </c>
      <c r="D381" s="27" t="n"/>
      <c r="E381" s="27" t="n"/>
    </row>
    <row r="382">
      <c r="A382" t="inlineStr">
        <is>
          <t>R1381</t>
        </is>
      </c>
      <c r="B382" t="inlineStr">
        <is>
          <t>kim, angela</t>
        </is>
      </c>
      <c r="C382" t="inlineStr">
        <is>
          <t>Bluestone, OH 45501-5311</t>
        </is>
      </c>
      <c r="D382" s="27" t="n"/>
      <c r="E382" s="27" t="n"/>
    </row>
    <row r="383">
      <c r="A383" t="inlineStr">
        <is>
          <t>R1382</t>
        </is>
      </c>
      <c r="B383" t="inlineStr">
        <is>
          <t>Murphy, Denise</t>
        </is>
      </c>
      <c r="C383" t="inlineStr">
        <is>
          <t>Riverbend, OH 45545</t>
        </is>
      </c>
      <c r="D383" s="27" t="n"/>
      <c r="E383" s="27" t="n"/>
    </row>
    <row r="384">
      <c r="A384" t="inlineStr">
        <is>
          <t>R1383</t>
        </is>
      </c>
      <c r="B384" t="inlineStr">
        <is>
          <t>MORGAN, BRUCE</t>
        </is>
      </c>
      <c r="C384" t="inlineStr">
        <is>
          <t>Bluestone OH 45501</t>
        </is>
      </c>
      <c r="D384" s="27" t="n"/>
      <c r="E384" s="27" t="n"/>
    </row>
    <row r="385">
      <c r="A385" t="inlineStr">
        <is>
          <t>R1384</t>
        </is>
      </c>
      <c r="B385" t="inlineStr">
        <is>
          <t>Nicholas Stewart</t>
        </is>
      </c>
      <c r="C385" t="inlineStr">
        <is>
          <t>Ashby Falls OH 45610</t>
        </is>
      </c>
      <c r="D385" s="27" t="n"/>
      <c r="E385" s="27" t="n"/>
    </row>
    <row r="386">
      <c r="A386" t="inlineStr">
        <is>
          <t>R1385</t>
        </is>
      </c>
      <c r="B386" t="inlineStr">
        <is>
          <t>Delgado, Virginia</t>
        </is>
      </c>
      <c r="C386" t="inlineStr">
        <is>
          <t>Granite Springs, OH 45750-2440</t>
        </is>
      </c>
      <c r="D386" s="27" t="n"/>
      <c r="E386" s="27" t="n"/>
    </row>
    <row r="387">
      <c r="A387" t="inlineStr">
        <is>
          <t>R1386</t>
        </is>
      </c>
      <c r="B387" t="inlineStr">
        <is>
          <t>FERGUSON, DORIS</t>
        </is>
      </c>
      <c r="C387" t="inlineStr">
        <is>
          <t>Bluestone, OH 45503</t>
        </is>
      </c>
      <c r="D387" s="27" t="n"/>
      <c r="E387" s="27" t="n"/>
    </row>
    <row r="388">
      <c r="A388" t="inlineStr">
        <is>
          <t>R1387</t>
        </is>
      </c>
      <c r="B388" t="inlineStr">
        <is>
          <t>hayes, joseph</t>
        </is>
      </c>
      <c r="C388" t="inlineStr">
        <is>
          <t>Riverbend OH 45545</t>
        </is>
      </c>
      <c r="D388" s="27" t="n"/>
      <c r="E388" s="27" t="n"/>
    </row>
    <row r="389">
      <c r="A389" t="inlineStr">
        <is>
          <t>R1388</t>
        </is>
      </c>
      <c r="B389" t="inlineStr">
        <is>
          <t>robertson, susan</t>
        </is>
      </c>
      <c r="C389" t="inlineStr">
        <is>
          <t>RIVERBEND, OH 45545</t>
        </is>
      </c>
      <c r="D389" s="27" t="n"/>
      <c r="E389" s="27" t="n"/>
    </row>
    <row r="390">
      <c r="A390" t="inlineStr">
        <is>
          <t>R1389</t>
        </is>
      </c>
      <c r="B390" t="inlineStr">
        <is>
          <t>Ortiz, Aaliyah</t>
        </is>
      </c>
      <c r="C390" t="inlineStr">
        <is>
          <t>Pine Hollow, OH 45640-8347</t>
        </is>
      </c>
      <c r="D390" s="27" t="n"/>
      <c r="E390" s="27" t="n"/>
    </row>
    <row r="391">
      <c r="A391" t="inlineStr">
        <is>
          <t>R1390</t>
        </is>
      </c>
      <c r="B391" t="inlineStr">
        <is>
          <t>Bradley, Christian</t>
        </is>
      </c>
      <c r="C391" t="inlineStr">
        <is>
          <t>Lakeview Heights, OH 45510</t>
        </is>
      </c>
      <c r="D391" s="27" t="n"/>
      <c r="E391" s="27" t="n"/>
    </row>
    <row r="392">
      <c r="A392" t="inlineStr">
        <is>
          <t>R1391</t>
        </is>
      </c>
      <c r="B392" t="inlineStr">
        <is>
          <t xml:space="preserve">  Alvarado ,  Wayne </t>
        </is>
      </c>
      <c r="C392" t="inlineStr">
        <is>
          <t>Ashby Falls, OH 45610</t>
        </is>
      </c>
      <c r="D392" s="27" t="n"/>
      <c r="E392" s="27" t="n"/>
    </row>
    <row r="393">
      <c r="A393" t="inlineStr">
        <is>
          <t>R1392</t>
        </is>
      </c>
      <c r="B393" t="inlineStr">
        <is>
          <t>Grace Porter</t>
        </is>
      </c>
      <c r="C393" t="inlineStr">
        <is>
          <t>Bluestone OH 45503</t>
        </is>
      </c>
      <c r="D393" s="27" t="n"/>
      <c r="E393" s="27" t="n"/>
    </row>
    <row r="394">
      <c r="A394" t="inlineStr">
        <is>
          <t>R1393</t>
        </is>
      </c>
      <c r="B394" t="inlineStr">
        <is>
          <t>Jose Hunter</t>
        </is>
      </c>
      <c r="C394" t="inlineStr">
        <is>
          <t>Riverbend OH 45545</t>
        </is>
      </c>
      <c r="D394" s="27" t="n"/>
      <c r="E394" s="27" t="n"/>
    </row>
    <row r="395">
      <c r="A395" t="inlineStr">
        <is>
          <t>R1394</t>
        </is>
      </c>
      <c r="B395" t="inlineStr">
        <is>
          <t>Collins, Daniel</t>
        </is>
      </c>
      <c r="C395" t="inlineStr">
        <is>
          <t>Riverbend, OH 45545</t>
        </is>
      </c>
      <c r="D395" s="27" t="n"/>
      <c r="E395" s="27" t="n"/>
    </row>
    <row r="396">
      <c r="A396" t="inlineStr">
        <is>
          <t>R1395</t>
        </is>
      </c>
      <c r="B396" t="inlineStr">
        <is>
          <t>Palmer, Henry</t>
        </is>
      </c>
      <c r="C396" t="inlineStr">
        <is>
          <t>RIVERBEND, OH 45545</t>
        </is>
      </c>
      <c r="D396" s="27" t="n"/>
      <c r="E396" s="27" t="n"/>
    </row>
    <row r="397">
      <c r="A397" t="inlineStr">
        <is>
          <t>R1396</t>
        </is>
      </c>
      <c r="B397" t="inlineStr">
        <is>
          <t>WARREN, CHARLES</t>
        </is>
      </c>
      <c r="C397" t="inlineStr">
        <is>
          <t>Cedar Ridge, OH 45720</t>
        </is>
      </c>
      <c r="D397" s="27" t="n"/>
      <c r="E397" s="27" t="n"/>
    </row>
    <row r="398">
      <c r="A398" t="inlineStr">
        <is>
          <t>R1397</t>
        </is>
      </c>
      <c r="B398" t="inlineStr">
        <is>
          <t>Walker, Judith</t>
        </is>
      </c>
      <c r="C398" t="inlineStr">
        <is>
          <t>Bluestone, OH 45502</t>
        </is>
      </c>
      <c r="D398" s="27" t="n"/>
      <c r="E398" s="27" t="n"/>
    </row>
    <row r="399">
      <c r="A399" t="inlineStr">
        <is>
          <t>R1398</t>
        </is>
      </c>
      <c r="B399" t="inlineStr">
        <is>
          <t>RUSSELL, AMINA</t>
        </is>
      </c>
      <c r="C399" t="inlineStr">
        <is>
          <t>Bluestone OH 45501</t>
        </is>
      </c>
      <c r="D399" s="27" t="n"/>
      <c r="E399" s="27" t="n"/>
    </row>
    <row r="400">
      <c r="A400" t="inlineStr">
        <is>
          <t>R1399</t>
        </is>
      </c>
      <c r="B400" t="inlineStr">
        <is>
          <t>Wilson, Rebecca</t>
        </is>
      </c>
      <c r="C400" t="inlineStr">
        <is>
          <t>FAIRHAVEN, OH 45620</t>
        </is>
      </c>
      <c r="D400" s="27" t="n"/>
      <c r="E400" s="27" t="n"/>
    </row>
    <row r="401">
      <c r="A401" t="inlineStr">
        <is>
          <t>R1400</t>
        </is>
      </c>
      <c r="B401" t="inlineStr">
        <is>
          <t>Robinson, Brian</t>
        </is>
      </c>
      <c r="C401" t="inlineStr">
        <is>
          <t>Cedar Ridge OH 45720</t>
        </is>
      </c>
      <c r="D401" s="27" t="n"/>
      <c r="E401" s="27" t="n"/>
    </row>
    <row r="402">
      <c r="A402" t="inlineStr">
        <is>
          <t>R1401</t>
        </is>
      </c>
      <c r="B402" t="inlineStr">
        <is>
          <t xml:space="preserve">  Andrews ,  Danielle </t>
        </is>
      </c>
      <c r="C402" t="inlineStr">
        <is>
          <t>Cedar Ridge, OH 45720</t>
        </is>
      </c>
      <c r="D402" s="27" t="n"/>
      <c r="E402" s="27" t="n"/>
    </row>
    <row r="403">
      <c r="A403" t="inlineStr">
        <is>
          <t>R1402</t>
        </is>
      </c>
      <c r="B403" t="inlineStr">
        <is>
          <t>Ethan Carpenter</t>
        </is>
      </c>
      <c r="C403" t="inlineStr">
        <is>
          <t>Bluestone, OH 45501</t>
        </is>
      </c>
      <c r="D403" s="27" t="n"/>
      <c r="E403" s="27" t="n"/>
    </row>
    <row r="404">
      <c r="A404" t="inlineStr">
        <is>
          <t>R1403</t>
        </is>
      </c>
      <c r="B404" t="inlineStr">
        <is>
          <t>CHAVEZ, HELEN</t>
        </is>
      </c>
      <c r="C404" t="inlineStr">
        <is>
          <t>Riverbend, OH 45545-2821</t>
        </is>
      </c>
      <c r="D404" s="27" t="n"/>
      <c r="E404" s="27" t="n"/>
    </row>
    <row r="405">
      <c r="A405" t="inlineStr">
        <is>
          <t>R1404</t>
        </is>
      </c>
      <c r="B405" t="inlineStr">
        <is>
          <t xml:space="preserve">  Hill ,  William </t>
        </is>
      </c>
      <c r="C405" t="inlineStr">
        <is>
          <t>Bluestone, OH 45502</t>
        </is>
      </c>
      <c r="D405" s="27" t="n"/>
      <c r="E405" s="27" t="n"/>
    </row>
    <row r="406">
      <c r="A406" t="inlineStr">
        <is>
          <t>R1405</t>
        </is>
      </c>
      <c r="B406" t="inlineStr">
        <is>
          <t>Timothy Nguyen</t>
        </is>
      </c>
      <c r="C406" t="inlineStr">
        <is>
          <t>Ashby Falls, OH 45610</t>
        </is>
      </c>
      <c r="D406" s="27" t="n"/>
      <c r="E406" s="27" t="n"/>
    </row>
    <row r="407">
      <c r="A407" t="inlineStr">
        <is>
          <t>R1406</t>
        </is>
      </c>
      <c r="B407" t="inlineStr">
        <is>
          <t>Alan Reynolds</t>
        </is>
      </c>
      <c r="C407" t="inlineStr">
        <is>
          <t>Cedar Ridge, OH 45720</t>
        </is>
      </c>
      <c r="D407" s="27" t="n"/>
      <c r="E407" s="27" t="n"/>
    </row>
    <row r="408">
      <c r="A408" t="inlineStr">
        <is>
          <t>R1407</t>
        </is>
      </c>
      <c r="B408" t="inlineStr">
        <is>
          <t>Ward, Thomas</t>
        </is>
      </c>
      <c r="C408" t="inlineStr">
        <is>
          <t>Cedar Ridge, OH 45720</t>
        </is>
      </c>
      <c r="D408" s="27" t="n"/>
      <c r="E408" s="27" t="n"/>
    </row>
    <row r="409">
      <c r="A409" t="inlineStr">
        <is>
          <t>R1408</t>
        </is>
      </c>
      <c r="B409" t="inlineStr">
        <is>
          <t xml:space="preserve">  Harrison ,  Kayla </t>
        </is>
      </c>
      <c r="C409" t="inlineStr">
        <is>
          <t>Lakeview Heights, OH 45510</t>
        </is>
      </c>
      <c r="D409" s="27" t="n"/>
      <c r="E409" s="27" t="n"/>
    </row>
    <row r="410">
      <c r="A410" t="inlineStr">
        <is>
          <t>R1409</t>
        </is>
      </c>
      <c r="B410" t="inlineStr">
        <is>
          <t>WHITE, AMBER</t>
        </is>
      </c>
      <c r="C410" t="inlineStr">
        <is>
          <t>Cedar Ridge, OH 45720</t>
        </is>
      </c>
      <c r="D410" s="27" t="n"/>
      <c r="E410" s="27" t="n"/>
    </row>
    <row r="411">
      <c r="A411" t="inlineStr">
        <is>
          <t>R1410</t>
        </is>
      </c>
      <c r="B411" t="inlineStr">
        <is>
          <t>rivera, sara</t>
        </is>
      </c>
      <c r="C411" t="inlineStr">
        <is>
          <t>Bluestone, OH 45501</t>
        </is>
      </c>
      <c r="D411" s="27" t="n"/>
      <c r="E411" s="27" t="n"/>
    </row>
    <row r="412">
      <c r="A412" t="inlineStr">
        <is>
          <t>R1411</t>
        </is>
      </c>
      <c r="B412" t="inlineStr">
        <is>
          <t>Hayes, Nicholas</t>
        </is>
      </c>
      <c r="C412" t="inlineStr">
        <is>
          <t>Cedar Ridge OH 45720</t>
        </is>
      </c>
      <c r="D412" s="27" t="n"/>
      <c r="E412" s="27" t="n"/>
    </row>
    <row r="413">
      <c r="A413" t="inlineStr">
        <is>
          <t>R1412</t>
        </is>
      </c>
      <c r="B413" t="inlineStr">
        <is>
          <t>Holmes, Jessica</t>
        </is>
      </c>
      <c r="C413" t="inlineStr">
        <is>
          <t>Cedar Ridge OH 45720</t>
        </is>
      </c>
      <c r="D413" s="27" t="n"/>
      <c r="E413" s="27" t="n"/>
    </row>
    <row r="414">
      <c r="A414" t="inlineStr">
        <is>
          <t>R1413</t>
        </is>
      </c>
      <c r="B414" t="inlineStr">
        <is>
          <t>coleman, mei</t>
        </is>
      </c>
      <c r="C414" t="inlineStr">
        <is>
          <t>Bluestone, OH 45502</t>
        </is>
      </c>
      <c r="D414" s="27" t="n"/>
      <c r="E414" s="27" t="n"/>
    </row>
    <row r="415">
      <c r="A415" t="inlineStr">
        <is>
          <t>R1414</t>
        </is>
      </c>
      <c r="B415" t="inlineStr">
        <is>
          <t>Helen Richards</t>
        </is>
      </c>
      <c r="C415" t="inlineStr">
        <is>
          <t>Bluestone, OH 45501-8671</t>
        </is>
      </c>
      <c r="D415" s="27" t="n"/>
      <c r="E415" s="27" t="n"/>
    </row>
    <row r="416">
      <c r="A416" t="inlineStr">
        <is>
          <t>R1415</t>
        </is>
      </c>
      <c r="B416" t="inlineStr">
        <is>
          <t>SANCHEZ, DIANA</t>
        </is>
      </c>
      <c r="C416" t="inlineStr">
        <is>
          <t>Bluestone, OH 45502</t>
        </is>
      </c>
      <c r="D416" s="27" t="n"/>
      <c r="E416" s="27" t="n"/>
    </row>
    <row r="417">
      <c r="A417" t="inlineStr">
        <is>
          <t>R1416</t>
        </is>
      </c>
      <c r="B417" t="inlineStr">
        <is>
          <t>Daniels, Mei</t>
        </is>
      </c>
      <c r="C417" t="inlineStr">
        <is>
          <t>Ashby Falls, OH 45610</t>
        </is>
      </c>
      <c r="D417" s="27" t="n"/>
      <c r="E417" s="27" t="n"/>
    </row>
    <row r="418">
      <c r="A418" t="inlineStr">
        <is>
          <t>R1417</t>
        </is>
      </c>
      <c r="B418" t="inlineStr">
        <is>
          <t>Webb, Donald</t>
        </is>
      </c>
      <c r="C418" t="inlineStr">
        <is>
          <t>BLUESTONE, OH 45503</t>
        </is>
      </c>
      <c r="D418" s="27" t="n"/>
      <c r="E418" s="27" t="n"/>
    </row>
    <row r="419">
      <c r="A419" t="inlineStr">
        <is>
          <t>R1418</t>
        </is>
      </c>
      <c r="B419" t="inlineStr">
        <is>
          <t>Jackson, Natalie</t>
        </is>
      </c>
      <c r="C419" t="inlineStr">
        <is>
          <t>Bluestone, OH 45503</t>
        </is>
      </c>
      <c r="D419" s="27" t="n"/>
      <c r="E419" s="27" t="n"/>
    </row>
    <row r="420">
      <c r="A420" t="inlineStr">
        <is>
          <t>R1419</t>
        </is>
      </c>
      <c r="B420" t="inlineStr">
        <is>
          <t>BERRY, BRYAN</t>
        </is>
      </c>
      <c r="C420" t="inlineStr">
        <is>
          <t>LAKEVIEW HEIGHTS, OH 45510</t>
        </is>
      </c>
      <c r="D420" s="27" t="n"/>
      <c r="E420" s="27" t="n"/>
    </row>
    <row r="421">
      <c r="A421" t="inlineStr">
        <is>
          <t>R1420</t>
        </is>
      </c>
      <c r="B421" t="inlineStr">
        <is>
          <t>LOPEZ, ROSA</t>
        </is>
      </c>
      <c r="C421" t="inlineStr">
        <is>
          <t>Cedar Ridge OH 45720</t>
        </is>
      </c>
      <c r="D421" s="27" t="n"/>
      <c r="E421" s="27" t="n"/>
    </row>
    <row r="422">
      <c r="A422" t="inlineStr">
        <is>
          <t>R1421</t>
        </is>
      </c>
      <c r="B422" t="inlineStr">
        <is>
          <t>HOLMES, LINH</t>
        </is>
      </c>
      <c r="C422" t="inlineStr">
        <is>
          <t>Pine Hollow, OH 45640-4804</t>
        </is>
      </c>
      <c r="D422" s="27" t="n"/>
      <c r="E422" s="27" t="n"/>
    </row>
    <row r="423">
      <c r="A423" t="inlineStr">
        <is>
          <t>R1422</t>
        </is>
      </c>
      <c r="B423" t="inlineStr">
        <is>
          <t>Jones, Susan</t>
        </is>
      </c>
      <c r="C423" t="inlineStr">
        <is>
          <t>BLUESTONE, OH 45503</t>
        </is>
      </c>
      <c r="D423" s="27" t="n"/>
      <c r="E423" s="27" t="n"/>
    </row>
    <row r="424">
      <c r="A424" t="inlineStr">
        <is>
          <t>R1423</t>
        </is>
      </c>
      <c r="B424" t="inlineStr">
        <is>
          <t>thompson, jesse</t>
        </is>
      </c>
      <c r="C424" t="inlineStr">
        <is>
          <t>Bluestone, OH 45502</t>
        </is>
      </c>
      <c r="D424" s="27" t="n"/>
      <c r="E424" s="27" t="n"/>
    </row>
    <row r="425">
      <c r="A425" t="inlineStr">
        <is>
          <t>R1424</t>
        </is>
      </c>
      <c r="B425" t="inlineStr">
        <is>
          <t>shaw, larry</t>
        </is>
      </c>
      <c r="C425" t="inlineStr">
        <is>
          <t>Bluestone, OH 45502</t>
        </is>
      </c>
      <c r="D425" s="27" t="n"/>
      <c r="E425" s="27" t="n"/>
    </row>
    <row r="426">
      <c r="A426" t="inlineStr">
        <is>
          <t>R1425</t>
        </is>
      </c>
      <c r="B426" t="inlineStr">
        <is>
          <t xml:space="preserve">  Jordan ,  Judy </t>
        </is>
      </c>
      <c r="C426" t="inlineStr">
        <is>
          <t>Riverbend, OH 45545</t>
        </is>
      </c>
      <c r="D426" s="27" t="n"/>
      <c r="E426" s="27" t="n"/>
    </row>
    <row r="427">
      <c r="A427" t="inlineStr">
        <is>
          <t>R1426</t>
        </is>
      </c>
      <c r="B427" t="inlineStr">
        <is>
          <t>Alexander Santos</t>
        </is>
      </c>
      <c r="C427" t="inlineStr">
        <is>
          <t>Lakeview Heights, OH 45510</t>
        </is>
      </c>
      <c r="D427" s="27" t="n"/>
      <c r="E427" s="27" t="n"/>
    </row>
    <row r="428">
      <c r="A428" t="inlineStr">
        <is>
          <t>R1427</t>
        </is>
      </c>
      <c r="B428" t="inlineStr">
        <is>
          <t>Robert Edwards</t>
        </is>
      </c>
      <c r="C428" t="inlineStr">
        <is>
          <t>Bluestone, OH 45503</t>
        </is>
      </c>
      <c r="D428" s="27" t="n"/>
      <c r="E428" s="27" t="n"/>
    </row>
    <row r="429">
      <c r="A429" t="inlineStr">
        <is>
          <t>R1428</t>
        </is>
      </c>
      <c r="B429" t="inlineStr">
        <is>
          <t>Myers, Amanda</t>
        </is>
      </c>
      <c r="C429" t="inlineStr">
        <is>
          <t>ASHBY FALLS, OH 45610</t>
        </is>
      </c>
      <c r="D429" s="27" t="n"/>
      <c r="E429" s="27" t="n"/>
    </row>
    <row r="430">
      <c r="A430" t="inlineStr">
        <is>
          <t>R1429</t>
        </is>
      </c>
      <c r="B430" t="inlineStr">
        <is>
          <t>anderson, ethan</t>
        </is>
      </c>
      <c r="C430" t="inlineStr">
        <is>
          <t>Riverbend OH 45545</t>
        </is>
      </c>
      <c r="D430" s="27" t="n"/>
      <c r="E430" s="27" t="n"/>
    </row>
    <row r="431">
      <c r="A431" t="inlineStr">
        <is>
          <t>R1430</t>
        </is>
      </c>
      <c r="B431" t="inlineStr">
        <is>
          <t>OSEI, AHMED</t>
        </is>
      </c>
      <c r="C431" t="inlineStr">
        <is>
          <t>Pine Hollow, OH 45640-1523</t>
        </is>
      </c>
      <c r="D431" s="27" t="n"/>
      <c r="E431" s="27" t="n"/>
    </row>
    <row r="432">
      <c r="A432" t="inlineStr">
        <is>
          <t>R1431</t>
        </is>
      </c>
      <c r="B432" t="inlineStr">
        <is>
          <t>RAY, ABIGAIL</t>
        </is>
      </c>
      <c r="C432" t="inlineStr">
        <is>
          <t>Millbrook, OH 45530-8186</t>
        </is>
      </c>
      <c r="D432" s="27" t="n"/>
      <c r="E432" s="27" t="n"/>
    </row>
    <row r="433">
      <c r="A433" t="inlineStr">
        <is>
          <t>R1432</t>
        </is>
      </c>
      <c r="B433" t="inlineStr">
        <is>
          <t>Kennedy, Larry</t>
        </is>
      </c>
      <c r="C433" t="inlineStr">
        <is>
          <t>Bluestone, OH 45501</t>
        </is>
      </c>
      <c r="D433" s="27" t="n"/>
      <c r="E433" s="27" t="n"/>
    </row>
    <row r="434">
      <c r="A434" t="inlineStr">
        <is>
          <t>R1433</t>
        </is>
      </c>
      <c r="B434" t="inlineStr">
        <is>
          <t>Kowalski, Jose</t>
        </is>
      </c>
      <c r="C434" t="inlineStr">
        <is>
          <t>Bluestone, OH 45502</t>
        </is>
      </c>
      <c r="D434" s="27" t="n"/>
      <c r="E434" s="27" t="n"/>
    </row>
    <row r="435">
      <c r="A435" t="inlineStr">
        <is>
          <t>R1434</t>
        </is>
      </c>
      <c r="B435" t="inlineStr">
        <is>
          <t xml:space="preserve">  Ford ,  Michelle </t>
        </is>
      </c>
      <c r="C435" t="inlineStr">
        <is>
          <t>Bluestone, OH 45501</t>
        </is>
      </c>
      <c r="D435" s="27" t="n"/>
      <c r="E435" s="27" t="n"/>
    </row>
    <row r="436">
      <c r="A436" t="inlineStr">
        <is>
          <t>R1435</t>
        </is>
      </c>
      <c r="B436" t="inlineStr">
        <is>
          <t>HAYES, ROSA</t>
        </is>
      </c>
      <c r="C436" t="inlineStr">
        <is>
          <t>Bluestone, OH 45501</t>
        </is>
      </c>
      <c r="D436" s="27" t="n"/>
      <c r="E436" s="27" t="n"/>
    </row>
    <row r="437">
      <c r="A437" t="inlineStr">
        <is>
          <t>R1436</t>
        </is>
      </c>
      <c r="B437" t="inlineStr">
        <is>
          <t>Griffin, Aaron</t>
        </is>
      </c>
      <c r="C437" t="inlineStr">
        <is>
          <t>Millbrook, OH 45530</t>
        </is>
      </c>
      <c r="D437" s="27" t="n"/>
      <c r="E437" s="27" t="n"/>
    </row>
    <row r="438">
      <c r="A438" t="inlineStr">
        <is>
          <t>R1437</t>
        </is>
      </c>
      <c r="B438" t="inlineStr">
        <is>
          <t>Gomez, Kenneth</t>
        </is>
      </c>
      <c r="C438" t="inlineStr">
        <is>
          <t>Bluestone, OH 45502</t>
        </is>
      </c>
      <c r="D438" s="27" t="n"/>
      <c r="E438" s="27" t="n"/>
    </row>
    <row r="439">
      <c r="A439" t="inlineStr">
        <is>
          <t>R1438</t>
        </is>
      </c>
      <c r="B439" t="inlineStr">
        <is>
          <t>Kennedy, Martha</t>
        </is>
      </c>
      <c r="C439" t="inlineStr">
        <is>
          <t>Lakeview Heights, OH 45510</t>
        </is>
      </c>
      <c r="D439" s="27" t="n"/>
      <c r="E439" s="27" t="n"/>
    </row>
    <row r="440">
      <c r="A440" t="inlineStr">
        <is>
          <t>R1439</t>
        </is>
      </c>
      <c r="B440" t="inlineStr">
        <is>
          <t>ALEXANDER, GERALD</t>
        </is>
      </c>
      <c r="C440" t="inlineStr">
        <is>
          <t>Bluestone, OH 45502-2223</t>
        </is>
      </c>
      <c r="D440" s="27" t="n"/>
      <c r="E440" s="27" t="n"/>
    </row>
    <row r="441">
      <c r="A441" t="inlineStr">
        <is>
          <t>R1440</t>
        </is>
      </c>
      <c r="B441" t="inlineStr">
        <is>
          <t>Campbell, Virginia</t>
        </is>
      </c>
      <c r="C441" t="inlineStr">
        <is>
          <t>Riverbend, OH 45545</t>
        </is>
      </c>
      <c r="D441" s="27" t="n"/>
      <c r="E441" s="27" t="n"/>
    </row>
    <row r="442">
      <c r="A442" t="inlineStr">
        <is>
          <t>R1441</t>
        </is>
      </c>
      <c r="B442" t="inlineStr">
        <is>
          <t>THOMPSON, SARA</t>
        </is>
      </c>
      <c r="C442" t="inlineStr">
        <is>
          <t>Millbrook, OH 45530-4130</t>
        </is>
      </c>
      <c r="D442" s="27" t="n"/>
      <c r="E442" s="27" t="n"/>
    </row>
    <row r="443">
      <c r="A443" t="inlineStr">
        <is>
          <t>R1442</t>
        </is>
      </c>
      <c r="B443" t="inlineStr">
        <is>
          <t>Hunter, Russell</t>
        </is>
      </c>
      <c r="C443" t="inlineStr">
        <is>
          <t>Bluestone, OH 45503-8380</t>
        </is>
      </c>
      <c r="D443" s="27" t="n"/>
      <c r="E443" s="27" t="n"/>
    </row>
    <row r="444">
      <c r="A444" t="inlineStr">
        <is>
          <t>R1443</t>
        </is>
      </c>
      <c r="B444" t="inlineStr">
        <is>
          <t>PHILLIPS, JAMES</t>
        </is>
      </c>
      <c r="C444" t="inlineStr">
        <is>
          <t>FAIRHAVEN, OH 45620</t>
        </is>
      </c>
      <c r="D444" s="27" t="n"/>
      <c r="E444" s="27" t="n"/>
    </row>
    <row r="445">
      <c r="A445" t="inlineStr">
        <is>
          <t>R1444</t>
        </is>
      </c>
      <c r="B445" t="inlineStr">
        <is>
          <t>Castillo, Judith</t>
        </is>
      </c>
      <c r="C445" t="inlineStr">
        <is>
          <t>BLUESTONE, OH 45502</t>
        </is>
      </c>
      <c r="D445" s="27" t="n"/>
      <c r="E445" s="27" t="n"/>
    </row>
    <row r="446">
      <c r="A446" t="inlineStr">
        <is>
          <t>R1445</t>
        </is>
      </c>
      <c r="B446" t="inlineStr">
        <is>
          <t>lopez, robert</t>
        </is>
      </c>
      <c r="C446" t="inlineStr">
        <is>
          <t>Cedar Ridge, OH 45720-3747</t>
        </is>
      </c>
      <c r="D446" s="27" t="n"/>
      <c r="E446" s="27" t="n"/>
    </row>
    <row r="447">
      <c r="A447" t="inlineStr">
        <is>
          <t>R1446</t>
        </is>
      </c>
      <c r="B447" t="inlineStr">
        <is>
          <t>Lawrence Santos</t>
        </is>
      </c>
      <c r="C447" t="inlineStr">
        <is>
          <t>Cedar Ridge OH 45720</t>
        </is>
      </c>
      <c r="D447" s="27" t="n"/>
      <c r="E447" s="27" t="n"/>
    </row>
    <row r="448">
      <c r="A448" t="inlineStr">
        <is>
          <t>R1447</t>
        </is>
      </c>
      <c r="B448" t="inlineStr">
        <is>
          <t>boyd, kayla</t>
        </is>
      </c>
      <c r="C448" t="inlineStr">
        <is>
          <t>Bluestone, OH 45503</t>
        </is>
      </c>
      <c r="D448" s="27" t="n"/>
      <c r="E448" s="27" t="n"/>
    </row>
    <row r="449">
      <c r="A449" t="inlineStr">
        <is>
          <t>R1448</t>
        </is>
      </c>
      <c r="B449" t="inlineStr">
        <is>
          <t>FOSTER, ALICE</t>
        </is>
      </c>
      <c r="C449" t="inlineStr">
        <is>
          <t>Bluestone, OH 45501</t>
        </is>
      </c>
      <c r="D449" s="27" t="n"/>
      <c r="E449" s="27" t="n"/>
    </row>
    <row r="450">
      <c r="A450" t="inlineStr">
        <is>
          <t>R1449</t>
        </is>
      </c>
      <c r="B450" t="inlineStr">
        <is>
          <t>Hernandez, Mia</t>
        </is>
      </c>
      <c r="C450" t="inlineStr">
        <is>
          <t>Bluestone OH 45502</t>
        </is>
      </c>
      <c r="D450" s="27" t="n"/>
      <c r="E450" s="27" t="n"/>
    </row>
    <row r="451">
      <c r="A451" t="inlineStr">
        <is>
          <t>R1450</t>
        </is>
      </c>
      <c r="B451" t="inlineStr">
        <is>
          <t xml:space="preserve">  Robinson ,  Joan </t>
        </is>
      </c>
      <c r="C451" t="inlineStr">
        <is>
          <t>Bluestone, OH 45501</t>
        </is>
      </c>
      <c r="D451" s="27" t="n"/>
      <c r="E451" s="27" t="n"/>
    </row>
    <row r="452">
      <c r="A452" t="inlineStr">
        <is>
          <t>R1451</t>
        </is>
      </c>
      <c r="B452" t="inlineStr">
        <is>
          <t>WARREN, SUSAN</t>
        </is>
      </c>
      <c r="C452" t="inlineStr">
        <is>
          <t>OAK GLEN, OH 45730</t>
        </is>
      </c>
      <c r="D452" s="27" t="n"/>
      <c r="E452" s="27" t="n"/>
    </row>
    <row r="453">
      <c r="A453" t="inlineStr">
        <is>
          <t>R1452</t>
        </is>
      </c>
      <c r="B453" t="inlineStr">
        <is>
          <t>Jordan Jenkins</t>
        </is>
      </c>
      <c r="C453" t="inlineStr">
        <is>
          <t>Riverbend, OH 45545-6431</t>
        </is>
      </c>
      <c r="D453" s="27" t="n"/>
      <c r="E453" s="27" t="n"/>
    </row>
    <row r="454">
      <c r="A454" t="inlineStr">
        <is>
          <t>R1453</t>
        </is>
      </c>
      <c r="B454" t="inlineStr">
        <is>
          <t>Kimberly Ward</t>
        </is>
      </c>
      <c r="C454" t="inlineStr">
        <is>
          <t>Cedar Ridge, OH 45720</t>
        </is>
      </c>
      <c r="D454" s="27" t="n"/>
      <c r="E454" s="27" t="n"/>
    </row>
    <row r="455">
      <c r="A455" t="inlineStr">
        <is>
          <t>R1454</t>
        </is>
      </c>
      <c r="B455" t="inlineStr">
        <is>
          <t xml:space="preserve">  Osei ,  Jose </t>
        </is>
      </c>
      <c r="C455" t="inlineStr">
        <is>
          <t>Bluestone, OH 45502</t>
        </is>
      </c>
      <c r="D455" s="27" t="n"/>
      <c r="E455" s="27" t="n"/>
    </row>
    <row r="456">
      <c r="A456" t="inlineStr">
        <is>
          <t>R1455</t>
        </is>
      </c>
      <c r="B456" t="inlineStr">
        <is>
          <t>Evelyn Vargas</t>
        </is>
      </c>
      <c r="C456" t="inlineStr">
        <is>
          <t>Riverbend, OH 45545-6729</t>
        </is>
      </c>
      <c r="D456" s="27" t="n"/>
      <c r="E456" s="27" t="n"/>
    </row>
    <row r="457">
      <c r="A457" t="inlineStr">
        <is>
          <t>R1456</t>
        </is>
      </c>
      <c r="B457" t="inlineStr">
        <is>
          <t>shaw, aaliyah</t>
        </is>
      </c>
      <c r="C457" t="inlineStr">
        <is>
          <t>Bluestone, OH 45501</t>
        </is>
      </c>
      <c r="D457" s="27" t="n"/>
      <c r="E457" s="27" t="n"/>
    </row>
    <row r="458">
      <c r="A458" t="inlineStr">
        <is>
          <t>R1457</t>
        </is>
      </c>
      <c r="B458" t="inlineStr">
        <is>
          <t>Bell, Amina</t>
        </is>
      </c>
      <c r="C458" t="inlineStr">
        <is>
          <t>BLUESTONE, OH 45503</t>
        </is>
      </c>
      <c r="D458" s="27" t="n"/>
      <c r="E458" s="27" t="n"/>
    </row>
    <row r="459">
      <c r="A459" t="inlineStr">
        <is>
          <t>R1458</t>
        </is>
      </c>
      <c r="B459" t="inlineStr">
        <is>
          <t xml:space="preserve">  Roberts ,  Alexis </t>
        </is>
      </c>
      <c r="C459" t="inlineStr">
        <is>
          <t>Bluestone, OH 45502</t>
        </is>
      </c>
      <c r="D459" s="27" t="n"/>
      <c r="E459" s="27" t="n"/>
    </row>
    <row r="460">
      <c r="A460" t="inlineStr">
        <is>
          <t>R1459</t>
        </is>
      </c>
      <c r="B460" t="inlineStr">
        <is>
          <t>fisher, frances</t>
        </is>
      </c>
      <c r="C460" t="inlineStr">
        <is>
          <t>Ashby Falls, OH 45610-7670</t>
        </is>
      </c>
      <c r="D460" s="27" t="n"/>
      <c r="E460" s="27" t="n"/>
    </row>
    <row r="461">
      <c r="A461" t="inlineStr">
        <is>
          <t>R1460</t>
        </is>
      </c>
      <c r="B461" t="inlineStr">
        <is>
          <t>BAILEY, HELEN</t>
        </is>
      </c>
      <c r="C461" t="inlineStr">
        <is>
          <t>Bluestone, OH 45503</t>
        </is>
      </c>
      <c r="D461" s="27" t="n"/>
      <c r="E461" s="27" t="n"/>
    </row>
    <row r="462">
      <c r="A462" t="inlineStr">
        <is>
          <t>R1461</t>
        </is>
      </c>
      <c r="B462" t="inlineStr">
        <is>
          <t>Adams, Bobby</t>
        </is>
      </c>
      <c r="C462" t="inlineStr">
        <is>
          <t>Cedar Ridge, OH 45720</t>
        </is>
      </c>
      <c r="D462" s="27" t="n"/>
      <c r="E462" s="27" t="n"/>
    </row>
    <row r="463">
      <c r="A463" t="inlineStr">
        <is>
          <t>R1462</t>
        </is>
      </c>
      <c r="B463" t="inlineStr">
        <is>
          <t>Natalie Fernandez</t>
        </is>
      </c>
      <c r="C463" t="inlineStr">
        <is>
          <t>Bluestone, OH 45502</t>
        </is>
      </c>
      <c r="D463" s="27" t="n"/>
      <c r="E463" s="27" t="n"/>
    </row>
    <row r="464">
      <c r="A464" t="inlineStr">
        <is>
          <t>R1463</t>
        </is>
      </c>
      <c r="B464" t="inlineStr">
        <is>
          <t xml:space="preserve">  Kennedy ,  Mateo </t>
        </is>
      </c>
      <c r="C464" t="inlineStr">
        <is>
          <t>BLUESTONE, OH 45502</t>
        </is>
      </c>
      <c r="D464" s="27" t="n"/>
      <c r="E464" s="27" t="n"/>
    </row>
    <row r="465">
      <c r="A465" t="inlineStr">
        <is>
          <t>R1464</t>
        </is>
      </c>
      <c r="B465" t="inlineStr">
        <is>
          <t xml:space="preserve">  Matthews ,  Cheryl </t>
        </is>
      </c>
      <c r="C465" t="inlineStr">
        <is>
          <t>Bluestone, OH 45503</t>
        </is>
      </c>
      <c r="D465" s="27" t="n"/>
      <c r="E465" s="27" t="n"/>
    </row>
    <row r="466">
      <c r="A466" t="inlineStr">
        <is>
          <t>R1465</t>
        </is>
      </c>
      <c r="B466" t="inlineStr">
        <is>
          <t>graham, john</t>
        </is>
      </c>
      <c r="C466" t="inlineStr">
        <is>
          <t>Bluestone, OH 45502</t>
        </is>
      </c>
      <c r="D466" s="27" t="n"/>
      <c r="E466" s="27" t="n"/>
    </row>
    <row r="467">
      <c r="A467" t="inlineStr">
        <is>
          <t>R1466</t>
        </is>
      </c>
      <c r="B467" t="inlineStr">
        <is>
          <t>FERNANDEZ, MARK</t>
        </is>
      </c>
      <c r="C467" t="inlineStr">
        <is>
          <t>BLUESTONE, OH 45501</t>
        </is>
      </c>
      <c r="D467" s="27" t="n"/>
      <c r="E467" s="27" t="n"/>
    </row>
    <row r="468">
      <c r="A468" t="inlineStr">
        <is>
          <t>R1467</t>
        </is>
      </c>
      <c r="B468" t="inlineStr">
        <is>
          <t>Hicks, Ruth</t>
        </is>
      </c>
      <c r="C468" t="inlineStr">
        <is>
          <t>Bluestone OH 45501</t>
        </is>
      </c>
      <c r="D468" s="27" t="n"/>
      <c r="E468" s="27" t="n"/>
    </row>
    <row r="469">
      <c r="A469" t="inlineStr">
        <is>
          <t>R1468</t>
        </is>
      </c>
      <c r="B469" t="inlineStr">
        <is>
          <t>Pierce, Jerry</t>
        </is>
      </c>
      <c r="C469" t="inlineStr">
        <is>
          <t>Oak Glen, OH 45730</t>
        </is>
      </c>
      <c r="D469" s="27" t="n"/>
      <c r="E469" s="27" t="n"/>
    </row>
    <row r="470">
      <c r="A470" t="inlineStr">
        <is>
          <t>R1469</t>
        </is>
      </c>
      <c r="B470" t="inlineStr">
        <is>
          <t>FORD, JULIE</t>
        </is>
      </c>
      <c r="C470" t="inlineStr">
        <is>
          <t>Bluestone, OH 45503</t>
        </is>
      </c>
      <c r="D470" s="27" t="n"/>
      <c r="E470" s="27" t="n"/>
    </row>
    <row r="471">
      <c r="A471" t="inlineStr">
        <is>
          <t>R1470</t>
        </is>
      </c>
      <c r="B471" t="inlineStr">
        <is>
          <t xml:space="preserve">  Jackson ,  Justin </t>
        </is>
      </c>
      <c r="C471" t="inlineStr">
        <is>
          <t>Cedar Ridge, OH 45720</t>
        </is>
      </c>
      <c r="D471" s="27" t="n"/>
      <c r="E471" s="27" t="n"/>
    </row>
    <row r="472">
      <c r="A472" t="inlineStr">
        <is>
          <t>R1471</t>
        </is>
      </c>
      <c r="B472" t="inlineStr">
        <is>
          <t>Marshall, Mei</t>
        </is>
      </c>
      <c r="C472" t="inlineStr">
        <is>
          <t>FAIRHAVEN, OH 45620</t>
        </is>
      </c>
      <c r="D472" s="27" t="n"/>
      <c r="E472" s="27" t="n"/>
    </row>
    <row r="473">
      <c r="A473" t="inlineStr">
        <is>
          <t>R1472</t>
        </is>
      </c>
      <c r="B473" t="inlineStr">
        <is>
          <t>Coleman, John</t>
        </is>
      </c>
      <c r="C473" t="inlineStr">
        <is>
          <t>RIVERBEND, OH 45545</t>
        </is>
      </c>
      <c r="D473" s="27" t="n"/>
      <c r="E473" s="27" t="n"/>
    </row>
    <row r="474">
      <c r="A474" t="inlineStr">
        <is>
          <t>R1473</t>
        </is>
      </c>
      <c r="B474" t="inlineStr">
        <is>
          <t>Carol Cruz</t>
        </is>
      </c>
      <c r="C474" t="inlineStr">
        <is>
          <t>Bluestone OH 45503</t>
        </is>
      </c>
      <c r="D474" s="27" t="n"/>
      <c r="E474" s="27" t="n"/>
    </row>
    <row r="475">
      <c r="A475" t="inlineStr">
        <is>
          <t>R1474</t>
        </is>
      </c>
      <c r="B475" t="inlineStr">
        <is>
          <t>Justin Lewis</t>
        </is>
      </c>
      <c r="C475" t="inlineStr">
        <is>
          <t>Riverbend, OH 45545</t>
        </is>
      </c>
      <c r="D475" s="27" t="n"/>
      <c r="E475" s="27" t="n"/>
    </row>
    <row r="476">
      <c r="A476" t="inlineStr">
        <is>
          <t>R1475</t>
        </is>
      </c>
      <c r="B476" t="inlineStr">
        <is>
          <t>Lopez, Timothy</t>
        </is>
      </c>
      <c r="C476" t="inlineStr">
        <is>
          <t>Bluestone OH 45502</t>
        </is>
      </c>
      <c r="D476" s="27" t="n"/>
      <c r="E476" s="27" t="n"/>
    </row>
    <row r="477">
      <c r="A477" t="inlineStr">
        <is>
          <t>R1476</t>
        </is>
      </c>
      <c r="B477" t="inlineStr">
        <is>
          <t>Ruth Porter</t>
        </is>
      </c>
      <c r="C477" t="inlineStr">
        <is>
          <t>Bluestone, OH 45502</t>
        </is>
      </c>
      <c r="D477" s="27" t="n"/>
      <c r="E477" s="27" t="n"/>
    </row>
    <row r="478">
      <c r="A478" t="inlineStr">
        <is>
          <t>R1477</t>
        </is>
      </c>
      <c r="B478" t="inlineStr">
        <is>
          <t xml:space="preserve">  Guzman ,  Frank </t>
        </is>
      </c>
      <c r="C478" t="inlineStr">
        <is>
          <t>Riverbend, OH 45545-4784</t>
        </is>
      </c>
      <c r="D478" s="27" t="n"/>
      <c r="E478" s="27" t="n"/>
    </row>
    <row r="479">
      <c r="A479" t="inlineStr">
        <is>
          <t>R1478</t>
        </is>
      </c>
      <c r="B479" t="inlineStr">
        <is>
          <t>Wallace, Nicholas</t>
        </is>
      </c>
      <c r="C479" t="inlineStr">
        <is>
          <t>Cedar Ridge, OH 45720-9764</t>
        </is>
      </c>
      <c r="D479" s="27" t="n"/>
      <c r="E479" s="27" t="n"/>
    </row>
    <row r="480">
      <c r="A480" t="inlineStr">
        <is>
          <t>R1479</t>
        </is>
      </c>
      <c r="B480" t="inlineStr">
        <is>
          <t xml:space="preserve">  Robinson ,  Christian </t>
        </is>
      </c>
      <c r="C480" t="inlineStr">
        <is>
          <t>BLUESTONE, OH 45501</t>
        </is>
      </c>
      <c r="D480" s="27" t="n"/>
      <c r="E480" s="27" t="n"/>
    </row>
    <row r="481">
      <c r="A481" t="inlineStr">
        <is>
          <t>R1480</t>
        </is>
      </c>
      <c r="B481" t="inlineStr">
        <is>
          <t>Fox, Hassan</t>
        </is>
      </c>
      <c r="C481" t="inlineStr">
        <is>
          <t>BLUESTONE, OH 45502</t>
        </is>
      </c>
      <c r="D481" s="27" t="n"/>
      <c r="E481" s="27" t="n"/>
    </row>
    <row r="482">
      <c r="A482" t="inlineStr">
        <is>
          <t>R1481</t>
        </is>
      </c>
      <c r="B482" t="inlineStr">
        <is>
          <t>Collins, Christine</t>
        </is>
      </c>
      <c r="C482" t="inlineStr">
        <is>
          <t>Fairhaven, OH 45620</t>
        </is>
      </c>
      <c r="D482" s="27" t="n"/>
      <c r="E482" s="27" t="n"/>
    </row>
    <row r="483">
      <c r="A483" t="inlineStr">
        <is>
          <t>R1482</t>
        </is>
      </c>
      <c r="B483" t="inlineStr">
        <is>
          <t xml:space="preserve">  Hayes ,  Nicholas </t>
        </is>
      </c>
      <c r="C483" t="inlineStr">
        <is>
          <t>Cedar Ridge, OH 45720</t>
        </is>
      </c>
      <c r="D483" s="27" t="n"/>
      <c r="E483" s="27" t="n"/>
    </row>
    <row r="484">
      <c r="A484" t="inlineStr">
        <is>
          <t>R1483</t>
        </is>
      </c>
      <c r="B484" t="inlineStr">
        <is>
          <t>Kennedy, Christine</t>
        </is>
      </c>
      <c r="C484" t="inlineStr">
        <is>
          <t>Ashby Falls, OH 45610</t>
        </is>
      </c>
      <c r="D484" s="27" t="n"/>
      <c r="E484" s="27" t="n"/>
    </row>
    <row r="485">
      <c r="A485" t="inlineStr">
        <is>
          <t>R1484</t>
        </is>
      </c>
      <c r="B485" t="inlineStr">
        <is>
          <t>Nichols, Stephen</t>
        </is>
      </c>
      <c r="C485" t="inlineStr">
        <is>
          <t>Bluestone OH 45503</t>
        </is>
      </c>
      <c r="D485" s="27" t="n"/>
      <c r="E485" s="27" t="n"/>
    </row>
    <row r="486">
      <c r="A486" t="inlineStr">
        <is>
          <t>R1485</t>
        </is>
      </c>
      <c r="B486" t="inlineStr">
        <is>
          <t>Liam Dixon</t>
        </is>
      </c>
      <c r="C486" t="inlineStr">
        <is>
          <t>Ashby Falls, OH 45610</t>
        </is>
      </c>
      <c r="D486" s="27" t="n"/>
      <c r="E486" s="27" t="n"/>
    </row>
    <row r="487">
      <c r="A487" t="inlineStr">
        <is>
          <t>R1486</t>
        </is>
      </c>
      <c r="B487" t="inlineStr">
        <is>
          <t>Pierce, Nancy</t>
        </is>
      </c>
      <c r="C487" t="inlineStr">
        <is>
          <t>Cedar Ridge, OH 45720-4213</t>
        </is>
      </c>
      <c r="D487" s="27" t="n"/>
      <c r="E487" s="27" t="n"/>
    </row>
    <row r="488">
      <c r="A488" t="inlineStr">
        <is>
          <t>R1487</t>
        </is>
      </c>
      <c r="B488" t="inlineStr">
        <is>
          <t>Henry, Thomas</t>
        </is>
      </c>
      <c r="C488" t="inlineStr">
        <is>
          <t>Pine Hollow, OH 45640</t>
        </is>
      </c>
      <c r="D488" s="27" t="n"/>
      <c r="E488" s="27" t="n"/>
    </row>
    <row r="489">
      <c r="A489" t="inlineStr">
        <is>
          <t>R1488</t>
        </is>
      </c>
      <c r="B489" t="inlineStr">
        <is>
          <t>Flores, Nancy</t>
        </is>
      </c>
      <c r="C489" t="inlineStr">
        <is>
          <t>Millbrook, OH 45530</t>
        </is>
      </c>
      <c r="D489" s="27" t="n"/>
      <c r="E489" s="27" t="n"/>
    </row>
    <row r="490">
      <c r="A490" t="inlineStr">
        <is>
          <t>R1489</t>
        </is>
      </c>
      <c r="B490" t="inlineStr">
        <is>
          <t>WRIGHT, ALEXIS</t>
        </is>
      </c>
      <c r="C490" t="inlineStr">
        <is>
          <t>Bluestone, OH 45501</t>
        </is>
      </c>
      <c r="D490" s="27" t="n"/>
      <c r="E490" s="27" t="n"/>
    </row>
    <row r="491">
      <c r="A491" t="inlineStr">
        <is>
          <t>R1490</t>
        </is>
      </c>
      <c r="B491" t="inlineStr">
        <is>
          <t>Hicks, Willie</t>
        </is>
      </c>
      <c r="C491" t="inlineStr">
        <is>
          <t>Oak Glen, OH 45730</t>
        </is>
      </c>
      <c r="D491" s="27" t="n"/>
      <c r="E491" s="27" t="n"/>
    </row>
    <row r="492">
      <c r="A492" t="inlineStr">
        <is>
          <t>R1491</t>
        </is>
      </c>
      <c r="B492" t="inlineStr">
        <is>
          <t xml:space="preserve">  Santos ,  Aaron </t>
        </is>
      </c>
      <c r="C492" t="inlineStr">
        <is>
          <t>Bluestone OH 45501</t>
        </is>
      </c>
      <c r="D492" s="27" t="n"/>
      <c r="E492" s="27" t="n"/>
    </row>
    <row r="493">
      <c r="A493" t="inlineStr">
        <is>
          <t>R1492</t>
        </is>
      </c>
      <c r="B493" t="inlineStr">
        <is>
          <t>Wayne Chen</t>
        </is>
      </c>
      <c r="C493" t="inlineStr">
        <is>
          <t>FAIRHAVEN, OH 45620</t>
        </is>
      </c>
      <c r="D493" s="27" t="n"/>
      <c r="E493" s="27" t="n"/>
    </row>
    <row r="494">
      <c r="A494" t="inlineStr">
        <is>
          <t>R1493</t>
        </is>
      </c>
      <c r="B494" t="inlineStr">
        <is>
          <t>Theresa Morris</t>
        </is>
      </c>
      <c r="C494" t="inlineStr">
        <is>
          <t>Bluestone, OH 45502</t>
        </is>
      </c>
      <c r="D494" s="27" t="n"/>
      <c r="E494" s="27" t="n"/>
    </row>
    <row r="495">
      <c r="A495" t="inlineStr">
        <is>
          <t>R1494</t>
        </is>
      </c>
      <c r="B495" t="inlineStr">
        <is>
          <t>Ortiz, Samuel</t>
        </is>
      </c>
      <c r="C495" t="inlineStr">
        <is>
          <t>Bluestone, OH 45502</t>
        </is>
      </c>
      <c r="D495" s="27" t="n"/>
      <c r="E495" s="27" t="n"/>
    </row>
    <row r="496">
      <c r="A496" t="inlineStr">
        <is>
          <t>R1495</t>
        </is>
      </c>
      <c r="B496" t="inlineStr">
        <is>
          <t>Kowalski, Rosa</t>
        </is>
      </c>
      <c r="C496" t="inlineStr">
        <is>
          <t>Bluestone OH 45501</t>
        </is>
      </c>
      <c r="D496" s="27" t="n"/>
      <c r="E496" s="27" t="n"/>
    </row>
    <row r="497">
      <c r="A497" t="inlineStr">
        <is>
          <t>R1496</t>
        </is>
      </c>
      <c r="B497" t="inlineStr">
        <is>
          <t>Herrera, Rachel</t>
        </is>
      </c>
      <c r="C497" t="inlineStr">
        <is>
          <t>Oak Glen, OH 45730</t>
        </is>
      </c>
      <c r="D497" s="27" t="n"/>
      <c r="E497" s="27" t="n"/>
    </row>
    <row r="498">
      <c r="A498" t="inlineStr">
        <is>
          <t>R1497</t>
        </is>
      </c>
      <c r="B498" t="inlineStr">
        <is>
          <t>Adams, Ronald</t>
        </is>
      </c>
      <c r="C498" t="inlineStr">
        <is>
          <t>MILLBROOK, OH 45530</t>
        </is>
      </c>
      <c r="D498" s="27" t="n"/>
      <c r="E498" s="27" t="n"/>
    </row>
    <row r="499">
      <c r="A499" t="inlineStr">
        <is>
          <t>R1498</t>
        </is>
      </c>
      <c r="B499" t="inlineStr">
        <is>
          <t>Morris, Lisa</t>
        </is>
      </c>
      <c r="C499" t="inlineStr">
        <is>
          <t>Bluestone, OH 45501-5880</t>
        </is>
      </c>
      <c r="D499" s="27" t="n"/>
      <c r="E499" s="27" t="n"/>
    </row>
    <row r="500">
      <c r="A500" t="inlineStr">
        <is>
          <t>R1499</t>
        </is>
      </c>
      <c r="B500" t="inlineStr">
        <is>
          <t>Pena, Joseph</t>
        </is>
      </c>
      <c r="C500" t="inlineStr">
        <is>
          <t>Bluestone, OH 45502</t>
        </is>
      </c>
      <c r="D500" s="27" t="n"/>
      <c r="E500" s="27" t="n"/>
    </row>
    <row r="501">
      <c r="A501" t="inlineStr">
        <is>
          <t>R1500</t>
        </is>
      </c>
      <c r="B501" t="inlineStr">
        <is>
          <t>Gonzalez, Frank</t>
        </is>
      </c>
      <c r="C501" t="inlineStr">
        <is>
          <t>Bluestone, OH 45501</t>
        </is>
      </c>
      <c r="D501" s="27" t="n"/>
      <c r="E501" s="27" t="n"/>
    </row>
    <row r="502">
      <c r="A502" t="inlineStr">
        <is>
          <t>R1501</t>
        </is>
      </c>
      <c r="B502" t="inlineStr">
        <is>
          <t>Sandra Cruz</t>
        </is>
      </c>
      <c r="C502" t="inlineStr">
        <is>
          <t>Bluestone OH 45503</t>
        </is>
      </c>
      <c r="D502" s="27" t="n"/>
      <c r="E502" s="27" t="n"/>
    </row>
    <row r="503">
      <c r="A503" t="inlineStr">
        <is>
          <t>R1502</t>
        </is>
      </c>
      <c r="B503" t="inlineStr">
        <is>
          <t>Ray, Teresa</t>
        </is>
      </c>
      <c r="C503" t="inlineStr">
        <is>
          <t>Granite Springs OH 45750</t>
        </is>
      </c>
      <c r="D503" s="27" t="n"/>
      <c r="E503" s="27" t="n"/>
    </row>
    <row r="504">
      <c r="A504" t="inlineStr">
        <is>
          <t>R1503</t>
        </is>
      </c>
      <c r="B504" t="inlineStr">
        <is>
          <t>Rivera, Justin</t>
        </is>
      </c>
      <c r="C504" t="inlineStr">
        <is>
          <t>Oak Glen, OH 45730</t>
        </is>
      </c>
      <c r="D504" s="27" t="n"/>
      <c r="E504" s="27" t="n"/>
    </row>
    <row r="505">
      <c r="A505" t="inlineStr">
        <is>
          <t>R1504</t>
        </is>
      </c>
      <c r="B505" t="inlineStr">
        <is>
          <t>FISHER, ZACHARY</t>
        </is>
      </c>
      <c r="C505" t="inlineStr">
        <is>
          <t>BLUESTONE, OH 45501</t>
        </is>
      </c>
      <c r="D505" s="27" t="n"/>
      <c r="E505" s="27" t="n"/>
    </row>
    <row r="506">
      <c r="A506" t="inlineStr">
        <is>
          <t>R1505</t>
        </is>
      </c>
      <c r="B506" t="inlineStr">
        <is>
          <t>MITCHELL, EMILY</t>
        </is>
      </c>
      <c r="C506" t="inlineStr">
        <is>
          <t>Ashby Falls, OH 45610</t>
        </is>
      </c>
      <c r="D506" s="27" t="n"/>
      <c r="E506" s="27" t="n"/>
    </row>
    <row r="507">
      <c r="A507" t="inlineStr">
        <is>
          <t>R1506</t>
        </is>
      </c>
      <c r="B507" t="inlineStr">
        <is>
          <t>McDonald, Jose</t>
        </is>
      </c>
      <c r="C507" t="inlineStr">
        <is>
          <t>Bluestone, OH 45503</t>
        </is>
      </c>
      <c r="D507" s="27" t="n"/>
      <c r="E507" s="27" t="n"/>
    </row>
    <row r="508">
      <c r="A508" t="inlineStr">
        <is>
          <t>R1507</t>
        </is>
      </c>
      <c r="B508" t="inlineStr">
        <is>
          <t xml:space="preserve">  Novak ,  Diego </t>
        </is>
      </c>
      <c r="C508" t="inlineStr">
        <is>
          <t>Lakeview Heights, OH 45510-9256</t>
        </is>
      </c>
      <c r="D508" s="27" t="n"/>
      <c r="E508" s="27" t="n"/>
    </row>
    <row r="509">
      <c r="A509" t="inlineStr">
        <is>
          <t>R1508</t>
        </is>
      </c>
      <c r="B509" t="inlineStr">
        <is>
          <t>ROSE, DEBRA</t>
        </is>
      </c>
      <c r="C509" t="inlineStr">
        <is>
          <t>Cedar Ridge, OH 45720-9146</t>
        </is>
      </c>
      <c r="D509" s="27" t="n"/>
      <c r="E509" s="27" t="n"/>
    </row>
    <row r="510">
      <c r="A510" t="inlineStr">
        <is>
          <t>R1509</t>
        </is>
      </c>
      <c r="B510" t="inlineStr">
        <is>
          <t>GARZA, DONNA</t>
        </is>
      </c>
      <c r="C510" t="inlineStr">
        <is>
          <t>Cedar Ridge, OH 45720</t>
        </is>
      </c>
      <c r="D510" s="27" t="n"/>
      <c r="E510" s="27" t="n"/>
    </row>
    <row r="511">
      <c r="A511" t="inlineStr">
        <is>
          <t>R1510</t>
        </is>
      </c>
      <c r="B511" t="inlineStr">
        <is>
          <t>Hicks, Patricia</t>
        </is>
      </c>
      <c r="C511" t="inlineStr">
        <is>
          <t>Bluestone, OH 45503</t>
        </is>
      </c>
      <c r="D511" s="27" t="n"/>
      <c r="E511" s="27" t="n"/>
    </row>
    <row r="512">
      <c r="A512" t="inlineStr">
        <is>
          <t>R1511</t>
        </is>
      </c>
      <c r="B512" t="inlineStr">
        <is>
          <t>washington, nicholas</t>
        </is>
      </c>
      <c r="C512" t="inlineStr">
        <is>
          <t>Lakeview Heights OH 45510</t>
        </is>
      </c>
      <c r="D512" s="27" t="n"/>
      <c r="E512" s="27" t="n"/>
    </row>
    <row r="513">
      <c r="A513" t="inlineStr">
        <is>
          <t>R1512</t>
        </is>
      </c>
      <c r="B513" t="inlineStr">
        <is>
          <t>Vargas, Mia</t>
        </is>
      </c>
      <c r="C513" t="inlineStr">
        <is>
          <t>Bluestone, OH 45502</t>
        </is>
      </c>
      <c r="D513" s="27" t="n"/>
      <c r="E513" s="27" t="n"/>
    </row>
    <row r="514">
      <c r="A514" t="inlineStr">
        <is>
          <t>R1513</t>
        </is>
      </c>
      <c r="B514" t="inlineStr">
        <is>
          <t>miller, christine</t>
        </is>
      </c>
      <c r="C514" t="inlineStr">
        <is>
          <t>Ashby Falls, OH 45610</t>
        </is>
      </c>
      <c r="D514" s="27" t="n"/>
      <c r="E514" s="27" t="n"/>
    </row>
    <row r="515">
      <c r="A515" t="inlineStr">
        <is>
          <t>R1514</t>
        </is>
      </c>
      <c r="B515" t="inlineStr">
        <is>
          <t>Noah Kowalski</t>
        </is>
      </c>
      <c r="C515" t="inlineStr">
        <is>
          <t>Cedar Ridge, OH 45720</t>
        </is>
      </c>
      <c r="D515" s="27" t="n"/>
      <c r="E515" s="27" t="n"/>
    </row>
    <row r="516">
      <c r="A516" t="inlineStr">
        <is>
          <t>R1515</t>
        </is>
      </c>
      <c r="B516" t="inlineStr">
        <is>
          <t>ALVARADO, WAYNE</t>
        </is>
      </c>
      <c r="C516" t="inlineStr">
        <is>
          <t>Ashby Falls, OH 45610</t>
        </is>
      </c>
      <c r="D516" s="27" t="n"/>
      <c r="E516" s="27" t="n"/>
    </row>
    <row r="517">
      <c r="A517" t="inlineStr">
        <is>
          <t>R1516</t>
        </is>
      </c>
      <c r="B517" t="inlineStr">
        <is>
          <t>Pierce, Carl</t>
        </is>
      </c>
      <c r="C517" t="inlineStr">
        <is>
          <t>Cedar Ridge, OH 45720</t>
        </is>
      </c>
      <c r="D517" s="27" t="n"/>
      <c r="E517" s="27" t="n"/>
    </row>
    <row r="518">
      <c r="A518" t="inlineStr">
        <is>
          <t>R1517</t>
        </is>
      </c>
      <c r="B518" t="inlineStr">
        <is>
          <t>Kim, Ethan</t>
        </is>
      </c>
      <c r="C518" t="inlineStr">
        <is>
          <t>Ashby Falls, OH 45610</t>
        </is>
      </c>
      <c r="D518" s="27" t="n"/>
      <c r="E518" s="27" t="n"/>
    </row>
    <row r="519">
      <c r="A519" t="inlineStr">
        <is>
          <t>R1518</t>
        </is>
      </c>
      <c r="B519" t="inlineStr">
        <is>
          <t>Edward Castillo</t>
        </is>
      </c>
      <c r="C519" t="inlineStr">
        <is>
          <t>Cedar Ridge, OH 45720-7432</t>
        </is>
      </c>
      <c r="D519" s="27" t="n"/>
      <c r="E519" s="27" t="n"/>
    </row>
    <row r="520">
      <c r="A520" t="inlineStr">
        <is>
          <t>R1519</t>
        </is>
      </c>
      <c r="B520" t="inlineStr">
        <is>
          <t>Marshall, Lauren</t>
        </is>
      </c>
      <c r="C520" t="inlineStr">
        <is>
          <t>Cedar Ridge, OH 45720</t>
        </is>
      </c>
      <c r="D520" s="27" t="n"/>
      <c r="E520" s="27" t="n"/>
    </row>
    <row r="521">
      <c r="A521" t="inlineStr">
        <is>
          <t>R1520</t>
        </is>
      </c>
      <c r="B521" t="inlineStr">
        <is>
          <t>Carter, Edward</t>
        </is>
      </c>
      <c r="C521" t="inlineStr">
        <is>
          <t>Bluestone, OH 45503</t>
        </is>
      </c>
      <c r="D521" s="27" t="n"/>
      <c r="E521" s="27" t="n"/>
    </row>
    <row r="522">
      <c r="A522" t="inlineStr">
        <is>
          <t>R1521</t>
        </is>
      </c>
      <c r="B522" t="inlineStr">
        <is>
          <t>anderson, elizabeth</t>
        </is>
      </c>
      <c r="C522" t="inlineStr">
        <is>
          <t>GRANITE SPRINGS, OH 45750</t>
        </is>
      </c>
      <c r="D522" s="27" t="n"/>
      <c r="E522" s="27" t="n"/>
    </row>
    <row r="523">
      <c r="A523" t="inlineStr">
        <is>
          <t>R1522</t>
        </is>
      </c>
      <c r="B523" t="inlineStr">
        <is>
          <t>JACKSON, LAWRENCE</t>
        </is>
      </c>
      <c r="C523" t="inlineStr">
        <is>
          <t>Bluestone, OH 45502</t>
        </is>
      </c>
      <c r="D523" s="27" t="n"/>
      <c r="E523" s="27" t="n"/>
    </row>
    <row r="524">
      <c r="A524" t="inlineStr">
        <is>
          <t>R1523</t>
        </is>
      </c>
      <c r="B524" t="inlineStr">
        <is>
          <t xml:space="preserve">  Baker ,  Ava </t>
        </is>
      </c>
      <c r="C524" t="inlineStr">
        <is>
          <t>Pine Hollow, OH 45640</t>
        </is>
      </c>
      <c r="D524" s="27" t="n"/>
      <c r="E524" s="27" t="n"/>
    </row>
    <row r="525">
      <c r="A525" t="inlineStr">
        <is>
          <t>R1524</t>
        </is>
      </c>
      <c r="B525" t="inlineStr">
        <is>
          <t>herrera, john</t>
        </is>
      </c>
      <c r="C525" t="inlineStr">
        <is>
          <t>Bluestone, OH 45501</t>
        </is>
      </c>
      <c r="D525" s="27" t="n"/>
      <c r="E525" s="27" t="n"/>
    </row>
    <row r="526">
      <c r="A526" t="inlineStr">
        <is>
          <t>R1525</t>
        </is>
      </c>
      <c r="B526" t="inlineStr">
        <is>
          <t xml:space="preserve">  Okafor ,  Zachary </t>
        </is>
      </c>
      <c r="C526" t="inlineStr">
        <is>
          <t>MILLBROOK, OH 45530</t>
        </is>
      </c>
      <c r="D526" s="27" t="n"/>
      <c r="E526" s="27" t="n"/>
    </row>
    <row r="527">
      <c r="A527" t="inlineStr">
        <is>
          <t>R1526</t>
        </is>
      </c>
      <c r="B527" t="inlineStr">
        <is>
          <t>GIBSON, EMMA</t>
        </is>
      </c>
      <c r="C527" t="inlineStr">
        <is>
          <t>BLUESTONE, OH 45503</t>
        </is>
      </c>
      <c r="D527" s="27" t="n"/>
      <c r="E527" s="27" t="n"/>
    </row>
    <row r="528">
      <c r="A528" t="inlineStr">
        <is>
          <t>R1527</t>
        </is>
      </c>
      <c r="B528" t="inlineStr">
        <is>
          <t xml:space="preserve">  Bryant ,  Kimberly </t>
        </is>
      </c>
      <c r="C528" t="inlineStr">
        <is>
          <t>Bluestone, OH 45501-5252</t>
        </is>
      </c>
      <c r="D528" s="27" t="n"/>
      <c r="E528" s="27" t="n"/>
    </row>
    <row r="529">
      <c r="A529" t="inlineStr">
        <is>
          <t>R1528</t>
        </is>
      </c>
      <c r="B529" t="inlineStr">
        <is>
          <t>Baker, Robert</t>
        </is>
      </c>
      <c r="C529" t="inlineStr">
        <is>
          <t>Millbrook, OH 45530</t>
        </is>
      </c>
      <c r="D529" s="27" t="n"/>
      <c r="E529" s="27" t="n"/>
    </row>
    <row r="530">
      <c r="A530" t="inlineStr">
        <is>
          <t>R1529</t>
        </is>
      </c>
      <c r="B530" t="inlineStr">
        <is>
          <t>Lawrence, Amy</t>
        </is>
      </c>
      <c r="C530" t="inlineStr">
        <is>
          <t>Bluestone, OH 45501</t>
        </is>
      </c>
      <c r="D530" s="27" t="n"/>
      <c r="E530" s="27" t="n"/>
    </row>
    <row r="531">
      <c r="A531" t="inlineStr">
        <is>
          <t>R1530</t>
        </is>
      </c>
      <c r="B531" t="inlineStr">
        <is>
          <t>Sullivan, Andrew</t>
        </is>
      </c>
      <c r="C531" t="inlineStr">
        <is>
          <t>Bluestone, OH 45503</t>
        </is>
      </c>
      <c r="D531" s="27" t="n"/>
      <c r="E531" s="27" t="n"/>
    </row>
    <row r="532">
      <c r="A532" t="inlineStr">
        <is>
          <t>R1531</t>
        </is>
      </c>
      <c r="B532" t="inlineStr">
        <is>
          <t>Ross, Daniel</t>
        </is>
      </c>
      <c r="C532" t="inlineStr">
        <is>
          <t>Millbrook, OH 45530</t>
        </is>
      </c>
      <c r="D532" s="27" t="n"/>
      <c r="E532" s="27" t="n"/>
    </row>
    <row r="533">
      <c r="A533" t="inlineStr">
        <is>
          <t>R1532</t>
        </is>
      </c>
      <c r="B533" t="inlineStr">
        <is>
          <t>Weaver, Judy</t>
        </is>
      </c>
      <c r="C533" t="inlineStr">
        <is>
          <t>Bluestone, OH 45501</t>
        </is>
      </c>
      <c r="D533" s="27" t="n"/>
      <c r="E533" s="27" t="n"/>
    </row>
    <row r="534">
      <c r="A534" t="inlineStr">
        <is>
          <t>R1533</t>
        </is>
      </c>
      <c r="B534" t="inlineStr">
        <is>
          <t xml:space="preserve">  Stephens ,  Lucia </t>
        </is>
      </c>
      <c r="C534" t="inlineStr">
        <is>
          <t>Lakeview Heights OH 45510</t>
        </is>
      </c>
      <c r="D534" s="27" t="n"/>
      <c r="E534" s="27" t="n"/>
    </row>
    <row r="535">
      <c r="A535" t="inlineStr">
        <is>
          <t>R1534</t>
        </is>
      </c>
      <c r="B535" t="inlineStr">
        <is>
          <t>Rivera, Jesse</t>
        </is>
      </c>
      <c r="C535" t="inlineStr">
        <is>
          <t>Millbrook, OH 45530-3493</t>
        </is>
      </c>
      <c r="D535" s="27" t="n"/>
      <c r="E535" s="27" t="n"/>
    </row>
    <row r="536">
      <c r="A536" t="inlineStr">
        <is>
          <t>R1535</t>
        </is>
      </c>
      <c r="B536" t="inlineStr">
        <is>
          <t>Berry, Terry</t>
        </is>
      </c>
      <c r="C536" t="inlineStr">
        <is>
          <t>GRANITE SPRINGS, OH 45750</t>
        </is>
      </c>
      <c r="D536" s="27" t="n"/>
      <c r="E536" s="27" t="n"/>
    </row>
    <row r="537">
      <c r="A537" t="inlineStr">
        <is>
          <t>R1536</t>
        </is>
      </c>
      <c r="B537" t="inlineStr">
        <is>
          <t xml:space="preserve">  Vargas ,  Brian </t>
        </is>
      </c>
      <c r="C537" t="inlineStr">
        <is>
          <t>Bluestone, OH 45501</t>
        </is>
      </c>
      <c r="D537" s="27" t="n"/>
      <c r="E537" s="27" t="n"/>
    </row>
    <row r="538">
      <c r="A538" t="inlineStr">
        <is>
          <t>R1537</t>
        </is>
      </c>
      <c r="B538" t="inlineStr">
        <is>
          <t>King, Bobby</t>
        </is>
      </c>
      <c r="C538" t="inlineStr">
        <is>
          <t>Lakeview Heights, OH 45510</t>
        </is>
      </c>
      <c r="D538" s="27" t="n"/>
      <c r="E538" s="27" t="n"/>
    </row>
    <row r="539">
      <c r="A539" t="inlineStr">
        <is>
          <t>R1538</t>
        </is>
      </c>
      <c r="B539" t="inlineStr">
        <is>
          <t>MUNOZ, LISA</t>
        </is>
      </c>
      <c r="C539" t="inlineStr">
        <is>
          <t>Oak Glen, OH 45730</t>
        </is>
      </c>
      <c r="D539" s="27" t="n"/>
      <c r="E539" s="27" t="n"/>
    </row>
    <row r="540">
      <c r="A540" t="inlineStr">
        <is>
          <t>R1539</t>
        </is>
      </c>
      <c r="B540" t="inlineStr">
        <is>
          <t>Wells, Ronald</t>
        </is>
      </c>
      <c r="C540" t="inlineStr">
        <is>
          <t>CEDAR RIDGE, OH 45720</t>
        </is>
      </c>
      <c r="D540" s="27" t="n"/>
      <c r="E540" s="27" t="n"/>
    </row>
    <row r="541">
      <c r="A541" t="inlineStr">
        <is>
          <t>R1540</t>
        </is>
      </c>
      <c r="B541" t="inlineStr">
        <is>
          <t xml:space="preserve">  Vazquez ,  Raymond </t>
        </is>
      </c>
      <c r="C541" t="inlineStr">
        <is>
          <t>Granite Springs, OH 45750</t>
        </is>
      </c>
      <c r="D541" s="27" t="n"/>
      <c r="E541" s="27" t="n"/>
    </row>
    <row r="542">
      <c r="A542" t="inlineStr">
        <is>
          <t>R1541</t>
        </is>
      </c>
      <c r="B542" t="inlineStr">
        <is>
          <t>carroll, lori</t>
        </is>
      </c>
      <c r="C542" t="inlineStr">
        <is>
          <t>Fairhaven OH 45620</t>
        </is>
      </c>
      <c r="D542" s="27" t="n"/>
      <c r="E542" s="27" t="n"/>
    </row>
    <row r="543">
      <c r="A543" t="inlineStr">
        <is>
          <t>R1542</t>
        </is>
      </c>
      <c r="B543" t="inlineStr">
        <is>
          <t>Freeman, Matthew</t>
        </is>
      </c>
      <c r="C543" t="inlineStr">
        <is>
          <t>Ashby Falls, OH 45610</t>
        </is>
      </c>
      <c r="D543" s="27" t="n"/>
      <c r="E543" s="27" t="n"/>
    </row>
    <row r="544">
      <c r="A544" t="inlineStr">
        <is>
          <t>R1543</t>
        </is>
      </c>
      <c r="B544" t="inlineStr">
        <is>
          <t>Nguyen, Jesse</t>
        </is>
      </c>
      <c r="C544" t="inlineStr">
        <is>
          <t>Bluestone, OH 45503-9396</t>
        </is>
      </c>
      <c r="D544" s="27" t="n"/>
      <c r="E544" s="27" t="n"/>
    </row>
    <row r="545">
      <c r="A545" t="inlineStr">
        <is>
          <t>R1544</t>
        </is>
      </c>
      <c r="B545" t="inlineStr">
        <is>
          <t>Terry Jenkins</t>
        </is>
      </c>
      <c r="C545" t="inlineStr">
        <is>
          <t>LAKEVIEW HEIGHTS, OH 45510</t>
        </is>
      </c>
      <c r="D545" s="27" t="n"/>
      <c r="E545" s="27" t="n"/>
    </row>
    <row r="546">
      <c r="A546" t="inlineStr">
        <is>
          <t>R1545</t>
        </is>
      </c>
      <c r="B546" t="inlineStr">
        <is>
          <t>Matthews, Betty</t>
        </is>
      </c>
      <c r="C546" t="inlineStr">
        <is>
          <t>Bluestone, OH 45503</t>
        </is>
      </c>
      <c r="D546" s="27" t="n"/>
      <c r="E546" s="27" t="n"/>
    </row>
    <row r="547">
      <c r="A547" t="inlineStr">
        <is>
          <t>R1546</t>
        </is>
      </c>
      <c r="B547" t="inlineStr">
        <is>
          <t xml:space="preserve">  Turner ,  Isabella </t>
        </is>
      </c>
      <c r="C547" t="inlineStr">
        <is>
          <t>Millbrook, OH 45530</t>
        </is>
      </c>
      <c r="D547" s="27" t="n"/>
      <c r="E547" s="27" t="n"/>
    </row>
    <row r="548">
      <c r="A548" t="inlineStr">
        <is>
          <t>R1547</t>
        </is>
      </c>
      <c r="B548" t="inlineStr">
        <is>
          <t>Robinson, Joan</t>
        </is>
      </c>
      <c r="C548" t="inlineStr">
        <is>
          <t>Bluestone, OH 45501</t>
        </is>
      </c>
      <c r="D548" s="27" t="n"/>
      <c r="E548" s="27" t="n"/>
    </row>
    <row r="549">
      <c r="A549" t="inlineStr">
        <is>
          <t>R1548</t>
        </is>
      </c>
      <c r="B549" t="inlineStr">
        <is>
          <t>armstrong, gregory</t>
        </is>
      </c>
      <c r="C549" t="inlineStr">
        <is>
          <t>Bluestone, OH 45502</t>
        </is>
      </c>
      <c r="D549" s="27" t="n"/>
      <c r="E549" s="27" t="n"/>
    </row>
    <row r="550">
      <c r="A550" t="inlineStr">
        <is>
          <t>R1549</t>
        </is>
      </c>
      <c r="B550" t="inlineStr">
        <is>
          <t>SILVA, KIMBERLY</t>
        </is>
      </c>
      <c r="C550" t="inlineStr">
        <is>
          <t>CEDAR RIDGE, OH 45720</t>
        </is>
      </c>
      <c r="D550" s="27" t="n"/>
      <c r="E550" s="27" t="n"/>
    </row>
    <row r="551">
      <c r="A551" t="inlineStr">
        <is>
          <t>R1550</t>
        </is>
      </c>
      <c r="B551" t="inlineStr">
        <is>
          <t>Grant, Maria</t>
        </is>
      </c>
      <c r="C551" t="inlineStr">
        <is>
          <t>Riverbend, OH 45545</t>
        </is>
      </c>
      <c r="D551" s="27" t="n"/>
      <c r="E551" s="27" t="n"/>
    </row>
    <row r="552">
      <c r="A552" t="inlineStr">
        <is>
          <t>R1551</t>
        </is>
      </c>
      <c r="B552" t="inlineStr">
        <is>
          <t>Davis, Janice</t>
        </is>
      </c>
      <c r="C552" t="inlineStr">
        <is>
          <t>Ashby Falls OH 45610</t>
        </is>
      </c>
      <c r="D552" s="27" t="n"/>
      <c r="E552" s="27" t="n"/>
    </row>
    <row r="553">
      <c r="A553" t="inlineStr">
        <is>
          <t>R1552</t>
        </is>
      </c>
      <c r="B553" t="inlineStr">
        <is>
          <t>Wallace, Nicholas</t>
        </is>
      </c>
      <c r="C553" t="inlineStr">
        <is>
          <t>Cedar Ridge, OH 45720-9764</t>
        </is>
      </c>
      <c r="D553" s="27" t="n"/>
      <c r="E553" s="27" t="n"/>
    </row>
    <row r="554">
      <c r="A554" t="inlineStr">
        <is>
          <t>R1553</t>
        </is>
      </c>
      <c r="B554" t="inlineStr">
        <is>
          <t>Walker, Patricia</t>
        </is>
      </c>
      <c r="C554" t="inlineStr">
        <is>
          <t>Bluestone, OH 45502</t>
        </is>
      </c>
      <c r="D554" s="27" t="n"/>
      <c r="E554" s="27" t="n"/>
    </row>
    <row r="555">
      <c r="A555" t="inlineStr">
        <is>
          <t>R1554</t>
        </is>
      </c>
      <c r="B555" t="inlineStr">
        <is>
          <t xml:space="preserve">  Armstrong ,  Roy </t>
        </is>
      </c>
      <c r="C555" t="inlineStr">
        <is>
          <t>Bluestone, OH 45503-9527</t>
        </is>
      </c>
      <c r="D555" s="27" t="n"/>
      <c r="E555" s="27" t="n"/>
    </row>
    <row r="556">
      <c r="A556" t="inlineStr">
        <is>
          <t>R1555</t>
        </is>
      </c>
      <c r="B556" t="inlineStr">
        <is>
          <t>Silva, Katherine</t>
        </is>
      </c>
      <c r="C556" t="inlineStr">
        <is>
          <t>Bluestone, OH 45501-4089</t>
        </is>
      </c>
      <c r="D556" s="27" t="n"/>
      <c r="E556" s="27" t="n"/>
    </row>
    <row r="557">
      <c r="A557" t="inlineStr">
        <is>
          <t>R1556</t>
        </is>
      </c>
      <c r="B557" t="inlineStr">
        <is>
          <t>Dixon, Lawrence</t>
        </is>
      </c>
      <c r="C557" t="inlineStr">
        <is>
          <t>Granite Springs, OH 45750</t>
        </is>
      </c>
      <c r="D557" s="27" t="n"/>
      <c r="E557" s="27" t="n"/>
    </row>
    <row r="558">
      <c r="A558" t="inlineStr">
        <is>
          <t>R1557</t>
        </is>
      </c>
      <c r="B558" t="inlineStr">
        <is>
          <t>BLACK, LISA</t>
        </is>
      </c>
      <c r="C558" t="inlineStr">
        <is>
          <t>GRANITE SPRINGS, OH 45750</t>
        </is>
      </c>
      <c r="D558" s="27" t="n"/>
      <c r="E558" s="27" t="n"/>
    </row>
    <row r="559">
      <c r="A559" t="inlineStr">
        <is>
          <t>R1558</t>
        </is>
      </c>
      <c r="B559" t="inlineStr">
        <is>
          <t>Marshall, Helen</t>
        </is>
      </c>
      <c r="C559" t="inlineStr">
        <is>
          <t>Bluestone, OH 45502</t>
        </is>
      </c>
      <c r="D559" s="27" t="n"/>
      <c r="E559" s="27" t="n"/>
    </row>
    <row r="560">
      <c r="A560" t="inlineStr">
        <is>
          <t>R1559</t>
        </is>
      </c>
      <c r="B560" t="inlineStr">
        <is>
          <t>contreras, kayla</t>
        </is>
      </c>
      <c r="C560" t="inlineStr">
        <is>
          <t>Lakeview Heights, OH 45510</t>
        </is>
      </c>
      <c r="D560" s="27" t="n"/>
      <c r="E560" s="27" t="n"/>
    </row>
    <row r="561">
      <c r="A561" t="inlineStr">
        <is>
          <t>R1560</t>
        </is>
      </c>
      <c r="B561" t="inlineStr">
        <is>
          <t xml:space="preserve">  Ford ,  Michelle </t>
        </is>
      </c>
      <c r="C561" t="inlineStr">
        <is>
          <t>Bluestone, OH 45501</t>
        </is>
      </c>
      <c r="D561" s="27" t="n"/>
      <c r="E561" s="27" t="n"/>
    </row>
    <row r="562">
      <c r="A562" t="inlineStr">
        <is>
          <t>R1561</t>
        </is>
      </c>
      <c r="B562" t="inlineStr">
        <is>
          <t>Shaw, Janet</t>
        </is>
      </c>
      <c r="C562" t="inlineStr">
        <is>
          <t>Bluestone OH 45502</t>
        </is>
      </c>
      <c r="D562" s="27" t="n"/>
      <c r="E562" s="27" t="n"/>
    </row>
    <row r="563">
      <c r="A563" t="inlineStr">
        <is>
          <t>R1562</t>
        </is>
      </c>
      <c r="B563" t="inlineStr">
        <is>
          <t>Wright, Jerry</t>
        </is>
      </c>
      <c r="C563" t="inlineStr">
        <is>
          <t>BLUESTONE, OH 45502</t>
        </is>
      </c>
      <c r="D563" s="27" t="n"/>
      <c r="E563" s="27" t="n"/>
    </row>
    <row r="564">
      <c r="A564" t="inlineStr">
        <is>
          <t>R1563</t>
        </is>
      </c>
      <c r="B564" t="inlineStr">
        <is>
          <t>Yilmaz, Benjamin</t>
        </is>
      </c>
      <c r="C564" t="inlineStr">
        <is>
          <t>Pine Hollow, OH 45640-2556</t>
        </is>
      </c>
      <c r="D564" s="27" t="n"/>
      <c r="E564" s="27" t="n"/>
    </row>
    <row r="565">
      <c r="A565" t="inlineStr">
        <is>
          <t>R1564</t>
        </is>
      </c>
      <c r="B565" t="inlineStr">
        <is>
          <t>Price, Evelyn</t>
        </is>
      </c>
      <c r="C565" t="inlineStr">
        <is>
          <t>ASHBY FALLS, OH 45610</t>
        </is>
      </c>
      <c r="D565" s="27" t="n"/>
      <c r="E565" s="27" t="n"/>
    </row>
    <row r="566">
      <c r="A566" t="inlineStr">
        <is>
          <t>R1565</t>
        </is>
      </c>
      <c r="B566" t="inlineStr">
        <is>
          <t xml:space="preserve">  Perkins ,  Raymond </t>
        </is>
      </c>
      <c r="C566" t="inlineStr">
        <is>
          <t>Cedar Ridge, OH 45720</t>
        </is>
      </c>
      <c r="D566" s="27" t="n"/>
      <c r="E566" s="27" t="n"/>
    </row>
    <row r="567">
      <c r="A567" t="inlineStr">
        <is>
          <t>R1566</t>
        </is>
      </c>
      <c r="B567" t="inlineStr">
        <is>
          <t xml:space="preserve">  Palmer ,  Christina </t>
        </is>
      </c>
      <c r="C567" t="inlineStr">
        <is>
          <t>Bluestone, OH 45501</t>
        </is>
      </c>
      <c r="D567" s="27" t="n"/>
      <c r="E567" s="27" t="n"/>
    </row>
    <row r="568">
      <c r="A568" t="inlineStr">
        <is>
          <t>R1567</t>
        </is>
      </c>
      <c r="B568" t="inlineStr">
        <is>
          <t>Gardner, Megan</t>
        </is>
      </c>
      <c r="C568" t="inlineStr">
        <is>
          <t>Lakeview Heights, OH 45510</t>
        </is>
      </c>
      <c r="D568" s="27" t="n"/>
      <c r="E568" s="27" t="n"/>
    </row>
    <row r="569">
      <c r="A569" t="inlineStr">
        <is>
          <t>R1568</t>
        </is>
      </c>
      <c r="B569" t="inlineStr">
        <is>
          <t>Lopez, Jeremy</t>
        </is>
      </c>
      <c r="C569" t="inlineStr">
        <is>
          <t>Cedar Ridge, OH 45720-2917</t>
        </is>
      </c>
      <c r="D569" s="27" t="n"/>
      <c r="E569" s="27" t="n"/>
    </row>
    <row r="570">
      <c r="A570" t="inlineStr">
        <is>
          <t>R1569</t>
        </is>
      </c>
      <c r="B570" t="inlineStr">
        <is>
          <t>WILSON, CYNTHIA</t>
        </is>
      </c>
      <c r="C570" t="inlineStr">
        <is>
          <t>LAKEVIEW HEIGHTS, OH 45510</t>
        </is>
      </c>
      <c r="D570" s="27" t="n"/>
      <c r="E570" s="27" t="n"/>
    </row>
    <row r="571">
      <c r="A571" t="inlineStr">
        <is>
          <t>R1570</t>
        </is>
      </c>
      <c r="B571" t="inlineStr">
        <is>
          <t>Ellis, Isabella</t>
        </is>
      </c>
      <c r="C571" t="inlineStr">
        <is>
          <t>Bluestone, OH 45502</t>
        </is>
      </c>
      <c r="D571" s="27" t="n"/>
      <c r="E571" s="27" t="n"/>
    </row>
    <row r="572">
      <c r="A572" t="inlineStr">
        <is>
          <t>R1571</t>
        </is>
      </c>
      <c r="B572" t="inlineStr">
        <is>
          <t>Ray, Ronald</t>
        </is>
      </c>
      <c r="C572" t="inlineStr">
        <is>
          <t>Ashby Falls, OH 45610</t>
        </is>
      </c>
      <c r="D572" s="27" t="n"/>
      <c r="E572" s="27" t="n"/>
    </row>
    <row r="573">
      <c r="A573" t="inlineStr">
        <is>
          <t>R1572</t>
        </is>
      </c>
      <c r="B573" t="inlineStr">
        <is>
          <t>LONG, SANDRA</t>
        </is>
      </c>
      <c r="C573" t="inlineStr">
        <is>
          <t>Lakeview Heights, OH 45510</t>
        </is>
      </c>
      <c r="D573" s="27" t="n"/>
      <c r="E573" s="27" t="n"/>
    </row>
    <row r="574">
      <c r="A574" t="inlineStr">
        <is>
          <t>R1573</t>
        </is>
      </c>
      <c r="B574" t="inlineStr">
        <is>
          <t xml:space="preserve">  Cooper ,  Billy </t>
        </is>
      </c>
      <c r="C574" t="inlineStr">
        <is>
          <t>Bluestone, OH 45502</t>
        </is>
      </c>
      <c r="D574" s="27" t="n"/>
      <c r="E574" s="27" t="n"/>
    </row>
    <row r="575">
      <c r="A575" t="inlineStr">
        <is>
          <t>R1574</t>
        </is>
      </c>
      <c r="B575" t="inlineStr">
        <is>
          <t>Armstrong, Gregory</t>
        </is>
      </c>
      <c r="C575" t="inlineStr">
        <is>
          <t>Bluestone, OH 45502</t>
        </is>
      </c>
      <c r="D575" s="27" t="n"/>
      <c r="E575" s="27" t="n"/>
    </row>
    <row r="576">
      <c r="A576" t="inlineStr">
        <is>
          <t>R1575</t>
        </is>
      </c>
      <c r="B576" t="inlineStr">
        <is>
          <t>Douglas Wells</t>
        </is>
      </c>
      <c r="C576" t="inlineStr">
        <is>
          <t>MILLBROOK, OH 45530</t>
        </is>
      </c>
      <c r="D576" s="27" t="n"/>
      <c r="E576" s="27" t="n"/>
    </row>
    <row r="577">
      <c r="A577" t="inlineStr">
        <is>
          <t>R1576</t>
        </is>
      </c>
      <c r="B577" t="inlineStr">
        <is>
          <t>Chen, Richard</t>
        </is>
      </c>
      <c r="C577" t="inlineStr">
        <is>
          <t>Pine Hollow OH 45640</t>
        </is>
      </c>
      <c r="D577" s="27" t="n"/>
      <c r="E577" s="27" t="n"/>
    </row>
    <row r="578">
      <c r="A578" t="inlineStr">
        <is>
          <t>R1577</t>
        </is>
      </c>
      <c r="B578" t="inlineStr">
        <is>
          <t>PHILLIPS, ISABELLA</t>
        </is>
      </c>
      <c r="C578" t="inlineStr">
        <is>
          <t>Oak Glen, OH 45730</t>
        </is>
      </c>
      <c r="D578" s="27" t="n"/>
      <c r="E578" s="27" t="n"/>
    </row>
    <row r="579">
      <c r="A579" t="inlineStr">
        <is>
          <t>R1578</t>
        </is>
      </c>
      <c r="B579" t="inlineStr">
        <is>
          <t xml:space="preserve">  Gomez ,  Susan </t>
        </is>
      </c>
      <c r="C579" t="inlineStr">
        <is>
          <t>Bluestone, OH 45503</t>
        </is>
      </c>
      <c r="D579" s="27" t="n"/>
      <c r="E579" s="27" t="n"/>
    </row>
    <row r="580">
      <c r="A580" t="inlineStr">
        <is>
          <t>R1579</t>
        </is>
      </c>
      <c r="B580" t="inlineStr">
        <is>
          <t>Moore, Zachary</t>
        </is>
      </c>
      <c r="C580" t="inlineStr">
        <is>
          <t>BLUESTONE, OH 45503</t>
        </is>
      </c>
      <c r="D580" s="27" t="n"/>
      <c r="E580" s="27" t="n"/>
    </row>
    <row r="581">
      <c r="A581" t="inlineStr">
        <is>
          <t>R1580</t>
        </is>
      </c>
      <c r="B581" t="inlineStr">
        <is>
          <t>Beverly Pena</t>
        </is>
      </c>
      <c r="C581" t="inlineStr">
        <is>
          <t>Bluestone, OH 45502</t>
        </is>
      </c>
      <c r="D581" s="27" t="n"/>
      <c r="E581" s="27" t="n"/>
    </row>
    <row r="582">
      <c r="A582" t="inlineStr">
        <is>
          <t>R1581</t>
        </is>
      </c>
      <c r="B582" t="inlineStr">
        <is>
          <t>ALEXANDER, GERALD</t>
        </is>
      </c>
      <c r="C582" t="inlineStr">
        <is>
          <t>Bluestone, OH 45502-2223</t>
        </is>
      </c>
      <c r="D582" s="27" t="n"/>
      <c r="E582" s="27" t="n"/>
    </row>
    <row r="583">
      <c r="A583" t="inlineStr">
        <is>
          <t>R1582</t>
        </is>
      </c>
      <c r="B583" t="inlineStr">
        <is>
          <t>Ellis, Amanda</t>
        </is>
      </c>
      <c r="C583" t="inlineStr">
        <is>
          <t>Ashby Falls OH 45610</t>
        </is>
      </c>
      <c r="D583" s="27" t="n"/>
      <c r="E583" s="27" t="n"/>
    </row>
    <row r="584">
      <c r="A584" t="inlineStr">
        <is>
          <t>R1583</t>
        </is>
      </c>
      <c r="B584" t="inlineStr">
        <is>
          <t>Davis, Aaliyah</t>
        </is>
      </c>
      <c r="C584" t="inlineStr">
        <is>
          <t>Bluestone, OH 45502</t>
        </is>
      </c>
      <c r="D584" s="27" t="n"/>
      <c r="E584" s="27" t="n"/>
    </row>
    <row r="585">
      <c r="A585" t="inlineStr">
        <is>
          <t>R1584</t>
        </is>
      </c>
      <c r="B585" t="inlineStr">
        <is>
          <t xml:space="preserve">  Fisher ,  Jordan </t>
        </is>
      </c>
      <c r="C585" t="inlineStr">
        <is>
          <t>Millbrook OH 45530</t>
        </is>
      </c>
      <c r="D585" s="27" t="n"/>
      <c r="E585" s="27" t="n"/>
    </row>
    <row r="586">
      <c r="A586" t="inlineStr">
        <is>
          <t>R1585</t>
        </is>
      </c>
      <c r="B586" t="inlineStr">
        <is>
          <t>Camila Abbott</t>
        </is>
      </c>
      <c r="C586" t="inlineStr">
        <is>
          <t>Bluestone, OH 45501</t>
        </is>
      </c>
      <c r="D586" s="27" t="n"/>
      <c r="E586" s="27" t="n"/>
    </row>
    <row r="587">
      <c r="A587" t="inlineStr">
        <is>
          <t>R1586</t>
        </is>
      </c>
      <c r="B587" t="inlineStr">
        <is>
          <t>Kowalski, Robert</t>
        </is>
      </c>
      <c r="C587" t="inlineStr">
        <is>
          <t>Fairhaven, OH 45620-2269</t>
        </is>
      </c>
      <c r="D587" s="27" t="n"/>
      <c r="E587" s="27" t="n"/>
    </row>
    <row r="588">
      <c r="A588" t="inlineStr">
        <is>
          <t>R1587</t>
        </is>
      </c>
      <c r="B588" t="inlineStr">
        <is>
          <t xml:space="preserve">  Myers ,  Amanda </t>
        </is>
      </c>
      <c r="C588" t="inlineStr">
        <is>
          <t>Ashby Falls, OH 45610</t>
        </is>
      </c>
      <c r="D588" s="27" t="n"/>
      <c r="E588" s="27" t="n"/>
    </row>
    <row r="589">
      <c r="A589" t="inlineStr">
        <is>
          <t>R1588</t>
        </is>
      </c>
      <c r="B589" t="inlineStr">
        <is>
          <t>Larry Santos</t>
        </is>
      </c>
      <c r="C589" t="inlineStr">
        <is>
          <t>Cedar Ridge, OH 45720-4371</t>
        </is>
      </c>
      <c r="D589" s="27" t="n"/>
      <c r="E589" s="27" t="n"/>
    </row>
    <row r="590">
      <c r="A590" t="inlineStr">
        <is>
          <t>R1589</t>
        </is>
      </c>
      <c r="B590" t="inlineStr">
        <is>
          <t>CAMPBELL, LORI</t>
        </is>
      </c>
      <c r="C590" t="inlineStr">
        <is>
          <t>CEDAR RIDGE, OH 45720</t>
        </is>
      </c>
      <c r="D590" s="27" t="n"/>
      <c r="E590" s="27" t="n"/>
    </row>
    <row r="591">
      <c r="A591" t="inlineStr">
        <is>
          <t>R1590</t>
        </is>
      </c>
      <c r="B591" t="inlineStr">
        <is>
          <t>Ramos, Elizabeth</t>
        </is>
      </c>
      <c r="C591" t="inlineStr">
        <is>
          <t>Ashby Falls, OH 45610</t>
        </is>
      </c>
      <c r="D591" s="27" t="n"/>
      <c r="E591" s="27" t="n"/>
    </row>
    <row r="592">
      <c r="A592" t="inlineStr">
        <is>
          <t>R1591</t>
        </is>
      </c>
      <c r="B592" t="inlineStr">
        <is>
          <t>FREEMAN, EDWARD</t>
        </is>
      </c>
      <c r="C592" t="inlineStr">
        <is>
          <t>Bluestone, OH 45502</t>
        </is>
      </c>
      <c r="D592" s="27" t="n"/>
      <c r="E592" s="27" t="n"/>
    </row>
    <row r="593">
      <c r="A593" t="inlineStr">
        <is>
          <t>R1592</t>
        </is>
      </c>
      <c r="B593" t="inlineStr">
        <is>
          <t>Dixon, Liam</t>
        </is>
      </c>
      <c r="C593" t="inlineStr">
        <is>
          <t>Ashby Falls, OH 45610</t>
        </is>
      </c>
      <c r="D593" s="27" t="n"/>
      <c r="E593" s="27" t="n"/>
    </row>
    <row r="594">
      <c r="A594" t="inlineStr">
        <is>
          <t>R1593</t>
        </is>
      </c>
      <c r="B594" t="inlineStr">
        <is>
          <t>Alvarez, Sandra</t>
        </is>
      </c>
      <c r="C594" t="inlineStr">
        <is>
          <t>Cedar Ridge OH 45720</t>
        </is>
      </c>
      <c r="D594" s="27" t="n"/>
      <c r="E594" s="27" t="n"/>
    </row>
    <row r="595">
      <c r="A595" t="inlineStr">
        <is>
          <t>R1594</t>
        </is>
      </c>
      <c r="B595" t="inlineStr">
        <is>
          <t>Ramos, Denise</t>
        </is>
      </c>
      <c r="C595" t="inlineStr">
        <is>
          <t>Pine Hollow, OH 45640-7630</t>
        </is>
      </c>
      <c r="D595" s="27" t="n"/>
      <c r="E595" s="27" t="n"/>
    </row>
    <row r="596">
      <c r="A596" t="inlineStr">
        <is>
          <t>R1595</t>
        </is>
      </c>
      <c r="B596" t="inlineStr">
        <is>
          <t xml:space="preserve">  Walker ,  Angela </t>
        </is>
      </c>
      <c r="C596" t="inlineStr">
        <is>
          <t>Lakeview Heights, OH 45510</t>
        </is>
      </c>
      <c r="D596" s="27" t="n"/>
      <c r="E596" s="27" t="n"/>
    </row>
    <row r="597">
      <c r="A597" t="inlineStr">
        <is>
          <t>R1596</t>
        </is>
      </c>
      <c r="B597" t="inlineStr">
        <is>
          <t>kim, fatima</t>
        </is>
      </c>
      <c r="C597" t="inlineStr">
        <is>
          <t>Bluestone, OH 45502</t>
        </is>
      </c>
      <c r="D597" s="27" t="n"/>
      <c r="E597" s="27" t="n"/>
    </row>
    <row r="598">
      <c r="A598" t="inlineStr">
        <is>
          <t>R1597</t>
        </is>
      </c>
      <c r="B598" t="inlineStr">
        <is>
          <t>Sophia Tucker</t>
        </is>
      </c>
      <c r="C598" t="inlineStr">
        <is>
          <t>BLUESTONE, OH 45502</t>
        </is>
      </c>
      <c r="D598" s="27" t="n"/>
      <c r="E598" s="27" t="n"/>
    </row>
    <row r="599">
      <c r="A599" t="inlineStr">
        <is>
          <t>R1598</t>
        </is>
      </c>
      <c r="B599" t="inlineStr">
        <is>
          <t>okafor, ashley</t>
        </is>
      </c>
      <c r="C599" t="inlineStr">
        <is>
          <t>Cedar Ridge, OH 45720</t>
        </is>
      </c>
      <c r="D599" s="27" t="n"/>
      <c r="E599" s="27" t="n"/>
    </row>
    <row r="600">
      <c r="A600" t="inlineStr">
        <is>
          <t>R1599</t>
        </is>
      </c>
      <c r="B600" t="inlineStr">
        <is>
          <t>RIVERA, JANICE</t>
        </is>
      </c>
      <c r="C600" t="inlineStr">
        <is>
          <t>Bluestone OH 45502</t>
        </is>
      </c>
      <c r="D600" s="27" t="n"/>
      <c r="E600" s="27" t="n"/>
    </row>
    <row r="601">
      <c r="A601" t="inlineStr">
        <is>
          <t>R1600</t>
        </is>
      </c>
      <c r="B601" t="inlineStr">
        <is>
          <t xml:space="preserve">  Hawkins ,  Sara </t>
        </is>
      </c>
      <c r="C601" t="inlineStr">
        <is>
          <t>Bluestone, OH 45501</t>
        </is>
      </c>
      <c r="D601" s="27" t="n"/>
      <c r="E601" s="27" t="n"/>
    </row>
    <row r="602">
      <c r="A602" t="inlineStr">
        <is>
          <t>R1601</t>
        </is>
      </c>
      <c r="B602" t="inlineStr">
        <is>
          <t xml:space="preserve">  O'Brien ,  Timothy </t>
        </is>
      </c>
      <c r="C602" t="inlineStr">
        <is>
          <t>Cedar Ridge, OH 45720</t>
        </is>
      </c>
      <c r="D602" s="27" t="n"/>
      <c r="E602" s="27" t="n"/>
    </row>
    <row r="603">
      <c r="A603" t="inlineStr">
        <is>
          <t>R1602</t>
        </is>
      </c>
      <c r="B603" t="inlineStr">
        <is>
          <t xml:space="preserve">  Ramos ,  Mark </t>
        </is>
      </c>
      <c r="C603" t="inlineStr">
        <is>
          <t>Bluestone, OH 45501</t>
        </is>
      </c>
      <c r="D603" s="27" t="n"/>
      <c r="E603" s="27" t="n"/>
    </row>
    <row r="604">
      <c r="A604" t="inlineStr">
        <is>
          <t>R1603</t>
        </is>
      </c>
      <c r="B604" t="inlineStr">
        <is>
          <t>Reynolds, Isabella</t>
        </is>
      </c>
      <c r="C604" t="inlineStr">
        <is>
          <t>Granite Springs, OH 45750-6869</t>
        </is>
      </c>
      <c r="D604" s="27" t="n"/>
      <c r="E604" s="27" t="n"/>
    </row>
    <row r="605">
      <c r="A605" t="inlineStr">
        <is>
          <t>R1604</t>
        </is>
      </c>
      <c r="B605" t="inlineStr">
        <is>
          <t>PATTERSON, GABRIEL</t>
        </is>
      </c>
      <c r="C605" t="inlineStr">
        <is>
          <t>Bluestone, OH 45502</t>
        </is>
      </c>
      <c r="D605" s="27" t="n"/>
      <c r="E605" s="27" t="n"/>
    </row>
    <row r="606">
      <c r="A606" t="inlineStr">
        <is>
          <t>R1605</t>
        </is>
      </c>
      <c r="B606" t="inlineStr">
        <is>
          <t>Willie Torres</t>
        </is>
      </c>
      <c r="C606" t="inlineStr">
        <is>
          <t>Bluestone, OH 45503</t>
        </is>
      </c>
      <c r="D606" s="27" t="n"/>
      <c r="E606" s="27" t="n"/>
    </row>
    <row r="607">
      <c r="A607" t="inlineStr">
        <is>
          <t>R1606</t>
        </is>
      </c>
      <c r="B607" t="inlineStr">
        <is>
          <t>webb, diana</t>
        </is>
      </c>
      <c r="C607" t="inlineStr">
        <is>
          <t>BLUESTONE, OH 45501</t>
        </is>
      </c>
      <c r="D607" s="27" t="n"/>
      <c r="E607" s="27" t="n"/>
    </row>
    <row r="608">
      <c r="A608" t="inlineStr">
        <is>
          <t>R1607</t>
        </is>
      </c>
      <c r="B608" t="inlineStr">
        <is>
          <t>Ramirez, Mason</t>
        </is>
      </c>
      <c r="C608" t="inlineStr">
        <is>
          <t>Granite Springs, OH 45750</t>
        </is>
      </c>
      <c r="D608" s="27" t="n"/>
      <c r="E608" s="27" t="n"/>
    </row>
    <row r="609">
      <c r="A609" t="inlineStr">
        <is>
          <t>R1608</t>
        </is>
      </c>
      <c r="B609" t="inlineStr">
        <is>
          <t xml:space="preserve">  Nguyen ,  Willie </t>
        </is>
      </c>
      <c r="C609" t="inlineStr">
        <is>
          <t>BLUESTONE, OH 45502</t>
        </is>
      </c>
      <c r="D609" s="27" t="n"/>
      <c r="E609" s="27" t="n"/>
    </row>
    <row r="610">
      <c r="A610" t="inlineStr">
        <is>
          <t>R1609</t>
        </is>
      </c>
      <c r="B610" t="inlineStr">
        <is>
          <t>Debra Long</t>
        </is>
      </c>
      <c r="C610" t="inlineStr">
        <is>
          <t>Cedar Ridge, OH 45720</t>
        </is>
      </c>
      <c r="D610" s="27" t="n"/>
      <c r="E610" s="27" t="n"/>
    </row>
    <row r="611">
      <c r="A611" t="inlineStr">
        <is>
          <t>R1610</t>
        </is>
      </c>
      <c r="B611" t="inlineStr">
        <is>
          <t>ADAMS, ROY</t>
        </is>
      </c>
      <c r="C611" t="inlineStr">
        <is>
          <t>Bluestone, OH 45502</t>
        </is>
      </c>
      <c r="D611" s="27" t="n"/>
      <c r="E611" s="27" t="n"/>
    </row>
    <row r="612">
      <c r="A612" t="inlineStr">
        <is>
          <t>R1611</t>
        </is>
      </c>
      <c r="B612" t="inlineStr">
        <is>
          <t>Harris, Linh</t>
        </is>
      </c>
      <c r="C612" t="inlineStr">
        <is>
          <t>Lakeview Heights, OH 45510</t>
        </is>
      </c>
      <c r="D612" s="27" t="n"/>
      <c r="E612" s="27" t="n"/>
    </row>
    <row r="613">
      <c r="A613" t="inlineStr">
        <is>
          <t>R1612</t>
        </is>
      </c>
      <c r="B613" t="inlineStr">
        <is>
          <t>Cook, Linh</t>
        </is>
      </c>
      <c r="C613" t="inlineStr">
        <is>
          <t>Fairhaven, OH 45620</t>
        </is>
      </c>
      <c r="D613" s="27" t="n"/>
      <c r="E613" s="27" t="n"/>
    </row>
    <row r="614">
      <c r="A614" t="inlineStr">
        <is>
          <t>R1613</t>
        </is>
      </c>
      <c r="B614" t="inlineStr">
        <is>
          <t>Alexander, Julie</t>
        </is>
      </c>
      <c r="C614" t="inlineStr">
        <is>
          <t>Lakeview Heights OH 45510</t>
        </is>
      </c>
      <c r="D614" s="27" t="n"/>
      <c r="E614" s="27" t="n"/>
    </row>
    <row r="615">
      <c r="A615" t="inlineStr">
        <is>
          <t>R1614</t>
        </is>
      </c>
      <c r="B615" t="inlineStr">
        <is>
          <t>MORGAN, BRUCE</t>
        </is>
      </c>
      <c r="C615" t="inlineStr">
        <is>
          <t>Bluestone OH 45501</t>
        </is>
      </c>
      <c r="D615" s="27" t="n"/>
      <c r="E615" s="27" t="n"/>
    </row>
    <row r="616">
      <c r="A616" t="inlineStr">
        <is>
          <t>R1615</t>
        </is>
      </c>
      <c r="B616" t="inlineStr">
        <is>
          <t>GOMEZ, HELEN</t>
        </is>
      </c>
      <c r="C616" t="inlineStr">
        <is>
          <t>Bluestone, OH 45503</t>
        </is>
      </c>
      <c r="D616" s="27" t="n"/>
      <c r="E616" s="27" t="n"/>
    </row>
    <row r="617">
      <c r="A617" t="inlineStr">
        <is>
          <t>R1616</t>
        </is>
      </c>
      <c r="B617" t="inlineStr">
        <is>
          <t>GIBSON, ABIGAIL</t>
        </is>
      </c>
      <c r="C617" t="inlineStr">
        <is>
          <t>Bluestone, OH 45503-1896</t>
        </is>
      </c>
      <c r="D617" s="27" t="n"/>
      <c r="E617" s="27" t="n"/>
    </row>
    <row r="618">
      <c r="A618" t="inlineStr">
        <is>
          <t>R1617</t>
        </is>
      </c>
      <c r="B618" t="inlineStr">
        <is>
          <t>Chavez, Helen</t>
        </is>
      </c>
      <c r="C618" t="inlineStr">
        <is>
          <t>Riverbend, OH 45545</t>
        </is>
      </c>
      <c r="D618" s="27" t="n"/>
      <c r="E618" s="27" t="n"/>
    </row>
    <row r="619">
      <c r="A619" t="inlineStr">
        <is>
          <t>R1618</t>
        </is>
      </c>
      <c r="B619" t="inlineStr">
        <is>
          <t>FORD, JULIE</t>
        </is>
      </c>
      <c r="C619" t="inlineStr">
        <is>
          <t>Bluestone, OH 45503</t>
        </is>
      </c>
      <c r="D619" s="27" t="n"/>
      <c r="E619" s="27" t="n"/>
    </row>
    <row r="620">
      <c r="A620" t="inlineStr">
        <is>
          <t>R1619</t>
        </is>
      </c>
      <c r="B620" t="inlineStr">
        <is>
          <t>James, Henry</t>
        </is>
      </c>
      <c r="C620" t="inlineStr">
        <is>
          <t>Cedar Ridge, OH 45720</t>
        </is>
      </c>
      <c r="D620" s="27" t="n"/>
      <c r="E620" s="27" t="n"/>
    </row>
    <row r="621">
      <c r="A621" t="inlineStr">
        <is>
          <t>R1620</t>
        </is>
      </c>
      <c r="B621" t="inlineStr">
        <is>
          <t>Timothy Nguyen</t>
        </is>
      </c>
      <c r="C621" t="inlineStr">
        <is>
          <t>Ashby Falls, OH 45610</t>
        </is>
      </c>
      <c r="D621" s="27" t="n"/>
      <c r="E621" s="27" t="n"/>
    </row>
    <row r="622">
      <c r="A622" t="inlineStr">
        <is>
          <t>R1621</t>
        </is>
      </c>
      <c r="B622" t="inlineStr">
        <is>
          <t>johnston, ann</t>
        </is>
      </c>
      <c r="C622" t="inlineStr">
        <is>
          <t>Riverbend, OH 45545</t>
        </is>
      </c>
      <c r="D622" s="27" t="n"/>
      <c r="E622" s="27" t="n"/>
    </row>
    <row r="623">
      <c r="A623" t="inlineStr">
        <is>
          <t>R1622</t>
        </is>
      </c>
      <c r="B623" t="inlineStr">
        <is>
          <t>RODRIGUEZ, FRANK</t>
        </is>
      </c>
      <c r="C623" t="inlineStr">
        <is>
          <t>Bluestone, OH 45502</t>
        </is>
      </c>
      <c r="D623" s="27" t="n"/>
      <c r="E623" s="27" t="n"/>
    </row>
    <row r="624">
      <c r="A624" t="inlineStr">
        <is>
          <t>R1623</t>
        </is>
      </c>
      <c r="B624" t="inlineStr">
        <is>
          <t>Fernandez, Christian</t>
        </is>
      </c>
      <c r="C624" t="inlineStr">
        <is>
          <t>Ashby Falls, OH 45610</t>
        </is>
      </c>
      <c r="D624" s="27" t="n"/>
      <c r="E624" s="27" t="n"/>
    </row>
    <row r="625">
      <c r="A625" t="inlineStr">
        <is>
          <t>R1624</t>
        </is>
      </c>
      <c r="B625" t="inlineStr">
        <is>
          <t>Joyce Schmidt</t>
        </is>
      </c>
      <c r="C625" t="inlineStr">
        <is>
          <t>Bluestone, OH 45502-9891</t>
        </is>
      </c>
      <c r="D625" s="27" t="n"/>
      <c r="E625" s="27" t="n"/>
    </row>
    <row r="626">
      <c r="A626" t="inlineStr">
        <is>
          <t>R1625</t>
        </is>
      </c>
      <c r="B626" t="inlineStr">
        <is>
          <t>Patterson, Shirley</t>
        </is>
      </c>
      <c r="C626" t="inlineStr">
        <is>
          <t>Fairhaven OH 45620</t>
        </is>
      </c>
      <c r="D626" s="27" t="n"/>
      <c r="E626" s="27" t="n"/>
    </row>
    <row r="627">
      <c r="A627" t="inlineStr">
        <is>
          <t>R1626</t>
        </is>
      </c>
      <c r="B627" t="inlineStr">
        <is>
          <t>Andrews, Karen</t>
        </is>
      </c>
      <c r="C627" t="inlineStr">
        <is>
          <t>Riverbend OH 45545</t>
        </is>
      </c>
      <c r="D627" s="27" t="n"/>
      <c r="E627" s="27" t="n"/>
    </row>
    <row r="628">
      <c r="A628" t="inlineStr">
        <is>
          <t>R1627</t>
        </is>
      </c>
      <c r="B628" t="inlineStr">
        <is>
          <t>SANDOVAL, PRIYA</t>
        </is>
      </c>
      <c r="C628" t="inlineStr">
        <is>
          <t>Bluestone OH 45503</t>
        </is>
      </c>
      <c r="D628" s="27" t="n"/>
      <c r="E628" s="27" t="n"/>
    </row>
    <row r="629">
      <c r="A629" t="inlineStr">
        <is>
          <t>R1628</t>
        </is>
      </c>
      <c r="B629" t="inlineStr">
        <is>
          <t xml:space="preserve">  Aguilar ,  Paul </t>
        </is>
      </c>
      <c r="C629" t="inlineStr">
        <is>
          <t>Lakeview Heights, OH 45510</t>
        </is>
      </c>
      <c r="D629" s="27" t="n"/>
      <c r="E629" s="27" t="n"/>
    </row>
    <row r="630">
      <c r="A630" t="inlineStr">
        <is>
          <t>R1629</t>
        </is>
      </c>
      <c r="B630" t="inlineStr">
        <is>
          <t>HUNTER, EDWARD</t>
        </is>
      </c>
      <c r="C630" t="inlineStr">
        <is>
          <t>Riverbend, OH 45545</t>
        </is>
      </c>
      <c r="D630" s="27" t="n"/>
      <c r="E630" s="27" t="n"/>
    </row>
    <row r="631">
      <c r="A631" t="inlineStr">
        <is>
          <t>R1630</t>
        </is>
      </c>
      <c r="B631" t="inlineStr">
        <is>
          <t>SOTO, JANICE</t>
        </is>
      </c>
      <c r="C631" t="inlineStr">
        <is>
          <t>OAK GLEN, OH 45730</t>
        </is>
      </c>
      <c r="D631" s="27" t="n"/>
      <c r="E631" s="27" t="n"/>
    </row>
    <row r="632">
      <c r="A632" t="inlineStr">
        <is>
          <t>R1631</t>
        </is>
      </c>
      <c r="B632" t="inlineStr">
        <is>
          <t>HENDERSON, LOGAN</t>
        </is>
      </c>
      <c r="C632" t="inlineStr">
        <is>
          <t>Bluestone, OH 45503</t>
        </is>
      </c>
      <c r="D632" s="27" t="n"/>
      <c r="E632" s="27" t="n"/>
    </row>
    <row r="633">
      <c r="A633" t="inlineStr">
        <is>
          <t>R1632</t>
        </is>
      </c>
      <c r="B633" t="inlineStr">
        <is>
          <t>GONZALEZ, DONALD</t>
        </is>
      </c>
      <c r="C633" t="inlineStr">
        <is>
          <t>LAKEVIEW HEIGHTS, OH 45510</t>
        </is>
      </c>
      <c r="D633" s="27" t="n"/>
      <c r="E633" s="27" t="n"/>
    </row>
    <row r="634">
      <c r="A634" t="inlineStr">
        <is>
          <t>R1633</t>
        </is>
      </c>
      <c r="B634" t="inlineStr">
        <is>
          <t>Bradley, Christian</t>
        </is>
      </c>
      <c r="C634" t="inlineStr">
        <is>
          <t>Lakeview Heights, OH 45510</t>
        </is>
      </c>
      <c r="D634" s="27" t="n"/>
      <c r="E634" s="27" t="n"/>
    </row>
    <row r="635">
      <c r="A635" t="inlineStr">
        <is>
          <t>R1634</t>
        </is>
      </c>
      <c r="B635" t="inlineStr">
        <is>
          <t>pena, lauren</t>
        </is>
      </c>
      <c r="C635" t="inlineStr">
        <is>
          <t>Bluestone, OH 45502</t>
        </is>
      </c>
      <c r="D635" s="27" t="n"/>
      <c r="E635" s="27" t="n"/>
    </row>
    <row r="636">
      <c r="A636" t="inlineStr">
        <is>
          <t>R1635</t>
        </is>
      </c>
      <c r="B636" t="inlineStr">
        <is>
          <t>Hicks, Liam</t>
        </is>
      </c>
      <c r="C636" t="inlineStr">
        <is>
          <t>Bluestone, OH 45502-1178</t>
        </is>
      </c>
      <c r="D636" s="27" t="n"/>
      <c r="E636" s="27" t="n"/>
    </row>
    <row r="637">
      <c r="A637" t="inlineStr">
        <is>
          <t>R1636</t>
        </is>
      </c>
      <c r="B637" t="inlineStr">
        <is>
          <t>Davis, Heather</t>
        </is>
      </c>
      <c r="C637" t="inlineStr">
        <is>
          <t>BLUESTONE, OH 45503</t>
        </is>
      </c>
      <c r="D637" s="27" t="n"/>
      <c r="E637" s="27" t="n"/>
    </row>
    <row r="638">
      <c r="A638" t="inlineStr">
        <is>
          <t>R1637</t>
        </is>
      </c>
      <c r="B638" t="inlineStr">
        <is>
          <t>Pierce, Bradley</t>
        </is>
      </c>
      <c r="C638" t="inlineStr">
        <is>
          <t>Millbrook, OH 45530</t>
        </is>
      </c>
      <c r="D638" s="27" t="n"/>
      <c r="E638" s="27" t="n"/>
    </row>
    <row r="639">
      <c r="A639" t="inlineStr">
        <is>
          <t>R1638</t>
        </is>
      </c>
      <c r="B639" t="inlineStr">
        <is>
          <t>Young, Jean</t>
        </is>
      </c>
      <c r="C639" t="inlineStr">
        <is>
          <t>Bluestone, OH 45501</t>
        </is>
      </c>
      <c r="D639" s="27" t="n"/>
      <c r="E639" s="27" t="n"/>
    </row>
    <row r="640">
      <c r="A640" t="inlineStr">
        <is>
          <t>R1639</t>
        </is>
      </c>
      <c r="B640" t="inlineStr">
        <is>
          <t>Carpenter, Ava</t>
        </is>
      </c>
      <c r="C640" t="inlineStr">
        <is>
          <t>Bluestone, OH 45501</t>
        </is>
      </c>
      <c r="D640" s="27" t="n"/>
      <c r="E640" s="27" t="n"/>
    </row>
    <row r="641">
      <c r="A641" t="inlineStr">
        <is>
          <t>R1640</t>
        </is>
      </c>
      <c r="B641" t="inlineStr">
        <is>
          <t>myers, mei</t>
        </is>
      </c>
      <c r="C641" t="inlineStr">
        <is>
          <t>Lakeview Heights OH 45510</t>
        </is>
      </c>
      <c r="D641" s="27" t="n"/>
      <c r="E641" s="27" t="n"/>
    </row>
    <row r="642">
      <c r="A642" t="inlineStr">
        <is>
          <t>R1641</t>
        </is>
      </c>
      <c r="B642" t="inlineStr">
        <is>
          <t>Chavez, Grace</t>
        </is>
      </c>
      <c r="C642" t="inlineStr">
        <is>
          <t>Bluestone OH 45502</t>
        </is>
      </c>
      <c r="D642" s="27" t="n"/>
      <c r="E642" s="27" t="n"/>
    </row>
    <row r="643">
      <c r="A643" t="inlineStr">
        <is>
          <t>R1642</t>
        </is>
      </c>
      <c r="B643" t="inlineStr">
        <is>
          <t>Elliott, Janice</t>
        </is>
      </c>
      <c r="C643" t="inlineStr">
        <is>
          <t>Bluestone, OH 45503</t>
        </is>
      </c>
      <c r="D643" s="27" t="n"/>
      <c r="E643" s="27" t="n"/>
    </row>
    <row r="644">
      <c r="A644" t="inlineStr">
        <is>
          <t>R1643</t>
        </is>
      </c>
      <c r="B644" t="inlineStr">
        <is>
          <t>Richards, Robert</t>
        </is>
      </c>
      <c r="C644" t="inlineStr">
        <is>
          <t>Riverbend, OH 45545</t>
        </is>
      </c>
      <c r="D644" s="27" t="n"/>
      <c r="E644" s="27" t="n"/>
    </row>
    <row r="645">
      <c r="A645" t="inlineStr">
        <is>
          <t>R1644</t>
        </is>
      </c>
      <c r="B645" t="inlineStr">
        <is>
          <t>Perkins, Jack</t>
        </is>
      </c>
      <c r="C645" t="inlineStr">
        <is>
          <t>LAKEVIEW HEIGHTS, OH 45510</t>
        </is>
      </c>
      <c r="D645" s="27" t="n"/>
      <c r="E645" s="27" t="n"/>
    </row>
    <row r="646">
      <c r="A646" t="inlineStr">
        <is>
          <t>R1645</t>
        </is>
      </c>
      <c r="B646" t="inlineStr">
        <is>
          <t>Ramirez, Wayne</t>
        </is>
      </c>
      <c r="C646" t="inlineStr">
        <is>
          <t>RIVERBEND, OH 45545</t>
        </is>
      </c>
      <c r="D646" s="27" t="n"/>
      <c r="E646" s="27" t="n"/>
    </row>
    <row r="647">
      <c r="A647" t="inlineStr">
        <is>
          <t>R1646</t>
        </is>
      </c>
      <c r="B647" t="inlineStr">
        <is>
          <t>Victoria Haddad</t>
        </is>
      </c>
      <c r="C647" t="inlineStr">
        <is>
          <t>Ashby Falls, OH 45610</t>
        </is>
      </c>
      <c r="D647" s="27" t="n"/>
      <c r="E647" s="27" t="n"/>
    </row>
    <row r="648">
      <c r="A648" t="inlineStr">
        <is>
          <t>R1647</t>
        </is>
      </c>
      <c r="B648" t="inlineStr">
        <is>
          <t>Hayes, Roger</t>
        </is>
      </c>
      <c r="C648" t="inlineStr">
        <is>
          <t>Lakeview Heights, OH 45510</t>
        </is>
      </c>
      <c r="D648" s="27" t="n"/>
      <c r="E648" s="27" t="n"/>
    </row>
    <row r="649">
      <c r="A649" t="inlineStr">
        <is>
          <t>R1648</t>
        </is>
      </c>
      <c r="B649" t="inlineStr">
        <is>
          <t>hudson, gabriel</t>
        </is>
      </c>
      <c r="C649" t="inlineStr">
        <is>
          <t>Bluestone, OH 45503-5226</t>
        </is>
      </c>
      <c r="D649" s="27" t="n"/>
      <c r="E649" s="27" t="n"/>
    </row>
    <row r="650">
      <c r="A650" t="inlineStr">
        <is>
          <t>R1649</t>
        </is>
      </c>
      <c r="B650" t="inlineStr">
        <is>
          <t>Kimberly Ray</t>
        </is>
      </c>
      <c r="C650" t="inlineStr">
        <is>
          <t>Ashby Falls, OH 45610</t>
        </is>
      </c>
      <c r="D650" s="27" t="n"/>
      <c r="E650" s="27" t="n"/>
    </row>
    <row r="651">
      <c r="A651" t="inlineStr">
        <is>
          <t>R1650</t>
        </is>
      </c>
      <c r="B651" t="inlineStr">
        <is>
          <t>JONES, MARY</t>
        </is>
      </c>
      <c r="C651" t="inlineStr">
        <is>
          <t>BLUESTONE, OH 45502</t>
        </is>
      </c>
      <c r="D651" s="27" t="n"/>
      <c r="E651" s="27" t="n"/>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30" t="inlineStr">
        <is>
          <t>🔑 Answer Key — Lesson 2.2</t>
        </is>
      </c>
    </row>
    <row r="2" ht="32" customHeight="1">
      <c r="A2" s="31" t="inlineStr">
        <is>
          <t>Spoiler alert — try every task before reading this sheet. Column C is the value the Check column compares against. Column D is a sample solution; column E is that same formula, live, proving it works.</t>
        </is>
      </c>
    </row>
    <row r="4">
      <c r="A4" s="32" t="inlineStr">
        <is>
          <t>#</t>
        </is>
      </c>
      <c r="B4" s="32" t="inlineStr">
        <is>
          <t>Task</t>
        </is>
      </c>
      <c r="C4" s="32" t="inlineStr">
        <is>
          <t>Answer</t>
        </is>
      </c>
      <c r="D4" s="32" t="inlineStr">
        <is>
          <t>Sample solution</t>
        </is>
      </c>
      <c r="E4" s="32" t="inlineStr">
        <is>
          <t>Live result</t>
        </is>
      </c>
      <c r="F4" s="32" t="inlineStr">
        <is>
          <t>Explanation</t>
        </is>
      </c>
    </row>
    <row r="5" ht="81" customHeight="1">
      <c r="A5" s="18" t="inlineStr">
        <is>
          <t>1</t>
        </is>
      </c>
      <c r="B5" s="19" t="inlineStr">
        <is>
          <t>Front-desk staff confirm a caller's identity with the last 4 digits of their phone number. Return the last 4 digits of patient PT10015's phone (row 16 of the Patients sheet).</t>
        </is>
      </c>
      <c r="C5" s="33" t="inlineStr">
        <is>
          <t>7258</t>
        </is>
      </c>
      <c r="D5" s="34" t="inlineStr">
        <is>
          <t>=RIGHT(Patients!D16,4)</t>
        </is>
      </c>
      <c r="E5" cm="1" s="35">
        <f t="array" ref="E5">RIGHT(Patients!D16,4)</f>
        <v/>
      </c>
      <c r="F5" s="19" t="inlineStr">
        <is>
          <t>RIGHT returns characters from the end of the text. The phone is stored as text in a fixed (555) 123-4567 layout, so its last 4 characters are always the last 4 digits. The result is text: a phone ending in 0698 would correctly keep its leading 0.</t>
        </is>
      </c>
    </row>
    <row r="6" ht="81" customHeight="1">
      <c r="A6" s="18" t="inlineStr">
        <is>
          <t>2</t>
        </is>
      </c>
      <c r="B6" s="19" t="inlineStr">
        <is>
          <t>On the Encounters sheet, fill the yellow DxCategory column with the ICD-10 category of each PrimaryDxCode (its first 3 characters). The gray cell counts encounters in category E11 (type 2 diabetes). Type your formula in G2, then copy it down.</t>
        </is>
      </c>
      <c r="C6" s="33" t="n">
        <v>15</v>
      </c>
      <c r="D6" s="34" t="inlineStr">
        <is>
          <t>=LEFT(E2,3)</t>
        </is>
      </c>
      <c r="E6" cm="1" s="35">
        <f t="array" ref="E6">SUMPRODUCT(--(LEFT(Encounters!E2:E284,3)="E11"))</f>
        <v/>
      </c>
      <c r="F6" s="19" t="inlineStr">
        <is>
          <t>An ICD-10 code's first three characters are its category, so LEFT(code,3) groups E11.65 and E11.9 together as E11. Codes have different lengths (I10, E11.65, S72.001A), but the category is always the first 3 characters, which is why LEFT works with a fixed count here.</t>
        </is>
      </c>
    </row>
    <row r="7" ht="51" customHeight="1">
      <c r="A7" s="18" t="inlineStr">
        <is>
          <t>3</t>
        </is>
      </c>
      <c r="B7" s="19" t="inlineStr">
        <is>
          <t>Extract the last name of patient PT10031 (row 32 of the Patients sheet, "PETROV, Ana"): everything before the comma.</t>
        </is>
      </c>
      <c r="C7" s="33" t="inlineStr">
        <is>
          <t>PETROV</t>
        </is>
      </c>
      <c r="D7" s="34" t="inlineStr">
        <is>
          <t>=LEFT(Patients!C32,FIND(",",Patients!C32)-1)</t>
        </is>
      </c>
      <c r="E7" cm="1" s="35">
        <f t="array" ref="E7">LEFT(Patients!C32,FIND(",",Patients!C32)-1)</f>
        <v/>
      </c>
      <c r="F7" s="19" t="inlineStr">
        <is>
          <t>FIND(",",…) returns the comma's position (7). The last name is the 6 characters before it, so subtract 1. In Microsoft 365 you can also write =TEXTBEFORE(Patients!C32,",").</t>
        </is>
      </c>
    </row>
    <row r="8" ht="81" customHeight="1">
      <c r="A8" s="18" t="inlineStr">
        <is>
          <t>4</t>
        </is>
      </c>
      <c r="B8" s="19" t="inlineStr">
        <is>
          <t>The appointment-reminder system needs phone numbers as 10 digits with no punctuation. Convert patient PT10058's phone (row 59, "(555) 529-7071") to digits only.</t>
        </is>
      </c>
      <c r="C8" s="33" t="inlineStr">
        <is>
          <t>5555297071</t>
        </is>
      </c>
      <c r="D8" s="34" t="inlineStr">
        <is>
          <t>=SUBSTITUTE(SUBSTITUTE(SUBSTITUTE(SUBSTITUTE(Patients!D59,"(",""),")","")," ",""),"-","")</t>
        </is>
      </c>
      <c r="E8" cm="1" s="35">
        <f t="array" ref="E8">SUBSTITUTE(SUBSTITUTE(SUBSTITUTE(SUBSTITUTE(Patients!D59,"(",""),")","")," ",""),"-","")</f>
        <v/>
      </c>
      <c r="F8" s="19" t="inlineStr">
        <is>
          <t>Each SUBSTITUTE replaces one character with nothing (""). Nesting them removes the parentheses, the space, and the dash in one formula. Work from the inside out: the innermost SUBSTITUTE runs first and passes its result to the next one. The result is text, which is what you want for phone numbers.</t>
        </is>
      </c>
    </row>
    <row r="9" ht="111" customHeight="1">
      <c r="A9" s="18" t="inlineStr">
        <is>
          <t>5</t>
        </is>
      </c>
      <c r="B9" s="19" t="inlineStr">
        <is>
          <t>Patient PT10002's MRN (row 3) shows 897724 because the export stored it as a number and dropped the leading zeros. Return it as the 8-character text MRN printed on wristbands.</t>
        </is>
      </c>
      <c r="C9" s="33" t="inlineStr">
        <is>
          <t>00897724</t>
        </is>
      </c>
      <c r="D9" s="34" t="inlineStr">
        <is>
          <t>=TEXT(Patients!B3,"00000000")</t>
        </is>
      </c>
      <c r="E9" cm="1" s="35">
        <f t="array" ref="E9">TEXT(Patients!B3,"00000000")</f>
        <v/>
      </c>
      <c r="F9" s="19" t="inlineStr">
        <is>
          <t>In a format code, each 0 is a required digit, so "00000000" pads the number with leading zeros to 8 digits. The result "00897724" is text, so the zeros are part of the value: they survive joining with &amp; and match MRNs stored as text in other systems. A custom number format (Lesson 1.3) only changes how the cell looks, so ="MRN "&amp;Patients!B3 would still give MRN 897724.</t>
        </is>
      </c>
    </row>
    <row r="10" ht="81" customHeight="1">
      <c r="A10" s="18" t="inlineStr">
        <is>
          <t>6</t>
        </is>
      </c>
      <c r="B10" s="19" t="inlineStr">
        <is>
          <t>Monthly quality reports label encounters by month. Return the admit month of encounter ENC120217 (row 128 of the Encounters sheet) as text in the form Mon-YYYY, for example Jan-2026.</t>
        </is>
      </c>
      <c r="C10" s="33" t="inlineStr">
        <is>
          <t>Nov-2025</t>
        </is>
      </c>
      <c r="D10" s="34" t="inlineStr">
        <is>
          <t>=TEXT(Encounters!D128,"mmm-yyyy")</t>
        </is>
      </c>
      <c r="E10" cm="1" s="35">
        <f t="array" ref="E10">TEXT(Encounters!D128,"mmm-yyyy")</f>
        <v/>
      </c>
      <c r="F10" s="19" t="inlineStr">
        <is>
          <t>In a date format code, mmm is the short month name and yyyy is the 4-digit year. The dash is copied as-is. Without TEXT, a date joined to text shows its serial number: ="Admitted "&amp;Encounters!D128 gives Admitted 45975, because a date is stored as a number.</t>
        </is>
      </c>
    </row>
    <row r="11" ht="66" customHeight="1">
      <c r="A11" s="18" t="inlineStr">
        <is>
          <t>7</t>
        </is>
      </c>
      <c r="B11" s="19" t="inlineStr">
        <is>
          <t>Build the ID-badge label for provider PRV1054 (row 55 of the Providers sheet) in the form Dr. First Last, Credential. For example, provider PRV1001's label is Dr. Roy Ferguson, MD.</t>
        </is>
      </c>
      <c r="C11" s="33" t="inlineStr">
        <is>
          <t>Dr. Jonathan Taylor, MD</t>
        </is>
      </c>
      <c r="D11" s="34" t="inlineStr">
        <is>
          <t>="Dr. "&amp;Providers!B55&amp;" "&amp;Providers!C55&amp;", "&amp;Providers!D55</t>
        </is>
      </c>
      <c r="E11" cm="1" s="35">
        <f t="array" ref="E11">"Dr. "&amp;Providers!B55&amp;" "&amp;Providers!C55&amp;", "&amp;Providers!D55</f>
        <v/>
      </c>
      <c r="F11" s="19" t="inlineStr">
        <is>
          <t>The &amp; operator joins text. Literal text, including every space, the period after Dr, and the comma, goes inside double quotes. =CONCAT("Dr. ",Providers!B55," ",Providers!C55,", ",Providers!D55) gives the same result.</t>
        </is>
      </c>
    </row>
    <row r="12" ht="96" customHeight="1">
      <c r="A12" s="18" t="inlineStr">
        <is>
          <t>8</t>
        </is>
      </c>
      <c r="B12" s="19" t="inlineStr">
        <is>
          <t>On the Patients sheet, fill the yellow HasDM column with TRUE when the patient's ChronicConditions list includes DM (diabetes) and FALSE otherwise. Blank lists should give FALSE. The gray cell counts the TRUEs.</t>
        </is>
      </c>
      <c r="C12" s="33" t="n">
        <v>52</v>
      </c>
      <c r="D12" s="34" t="inlineStr">
        <is>
          <t>=ISNUMBER(SEARCH("DM",F2))</t>
        </is>
      </c>
      <c r="E12" cm="1" s="35">
        <f t="array" ref="E12">SUMPRODUCT(--ISNUMBER(SEARCH("DM",Patients!F2:F401)))</f>
        <v/>
      </c>
      <c r="F12" s="19" t="inlineStr">
        <is>
          <t>SEARCH returns the position where DM starts, or #VALUE! when it isn't there (including in blank cells). ISNUMBER converts any position to TRUE and the error to FALSE. SEARCH ignores case, so it would also find dm. If a code could hide inside a longer code, search for ";DM;" inside ";"&amp;F2&amp;";" instead.</t>
        </is>
      </c>
    </row>
    <row r="13" ht="51" customHeight="1">
      <c r="A13" s="18" t="inlineStr">
        <is>
          <t>9</t>
        </is>
      </c>
      <c r="B13" s="19" t="inlineStr">
        <is>
          <t>The patient portal username is the part of the email address before the @. Return the username for patient PT10123 (row 124).</t>
        </is>
      </c>
      <c r="C13" s="33" t="inlineStr">
        <is>
          <t>sara.scott36</t>
        </is>
      </c>
      <c r="D13" s="34" t="inlineStr">
        <is>
          <t>=TEXTBEFORE(Patients!E124,"@")</t>
        </is>
      </c>
      <c r="E13" cm="1" s="35">
        <f t="array" ref="E13">_xlfn.TEXTBEFORE(Patients!E124,"@")</f>
        <v/>
      </c>
      <c r="F13" s="19" t="inlineStr">
        <is>
          <t>TEXTBEFORE returns everything before the first @. The classic version, which works in every Excel, is =LEFT(Patients!E124,FIND("@",Patients!E124)-1).</t>
        </is>
      </c>
    </row>
    <row r="14" ht="81" customHeight="1">
      <c r="A14" s="18" t="inlineStr">
        <is>
          <t>10</t>
        </is>
      </c>
      <c r="B14" s="19" t="inlineStr">
        <is>
          <t>How many chronic conditions does patient PT10101 (row 102) have? Split the semicolon-separated ChronicConditions list with TEXTSPLIT and count the pieces.</t>
        </is>
      </c>
      <c r="C14" s="33" t="n">
        <v>4</v>
      </c>
      <c r="D14" s="34" t="inlineStr">
        <is>
          <t>=COUNTA(TEXTSPLIT(Patients!F102,";"))</t>
        </is>
      </c>
      <c r="E14" cm="1" s="35">
        <f t="array" ref="E14">COUNTA(_xlfn.TEXTSPLIT(Patients!F102,";"))</f>
        <v/>
      </c>
      <c r="F14" s="19" t="inlineStr">
        <is>
          <t>TEXTSPLIT spills one condition per cell to the right. Wrapping it in COUNTA counts the pieces and returns a single number, so nothing spills into the Check column. Without TEXTSPLIT, count the semicolons and add 1: =LEN(Patients!F102)-LEN(SUBSTITUTE(Patients!F102,";",""))+1.</t>
        </is>
      </c>
    </row>
    <row r="15" ht="96" customHeight="1">
      <c r="A15" s="18" t="inlineStr">
        <is>
          <t>11</t>
        </is>
      </c>
      <c r="B15" s="19" t="inlineStr">
        <is>
          <t>On the Patients sheet, fill the yellow ContactLine column with the phone and email joined by " | " (space, vertical bar, space), for example (555) 875-0698 | edward.abbott94@example.com. When there's no email, show just the phone, with no dangling separator. The gray cell counts lines that contain a |.</t>
        </is>
      </c>
      <c r="C15" s="33" t="n">
        <v>229</v>
      </c>
      <c r="D15" s="34" t="inlineStr">
        <is>
          <t>=TEXTJOIN(" | ",TRUE,D2,E2)</t>
        </is>
      </c>
      <c r="E15" cm="1" s="35">
        <f t="array" ref="E15">COUNTA(Patients!E2:E401)</f>
        <v/>
      </c>
      <c r="F15" s="19" t="inlineStr">
        <is>
          <t>TEXTJOIN puts the delimiter between items. With ignore_empty set to TRUE, it skips the blank email, so those rows show only the phone. With FALSE, or with D2&amp;" | "&amp;E2, every row gets a separator and the blank rows end in a dangling " | ".</t>
        </is>
      </c>
    </row>
    <row r="16" ht="141" customHeight="1">
      <c r="A16" s="18" t="inlineStr">
        <is>
          <t>12</t>
        </is>
      </c>
      <c r="B16" s="19" t="inlineStr">
        <is>
          <t>On the Patients sheet, fill the yellow FirstName column with each patient's first name: everything after the comma in PatientName, with no extra spaces. Watch out: some names have doubled, leading, or trailing spaces, and 28 were pasted from the patient portal with non-breaking spaces (UNICHAR(160)). Case doesn't matter here. The gray cell adds up the lengths of all your first names, so any leftover space changes the total.</t>
        </is>
      </c>
      <c r="C16" s="33" t="n">
        <v>2324</v>
      </c>
      <c r="D16" s="34" t="inlineStr">
        <is>
          <t>=TRIM(MID(SUBSTITUTE(C2,UNICHAR(160)," "),FIND(",",C2)+1,LEN(C2)))</t>
        </is>
      </c>
      <c r="E16" cm="1" s="35">
        <f t="array" ref="E16">SUMPRODUCT(LEN(TRIM(MID(SUBSTITUTE(Patients!C2:C401,_xlfn.UNICHAR(160)," "),FIND(",",Patients!C2:C401)+1,LEN(Patients!C2:C401)))))</f>
        <v/>
      </c>
      <c r="F16" s="19" t="inlineStr">
        <is>
          <t>Work from the inside out. SUBSTITUTE turns each non-breaking space into an ordinary space, MID takes everything after the comma (LEN is simply a length that's long enough), and TRIM removes the leading, trailing, and doubled spaces. Without the SUBSTITUTE, the 28 portal rows keep an invisible character and the total comes out 28 too high. On Windows, CHAR(160) is the same character as UNICHAR(160). A Microsoft 365 version is =TRIM(SUBSTITUTE(TEXTAFTER(C2,","),UNICHAR(160)," ")).</t>
        </is>
      </c>
    </row>
    <row r="17" ht="111" customHeight="1">
      <c r="A17" s="18" t="inlineStr">
        <is>
          <t>13</t>
        </is>
      </c>
      <c r="B17" s="19" t="inlineStr">
        <is>
          <t>Patient PT10325's name was typed as "o'brien,hannah  " (row 326, with two trailing spaces). Return a clean display name in the form First Last, in Proper Case. This check is case-sensitive.</t>
        </is>
      </c>
      <c r="C17" s="33" t="inlineStr">
        <is>
          <t>Hannah O'Brien</t>
        </is>
      </c>
      <c r="D17" s="34" t="inlineStr">
        <is>
          <t>=PROPER(TRIM(MID(Patients!C326,FIND(",",Patients!C326)+1,LEN(Patients!C326)))&amp;" "&amp;LEFT(Patients!C326,FIND(",",Patients!C326)-1))</t>
        </is>
      </c>
      <c r="E17" s="18" t="inlineStr">
        <is>
          <t>—</t>
        </is>
      </c>
      <c r="F17" s="19" t="inlineStr">
        <is>
          <t>MID + FIND takes the first name and TRIM drops the trailing spaces. LEFT + FIND takes the last name. Join them with a space and wrap the whole thing in PROPER, which capitalizes the first letter of each word and every letter that follows a non-letter. That's why the B after the apostrophe in O'Brien comes out right. In Microsoft 365: =PROPER(TRIM(TEXTAFTER(Patients!C326,","))&amp;" "&amp;TEXTBEFORE(Patients!C326,",")).</t>
        </is>
      </c>
    </row>
  </sheetData>
  <mergeCells count="1">
    <mergeCell ref="A2:F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30" t="inlineStr">
        <is>
          <t>🔑 Bonus Key — Lesson 2.2</t>
        </is>
      </c>
    </row>
    <row r="2" ht="32" customHeight="1">
      <c r="A2" s="31" t="inlineStr">
        <is>
          <t>Spoiler alert — try every task before reading this sheet. Column C is the value the Check column compares against. Column D is a sample solution; column E is that same formula, live, proving it works.</t>
        </is>
      </c>
    </row>
    <row r="4">
      <c r="A4" s="32" t="inlineStr">
        <is>
          <t>#</t>
        </is>
      </c>
      <c r="B4" s="32" t="inlineStr">
        <is>
          <t>Task</t>
        </is>
      </c>
      <c r="C4" s="32" t="inlineStr">
        <is>
          <t>Answer</t>
        </is>
      </c>
      <c r="D4" s="32" t="inlineStr">
        <is>
          <t>Sample solution</t>
        </is>
      </c>
      <c r="E4" s="32" t="inlineStr">
        <is>
          <t>Live result</t>
        </is>
      </c>
      <c r="F4" s="32" t="inlineStr">
        <is>
          <t>Explanation</t>
        </is>
      </c>
    </row>
    <row r="5" ht="186" customHeight="1">
      <c r="A5" s="18" t="inlineStr">
        <is>
          <t>B1</t>
        </is>
      </c>
      <c r="B5" s="19" t="inlineStr">
        <is>
          <t>On the Registrations sheet, fill the yellow City column with just the city name in Proper Case, with no comma, state, or ZIP (for example Lakeview Heights). The gray cell counts rows whose City is exactly Lakeview Heights (case-sensitive). That town appears in every messy style, so it's a good test.</t>
        </is>
      </c>
      <c r="C5" s="33" t="n">
        <v>51</v>
      </c>
      <c r="D5" s="34" t="inlineStr">
        <is>
          <t>=PROPER(TRIM(SUBSTITUTE(TEXTBEFORE(C2," ",-2),",","")))</t>
        </is>
      </c>
      <c r="E5" cm="1" s="35">
        <f t="array" ref="E5">COUNTIF(Registrations!C2:C651,"Lakeview Heights*")</f>
        <v/>
      </c>
      <c r="F5" s="19" t="inlineStr">
        <is>
          <t>The commas are unreliable, but the spaces are not: the last two spaces always separate the city, the state, and the ZIP. TEXTBEFORE(C2," ",-2) counts spaces from the end, so it returns everything before the second-to-last space ("Cedar Ridge," or "CEDAR RIDGE"). SUBSTITUTE removes a comma if there is one, TRIM tidies up, and PROPER fixes the case. A FIND(",") approach fails with #VALUE! on the rows that have no comma. Without Microsoft 365, the classic trick is =PROPER(SUBSTITUTE(LEFT(C2,LEN(C2)-LEN(TRIM(RIGHT(SUBSTITUTE(C2," ",REPT(" ",100)),100)))-4),",","")): the TRIM(RIGHT(SUBSTITUTE(…))) part pulls out the last word (the ZIP), and LEFT keeps everything except the ZIP and the 4 characters of " OH ".</t>
        </is>
      </c>
    </row>
    <row r="6" ht="141" customHeight="1">
      <c r="A6" s="18" t="inlineStr">
        <is>
          <t>B2</t>
        </is>
      </c>
      <c r="B6" s="19" t="inlineStr">
        <is>
          <t>Fill the yellow ZIP5 column with the 5-digit ZIP code as text. ZIP+4 codes like 45720-1280 must become 45720. The gray cell counts rows in ZIP 45501 (downtown Bluestone).</t>
        </is>
      </c>
      <c r="C6" s="33" t="n">
        <v>113</v>
      </c>
      <c r="D6" s="34" t="inlineStr">
        <is>
          <t>=LEFT(TEXTAFTER(C2," ",-1),5)</t>
        </is>
      </c>
      <c r="E6" cm="1" s="35">
        <f t="array" ref="E6">COUNTIF(Registrations!C2:C651,"* 45501*")</f>
        <v/>
      </c>
      <c r="F6" s="19" t="inlineStr">
        <is>
          <t>TEXTAFTER(C2," ",-1) returns everything after the last space: the whole ZIP or ZIP+4. LEFT(…,5) keeps the first five digits. RIGHT(C2,5) looks tempting but returns "-1280" for 45720-1280. 23 of the 113 rows in 45501 have a ZIP+4. Keep ZIPs as text: a ZIP like 02134 would lose its leading zero as a number. Classic version: =LEFT(TRIM(RIGHT(SUBSTITUTE(C2," ",REPT(" ",100)),100)),5). SUBSTITUTE swaps every space for 100 spaces, RIGHT(…,100) then grabs a chunk that holds only the last word plus padding, and TRIM strips the padding.</t>
        </is>
      </c>
    </row>
    <row r="7" ht="111" customHeight="1">
      <c r="A7" s="18" t="inlineStr">
        <is>
          <t>B3</t>
        </is>
      </c>
      <c r="B7" s="19" t="inlineStr">
        <is>
          <t>Write one formula that turns record R1002's CityStateZip (row 3, "CEDAR RIDGE, OH 45720") into the mailing-label line City, ST 12345: city in Proper Case, a comma and a space, the 2-letter state in capitals, a space, and the 5-digit ZIP. This check is case-sensitive.</t>
        </is>
      </c>
      <c r="C7" s="33" t="inlineStr">
        <is>
          <t>Cedar Ridge, OH 45720</t>
        </is>
      </c>
      <c r="D7" s="34" t="inlineStr">
        <is>
          <t>=PROPER(TRIM(SUBSTITUTE(TEXTBEFORE(Registrations!C3," ",-2),",","")))&amp;", "&amp;UPPER(TEXTBEFORE(TEXTAFTER(Registrations!C3," ",-2)," "))&amp;" "&amp;LEFT(TEXTAFTER(Registrations!C3," ",-1),5)</t>
        </is>
      </c>
      <c r="E7" s="18" t="inlineStr">
        <is>
          <t>—</t>
        </is>
      </c>
      <c r="F7" s="19" t="inlineStr">
        <is>
          <t>The state is the word between the last two spaces: TEXTAFTER(…," ",-2) gives "OH 45720", and TEXTBEFORE(…," ") keeps "OH". Apply PROPER to the city only. Wrapping the whole line in PROPER is the classic mistake: it turns OH into Oh. If you finished B1 and B2, =Registrations!D3&amp;", OH "&amp;Registrations!E3 also works, but extracting the state keeps the formula correct for out-of-state patients.</t>
        </is>
      </c>
    </row>
    <row r="8" ht="111" customHeight="1">
      <c r="A8" s="18" t="inlineStr">
        <is>
          <t>B4</t>
        </is>
      </c>
      <c r="B8" s="19" t="inlineStr">
        <is>
          <t>Back on the Patients sheet, fill the yellow ConditionCount column with the number of chronic conditions each patient has: 0 when ChronicConditions is blank, 1 for HTN, 2 for HTN;DM, and so on. The gray cell counts 'complex' patients with 3 or more conditions.</t>
        </is>
      </c>
      <c r="C8" s="33" t="n">
        <v>35</v>
      </c>
      <c r="D8" s="34" t="inlineStr">
        <is>
          <t>=IF(F2="",0,LEN(F2)-LEN(SUBSTITUTE(F2,";",""))+1)</t>
        </is>
      </c>
      <c r="E8" cm="1" s="35">
        <f t="array" ref="E8">SUMPRODUCT((Patients!F2:F401&lt;&gt;"")*((LEN(Patients!F2:F401)-LEN(SUBSTITUTE(Patients!F2:F401,";",""))+1)&gt;=3))</f>
        <v/>
      </c>
      <c r="F8" s="19" t="inlineStr">
        <is>
          <t>LEN(F2)-LEN(SUBSTITUTE(F2,";","")) is the number of semicolons, because removing them shortens the text by exactly that many characters. A list always has one more item than separators, so add 1. The IF handles blank lists: without it, a blank cell has 0 semicolons and would count as 1 condition. COUNTA(TEXTSPLIT(F2,";")) has the same problem on blank cells, so it needs the same IF.</t>
        </is>
      </c>
    </row>
    <row r="9" ht="81" customHeight="1">
      <c r="A9" s="18" t="inlineStr">
        <is>
          <t>B5</t>
        </is>
      </c>
      <c r="B9" s="19" t="inlineStr">
        <is>
          <t>What is the average number of chronic conditions per patient across all 400 patients, including those with none? Use your ConditionCount column. (The check accepts 2 decimal places.)</t>
        </is>
      </c>
      <c r="C9" s="36" t="n">
        <v>0.875</v>
      </c>
      <c r="D9" s="34" t="inlineStr">
        <is>
          <t>=AVERAGE(Patients!J2:J401)</t>
        </is>
      </c>
      <c r="E9" cm="1" s="37">
        <f t="array" ref="E9">SUMPRODUCT((Patients!F2:F401&lt;&gt;"")*(LEN(Patients!F2:F401)-LEN(SUBSTITUTE(Patients!F2:F401,";",""))+1))/ROWS(Patients!F2:F401)</f>
        <v/>
      </c>
      <c r="F9" s="19" t="inlineStr">
        <is>
          <t>If your average comes out as 1.33, your column counts the 181 blank lists as 1 condition each. That mistake doesn't change B4's count, because those rows stay below 3, but it inflates the average. Testing a formula on the edge cases (blank, one item, many items) catches errors like this.</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2.2 — Text Functions</dc:title>
  <dcterms:created xsi:type="dcterms:W3CDTF">2026-10-02T15:01:59Z</dcterms:created>
  <dcterms:modified xsi:type="dcterms:W3CDTF">2026-10-02T15:01:59Z</dcterms:modified>
</cp:coreProperties>
</file>
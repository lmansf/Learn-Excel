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HasDM"/>
    <tableColumn id="8" name="ContactLine"/>
    <tableColumn id="9" name="FirstName"/>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2.2</t>
        </is>
      </c>
    </row>
    <row r="3">
      <c r="B3" s="2" t="inlineStr">
        <is>
          <t>Text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Tasks 2, 8, 11, and 12 and bonus parts B1, B2, and B4 ask you to fill a yellow column on a data sheet. The data sheets are Excel Tables, so a formula typed in the first row usually fills the whole column automatically.</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Patients</t>
        </is>
      </c>
      <c r="C28" s="7" t="inlineStr">
        <is>
          <t>Data: 400 rows — Excel Table 'tblPatients'</t>
        </is>
      </c>
    </row>
    <row r="29" ht="18" customHeight="1">
      <c r="B29" s="8" t="inlineStr">
        <is>
          <t>Encounters</t>
        </is>
      </c>
      <c r="C29" s="7" t="inlineStr">
        <is>
          <t>Data: 283 rows — Excel Table 'tblEncounters'</t>
        </is>
      </c>
    </row>
    <row r="30" ht="18" customHeight="1">
      <c r="B30" s="8" t="inlineStr">
        <is>
          <t>Providers</t>
        </is>
      </c>
      <c r="C30" s="7" t="inlineStr">
        <is>
          <t>Data: 147 rows — Excel Table 'tblProviders'</t>
        </is>
      </c>
    </row>
    <row r="31" ht="18" customHeight="1">
      <c r="B31" s="8" t="inlineStr">
        <is>
          <t>Registrations</t>
        </is>
      </c>
      <c r="C31" s="7" t="inlineStr">
        <is>
          <t>Data: 650 rows — Excel Table 'tblRegistrations'</t>
        </is>
      </c>
    </row>
    <row r="32" ht="48" customHeight="1">
      <c r="B32" s="8" t="inlineStr">
        <is>
          <t>About the data</t>
        </is>
      </c>
      <c r="C32" s="7" t="inlineStr">
        <is>
          <t>400 patients from Bluestone's registration system (names, MRNs, phones, emails, chronic-condition flags), their 283 encounters in Q4 2025, the 147-provider roster, and a 650-row legacy registration export with messy addresses.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49"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and a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and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of the Patients sheet,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PT10248's MRN (row 249 of the Patients sheet) shows 57585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ENC121048 (row 202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the pieces with &amp;. Spaces and punctuation go inside double quotes</t>
        </is>
      </c>
      <c r="D12" s="21" t="n"/>
      <c r="E12" s="22">
        <f>IF(IFERROR(D12="",FALSE),"",IF(IFERROR(OR(LOWER(TRIM(D12&amp;""))=LOWER(TRIM('Answer Key'!$C$11&amp;""))),FALSE),"✔ Correct","✘ Not yet"))</f>
        <v/>
      </c>
    </row>
    <row r="13" ht="66" customHeight="1">
      <c r="A13" s="18" t="inlineStr">
        <is>
          <t>8</t>
        </is>
      </c>
      <c r="B13" s="19" t="inlineStr">
        <is>
          <t>On the Patients sheet, fill the yellow HasDM column with TRUE when the patient's ChronicConditions list includes DM (diabetes) and FALSE otherwise. Blank lists should give FALSE. Type your formula in G2, then copy it down. The gray cell counts the TRUEs.</t>
        </is>
      </c>
      <c r="C13" s="20" t="inlineStr">
        <is>
          <t>SEARCH returns a position or #VALUE!, and ISNUMBER turns that into TRUE or FALSE</t>
        </is>
      </c>
      <c r="D13" cm="1" s="23">
        <f t="array" ref="D13">IF(COUNTA(Patients!G2:G401)=0,"",COUNTIF(Patients!G2:G401,TRUE))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 of the Patients sheet).</t>
        </is>
      </c>
      <c r="C14" s="20" t="inlineStr">
        <is>
          <t>TEXTBEFORE (Microsoft 365 or Excel 2024), or LEFT + FIND</t>
        </is>
      </c>
      <c r="D14" s="21" t="n"/>
      <c r="E14" s="22">
        <f>IF(IFERROR(D14="",FALSE),"",IF(IFERROR(OR(LOWER(TRIM(D14&amp;""))=LOWER(TRIM('Answer Key'!$C$13&amp;""))),FALSE),"✔ Correct","✘ Not yet"))</f>
        <v/>
      </c>
    </row>
    <row r="15" ht="66" customHeight="1">
      <c r="A15" s="18" t="inlineStr">
        <is>
          <t>10</t>
        </is>
      </c>
      <c r="B15" s="19" t="inlineStr">
        <is>
          <t>How many chronic conditions does patient PT10101 (row 102 of the Patients sheet) have? Split the semicolon-separated ChronicConditions list with TEXTSPLIT and count the pieces.</t>
        </is>
      </c>
      <c r="C15" s="20" t="inlineStr">
        <is>
          <t>COUNTA(TEXTSPLIT(…)) returns one number instead of a spill. Without TEXTSPLIT, count the semicolons with LEN and SUBSTITUTE (guide section 6)</t>
        </is>
      </c>
      <c r="D15" s="24" t="n"/>
      <c r="E15" s="22">
        <f>IF(IFERROR(D15="",FALSE),"",IF(IFERROR(AND(ISNUMBER(D15),OR(ABS(D15-'Answer Key'!$C$14)&lt;=0.0001)),FALSE),"✔ Correct","✘ Not yet"))</f>
        <v/>
      </c>
    </row>
    <row r="16" ht="81"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111"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7" s="20" t="inlineStr">
        <is>
          <t>TRIM can't remove a non-breaking space, so SUBSTITUTE it with a normal space first</t>
        </is>
      </c>
      <c r="D17" cm="1" s="23">
        <f t="array" ref="D17">IF(COUNTA(Patients!I2:I401)=0,"",SUMPRODUCT(LEN(Patients!I2:I401)))</f>
        <v/>
      </c>
      <c r="E17" s="22">
        <f>IF(IFERROR(D17="",FALSE),"",IF(IFERROR(AND(ISNUMBER(D17),OR(ABS(D17-'Answer Key'!$C$16)&lt;=0.0001)),FALSE),"✔ Correct","✘ Not yet"))</f>
        <v/>
      </c>
    </row>
    <row r="18" ht="51" customHeight="1">
      <c r="A18" s="18" t="inlineStr">
        <is>
          <t>13</t>
        </is>
      </c>
      <c r="B18" s="19" t="inlineStr">
        <is>
          <t>Patient PT10325's name was typed as "o'brien,hannah  " (row 326 of the Patients sheet,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0" customWidth="1" min="7" max="7"/>
    <col width="50" customWidth="1" min="8" max="8"/>
    <col width="14"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HasDM</t>
        </is>
      </c>
      <c r="H1" s="26" t="inlineStr">
        <is>
          <t>ContactLine</t>
        </is>
      </c>
      <c r="I1" s="26" t="inlineStr">
        <is>
          <t>FirstName</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79"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66" customHeight="1">
      <c r="A7" s="18" t="inlineStr">
        <is>
          <t>B2</t>
        </is>
      </c>
      <c r="B7" s="19" t="inlineStr">
        <is>
          <t>On the Registrations sheet, fill the yellow ZIP5 column with the 5-digit ZIP code as text. ZIP+4 codes like 45720-1280 must become 45720. Type your formula in E2, then copy it down.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Enter it unrounded or rounded to 2 decimal places. The check accepts either.</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Answer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35">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35">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51"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35">
        <f t="array" ref="E7">LEFT(Patients!C32,FIND(",",Patients!C32)-1)</f>
        <v/>
      </c>
      <c r="F7" s="19" t="inlineStr">
        <is>
          <t>FIND(",",…) returns the comma's position (7). The last name is the 6 characters before it, so subtract 1. In Microsoft 365 you can also write =TEXTBEFORE(Patients!C32,",").</t>
        </is>
      </c>
    </row>
    <row r="8" ht="81" customHeight="1">
      <c r="A8" s="18" t="inlineStr">
        <is>
          <t>4</t>
        </is>
      </c>
      <c r="B8" s="19" t="inlineStr">
        <is>
          <t>The appointment-reminder system needs phone numbers as 10 digits with no punctuation. Convert patient PT10058's phone (row 59 of the Patients sheet, "(555) 529-7071") to digits only.</t>
        </is>
      </c>
      <c r="C8" s="33" t="inlineStr">
        <is>
          <t>5555297071</t>
        </is>
      </c>
      <c r="D8" s="34" t="inlineStr">
        <is>
          <t>=SUBSTITUTE(SUBSTITUTE(SUBSTITUTE(SUBSTITUTE(Patients!D59,"(",""),")","")," ",""),"-","")</t>
        </is>
      </c>
      <c r="E8" cm="1" s="35">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PT10248's MRN (row 249 of the Patients sheet) shows 57585 because the export stored it as a number and dropped the leading zeros. Return it as the 8-character text MRN printed on wristbands.</t>
        </is>
      </c>
      <c r="C9" s="33" t="inlineStr">
        <is>
          <t>00057585</t>
        </is>
      </c>
      <c r="D9" s="34" t="inlineStr">
        <is>
          <t>=TEXT(Patients!B249,"00000000")</t>
        </is>
      </c>
      <c r="E9" cm="1" s="35">
        <f t="array" ref="E9">TEXT(Patients!B249,"00000000")</f>
        <v/>
      </c>
      <c r="F9" s="19" t="inlineStr">
        <is>
          <t>In a format code, each 0 is a required digit, so "00000000" pads the number with leading zeros to 8 digits. The result "00057585" is text, so the zeros are part of the value: they survive joining with &amp; and match MRNs stored as text in other systems. A custom number format (Lesson 1.3) only changes how the cell looks, so ="MRN "&amp;Patients!B249 would still give MRN 57585.</t>
        </is>
      </c>
    </row>
    <row r="10" ht="81" customHeight="1">
      <c r="A10" s="18" t="inlineStr">
        <is>
          <t>6</t>
        </is>
      </c>
      <c r="B10" s="19" t="inlineStr">
        <is>
          <t>Monthly quality reports label encounters by month. Return the admit month of encounter ENC121048 (row 202 of the Encounters sheet) as text in the form Mon-YYYY, for example Jan-2026.</t>
        </is>
      </c>
      <c r="C10" s="33" t="inlineStr">
        <is>
          <t>Dec-2025</t>
        </is>
      </c>
      <c r="D10" s="34" t="inlineStr">
        <is>
          <t>=TEXT(Encounters!D202,"mmm-yyyy")</t>
        </is>
      </c>
      <c r="E10" cm="1" s="35">
        <f t="array" ref="E10">TEXT(Encounters!D202,"mmm-yyyy")</f>
        <v/>
      </c>
      <c r="F10" s="19" t="inlineStr">
        <is>
          <t>In a date format code, mmm is the short month name and yyyy is the 4-digit year. The dash is copied as-is. Without TEXT, a date joined to text shows its serial number: ="Admitted "&amp;Encounters!D202 gives Admitted 46000,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35">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Type your formula in G2, then copy it down. The gray cell counts the TRUEs.</t>
        </is>
      </c>
      <c r="C12" s="33" t="n">
        <v>52</v>
      </c>
      <c r="D12" s="34" t="inlineStr">
        <is>
          <t>=ISNUMBER(SEARCH("DM",F2))</t>
        </is>
      </c>
      <c r="E12" cm="1" s="35">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96" customHeight="1">
      <c r="A13" s="18" t="inlineStr">
        <is>
          <t>9</t>
        </is>
      </c>
      <c r="B13" s="19" t="inlineStr">
        <is>
          <t>The patient portal username is the part of the email address before the @. Return the username for patient PT10123 (row 124 of the Patients sheet).</t>
        </is>
      </c>
      <c r="C13" s="33" t="inlineStr">
        <is>
          <t>sara.scott36</t>
        </is>
      </c>
      <c r="D13" s="34" t="inlineStr">
        <is>
          <t>=TEXTBEFORE(Patients!E124,"@")</t>
        </is>
      </c>
      <c r="E13" cm="1" s="35">
        <f t="array" ref="E13">_xlfn.TEXTBEFORE(Patients!E124,"@")</f>
        <v/>
      </c>
      <c r="F13" s="19" t="inlineStr">
        <is>
          <t>TEXTBEFORE returns everything before the first @, however long the username is. The classic version, which works in every Excel, is =LEFT(Patients!E124,FIND("@",Patients!E124)-1): FIND returns the position of the @ (13 here), and -1 stops LEFT just before it, so it keeps the 12 characters of the username.</t>
        </is>
      </c>
    </row>
    <row r="14" ht="81" customHeight="1">
      <c r="A14" s="18" t="inlineStr">
        <is>
          <t>10</t>
        </is>
      </c>
      <c r="B14" s="19" t="inlineStr">
        <is>
          <t>How many chronic conditions does patient PT10101 (row 102 of the Patients sheet) have? Split the semicolon-separated ChronicConditions list with TEXTSPLIT and count the pieces.</t>
        </is>
      </c>
      <c r="C14" s="33" t="n">
        <v>4</v>
      </c>
      <c r="D14" s="34" t="inlineStr">
        <is>
          <t>=COUNTA(TEXTSPLIT(Patients!F102,";"))</t>
        </is>
      </c>
      <c r="E14" cm="1" s="35">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111"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5" s="33" t="n">
        <v>229</v>
      </c>
      <c r="D15" s="34" t="inlineStr">
        <is>
          <t>=TEXTJOIN(" | ",TRUE,D2,E2)</t>
        </is>
      </c>
      <c r="E15" cm="1" s="35">
        <f t="array" ref="E15">COUNTA(Patients!E2:E401)</f>
        <v/>
      </c>
      <c r="F15" s="19" t="inlineStr">
        <is>
          <t>TEXTJOIN puts the delimiter between items. With ignore_empty set to TRUE, it skips the blank email, so those rows show only the phone. With FALSE, or with D2&amp;" | "&amp;E2, every row gets a delimiter and the blank rows end in a dangling " | ". Without TEXTJOIN (Excel 2016), add the delimiter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6" s="33" t="n">
        <v>2324</v>
      </c>
      <c r="D16" s="34" t="inlineStr">
        <is>
          <t>=TRIM(MID(SUBSTITUTE(C2,UNICHAR(160)," "),FIND(",",C2)+1,LEN(C2)))</t>
        </is>
      </c>
      <c r="E16" cm="1" s="35">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Microsoft 365 version is =TRIM(SUBSTITUTE(TEXTAFTER(C2,","),UNICHAR(160)," ")).</t>
        </is>
      </c>
    </row>
    <row r="17" ht="111" customHeight="1">
      <c r="A17" s="18" t="inlineStr">
        <is>
          <t>13</t>
        </is>
      </c>
      <c r="B17" s="19" t="inlineStr">
        <is>
          <t>Patient PT10325's name was typed as "o'brien,hannah  " (row 326 of the Patients sheet,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Bonus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186" customHeight="1">
      <c r="A5" s="18" t="inlineStr">
        <is>
          <t>B1</t>
        </is>
      </c>
      <c r="B5"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5" s="33" t="n">
        <v>51</v>
      </c>
      <c r="D5" s="34" t="inlineStr">
        <is>
          <t>=PROPER(TRIM(SUBSTITUTE(TEXTBEFORE(C2," ",-2),",","")))</t>
        </is>
      </c>
      <c r="E5" cm="1" s="35">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On the Registrations sheet, fill the yellow ZIP5 column with the 5-digit ZIP code as text. ZIP+4 codes like 45720-1280 must become 45720. Type your formula in E2, then copy it down. The gray cell counts rows in ZIP 45501 (downtown Bluestone).</t>
        </is>
      </c>
      <c r="C6" s="33" t="n">
        <v>113</v>
      </c>
      <c r="D6" s="34" t="inlineStr">
        <is>
          <t>=LEFT(TEXTAFTER(C2," ",-1),5)</t>
        </is>
      </c>
      <c r="E6" cm="1" s="35">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8" s="33" t="n">
        <v>35</v>
      </c>
      <c r="D8" s="34" t="inlineStr">
        <is>
          <t>=IF(F2="",0,LEN(F2)-LEN(SUBSTITUTE(F2,";",""))+1)</t>
        </is>
      </c>
      <c r="E8" cm="1" s="35">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delimiters,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Enter it unrounded or rounded to 2 decimal places. The check accepts either.</t>
        </is>
      </c>
      <c r="C9" s="36" t="n">
        <v>0.875</v>
      </c>
      <c r="D9" s="34" t="inlineStr">
        <is>
          <t>=AVERAGE(Patients!J2:J401)</t>
        </is>
      </c>
      <c r="E9" cm="1" s="37">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2026-10-02T16:36:14Z</dcterms:created>
  <dcterms:modified xsi:type="dcterms:W3CDTF">2026-10-02T16:36:14Z</dcterms:modified>
</cp:coreProperties>
</file>